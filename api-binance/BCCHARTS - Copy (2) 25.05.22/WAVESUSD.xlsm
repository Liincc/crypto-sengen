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74F28EB-6166-46BE-9153-0E98EDAA81F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10" i="1"/>
  <c r="Q1110" i="1" s="1"/>
  <c r="R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10" i="1"/>
  <c r="T1110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4"/>
  <c r="C122" i="4"/>
  <c r="C133" i="4" s="1"/>
  <c r="C136" i="4" s="1"/>
  <c r="C118" i="5"/>
  <c r="C122" i="5"/>
  <c r="C133" i="5" s="1"/>
  <c r="D136" i="5" s="1"/>
  <c r="C116" i="3"/>
  <c r="R1109" i="1"/>
  <c r="C122" i="3"/>
  <c r="C133" i="3" s="1"/>
  <c r="D136" i="3" s="1"/>
  <c r="D136" i="4" l="1"/>
  <c r="C138" i="4" s="1"/>
  <c r="C136" i="5"/>
  <c r="C138" i="5" s="1"/>
  <c r="R1108" i="1"/>
  <c r="S1109" i="1"/>
  <c r="T1109" i="1" s="1"/>
  <c r="C136" i="3"/>
  <c r="C138" i="3" s="1"/>
  <c r="S1108" i="1" l="1"/>
  <c r="T1108" i="1" s="1"/>
  <c r="R1107" i="1"/>
  <c r="S1107" i="1" l="1"/>
  <c r="T1107" i="1" s="1"/>
  <c r="R1106" i="1"/>
  <c r="S1106" i="1" l="1"/>
  <c r="T1106" i="1" s="1"/>
  <c r="R1105" i="1"/>
  <c r="S1105" i="1" l="1"/>
  <c r="T1105" i="1" s="1"/>
  <c r="R1104" i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S1090" i="1" l="1"/>
  <c r="T1090" i="1" s="1"/>
  <c r="R1089" i="1"/>
  <c r="S1089" i="1" l="1"/>
  <c r="T1089" i="1" s="1"/>
  <c r="R1088" i="1"/>
  <c r="S1088" i="1" l="1"/>
  <c r="T1088" i="1" s="1"/>
  <c r="R1087" i="1"/>
  <c r="S1087" i="1" l="1"/>
  <c r="T1087" i="1" s="1"/>
  <c r="R1086" i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S1081" i="1" l="1"/>
  <c r="T1081" i="1" s="1"/>
  <c r="R1080" i="1"/>
  <c r="R1079" i="1" l="1"/>
  <c r="S1080" i="1"/>
  <c r="T1080" i="1" s="1"/>
  <c r="S1079" i="1" l="1"/>
  <c r="T1079" i="1" s="1"/>
  <c r="R1078" i="1"/>
  <c r="R1077" i="1" l="1"/>
  <c r="S1078" i="1"/>
  <c r="T1078" i="1" s="1"/>
  <c r="S1077" i="1" l="1"/>
  <c r="T1077" i="1" s="1"/>
  <c r="R1076" i="1"/>
  <c r="R1075" i="1" l="1"/>
  <c r="S1076" i="1"/>
  <c r="T1076" i="1" s="1"/>
  <c r="S1075" i="1" l="1"/>
  <c r="T1075" i="1" s="1"/>
  <c r="R1074" i="1"/>
  <c r="R1073" i="1" l="1"/>
  <c r="S1074" i="1"/>
  <c r="T1074" i="1" s="1"/>
  <c r="S1073" i="1" l="1"/>
  <c r="T1073" i="1" s="1"/>
  <c r="R1072" i="1"/>
  <c r="R1071" i="1" l="1"/>
  <c r="S1072" i="1"/>
  <c r="T1072" i="1" s="1"/>
  <c r="S1071" i="1" l="1"/>
  <c r="T1071" i="1" s="1"/>
  <c r="R1070" i="1"/>
  <c r="S1070" i="1" l="1"/>
  <c r="T1070" i="1" s="1"/>
  <c r="R1069" i="1"/>
  <c r="R1068" i="1" l="1"/>
  <c r="S1069" i="1"/>
  <c r="T1069" i="1" s="1"/>
  <c r="R1067" i="1" l="1"/>
  <c r="S1068" i="1"/>
  <c r="T1068" i="1" s="1"/>
  <c r="R1066" i="1" l="1"/>
  <c r="S1067" i="1"/>
  <c r="T1067" i="1" s="1"/>
  <c r="S1066" i="1" l="1"/>
  <c r="T1066" i="1" s="1"/>
  <c r="R1065" i="1"/>
  <c r="S1065" i="1" l="1"/>
  <c r="T1065" i="1" s="1"/>
  <c r="R1064" i="1"/>
  <c r="S1064" i="1" l="1"/>
  <c r="T1064" i="1" s="1"/>
  <c r="R1063" i="1"/>
  <c r="R1062" i="1" l="1"/>
  <c r="S1063" i="1"/>
  <c r="T1063" i="1" s="1"/>
  <c r="R1061" i="1" l="1"/>
  <c r="S1062" i="1"/>
  <c r="T1062" i="1" s="1"/>
  <c r="R1060" i="1" l="1"/>
  <c r="S1061" i="1"/>
  <c r="T1061" i="1" s="1"/>
  <c r="S1060" i="1" l="1"/>
  <c r="T1060" i="1" s="1"/>
  <c r="R1059" i="1"/>
  <c r="S1059" i="1" l="1"/>
  <c r="T1059" i="1" s="1"/>
  <c r="R1058" i="1"/>
  <c r="S1058" i="1" l="1"/>
  <c r="T1058" i="1" s="1"/>
  <c r="R1057" i="1"/>
  <c r="R1056" i="1" l="1"/>
  <c r="S1057" i="1"/>
  <c r="T1057" i="1" s="1"/>
  <c r="R1055" i="1" l="1"/>
  <c r="S1056" i="1"/>
  <c r="T1056" i="1" s="1"/>
  <c r="R1054" i="1" l="1"/>
  <c r="S1055" i="1"/>
  <c r="T1055" i="1" s="1"/>
  <c r="S1054" i="1" l="1"/>
  <c r="T1054" i="1" s="1"/>
  <c r="R1053" i="1"/>
  <c r="S1053" i="1" l="1"/>
  <c r="T1053" i="1" s="1"/>
  <c r="R1052" i="1"/>
  <c r="S1052" i="1" l="1"/>
  <c r="T1052" i="1" s="1"/>
  <c r="R1051" i="1"/>
  <c r="S1051" i="1" l="1"/>
  <c r="T1051" i="1" s="1"/>
  <c r="R1050" i="1"/>
  <c r="R1049" i="1" l="1"/>
  <c r="S1050" i="1"/>
  <c r="T1050" i="1" s="1"/>
  <c r="R1048" i="1" l="1"/>
  <c r="S1049" i="1"/>
  <c r="T1049" i="1" s="1"/>
  <c r="S1048" i="1" l="1"/>
  <c r="T1048" i="1" s="1"/>
  <c r="R1047" i="1"/>
  <c r="S1047" i="1" l="1"/>
  <c r="T1047" i="1" s="1"/>
  <c r="R1046" i="1"/>
  <c r="S1046" i="1" l="1"/>
  <c r="T1046" i="1" s="1"/>
  <c r="R1045" i="1"/>
  <c r="S1045" i="1" l="1"/>
  <c r="T1045" i="1" s="1"/>
  <c r="R1044" i="1"/>
  <c r="R1043" i="1" l="1"/>
  <c r="S1044" i="1"/>
  <c r="T1044" i="1" s="1"/>
  <c r="R1042" i="1" l="1"/>
  <c r="S1043" i="1"/>
  <c r="T1043" i="1" s="1"/>
  <c r="R1041" i="1" l="1"/>
  <c r="S1042" i="1"/>
  <c r="T1042" i="1" s="1"/>
  <c r="S1041" i="1" l="1"/>
  <c r="T1041" i="1" s="1"/>
  <c r="R1040" i="1"/>
  <c r="R1039" i="1" l="1"/>
  <c r="S1040" i="1"/>
  <c r="T1040" i="1" s="1"/>
  <c r="S1039" i="1" l="1"/>
  <c r="T1039" i="1" s="1"/>
  <c r="R1038" i="1"/>
  <c r="R1037" i="1" l="1"/>
  <c r="S1038" i="1"/>
  <c r="T1038" i="1" s="1"/>
  <c r="S1037" i="1" l="1"/>
  <c r="T1037" i="1" s="1"/>
  <c r="R1036" i="1"/>
  <c r="R1035" i="1" l="1"/>
  <c r="S1036" i="1"/>
  <c r="T1036" i="1" s="1"/>
  <c r="S1035" i="1" l="1"/>
  <c r="T1035" i="1" s="1"/>
  <c r="R1034" i="1"/>
  <c r="S1034" i="1" l="1"/>
  <c r="T1034" i="1" s="1"/>
  <c r="R1033" i="1"/>
  <c r="S1033" i="1" l="1"/>
  <c r="T1033" i="1" s="1"/>
  <c r="R1032" i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S1022" i="1" l="1"/>
  <c r="T1022" i="1" s="1"/>
  <c r="R1021" i="1"/>
  <c r="S1021" i="1" l="1"/>
  <c r="T1021" i="1" s="1"/>
  <c r="R1020" i="1"/>
  <c r="S1020" i="1" l="1"/>
  <c r="T1020" i="1" s="1"/>
  <c r="R1019" i="1"/>
  <c r="R1018" i="1" l="1"/>
  <c r="S1019" i="1"/>
  <c r="T1019" i="1" s="1"/>
  <c r="R1017" i="1" l="1"/>
  <c r="S1018" i="1"/>
  <c r="T1018" i="1" s="1"/>
  <c r="R1016" i="1" l="1"/>
  <c r="S1017" i="1"/>
  <c r="T1017" i="1" s="1"/>
  <c r="S1016" i="1" l="1"/>
  <c r="T1016" i="1" s="1"/>
  <c r="R1015" i="1"/>
  <c r="S1015" i="1" l="1"/>
  <c r="T1015" i="1" s="1"/>
  <c r="R1014" i="1"/>
  <c r="S1014" i="1" l="1"/>
  <c r="T1014" i="1" s="1"/>
  <c r="R1013" i="1"/>
  <c r="S1013" i="1" l="1"/>
  <c r="T1013" i="1" s="1"/>
  <c r="R1012" i="1"/>
  <c r="R1011" i="1" l="1"/>
  <c r="S1012" i="1"/>
  <c r="T1012" i="1" s="1"/>
  <c r="S1011" i="1" l="1"/>
  <c r="T1011" i="1" s="1"/>
  <c r="R1010" i="1"/>
  <c r="R1009" i="1" l="1"/>
  <c r="S1010" i="1"/>
  <c r="T1010" i="1" s="1"/>
  <c r="S1009" i="1" l="1"/>
  <c r="T1009" i="1" s="1"/>
  <c r="R1008" i="1"/>
  <c r="R1007" i="1" l="1"/>
  <c r="S1008" i="1"/>
  <c r="T1008" i="1" s="1"/>
  <c r="S1007" i="1" l="1"/>
  <c r="T1007" i="1" s="1"/>
  <c r="R1006" i="1"/>
  <c r="S1006" i="1" l="1"/>
  <c r="T1006" i="1" s="1"/>
  <c r="R1005" i="1"/>
  <c r="S1005" i="1" l="1"/>
  <c r="T1005" i="1" s="1"/>
  <c r="R1004" i="1"/>
  <c r="S1004" i="1" l="1"/>
  <c r="T1004" i="1" s="1"/>
  <c r="R1003" i="1"/>
  <c r="R1002" i="1" l="1"/>
  <c r="S1003" i="1"/>
  <c r="T1003" i="1" s="1"/>
  <c r="R1001" i="1" l="1"/>
  <c r="S1002" i="1"/>
  <c r="T1002" i="1" s="1"/>
  <c r="R1000" i="1" l="1"/>
  <c r="S1001" i="1"/>
  <c r="T1001" i="1" s="1"/>
  <c r="S1000" i="1" l="1"/>
  <c r="T1000" i="1" s="1"/>
  <c r="R999" i="1"/>
  <c r="S999" i="1" l="1"/>
  <c r="T999" i="1" s="1"/>
  <c r="R998" i="1"/>
  <c r="S998" i="1" l="1"/>
  <c r="T998" i="1" s="1"/>
  <c r="R997" i="1"/>
  <c r="R996" i="1" l="1"/>
  <c r="S997" i="1"/>
  <c r="T997" i="1" s="1"/>
  <c r="R995" i="1" l="1"/>
  <c r="S996" i="1"/>
  <c r="T996" i="1" s="1"/>
  <c r="S995" i="1" l="1"/>
  <c r="T995" i="1" s="1"/>
  <c r="R994" i="1"/>
  <c r="S994" i="1" l="1"/>
  <c r="T994" i="1" s="1"/>
  <c r="R993" i="1"/>
  <c r="S993" i="1" l="1"/>
  <c r="T993" i="1" s="1"/>
  <c r="R992" i="1"/>
  <c r="R991" i="1" l="1"/>
  <c r="S992" i="1"/>
  <c r="T992" i="1" s="1"/>
  <c r="R990" i="1" l="1"/>
  <c r="S991" i="1"/>
  <c r="T991" i="1" s="1"/>
  <c r="R989" i="1" l="1"/>
  <c r="S990" i="1"/>
  <c r="T990" i="1" s="1"/>
  <c r="S989" i="1" l="1"/>
  <c r="T989" i="1" s="1"/>
  <c r="R988" i="1"/>
  <c r="S988" i="1" l="1"/>
  <c r="T988" i="1" s="1"/>
  <c r="R987" i="1"/>
  <c r="S987" i="1" l="1"/>
  <c r="T987" i="1" s="1"/>
  <c r="R986" i="1"/>
  <c r="R985" i="1" l="1"/>
  <c r="S986" i="1"/>
  <c r="T986" i="1" s="1"/>
  <c r="R984" i="1" l="1"/>
  <c r="S985" i="1"/>
  <c r="T985" i="1" s="1"/>
  <c r="R983" i="1" l="1"/>
  <c r="S984" i="1"/>
  <c r="T984" i="1" s="1"/>
  <c r="S983" i="1" l="1"/>
  <c r="T983" i="1" s="1"/>
  <c r="R982" i="1"/>
  <c r="S982" i="1" l="1"/>
  <c r="T982" i="1" s="1"/>
  <c r="R981" i="1"/>
  <c r="S981" i="1" l="1"/>
  <c r="T981" i="1" s="1"/>
  <c r="R980" i="1"/>
  <c r="R979" i="1" l="1"/>
  <c r="S980" i="1"/>
  <c r="T980" i="1" s="1"/>
  <c r="R978" i="1" l="1"/>
  <c r="S979" i="1"/>
  <c r="T979" i="1" s="1"/>
  <c r="R977" i="1" l="1"/>
  <c r="S978" i="1"/>
  <c r="T978" i="1" s="1"/>
  <c r="S977" i="1" l="1"/>
  <c r="T977" i="1" s="1"/>
  <c r="R976" i="1"/>
  <c r="R975" i="1" l="1"/>
  <c r="S976" i="1"/>
  <c r="T976" i="1" s="1"/>
  <c r="S975" i="1" l="1"/>
  <c r="T975" i="1" s="1"/>
  <c r="R974" i="1"/>
  <c r="R973" i="1" l="1"/>
  <c r="S974" i="1"/>
  <c r="T974" i="1" s="1"/>
  <c r="S973" i="1" l="1"/>
  <c r="T973" i="1" s="1"/>
  <c r="R972" i="1"/>
  <c r="R971" i="1" l="1"/>
  <c r="S972" i="1"/>
  <c r="T972" i="1" s="1"/>
  <c r="S971" i="1" l="1"/>
  <c r="T971" i="1" s="1"/>
  <c r="R970" i="1"/>
  <c r="R969" i="1" l="1"/>
  <c r="S970" i="1"/>
  <c r="T970" i="1" s="1"/>
  <c r="S969" i="1" l="1"/>
  <c r="T969" i="1" s="1"/>
  <c r="R968" i="1"/>
  <c r="R967" i="1" l="1"/>
  <c r="S968" i="1"/>
  <c r="T968" i="1" s="1"/>
  <c r="S967" i="1" l="1"/>
  <c r="T967" i="1" s="1"/>
  <c r="R966" i="1"/>
  <c r="S966" i="1" l="1"/>
  <c r="T966" i="1" s="1"/>
  <c r="R965" i="1"/>
  <c r="R964" i="1" l="1"/>
  <c r="S965" i="1"/>
  <c r="T965" i="1" s="1"/>
  <c r="R963" i="1" l="1"/>
  <c r="S964" i="1"/>
  <c r="T964" i="1" s="1"/>
  <c r="R962" i="1" l="1"/>
  <c r="S963" i="1"/>
  <c r="T963" i="1" s="1"/>
  <c r="S962" i="1" l="1"/>
  <c r="T962" i="1" s="1"/>
  <c r="R961" i="1"/>
  <c r="S961" i="1" l="1"/>
  <c r="T961" i="1" s="1"/>
  <c r="R960" i="1"/>
  <c r="S960" i="1" l="1"/>
  <c r="T960" i="1" s="1"/>
  <c r="R959" i="1"/>
  <c r="S959" i="1" l="1"/>
  <c r="T959" i="1" s="1"/>
  <c r="R958" i="1"/>
  <c r="R957" i="1" l="1"/>
  <c r="S958" i="1"/>
  <c r="T958" i="1" s="1"/>
  <c r="R956" i="1" l="1"/>
  <c r="S957" i="1"/>
  <c r="T957" i="1" s="1"/>
  <c r="R955" i="1" l="1"/>
  <c r="S956" i="1"/>
  <c r="T956" i="1" s="1"/>
  <c r="S955" i="1" l="1"/>
  <c r="T955" i="1" s="1"/>
  <c r="R954" i="1"/>
  <c r="S954" i="1" l="1"/>
  <c r="T954" i="1" s="1"/>
  <c r="R953" i="1"/>
  <c r="S953" i="1" l="1"/>
  <c r="T953" i="1" s="1"/>
  <c r="R952" i="1"/>
  <c r="S952" i="1" l="1"/>
  <c r="T952" i="1" s="1"/>
  <c r="R951" i="1"/>
  <c r="R950" i="1" l="1"/>
  <c r="S951" i="1"/>
  <c r="T951" i="1" s="1"/>
  <c r="S950" i="1" l="1"/>
  <c r="T950" i="1" s="1"/>
  <c r="R949" i="1"/>
  <c r="R948" i="1" l="1"/>
  <c r="S949" i="1"/>
  <c r="T949" i="1" s="1"/>
  <c r="S948" i="1" l="1"/>
  <c r="T948" i="1" s="1"/>
  <c r="R947" i="1"/>
  <c r="R946" i="1" l="1"/>
  <c r="S947" i="1"/>
  <c r="T947" i="1" s="1"/>
  <c r="S946" i="1" l="1"/>
  <c r="T946" i="1" s="1"/>
  <c r="R945" i="1"/>
  <c r="R944" i="1" l="1"/>
  <c r="S945" i="1"/>
  <c r="T945" i="1" s="1"/>
  <c r="S944" i="1" l="1"/>
  <c r="T944" i="1" s="1"/>
  <c r="R943" i="1"/>
  <c r="R942" i="1" l="1"/>
  <c r="S943" i="1"/>
  <c r="T943" i="1" s="1"/>
  <c r="S942" i="1" l="1"/>
  <c r="T942" i="1" s="1"/>
  <c r="R941" i="1"/>
  <c r="R940" i="1" l="1"/>
  <c r="S941" i="1"/>
  <c r="T941" i="1" s="1"/>
  <c r="S940" i="1" l="1"/>
  <c r="T940" i="1" s="1"/>
  <c r="R939" i="1"/>
  <c r="R938" i="1" l="1"/>
  <c r="S939" i="1"/>
  <c r="T939" i="1" s="1"/>
  <c r="S938" i="1" l="1"/>
  <c r="T938" i="1" s="1"/>
  <c r="R937" i="1"/>
  <c r="R936" i="1" l="1"/>
  <c r="S937" i="1"/>
  <c r="T937" i="1" s="1"/>
  <c r="S936" i="1" l="1"/>
  <c r="T936" i="1" s="1"/>
  <c r="R935" i="1"/>
  <c r="R934" i="1" l="1"/>
  <c r="S935" i="1"/>
  <c r="T935" i="1" s="1"/>
  <c r="S934" i="1" l="1"/>
  <c r="T934" i="1" s="1"/>
  <c r="R933" i="1"/>
  <c r="R932" i="1" l="1"/>
  <c r="S933" i="1"/>
  <c r="T933" i="1" s="1"/>
  <c r="S932" i="1" l="1"/>
  <c r="T932" i="1" s="1"/>
  <c r="R931" i="1"/>
  <c r="R930" i="1" l="1"/>
  <c r="S931" i="1"/>
  <c r="T931" i="1" s="1"/>
  <c r="S930" i="1" l="1"/>
  <c r="T930" i="1" s="1"/>
  <c r="R929" i="1"/>
  <c r="S929" i="1" l="1"/>
  <c r="T929" i="1" s="1"/>
  <c r="R928" i="1"/>
  <c r="S928" i="1" l="1"/>
  <c r="T928" i="1" s="1"/>
  <c r="R927" i="1"/>
  <c r="R926" i="1" l="1"/>
  <c r="S927" i="1"/>
  <c r="T927" i="1" s="1"/>
  <c r="R925" i="1" l="1"/>
  <c r="S926" i="1"/>
  <c r="T926" i="1" s="1"/>
  <c r="R924" i="1" l="1"/>
  <c r="S925" i="1"/>
  <c r="T925" i="1" s="1"/>
  <c r="S924" i="1" l="1"/>
  <c r="T924" i="1" s="1"/>
  <c r="R923" i="1"/>
  <c r="S923" i="1" l="1"/>
  <c r="T923" i="1" s="1"/>
  <c r="R922" i="1"/>
  <c r="S922" i="1" l="1"/>
  <c r="T922" i="1" s="1"/>
  <c r="R921" i="1"/>
  <c r="R920" i="1" l="1"/>
  <c r="S921" i="1"/>
  <c r="T921" i="1" s="1"/>
  <c r="R919" i="1" l="1"/>
  <c r="S920" i="1"/>
  <c r="T920" i="1" s="1"/>
  <c r="S919" i="1" l="1"/>
  <c r="T919" i="1" s="1"/>
  <c r="R918" i="1"/>
  <c r="S918" i="1" l="1"/>
  <c r="T918" i="1" s="1"/>
  <c r="R917" i="1"/>
  <c r="S917" i="1" l="1"/>
  <c r="T917" i="1" s="1"/>
  <c r="R916" i="1"/>
  <c r="R915" i="1" l="1"/>
  <c r="S916" i="1"/>
  <c r="T916" i="1" s="1"/>
  <c r="S915" i="1" l="1"/>
  <c r="T915" i="1" s="1"/>
  <c r="R914" i="1"/>
  <c r="R913" i="1" l="1"/>
  <c r="S914" i="1"/>
  <c r="T914" i="1" s="1"/>
  <c r="S913" i="1" l="1"/>
  <c r="T913" i="1" s="1"/>
  <c r="R912" i="1"/>
  <c r="R911" i="1" l="1"/>
  <c r="S912" i="1"/>
  <c r="T912" i="1" s="1"/>
  <c r="S911" i="1" l="1"/>
  <c r="T911" i="1" s="1"/>
  <c r="R910" i="1"/>
  <c r="R909" i="1" l="1"/>
  <c r="S910" i="1"/>
  <c r="T910" i="1" s="1"/>
  <c r="S909" i="1" l="1"/>
  <c r="T909" i="1" s="1"/>
  <c r="R908" i="1"/>
  <c r="R907" i="1" l="1"/>
  <c r="S908" i="1"/>
  <c r="T908" i="1" s="1"/>
  <c r="S907" i="1" l="1"/>
  <c r="T907" i="1" s="1"/>
  <c r="R906" i="1"/>
  <c r="S906" i="1" l="1"/>
  <c r="T906" i="1" s="1"/>
  <c r="R905" i="1"/>
  <c r="S905" i="1" l="1"/>
  <c r="T905" i="1" s="1"/>
  <c r="R904" i="1"/>
  <c r="S904" i="1" l="1"/>
  <c r="T904" i="1" s="1"/>
  <c r="R903" i="1"/>
  <c r="R902" i="1" l="1"/>
  <c r="S903" i="1"/>
  <c r="T903" i="1" s="1"/>
  <c r="R901" i="1" l="1"/>
  <c r="S902" i="1"/>
  <c r="T902" i="1" s="1"/>
  <c r="R900" i="1" l="1"/>
  <c r="S901" i="1"/>
  <c r="T901" i="1" s="1"/>
  <c r="S900" i="1" l="1"/>
  <c r="T900" i="1" s="1"/>
  <c r="R899" i="1"/>
  <c r="S899" i="1" l="1"/>
  <c r="T899" i="1" s="1"/>
  <c r="R898" i="1"/>
  <c r="R897" i="1" l="1"/>
  <c r="S898" i="1"/>
  <c r="T898" i="1" s="1"/>
  <c r="R896" i="1" l="1"/>
  <c r="S897" i="1"/>
  <c r="T897" i="1" s="1"/>
  <c r="R895" i="1" l="1"/>
  <c r="S896" i="1"/>
  <c r="T896" i="1" s="1"/>
  <c r="S895" i="1" l="1"/>
  <c r="T895" i="1" s="1"/>
  <c r="R894" i="1"/>
  <c r="S894" i="1" l="1"/>
  <c r="T894" i="1" s="1"/>
  <c r="R893" i="1"/>
  <c r="R892" i="1" l="1"/>
  <c r="S893" i="1"/>
  <c r="T893" i="1" s="1"/>
  <c r="R891" i="1" l="1"/>
  <c r="S892" i="1"/>
  <c r="T892" i="1" s="1"/>
  <c r="R890" i="1" l="1"/>
  <c r="S891" i="1"/>
  <c r="T891" i="1" s="1"/>
  <c r="S890" i="1" l="1"/>
  <c r="T890" i="1" s="1"/>
  <c r="R889" i="1"/>
  <c r="R888" i="1" l="1"/>
  <c r="S889" i="1"/>
  <c r="T889" i="1" s="1"/>
  <c r="R887" i="1" l="1"/>
  <c r="S888" i="1"/>
  <c r="T888" i="1" s="1"/>
  <c r="R886" i="1" l="1"/>
  <c r="S887" i="1"/>
  <c r="T887" i="1" s="1"/>
  <c r="S886" i="1" l="1"/>
  <c r="T886" i="1" s="1"/>
  <c r="R885" i="1"/>
  <c r="R884" i="1" l="1"/>
  <c r="S885" i="1"/>
  <c r="T885" i="1" s="1"/>
  <c r="S884" i="1" l="1"/>
  <c r="T884" i="1" s="1"/>
  <c r="R883" i="1"/>
  <c r="R882" i="1" l="1"/>
  <c r="S883" i="1"/>
  <c r="T883" i="1" s="1"/>
  <c r="R881" i="1" l="1"/>
  <c r="S882" i="1"/>
  <c r="T882" i="1" s="1"/>
  <c r="R880" i="1" l="1"/>
  <c r="S881" i="1"/>
  <c r="T881" i="1" s="1"/>
  <c r="S880" i="1" l="1"/>
  <c r="T880" i="1" s="1"/>
  <c r="R879" i="1"/>
  <c r="S879" i="1" l="1"/>
  <c r="T879" i="1" s="1"/>
  <c r="R878" i="1"/>
  <c r="S878" i="1" l="1"/>
  <c r="T878" i="1" s="1"/>
  <c r="R877" i="1"/>
  <c r="R876" i="1" l="1"/>
  <c r="S877" i="1"/>
  <c r="T877" i="1" s="1"/>
  <c r="R875" i="1" l="1"/>
  <c r="S876" i="1"/>
  <c r="T876" i="1" s="1"/>
  <c r="S875" i="1" l="1"/>
  <c r="T875" i="1" s="1"/>
  <c r="R874" i="1"/>
  <c r="S874" i="1" l="1"/>
  <c r="T874" i="1" s="1"/>
  <c r="R873" i="1"/>
  <c r="S873" i="1" l="1"/>
  <c r="T873" i="1" s="1"/>
  <c r="R872" i="1"/>
  <c r="R871" i="1" l="1"/>
  <c r="S872" i="1"/>
  <c r="T872" i="1" s="1"/>
  <c r="R870" i="1" l="1"/>
  <c r="S871" i="1"/>
  <c r="T871" i="1" s="1"/>
  <c r="S870" i="1" l="1"/>
  <c r="T870" i="1" s="1"/>
  <c r="R869" i="1"/>
  <c r="S869" i="1" l="1"/>
  <c r="T869" i="1" s="1"/>
  <c r="R868" i="1"/>
  <c r="S868" i="1" l="1"/>
  <c r="T868" i="1" s="1"/>
  <c r="R867" i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S861" i="1" l="1"/>
  <c r="T861" i="1" s="1"/>
  <c r="R860" i="1"/>
  <c r="S860" i="1" l="1"/>
  <c r="T860" i="1" s="1"/>
  <c r="R859" i="1"/>
  <c r="S859" i="1" l="1"/>
  <c r="T859" i="1" s="1"/>
  <c r="R858" i="1"/>
  <c r="R857" i="1" l="1"/>
  <c r="S858" i="1"/>
  <c r="T858" i="1" s="1"/>
  <c r="R856" i="1" l="1"/>
  <c r="S857" i="1"/>
  <c r="T857" i="1" s="1"/>
  <c r="R855" i="1" l="1"/>
  <c r="S856" i="1"/>
  <c r="T856" i="1" s="1"/>
  <c r="S855" i="1" l="1"/>
  <c r="T855" i="1" s="1"/>
  <c r="R854" i="1"/>
  <c r="S854" i="1" l="1"/>
  <c r="T854" i="1" s="1"/>
  <c r="R853" i="1"/>
  <c r="S853" i="1" l="1"/>
  <c r="T853" i="1" s="1"/>
  <c r="R852" i="1"/>
  <c r="S852" i="1" l="1"/>
  <c r="T852" i="1" s="1"/>
  <c r="R851" i="1"/>
  <c r="R850" i="1" l="1"/>
  <c r="S851" i="1"/>
  <c r="T851" i="1" s="1"/>
  <c r="S850" i="1" l="1"/>
  <c r="T850" i="1" s="1"/>
  <c r="R849" i="1"/>
  <c r="R848" i="1" l="1"/>
  <c r="S849" i="1"/>
  <c r="T849" i="1" s="1"/>
  <c r="S848" i="1" l="1"/>
  <c r="T848" i="1" s="1"/>
  <c r="R847" i="1"/>
  <c r="R846" i="1" l="1"/>
  <c r="S847" i="1"/>
  <c r="T847" i="1" s="1"/>
  <c r="S846" i="1" l="1"/>
  <c r="T846" i="1" s="1"/>
  <c r="R845" i="1"/>
  <c r="R844" i="1" l="1"/>
  <c r="S845" i="1"/>
  <c r="T845" i="1" s="1"/>
  <c r="S844" i="1" l="1"/>
  <c r="T844" i="1" s="1"/>
  <c r="R843" i="1"/>
  <c r="R842" i="1" l="1"/>
  <c r="S843" i="1"/>
  <c r="T843" i="1" s="1"/>
  <c r="S842" i="1" l="1"/>
  <c r="T842" i="1" s="1"/>
  <c r="R841" i="1"/>
  <c r="R840" i="1" l="1"/>
  <c r="S841" i="1"/>
  <c r="T841" i="1" s="1"/>
  <c r="S840" i="1" l="1"/>
  <c r="T840" i="1" s="1"/>
  <c r="R839" i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S834" i="1" l="1"/>
  <c r="T834" i="1" s="1"/>
  <c r="R833" i="1"/>
  <c r="R832" i="1" l="1"/>
  <c r="S833" i="1"/>
  <c r="T833" i="1" s="1"/>
  <c r="S832" i="1" l="1"/>
  <c r="T832" i="1" s="1"/>
  <c r="R831" i="1"/>
  <c r="R830" i="1" l="1"/>
  <c r="S831" i="1"/>
  <c r="T831" i="1" s="1"/>
  <c r="S830" i="1" l="1"/>
  <c r="T830" i="1" s="1"/>
  <c r="R829" i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S825" i="1" l="1"/>
  <c r="T825" i="1" s="1"/>
  <c r="R824" i="1"/>
  <c r="S824" i="1" l="1"/>
  <c r="T824" i="1" s="1"/>
  <c r="R823" i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S819" i="1" l="1"/>
  <c r="T819" i="1" s="1"/>
  <c r="R818" i="1"/>
  <c r="S818" i="1" l="1"/>
  <c r="T818" i="1" s="1"/>
  <c r="R817" i="1"/>
  <c r="S817" i="1" l="1"/>
  <c r="T817" i="1" s="1"/>
  <c r="R816" i="1"/>
  <c r="R815" i="1" l="1"/>
  <c r="S816" i="1"/>
  <c r="T816" i="1" s="1"/>
  <c r="S815" i="1" l="1"/>
  <c r="T815" i="1" s="1"/>
  <c r="R814" i="1"/>
  <c r="R813" i="1" l="1"/>
  <c r="S814" i="1"/>
  <c r="T814" i="1" s="1"/>
  <c r="S813" i="1" l="1"/>
  <c r="T813" i="1" s="1"/>
  <c r="R812" i="1"/>
  <c r="S812" i="1" l="1"/>
  <c r="T812" i="1" s="1"/>
  <c r="R811" i="1"/>
  <c r="S811" i="1" l="1"/>
  <c r="T811" i="1" s="1"/>
  <c r="R810" i="1"/>
  <c r="S810" i="1" l="1"/>
  <c r="T810" i="1" s="1"/>
  <c r="R809" i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S804" i="1" l="1"/>
  <c r="T804" i="1" s="1"/>
  <c r="R803" i="1"/>
  <c r="R802" i="1" l="1"/>
  <c r="S803" i="1"/>
  <c r="T803" i="1" s="1"/>
  <c r="S802" i="1" l="1"/>
  <c r="T802" i="1" s="1"/>
  <c r="R801" i="1"/>
  <c r="R800" i="1" l="1"/>
  <c r="S801" i="1"/>
  <c r="T801" i="1" s="1"/>
  <c r="S800" i="1" l="1"/>
  <c r="T800" i="1" s="1"/>
  <c r="R799" i="1"/>
  <c r="R798" i="1" l="1"/>
  <c r="S799" i="1"/>
  <c r="T799" i="1" s="1"/>
  <c r="S798" i="1" l="1"/>
  <c r="T798" i="1" s="1"/>
  <c r="R797" i="1"/>
  <c r="R796" i="1" l="1"/>
  <c r="S797" i="1"/>
  <c r="T797" i="1" s="1"/>
  <c r="S796" i="1" l="1"/>
  <c r="T796" i="1" s="1"/>
  <c r="R795" i="1"/>
  <c r="R794" i="1" l="1"/>
  <c r="S795" i="1"/>
  <c r="T795" i="1" s="1"/>
  <c r="S794" i="1" l="1"/>
  <c r="T794" i="1" s="1"/>
  <c r="R793" i="1"/>
  <c r="R792" i="1" l="1"/>
  <c r="S793" i="1"/>
  <c r="T793" i="1" s="1"/>
  <c r="S792" i="1" l="1"/>
  <c r="T792" i="1" s="1"/>
  <c r="R791" i="1"/>
  <c r="R790" i="1" l="1"/>
  <c r="S791" i="1"/>
  <c r="T791" i="1" s="1"/>
  <c r="S790" i="1" l="1"/>
  <c r="T790" i="1" s="1"/>
  <c r="R789" i="1"/>
  <c r="R788" i="1" l="1"/>
  <c r="S789" i="1"/>
  <c r="T789" i="1" s="1"/>
  <c r="S788" i="1" l="1"/>
  <c r="T788" i="1" s="1"/>
  <c r="R787" i="1"/>
  <c r="S787" i="1" l="1"/>
  <c r="T787" i="1" s="1"/>
  <c r="R786" i="1"/>
  <c r="R785" i="1" l="1"/>
  <c r="S786" i="1"/>
  <c r="T786" i="1" s="1"/>
  <c r="R784" i="1" l="1"/>
  <c r="S785" i="1"/>
  <c r="T785" i="1" s="1"/>
  <c r="R783" i="1" l="1"/>
  <c r="S784" i="1"/>
  <c r="T784" i="1" s="1"/>
  <c r="S783" i="1" l="1"/>
  <c r="T783" i="1" s="1"/>
  <c r="R782" i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S776" i="1" l="1"/>
  <c r="T776" i="1" s="1"/>
  <c r="R775" i="1"/>
  <c r="R774" i="1" l="1"/>
  <c r="S775" i="1"/>
  <c r="T775" i="1" s="1"/>
  <c r="R773" i="1" l="1"/>
  <c r="S774" i="1"/>
  <c r="T774" i="1" s="1"/>
  <c r="R772" i="1" l="1"/>
  <c r="S773" i="1"/>
  <c r="T773" i="1" s="1"/>
  <c r="S772" i="1" l="1"/>
  <c r="T772" i="1" s="1"/>
  <c r="R771" i="1"/>
  <c r="S771" i="1" l="1"/>
  <c r="T771" i="1" s="1"/>
  <c r="R770" i="1"/>
  <c r="S770" i="1" l="1"/>
  <c r="T770" i="1" s="1"/>
  <c r="R769" i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S765" i="1" l="1"/>
  <c r="T765" i="1" s="1"/>
  <c r="R764" i="1"/>
  <c r="S764" i="1" l="1"/>
  <c r="T764" i="1" s="1"/>
  <c r="R763" i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R737" i="1" l="1"/>
  <c r="S738" i="1"/>
  <c r="T738" i="1" s="1"/>
  <c r="S737" i="1" l="1"/>
  <c r="T737" i="1" s="1"/>
  <c r="R736" i="1"/>
  <c r="S736" i="1" l="1"/>
  <c r="T736" i="1" s="1"/>
  <c r="R735" i="1"/>
  <c r="S735" i="1" l="1"/>
  <c r="T735" i="1" s="1"/>
  <c r="R734" i="1"/>
  <c r="R733" i="1" l="1"/>
  <c r="S734" i="1"/>
  <c r="T734" i="1" s="1"/>
  <c r="S733" i="1" l="1"/>
  <c r="T733" i="1" s="1"/>
  <c r="R732" i="1"/>
  <c r="S732" i="1" l="1"/>
  <c r="T732" i="1" s="1"/>
  <c r="R731" i="1"/>
  <c r="S731" i="1" l="1"/>
  <c r="T731" i="1" s="1"/>
  <c r="R730" i="1"/>
  <c r="S730" i="1" l="1"/>
  <c r="T730" i="1" s="1"/>
  <c r="R729" i="1"/>
  <c r="R728" i="1" l="1"/>
  <c r="S729" i="1"/>
  <c r="T729" i="1" s="1"/>
  <c r="R727" i="1" l="1"/>
  <c r="S728" i="1"/>
  <c r="T728" i="1" s="1"/>
  <c r="R726" i="1" l="1"/>
  <c r="S727" i="1"/>
  <c r="T727" i="1" s="1"/>
  <c r="S726" i="1" l="1"/>
  <c r="T726" i="1" s="1"/>
  <c r="R725" i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R716" i="1" l="1"/>
  <c r="S717" i="1"/>
  <c r="T717" i="1" s="1"/>
  <c r="S716" i="1" l="1"/>
  <c r="T716" i="1" s="1"/>
  <c r="R715" i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S708" i="1" l="1"/>
  <c r="T708" i="1" s="1"/>
  <c r="R707" i="1"/>
  <c r="S707" i="1" l="1"/>
  <c r="T707" i="1" s="1"/>
  <c r="R706" i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R699" i="1" l="1"/>
  <c r="S700" i="1"/>
  <c r="T700" i="1" s="1"/>
  <c r="S699" i="1" l="1"/>
  <c r="T699" i="1" s="1"/>
  <c r="R698" i="1"/>
  <c r="R697" i="1" l="1"/>
  <c r="S698" i="1"/>
  <c r="T698" i="1" s="1"/>
  <c r="S697" i="1" l="1"/>
  <c r="T697" i="1" s="1"/>
  <c r="R696" i="1"/>
  <c r="R695" i="1" l="1"/>
  <c r="S696" i="1"/>
  <c r="T696" i="1" s="1"/>
  <c r="S695" i="1" l="1"/>
  <c r="T695" i="1" s="1"/>
  <c r="R694" i="1"/>
  <c r="R693" i="1" l="1"/>
  <c r="S694" i="1"/>
  <c r="T694" i="1" s="1"/>
  <c r="S693" i="1" l="1"/>
  <c r="T693" i="1" s="1"/>
  <c r="R692" i="1"/>
  <c r="R691" i="1" l="1"/>
  <c r="S692" i="1"/>
  <c r="T692" i="1" s="1"/>
  <c r="S691" i="1" l="1"/>
  <c r="T691" i="1" s="1"/>
  <c r="R690" i="1"/>
  <c r="R689" i="1" l="1"/>
  <c r="S690" i="1"/>
  <c r="T690" i="1" s="1"/>
  <c r="S689" i="1" l="1"/>
  <c r="T689" i="1" s="1"/>
  <c r="R688" i="1"/>
  <c r="R687" i="1" l="1"/>
  <c r="S688" i="1"/>
  <c r="T688" i="1" s="1"/>
  <c r="S687" i="1" l="1"/>
  <c r="T687" i="1" s="1"/>
  <c r="R686" i="1"/>
  <c r="R685" i="1" l="1"/>
  <c r="S686" i="1"/>
  <c r="T686" i="1" s="1"/>
  <c r="S685" i="1" l="1"/>
  <c r="T685" i="1" s="1"/>
  <c r="R684" i="1"/>
  <c r="R683" i="1" l="1"/>
  <c r="S684" i="1"/>
  <c r="T684" i="1" s="1"/>
  <c r="S683" i="1" l="1"/>
  <c r="T683" i="1" s="1"/>
  <c r="R682" i="1"/>
  <c r="R681" i="1" l="1"/>
  <c r="S682" i="1"/>
  <c r="T682" i="1" s="1"/>
  <c r="S681" i="1" l="1"/>
  <c r="T681" i="1" s="1"/>
  <c r="R680" i="1"/>
  <c r="R679" i="1" l="1"/>
  <c r="S680" i="1"/>
  <c r="T680" i="1" s="1"/>
  <c r="R678" i="1" l="1"/>
  <c r="S679" i="1"/>
  <c r="T679" i="1" s="1"/>
  <c r="S678" i="1" l="1"/>
  <c r="T678" i="1" s="1"/>
  <c r="R677" i="1"/>
  <c r="S677" i="1" l="1"/>
  <c r="T677" i="1" s="1"/>
  <c r="R676" i="1"/>
  <c r="S676" i="1" l="1"/>
  <c r="T676" i="1" s="1"/>
  <c r="R675" i="1"/>
  <c r="R674" i="1" l="1"/>
  <c r="S675" i="1"/>
  <c r="T675" i="1" s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S665" i="1" l="1"/>
  <c r="T665" i="1" s="1"/>
  <c r="R664" i="1"/>
  <c r="R663" i="1" l="1"/>
  <c r="S664" i="1"/>
  <c r="T664" i="1" s="1"/>
  <c r="S663" i="1" l="1"/>
  <c r="T663" i="1" s="1"/>
  <c r="R662" i="1"/>
  <c r="S662" i="1" l="1"/>
  <c r="T662" i="1" s="1"/>
  <c r="R661" i="1"/>
  <c r="S661" i="1" l="1"/>
  <c r="T661" i="1" s="1"/>
  <c r="R660" i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S652" i="1" l="1"/>
  <c r="T652" i="1" s="1"/>
  <c r="R651" i="1"/>
  <c r="R650" i="1" l="1"/>
  <c r="S651" i="1"/>
  <c r="T651" i="1" s="1"/>
  <c r="S650" i="1" l="1"/>
  <c r="T650" i="1" s="1"/>
  <c r="R649" i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S640" i="1" l="1"/>
  <c r="T640" i="1" s="1"/>
  <c r="R639" i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R611" i="1" l="1"/>
  <c r="S612" i="1"/>
  <c r="T612" i="1" s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R602" i="1" l="1"/>
  <c r="S603" i="1"/>
  <c r="T603" i="1" s="1"/>
  <c r="S602" i="1" l="1"/>
  <c r="T602" i="1" s="1"/>
  <c r="R601" i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S594" i="1" l="1"/>
  <c r="T594" i="1" s="1"/>
  <c r="R593" i="1"/>
  <c r="R592" i="1" l="1"/>
  <c r="S593" i="1"/>
  <c r="T593" i="1" s="1"/>
  <c r="R591" i="1" l="1"/>
  <c r="S592" i="1"/>
  <c r="T592" i="1" s="1"/>
  <c r="S591" i="1" l="1"/>
  <c r="T591" i="1" s="1"/>
  <c r="R590" i="1"/>
  <c r="R589" i="1" l="1"/>
  <c r="S590" i="1"/>
  <c r="T590" i="1" s="1"/>
  <c r="S589" i="1" l="1"/>
  <c r="T589" i="1" s="1"/>
  <c r="R588" i="1"/>
  <c r="R587" i="1" l="1"/>
  <c r="S588" i="1"/>
  <c r="T588" i="1" s="1"/>
  <c r="S587" i="1" l="1"/>
  <c r="T587" i="1" s="1"/>
  <c r="R586" i="1"/>
  <c r="R585" i="1" l="1"/>
  <c r="S586" i="1"/>
  <c r="T586" i="1" s="1"/>
  <c r="S585" i="1" l="1"/>
  <c r="T585" i="1" s="1"/>
  <c r="R584" i="1"/>
  <c r="R583" i="1" l="1"/>
  <c r="S584" i="1"/>
  <c r="T584" i="1" s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S575" i="1" l="1"/>
  <c r="T575" i="1" s="1"/>
  <c r="R574" i="1"/>
  <c r="R573" i="1" l="1"/>
  <c r="S574" i="1"/>
  <c r="T574" i="1" s="1"/>
  <c r="S573" i="1" l="1"/>
  <c r="T573" i="1" s="1"/>
  <c r="R572" i="1"/>
  <c r="R571" i="1" l="1"/>
  <c r="S572" i="1"/>
  <c r="T572" i="1" s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S562" i="1" l="1"/>
  <c r="T562" i="1" s="1"/>
  <c r="R561" i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R556" i="1" l="1"/>
  <c r="S557" i="1"/>
  <c r="T557" i="1" s="1"/>
  <c r="R555" i="1" l="1"/>
  <c r="S556" i="1"/>
  <c r="T556" i="1" s="1"/>
  <c r="S555" i="1" l="1"/>
  <c r="T555" i="1" s="1"/>
  <c r="R554" i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R528" i="1" l="1"/>
  <c r="S529" i="1"/>
  <c r="T529" i="1" s="1"/>
  <c r="S528" i="1" l="1"/>
  <c r="T528" i="1" s="1"/>
  <c r="R527" i="1"/>
  <c r="R526" i="1" l="1"/>
  <c r="S527" i="1"/>
  <c r="T527" i="1" s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R516" i="1" l="1"/>
  <c r="S517" i="1"/>
  <c r="T517" i="1" s="1"/>
  <c r="R515" i="1" l="1"/>
  <c r="S516" i="1"/>
  <c r="T516" i="1" s="1"/>
  <c r="R514" i="1" l="1"/>
  <c r="S515" i="1"/>
  <c r="T515" i="1" s="1"/>
  <c r="S514" i="1" l="1"/>
  <c r="T514" i="1" s="1"/>
  <c r="R513" i="1"/>
  <c r="S513" i="1" l="1"/>
  <c r="T513" i="1" s="1"/>
  <c r="R512" i="1"/>
  <c r="R511" i="1" l="1"/>
  <c r="S512" i="1"/>
  <c r="T512" i="1" s="1"/>
  <c r="S511" i="1" l="1"/>
  <c r="T511" i="1" s="1"/>
  <c r="R510" i="1"/>
  <c r="R509" i="1" l="1"/>
  <c r="S510" i="1"/>
  <c r="T510" i="1" s="1"/>
  <c r="S509" i="1" l="1"/>
  <c r="T509" i="1" s="1"/>
  <c r="R508" i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R503" i="1" l="1"/>
  <c r="S504" i="1"/>
  <c r="T504" i="1" s="1"/>
  <c r="S503" i="1" l="1"/>
  <c r="T503" i="1" s="1"/>
  <c r="R502" i="1"/>
  <c r="S502" i="1" l="1"/>
  <c r="T502" i="1" s="1"/>
  <c r="R501" i="1"/>
  <c r="S501" i="1" l="1"/>
  <c r="T501" i="1" s="1"/>
  <c r="R500" i="1"/>
  <c r="R499" i="1" l="1"/>
  <c r="S500" i="1"/>
  <c r="T500" i="1" s="1"/>
  <c r="S499" i="1" l="1"/>
  <c r="T499" i="1" s="1"/>
  <c r="R498" i="1"/>
  <c r="R497" i="1" l="1"/>
  <c r="S498" i="1"/>
  <c r="T498" i="1" s="1"/>
  <c r="S497" i="1" l="1"/>
  <c r="T497" i="1" s="1"/>
  <c r="R496" i="1"/>
  <c r="R495" i="1" l="1"/>
  <c r="S496" i="1"/>
  <c r="T496" i="1" s="1"/>
  <c r="S495" i="1" l="1"/>
  <c r="T495" i="1" s="1"/>
  <c r="R494" i="1"/>
  <c r="R493" i="1" l="1"/>
  <c r="S494" i="1"/>
  <c r="T494" i="1" s="1"/>
  <c r="S493" i="1" l="1"/>
  <c r="T493" i="1" s="1"/>
  <c r="R492" i="1"/>
  <c r="R491" i="1" l="1"/>
  <c r="S492" i="1"/>
  <c r="T492" i="1" s="1"/>
  <c r="S491" i="1" l="1"/>
  <c r="T491" i="1" s="1"/>
  <c r="R490" i="1"/>
  <c r="S490" i="1" l="1"/>
  <c r="T490" i="1" s="1"/>
  <c r="R489" i="1"/>
  <c r="R488" i="1" l="1"/>
  <c r="S489" i="1"/>
  <c r="T489" i="1" s="1"/>
  <c r="S488" i="1" l="1"/>
  <c r="T488" i="1" s="1"/>
  <c r="R487" i="1"/>
  <c r="R486" i="1" l="1"/>
  <c r="S487" i="1"/>
  <c r="T487" i="1" s="1"/>
  <c r="S486" i="1" l="1"/>
  <c r="T486" i="1" s="1"/>
  <c r="R485" i="1"/>
  <c r="R484" i="1" l="1"/>
  <c r="S485" i="1"/>
  <c r="T485" i="1" s="1"/>
  <c r="S484" i="1" l="1"/>
  <c r="T484" i="1" s="1"/>
  <c r="R483" i="1"/>
  <c r="R482" i="1" l="1"/>
  <c r="S483" i="1"/>
  <c r="T483" i="1" s="1"/>
  <c r="S482" i="1" l="1"/>
  <c r="T482" i="1" s="1"/>
  <c r="R481" i="1"/>
  <c r="R480" i="1" l="1"/>
  <c r="S481" i="1"/>
  <c r="T481" i="1" s="1"/>
  <c r="S480" i="1" l="1"/>
  <c r="T480" i="1" s="1"/>
  <c r="R479" i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S461" i="1" l="1"/>
  <c r="T461" i="1" s="1"/>
  <c r="R460" i="1"/>
  <c r="R459" i="1" l="1"/>
  <c r="S460" i="1"/>
  <c r="T460" i="1" s="1"/>
  <c r="S459" i="1" l="1"/>
  <c r="T459" i="1" s="1"/>
  <c r="R458" i="1"/>
  <c r="R457" i="1" l="1"/>
  <c r="S458" i="1"/>
  <c r="T458" i="1" s="1"/>
  <c r="S457" i="1" l="1"/>
  <c r="T457" i="1" s="1"/>
  <c r="R456" i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S448" i="1" l="1"/>
  <c r="T448" i="1" s="1"/>
  <c r="R447" i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S418" i="1" l="1"/>
  <c r="T418" i="1" s="1"/>
  <c r="R417" i="1"/>
  <c r="S417" i="1" l="1"/>
  <c r="T417" i="1" s="1"/>
  <c r="R416" i="1"/>
  <c r="S416" i="1" l="1"/>
  <c r="T416" i="1" s="1"/>
  <c r="R415" i="1"/>
  <c r="R414" i="1" l="1"/>
  <c r="S415" i="1"/>
  <c r="T415" i="1" s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S380" i="1" l="1"/>
  <c r="T380" i="1" s="1"/>
  <c r="R379" i="1"/>
  <c r="R378" i="1" l="1"/>
  <c r="S379" i="1"/>
  <c r="T379" i="1" s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S321" i="1" l="1"/>
  <c r="T321" i="1" s="1"/>
  <c r="R320" i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S313" i="1" l="1"/>
  <c r="T313" i="1" s="1"/>
  <c r="R312" i="1"/>
  <c r="S312" i="1" l="1"/>
  <c r="T312" i="1" s="1"/>
  <c r="R311" i="1"/>
  <c r="S311" i="1" l="1"/>
  <c r="T311" i="1" s="1"/>
  <c r="R310" i="1"/>
  <c r="R309" i="1" l="1"/>
  <c r="S310" i="1"/>
  <c r="T310" i="1" s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R299" i="1" l="1"/>
  <c r="S300" i="1"/>
  <c r="T300" i="1" s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S288" i="1" l="1"/>
  <c r="T288" i="1" s="1"/>
  <c r="R287" i="1"/>
  <c r="S287" i="1" l="1"/>
  <c r="T287" i="1" s="1"/>
  <c r="R286" i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S282" i="1" l="1"/>
  <c r="T282" i="1" s="1"/>
  <c r="R281" i="1"/>
  <c r="R280" i="1" l="1"/>
  <c r="S281" i="1"/>
  <c r="T281" i="1" s="1"/>
  <c r="S280" i="1" l="1"/>
  <c r="T280" i="1" s="1"/>
  <c r="R279" i="1"/>
  <c r="R278" i="1" l="1"/>
  <c r="S279" i="1"/>
  <c r="T279" i="1" s="1"/>
  <c r="S278" i="1" l="1"/>
  <c r="T278" i="1" s="1"/>
  <c r="R277" i="1"/>
  <c r="R276" i="1" l="1"/>
  <c r="S277" i="1"/>
  <c r="T277" i="1" s="1"/>
  <c r="S276" i="1" l="1"/>
  <c r="T276" i="1" s="1"/>
  <c r="R275" i="1"/>
  <c r="R274" i="1" l="1"/>
  <c r="S275" i="1"/>
  <c r="T275" i="1" s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S257" i="1" l="1"/>
  <c r="T257" i="1" s="1"/>
  <c r="R256" i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S249" i="1" l="1"/>
  <c r="T249" i="1" s="1"/>
  <c r="R248" i="1"/>
  <c r="R247" i="1" l="1"/>
  <c r="S248" i="1"/>
  <c r="T248" i="1" s="1"/>
  <c r="R246" i="1" l="1"/>
  <c r="S247" i="1"/>
  <c r="T247" i="1" s="1"/>
  <c r="S246" i="1" l="1"/>
  <c r="T246" i="1" s="1"/>
  <c r="R245" i="1"/>
  <c r="S245" i="1" l="1"/>
  <c r="T245" i="1" s="1"/>
  <c r="R244" i="1"/>
  <c r="S244" i="1" l="1"/>
  <c r="T244" i="1" s="1"/>
  <c r="R243" i="1"/>
  <c r="S243" i="1" l="1"/>
  <c r="T243" i="1" s="1"/>
  <c r="R242" i="1"/>
  <c r="S242" i="1" l="1"/>
  <c r="T242" i="1" s="1"/>
  <c r="R241" i="1"/>
  <c r="R240" i="1" l="1"/>
  <c r="S241" i="1"/>
  <c r="T241" i="1" s="1"/>
  <c r="S240" i="1" l="1"/>
  <c r="T240" i="1" s="1"/>
  <c r="R239" i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S234" i="1" l="1"/>
  <c r="T234" i="1" s="1"/>
  <c r="R233" i="1"/>
  <c r="R232" i="1" l="1"/>
  <c r="S233" i="1"/>
  <c r="T233" i="1" s="1"/>
  <c r="S232" i="1" l="1"/>
  <c r="T232" i="1" s="1"/>
  <c r="R231" i="1"/>
  <c r="R230" i="1" l="1"/>
  <c r="S231" i="1"/>
  <c r="T231" i="1" s="1"/>
  <c r="S230" i="1" l="1"/>
  <c r="T230" i="1" s="1"/>
  <c r="R229" i="1"/>
  <c r="R228" i="1" l="1"/>
  <c r="S229" i="1"/>
  <c r="T229" i="1" s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R210" i="1" l="1"/>
  <c r="S211" i="1"/>
  <c r="T211" i="1" s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S149" i="1" l="1"/>
  <c r="T149" i="1" s="1"/>
  <c r="R148" i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S130" i="1" l="1"/>
  <c r="T130" i="1" s="1"/>
  <c r="R129" i="1"/>
  <c r="R128" i="1" l="1"/>
  <c r="S129" i="1"/>
  <c r="T129" i="1" s="1"/>
  <c r="S128" i="1" l="1"/>
  <c r="T128" i="1" s="1"/>
  <c r="R127" i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S121" i="1" l="1"/>
  <c r="T121" i="1" s="1"/>
  <c r="R120" i="1"/>
  <c r="S120" i="1" l="1"/>
  <c r="T120" i="1" s="1"/>
  <c r="R119" i="1"/>
  <c r="R118" i="1" l="1"/>
  <c r="S119" i="1"/>
  <c r="T119" i="1" s="1"/>
  <c r="S118" i="1" l="1"/>
  <c r="T118" i="1" s="1"/>
  <c r="R117" i="1"/>
  <c r="R116" i="1" l="1"/>
  <c r="S117" i="1"/>
  <c r="T117" i="1" s="1"/>
  <c r="S116" i="1" l="1"/>
  <c r="T116" i="1" s="1"/>
  <c r="R115" i="1"/>
  <c r="S115" i="1" l="1"/>
  <c r="T115" i="1" s="1"/>
  <c r="R114" i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S88" i="1" l="1"/>
  <c r="T88" i="1" s="1"/>
  <c r="R87" i="1"/>
  <c r="R86" i="1" l="1"/>
  <c r="S87" i="1"/>
  <c r="T87" i="1" s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<sst xmlns="http://schemas.openxmlformats.org/spreadsheetml/2006/main" count="9607" uniqueCount="34">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</sst>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9.76</c:v>
                </c:pt>
                <c:pt idx="1">
                  <c:v>10.26</c:v>
                </c:pt>
                <c:pt idx="2">
                  <c:v>8.39</c:v>
                </c:pt>
                <c:pt idx="3">
                  <c:v>8.5299999999999994</c:v>
                </c:pt>
                <c:pt idx="4">
                  <c:v>9.2200000000000006</c:v>
                </c:pt>
                <c:pt idx="5">
                  <c:v>8.9600000000000009</c:v>
                </c:pt>
                <c:pt idx="6">
                  <c:v>10.68</c:v>
                </c:pt>
                <c:pt idx="7">
                  <c:v>12.59</c:v>
                </c:pt>
                <c:pt idx="8">
                  <c:v>13.18</c:v>
                </c:pt>
                <c:pt idx="9">
                  <c:v>13.58</c:v>
                </c:pt>
                <c:pt idx="10">
                  <c:v>13.73</c:v>
                </c:pt>
                <c:pt idx="11">
                  <c:v>14.29</c:v>
                </c:pt>
                <c:pt idx="12">
                  <c:v>14.53</c:v>
                </c:pt>
                <c:pt idx="13">
                  <c:v>14.17</c:v>
                </c:pt>
                <c:pt idx="14">
                  <c:v>14</c:v>
                </c:pt>
                <c:pt idx="15">
                  <c:v>14.76</c:v>
                </c:pt>
                <c:pt idx="16">
                  <c:v>14.11</c:v>
                </c:pt>
                <c:pt idx="17">
                  <c:v>13.36</c:v>
                </c:pt>
                <c:pt idx="18">
                  <c:v>14.13</c:v>
                </c:pt>
                <c:pt idx="19">
                  <c:v>13.76</c:v>
                </c:pt>
                <c:pt idx="20">
                  <c:v>13.76</c:v>
                </c:pt>
                <c:pt idx="21">
                  <c:v>14.17</c:v>
                </c:pt>
                <c:pt idx="22">
                  <c:v>14.39</c:v>
                </c:pt>
                <c:pt idx="23">
                  <c:v>15.8</c:v>
                </c:pt>
                <c:pt idx="24">
                  <c:v>15.58</c:v>
                </c:pt>
                <c:pt idx="25">
                  <c:v>15.38</c:v>
                </c:pt>
                <c:pt idx="26">
                  <c:v>15.1</c:v>
                </c:pt>
                <c:pt idx="27">
                  <c:v>14.53</c:v>
                </c:pt>
                <c:pt idx="28">
                  <c:v>14.69</c:v>
                </c:pt>
                <c:pt idx="29">
                  <c:v>14.37</c:v>
                </c:pt>
                <c:pt idx="30">
                  <c:v>14.83</c:v>
                </c:pt>
                <c:pt idx="31">
                  <c:v>16.48</c:v>
                </c:pt>
                <c:pt idx="32">
                  <c:v>16.16</c:v>
                </c:pt>
                <c:pt idx="33">
                  <c:v>16.149999999999999</c:v>
                </c:pt>
                <c:pt idx="34">
                  <c:v>15.94</c:v>
                </c:pt>
                <c:pt idx="35">
                  <c:v>16.510000000000002</c:v>
                </c:pt>
                <c:pt idx="36">
                  <c:v>16.03</c:v>
                </c:pt>
                <c:pt idx="37">
                  <c:v>15.98</c:v>
                </c:pt>
                <c:pt idx="38">
                  <c:v>15.44</c:v>
                </c:pt>
                <c:pt idx="39">
                  <c:v>16.11</c:v>
                </c:pt>
                <c:pt idx="40">
                  <c:v>17.3</c:v>
                </c:pt>
                <c:pt idx="41">
                  <c:v>17.52</c:v>
                </c:pt>
                <c:pt idx="42">
                  <c:v>18.649999999999999</c:v>
                </c:pt>
                <c:pt idx="43">
                  <c:v>17.100000000000001</c:v>
                </c:pt>
                <c:pt idx="44">
                  <c:v>14.99</c:v>
                </c:pt>
                <c:pt idx="45">
                  <c:v>14.38</c:v>
                </c:pt>
                <c:pt idx="46">
                  <c:v>16.55</c:v>
                </c:pt>
                <c:pt idx="47">
                  <c:v>15.72</c:v>
                </c:pt>
                <c:pt idx="48">
                  <c:v>15.62</c:v>
                </c:pt>
                <c:pt idx="49">
                  <c:v>17.07</c:v>
                </c:pt>
                <c:pt idx="50">
                  <c:v>19.170000000000002</c:v>
                </c:pt>
                <c:pt idx="51">
                  <c:v>19.190000000000001</c:v>
                </c:pt>
                <c:pt idx="52">
                  <c:v>19.510000000000002</c:v>
                </c:pt>
                <c:pt idx="53">
                  <c:v>19.22</c:v>
                </c:pt>
                <c:pt idx="54">
                  <c:v>18.329999999999998</c:v>
                </c:pt>
                <c:pt idx="55">
                  <c:v>21.27</c:v>
                </c:pt>
                <c:pt idx="56">
                  <c:v>21.24</c:v>
                </c:pt>
                <c:pt idx="57">
                  <c:v>22.67</c:v>
                </c:pt>
                <c:pt idx="58">
                  <c:v>21.37</c:v>
                </c:pt>
                <c:pt idx="59">
                  <c:v>21.35</c:v>
                </c:pt>
                <c:pt idx="60">
                  <c:v>20.440000000000001</c:v>
                </c:pt>
                <c:pt idx="61">
                  <c:v>19.32</c:v>
                </c:pt>
                <c:pt idx="62">
                  <c:v>19.71</c:v>
                </c:pt>
                <c:pt idx="63">
                  <c:v>20.5</c:v>
                </c:pt>
                <c:pt idx="64">
                  <c:v>20.37</c:v>
                </c:pt>
                <c:pt idx="65">
                  <c:v>20.92</c:v>
                </c:pt>
                <c:pt idx="66">
                  <c:v>20.91</c:v>
                </c:pt>
                <c:pt idx="67">
                  <c:v>21.46</c:v>
                </c:pt>
                <c:pt idx="68">
                  <c:v>22.1</c:v>
                </c:pt>
                <c:pt idx="69">
                  <c:v>22.17</c:v>
                </c:pt>
                <c:pt idx="70">
                  <c:v>21.7</c:v>
                </c:pt>
                <c:pt idx="71">
                  <c:v>21.52</c:v>
                </c:pt>
                <c:pt idx="72">
                  <c:v>21.55</c:v>
                </c:pt>
                <c:pt idx="73">
                  <c:v>23.2</c:v>
                </c:pt>
                <c:pt idx="74">
                  <c:v>23.37</c:v>
                </c:pt>
                <c:pt idx="75">
                  <c:v>23.74</c:v>
                </c:pt>
                <c:pt idx="76">
                  <c:v>23.36</c:v>
                </c:pt>
                <c:pt idx="77">
                  <c:v>24.26</c:v>
                </c:pt>
                <c:pt idx="78">
                  <c:v>23.89</c:v>
                </c:pt>
                <c:pt idx="79">
                  <c:v>25.85</c:v>
                </c:pt>
                <c:pt idx="80">
                  <c:v>25.51</c:v>
                </c:pt>
                <c:pt idx="81">
                  <c:v>25.4</c:v>
                </c:pt>
                <c:pt idx="82">
                  <c:v>25.21</c:v>
                </c:pt>
                <c:pt idx="83">
                  <c:v>25.37</c:v>
                </c:pt>
                <c:pt idx="84">
                  <c:v>25.95</c:v>
                </c:pt>
                <c:pt idx="85">
                  <c:v>26.25</c:v>
                </c:pt>
                <c:pt idx="86">
                  <c:v>26.56</c:v>
                </c:pt>
                <c:pt idx="87">
                  <c:v>26.45</c:v>
                </c:pt>
                <c:pt idx="88">
                  <c:v>26.44</c:v>
                </c:pt>
                <c:pt idx="89">
                  <c:v>26.73</c:v>
                </c:pt>
                <c:pt idx="90">
                  <c:v>27.51</c:v>
                </c:pt>
                <c:pt idx="91">
                  <c:v>27.66</c:v>
                </c:pt>
                <c:pt idx="92">
                  <c:v>28.44</c:v>
                </c:pt>
                <c:pt idx="93">
                  <c:v>28.66</c:v>
                </c:pt>
                <c:pt idx="94">
                  <c:v>28.56</c:v>
                </c:pt>
                <c:pt idx="95">
                  <c:v>28.06</c:v>
                </c:pt>
                <c:pt idx="96">
                  <c:v>28.33</c:v>
                </c:pt>
                <c:pt idx="97">
                  <c:v>27.95</c:v>
                </c:pt>
                <c:pt idx="98">
                  <c:v>27.91</c:v>
                </c:pt>
                <c:pt idx="99">
                  <c:v>29.29</c:v>
                </c:pt>
                <c:pt idx="100">
                  <c:v>28.55</c:v>
                </c:pt>
                <c:pt idx="101">
                  <c:v>28.2</c:v>
                </c:pt>
                <c:pt idx="102">
                  <c:v>28.85</c:v>
                </c:pt>
                <c:pt idx="103">
                  <c:v>29.23</c:v>
                </c:pt>
                <c:pt idx="104">
                  <c:v>30.2</c:v>
                </c:pt>
                <c:pt idx="105">
                  <c:v>32.299999999999997</c:v>
                </c:pt>
                <c:pt idx="106">
                  <c:v>31.95</c:v>
                </c:pt>
                <c:pt idx="107">
                  <c:v>29.6</c:v>
                </c:pt>
                <c:pt idx="108">
                  <c:v>26.96</c:v>
                </c:pt>
                <c:pt idx="109">
                  <c:v>26.34</c:v>
                </c:pt>
                <c:pt idx="110">
                  <c:v>28.95</c:v>
                </c:pt>
                <c:pt idx="111">
                  <c:v>27.26</c:v>
                </c:pt>
                <c:pt idx="112">
                  <c:v>27.49</c:v>
                </c:pt>
                <c:pt idx="113">
                  <c:v>27.17</c:v>
                </c:pt>
                <c:pt idx="114">
                  <c:v>27.59</c:v>
                </c:pt>
                <c:pt idx="115">
                  <c:v>26.09</c:v>
                </c:pt>
                <c:pt idx="116">
                  <c:v>27.05</c:v>
                </c:pt>
                <c:pt idx="117">
                  <c:v>26.3</c:v>
                </c:pt>
                <c:pt idx="118">
                  <c:v>26.12</c:v>
                </c:pt>
                <c:pt idx="119">
                  <c:v>24.24</c:v>
                </c:pt>
                <c:pt idx="120">
                  <c:v>23.19</c:v>
                </c:pt>
                <c:pt idx="121">
                  <c:v>22.95</c:v>
                </c:pt>
                <c:pt idx="122">
                  <c:v>22.74</c:v>
                </c:pt>
                <c:pt idx="123">
                  <c:v>23.65</c:v>
                </c:pt>
                <c:pt idx="124">
                  <c:v>24.23</c:v>
                </c:pt>
                <c:pt idx="125">
                  <c:v>25.56</c:v>
                </c:pt>
                <c:pt idx="126">
                  <c:v>25.15</c:v>
                </c:pt>
                <c:pt idx="127">
                  <c:v>24.7</c:v>
                </c:pt>
                <c:pt idx="128">
                  <c:v>22.37</c:v>
                </c:pt>
                <c:pt idx="129">
                  <c:v>24.53</c:v>
                </c:pt>
                <c:pt idx="130">
                  <c:v>27.4</c:v>
                </c:pt>
                <c:pt idx="131">
                  <c:v>29.01</c:v>
                </c:pt>
                <c:pt idx="132">
                  <c:v>28.82</c:v>
                </c:pt>
                <c:pt idx="133">
                  <c:v>30.94</c:v>
                </c:pt>
                <c:pt idx="134">
                  <c:v>30.46</c:v>
                </c:pt>
                <c:pt idx="135">
                  <c:v>29.84</c:v>
                </c:pt>
                <c:pt idx="136">
                  <c:v>29.98</c:v>
                </c:pt>
                <c:pt idx="137">
                  <c:v>32.06</c:v>
                </c:pt>
                <c:pt idx="138">
                  <c:v>30.54</c:v>
                </c:pt>
                <c:pt idx="139">
                  <c:v>29.14</c:v>
                </c:pt>
                <c:pt idx="140">
                  <c:v>31.26</c:v>
                </c:pt>
                <c:pt idx="141">
                  <c:v>27.5</c:v>
                </c:pt>
                <c:pt idx="142">
                  <c:v>27.27</c:v>
                </c:pt>
                <c:pt idx="143">
                  <c:v>29.23</c:v>
                </c:pt>
                <c:pt idx="144">
                  <c:v>29.49</c:v>
                </c:pt>
                <c:pt idx="145">
                  <c:v>30.53</c:v>
                </c:pt>
                <c:pt idx="146">
                  <c:v>30.76</c:v>
                </c:pt>
                <c:pt idx="147">
                  <c:v>29.72</c:v>
                </c:pt>
                <c:pt idx="148">
                  <c:v>29.07</c:v>
                </c:pt>
                <c:pt idx="149">
                  <c:v>28.13</c:v>
                </c:pt>
                <c:pt idx="150">
                  <c:v>26.54</c:v>
                </c:pt>
                <c:pt idx="151">
                  <c:v>24.8</c:v>
                </c:pt>
                <c:pt idx="152">
                  <c:v>25.31</c:v>
                </c:pt>
                <c:pt idx="153">
                  <c:v>24.65</c:v>
                </c:pt>
                <c:pt idx="154">
                  <c:v>22.99</c:v>
                </c:pt>
                <c:pt idx="155">
                  <c:v>24.268000000000001</c:v>
                </c:pt>
                <c:pt idx="156">
                  <c:v>23.651</c:v>
                </c:pt>
                <c:pt idx="157">
                  <c:v>26.007000000000001</c:v>
                </c:pt>
                <c:pt idx="158">
                  <c:v>26.527000000000001</c:v>
                </c:pt>
                <c:pt idx="159">
                  <c:v>24.908999999999999</c:v>
                </c:pt>
                <c:pt idx="160">
                  <c:v>24.498000000000001</c:v>
                </c:pt>
                <c:pt idx="161">
                  <c:v>23.869</c:v>
                </c:pt>
                <c:pt idx="162">
                  <c:v>23.343</c:v>
                </c:pt>
                <c:pt idx="163">
                  <c:v>22.204000000000001</c:v>
                </c:pt>
                <c:pt idx="164">
                  <c:v>23.452000000000002</c:v>
                </c:pt>
                <c:pt idx="165">
                  <c:v>24.905000000000001</c:v>
                </c:pt>
                <c:pt idx="166">
                  <c:v>26.469000000000001</c:v>
                </c:pt>
                <c:pt idx="167">
                  <c:v>20.690999999999999</c:v>
                </c:pt>
                <c:pt idx="168">
                  <c:v>19.844000000000001</c:v>
                </c:pt>
                <c:pt idx="169">
                  <c:v>18.579000000000001</c:v>
                </c:pt>
                <c:pt idx="170">
                  <c:v>17.585000000000001</c:v>
                </c:pt>
                <c:pt idx="171">
                  <c:v>17.265999999999998</c:v>
                </c:pt>
                <c:pt idx="172">
                  <c:v>16.248000000000001</c:v>
                </c:pt>
                <c:pt idx="173">
                  <c:v>17.347999999999999</c:v>
                </c:pt>
                <c:pt idx="174">
                  <c:v>16.654</c:v>
                </c:pt>
                <c:pt idx="175">
                  <c:v>16.364999999999998</c:v>
                </c:pt>
                <c:pt idx="176">
                  <c:v>16.277000000000001</c:v>
                </c:pt>
                <c:pt idx="177">
                  <c:v>16.068999999999999</c:v>
                </c:pt>
                <c:pt idx="178">
                  <c:v>16.114999999999998</c:v>
                </c:pt>
                <c:pt idx="179">
                  <c:v>15.775</c:v>
                </c:pt>
                <c:pt idx="180">
                  <c:v>16.587</c:v>
                </c:pt>
                <c:pt idx="181">
                  <c:v>16.260999999999999</c:v>
                </c:pt>
                <c:pt idx="182">
                  <c:v>15.738</c:v>
                </c:pt>
                <c:pt idx="183">
                  <c:v>15.63</c:v>
                </c:pt>
                <c:pt idx="184">
                  <c:v>15.061</c:v>
                </c:pt>
                <c:pt idx="185">
                  <c:v>14.97</c:v>
                </c:pt>
                <c:pt idx="186">
                  <c:v>15.406000000000001</c:v>
                </c:pt>
                <c:pt idx="187">
                  <c:v>14.973000000000001</c:v>
                </c:pt>
                <c:pt idx="188">
                  <c:v>14.348000000000001</c:v>
                </c:pt>
                <c:pt idx="189">
                  <c:v>14.103999999999999</c:v>
                </c:pt>
                <c:pt idx="190">
                  <c:v>12.752000000000001</c:v>
                </c:pt>
                <c:pt idx="191">
                  <c:v>11.871</c:v>
                </c:pt>
                <c:pt idx="192">
                  <c:v>12.832000000000001</c:v>
                </c:pt>
                <c:pt idx="193">
                  <c:v>13.166</c:v>
                </c:pt>
                <c:pt idx="194">
                  <c:v>13.167999999999999</c:v>
                </c:pt>
                <c:pt idx="195">
                  <c:v>13.446999999999999</c:v>
                </c:pt>
                <c:pt idx="196">
                  <c:v>13.086</c:v>
                </c:pt>
                <c:pt idx="197">
                  <c:v>13.593999999999999</c:v>
                </c:pt>
                <c:pt idx="198">
                  <c:v>13.532999999999999</c:v>
                </c:pt>
                <c:pt idx="199">
                  <c:v>13.932</c:v>
                </c:pt>
                <c:pt idx="200">
                  <c:v>14.31</c:v>
                </c:pt>
                <c:pt idx="201">
                  <c:v>14.189</c:v>
                </c:pt>
                <c:pt idx="202">
                  <c:v>15</c:v>
                </c:pt>
                <c:pt idx="203">
                  <c:v>14.805999999999999</c:v>
                </c:pt>
                <c:pt idx="204">
                  <c:v>16.542000000000002</c:v>
                </c:pt>
                <c:pt idx="205">
                  <c:v>16.190999999999999</c:v>
                </c:pt>
                <c:pt idx="206">
                  <c:v>15.974</c:v>
                </c:pt>
                <c:pt idx="207">
                  <c:v>16.890999999999998</c:v>
                </c:pt>
                <c:pt idx="208">
                  <c:v>16.187999999999999</c:v>
                </c:pt>
                <c:pt idx="209">
                  <c:v>16.085999999999999</c:v>
                </c:pt>
                <c:pt idx="210">
                  <c:v>15.821</c:v>
                </c:pt>
                <c:pt idx="211">
                  <c:v>16.329000000000001</c:v>
                </c:pt>
                <c:pt idx="212">
                  <c:v>15.413</c:v>
                </c:pt>
                <c:pt idx="213">
                  <c:v>14.141999999999999</c:v>
                </c:pt>
                <c:pt idx="214">
                  <c:v>13.867000000000001</c:v>
                </c:pt>
                <c:pt idx="215">
                  <c:v>13.579000000000001</c:v>
                </c:pt>
                <c:pt idx="216">
                  <c:v>12.973000000000001</c:v>
                </c:pt>
                <c:pt idx="217">
                  <c:v>13.535</c:v>
                </c:pt>
                <c:pt idx="218">
                  <c:v>13.109</c:v>
                </c:pt>
                <c:pt idx="219">
                  <c:v>12.544</c:v>
                </c:pt>
                <c:pt idx="220">
                  <c:v>13.972</c:v>
                </c:pt>
                <c:pt idx="221">
                  <c:v>17.904</c:v>
                </c:pt>
                <c:pt idx="222">
                  <c:v>15.839</c:v>
                </c:pt>
                <c:pt idx="223">
                  <c:v>16.448</c:v>
                </c:pt>
                <c:pt idx="224">
                  <c:v>18.350000000000001</c:v>
                </c:pt>
                <c:pt idx="225">
                  <c:v>16.936</c:v>
                </c:pt>
                <c:pt idx="226">
                  <c:v>16.579000000000001</c:v>
                </c:pt>
                <c:pt idx="227">
                  <c:v>15.666</c:v>
                </c:pt>
                <c:pt idx="228">
                  <c:v>15.177</c:v>
                </c:pt>
                <c:pt idx="229">
                  <c:v>14.629</c:v>
                </c:pt>
                <c:pt idx="230">
                  <c:v>14.074999999999999</c:v>
                </c:pt>
                <c:pt idx="231">
                  <c:v>14.028</c:v>
                </c:pt>
                <c:pt idx="232">
                  <c:v>14.592000000000001</c:v>
                </c:pt>
                <c:pt idx="233">
                  <c:v>14.417999999999999</c:v>
                </c:pt>
                <c:pt idx="234">
                  <c:v>14.208</c:v>
                </c:pt>
                <c:pt idx="235">
                  <c:v>16.297000000000001</c:v>
                </c:pt>
                <c:pt idx="236">
                  <c:v>14.13</c:v>
                </c:pt>
                <c:pt idx="237">
                  <c:v>13.875</c:v>
                </c:pt>
                <c:pt idx="238">
                  <c:v>15.324999999999999</c:v>
                </c:pt>
                <c:pt idx="239">
                  <c:v>14.747</c:v>
                </c:pt>
                <c:pt idx="240">
                  <c:v>13.221</c:v>
                </c:pt>
                <c:pt idx="241">
                  <c:v>13.842000000000001</c:v>
                </c:pt>
                <c:pt idx="242">
                  <c:v>13.324999999999999</c:v>
                </c:pt>
                <c:pt idx="243">
                  <c:v>13.105</c:v>
                </c:pt>
                <c:pt idx="244">
                  <c:v>14.031000000000001</c:v>
                </c:pt>
                <c:pt idx="245">
                  <c:v>16.512</c:v>
                </c:pt>
                <c:pt idx="246">
                  <c:v>17.45</c:v>
                </c:pt>
                <c:pt idx="247">
                  <c:v>16.14</c:v>
                </c:pt>
                <c:pt idx="248">
                  <c:v>17.460999999999999</c:v>
                </c:pt>
                <c:pt idx="249">
                  <c:v>14.737</c:v>
                </c:pt>
                <c:pt idx="250">
                  <c:v>17.991</c:v>
                </c:pt>
                <c:pt idx="251">
                  <c:v>20.725999999999999</c:v>
                </c:pt>
                <c:pt idx="252">
                  <c:v>24.327000000000002</c:v>
                </c:pt>
                <c:pt idx="253">
                  <c:v>18.148</c:v>
                </c:pt>
                <c:pt idx="254">
                  <c:v>27.64</c:v>
                </c:pt>
                <c:pt idx="255">
                  <c:v>27.001000000000001</c:v>
                </c:pt>
                <c:pt idx="256">
                  <c:v>30.456</c:v>
                </c:pt>
                <c:pt idx="257">
                  <c:v>31.189</c:v>
                </c:pt>
                <c:pt idx="258">
                  <c:v>33.414000000000001</c:v>
                </c:pt>
                <c:pt idx="259">
                  <c:v>31.873999999999999</c:v>
                </c:pt>
                <c:pt idx="260">
                  <c:v>31.664000000000001</c:v>
                </c:pt>
                <c:pt idx="261">
                  <c:v>33.171999999999997</c:v>
                </c:pt>
                <c:pt idx="262">
                  <c:v>30.850999999999999</c:v>
                </c:pt>
                <c:pt idx="263">
                  <c:v>31.619</c:v>
                </c:pt>
                <c:pt idx="264">
                  <c:v>32.390999999999998</c:v>
                </c:pt>
                <c:pt idx="265">
                  <c:v>32.447000000000003</c:v>
                </c:pt>
                <c:pt idx="266">
                  <c:v>34.215000000000003</c:v>
                </c:pt>
                <c:pt idx="267">
                  <c:v>35.932000000000002</c:v>
                </c:pt>
                <c:pt idx="268">
                  <c:v>35.174999999999997</c:v>
                </c:pt>
                <c:pt idx="269">
                  <c:v>32.631999999999998</c:v>
                </c:pt>
                <c:pt idx="270">
                  <c:v>23.805</c:v>
                </c:pt>
                <c:pt idx="271">
                  <c:v>22.495000000000001</c:v>
                </c:pt>
                <c:pt idx="272">
                  <c:v>23.260999999999999</c:v>
                </c:pt>
                <c:pt idx="273">
                  <c:v>23.015000000000001</c:v>
                </c:pt>
                <c:pt idx="274">
                  <c:v>18.998999999999999</c:v>
                </c:pt>
                <c:pt idx="275">
                  <c:v>20.638999999999999</c:v>
                </c:pt>
                <c:pt idx="276">
                  <c:v>18.523</c:v>
                </c:pt>
                <c:pt idx="277">
                  <c:v>12.936</c:v>
                </c:pt>
                <c:pt idx="278">
                  <c:v>13.1594</c:v>
                </c:pt>
                <c:pt idx="279">
                  <c:v>14.6013</c:v>
                </c:pt>
                <c:pt idx="280">
                  <c:v>12.6958</c:v>
                </c:pt>
                <c:pt idx="281">
                  <c:v>14.445600000000001</c:v>
                </c:pt>
                <c:pt idx="282">
                  <c:v>13.523999999999999</c:v>
                </c:pt>
                <c:pt idx="283">
                  <c:v>12.3721</c:v>
                </c:pt>
                <c:pt idx="284">
                  <c:v>13.5951</c:v>
                </c:pt>
                <c:pt idx="285">
                  <c:v>15.5916</c:v>
                </c:pt>
                <c:pt idx="286">
                  <c:v>16.4725</c:v>
                </c:pt>
                <c:pt idx="287">
                  <c:v>15.9422</c:v>
                </c:pt>
                <c:pt idx="288">
                  <c:v>15.2118</c:v>
                </c:pt>
                <c:pt idx="289">
                  <c:v>15.806900000000001</c:v>
                </c:pt>
                <c:pt idx="290">
                  <c:v>15.171200000000001</c:v>
                </c:pt>
                <c:pt idx="291">
                  <c:v>15.608000000000001</c:v>
                </c:pt>
                <c:pt idx="292">
                  <c:v>16.328600000000002</c:v>
                </c:pt>
                <c:pt idx="293">
                  <c:v>16.776800000000001</c:v>
                </c:pt>
                <c:pt idx="294">
                  <c:v>13.716900000000001</c:v>
                </c:pt>
                <c:pt idx="295">
                  <c:v>12.093500000000001</c:v>
                </c:pt>
                <c:pt idx="296">
                  <c:v>13.3887</c:v>
                </c:pt>
                <c:pt idx="297">
                  <c:v>12.7873</c:v>
                </c:pt>
                <c:pt idx="298">
                  <c:v>12.182399999999999</c:v>
                </c:pt>
                <c:pt idx="299">
                  <c:v>11.5989</c:v>
                </c:pt>
                <c:pt idx="300">
                  <c:v>13.0557</c:v>
                </c:pt>
                <c:pt idx="301">
                  <c:v>11.801500000000001</c:v>
                </c:pt>
                <c:pt idx="302">
                  <c:v>11.964</c:v>
                </c:pt>
                <c:pt idx="303">
                  <c:v>12.315899999999999</c:v>
                </c:pt>
                <c:pt idx="304">
                  <c:v>12.44</c:v>
                </c:pt>
                <c:pt idx="305">
                  <c:v>11.8043</c:v>
                </c:pt>
                <c:pt idx="306">
                  <c:v>11.8802</c:v>
                </c:pt>
                <c:pt idx="307">
                  <c:v>12.2797</c:v>
                </c:pt>
                <c:pt idx="308">
                  <c:v>10.4376</c:v>
                </c:pt>
                <c:pt idx="309">
                  <c:v>10.836</c:v>
                </c:pt>
                <c:pt idx="310">
                  <c:v>11.1934</c:v>
                </c:pt>
                <c:pt idx="311">
                  <c:v>9.7853999999999992</c:v>
                </c:pt>
                <c:pt idx="312">
                  <c:v>9.9499999999999993</c:v>
                </c:pt>
                <c:pt idx="313">
                  <c:v>10.167400000000001</c:v>
                </c:pt>
                <c:pt idx="314">
                  <c:v>10.207599999999999</c:v>
                </c:pt>
                <c:pt idx="315">
                  <c:v>10.2454</c:v>
                </c:pt>
                <c:pt idx="316">
                  <c:v>10.1243</c:v>
                </c:pt>
                <c:pt idx="317">
                  <c:v>9.8411000000000008</c:v>
                </c:pt>
                <c:pt idx="318">
                  <c:v>9.5841999999999992</c:v>
                </c:pt>
                <c:pt idx="319">
                  <c:v>9.7387999999999995</c:v>
                </c:pt>
                <c:pt idx="320">
                  <c:v>10.153</c:v>
                </c:pt>
                <c:pt idx="321">
                  <c:v>9.8729999999999993</c:v>
                </c:pt>
                <c:pt idx="322">
                  <c:v>10.058400000000001</c:v>
                </c:pt>
                <c:pt idx="323">
                  <c:v>10.2479</c:v>
                </c:pt>
                <c:pt idx="324">
                  <c:v>10.7134</c:v>
                </c:pt>
                <c:pt idx="325">
                  <c:v>10.079800000000001</c:v>
                </c:pt>
                <c:pt idx="326">
                  <c:v>10.1471</c:v>
                </c:pt>
                <c:pt idx="327">
                  <c:v>9.9916</c:v>
                </c:pt>
                <c:pt idx="328">
                  <c:v>9.9124999999999996</c:v>
                </c:pt>
                <c:pt idx="329">
                  <c:v>9.4472000000000005</c:v>
                </c:pt>
                <c:pt idx="330">
                  <c:v>9.8181999999999992</c:v>
                </c:pt>
                <c:pt idx="331">
                  <c:v>9.4175000000000004</c:v>
                </c:pt>
                <c:pt idx="332">
                  <c:v>9.5234000000000005</c:v>
                </c:pt>
                <c:pt idx="333">
                  <c:v>8.9025999999999996</c:v>
                </c:pt>
                <c:pt idx="334">
                  <c:v>9.5954999999999995</c:v>
                </c:pt>
                <c:pt idx="335">
                  <c:v>9.5611999999999995</c:v>
                </c:pt>
                <c:pt idx="336">
                  <c:v>9.6074000000000002</c:v>
                </c:pt>
                <c:pt idx="337">
                  <c:v>9.8336000000000006</c:v>
                </c:pt>
                <c:pt idx="338">
                  <c:v>9.3749000000000002</c:v>
                </c:pt>
                <c:pt idx="339">
                  <c:v>10.615</c:v>
                </c:pt>
                <c:pt idx="340">
                  <c:v>12.356400000000001</c:v>
                </c:pt>
                <c:pt idx="341">
                  <c:v>12.260400000000001</c:v>
                </c:pt>
                <c:pt idx="342">
                  <c:v>12.546200000000001</c:v>
                </c:pt>
                <c:pt idx="343">
                  <c:v>12.3607</c:v>
                </c:pt>
                <c:pt idx="344">
                  <c:v>11.491300000000001</c:v>
                </c:pt>
                <c:pt idx="345">
                  <c:v>11.066599999999999</c:v>
                </c:pt>
                <c:pt idx="346">
                  <c:v>10.966900000000001</c:v>
                </c:pt>
                <c:pt idx="347">
                  <c:v>11.8003</c:v>
                </c:pt>
                <c:pt idx="348">
                  <c:v>11.2315</c:v>
                </c:pt>
                <c:pt idx="349">
                  <c:v>10.850899999999999</c:v>
                </c:pt>
                <c:pt idx="350">
                  <c:v>10.4596</c:v>
                </c:pt>
                <c:pt idx="351">
                  <c:v>9.6669</c:v>
                </c:pt>
                <c:pt idx="352">
                  <c:v>9.7879000000000005</c:v>
                </c:pt>
                <c:pt idx="353">
                  <c:v>8.3874999999999993</c:v>
                </c:pt>
                <c:pt idx="354">
                  <c:v>8.0508000000000006</c:v>
                </c:pt>
                <c:pt idx="355">
                  <c:v>8.1913999999999998</c:v>
                </c:pt>
                <c:pt idx="356">
                  <c:v>8.8459000000000003</c:v>
                </c:pt>
                <c:pt idx="357">
                  <c:v>7.2465000000000002</c:v>
                </c:pt>
                <c:pt idx="358">
                  <c:v>7.2972999999999999</c:v>
                </c:pt>
                <c:pt idx="359">
                  <c:v>6.9478999999999997</c:v>
                </c:pt>
                <c:pt idx="360">
                  <c:v>7.0186999999999999</c:v>
                </c:pt>
                <c:pt idx="361">
                  <c:v>6.5438000000000001</c:v>
                </c:pt>
                <c:pt idx="362">
                  <c:v>6.74</c:v>
                </c:pt>
                <c:pt idx="363">
                  <c:v>6.5143000000000004</c:v>
                </c:pt>
                <c:pt idx="364">
                  <c:v>6.2835999999999999</c:v>
                </c:pt>
                <c:pt idx="365">
                  <c:v>6.0370999999999997</c:v>
                </c:pt>
                <c:pt idx="366">
                  <c:v>6.8288000000000002</c:v>
                </c:pt>
                <c:pt idx="367">
                  <c:v>6.6722999999999999</c:v>
                </c:pt>
                <c:pt idx="368">
                  <c:v>6.9832999999999998</c:v>
                </c:pt>
                <c:pt idx="369">
                  <c:v>6.5922999999999998</c:v>
                </c:pt>
                <c:pt idx="370">
                  <c:v>6.4028</c:v>
                </c:pt>
                <c:pt idx="371">
                  <c:v>5.9885000000000002</c:v>
                </c:pt>
                <c:pt idx="372">
                  <c:v>7.2093999999999996</c:v>
                </c:pt>
                <c:pt idx="373">
                  <c:v>7.0773000000000001</c:v>
                </c:pt>
                <c:pt idx="374">
                  <c:v>7.8384</c:v>
                </c:pt>
                <c:pt idx="375">
                  <c:v>7.3768000000000002</c:v>
                </c:pt>
                <c:pt idx="376">
                  <c:v>6.6315999999999997</c:v>
                </c:pt>
                <c:pt idx="377">
                  <c:v>6.3539000000000003</c:v>
                </c:pt>
                <c:pt idx="378">
                  <c:v>6.4439000000000002</c:v>
                </c:pt>
                <c:pt idx="379">
                  <c:v>6.3811999999999998</c:v>
                </c:pt>
                <c:pt idx="380">
                  <c:v>6.0229999999999997</c:v>
                </c:pt>
                <c:pt idx="381">
                  <c:v>5.6184000000000003</c:v>
                </c:pt>
                <c:pt idx="382">
                  <c:v>6.5273000000000003</c:v>
                </c:pt>
                <c:pt idx="383">
                  <c:v>6.1818</c:v>
                </c:pt>
                <c:pt idx="384">
                  <c:v>5.6108000000000002</c:v>
                </c:pt>
                <c:pt idx="385">
                  <c:v>5.9377000000000004</c:v>
                </c:pt>
                <c:pt idx="386">
                  <c:v>5.84</c:v>
                </c:pt>
                <c:pt idx="387">
                  <c:v>5.5768000000000004</c:v>
                </c:pt>
                <c:pt idx="388">
                  <c:v>5.3943000000000003</c:v>
                </c:pt>
                <c:pt idx="389">
                  <c:v>5.5580999999999996</c:v>
                </c:pt>
                <c:pt idx="390">
                  <c:v>5.5872999999999999</c:v>
                </c:pt>
                <c:pt idx="391">
                  <c:v>5.9794999999999998</c:v>
                </c:pt>
                <c:pt idx="392">
                  <c:v>6.1939000000000002</c:v>
                </c:pt>
                <c:pt idx="393">
                  <c:v>6.6234999999999999</c:v>
                </c:pt>
                <c:pt idx="394">
                  <c:v>7.0125000000000002</c:v>
                </c:pt>
                <c:pt idx="395">
                  <c:v>6.6245000000000003</c:v>
                </c:pt>
                <c:pt idx="396">
                  <c:v>6.3994999999999997</c:v>
                </c:pt>
                <c:pt idx="397">
                  <c:v>6.3428000000000004</c:v>
                </c:pt>
                <c:pt idx="398">
                  <c:v>6.6622000000000003</c:v>
                </c:pt>
                <c:pt idx="399">
                  <c:v>6.4837999999999996</c:v>
                </c:pt>
                <c:pt idx="400">
                  <c:v>5.8731999999999998</c:v>
                </c:pt>
                <c:pt idx="401">
                  <c:v>7.0959000000000003</c:v>
                </c:pt>
                <c:pt idx="402">
                  <c:v>6.6577000000000002</c:v>
                </c:pt>
                <c:pt idx="403">
                  <c:v>7.1741000000000001</c:v>
                </c:pt>
                <c:pt idx="404">
                  <c:v>7.6656000000000004</c:v>
                </c:pt>
                <c:pt idx="405">
                  <c:v>7.8285999999999998</c:v>
                </c:pt>
                <c:pt idx="406">
                  <c:v>7.93</c:v>
                </c:pt>
                <c:pt idx="407">
                  <c:v>8.3437000000000001</c:v>
                </c:pt>
                <c:pt idx="408">
                  <c:v>8.1173999999999999</c:v>
                </c:pt>
                <c:pt idx="409">
                  <c:v>8.6191999999999993</c:v>
                </c:pt>
                <c:pt idx="410">
                  <c:v>8.6418999999999997</c:v>
                </c:pt>
                <c:pt idx="411">
                  <c:v>8.4687999999999999</c:v>
                </c:pt>
                <c:pt idx="412">
                  <c:v>8.1206999999999994</c:v>
                </c:pt>
                <c:pt idx="413">
                  <c:v>8.1159999999999997</c:v>
                </c:pt>
                <c:pt idx="414">
                  <c:v>8.5542999999999996</c:v>
                </c:pt>
                <c:pt idx="415">
                  <c:v>7.7944000000000004</c:v>
                </c:pt>
                <c:pt idx="416">
                  <c:v>8.9461999999999993</c:v>
                </c:pt>
                <c:pt idx="417">
                  <c:v>8.4330999999999996</c:v>
                </c:pt>
                <c:pt idx="418">
                  <c:v>8.1288999999999998</c:v>
                </c:pt>
                <c:pt idx="419">
                  <c:v>7.2270000000000003</c:v>
                </c:pt>
                <c:pt idx="420">
                  <c:v>7.3856999999999999</c:v>
                </c:pt>
                <c:pt idx="421">
                  <c:v>7.0492999999999997</c:v>
                </c:pt>
                <c:pt idx="422">
                  <c:v>6.8201000000000001</c:v>
                </c:pt>
                <c:pt idx="423">
                  <c:v>7.0841000000000003</c:v>
                </c:pt>
                <c:pt idx="424">
                  <c:v>7.0331000000000001</c:v>
                </c:pt>
                <c:pt idx="425">
                  <c:v>6.5972999999999997</c:v>
                </c:pt>
                <c:pt idx="426">
                  <c:v>6.4518000000000004</c:v>
                </c:pt>
                <c:pt idx="427">
                  <c:v>6.0606</c:v>
                </c:pt>
                <c:pt idx="428">
                  <c:v>6.7032999999999996</c:v>
                </c:pt>
                <c:pt idx="429">
                  <c:v>7.5488</c:v>
                </c:pt>
                <c:pt idx="430">
                  <c:v>7.9207000000000001</c:v>
                </c:pt>
                <c:pt idx="431">
                  <c:v>7.0696000000000003</c:v>
                </c:pt>
                <c:pt idx="432">
                  <c:v>6.2111000000000001</c:v>
                </c:pt>
                <c:pt idx="433">
                  <c:v>6.7652999999999999</c:v>
                </c:pt>
                <c:pt idx="434">
                  <c:v>5.8456000000000001</c:v>
                </c:pt>
                <c:pt idx="435">
                  <c:v>5.1727999999999996</c:v>
                </c:pt>
                <c:pt idx="436">
                  <c:v>4.9242999999999997</c:v>
                </c:pt>
                <c:pt idx="437">
                  <c:v>4.9028999999999998</c:v>
                </c:pt>
                <c:pt idx="438">
                  <c:v>4.3653000000000004</c:v>
                </c:pt>
                <c:pt idx="439">
                  <c:v>4.2901999999999996</c:v>
                </c:pt>
                <c:pt idx="440">
                  <c:v>4.0975000000000001</c:v>
                </c:pt>
                <c:pt idx="441">
                  <c:v>3.891</c:v>
                </c:pt>
                <c:pt idx="442">
                  <c:v>3.7467000000000001</c:v>
                </c:pt>
                <c:pt idx="443">
                  <c:v>3.8268</c:v>
                </c:pt>
                <c:pt idx="444">
                  <c:v>3.7976000000000001</c:v>
                </c:pt>
                <c:pt idx="445">
                  <c:v>3.5186000000000002</c:v>
                </c:pt>
                <c:pt idx="446">
                  <c:v>3.4434</c:v>
                </c:pt>
                <c:pt idx="447">
                  <c:v>3.5691000000000002</c:v>
                </c:pt>
                <c:pt idx="448">
                  <c:v>3.4277000000000002</c:v>
                </c:pt>
                <c:pt idx="449">
                  <c:v>3.1985999999999999</c:v>
                </c:pt>
                <c:pt idx="450">
                  <c:v>3.1476999999999999</c:v>
                </c:pt>
                <c:pt idx="451">
                  <c:v>3.1145</c:v>
                </c:pt>
                <c:pt idx="452">
                  <c:v>3.2231000000000001</c:v>
                </c:pt>
                <c:pt idx="453">
                  <c:v>3.2328999999999999</c:v>
                </c:pt>
                <c:pt idx="454">
                  <c:v>3.2101000000000002</c:v>
                </c:pt>
                <c:pt idx="455">
                  <c:v>3.0232000000000001</c:v>
                </c:pt>
                <c:pt idx="456">
                  <c:v>3.0503999999999998</c:v>
                </c:pt>
                <c:pt idx="457">
                  <c:v>3.1568999999999998</c:v>
                </c:pt>
                <c:pt idx="458">
                  <c:v>3.1694</c:v>
                </c:pt>
                <c:pt idx="459">
                  <c:v>3.2784</c:v>
                </c:pt>
                <c:pt idx="460">
                  <c:v>3.4382000000000001</c:v>
                </c:pt>
                <c:pt idx="461">
                  <c:v>3.3708999999999998</c:v>
                </c:pt>
                <c:pt idx="462">
                  <c:v>3.2437999999999998</c:v>
                </c:pt>
                <c:pt idx="463">
                  <c:v>3.1111</c:v>
                </c:pt>
                <c:pt idx="464">
                  <c:v>2.8677999999999999</c:v>
                </c:pt>
                <c:pt idx="465">
                  <c:v>2.9373</c:v>
                </c:pt>
                <c:pt idx="466">
                  <c:v>3.0567000000000002</c:v>
                </c:pt>
                <c:pt idx="467">
                  <c:v>3.1854</c:v>
                </c:pt>
                <c:pt idx="468">
                  <c:v>2.9557000000000002</c:v>
                </c:pt>
                <c:pt idx="469">
                  <c:v>2.6970000000000001</c:v>
                </c:pt>
                <c:pt idx="470">
                  <c:v>2.5097</c:v>
                </c:pt>
                <c:pt idx="471">
                  <c:v>2.5167000000000002</c:v>
                </c:pt>
                <c:pt idx="472">
                  <c:v>2.4622000000000002</c:v>
                </c:pt>
                <c:pt idx="473">
                  <c:v>2.4477000000000002</c:v>
                </c:pt>
                <c:pt idx="474">
                  <c:v>2.4243999999999999</c:v>
                </c:pt>
                <c:pt idx="475">
                  <c:v>2.3927</c:v>
                </c:pt>
                <c:pt idx="476">
                  <c:v>2.3109000000000002</c:v>
                </c:pt>
                <c:pt idx="477">
                  <c:v>2.2845</c:v>
                </c:pt>
                <c:pt idx="478">
                  <c:v>2.1724000000000001</c:v>
                </c:pt>
                <c:pt idx="479">
                  <c:v>2.3597000000000001</c:v>
                </c:pt>
                <c:pt idx="480">
                  <c:v>2.3698999999999999</c:v>
                </c:pt>
                <c:pt idx="481">
                  <c:v>2.42</c:v>
                </c:pt>
                <c:pt idx="482">
                  <c:v>2.452</c:v>
                </c:pt>
                <c:pt idx="483">
                  <c:v>2.6240000000000001</c:v>
                </c:pt>
                <c:pt idx="484">
                  <c:v>2.5733999999999999</c:v>
                </c:pt>
                <c:pt idx="485">
                  <c:v>2.4514999999999998</c:v>
                </c:pt>
                <c:pt idx="486">
                  <c:v>2.4173</c:v>
                </c:pt>
                <c:pt idx="487">
                  <c:v>2.4834999999999998</c:v>
                </c:pt>
                <c:pt idx="488">
                  <c:v>2.5148000000000001</c:v>
                </c:pt>
                <c:pt idx="489">
                  <c:v>2.3894000000000002</c:v>
                </c:pt>
                <c:pt idx="490">
                  <c:v>2.3685999999999998</c:v>
                </c:pt>
                <c:pt idx="491">
                  <c:v>2.1718000000000002</c:v>
                </c:pt>
                <c:pt idx="492">
                  <c:v>2.2183000000000002</c:v>
                </c:pt>
                <c:pt idx="493">
                  <c:v>2.1530999999999998</c:v>
                </c:pt>
                <c:pt idx="494">
                  <c:v>2.4388999999999998</c:v>
                </c:pt>
                <c:pt idx="495">
                  <c:v>2.5426000000000002</c:v>
                </c:pt>
                <c:pt idx="496">
                  <c:v>2.4474</c:v>
                </c:pt>
                <c:pt idx="497">
                  <c:v>2.5522999999999998</c:v>
                </c:pt>
                <c:pt idx="498">
                  <c:v>2.5589</c:v>
                </c:pt>
                <c:pt idx="499">
                  <c:v>2.4874999999999998</c:v>
                </c:pt>
                <c:pt idx="500">
                  <c:v>2.8853</c:v>
                </c:pt>
                <c:pt idx="501">
                  <c:v>3.0775999999999999</c:v>
                </c:pt>
                <c:pt idx="502">
                  <c:v>2.6118999999999999</c:v>
                </c:pt>
                <c:pt idx="503">
                  <c:v>2.5</c:v>
                </c:pt>
                <c:pt idx="504">
                  <c:v>2.4337</c:v>
                </c:pt>
                <c:pt idx="505">
                  <c:v>2.3971</c:v>
                </c:pt>
                <c:pt idx="506">
                  <c:v>2.3199999999999998</c:v>
                </c:pt>
                <c:pt idx="507">
                  <c:v>2.3997999999999999</c:v>
                </c:pt>
                <c:pt idx="508">
                  <c:v>2.4710000000000001</c:v>
                </c:pt>
                <c:pt idx="509">
                  <c:v>2.3132999999999999</c:v>
                </c:pt>
                <c:pt idx="510">
                  <c:v>2.6204000000000001</c:v>
                </c:pt>
                <c:pt idx="511">
                  <c:v>2.4758</c:v>
                </c:pt>
                <c:pt idx="512">
                  <c:v>3.2747999999999999</c:v>
                </c:pt>
                <c:pt idx="513">
                  <c:v>3.5345</c:v>
                </c:pt>
                <c:pt idx="514">
                  <c:v>3.5954000000000002</c:v>
                </c:pt>
                <c:pt idx="515">
                  <c:v>3.3786</c:v>
                </c:pt>
                <c:pt idx="516">
                  <c:v>3.37</c:v>
                </c:pt>
                <c:pt idx="517">
                  <c:v>3.3696999999999999</c:v>
                </c:pt>
                <c:pt idx="518">
                  <c:v>3.0972</c:v>
                </c:pt>
                <c:pt idx="519">
                  <c:v>3.2574999999999998</c:v>
                </c:pt>
                <c:pt idx="520">
                  <c:v>3.2269999999999999</c:v>
                </c:pt>
                <c:pt idx="521">
                  <c:v>3.6478000000000002</c:v>
                </c:pt>
                <c:pt idx="522">
                  <c:v>3.4990000000000001</c:v>
                </c:pt>
                <c:pt idx="523">
                  <c:v>3.3831000000000002</c:v>
                </c:pt>
                <c:pt idx="524">
                  <c:v>3.2014</c:v>
                </c:pt>
                <c:pt idx="525">
                  <c:v>3.8557000000000001</c:v>
                </c:pt>
                <c:pt idx="526">
                  <c:v>3.8151000000000002</c:v>
                </c:pt>
                <c:pt idx="527">
                  <c:v>4.1839000000000004</c:v>
                </c:pt>
                <c:pt idx="528">
                  <c:v>4.4095000000000004</c:v>
                </c:pt>
                <c:pt idx="529">
                  <c:v>4.0340999999999996</c:v>
                </c:pt>
                <c:pt idx="530">
                  <c:v>3.3895</c:v>
                </c:pt>
                <c:pt idx="531">
                  <c:v>3.4914000000000001</c:v>
                </c:pt>
                <c:pt idx="532">
                  <c:v>3.3267000000000002</c:v>
                </c:pt>
                <c:pt idx="533">
                  <c:v>2.1705999999999999</c:v>
                </c:pt>
                <c:pt idx="534">
                  <c:v>1.8648</c:v>
                </c:pt>
                <c:pt idx="535">
                  <c:v>1.9746999999999999</c:v>
                </c:pt>
                <c:pt idx="536">
                  <c:v>1.9479</c:v>
                </c:pt>
                <c:pt idx="537">
                  <c:v>1.8258000000000001</c:v>
                </c:pt>
                <c:pt idx="538">
                  <c:v>1.786</c:v>
                </c:pt>
                <c:pt idx="539">
                  <c:v>1.7110000000000001</c:v>
                </c:pt>
                <c:pt idx="540">
                  <c:v>1.6475</c:v>
                </c:pt>
                <c:pt idx="541">
                  <c:v>1.6457999999999999</c:v>
                </c:pt>
                <c:pt idx="542">
                  <c:v>1.6956</c:v>
                </c:pt>
                <c:pt idx="543">
                  <c:v>1.599</c:v>
                </c:pt>
                <c:pt idx="544">
                  <c:v>1.5707</c:v>
                </c:pt>
                <c:pt idx="545">
                  <c:v>1.5206</c:v>
                </c:pt>
                <c:pt idx="546">
                  <c:v>1.5293000000000001</c:v>
                </c:pt>
                <c:pt idx="547">
                  <c:v>1.5003</c:v>
                </c:pt>
                <c:pt idx="548">
                  <c:v>1.4994000000000001</c:v>
                </c:pt>
                <c:pt idx="549">
                  <c:v>1.4734</c:v>
                </c:pt>
                <c:pt idx="550">
                  <c:v>1.5249999999999999</c:v>
                </c:pt>
                <c:pt idx="551">
                  <c:v>1.5269999999999999</c:v>
                </c:pt>
                <c:pt idx="552">
                  <c:v>1.5617000000000001</c:v>
                </c:pt>
                <c:pt idx="553">
                  <c:v>1.5880000000000001</c:v>
                </c:pt>
                <c:pt idx="554">
                  <c:v>1.6715</c:v>
                </c:pt>
                <c:pt idx="555">
                  <c:v>1.6580999999999999</c:v>
                </c:pt>
                <c:pt idx="556">
                  <c:v>1.5995999999999999</c:v>
                </c:pt>
                <c:pt idx="557">
                  <c:v>1.4572000000000001</c:v>
                </c:pt>
                <c:pt idx="558">
                  <c:v>1.4689000000000001</c:v>
                </c:pt>
                <c:pt idx="559">
                  <c:v>1.4601</c:v>
                </c:pt>
                <c:pt idx="560">
                  <c:v>1.3487</c:v>
                </c:pt>
                <c:pt idx="561">
                  <c:v>1.3214999999999999</c:v>
                </c:pt>
                <c:pt idx="562">
                  <c:v>1.3189</c:v>
                </c:pt>
                <c:pt idx="563">
                  <c:v>1.1835</c:v>
                </c:pt>
                <c:pt idx="564">
                  <c:v>1.2111000000000001</c:v>
                </c:pt>
                <c:pt idx="565">
                  <c:v>1.2008000000000001</c:v>
                </c:pt>
                <c:pt idx="566">
                  <c:v>1.1585000000000001</c:v>
                </c:pt>
                <c:pt idx="567">
                  <c:v>1.1704000000000001</c:v>
                </c:pt>
                <c:pt idx="568">
                  <c:v>1.2117</c:v>
                </c:pt>
                <c:pt idx="569">
                  <c:v>1.1672</c:v>
                </c:pt>
                <c:pt idx="570">
                  <c:v>1.1597</c:v>
                </c:pt>
                <c:pt idx="571">
                  <c:v>1.1160000000000001</c:v>
                </c:pt>
                <c:pt idx="572">
                  <c:v>1.1305000000000001</c:v>
                </c:pt>
                <c:pt idx="573">
                  <c:v>1.121</c:v>
                </c:pt>
                <c:pt idx="574">
                  <c:v>1.1257999999999999</c:v>
                </c:pt>
                <c:pt idx="575">
                  <c:v>1.1515</c:v>
                </c:pt>
                <c:pt idx="576">
                  <c:v>1.1200000000000001</c:v>
                </c:pt>
                <c:pt idx="577">
                  <c:v>1.141</c:v>
                </c:pt>
                <c:pt idx="578">
                  <c:v>1.1338999999999999</c:v>
                </c:pt>
                <c:pt idx="579">
                  <c:v>1.1133</c:v>
                </c:pt>
                <c:pt idx="580">
                  <c:v>1.1541999999999999</c:v>
                </c:pt>
                <c:pt idx="581">
                  <c:v>1.1848000000000001</c:v>
                </c:pt>
                <c:pt idx="582">
                  <c:v>1.1849000000000001</c:v>
                </c:pt>
                <c:pt idx="583">
                  <c:v>1.2390000000000001</c:v>
                </c:pt>
                <c:pt idx="584">
                  <c:v>1.2258</c:v>
                </c:pt>
                <c:pt idx="585">
                  <c:v>1.1997</c:v>
                </c:pt>
                <c:pt idx="586">
                  <c:v>1.2022999999999999</c:v>
                </c:pt>
                <c:pt idx="587">
                  <c:v>1.2151000000000001</c:v>
                </c:pt>
                <c:pt idx="588">
                  <c:v>1.2375</c:v>
                </c:pt>
                <c:pt idx="589">
                  <c:v>1.2608999999999999</c:v>
                </c:pt>
                <c:pt idx="590">
                  <c:v>1.2563</c:v>
                </c:pt>
                <c:pt idx="591">
                  <c:v>1.1658999999999999</c:v>
                </c:pt>
                <c:pt idx="592">
                  <c:v>1.1748000000000001</c:v>
                </c:pt>
                <c:pt idx="593">
                  <c:v>1.2488999999999999</c:v>
                </c:pt>
                <c:pt idx="594">
                  <c:v>1.2102999999999999</c:v>
                </c:pt>
                <c:pt idx="595">
                  <c:v>1.1335</c:v>
                </c:pt>
                <c:pt idx="596">
                  <c:v>1.2423</c:v>
                </c:pt>
                <c:pt idx="597">
                  <c:v>1.1720999999999999</c:v>
                </c:pt>
                <c:pt idx="598">
                  <c:v>1.1852</c:v>
                </c:pt>
                <c:pt idx="599">
                  <c:v>1.1443000000000001</c:v>
                </c:pt>
                <c:pt idx="600">
                  <c:v>1.1487000000000001</c:v>
                </c:pt>
                <c:pt idx="601">
                  <c:v>1.1305000000000001</c:v>
                </c:pt>
                <c:pt idx="602">
                  <c:v>1.1255999999999999</c:v>
                </c:pt>
                <c:pt idx="603">
                  <c:v>1.1175999999999999</c:v>
                </c:pt>
                <c:pt idx="604">
                  <c:v>1.1180000000000001</c:v>
                </c:pt>
                <c:pt idx="605">
                  <c:v>1.1485000000000001</c:v>
                </c:pt>
                <c:pt idx="606">
                  <c:v>1.0945</c:v>
                </c:pt>
                <c:pt idx="607">
                  <c:v>1.1136999999999999</c:v>
                </c:pt>
                <c:pt idx="608">
                  <c:v>1.0859000000000001</c:v>
                </c:pt>
                <c:pt idx="609">
                  <c:v>1.087</c:v>
                </c:pt>
                <c:pt idx="610">
                  <c:v>1.0652999999999999</c:v>
                </c:pt>
                <c:pt idx="611">
                  <c:v>1.0645</c:v>
                </c:pt>
                <c:pt idx="612">
                  <c:v>1.0576000000000001</c:v>
                </c:pt>
                <c:pt idx="613">
                  <c:v>1.0117</c:v>
                </c:pt>
                <c:pt idx="614">
                  <c:v>1.0699000000000001</c:v>
                </c:pt>
                <c:pt idx="615">
                  <c:v>1.0665</c:v>
                </c:pt>
                <c:pt idx="616">
                  <c:v>1.0166999999999999</c:v>
                </c:pt>
                <c:pt idx="617">
                  <c:v>1.0542</c:v>
                </c:pt>
                <c:pt idx="618">
                  <c:v>1.0615000000000001</c:v>
                </c:pt>
                <c:pt idx="619">
                  <c:v>1.0638000000000001</c:v>
                </c:pt>
                <c:pt idx="620">
                  <c:v>1.0497000000000001</c:v>
                </c:pt>
                <c:pt idx="621">
                  <c:v>1.0299</c:v>
                </c:pt>
                <c:pt idx="622">
                  <c:v>1.0298</c:v>
                </c:pt>
                <c:pt idx="623">
                  <c:v>1.0461</c:v>
                </c:pt>
                <c:pt idx="624">
                  <c:v>1.06</c:v>
                </c:pt>
                <c:pt idx="625">
                  <c:v>1.0699000000000001</c:v>
                </c:pt>
                <c:pt idx="626">
                  <c:v>0.93100000000000005</c:v>
                </c:pt>
                <c:pt idx="627">
                  <c:v>0.95520000000000005</c:v>
                </c:pt>
                <c:pt idx="628">
                  <c:v>1.0406</c:v>
                </c:pt>
                <c:pt idx="629">
                  <c:v>1.0550999999999999</c:v>
                </c:pt>
                <c:pt idx="630">
                  <c:v>1.0444</c:v>
                </c:pt>
                <c:pt idx="631">
                  <c:v>1.024</c:v>
                </c:pt>
                <c:pt idx="632">
                  <c:v>1.0517000000000001</c:v>
                </c:pt>
                <c:pt idx="633">
                  <c:v>1.06</c:v>
                </c:pt>
                <c:pt idx="634">
                  <c:v>1.0624</c:v>
                </c:pt>
                <c:pt idx="635">
                  <c:v>1.0884</c:v>
                </c:pt>
                <c:pt idx="636">
                  <c:v>1.0750999999999999</c:v>
                </c:pt>
                <c:pt idx="637">
                  <c:v>1.0551999999999999</c:v>
                </c:pt>
                <c:pt idx="638">
                  <c:v>1.099</c:v>
                </c:pt>
                <c:pt idx="639">
                  <c:v>1.0533999999999999</c:v>
                </c:pt>
                <c:pt idx="640">
                  <c:v>1.0549999999999999</c:v>
                </c:pt>
                <c:pt idx="641">
                  <c:v>1.0522</c:v>
                </c:pt>
                <c:pt idx="642">
                  <c:v>1.0221</c:v>
                </c:pt>
                <c:pt idx="643">
                  <c:v>1.0106999999999999</c:v>
                </c:pt>
                <c:pt idx="644">
                  <c:v>1.0074000000000001</c:v>
                </c:pt>
                <c:pt idx="645">
                  <c:v>0.998</c:v>
                </c:pt>
                <c:pt idx="646">
                  <c:v>0.96389999999999998</c:v>
                </c:pt>
                <c:pt idx="647">
                  <c:v>0.97309999999999997</c:v>
                </c:pt>
                <c:pt idx="648">
                  <c:v>1.0138</c:v>
                </c:pt>
                <c:pt idx="649">
                  <c:v>1.0410999999999999</c:v>
                </c:pt>
                <c:pt idx="650">
                  <c:v>0.99750000000000005</c:v>
                </c:pt>
                <c:pt idx="651">
                  <c:v>1.0056</c:v>
                </c:pt>
                <c:pt idx="652">
                  <c:v>0.95899999999999996</c:v>
                </c:pt>
                <c:pt idx="653">
                  <c:v>0.9899</c:v>
                </c:pt>
                <c:pt idx="654">
                  <c:v>0.99909999999999999</c:v>
                </c:pt>
                <c:pt idx="655">
                  <c:v>0.99650000000000005</c:v>
                </c:pt>
                <c:pt idx="656">
                  <c:v>0.99119999999999997</c:v>
                </c:pt>
                <c:pt idx="657">
                  <c:v>0.99980000000000002</c:v>
                </c:pt>
                <c:pt idx="658">
                  <c:v>1.0458000000000001</c:v>
                </c:pt>
                <c:pt idx="659">
                  <c:v>1.0066999999999999</c:v>
                </c:pt>
                <c:pt idx="660">
                  <c:v>0.99280000000000002</c:v>
                </c:pt>
                <c:pt idx="661">
                  <c:v>0.98670000000000002</c:v>
                </c:pt>
                <c:pt idx="662">
                  <c:v>0.9486</c:v>
                </c:pt>
                <c:pt idx="663">
                  <c:v>0.95050000000000001</c:v>
                </c:pt>
                <c:pt idx="664">
                  <c:v>0.96289999999999998</c:v>
                </c:pt>
                <c:pt idx="665">
                  <c:v>0.96150000000000002</c:v>
                </c:pt>
                <c:pt idx="666">
                  <c:v>0.9698</c:v>
                </c:pt>
                <c:pt idx="667">
                  <c:v>0.99</c:v>
                </c:pt>
                <c:pt idx="668">
                  <c:v>0.82620000000000005</c:v>
                </c:pt>
                <c:pt idx="669">
                  <c:v>0.77100000000000002</c:v>
                </c:pt>
                <c:pt idx="670">
                  <c:v>0.81440000000000001</c:v>
                </c:pt>
                <c:pt idx="671">
                  <c:v>0.85899999999999999</c:v>
                </c:pt>
                <c:pt idx="672">
                  <c:v>0.89170000000000005</c:v>
                </c:pt>
                <c:pt idx="673">
                  <c:v>0.8992</c:v>
                </c:pt>
                <c:pt idx="674">
                  <c:v>0.93389999999999995</c:v>
                </c:pt>
                <c:pt idx="675">
                  <c:v>0.92210000000000003</c:v>
                </c:pt>
                <c:pt idx="676">
                  <c:v>0.84519999999999995</c:v>
                </c:pt>
                <c:pt idx="677">
                  <c:v>0.93540000000000001</c:v>
                </c:pt>
                <c:pt idx="678">
                  <c:v>0.95189999999999997</c:v>
                </c:pt>
                <c:pt idx="679">
                  <c:v>0.9516</c:v>
                </c:pt>
                <c:pt idx="680">
                  <c:v>0.86670000000000003</c:v>
                </c:pt>
                <c:pt idx="681">
                  <c:v>0.86119999999999997</c:v>
                </c:pt>
                <c:pt idx="682">
                  <c:v>0.73860000000000003</c:v>
                </c:pt>
                <c:pt idx="683">
                  <c:v>0.8629</c:v>
                </c:pt>
                <c:pt idx="684">
                  <c:v>0.80500000000000005</c:v>
                </c:pt>
                <c:pt idx="685">
                  <c:v>0.87070000000000003</c:v>
                </c:pt>
                <c:pt idx="686">
                  <c:v>0.79500000000000004</c:v>
                </c:pt>
                <c:pt idx="687">
                  <c:v>1.337</c:v>
                </c:pt>
                <c:pt idx="688">
                  <c:v>1.2875000000000001</c:v>
                </c:pt>
                <c:pt idx="689">
                  <c:v>1.0925</c:v>
                </c:pt>
                <c:pt idx="690">
                  <c:v>1.0935999999999999</c:v>
                </c:pt>
                <c:pt idx="691">
                  <c:v>1.2858000000000001</c:v>
                </c:pt>
                <c:pt idx="692">
                  <c:v>1.375</c:v>
                </c:pt>
                <c:pt idx="693">
                  <c:v>1.3393999999999999</c:v>
                </c:pt>
                <c:pt idx="694">
                  <c:v>1.1998</c:v>
                </c:pt>
                <c:pt idx="695">
                  <c:v>1.1638999999999999</c:v>
                </c:pt>
                <c:pt idx="696">
                  <c:v>1.1853</c:v>
                </c:pt>
                <c:pt idx="697">
                  <c:v>1.1175999999999999</c:v>
                </c:pt>
                <c:pt idx="698">
                  <c:v>1.1316999999999999</c:v>
                </c:pt>
                <c:pt idx="699">
                  <c:v>1.1529</c:v>
                </c:pt>
                <c:pt idx="700">
                  <c:v>1.2148000000000001</c:v>
                </c:pt>
                <c:pt idx="701">
                  <c:v>1.1561999999999999</c:v>
                </c:pt>
                <c:pt idx="702">
                  <c:v>1.3214999999999999</c:v>
                </c:pt>
                <c:pt idx="703">
                  <c:v>1.3734999999999999</c:v>
                </c:pt>
                <c:pt idx="704">
                  <c:v>1.4439</c:v>
                </c:pt>
                <c:pt idx="705">
                  <c:v>1.4198</c:v>
                </c:pt>
                <c:pt idx="706">
                  <c:v>1.4459</c:v>
                </c:pt>
                <c:pt idx="707">
                  <c:v>1.4854000000000001</c:v>
                </c:pt>
                <c:pt idx="708">
                  <c:v>1.3716999999999999</c:v>
                </c:pt>
                <c:pt idx="709">
                  <c:v>1.4693000000000001</c:v>
                </c:pt>
                <c:pt idx="710">
                  <c:v>1.3366</c:v>
                </c:pt>
                <c:pt idx="711">
                  <c:v>1.3809</c:v>
                </c:pt>
                <c:pt idx="712">
                  <c:v>1.4685999999999999</c:v>
                </c:pt>
                <c:pt idx="713">
                  <c:v>1.5528999999999999</c:v>
                </c:pt>
                <c:pt idx="714">
                  <c:v>1.4037999999999999</c:v>
                </c:pt>
                <c:pt idx="715">
                  <c:v>1.4323999999999999</c:v>
                </c:pt>
                <c:pt idx="716">
                  <c:v>1.4117</c:v>
                </c:pt>
                <c:pt idx="717">
                  <c:v>1.4376</c:v>
                </c:pt>
                <c:pt idx="718">
                  <c:v>1.1100000000000001</c:v>
                </c:pt>
                <c:pt idx="719">
                  <c:v>1.0580000000000001</c:v>
                </c:pt>
                <c:pt idx="720">
                  <c:v>1.0920000000000001</c:v>
                </c:pt>
                <c:pt idx="721">
                  <c:v>1.0364</c:v>
                </c:pt>
                <c:pt idx="722">
                  <c:v>0.9899</c:v>
                </c:pt>
                <c:pt idx="723">
                  <c:v>0.96430000000000005</c:v>
                </c:pt>
                <c:pt idx="724">
                  <c:v>0.98089999999999999</c:v>
                </c:pt>
                <c:pt idx="725">
                  <c:v>0.95940000000000003</c:v>
                </c:pt>
                <c:pt idx="726">
                  <c:v>0.91110000000000002</c:v>
                </c:pt>
                <c:pt idx="727">
                  <c:v>0.88239999999999996</c:v>
                </c:pt>
                <c:pt idx="728">
                  <c:v>0.86960000000000004</c:v>
                </c:pt>
                <c:pt idx="729">
                  <c:v>0.86990000000000001</c:v>
                </c:pt>
                <c:pt idx="730">
                  <c:v>0.88560000000000005</c:v>
                </c:pt>
                <c:pt idx="731">
                  <c:v>0.86799999999999999</c:v>
                </c:pt>
                <c:pt idx="732">
                  <c:v>0.87180000000000002</c:v>
                </c:pt>
                <c:pt idx="733">
                  <c:v>0.85119999999999996</c:v>
                </c:pt>
                <c:pt idx="734">
                  <c:v>0.85519999999999996</c:v>
                </c:pt>
                <c:pt idx="735">
                  <c:v>0.87260000000000004</c:v>
                </c:pt>
                <c:pt idx="736">
                  <c:v>0.88619999999999999</c:v>
                </c:pt>
                <c:pt idx="737">
                  <c:v>0.87229999999999996</c:v>
                </c:pt>
                <c:pt idx="738">
                  <c:v>0.86729999999999996</c:v>
                </c:pt>
                <c:pt idx="739">
                  <c:v>0.88890000000000002</c:v>
                </c:pt>
                <c:pt idx="740">
                  <c:v>0.87829999999999997</c:v>
                </c:pt>
                <c:pt idx="741">
                  <c:v>0.9</c:v>
                </c:pt>
                <c:pt idx="742">
                  <c:v>0.88090000000000002</c:v>
                </c:pt>
                <c:pt idx="743">
                  <c:v>0.89600000000000002</c:v>
                </c:pt>
                <c:pt idx="744">
                  <c:v>0.86370000000000002</c:v>
                </c:pt>
                <c:pt idx="745">
                  <c:v>0.86</c:v>
                </c:pt>
                <c:pt idx="746">
                  <c:v>0.84470000000000001</c:v>
                </c:pt>
                <c:pt idx="747">
                  <c:v>0.85609999999999997</c:v>
                </c:pt>
                <c:pt idx="748">
                  <c:v>0.82440000000000002</c:v>
                </c:pt>
                <c:pt idx="749">
                  <c:v>0.82310000000000005</c:v>
                </c:pt>
                <c:pt idx="750">
                  <c:v>0.85099999999999998</c:v>
                </c:pt>
                <c:pt idx="751">
                  <c:v>0.88529999999999998</c:v>
                </c:pt>
                <c:pt idx="752">
                  <c:v>0.89490000000000003</c:v>
                </c:pt>
                <c:pt idx="753">
                  <c:v>0.88719999999999999</c:v>
                </c:pt>
                <c:pt idx="754">
                  <c:v>0.94579999999999997</c:v>
                </c:pt>
                <c:pt idx="755">
                  <c:v>0.9526</c:v>
                </c:pt>
                <c:pt idx="756">
                  <c:v>0.94589999999999996</c:v>
                </c:pt>
                <c:pt idx="757">
                  <c:v>1.0446</c:v>
                </c:pt>
                <c:pt idx="758">
                  <c:v>1.0088999999999999</c:v>
                </c:pt>
                <c:pt idx="759">
                  <c:v>1.0324</c:v>
                </c:pt>
                <c:pt idx="760">
                  <c:v>1.0001</c:v>
                </c:pt>
                <c:pt idx="761">
                  <c:v>1.0370999999999999</c:v>
                </c:pt>
                <c:pt idx="762">
                  <c:v>0.89980000000000004</c:v>
                </c:pt>
                <c:pt idx="763">
                  <c:v>0.89059999999999995</c:v>
                </c:pt>
                <c:pt idx="764">
                  <c:v>0.85119999999999996</c:v>
                </c:pt>
                <c:pt idx="765">
                  <c:v>0.85470000000000002</c:v>
                </c:pt>
                <c:pt idx="766">
                  <c:v>0.86439999999999995</c:v>
                </c:pt>
                <c:pt idx="767">
                  <c:v>0.86409999999999998</c:v>
                </c:pt>
                <c:pt idx="768">
                  <c:v>0.91520000000000001</c:v>
                </c:pt>
                <c:pt idx="769">
                  <c:v>0.85740000000000005</c:v>
                </c:pt>
                <c:pt idx="770">
                  <c:v>0.88460000000000005</c:v>
                </c:pt>
                <c:pt idx="771">
                  <c:v>0.86660000000000004</c:v>
                </c:pt>
                <c:pt idx="772">
                  <c:v>0.88580000000000003</c:v>
                </c:pt>
                <c:pt idx="773">
                  <c:v>0.76759999999999995</c:v>
                </c:pt>
                <c:pt idx="774">
                  <c:v>0.72109999999999996</c:v>
                </c:pt>
                <c:pt idx="775">
                  <c:v>0.67810000000000004</c:v>
                </c:pt>
                <c:pt idx="776">
                  <c:v>0.62109999999999999</c:v>
                </c:pt>
                <c:pt idx="777">
                  <c:v>0.62229999999999996</c:v>
                </c:pt>
                <c:pt idx="778">
                  <c:v>0.58179999999999998</c:v>
                </c:pt>
                <c:pt idx="779">
                  <c:v>0.52800000000000002</c:v>
                </c:pt>
                <c:pt idx="780">
                  <c:v>0.56430000000000002</c:v>
                </c:pt>
                <c:pt idx="781">
                  <c:v>0.58069999999999999</c:v>
                </c:pt>
                <c:pt idx="782">
                  <c:v>0.57420000000000004</c:v>
                </c:pt>
                <c:pt idx="783">
                  <c:v>0.56640000000000001</c:v>
                </c:pt>
                <c:pt idx="784">
                  <c:v>0.56000000000000005</c:v>
                </c:pt>
                <c:pt idx="785">
                  <c:v>0.55669999999999997</c:v>
                </c:pt>
                <c:pt idx="786">
                  <c:v>0.58220000000000005</c:v>
                </c:pt>
                <c:pt idx="787">
                  <c:v>0.59119999999999995</c:v>
                </c:pt>
                <c:pt idx="788">
                  <c:v>0.60940000000000005</c:v>
                </c:pt>
                <c:pt idx="789">
                  <c:v>0.60499999999999998</c:v>
                </c:pt>
                <c:pt idx="790">
                  <c:v>0.63029999999999997</c:v>
                </c:pt>
                <c:pt idx="791">
                  <c:v>0.61199999999999999</c:v>
                </c:pt>
                <c:pt idx="792">
                  <c:v>0.60970000000000002</c:v>
                </c:pt>
                <c:pt idx="793">
                  <c:v>0.60419999999999996</c:v>
                </c:pt>
                <c:pt idx="794">
                  <c:v>0.59199999999999997</c:v>
                </c:pt>
                <c:pt idx="795">
                  <c:v>0.57620000000000005</c:v>
                </c:pt>
                <c:pt idx="796">
                  <c:v>0.63170000000000004</c:v>
                </c:pt>
                <c:pt idx="797">
                  <c:v>0.62749999999999995</c:v>
                </c:pt>
                <c:pt idx="798">
                  <c:v>0.65100000000000002</c:v>
                </c:pt>
                <c:pt idx="799">
                  <c:v>0.70940000000000003</c:v>
                </c:pt>
                <c:pt idx="800">
                  <c:v>0.72140000000000004</c:v>
                </c:pt>
                <c:pt idx="801">
                  <c:v>0.72740000000000005</c:v>
                </c:pt>
                <c:pt idx="802">
                  <c:v>0.76700000000000002</c:v>
                </c:pt>
                <c:pt idx="803">
                  <c:v>0.7671</c:v>
                </c:pt>
                <c:pt idx="804">
                  <c:v>0.77080000000000004</c:v>
                </c:pt>
                <c:pt idx="805">
                  <c:v>0.77229999999999999</c:v>
                </c:pt>
                <c:pt idx="806">
                  <c:v>0.78900000000000003</c:v>
                </c:pt>
                <c:pt idx="807">
                  <c:v>0.77500000000000002</c:v>
                </c:pt>
                <c:pt idx="808">
                  <c:v>0.7823</c:v>
                </c:pt>
                <c:pt idx="809">
                  <c:v>0.79769999999999996</c:v>
                </c:pt>
                <c:pt idx="810">
                  <c:v>0.77100000000000002</c:v>
                </c:pt>
                <c:pt idx="811">
                  <c:v>0.77370000000000005</c:v>
                </c:pt>
                <c:pt idx="812">
                  <c:v>0.80759999999999998</c:v>
                </c:pt>
                <c:pt idx="813">
                  <c:v>0.81379999999999997</c:v>
                </c:pt>
                <c:pt idx="814">
                  <c:v>0.8256</c:v>
                </c:pt>
                <c:pt idx="815">
                  <c:v>0.8085</c:v>
                </c:pt>
                <c:pt idx="816">
                  <c:v>0.79320000000000002</c:v>
                </c:pt>
                <c:pt idx="817">
                  <c:v>0.8</c:v>
                </c:pt>
                <c:pt idx="818">
                  <c:v>0.79200000000000004</c:v>
                </c:pt>
                <c:pt idx="819">
                  <c:v>0.78010000000000002</c:v>
                </c:pt>
                <c:pt idx="820">
                  <c:v>0.78129999999999999</c:v>
                </c:pt>
                <c:pt idx="821">
                  <c:v>0.8236</c:v>
                </c:pt>
                <c:pt idx="822">
                  <c:v>0.80579999999999996</c:v>
                </c:pt>
                <c:pt idx="823">
                  <c:v>0.79559999999999997</c:v>
                </c:pt>
                <c:pt idx="824">
                  <c:v>0.75129999999999997</c:v>
                </c:pt>
                <c:pt idx="825">
                  <c:v>0.77049999999999996</c:v>
                </c:pt>
                <c:pt idx="826">
                  <c:v>0.71899999999999997</c:v>
                </c:pt>
                <c:pt idx="827">
                  <c:v>0.71870000000000001</c:v>
                </c:pt>
                <c:pt idx="828">
                  <c:v>0.79600000000000004</c:v>
                </c:pt>
                <c:pt idx="829">
                  <c:v>0.81</c:v>
                </c:pt>
                <c:pt idx="830">
                  <c:v>0.81220000000000003</c:v>
                </c:pt>
                <c:pt idx="831">
                  <c:v>0.79879999999999995</c:v>
                </c:pt>
                <c:pt idx="832">
                  <c:v>0.8044</c:v>
                </c:pt>
                <c:pt idx="833">
                  <c:v>0.83799999999999997</c:v>
                </c:pt>
                <c:pt idx="834">
                  <c:v>0.81850000000000001</c:v>
                </c:pt>
                <c:pt idx="835">
                  <c:v>0.85809999999999997</c:v>
                </c:pt>
                <c:pt idx="836">
                  <c:v>0.872</c:v>
                </c:pt>
                <c:pt idx="837">
                  <c:v>0.84099999999999997</c:v>
                </c:pt>
                <c:pt idx="838">
                  <c:v>0.84640000000000004</c:v>
                </c:pt>
                <c:pt idx="839">
                  <c:v>0.84550000000000003</c:v>
                </c:pt>
                <c:pt idx="840">
                  <c:v>0.9</c:v>
                </c:pt>
                <c:pt idx="841">
                  <c:v>0.92959999999999998</c:v>
                </c:pt>
                <c:pt idx="842">
                  <c:v>0.90329999999999999</c:v>
                </c:pt>
                <c:pt idx="843">
                  <c:v>0.91510000000000002</c:v>
                </c:pt>
                <c:pt idx="844">
                  <c:v>0.87129999999999996</c:v>
                </c:pt>
                <c:pt idx="845">
                  <c:v>0.91620000000000001</c:v>
                </c:pt>
                <c:pt idx="846">
                  <c:v>0.88590000000000002</c:v>
                </c:pt>
                <c:pt idx="847">
                  <c:v>0.85089999999999999</c:v>
                </c:pt>
                <c:pt idx="848">
                  <c:v>0.83209999999999995</c:v>
                </c:pt>
                <c:pt idx="849">
                  <c:v>0.82669999999999999</c:v>
                </c:pt>
                <c:pt idx="850">
                  <c:v>0.84709999999999996</c:v>
                </c:pt>
                <c:pt idx="851">
                  <c:v>0.81530000000000002</c:v>
                </c:pt>
                <c:pt idx="852">
                  <c:v>0.84550000000000003</c:v>
                </c:pt>
                <c:pt idx="853">
                  <c:v>0.83919999999999995</c:v>
                </c:pt>
                <c:pt idx="854">
                  <c:v>0.83179999999999998</c:v>
                </c:pt>
                <c:pt idx="855">
                  <c:v>0.86119999999999997</c:v>
                </c:pt>
                <c:pt idx="856">
                  <c:v>0.82599999999999996</c:v>
                </c:pt>
                <c:pt idx="857">
                  <c:v>1.0008999999999999</c:v>
                </c:pt>
                <c:pt idx="858">
                  <c:v>1.1020000000000001</c:v>
                </c:pt>
                <c:pt idx="859">
                  <c:v>1.0138</c:v>
                </c:pt>
                <c:pt idx="860">
                  <c:v>1.0456000000000001</c:v>
                </c:pt>
                <c:pt idx="861">
                  <c:v>1.077</c:v>
                </c:pt>
                <c:pt idx="862">
                  <c:v>1.1499999999999999</c:v>
                </c:pt>
                <c:pt idx="863">
                  <c:v>1.1002000000000001</c:v>
                </c:pt>
                <c:pt idx="864">
                  <c:v>1.0592999999999999</c:v>
                </c:pt>
                <c:pt idx="865">
                  <c:v>1.0738000000000001</c:v>
                </c:pt>
                <c:pt idx="866">
                  <c:v>1.0269999999999999</c:v>
                </c:pt>
                <c:pt idx="867">
                  <c:v>1.0345</c:v>
                </c:pt>
                <c:pt idx="868">
                  <c:v>1.0298</c:v>
                </c:pt>
                <c:pt idx="869">
                  <c:v>1.0139</c:v>
                </c:pt>
                <c:pt idx="870">
                  <c:v>1.0416000000000001</c:v>
                </c:pt>
                <c:pt idx="871">
                  <c:v>1.0672999999999999</c:v>
                </c:pt>
                <c:pt idx="872">
                  <c:v>1.0653999999999999</c:v>
                </c:pt>
                <c:pt idx="873">
                  <c:v>1.0690999999999999</c:v>
                </c:pt>
                <c:pt idx="874">
                  <c:v>1.0498000000000001</c:v>
                </c:pt>
                <c:pt idx="875">
                  <c:v>1.1149</c:v>
                </c:pt>
                <c:pt idx="876">
                  <c:v>1.1258999999999999</c:v>
                </c:pt>
                <c:pt idx="877">
                  <c:v>1.1496</c:v>
                </c:pt>
                <c:pt idx="878">
                  <c:v>1.1474</c:v>
                </c:pt>
                <c:pt idx="879">
                  <c:v>1.111</c:v>
                </c:pt>
                <c:pt idx="880">
                  <c:v>1.1052</c:v>
                </c:pt>
                <c:pt idx="881">
                  <c:v>1.119</c:v>
                </c:pt>
                <c:pt idx="882">
                  <c:v>1.1213</c:v>
                </c:pt>
                <c:pt idx="883">
                  <c:v>1.1689000000000001</c:v>
                </c:pt>
                <c:pt idx="884">
                  <c:v>1.2421</c:v>
                </c:pt>
                <c:pt idx="885">
                  <c:v>1.2618</c:v>
                </c:pt>
                <c:pt idx="886">
                  <c:v>1.2536</c:v>
                </c:pt>
                <c:pt idx="887">
                  <c:v>1.2988</c:v>
                </c:pt>
                <c:pt idx="888">
                  <c:v>1.3004</c:v>
                </c:pt>
                <c:pt idx="889">
                  <c:v>1.2776000000000001</c:v>
                </c:pt>
                <c:pt idx="890">
                  <c:v>1.2178</c:v>
                </c:pt>
                <c:pt idx="891">
                  <c:v>1.2393000000000001</c:v>
                </c:pt>
                <c:pt idx="892">
                  <c:v>1.2585</c:v>
                </c:pt>
                <c:pt idx="893">
                  <c:v>1.26</c:v>
                </c:pt>
                <c:pt idx="894">
                  <c:v>1.2016</c:v>
                </c:pt>
                <c:pt idx="895">
                  <c:v>1.2022999999999999</c:v>
                </c:pt>
                <c:pt idx="896">
                  <c:v>1.2130000000000001</c:v>
                </c:pt>
                <c:pt idx="897">
                  <c:v>1.2067000000000001</c:v>
                </c:pt>
                <c:pt idx="898">
                  <c:v>1.2838000000000001</c:v>
                </c:pt>
                <c:pt idx="899">
                  <c:v>1.3107</c:v>
                </c:pt>
                <c:pt idx="900">
                  <c:v>1.3226</c:v>
                </c:pt>
                <c:pt idx="901">
                  <c:v>1.304</c:v>
                </c:pt>
                <c:pt idx="902">
                  <c:v>1.2890999999999999</c:v>
                </c:pt>
                <c:pt idx="903">
                  <c:v>1.3391999999999999</c:v>
                </c:pt>
                <c:pt idx="904">
                  <c:v>1.3625</c:v>
                </c:pt>
                <c:pt idx="905">
                  <c:v>1.3584000000000001</c:v>
                </c:pt>
                <c:pt idx="906">
                  <c:v>1.4137</c:v>
                </c:pt>
                <c:pt idx="907">
                  <c:v>1.3576999999999999</c:v>
                </c:pt>
                <c:pt idx="908">
                  <c:v>1.3698999999999999</c:v>
                </c:pt>
                <c:pt idx="909">
                  <c:v>1.353</c:v>
                </c:pt>
                <c:pt idx="910">
                  <c:v>1.3592</c:v>
                </c:pt>
                <c:pt idx="911">
                  <c:v>1.3720000000000001</c:v>
                </c:pt>
                <c:pt idx="912">
                  <c:v>1.3704000000000001</c:v>
                </c:pt>
                <c:pt idx="913">
                  <c:v>1.3816999999999999</c:v>
                </c:pt>
                <c:pt idx="914">
                  <c:v>1.3528</c:v>
                </c:pt>
                <c:pt idx="915">
                  <c:v>1.35</c:v>
                </c:pt>
                <c:pt idx="916">
                  <c:v>1.4249000000000001</c:v>
                </c:pt>
                <c:pt idx="917">
                  <c:v>1.4083000000000001</c:v>
                </c:pt>
                <c:pt idx="918">
                  <c:v>1.3741000000000001</c:v>
                </c:pt>
                <c:pt idx="919">
                  <c:v>1.3658999999999999</c:v>
                </c:pt>
                <c:pt idx="920">
                  <c:v>1.4279999999999999</c:v>
                </c:pt>
                <c:pt idx="921">
                  <c:v>1.4651000000000001</c:v>
                </c:pt>
                <c:pt idx="922">
                  <c:v>1.4890000000000001</c:v>
                </c:pt>
                <c:pt idx="923">
                  <c:v>1.4608000000000001</c:v>
                </c:pt>
                <c:pt idx="924">
                  <c:v>1.4910000000000001</c:v>
                </c:pt>
                <c:pt idx="925">
                  <c:v>1.4039999999999999</c:v>
                </c:pt>
                <c:pt idx="926">
                  <c:v>1.446</c:v>
                </c:pt>
                <c:pt idx="927">
                  <c:v>1.4903</c:v>
                </c:pt>
                <c:pt idx="928">
                  <c:v>1.4767999999999999</c:v>
                </c:pt>
                <c:pt idx="929">
                  <c:v>1.5463</c:v>
                </c:pt>
                <c:pt idx="930">
                  <c:v>1.6211</c:v>
                </c:pt>
                <c:pt idx="931">
                  <c:v>1.4892000000000001</c:v>
                </c:pt>
                <c:pt idx="932">
                  <c:v>1.7116</c:v>
                </c:pt>
                <c:pt idx="933">
                  <c:v>1.8192999999999999</c:v>
                </c:pt>
                <c:pt idx="934">
                  <c:v>1.8877999999999999</c:v>
                </c:pt>
                <c:pt idx="935">
                  <c:v>2.0510999999999999</c:v>
                </c:pt>
                <c:pt idx="936">
                  <c:v>1.9468000000000001</c:v>
                </c:pt>
                <c:pt idx="937">
                  <c:v>1.7886</c:v>
                </c:pt>
                <c:pt idx="938">
                  <c:v>1.8185</c:v>
                </c:pt>
                <c:pt idx="939">
                  <c:v>1.9483999999999999</c:v>
                </c:pt>
                <c:pt idx="940">
                  <c:v>1.8232999999999999</c:v>
                </c:pt>
                <c:pt idx="941">
                  <c:v>1.8845000000000001</c:v>
                </c:pt>
                <c:pt idx="942">
                  <c:v>1.8208</c:v>
                </c:pt>
                <c:pt idx="943">
                  <c:v>1.9655</c:v>
                </c:pt>
                <c:pt idx="944">
                  <c:v>2.0076999999999998</c:v>
                </c:pt>
                <c:pt idx="945">
                  <c:v>1.8540000000000001</c:v>
                </c:pt>
                <c:pt idx="946">
                  <c:v>2.1854</c:v>
                </c:pt>
                <c:pt idx="947">
                  <c:v>2.3048999999999999</c:v>
                </c:pt>
                <c:pt idx="948">
                  <c:v>2.3652000000000002</c:v>
                </c:pt>
                <c:pt idx="949">
                  <c:v>2.3635999999999999</c:v>
                </c:pt>
                <c:pt idx="950">
                  <c:v>2.41</c:v>
                </c:pt>
                <c:pt idx="951">
                  <c:v>2.34</c:v>
                </c:pt>
                <c:pt idx="952">
                  <c:v>2.3715999999999999</c:v>
                </c:pt>
                <c:pt idx="953">
                  <c:v>2.4335</c:v>
                </c:pt>
                <c:pt idx="954">
                  <c:v>2.3877000000000002</c:v>
                </c:pt>
                <c:pt idx="955">
                  <c:v>2.4413999999999998</c:v>
                </c:pt>
                <c:pt idx="956">
                  <c:v>2.4249000000000001</c:v>
                </c:pt>
                <c:pt idx="957">
                  <c:v>2.4138999999999999</c:v>
                </c:pt>
                <c:pt idx="958">
                  <c:v>2.3767999999999998</c:v>
                </c:pt>
                <c:pt idx="959">
                  <c:v>2.4725999999999999</c:v>
                </c:pt>
                <c:pt idx="960">
                  <c:v>2.4361000000000002</c:v>
                </c:pt>
                <c:pt idx="961">
                  <c:v>2.3773</c:v>
                </c:pt>
                <c:pt idx="962">
                  <c:v>2.371</c:v>
                </c:pt>
                <c:pt idx="963">
                  <c:v>2.2734999999999999</c:v>
                </c:pt>
                <c:pt idx="964">
                  <c:v>2.3637999999999999</c:v>
                </c:pt>
                <c:pt idx="965">
                  <c:v>2.3700999999999999</c:v>
                </c:pt>
                <c:pt idx="966">
                  <c:v>2.2993000000000001</c:v>
                </c:pt>
                <c:pt idx="967">
                  <c:v>2.3065000000000002</c:v>
                </c:pt>
                <c:pt idx="968">
                  <c:v>2.3174000000000001</c:v>
                </c:pt>
                <c:pt idx="969">
                  <c:v>2.4169</c:v>
                </c:pt>
                <c:pt idx="970">
                  <c:v>2.6545999999999998</c:v>
                </c:pt>
                <c:pt idx="971">
                  <c:v>2.6044</c:v>
                </c:pt>
                <c:pt idx="972">
                  <c:v>2.6385000000000001</c:v>
                </c:pt>
                <c:pt idx="973">
                  <c:v>2.5428000000000002</c:v>
                </c:pt>
                <c:pt idx="974">
                  <c:v>2.6688000000000001</c:v>
                </c:pt>
                <c:pt idx="975">
                  <c:v>2.7559</c:v>
                </c:pt>
                <c:pt idx="976">
                  <c:v>2.7265000000000001</c:v>
                </c:pt>
                <c:pt idx="977">
                  <c:v>2.6789999999999998</c:v>
                </c:pt>
                <c:pt idx="978">
                  <c:v>2.7170000000000001</c:v>
                </c:pt>
                <c:pt idx="979">
                  <c:v>2.6732999999999998</c:v>
                </c:pt>
                <c:pt idx="980">
                  <c:v>3.28</c:v>
                </c:pt>
                <c:pt idx="981">
                  <c:v>2.3588</c:v>
                </c:pt>
                <c:pt idx="982">
                  <c:v>2.4716</c:v>
                </c:pt>
                <c:pt idx="983">
                  <c:v>2.4392999999999998</c:v>
                </c:pt>
                <c:pt idx="984">
                  <c:v>2.5318000000000001</c:v>
                </c:pt>
                <c:pt idx="985">
                  <c:v>2.3813</c:v>
                </c:pt>
                <c:pt idx="986">
                  <c:v>2.4135</c:v>
                </c:pt>
                <c:pt idx="987">
                  <c:v>2.5188000000000001</c:v>
                </c:pt>
                <c:pt idx="988">
                  <c:v>2.5693000000000001</c:v>
                </c:pt>
                <c:pt idx="989">
                  <c:v>2.3559000000000001</c:v>
                </c:pt>
                <c:pt idx="990">
                  <c:v>2.3626</c:v>
                </c:pt>
                <c:pt idx="991">
                  <c:v>2.4256000000000002</c:v>
                </c:pt>
                <c:pt idx="992">
                  <c:v>2.4239999999999999</c:v>
                </c:pt>
                <c:pt idx="993">
                  <c:v>2.2664</c:v>
                </c:pt>
                <c:pt idx="994">
                  <c:v>2.3414999999999999</c:v>
                </c:pt>
                <c:pt idx="995">
                  <c:v>2.2193000000000001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1-42BF-A25F-5EFCA10152D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0.31251908719681737</c:v>
                </c:pt>
                <c:pt idx="1">
                  <c:v>0.31511550229015073</c:v>
                </c:pt>
                <c:pt idx="2">
                  <c:v>0.31346122362569451</c:v>
                </c:pt>
                <c:pt idx="3">
                  <c:v>0.31033194784743362</c:v>
                </c:pt>
                <c:pt idx="4">
                  <c:v>0.30728664018379725</c:v>
                </c:pt>
                <c:pt idx="5">
                  <c:v>0.30253425417853408</c:v>
                </c:pt>
                <c:pt idx="6">
                  <c:v>0.31632428016729147</c:v>
                </c:pt>
                <c:pt idx="7">
                  <c:v>0.32584521554595258</c:v>
                </c:pt>
                <c:pt idx="8">
                  <c:v>0.33008503445504345</c:v>
                </c:pt>
                <c:pt idx="9">
                  <c:v>0.33170171608837679</c:v>
                </c:pt>
                <c:pt idx="10">
                  <c:v>0.33090876357059906</c:v>
                </c:pt>
                <c:pt idx="11">
                  <c:v>0.33224592765339472</c:v>
                </c:pt>
                <c:pt idx="12">
                  <c:v>0.33471066287561696</c:v>
                </c:pt>
                <c:pt idx="13">
                  <c:v>0.33371643083535724</c:v>
                </c:pt>
                <c:pt idx="14">
                  <c:v>0.33199650535050873</c:v>
                </c:pt>
                <c:pt idx="15">
                  <c:v>0.33649655497376457</c:v>
                </c:pt>
                <c:pt idx="16">
                  <c:v>0.33395964697376462</c:v>
                </c:pt>
                <c:pt idx="17">
                  <c:v>0.33030790286292128</c:v>
                </c:pt>
                <c:pt idx="18">
                  <c:v>0.33230571906614703</c:v>
                </c:pt>
                <c:pt idx="19">
                  <c:v>0.33015972924614706</c:v>
                </c:pt>
                <c:pt idx="20">
                  <c:v>0.32843513955070847</c:v>
                </c:pt>
                <c:pt idx="21">
                  <c:v>0.32832785349647114</c:v>
                </c:pt>
                <c:pt idx="22">
                  <c:v>0.32595661483508503</c:v>
                </c:pt>
                <c:pt idx="23">
                  <c:v>0.32862106825899806</c:v>
                </c:pt>
                <c:pt idx="24">
                  <c:v>0.32768669167496445</c:v>
                </c:pt>
                <c:pt idx="25">
                  <c:v>0.32619009261496446</c:v>
                </c:pt>
                <c:pt idx="26">
                  <c:v>0.32387699170790563</c:v>
                </c:pt>
                <c:pt idx="27">
                  <c:v>0.32218265587790557</c:v>
                </c:pt>
                <c:pt idx="28">
                  <c:v>0.32286632871511489</c:v>
                </c:pt>
                <c:pt idx="29">
                  <c:v>0.31982406305225775</c:v>
                </c:pt>
                <c:pt idx="30">
                  <c:v>0.32268360804710311</c:v>
                </c:pt>
                <c:pt idx="31">
                  <c:v>0.33044087790806564</c:v>
                </c:pt>
                <c:pt idx="32">
                  <c:v>0.33011146704735139</c:v>
                </c:pt>
                <c:pt idx="33">
                  <c:v>0.32814410437474861</c:v>
                </c:pt>
                <c:pt idx="34">
                  <c:v>0.32723208110740171</c:v>
                </c:pt>
                <c:pt idx="35">
                  <c:v>0.33115022277406836</c:v>
                </c:pt>
                <c:pt idx="36">
                  <c:v>0.32558234966055483</c:v>
                </c:pt>
                <c:pt idx="37">
                  <c:v>0.32761771116055477</c:v>
                </c:pt>
                <c:pt idx="38">
                  <c:v>0.32585662702722146</c:v>
                </c:pt>
                <c:pt idx="39">
                  <c:v>0.32705221124248868</c:v>
                </c:pt>
                <c:pt idx="40">
                  <c:v>0.33328484127325786</c:v>
                </c:pt>
                <c:pt idx="41">
                  <c:v>0.33701411067325787</c:v>
                </c:pt>
                <c:pt idx="42">
                  <c:v>0.36381194225731583</c:v>
                </c:pt>
                <c:pt idx="43">
                  <c:v>0.35395872459008892</c:v>
                </c:pt>
                <c:pt idx="44">
                  <c:v>0.34406484621635153</c:v>
                </c:pt>
                <c:pt idx="45">
                  <c:v>0.33917046296125714</c:v>
                </c:pt>
                <c:pt idx="46">
                  <c:v>0.34707724848513777</c:v>
                </c:pt>
                <c:pt idx="47">
                  <c:v>0.34378711364197229</c:v>
                </c:pt>
                <c:pt idx="48">
                  <c:v>0.34354514662113889</c:v>
                </c:pt>
                <c:pt idx="49">
                  <c:v>0.35294151510706862</c:v>
                </c:pt>
                <c:pt idx="50">
                  <c:v>0.35697474385092826</c:v>
                </c:pt>
                <c:pt idx="51">
                  <c:v>0.35397473271376007</c:v>
                </c:pt>
                <c:pt idx="52">
                  <c:v>0.35689453305686347</c:v>
                </c:pt>
                <c:pt idx="53">
                  <c:v>0.36122296659187747</c:v>
                </c:pt>
                <c:pt idx="54">
                  <c:v>0.35704612589030882</c:v>
                </c:pt>
                <c:pt idx="55">
                  <c:v>0.3563472026114517</c:v>
                </c:pt>
                <c:pt idx="56">
                  <c:v>0.35203982104071996</c:v>
                </c:pt>
                <c:pt idx="57">
                  <c:v>0.35789697679271998</c:v>
                </c:pt>
                <c:pt idx="58">
                  <c:v>0.35486172378492775</c:v>
                </c:pt>
                <c:pt idx="59">
                  <c:v>0.35527724110536568</c:v>
                </c:pt>
                <c:pt idx="60">
                  <c:v>0.352853990783218</c:v>
                </c:pt>
                <c:pt idx="61">
                  <c:v>0.34956383685413439</c:v>
                </c:pt>
                <c:pt idx="62">
                  <c:v>0.35098876887413433</c:v>
                </c:pt>
                <c:pt idx="63">
                  <c:v>0.34871942670986467</c:v>
                </c:pt>
                <c:pt idx="64">
                  <c:v>0.34833303359832624</c:v>
                </c:pt>
                <c:pt idx="65">
                  <c:v>0.34944946471047578</c:v>
                </c:pt>
                <c:pt idx="66">
                  <c:v>0.34944946471047578</c:v>
                </c:pt>
                <c:pt idx="67">
                  <c:v>0.35018235280047572</c:v>
                </c:pt>
                <c:pt idx="68">
                  <c:v>0.35171090390047571</c:v>
                </c:pt>
                <c:pt idx="69">
                  <c:v>0.34939028294013091</c:v>
                </c:pt>
                <c:pt idx="70">
                  <c:v>0.34556489737194906</c:v>
                </c:pt>
                <c:pt idx="71">
                  <c:v>0.35556600070664302</c:v>
                </c:pt>
                <c:pt idx="72">
                  <c:v>0.35243803592769563</c:v>
                </c:pt>
                <c:pt idx="73">
                  <c:v>0.35329365930479972</c:v>
                </c:pt>
                <c:pt idx="74">
                  <c:v>0.35712700231177652</c:v>
                </c:pt>
                <c:pt idx="75">
                  <c:v>0.35708547205902924</c:v>
                </c:pt>
                <c:pt idx="76">
                  <c:v>0.35561206632169595</c:v>
                </c:pt>
                <c:pt idx="77">
                  <c:v>0.35712625449760838</c:v>
                </c:pt>
                <c:pt idx="78">
                  <c:v>0.35529966864760837</c:v>
                </c:pt>
                <c:pt idx="79">
                  <c:v>0.35627355177745135</c:v>
                </c:pt>
                <c:pt idx="80">
                  <c:v>0.35598476710938409</c:v>
                </c:pt>
                <c:pt idx="81">
                  <c:v>0.35412573389950752</c:v>
                </c:pt>
                <c:pt idx="82">
                  <c:v>0.35171525162142536</c:v>
                </c:pt>
                <c:pt idx="83">
                  <c:v>0.35100086678142545</c:v>
                </c:pt>
                <c:pt idx="84">
                  <c:v>0.35262279474884117</c:v>
                </c:pt>
                <c:pt idx="85">
                  <c:v>0.35180003771354706</c:v>
                </c:pt>
                <c:pt idx="86">
                  <c:v>0.34984371554635957</c:v>
                </c:pt>
                <c:pt idx="87">
                  <c:v>0.34611643110119827</c:v>
                </c:pt>
                <c:pt idx="88">
                  <c:v>0.34781760269250267</c:v>
                </c:pt>
                <c:pt idx="89">
                  <c:v>0.34630726610250262</c:v>
                </c:pt>
                <c:pt idx="90">
                  <c:v>0.34823111816266522</c:v>
                </c:pt>
                <c:pt idx="91">
                  <c:v>0.34354830374058731</c:v>
                </c:pt>
                <c:pt idx="92">
                  <c:v>0.34944613691377163</c:v>
                </c:pt>
                <c:pt idx="93">
                  <c:v>0.34918884762028551</c:v>
                </c:pt>
                <c:pt idx="94">
                  <c:v>0.34943620551237187</c:v>
                </c:pt>
                <c:pt idx="95">
                  <c:v>0.3476383918058501</c:v>
                </c:pt>
                <c:pt idx="96">
                  <c:v>0.34802405937094444</c:v>
                </c:pt>
                <c:pt idx="97">
                  <c:v>0.34643721991341014</c:v>
                </c:pt>
                <c:pt idx="98">
                  <c:v>0.34918537412620088</c:v>
                </c:pt>
                <c:pt idx="99">
                  <c:v>0.35237917880452602</c:v>
                </c:pt>
                <c:pt idx="100">
                  <c:v>0.34989589330700538</c:v>
                </c:pt>
                <c:pt idx="101">
                  <c:v>0.35061618404381523</c:v>
                </c:pt>
                <c:pt idx="102">
                  <c:v>0.35158020008825963</c:v>
                </c:pt>
                <c:pt idx="103">
                  <c:v>0.35268978130841472</c:v>
                </c:pt>
                <c:pt idx="104">
                  <c:v>0.35779835198094218</c:v>
                </c:pt>
                <c:pt idx="105">
                  <c:v>0.35806775507089111</c:v>
                </c:pt>
                <c:pt idx="106">
                  <c:v>0.36526636942322083</c:v>
                </c:pt>
                <c:pt idx="107">
                  <c:v>0.35649977578479491</c:v>
                </c:pt>
                <c:pt idx="108">
                  <c:v>0.34521846000249401</c:v>
                </c:pt>
                <c:pt idx="109">
                  <c:v>0.34427706043008022</c:v>
                </c:pt>
                <c:pt idx="110">
                  <c:v>0.34764594221305889</c:v>
                </c:pt>
                <c:pt idx="111">
                  <c:v>0.34298129199430888</c:v>
                </c:pt>
                <c:pt idx="112">
                  <c:v>0.3465933689859319</c:v>
                </c:pt>
                <c:pt idx="113">
                  <c:v>0.34672819243475089</c:v>
                </c:pt>
                <c:pt idx="114">
                  <c:v>0.3480134426745024</c:v>
                </c:pt>
                <c:pt idx="115">
                  <c:v>0.34569930237655022</c:v>
                </c:pt>
                <c:pt idx="116">
                  <c:v>0.34645897046745933</c:v>
                </c:pt>
                <c:pt idx="117">
                  <c:v>0.34678795125925038</c:v>
                </c:pt>
                <c:pt idx="118">
                  <c:v>0.34794788293954243</c:v>
                </c:pt>
                <c:pt idx="119">
                  <c:v>0.34435001822583272</c:v>
                </c:pt>
                <c:pt idx="120">
                  <c:v>0.34146871854516048</c:v>
                </c:pt>
                <c:pt idx="121">
                  <c:v>0.34312836710329991</c:v>
                </c:pt>
                <c:pt idx="122">
                  <c:v>0.35312378731148714</c:v>
                </c:pt>
                <c:pt idx="123">
                  <c:v>0.35985681527950741</c:v>
                </c:pt>
                <c:pt idx="124">
                  <c:v>0.35793212797508261</c:v>
                </c:pt>
                <c:pt idx="125">
                  <c:v>0.36020215696477331</c:v>
                </c:pt>
                <c:pt idx="126">
                  <c:v>0.36189439225143999</c:v>
                </c:pt>
                <c:pt idx="127">
                  <c:v>0.35697686915746413</c:v>
                </c:pt>
                <c:pt idx="128">
                  <c:v>0.35036806580787511</c:v>
                </c:pt>
                <c:pt idx="129">
                  <c:v>0.35347965327501796</c:v>
                </c:pt>
                <c:pt idx="130">
                  <c:v>0.35666984866457024</c:v>
                </c:pt>
                <c:pt idx="131">
                  <c:v>0.35988316785061669</c:v>
                </c:pt>
                <c:pt idx="132">
                  <c:v>0.36009459920872477</c:v>
                </c:pt>
                <c:pt idx="133">
                  <c:v>0.36334912013750709</c:v>
                </c:pt>
                <c:pt idx="134">
                  <c:v>0.36778448119515411</c:v>
                </c:pt>
                <c:pt idx="135">
                  <c:v>0.36371627712848742</c:v>
                </c:pt>
                <c:pt idx="136">
                  <c:v>0.35992968337309172</c:v>
                </c:pt>
                <c:pt idx="137">
                  <c:v>0.36645122155978704</c:v>
                </c:pt>
                <c:pt idx="138">
                  <c:v>0.36196102682635761</c:v>
                </c:pt>
                <c:pt idx="139">
                  <c:v>0.36670832928962727</c:v>
                </c:pt>
                <c:pt idx="140">
                  <c:v>0.37295433378574794</c:v>
                </c:pt>
                <c:pt idx="141">
                  <c:v>0.36913855370756615</c:v>
                </c:pt>
                <c:pt idx="142">
                  <c:v>0.36130032402691437</c:v>
                </c:pt>
                <c:pt idx="143">
                  <c:v>0.3519251072444583</c:v>
                </c:pt>
                <c:pt idx="144">
                  <c:v>0.35075710511498964</c:v>
                </c:pt>
                <c:pt idx="145">
                  <c:v>0.35535882824689152</c:v>
                </c:pt>
                <c:pt idx="146">
                  <c:v>0.35526988068022486</c:v>
                </c:pt>
                <c:pt idx="147">
                  <c:v>0.3549292993265406</c:v>
                </c:pt>
                <c:pt idx="148">
                  <c:v>0.35319148034418774</c:v>
                </c:pt>
                <c:pt idx="149">
                  <c:v>0.35316146722517439</c:v>
                </c:pt>
                <c:pt idx="150">
                  <c:v>0.34717094680426064</c:v>
                </c:pt>
                <c:pt idx="151">
                  <c:v>0.35211776210645751</c:v>
                </c:pt>
                <c:pt idx="152">
                  <c:v>0.35258346591145745</c:v>
                </c:pt>
                <c:pt idx="153">
                  <c:v>0.35472246343426078</c:v>
                </c:pt>
                <c:pt idx="154">
                  <c:v>0.3514100847115022</c:v>
                </c:pt>
                <c:pt idx="155">
                  <c:v>0.35886904692505972</c:v>
                </c:pt>
                <c:pt idx="156">
                  <c:v>0.35542617446150832</c:v>
                </c:pt>
                <c:pt idx="157">
                  <c:v>0.35951565238540428</c:v>
                </c:pt>
                <c:pt idx="158">
                  <c:v>0.3583134181161069</c:v>
                </c:pt>
                <c:pt idx="159">
                  <c:v>0.35662279244156142</c:v>
                </c:pt>
                <c:pt idx="160">
                  <c:v>0.35996597870734054</c:v>
                </c:pt>
                <c:pt idx="161">
                  <c:v>0.35963990345079427</c:v>
                </c:pt>
                <c:pt idx="162">
                  <c:v>0.35388531795645467</c:v>
                </c:pt>
                <c:pt idx="163">
                  <c:v>0.35096154587331868</c:v>
                </c:pt>
                <c:pt idx="164">
                  <c:v>0.36213265190464206</c:v>
                </c:pt>
                <c:pt idx="165">
                  <c:v>0.36665885369115281</c:v>
                </c:pt>
                <c:pt idx="166">
                  <c:v>0.37310107892374422</c:v>
                </c:pt>
                <c:pt idx="167">
                  <c:v>0.32327436674687537</c:v>
                </c:pt>
                <c:pt idx="168">
                  <c:v>0.31852836013598046</c:v>
                </c:pt>
                <c:pt idx="169">
                  <c:v>0.30518975078993488</c:v>
                </c:pt>
                <c:pt idx="170">
                  <c:v>0.30443149616743592</c:v>
                </c:pt>
                <c:pt idx="171">
                  <c:v>0.30184422831410257</c:v>
                </c:pt>
                <c:pt idx="172">
                  <c:v>0.2991160172053357</c:v>
                </c:pt>
                <c:pt idx="173">
                  <c:v>0.30361401456471576</c:v>
                </c:pt>
                <c:pt idx="174">
                  <c:v>0.29672305908407753</c:v>
                </c:pt>
                <c:pt idx="175">
                  <c:v>0.2923465230903014</c:v>
                </c:pt>
                <c:pt idx="176">
                  <c:v>0.28937206103291169</c:v>
                </c:pt>
                <c:pt idx="177">
                  <c:v>0.28598894653692125</c:v>
                </c:pt>
                <c:pt idx="178">
                  <c:v>0.28560840289343881</c:v>
                </c:pt>
                <c:pt idx="179">
                  <c:v>0.28156471746525696</c:v>
                </c:pt>
                <c:pt idx="180">
                  <c:v>0.28643337506346178</c:v>
                </c:pt>
                <c:pt idx="181">
                  <c:v>0.28241526937039829</c:v>
                </c:pt>
                <c:pt idx="182">
                  <c:v>0.28411252830069683</c:v>
                </c:pt>
                <c:pt idx="183">
                  <c:v>0.28180444086490736</c:v>
                </c:pt>
                <c:pt idx="184">
                  <c:v>0.28725999140267949</c:v>
                </c:pt>
                <c:pt idx="185">
                  <c:v>0.28112628853065119</c:v>
                </c:pt>
                <c:pt idx="186">
                  <c:v>0.29409842458571916</c:v>
                </c:pt>
                <c:pt idx="187">
                  <c:v>0.29165127248339734</c:v>
                </c:pt>
                <c:pt idx="188">
                  <c:v>0.2959121996644149</c:v>
                </c:pt>
                <c:pt idx="189">
                  <c:v>0.29260936433092655</c:v>
                </c:pt>
                <c:pt idx="190">
                  <c:v>0.28509057660027332</c:v>
                </c:pt>
                <c:pt idx="191">
                  <c:v>0.28022592892332848</c:v>
                </c:pt>
                <c:pt idx="192">
                  <c:v>0.28698662568004174</c:v>
                </c:pt>
                <c:pt idx="193">
                  <c:v>0.29607709402480309</c:v>
                </c:pt>
                <c:pt idx="194">
                  <c:v>0.29694258657390826</c:v>
                </c:pt>
                <c:pt idx="195">
                  <c:v>0.29509812665048923</c:v>
                </c:pt>
                <c:pt idx="196">
                  <c:v>0.29610542482293534</c:v>
                </c:pt>
                <c:pt idx="197">
                  <c:v>0.30218455047682752</c:v>
                </c:pt>
                <c:pt idx="198">
                  <c:v>0.29992005213361295</c:v>
                </c:pt>
                <c:pt idx="199">
                  <c:v>0.30159885856259105</c:v>
                </c:pt>
                <c:pt idx="200">
                  <c:v>0.3033334351816977</c:v>
                </c:pt>
                <c:pt idx="201">
                  <c:v>0.2969960983664669</c:v>
                </c:pt>
                <c:pt idx="202">
                  <c:v>0.30700658180579776</c:v>
                </c:pt>
                <c:pt idx="203">
                  <c:v>0.30250681699899135</c:v>
                </c:pt>
                <c:pt idx="204">
                  <c:v>0.30899468014078946</c:v>
                </c:pt>
                <c:pt idx="205">
                  <c:v>0.31224772451485194</c:v>
                </c:pt>
                <c:pt idx="206">
                  <c:v>0.3150749707536924</c:v>
                </c:pt>
                <c:pt idx="207">
                  <c:v>0.32220602648835189</c:v>
                </c:pt>
                <c:pt idx="208">
                  <c:v>0.32005022210898854</c:v>
                </c:pt>
                <c:pt idx="209">
                  <c:v>0.31956067117205783</c:v>
                </c:pt>
                <c:pt idx="210">
                  <c:v>0.31340369452609734</c:v>
                </c:pt>
                <c:pt idx="211">
                  <c:v>0.30861272207577201</c:v>
                </c:pt>
                <c:pt idx="212">
                  <c:v>0.3110954976459222</c:v>
                </c:pt>
                <c:pt idx="213">
                  <c:v>0.30499530585318246</c:v>
                </c:pt>
                <c:pt idx="214">
                  <c:v>0.29870932779338011</c:v>
                </c:pt>
                <c:pt idx="215">
                  <c:v>0.29135179024472108</c:v>
                </c:pt>
                <c:pt idx="216">
                  <c:v>0.28281742380425273</c:v>
                </c:pt>
                <c:pt idx="217">
                  <c:v>0.30305265265600301</c:v>
                </c:pt>
                <c:pt idx="218">
                  <c:v>0.28390184737526986</c:v>
                </c:pt>
                <c:pt idx="219">
                  <c:v>0.27442744704012284</c:v>
                </c:pt>
                <c:pt idx="220">
                  <c:v>0.28533643552919141</c:v>
                </c:pt>
                <c:pt idx="221">
                  <c:v>0.30612412030720138</c:v>
                </c:pt>
                <c:pt idx="222">
                  <c:v>0.28446725339760404</c:v>
                </c:pt>
                <c:pt idx="223">
                  <c:v>0.28831549327502126</c:v>
                </c:pt>
                <c:pt idx="224">
                  <c:v>0.29761049196020856</c:v>
                </c:pt>
                <c:pt idx="225">
                  <c:v>0.28532779774937816</c:v>
                </c:pt>
                <c:pt idx="226">
                  <c:v>0.2813942895990752</c:v>
                </c:pt>
                <c:pt idx="227">
                  <c:v>0.2709632598489749</c:v>
                </c:pt>
                <c:pt idx="228">
                  <c:v>0.26799894143277858</c:v>
                </c:pt>
                <c:pt idx="229">
                  <c:v>0.25840594978615272</c:v>
                </c:pt>
                <c:pt idx="230">
                  <c:v>0.2510001330321483</c:v>
                </c:pt>
                <c:pt idx="231">
                  <c:v>0.26204519658060055</c:v>
                </c:pt>
                <c:pt idx="232">
                  <c:v>0.26685478897749976</c:v>
                </c:pt>
                <c:pt idx="233">
                  <c:v>0.24956465383941248</c:v>
                </c:pt>
                <c:pt idx="234">
                  <c:v>0.22409414787127613</c:v>
                </c:pt>
                <c:pt idx="235">
                  <c:v>0.2469390075246459</c:v>
                </c:pt>
                <c:pt idx="236">
                  <c:v>0.20685254640743972</c:v>
                </c:pt>
                <c:pt idx="237">
                  <c:v>0.22134137769995174</c:v>
                </c:pt>
                <c:pt idx="238">
                  <c:v>0.22740480323448756</c:v>
                </c:pt>
                <c:pt idx="239">
                  <c:v>0.2147884657590747</c:v>
                </c:pt>
                <c:pt idx="240">
                  <c:v>0.19777996852278537</c:v>
                </c:pt>
                <c:pt idx="241">
                  <c:v>0.19977678894745937</c:v>
                </c:pt>
                <c:pt idx="242">
                  <c:v>0.18004714544890177</c:v>
                </c:pt>
                <c:pt idx="243">
                  <c:v>0.16424280137725125</c:v>
                </c:pt>
                <c:pt idx="244">
                  <c:v>0.16845380610934274</c:v>
                </c:pt>
                <c:pt idx="245">
                  <c:v>0.18360773212569476</c:v>
                </c:pt>
                <c:pt idx="246">
                  <c:v>0.1826894667549914</c:v>
                </c:pt>
                <c:pt idx="247">
                  <c:v>0.13656668598499141</c:v>
                </c:pt>
                <c:pt idx="248">
                  <c:v>0.12837892644604798</c:v>
                </c:pt>
                <c:pt idx="249">
                  <c:v>9.5985622719381325E-2</c:v>
                </c:pt>
                <c:pt idx="250">
                  <c:v>0.10265749232322585</c:v>
                </c:pt>
                <c:pt idx="251">
                  <c:v>0.11315316561169235</c:v>
                </c:pt>
                <c:pt idx="252">
                  <c:v>0.12111255027809252</c:v>
                </c:pt>
                <c:pt idx="253">
                  <c:v>0.11028200513059862</c:v>
                </c:pt>
                <c:pt idx="254">
                  <c:v>0.12106347795623243</c:v>
                </c:pt>
                <c:pt idx="255">
                  <c:v>0.12298787939553295</c:v>
                </c:pt>
                <c:pt idx="256">
                  <c:v>0.12981269901900946</c:v>
                </c:pt>
                <c:pt idx="257">
                  <c:v>0.13211792977482192</c:v>
                </c:pt>
                <c:pt idx="258">
                  <c:v>0.14559748435805048</c:v>
                </c:pt>
                <c:pt idx="259">
                  <c:v>0.14055534963854449</c:v>
                </c:pt>
                <c:pt idx="260">
                  <c:v>0.14746936144598452</c:v>
                </c:pt>
                <c:pt idx="261">
                  <c:v>0.18073851833254451</c:v>
                </c:pt>
                <c:pt idx="262">
                  <c:v>0.17865718852616519</c:v>
                </c:pt>
                <c:pt idx="263">
                  <c:v>0.19239766189606372</c:v>
                </c:pt>
                <c:pt idx="264">
                  <c:v>0.18643169389187955</c:v>
                </c:pt>
                <c:pt idx="265">
                  <c:v>0.19524803529354581</c:v>
                </c:pt>
                <c:pt idx="266">
                  <c:v>0.20706851631597206</c:v>
                </c:pt>
                <c:pt idx="267">
                  <c:v>0.23887658465214723</c:v>
                </c:pt>
                <c:pt idx="268">
                  <c:v>0.24948698853396481</c:v>
                </c:pt>
                <c:pt idx="269">
                  <c:v>0.26619056888071979</c:v>
                </c:pt>
                <c:pt idx="270">
                  <c:v>0.23208331070099633</c:v>
                </c:pt>
                <c:pt idx="271">
                  <c:v>0.22192062876147176</c:v>
                </c:pt>
                <c:pt idx="272">
                  <c:v>0.22559382122060218</c:v>
                </c:pt>
                <c:pt idx="273">
                  <c:v>0.22039739748731099</c:v>
                </c:pt>
                <c:pt idx="274">
                  <c:v>0.17743841754514977</c:v>
                </c:pt>
                <c:pt idx="275">
                  <c:v>0.19181420014958359</c:v>
                </c:pt>
                <c:pt idx="276">
                  <c:v>0.15875433266730068</c:v>
                </c:pt>
                <c:pt idx="277">
                  <c:v>0.10411298707903992</c:v>
                </c:pt>
                <c:pt idx="278">
                  <c:v>0.10713261560558375</c:v>
                </c:pt>
                <c:pt idx="279">
                  <c:v>0.12279621900085289</c:v>
                </c:pt>
                <c:pt idx="280">
                  <c:v>9.3275814353039346E-2</c:v>
                </c:pt>
                <c:pt idx="281">
                  <c:v>0.11316929124490274</c:v>
                </c:pt>
                <c:pt idx="282">
                  <c:v>0.12080577580192142</c:v>
                </c:pt>
                <c:pt idx="283">
                  <c:v>0.10589871036291665</c:v>
                </c:pt>
                <c:pt idx="284">
                  <c:v>0.11539103366660211</c:v>
                </c:pt>
                <c:pt idx="285">
                  <c:v>0.11644954984573021</c:v>
                </c:pt>
                <c:pt idx="286">
                  <c:v>0.12608593663431056</c:v>
                </c:pt>
                <c:pt idx="287">
                  <c:v>0.11760159930119712</c:v>
                </c:pt>
                <c:pt idx="288">
                  <c:v>0.12037495625703998</c:v>
                </c:pt>
                <c:pt idx="289">
                  <c:v>0.12073315719133058</c:v>
                </c:pt>
                <c:pt idx="290">
                  <c:v>0.11501246534607784</c:v>
                </c:pt>
                <c:pt idx="291">
                  <c:v>0.11951972219409399</c:v>
                </c:pt>
                <c:pt idx="292">
                  <c:v>0.12804239139370363</c:v>
                </c:pt>
                <c:pt idx="293">
                  <c:v>0.16224310347363843</c:v>
                </c:pt>
                <c:pt idx="294">
                  <c:v>0.17247909578742018</c:v>
                </c:pt>
                <c:pt idx="295">
                  <c:v>0.15931647882163583</c:v>
                </c:pt>
                <c:pt idx="296">
                  <c:v>0.18837714851807108</c:v>
                </c:pt>
                <c:pt idx="297">
                  <c:v>0.1720279539086593</c:v>
                </c:pt>
                <c:pt idx="298">
                  <c:v>0.16081395142292937</c:v>
                </c:pt>
                <c:pt idx="299">
                  <c:v>0.1565618770158102</c:v>
                </c:pt>
                <c:pt idx="300">
                  <c:v>0.16690073997126031</c:v>
                </c:pt>
                <c:pt idx="301">
                  <c:v>0.15716041991221583</c:v>
                </c:pt>
                <c:pt idx="302">
                  <c:v>0.1594223318179237</c:v>
                </c:pt>
                <c:pt idx="303">
                  <c:v>0.15574045770288861</c:v>
                </c:pt>
                <c:pt idx="304">
                  <c:v>0.16702894763342244</c:v>
                </c:pt>
                <c:pt idx="305">
                  <c:v>0.15651172993360649</c:v>
                </c:pt>
                <c:pt idx="306">
                  <c:v>0.157665801762923</c:v>
                </c:pt>
                <c:pt idx="307">
                  <c:v>0.16108602550652351</c:v>
                </c:pt>
                <c:pt idx="308">
                  <c:v>0.14878766151386244</c:v>
                </c:pt>
                <c:pt idx="309">
                  <c:v>0.16632377963705186</c:v>
                </c:pt>
                <c:pt idx="310">
                  <c:v>0.22271762149015764</c:v>
                </c:pt>
                <c:pt idx="311">
                  <c:v>0.22379891935254889</c:v>
                </c:pt>
                <c:pt idx="312">
                  <c:v>0.24030191207011412</c:v>
                </c:pt>
                <c:pt idx="313">
                  <c:v>0.23945332939122477</c:v>
                </c:pt>
                <c:pt idx="314">
                  <c:v>0.24596331837950236</c:v>
                </c:pt>
                <c:pt idx="315">
                  <c:v>0.24826214177672559</c:v>
                </c:pt>
                <c:pt idx="316">
                  <c:v>0.25297625579291472</c:v>
                </c:pt>
                <c:pt idx="317">
                  <c:v>0.24646986682046196</c:v>
                </c:pt>
                <c:pt idx="318">
                  <c:v>0.24136017294367479</c:v>
                </c:pt>
                <c:pt idx="319">
                  <c:v>0.24348096684445258</c:v>
                </c:pt>
                <c:pt idx="320">
                  <c:v>0.24898284581630287</c:v>
                </c:pt>
                <c:pt idx="321">
                  <c:v>0.24322199129217353</c:v>
                </c:pt>
                <c:pt idx="322">
                  <c:v>0.24246635549310139</c:v>
                </c:pt>
                <c:pt idx="323">
                  <c:v>0.24172220053710511</c:v>
                </c:pt>
                <c:pt idx="324">
                  <c:v>0.2457057929633365</c:v>
                </c:pt>
                <c:pt idx="325">
                  <c:v>0.23703405010253084</c:v>
                </c:pt>
                <c:pt idx="326">
                  <c:v>0.23457660880666037</c:v>
                </c:pt>
                <c:pt idx="327">
                  <c:v>0.23105402284738571</c:v>
                </c:pt>
                <c:pt idx="328">
                  <c:v>0.23125935143357224</c:v>
                </c:pt>
                <c:pt idx="329">
                  <c:v>0.22792245724136859</c:v>
                </c:pt>
                <c:pt idx="330">
                  <c:v>0.23129558457511795</c:v>
                </c:pt>
                <c:pt idx="331">
                  <c:v>0.22824074444412246</c:v>
                </c:pt>
                <c:pt idx="332">
                  <c:v>0.23036647285667697</c:v>
                </c:pt>
                <c:pt idx="333">
                  <c:v>0.22537629546825236</c:v>
                </c:pt>
                <c:pt idx="334">
                  <c:v>0.22667624163400515</c:v>
                </c:pt>
                <c:pt idx="335">
                  <c:v>0.22933117233235684</c:v>
                </c:pt>
                <c:pt idx="336">
                  <c:v>0.22729548418338305</c:v>
                </c:pt>
                <c:pt idx="337">
                  <c:v>0.24624147897989954</c:v>
                </c:pt>
                <c:pt idx="338">
                  <c:v>0.2472319081654675</c:v>
                </c:pt>
                <c:pt idx="339">
                  <c:v>0.24256826288781855</c:v>
                </c:pt>
                <c:pt idx="340">
                  <c:v>0.24450038854772668</c:v>
                </c:pt>
                <c:pt idx="341">
                  <c:v>0.24769276096730347</c:v>
                </c:pt>
                <c:pt idx="342">
                  <c:v>0.25197016425186675</c:v>
                </c:pt>
                <c:pt idx="343">
                  <c:v>0.2531314937132304</c:v>
                </c:pt>
                <c:pt idx="344">
                  <c:v>0.26303081798767047</c:v>
                </c:pt>
                <c:pt idx="345">
                  <c:v>0.24584259752350179</c:v>
                </c:pt>
                <c:pt idx="346">
                  <c:v>0.24089166151907632</c:v>
                </c:pt>
                <c:pt idx="347">
                  <c:v>0.23909010900218153</c:v>
                </c:pt>
                <c:pt idx="348">
                  <c:v>0.24628551287152098</c:v>
                </c:pt>
                <c:pt idx="349">
                  <c:v>0.23920985136953415</c:v>
                </c:pt>
                <c:pt idx="350">
                  <c:v>0.23206829111944008</c:v>
                </c:pt>
                <c:pt idx="351">
                  <c:v>0.22735723748518152</c:v>
                </c:pt>
                <c:pt idx="352">
                  <c:v>0.23715072274749002</c:v>
                </c:pt>
                <c:pt idx="353">
                  <c:v>0.23866314705974892</c:v>
                </c:pt>
                <c:pt idx="354">
                  <c:v>0.22370306911273427</c:v>
                </c:pt>
                <c:pt idx="355">
                  <c:v>0.22059853054247533</c:v>
                </c:pt>
                <c:pt idx="356">
                  <c:v>0.22286845292945703</c:v>
                </c:pt>
                <c:pt idx="357">
                  <c:v>0.1724126445882288</c:v>
                </c:pt>
                <c:pt idx="358">
                  <c:v>0.1726952507732985</c:v>
                </c:pt>
                <c:pt idx="359">
                  <c:v>0.16875971658718938</c:v>
                </c:pt>
                <c:pt idx="360">
                  <c:v>0.17163116706867093</c:v>
                </c:pt>
                <c:pt idx="361">
                  <c:v>0.16012413651242832</c:v>
                </c:pt>
                <c:pt idx="362">
                  <c:v>0.17059020657728122</c:v>
                </c:pt>
                <c:pt idx="363">
                  <c:v>0.16516734225889981</c:v>
                </c:pt>
                <c:pt idx="364">
                  <c:v>0.16329673351261767</c:v>
                </c:pt>
                <c:pt idx="365">
                  <c:v>0.16166305429931183</c:v>
                </c:pt>
                <c:pt idx="366">
                  <c:v>0.17076140018445149</c:v>
                </c:pt>
                <c:pt idx="367">
                  <c:v>0.16314956574533304</c:v>
                </c:pt>
                <c:pt idx="368">
                  <c:v>0.18069499763064731</c:v>
                </c:pt>
                <c:pt idx="369">
                  <c:v>0.18084439178679754</c:v>
                </c:pt>
                <c:pt idx="370">
                  <c:v>0.18147866139801791</c:v>
                </c:pt>
                <c:pt idx="371">
                  <c:v>0.17063342742122287</c:v>
                </c:pt>
                <c:pt idx="372">
                  <c:v>0.18826887965352854</c:v>
                </c:pt>
                <c:pt idx="373">
                  <c:v>0.17217388711730541</c:v>
                </c:pt>
                <c:pt idx="374">
                  <c:v>0.1949955610672589</c:v>
                </c:pt>
                <c:pt idx="375">
                  <c:v>0.19211810768491361</c:v>
                </c:pt>
                <c:pt idx="376">
                  <c:v>0.182645377763828</c:v>
                </c:pt>
                <c:pt idx="377">
                  <c:v>0.1781596326025125</c:v>
                </c:pt>
                <c:pt idx="378">
                  <c:v>0.17963605618321307</c:v>
                </c:pt>
                <c:pt idx="379">
                  <c:v>0.17404594367993437</c:v>
                </c:pt>
                <c:pt idx="380">
                  <c:v>0.16068404873978762</c:v>
                </c:pt>
                <c:pt idx="381">
                  <c:v>0.15933379152273142</c:v>
                </c:pt>
                <c:pt idx="382">
                  <c:v>0.16624920782170477</c:v>
                </c:pt>
                <c:pt idx="383">
                  <c:v>0.15679939610383253</c:v>
                </c:pt>
                <c:pt idx="384">
                  <c:v>0.13963251128212284</c:v>
                </c:pt>
                <c:pt idx="385">
                  <c:v>0.13755604558893039</c:v>
                </c:pt>
                <c:pt idx="386">
                  <c:v>0.14510112046953902</c:v>
                </c:pt>
                <c:pt idx="387">
                  <c:v>0.13726581761042311</c:v>
                </c:pt>
                <c:pt idx="388">
                  <c:v>0.13113024295830042</c:v>
                </c:pt>
                <c:pt idx="389">
                  <c:v>0.13646847600811438</c:v>
                </c:pt>
                <c:pt idx="390">
                  <c:v>0.13807636212809027</c:v>
                </c:pt>
                <c:pt idx="391">
                  <c:v>0.15110535571400158</c:v>
                </c:pt>
                <c:pt idx="392">
                  <c:v>0.16335344469062935</c:v>
                </c:pt>
                <c:pt idx="393">
                  <c:v>0.16733052409972027</c:v>
                </c:pt>
                <c:pt idx="394">
                  <c:v>0.17237580426599622</c:v>
                </c:pt>
                <c:pt idx="395">
                  <c:v>0.17452107280465942</c:v>
                </c:pt>
                <c:pt idx="396">
                  <c:v>0.17168625887203559</c:v>
                </c:pt>
                <c:pt idx="397">
                  <c:v>0.17249232572895543</c:v>
                </c:pt>
                <c:pt idx="398">
                  <c:v>0.17743876632451094</c:v>
                </c:pt>
                <c:pt idx="399">
                  <c:v>0.18402324909411338</c:v>
                </c:pt>
                <c:pt idx="400">
                  <c:v>0.17023764474888345</c:v>
                </c:pt>
                <c:pt idx="401">
                  <c:v>0.17963667682331638</c:v>
                </c:pt>
                <c:pt idx="402">
                  <c:v>0.17932360296968233</c:v>
                </c:pt>
                <c:pt idx="403">
                  <c:v>0.18750678245017316</c:v>
                </c:pt>
                <c:pt idx="404">
                  <c:v>0.19449880500093983</c:v>
                </c:pt>
                <c:pt idx="405">
                  <c:v>0.2006058297931349</c:v>
                </c:pt>
                <c:pt idx="406">
                  <c:v>0.20198419653971927</c:v>
                </c:pt>
                <c:pt idx="407">
                  <c:v>0.21309637103211407</c:v>
                </c:pt>
                <c:pt idx="408">
                  <c:v>0.20931907265101601</c:v>
                </c:pt>
                <c:pt idx="409">
                  <c:v>0.2174843515861595</c:v>
                </c:pt>
                <c:pt idx="410">
                  <c:v>0.21598214358042997</c:v>
                </c:pt>
                <c:pt idx="411">
                  <c:v>0.21431642659746464</c:v>
                </c:pt>
                <c:pt idx="412">
                  <c:v>0.21495891555673316</c:v>
                </c:pt>
                <c:pt idx="413">
                  <c:v>0.21118051585678674</c:v>
                </c:pt>
                <c:pt idx="414">
                  <c:v>0.21706986858065305</c:v>
                </c:pt>
                <c:pt idx="415">
                  <c:v>0.1991802950606531</c:v>
                </c:pt>
                <c:pt idx="416">
                  <c:v>0.21890931500955632</c:v>
                </c:pt>
                <c:pt idx="417">
                  <c:v>0.20707035950295233</c:v>
                </c:pt>
                <c:pt idx="418">
                  <c:v>0.19793499496878064</c:v>
                </c:pt>
                <c:pt idx="419">
                  <c:v>0.18541756207143489</c:v>
                </c:pt>
                <c:pt idx="420">
                  <c:v>0.20119361345360867</c:v>
                </c:pt>
                <c:pt idx="421">
                  <c:v>0.19154935714336707</c:v>
                </c:pt>
                <c:pt idx="422">
                  <c:v>0.19323054502816114</c:v>
                </c:pt>
                <c:pt idx="423">
                  <c:v>0.18480504660890651</c:v>
                </c:pt>
                <c:pt idx="424">
                  <c:v>0.18442785145217286</c:v>
                </c:pt>
                <c:pt idx="425">
                  <c:v>0.17605541944586209</c:v>
                </c:pt>
                <c:pt idx="426">
                  <c:v>0.17389824774428689</c:v>
                </c:pt>
                <c:pt idx="427">
                  <c:v>0.17384108389821093</c:v>
                </c:pt>
                <c:pt idx="428">
                  <c:v>0.18150444316743922</c:v>
                </c:pt>
                <c:pt idx="429">
                  <c:v>0.18702219654662036</c:v>
                </c:pt>
                <c:pt idx="430">
                  <c:v>0.20143525536837659</c:v>
                </c:pt>
                <c:pt idx="431">
                  <c:v>0.19968959280612641</c:v>
                </c:pt>
                <c:pt idx="432">
                  <c:v>0.1745177425011839</c:v>
                </c:pt>
                <c:pt idx="433">
                  <c:v>0.19444278317704752</c:v>
                </c:pt>
                <c:pt idx="434">
                  <c:v>0.16364391273722068</c:v>
                </c:pt>
                <c:pt idx="435">
                  <c:v>0.13648947825858387</c:v>
                </c:pt>
                <c:pt idx="436">
                  <c:v>0.11827196583193486</c:v>
                </c:pt>
                <c:pt idx="437">
                  <c:v>0.11399988894853724</c:v>
                </c:pt>
                <c:pt idx="438">
                  <c:v>0.10753343354638614</c:v>
                </c:pt>
                <c:pt idx="439">
                  <c:v>0.10076368560629319</c:v>
                </c:pt>
                <c:pt idx="440">
                  <c:v>9.9130026236271485E-2</c:v>
                </c:pt>
                <c:pt idx="441">
                  <c:v>8.6434008020280798E-2</c:v>
                </c:pt>
                <c:pt idx="442">
                  <c:v>7.7399250456275243E-2</c:v>
                </c:pt>
                <c:pt idx="443">
                  <c:v>8.2697743166630019E-2</c:v>
                </c:pt>
                <c:pt idx="444">
                  <c:v>8.2672487479920148E-2</c:v>
                </c:pt>
                <c:pt idx="445">
                  <c:v>7.4381364083292698E-2</c:v>
                </c:pt>
                <c:pt idx="446">
                  <c:v>6.6539540314581008E-2</c:v>
                </c:pt>
                <c:pt idx="447">
                  <c:v>8.2412690862324944E-2</c:v>
                </c:pt>
                <c:pt idx="448">
                  <c:v>7.3538334881387057E-2</c:v>
                </c:pt>
                <c:pt idx="449">
                  <c:v>6.1561460980309471E-2</c:v>
                </c:pt>
                <c:pt idx="450">
                  <c:v>5.6625394405194998E-2</c:v>
                </c:pt>
                <c:pt idx="451">
                  <c:v>5.1675417871861654E-2</c:v>
                </c:pt>
                <c:pt idx="452">
                  <c:v>5.8393155733997587E-2</c:v>
                </c:pt>
                <c:pt idx="453">
                  <c:v>5.6700039407949675E-2</c:v>
                </c:pt>
                <c:pt idx="454">
                  <c:v>5.9147370827304528E-2</c:v>
                </c:pt>
                <c:pt idx="455">
                  <c:v>6.1376784936714994E-2</c:v>
                </c:pt>
                <c:pt idx="456">
                  <c:v>6.2790291862352007E-2</c:v>
                </c:pt>
                <c:pt idx="457">
                  <c:v>6.4363421491098735E-2</c:v>
                </c:pt>
                <c:pt idx="458">
                  <c:v>6.4637254980129372E-2</c:v>
                </c:pt>
                <c:pt idx="459">
                  <c:v>6.6360976650416487E-2</c:v>
                </c:pt>
                <c:pt idx="460">
                  <c:v>8.1559677967667263E-2</c:v>
                </c:pt>
                <c:pt idx="461">
                  <c:v>7.3791146003443997E-2</c:v>
                </c:pt>
                <c:pt idx="462">
                  <c:v>7.6037145491912664E-2</c:v>
                </c:pt>
                <c:pt idx="463">
                  <c:v>5.9357064279739517E-2</c:v>
                </c:pt>
                <c:pt idx="464">
                  <c:v>3.3795625922697539E-2</c:v>
                </c:pt>
                <c:pt idx="465">
                  <c:v>3.6366994061083041E-2</c:v>
                </c:pt>
                <c:pt idx="466">
                  <c:v>4.4439721933246794E-2</c:v>
                </c:pt>
                <c:pt idx="467">
                  <c:v>5.894914527214442E-2</c:v>
                </c:pt>
                <c:pt idx="468">
                  <c:v>4.982191823553965E-2</c:v>
                </c:pt>
                <c:pt idx="469">
                  <c:v>4.8284337703236715E-2</c:v>
                </c:pt>
                <c:pt idx="470">
                  <c:v>2.2275668661467619E-2</c:v>
                </c:pt>
                <c:pt idx="471">
                  <c:v>1.1634678754677434E-2</c:v>
                </c:pt>
                <c:pt idx="472">
                  <c:v>1.5134459673559414E-2</c:v>
                </c:pt>
                <c:pt idx="473">
                  <c:v>1.8709995778909066E-2</c:v>
                </c:pt>
                <c:pt idx="474">
                  <c:v>7.6617034105150549E-3</c:v>
                </c:pt>
                <c:pt idx="475">
                  <c:v>1.7599872981185122E-2</c:v>
                </c:pt>
                <c:pt idx="476">
                  <c:v>6.8219050274959114E-3</c:v>
                </c:pt>
                <c:pt idx="477">
                  <c:v>4.3930440630096478E-4</c:v>
                </c:pt>
                <c:pt idx="478">
                  <c:v>-8.3995877756411052E-3</c:v>
                </c:pt>
                <c:pt idx="479">
                  <c:v>-5.2256117452276142E-4</c:v>
                </c:pt>
                <c:pt idx="480">
                  <c:v>9.164210283480463E-4</c:v>
                </c:pt>
                <c:pt idx="481">
                  <c:v>1.9743227598491161E-3</c:v>
                </c:pt>
                <c:pt idx="482">
                  <c:v>5.3996904643536323E-3</c:v>
                </c:pt>
                <c:pt idx="483">
                  <c:v>6.2446953036565268E-3</c:v>
                </c:pt>
                <c:pt idx="484">
                  <c:v>6.1607430100468642E-3</c:v>
                </c:pt>
                <c:pt idx="485">
                  <c:v>-1.7723889754289807E-2</c:v>
                </c:pt>
                <c:pt idx="486">
                  <c:v>-2.8113414777026519E-2</c:v>
                </c:pt>
                <c:pt idx="487">
                  <c:v>-1.6429806160011648E-2</c:v>
                </c:pt>
                <c:pt idx="488">
                  <c:v>-2.1040482772298332E-2</c:v>
                </c:pt>
                <c:pt idx="489">
                  <c:v>-4.0283035877176444E-2</c:v>
                </c:pt>
                <c:pt idx="490">
                  <c:v>-6.0296216500553175E-2</c:v>
                </c:pt>
                <c:pt idx="491">
                  <c:v>-8.3160312394424535E-2</c:v>
                </c:pt>
                <c:pt idx="492">
                  <c:v>-6.2771782780073879E-2</c:v>
                </c:pt>
                <c:pt idx="493">
                  <c:v>-7.1726004414064071E-2</c:v>
                </c:pt>
                <c:pt idx="494">
                  <c:v>-5.1551537079939383E-2</c:v>
                </c:pt>
                <c:pt idx="495">
                  <c:v>-4.6356089982061019E-2</c:v>
                </c:pt>
                <c:pt idx="496">
                  <c:v>-5.5076626156597884E-2</c:v>
                </c:pt>
                <c:pt idx="497">
                  <c:v>-5.1341486899568696E-2</c:v>
                </c:pt>
                <c:pt idx="498">
                  <c:v>-5.1936793440836973E-2</c:v>
                </c:pt>
                <c:pt idx="499">
                  <c:v>-6.6864719703719391E-2</c:v>
                </c:pt>
                <c:pt idx="500">
                  <c:v>-4.2941171349692241E-2</c:v>
                </c:pt>
                <c:pt idx="501">
                  <c:v>-2.8381960040693443E-2</c:v>
                </c:pt>
                <c:pt idx="502">
                  <c:v>-8.1034382671978863E-2</c:v>
                </c:pt>
                <c:pt idx="503">
                  <c:v>-9.0227236906355396E-2</c:v>
                </c:pt>
                <c:pt idx="504">
                  <c:v>-9.8207080769513316E-2</c:v>
                </c:pt>
                <c:pt idx="505">
                  <c:v>-9.3770449508579629E-2</c:v>
                </c:pt>
                <c:pt idx="506">
                  <c:v>-9.866787897985671E-2</c:v>
                </c:pt>
                <c:pt idx="507">
                  <c:v>-9.3657318393066236E-2</c:v>
                </c:pt>
                <c:pt idx="508">
                  <c:v>-9.9155609458831978E-2</c:v>
                </c:pt>
                <c:pt idx="509">
                  <c:v>-0.11286462102957513</c:v>
                </c:pt>
                <c:pt idx="510">
                  <c:v>-0.10437332063740005</c:v>
                </c:pt>
                <c:pt idx="511">
                  <c:v>-0.11247660480613604</c:v>
                </c:pt>
                <c:pt idx="512">
                  <c:v>-9.5556189301848615E-2</c:v>
                </c:pt>
                <c:pt idx="513">
                  <c:v>-9.4630616054420025E-2</c:v>
                </c:pt>
                <c:pt idx="514">
                  <c:v>-6.4622868246727749E-2</c:v>
                </c:pt>
                <c:pt idx="515">
                  <c:v>-7.1561710388633015E-2</c:v>
                </c:pt>
                <c:pt idx="516">
                  <c:v>-6.9692828747531715E-2</c:v>
                </c:pt>
                <c:pt idx="517">
                  <c:v>-5.9462591389218625E-2</c:v>
                </c:pt>
                <c:pt idx="518">
                  <c:v>-7.1898972313818976E-2</c:v>
                </c:pt>
                <c:pt idx="519">
                  <c:v>-6.6074163730081029E-2</c:v>
                </c:pt>
                <c:pt idx="520">
                  <c:v>-6.9897764015655506E-2</c:v>
                </c:pt>
                <c:pt idx="521">
                  <c:v>-4.5755096948623106E-2</c:v>
                </c:pt>
                <c:pt idx="522">
                  <c:v>-6.0897907743370137E-2</c:v>
                </c:pt>
                <c:pt idx="523">
                  <c:v>-7.7114121672520908E-2</c:v>
                </c:pt>
                <c:pt idx="524">
                  <c:v>-0.11234312506332557</c:v>
                </c:pt>
                <c:pt idx="525">
                  <c:v>4.5096050748313541E-4</c:v>
                </c:pt>
                <c:pt idx="526">
                  <c:v>1.6902893183596796E-2</c:v>
                </c:pt>
                <c:pt idx="527">
                  <c:v>7.0522953387417098E-2</c:v>
                </c:pt>
                <c:pt idx="528">
                  <c:v>4.1112902508378499E-2</c:v>
                </c:pt>
                <c:pt idx="529">
                  <c:v>3.9614676165013671E-2</c:v>
                </c:pt>
                <c:pt idx="530">
                  <c:v>-2.78165413220712E-2</c:v>
                </c:pt>
                <c:pt idx="531">
                  <c:v>-4.2151088040177941E-4</c:v>
                </c:pt>
                <c:pt idx="532">
                  <c:v>1.8268115379485392E-2</c:v>
                </c:pt>
                <c:pt idx="533">
                  <c:v>-0.1467061201567281</c:v>
                </c:pt>
                <c:pt idx="534">
                  <c:v>-0.20803472469178091</c:v>
                </c:pt>
                <c:pt idx="535">
                  <c:v>-0.19616141292846492</c:v>
                </c:pt>
                <c:pt idx="536">
                  <c:v>-0.19373398527855243</c:v>
                </c:pt>
                <c:pt idx="537">
                  <c:v>-0.20595567534080142</c:v>
                </c:pt>
                <c:pt idx="538">
                  <c:v>-0.18984956159307004</c:v>
                </c:pt>
                <c:pt idx="539">
                  <c:v>-0.21316285122436654</c:v>
                </c:pt>
                <c:pt idx="540">
                  <c:v>-0.2117606307802847</c:v>
                </c:pt>
                <c:pt idx="541">
                  <c:v>-0.2455520008870169</c:v>
                </c:pt>
                <c:pt idx="542">
                  <c:v>-0.23765831368774412</c:v>
                </c:pt>
                <c:pt idx="543">
                  <c:v>-0.28005100575038772</c:v>
                </c:pt>
                <c:pt idx="544">
                  <c:v>-0.29031940453968164</c:v>
                </c:pt>
                <c:pt idx="545">
                  <c:v>-0.31153204243687782</c:v>
                </c:pt>
                <c:pt idx="546">
                  <c:v>-0.30788372596472097</c:v>
                </c:pt>
                <c:pt idx="547">
                  <c:v>-0.29750976435936388</c:v>
                </c:pt>
                <c:pt idx="548">
                  <c:v>-0.29635782071173644</c:v>
                </c:pt>
                <c:pt idx="549">
                  <c:v>-0.29828514311719101</c:v>
                </c:pt>
                <c:pt idx="550">
                  <c:v>-0.30205912734104179</c:v>
                </c:pt>
                <c:pt idx="551">
                  <c:v>-0.31058491626460938</c:v>
                </c:pt>
                <c:pt idx="552">
                  <c:v>-0.30657854006970026</c:v>
                </c:pt>
                <c:pt idx="553">
                  <c:v>-0.29907886086970031</c:v>
                </c:pt>
                <c:pt idx="554">
                  <c:v>-0.29113683296397858</c:v>
                </c:pt>
                <c:pt idx="555">
                  <c:v>-0.28193841421356536</c:v>
                </c:pt>
                <c:pt idx="556">
                  <c:v>-0.28334477322550039</c:v>
                </c:pt>
                <c:pt idx="557">
                  <c:v>-0.27777265250534861</c:v>
                </c:pt>
                <c:pt idx="558">
                  <c:v>-0.27772560748917358</c:v>
                </c:pt>
                <c:pt idx="559">
                  <c:v>-0.27747222935884114</c:v>
                </c:pt>
                <c:pt idx="560">
                  <c:v>-0.2751897172096317</c:v>
                </c:pt>
                <c:pt idx="561">
                  <c:v>-0.25959751364267103</c:v>
                </c:pt>
                <c:pt idx="562">
                  <c:v>-0.23996011304220904</c:v>
                </c:pt>
                <c:pt idx="563">
                  <c:v>-0.26485930500499971</c:v>
                </c:pt>
                <c:pt idx="564">
                  <c:v>-0.26286247906863608</c:v>
                </c:pt>
                <c:pt idx="565">
                  <c:v>-0.26429815098211928</c:v>
                </c:pt>
                <c:pt idx="566">
                  <c:v>-0.26924443469413484</c:v>
                </c:pt>
                <c:pt idx="567">
                  <c:v>-0.27299007590922919</c:v>
                </c:pt>
                <c:pt idx="568">
                  <c:v>-0.26983144826217037</c:v>
                </c:pt>
                <c:pt idx="569">
                  <c:v>-0.27861227705775143</c:v>
                </c:pt>
                <c:pt idx="570">
                  <c:v>-0.28060832012702852</c:v>
                </c:pt>
                <c:pt idx="571">
                  <c:v>-0.28415000412702851</c:v>
                </c:pt>
                <c:pt idx="572">
                  <c:v>-0.28421581145170388</c:v>
                </c:pt>
                <c:pt idx="573">
                  <c:v>-0.28536167749472385</c:v>
                </c:pt>
                <c:pt idx="574">
                  <c:v>-0.28404812906830873</c:v>
                </c:pt>
                <c:pt idx="575">
                  <c:v>-0.27912995026724768</c:v>
                </c:pt>
                <c:pt idx="576">
                  <c:v>-0.27998150521257575</c:v>
                </c:pt>
                <c:pt idx="577">
                  <c:v>-0.27874580917667835</c:v>
                </c:pt>
                <c:pt idx="578">
                  <c:v>-0.28011705840481205</c:v>
                </c:pt>
                <c:pt idx="579">
                  <c:v>-0.28144126744362952</c:v>
                </c:pt>
                <c:pt idx="580">
                  <c:v>-0.28020083312453403</c:v>
                </c:pt>
                <c:pt idx="581">
                  <c:v>-0.2775989166180251</c:v>
                </c:pt>
                <c:pt idx="582">
                  <c:v>-0.28065902956241534</c:v>
                </c:pt>
                <c:pt idx="583">
                  <c:v>-0.27815763512613634</c:v>
                </c:pt>
                <c:pt idx="584">
                  <c:v>-0.27685911482449704</c:v>
                </c:pt>
                <c:pt idx="585">
                  <c:v>-0.27861639257321497</c:v>
                </c:pt>
                <c:pt idx="586">
                  <c:v>-0.27640411003627235</c:v>
                </c:pt>
                <c:pt idx="587">
                  <c:v>-0.27575749871925909</c:v>
                </c:pt>
                <c:pt idx="588">
                  <c:v>-0.27432178656020395</c:v>
                </c:pt>
                <c:pt idx="589">
                  <c:v>-0.27401301652384036</c:v>
                </c:pt>
                <c:pt idx="590">
                  <c:v>-0.27565937110891497</c:v>
                </c:pt>
                <c:pt idx="591">
                  <c:v>-0.2851457617141705</c:v>
                </c:pt>
                <c:pt idx="592">
                  <c:v>-0.28972741972224703</c:v>
                </c:pt>
                <c:pt idx="593">
                  <c:v>-0.28624957715575594</c:v>
                </c:pt>
                <c:pt idx="594">
                  <c:v>-0.29058066315061454</c:v>
                </c:pt>
                <c:pt idx="595">
                  <c:v>-0.29577173583577271</c:v>
                </c:pt>
                <c:pt idx="596">
                  <c:v>-0.28500358208987103</c:v>
                </c:pt>
                <c:pt idx="597">
                  <c:v>-0.28435582403594878</c:v>
                </c:pt>
                <c:pt idx="598">
                  <c:v>-0.28431093541376445</c:v>
                </c:pt>
                <c:pt idx="599">
                  <c:v>-0.28890678140525389</c:v>
                </c:pt>
                <c:pt idx="600">
                  <c:v>-0.29101981647573844</c:v>
                </c:pt>
                <c:pt idx="601">
                  <c:v>-0.28886152180942126</c:v>
                </c:pt>
                <c:pt idx="602">
                  <c:v>-0.28656071756936824</c:v>
                </c:pt>
                <c:pt idx="603">
                  <c:v>-0.2836688176158198</c:v>
                </c:pt>
                <c:pt idx="604">
                  <c:v>-0.28729164941450835</c:v>
                </c:pt>
                <c:pt idx="605">
                  <c:v>-0.28915822710189576</c:v>
                </c:pt>
                <c:pt idx="606">
                  <c:v>-0.29594991649857755</c:v>
                </c:pt>
                <c:pt idx="607">
                  <c:v>-0.29131905134640357</c:v>
                </c:pt>
                <c:pt idx="608">
                  <c:v>-0.29389126392654052</c:v>
                </c:pt>
                <c:pt idx="609">
                  <c:v>-0.29456376499867171</c:v>
                </c:pt>
                <c:pt idx="610">
                  <c:v>-0.29709562661429667</c:v>
                </c:pt>
                <c:pt idx="611">
                  <c:v>-0.29600387707210918</c:v>
                </c:pt>
                <c:pt idx="612">
                  <c:v>-0.27946133360898717</c:v>
                </c:pt>
                <c:pt idx="613">
                  <c:v>-0.28459229226926119</c:v>
                </c:pt>
                <c:pt idx="614">
                  <c:v>-0.27466477545435292</c:v>
                </c:pt>
                <c:pt idx="615">
                  <c:v>-0.27587575924513108</c:v>
                </c:pt>
                <c:pt idx="616">
                  <c:v>-0.28099541175101345</c:v>
                </c:pt>
                <c:pt idx="617">
                  <c:v>-0.26389487913643001</c:v>
                </c:pt>
                <c:pt idx="618">
                  <c:v>-0.26315969803182349</c:v>
                </c:pt>
                <c:pt idx="619">
                  <c:v>-0.2651114534540458</c:v>
                </c:pt>
                <c:pt idx="620">
                  <c:v>-0.26652259550110463</c:v>
                </c:pt>
                <c:pt idx="621">
                  <c:v>-0.2648647180462475</c:v>
                </c:pt>
                <c:pt idx="622">
                  <c:v>-0.26476722770662486</c:v>
                </c:pt>
                <c:pt idx="623">
                  <c:v>-0.26308451936247396</c:v>
                </c:pt>
                <c:pt idx="624">
                  <c:v>-0.25766460934188573</c:v>
                </c:pt>
                <c:pt idx="625">
                  <c:v>-0.22100568251603772</c:v>
                </c:pt>
                <c:pt idx="626">
                  <c:v>-0.24075612594640811</c:v>
                </c:pt>
                <c:pt idx="627">
                  <c:v>-0.23961285861082526</c:v>
                </c:pt>
                <c:pt idx="628">
                  <c:v>-0.23666921658294476</c:v>
                </c:pt>
                <c:pt idx="629">
                  <c:v>-0.23274000628437333</c:v>
                </c:pt>
                <c:pt idx="630">
                  <c:v>-0.23568100071263748</c:v>
                </c:pt>
                <c:pt idx="631">
                  <c:v>-0.23786532587513748</c:v>
                </c:pt>
                <c:pt idx="632">
                  <c:v>-0.23367603424180414</c:v>
                </c:pt>
                <c:pt idx="633">
                  <c:v>-0.23497690841239238</c:v>
                </c:pt>
                <c:pt idx="634">
                  <c:v>-0.23600864590405907</c:v>
                </c:pt>
                <c:pt idx="635">
                  <c:v>-0.23206073945933336</c:v>
                </c:pt>
                <c:pt idx="636">
                  <c:v>-0.23577361642162853</c:v>
                </c:pt>
                <c:pt idx="637">
                  <c:v>-0.23679704127283621</c:v>
                </c:pt>
                <c:pt idx="638">
                  <c:v>-0.22453747058765877</c:v>
                </c:pt>
                <c:pt idx="639">
                  <c:v>-0.2246637074073897</c:v>
                </c:pt>
                <c:pt idx="640">
                  <c:v>-0.21972881948222833</c:v>
                </c:pt>
                <c:pt idx="641">
                  <c:v>-0.18191923241261765</c:v>
                </c:pt>
                <c:pt idx="642">
                  <c:v>-0.1940731317315039</c:v>
                </c:pt>
                <c:pt idx="643">
                  <c:v>-0.19707399399150391</c:v>
                </c:pt>
                <c:pt idx="644">
                  <c:v>-0.19575614590716647</c:v>
                </c:pt>
                <c:pt idx="645">
                  <c:v>-0.19515206474768243</c:v>
                </c:pt>
                <c:pt idx="646">
                  <c:v>-0.20085900872513598</c:v>
                </c:pt>
                <c:pt idx="647">
                  <c:v>-0.20064902209369267</c:v>
                </c:pt>
                <c:pt idx="648">
                  <c:v>-0.19704963726484023</c:v>
                </c:pt>
                <c:pt idx="649">
                  <c:v>-0.1931736443463217</c:v>
                </c:pt>
                <c:pt idx="650">
                  <c:v>-0.19936940554976995</c:v>
                </c:pt>
                <c:pt idx="651">
                  <c:v>-0.19746035170957063</c:v>
                </c:pt>
                <c:pt idx="652">
                  <c:v>-0.2028139118278188</c:v>
                </c:pt>
                <c:pt idx="653">
                  <c:v>-0.19592931215720266</c:v>
                </c:pt>
                <c:pt idx="654">
                  <c:v>-0.19494584050648631</c:v>
                </c:pt>
                <c:pt idx="655">
                  <c:v>-0.19800764675164761</c:v>
                </c:pt>
                <c:pt idx="656">
                  <c:v>-0.19682380612730208</c:v>
                </c:pt>
                <c:pt idx="657">
                  <c:v>-0.19148398915177758</c:v>
                </c:pt>
                <c:pt idx="658">
                  <c:v>-0.12579467548462542</c:v>
                </c:pt>
                <c:pt idx="659">
                  <c:v>-0.14036760651546662</c:v>
                </c:pt>
                <c:pt idx="660">
                  <c:v>-0.14190687405309654</c:v>
                </c:pt>
                <c:pt idx="661">
                  <c:v>-0.12647966527932605</c:v>
                </c:pt>
                <c:pt idx="662">
                  <c:v>-0.14069842730060267</c:v>
                </c:pt>
                <c:pt idx="663">
                  <c:v>-0.14413209616466066</c:v>
                </c:pt>
                <c:pt idx="664">
                  <c:v>-0.14322075114078006</c:v>
                </c:pt>
                <c:pt idx="665">
                  <c:v>-0.1412761991415411</c:v>
                </c:pt>
                <c:pt idx="666">
                  <c:v>-0.13085504586581859</c:v>
                </c:pt>
                <c:pt idx="667">
                  <c:v>-0.13428508776835021</c:v>
                </c:pt>
                <c:pt idx="668">
                  <c:v>-0.14540088453550867</c:v>
                </c:pt>
                <c:pt idx="669">
                  <c:v>-0.14995961598113608</c:v>
                </c:pt>
                <c:pt idx="670">
                  <c:v>-0.14639846511732282</c:v>
                </c:pt>
                <c:pt idx="671">
                  <c:v>-0.14343542717373309</c:v>
                </c:pt>
                <c:pt idx="672">
                  <c:v>-0.14145860200447594</c:v>
                </c:pt>
                <c:pt idx="673">
                  <c:v>-0.13933306939947596</c:v>
                </c:pt>
                <c:pt idx="674">
                  <c:v>-0.13639472665802518</c:v>
                </c:pt>
                <c:pt idx="675">
                  <c:v>-0.1424786213019453</c:v>
                </c:pt>
                <c:pt idx="676">
                  <c:v>-0.14629611948963761</c:v>
                </c:pt>
                <c:pt idx="677">
                  <c:v>-0.14078019424813806</c:v>
                </c:pt>
                <c:pt idx="678">
                  <c:v>-0.14100388743664266</c:v>
                </c:pt>
                <c:pt idx="679">
                  <c:v>-0.13786021386563072</c:v>
                </c:pt>
                <c:pt idx="680">
                  <c:v>-0.14030592455707092</c:v>
                </c:pt>
                <c:pt idx="681">
                  <c:v>-0.14195101974823812</c:v>
                </c:pt>
                <c:pt idx="682">
                  <c:v>-0.14902792902149115</c:v>
                </c:pt>
                <c:pt idx="683">
                  <c:v>-0.14653590140333622</c:v>
                </c:pt>
                <c:pt idx="684">
                  <c:v>-0.14548564042291473</c:v>
                </c:pt>
                <c:pt idx="685">
                  <c:v>-0.13836704578655112</c:v>
                </c:pt>
                <c:pt idx="686">
                  <c:v>-0.14915179557164374</c:v>
                </c:pt>
                <c:pt idx="687">
                  <c:v>-0.11731903587007141</c:v>
                </c:pt>
                <c:pt idx="688">
                  <c:v>-0.13269351514784919</c:v>
                </c:pt>
                <c:pt idx="689">
                  <c:v>-0.13273311851246569</c:v>
                </c:pt>
                <c:pt idx="690">
                  <c:v>-0.13578996098343984</c:v>
                </c:pt>
                <c:pt idx="691">
                  <c:v>-0.12541633315767298</c:v>
                </c:pt>
                <c:pt idx="692">
                  <c:v>-0.11541697224360391</c:v>
                </c:pt>
                <c:pt idx="693">
                  <c:v>-0.11222188848187103</c:v>
                </c:pt>
                <c:pt idx="694">
                  <c:v>-0.13917870845961969</c:v>
                </c:pt>
                <c:pt idx="695">
                  <c:v>-0.14502264783640981</c:v>
                </c:pt>
                <c:pt idx="696">
                  <c:v>-0.1460101453647252</c:v>
                </c:pt>
                <c:pt idx="697">
                  <c:v>-0.1504403859661915</c:v>
                </c:pt>
                <c:pt idx="698">
                  <c:v>-0.14805717572939547</c:v>
                </c:pt>
                <c:pt idx="699">
                  <c:v>-0.14401832686782437</c:v>
                </c:pt>
                <c:pt idx="700">
                  <c:v>-0.14210892686146953</c:v>
                </c:pt>
                <c:pt idx="701">
                  <c:v>-0.15156583002312904</c:v>
                </c:pt>
                <c:pt idx="702">
                  <c:v>-0.13946311449866758</c:v>
                </c:pt>
                <c:pt idx="703">
                  <c:v>-0.14192087710657528</c:v>
                </c:pt>
                <c:pt idx="704">
                  <c:v>-0.14055021680834132</c:v>
                </c:pt>
                <c:pt idx="705">
                  <c:v>-0.1437166639485852</c:v>
                </c:pt>
                <c:pt idx="706">
                  <c:v>-0.14479132766604552</c:v>
                </c:pt>
                <c:pt idx="707">
                  <c:v>-0.14011193615823303</c:v>
                </c:pt>
                <c:pt idx="708">
                  <c:v>-0.16500272455214171</c:v>
                </c:pt>
                <c:pt idx="709">
                  <c:v>-0.15551015097346715</c:v>
                </c:pt>
                <c:pt idx="710">
                  <c:v>-0.17805213063495512</c:v>
                </c:pt>
                <c:pt idx="711">
                  <c:v>-0.18543504734882735</c:v>
                </c:pt>
                <c:pt idx="712">
                  <c:v>-0.18467864369820949</c:v>
                </c:pt>
                <c:pt idx="713">
                  <c:v>-0.14709103087454875</c:v>
                </c:pt>
                <c:pt idx="714">
                  <c:v>-0.17157154806245198</c:v>
                </c:pt>
                <c:pt idx="715">
                  <c:v>-0.16974954093132616</c:v>
                </c:pt>
                <c:pt idx="716">
                  <c:v>-0.15033276983253274</c:v>
                </c:pt>
                <c:pt idx="717">
                  <c:v>-0.14344305686324943</c:v>
                </c:pt>
                <c:pt idx="718">
                  <c:v>-0.17240654804751537</c:v>
                </c:pt>
                <c:pt idx="719">
                  <c:v>-0.17893571104195985</c:v>
                </c:pt>
                <c:pt idx="720">
                  <c:v>-0.17771670291537761</c:v>
                </c:pt>
                <c:pt idx="721">
                  <c:v>-0.18927117133261909</c:v>
                </c:pt>
                <c:pt idx="722">
                  <c:v>-0.20220376322847161</c:v>
                </c:pt>
                <c:pt idx="723">
                  <c:v>-0.20485614073146563</c:v>
                </c:pt>
                <c:pt idx="724">
                  <c:v>-0.20254429303606816</c:v>
                </c:pt>
                <c:pt idx="725">
                  <c:v>-0.20246680232383793</c:v>
                </c:pt>
                <c:pt idx="726">
                  <c:v>-0.20342329543099746</c:v>
                </c:pt>
                <c:pt idx="727">
                  <c:v>-0.21012522170474049</c:v>
                </c:pt>
                <c:pt idx="728">
                  <c:v>-0.20106823855567565</c:v>
                </c:pt>
                <c:pt idx="729">
                  <c:v>-0.19889848780316735</c:v>
                </c:pt>
                <c:pt idx="730">
                  <c:v>-0.19229505715752168</c:v>
                </c:pt>
                <c:pt idx="731">
                  <c:v>-0.19362330575307726</c:v>
                </c:pt>
                <c:pt idx="732">
                  <c:v>-0.19051074065307724</c:v>
                </c:pt>
                <c:pt idx="733">
                  <c:v>-0.19118994783075582</c:v>
                </c:pt>
                <c:pt idx="734">
                  <c:v>-0.19086827515742247</c:v>
                </c:pt>
                <c:pt idx="735">
                  <c:v>-0.18590302746918716</c:v>
                </c:pt>
                <c:pt idx="736">
                  <c:v>-0.18663286751129243</c:v>
                </c:pt>
                <c:pt idx="737">
                  <c:v>-0.19047263423572425</c:v>
                </c:pt>
                <c:pt idx="738">
                  <c:v>-0.18881365530711064</c:v>
                </c:pt>
                <c:pt idx="739">
                  <c:v>-0.18354738715787988</c:v>
                </c:pt>
                <c:pt idx="740">
                  <c:v>-0.1919803192346799</c:v>
                </c:pt>
                <c:pt idx="741">
                  <c:v>-0.18759605604153351</c:v>
                </c:pt>
                <c:pt idx="742">
                  <c:v>-0.19302357099783379</c:v>
                </c:pt>
                <c:pt idx="743">
                  <c:v>-0.19325010114010185</c:v>
                </c:pt>
                <c:pt idx="744">
                  <c:v>-0.19575994972235033</c:v>
                </c:pt>
                <c:pt idx="745">
                  <c:v>-0.19669974016428582</c:v>
                </c:pt>
                <c:pt idx="746">
                  <c:v>-0.19694151334498081</c:v>
                </c:pt>
                <c:pt idx="747">
                  <c:v>-0.19064149164627114</c:v>
                </c:pt>
                <c:pt idx="748">
                  <c:v>-0.19527738812743997</c:v>
                </c:pt>
                <c:pt idx="749">
                  <c:v>-0.19796529122369463</c:v>
                </c:pt>
                <c:pt idx="750">
                  <c:v>-0.19071735900587289</c:v>
                </c:pt>
                <c:pt idx="751">
                  <c:v>-0.18025835203614943</c:v>
                </c:pt>
                <c:pt idx="752">
                  <c:v>-0.16354231448961093</c:v>
                </c:pt>
                <c:pt idx="753">
                  <c:v>-0.151611172370411</c:v>
                </c:pt>
                <c:pt idx="754">
                  <c:v>-0.13688898556532625</c:v>
                </c:pt>
                <c:pt idx="755">
                  <c:v>-0.13246121543012621</c:v>
                </c:pt>
                <c:pt idx="756">
                  <c:v>-0.12573467480491049</c:v>
                </c:pt>
                <c:pt idx="757">
                  <c:v>-0.10462109600321716</c:v>
                </c:pt>
                <c:pt idx="758">
                  <c:v>-0.10091146650768643</c:v>
                </c:pt>
                <c:pt idx="759">
                  <c:v>-8.4464335109642644E-2</c:v>
                </c:pt>
                <c:pt idx="760">
                  <c:v>-8.1635784227197708E-2</c:v>
                </c:pt>
                <c:pt idx="761">
                  <c:v>-7.5468863534161823E-2</c:v>
                </c:pt>
                <c:pt idx="762">
                  <c:v>-0.11329285234431409</c:v>
                </c:pt>
                <c:pt idx="763">
                  <c:v>-0.1159660420656428</c:v>
                </c:pt>
                <c:pt idx="764">
                  <c:v>-0.1157670682054658</c:v>
                </c:pt>
                <c:pt idx="765">
                  <c:v>-0.10797755599978016</c:v>
                </c:pt>
                <c:pt idx="766">
                  <c:v>-9.4729712358940801E-2</c:v>
                </c:pt>
                <c:pt idx="767">
                  <c:v>-7.4163900042509862E-2</c:v>
                </c:pt>
                <c:pt idx="768">
                  <c:v>-5.0034490909012935E-2</c:v>
                </c:pt>
                <c:pt idx="769">
                  <c:v>-6.8456457685944064E-2</c:v>
                </c:pt>
                <c:pt idx="770">
                  <c:v>-5.8484617403591121E-2</c:v>
                </c:pt>
                <c:pt idx="771">
                  <c:v>-4.5796690749276933E-2</c:v>
                </c:pt>
                <c:pt idx="772">
                  <c:v>-8.1409492087743132E-2</c:v>
                </c:pt>
                <c:pt idx="773">
                  <c:v>-0.10800862345387036</c:v>
                </c:pt>
                <c:pt idx="774">
                  <c:v>-0.10180115132937145</c:v>
                </c:pt>
                <c:pt idx="775">
                  <c:v>-0.12044519280982088</c:v>
                </c:pt>
                <c:pt idx="776">
                  <c:v>-0.13226391512189334</c:v>
                </c:pt>
                <c:pt idx="777">
                  <c:v>-0.12425576875516783</c:v>
                </c:pt>
                <c:pt idx="778">
                  <c:v>-0.12612744228575851</c:v>
                </c:pt>
                <c:pt idx="779">
                  <c:v>-0.11955515569795534</c:v>
                </c:pt>
                <c:pt idx="780">
                  <c:v>-0.11731292331551259</c:v>
                </c:pt>
                <c:pt idx="781">
                  <c:v>-0.11565571968343713</c:v>
                </c:pt>
                <c:pt idx="782">
                  <c:v>-0.11606649954710271</c:v>
                </c:pt>
                <c:pt idx="783">
                  <c:v>-0.11622041218667492</c:v>
                </c:pt>
                <c:pt idx="784">
                  <c:v>-0.11404578566411853</c:v>
                </c:pt>
                <c:pt idx="785">
                  <c:v>-0.11367010373434756</c:v>
                </c:pt>
                <c:pt idx="786">
                  <c:v>-0.11017204609973219</c:v>
                </c:pt>
                <c:pt idx="787">
                  <c:v>-0.10942122405211314</c:v>
                </c:pt>
                <c:pt idx="788">
                  <c:v>-0.10876097631004673</c:v>
                </c:pt>
                <c:pt idx="789">
                  <c:v>-0.10977601170383204</c:v>
                </c:pt>
                <c:pt idx="790">
                  <c:v>-0.10888083488565022</c:v>
                </c:pt>
                <c:pt idx="791">
                  <c:v>-0.10996242842384467</c:v>
                </c:pt>
                <c:pt idx="792">
                  <c:v>-0.11545857427108623</c:v>
                </c:pt>
                <c:pt idx="793">
                  <c:v>-0.11841010504937573</c:v>
                </c:pt>
                <c:pt idx="794">
                  <c:v>-0.1195540536579259</c:v>
                </c:pt>
                <c:pt idx="795">
                  <c:v>-0.12253133151649165</c:v>
                </c:pt>
                <c:pt idx="796">
                  <c:v>-0.1203353909967592</c:v>
                </c:pt>
                <c:pt idx="797">
                  <c:v>-0.12172286004502419</c:v>
                </c:pt>
                <c:pt idx="798">
                  <c:v>-0.12121552993907288</c:v>
                </c:pt>
                <c:pt idx="799">
                  <c:v>-0.11871879960276924</c:v>
                </c:pt>
                <c:pt idx="800">
                  <c:v>-0.11833613891244667</c:v>
                </c:pt>
                <c:pt idx="801">
                  <c:v>-0.11879934019773196</c:v>
                </c:pt>
                <c:pt idx="802">
                  <c:v>-0.11770668616667933</c:v>
                </c:pt>
                <c:pt idx="803">
                  <c:v>-0.11739282213560588</c:v>
                </c:pt>
                <c:pt idx="804">
                  <c:v>-0.11747529021417732</c:v>
                </c:pt>
                <c:pt idx="805">
                  <c:v>-0.11578456346217732</c:v>
                </c:pt>
                <c:pt idx="806">
                  <c:v>-0.11567558221697608</c:v>
                </c:pt>
                <c:pt idx="807">
                  <c:v>-0.11687465862192309</c:v>
                </c:pt>
                <c:pt idx="808">
                  <c:v>-0.11694437349034413</c:v>
                </c:pt>
                <c:pt idx="809">
                  <c:v>-0.11684374063000894</c:v>
                </c:pt>
                <c:pt idx="810">
                  <c:v>-0.11832906263372986</c:v>
                </c:pt>
                <c:pt idx="811">
                  <c:v>-0.11874526948735305</c:v>
                </c:pt>
                <c:pt idx="812">
                  <c:v>-0.11783738070713176</c:v>
                </c:pt>
                <c:pt idx="813">
                  <c:v>-0.11734650124799714</c:v>
                </c:pt>
                <c:pt idx="814">
                  <c:v>-0.11601402236323877</c:v>
                </c:pt>
                <c:pt idx="815">
                  <c:v>-0.11783623099837391</c:v>
                </c:pt>
                <c:pt idx="816">
                  <c:v>-0.11901747384574234</c:v>
                </c:pt>
                <c:pt idx="817">
                  <c:v>-0.11904435302995285</c:v>
                </c:pt>
                <c:pt idx="818">
                  <c:v>-0.11984768488748711</c:v>
                </c:pt>
                <c:pt idx="819">
                  <c:v>-0.12105856723445067</c:v>
                </c:pt>
                <c:pt idx="820">
                  <c:v>-0.12166967630411013</c:v>
                </c:pt>
                <c:pt idx="821">
                  <c:v>-0.11948960324313009</c:v>
                </c:pt>
                <c:pt idx="822">
                  <c:v>-0.11486111883679763</c:v>
                </c:pt>
                <c:pt idx="823">
                  <c:v>-0.11615306894177847</c:v>
                </c:pt>
                <c:pt idx="824">
                  <c:v>-0.11748243140057579</c:v>
                </c:pt>
                <c:pt idx="825">
                  <c:v>-0.11521451231221472</c:v>
                </c:pt>
                <c:pt idx="826">
                  <c:v>-0.12031917898851342</c:v>
                </c:pt>
                <c:pt idx="827">
                  <c:v>-0.12312893872219761</c:v>
                </c:pt>
                <c:pt idx="828">
                  <c:v>-0.12110794152766102</c:v>
                </c:pt>
                <c:pt idx="829">
                  <c:v>-0.11892827012918003</c:v>
                </c:pt>
                <c:pt idx="830">
                  <c:v>-0.11962093166530907</c:v>
                </c:pt>
                <c:pt idx="831">
                  <c:v>-0.12181101504951961</c:v>
                </c:pt>
                <c:pt idx="832">
                  <c:v>-0.12171681183376618</c:v>
                </c:pt>
                <c:pt idx="833">
                  <c:v>-0.12036964906233762</c:v>
                </c:pt>
                <c:pt idx="834">
                  <c:v>-0.12168059993315829</c:v>
                </c:pt>
                <c:pt idx="835">
                  <c:v>-0.12074975618817448</c:v>
                </c:pt>
                <c:pt idx="836">
                  <c:v>-0.11578326290050324</c:v>
                </c:pt>
                <c:pt idx="837">
                  <c:v>-0.11833813033956574</c:v>
                </c:pt>
                <c:pt idx="838">
                  <c:v>-0.11813198968795285</c:v>
                </c:pt>
                <c:pt idx="839">
                  <c:v>-0.11756016530085608</c:v>
                </c:pt>
                <c:pt idx="840">
                  <c:v>-0.11480430249194673</c:v>
                </c:pt>
                <c:pt idx="841">
                  <c:v>-0.11029576766832211</c:v>
                </c:pt>
                <c:pt idx="842">
                  <c:v>-0.11082356848724605</c:v>
                </c:pt>
                <c:pt idx="843">
                  <c:v>-0.11013689056497118</c:v>
                </c:pt>
                <c:pt idx="844">
                  <c:v>-0.11120649863817506</c:v>
                </c:pt>
                <c:pt idx="845">
                  <c:v>-0.10968348512706393</c:v>
                </c:pt>
                <c:pt idx="846">
                  <c:v>-0.11060843646742811</c:v>
                </c:pt>
                <c:pt idx="847">
                  <c:v>-0.1117500543634911</c:v>
                </c:pt>
                <c:pt idx="848">
                  <c:v>-0.11123539051023024</c:v>
                </c:pt>
                <c:pt idx="849">
                  <c:v>-0.11195198699046975</c:v>
                </c:pt>
                <c:pt idx="850">
                  <c:v>-0.11033038181176252</c:v>
                </c:pt>
                <c:pt idx="851">
                  <c:v>-0.1128226162241763</c:v>
                </c:pt>
                <c:pt idx="852">
                  <c:v>-0.11234534525970931</c:v>
                </c:pt>
                <c:pt idx="853">
                  <c:v>-0.11259441020291919</c:v>
                </c:pt>
                <c:pt idx="854">
                  <c:v>-0.11295384651869962</c:v>
                </c:pt>
                <c:pt idx="855">
                  <c:v>-0.11319112639521414</c:v>
                </c:pt>
                <c:pt idx="856">
                  <c:v>-0.11550480094066867</c:v>
                </c:pt>
                <c:pt idx="857">
                  <c:v>-0.11144198568877474</c:v>
                </c:pt>
                <c:pt idx="858">
                  <c:v>-9.5211198310947681E-2</c:v>
                </c:pt>
                <c:pt idx="859">
                  <c:v>-0.10236811686877083</c:v>
                </c:pt>
                <c:pt idx="860">
                  <c:v>-0.10067398417175934</c:v>
                </c:pt>
                <c:pt idx="861">
                  <c:v>-0.10017994276373014</c:v>
                </c:pt>
                <c:pt idx="862">
                  <c:v>-9.8923484436629863E-2</c:v>
                </c:pt>
                <c:pt idx="863">
                  <c:v>-9.7540117807923238E-2</c:v>
                </c:pt>
                <c:pt idx="864">
                  <c:v>-9.8936379446327216E-2</c:v>
                </c:pt>
                <c:pt idx="865">
                  <c:v>-9.8983281399996292E-2</c:v>
                </c:pt>
                <c:pt idx="866">
                  <c:v>-0.10030041591584789</c:v>
                </c:pt>
                <c:pt idx="867">
                  <c:v>-0.10080299934898572</c:v>
                </c:pt>
                <c:pt idx="868">
                  <c:v>-0.10170250735973338</c:v>
                </c:pt>
                <c:pt idx="869">
                  <c:v>-0.10330613154208632</c:v>
                </c:pt>
                <c:pt idx="870">
                  <c:v>-0.10252544353645252</c:v>
                </c:pt>
                <c:pt idx="871">
                  <c:v>-0.10183450643537534</c:v>
                </c:pt>
                <c:pt idx="872">
                  <c:v>-0.10131595417047466</c:v>
                </c:pt>
                <c:pt idx="873">
                  <c:v>-0.10151564579993642</c:v>
                </c:pt>
                <c:pt idx="874">
                  <c:v>-0.10185067448846102</c:v>
                </c:pt>
                <c:pt idx="875">
                  <c:v>-0.10116674551340328</c:v>
                </c:pt>
                <c:pt idx="876">
                  <c:v>-0.10105499441340329</c:v>
                </c:pt>
                <c:pt idx="877">
                  <c:v>-0.10094565326970581</c:v>
                </c:pt>
                <c:pt idx="878">
                  <c:v>-0.10160331333637247</c:v>
                </c:pt>
                <c:pt idx="879">
                  <c:v>-0.10314679209127443</c:v>
                </c:pt>
                <c:pt idx="880">
                  <c:v>-0.10366436065417037</c:v>
                </c:pt>
                <c:pt idx="881">
                  <c:v>-0.10378245290994501</c:v>
                </c:pt>
                <c:pt idx="882">
                  <c:v>-0.10350917698775482</c:v>
                </c:pt>
                <c:pt idx="883">
                  <c:v>-0.10251686263584224</c:v>
                </c:pt>
                <c:pt idx="884">
                  <c:v>-0.10149101391000821</c:v>
                </c:pt>
                <c:pt idx="885">
                  <c:v>-0.101100237552742</c:v>
                </c:pt>
                <c:pt idx="886">
                  <c:v>-0.10002732098359032</c:v>
                </c:pt>
                <c:pt idx="887">
                  <c:v>-9.8566972724173293E-2</c:v>
                </c:pt>
                <c:pt idx="888">
                  <c:v>-9.719353637734976E-2</c:v>
                </c:pt>
                <c:pt idx="889">
                  <c:v>-9.9770606022771005E-2</c:v>
                </c:pt>
                <c:pt idx="890">
                  <c:v>-0.10213752442578104</c:v>
                </c:pt>
                <c:pt idx="891">
                  <c:v>-0.10282961312390514</c:v>
                </c:pt>
                <c:pt idx="892">
                  <c:v>-0.10164369912355364</c:v>
                </c:pt>
                <c:pt idx="893">
                  <c:v>-0.10183751476998994</c:v>
                </c:pt>
                <c:pt idx="894">
                  <c:v>-0.10287375378445378</c:v>
                </c:pt>
                <c:pt idx="895">
                  <c:v>-0.10276982752496258</c:v>
                </c:pt>
                <c:pt idx="896">
                  <c:v>-0.10358880967914214</c:v>
                </c:pt>
                <c:pt idx="897">
                  <c:v>-0.10472249477858965</c:v>
                </c:pt>
                <c:pt idx="898">
                  <c:v>-0.10261943142412465</c:v>
                </c:pt>
                <c:pt idx="899">
                  <c:v>-0.10148699263873141</c:v>
                </c:pt>
                <c:pt idx="900">
                  <c:v>-0.10136125493794403</c:v>
                </c:pt>
                <c:pt idx="901">
                  <c:v>-0.10064775913679624</c:v>
                </c:pt>
                <c:pt idx="902">
                  <c:v>-0.10104629655524643</c:v>
                </c:pt>
                <c:pt idx="903">
                  <c:v>-0.10014306686532394</c:v>
                </c:pt>
                <c:pt idx="904">
                  <c:v>-0.10023200971217387</c:v>
                </c:pt>
                <c:pt idx="905">
                  <c:v>-0.10238611434354644</c:v>
                </c:pt>
                <c:pt idx="906">
                  <c:v>-9.9645759134684417E-2</c:v>
                </c:pt>
                <c:pt idx="907">
                  <c:v>-0.10114863353735105</c:v>
                </c:pt>
                <c:pt idx="908">
                  <c:v>-0.10178081790831878</c:v>
                </c:pt>
                <c:pt idx="909">
                  <c:v>-0.10238678999221901</c:v>
                </c:pt>
                <c:pt idx="910">
                  <c:v>-0.10073802527774531</c:v>
                </c:pt>
                <c:pt idx="911">
                  <c:v>-9.9361938206536507E-2</c:v>
                </c:pt>
                <c:pt idx="912">
                  <c:v>-9.7966854450847907E-2</c:v>
                </c:pt>
                <c:pt idx="913">
                  <c:v>-9.8088871674345171E-2</c:v>
                </c:pt>
                <c:pt idx="914">
                  <c:v>-9.6966911400118358E-2</c:v>
                </c:pt>
                <c:pt idx="915">
                  <c:v>-9.871462693868796E-2</c:v>
                </c:pt>
                <c:pt idx="916">
                  <c:v>-9.7290698277317234E-2</c:v>
                </c:pt>
                <c:pt idx="917">
                  <c:v>-9.8779159071919934E-2</c:v>
                </c:pt>
                <c:pt idx="918">
                  <c:v>-9.995187816582439E-2</c:v>
                </c:pt>
                <c:pt idx="919">
                  <c:v>-0.10156348276131902</c:v>
                </c:pt>
                <c:pt idx="920">
                  <c:v>-0.10048784489004241</c:v>
                </c:pt>
                <c:pt idx="921">
                  <c:v>-9.9537708828244656E-2</c:v>
                </c:pt>
                <c:pt idx="922">
                  <c:v>-0.10051805170937674</c:v>
                </c:pt>
                <c:pt idx="923">
                  <c:v>-0.10059886343423617</c:v>
                </c:pt>
                <c:pt idx="924">
                  <c:v>-0.10080725761011167</c:v>
                </c:pt>
                <c:pt idx="925">
                  <c:v>-0.10688818987601112</c:v>
                </c:pt>
                <c:pt idx="926">
                  <c:v>-0.10792278116078619</c:v>
                </c:pt>
                <c:pt idx="927">
                  <c:v>-8.4736735371312502E-2</c:v>
                </c:pt>
                <c:pt idx="928">
                  <c:v>-9.0731414609146632E-2</c:v>
                </c:pt>
                <c:pt idx="929">
                  <c:v>-8.1669994287105044E-2</c:v>
                </c:pt>
                <c:pt idx="930">
                  <c:v>-7.9458151950570904E-2</c:v>
                </c:pt>
                <c:pt idx="931">
                  <c:v>-7.9495664517171563E-2</c:v>
                </c:pt>
                <c:pt idx="932">
                  <c:v>-7.3933519788510135E-2</c:v>
                </c:pt>
                <c:pt idx="933">
                  <c:v>-6.9090527721172329E-2</c:v>
                </c:pt>
                <c:pt idx="934">
                  <c:v>-6.5583619562943424E-2</c:v>
                </c:pt>
                <c:pt idx="935">
                  <c:v>-4.3945798376819729E-2</c:v>
                </c:pt>
                <c:pt idx="936">
                  <c:v>-3.4364202498256148E-2</c:v>
                </c:pt>
                <c:pt idx="937">
                  <c:v>-2.9848122682200467E-2</c:v>
                </c:pt>
                <c:pt idx="938">
                  <c:v>-2.8246112866350981E-2</c:v>
                </c:pt>
                <c:pt idx="939">
                  <c:v>-2.5848925295801534E-2</c:v>
                </c:pt>
                <c:pt idx="940">
                  <c:v>-3.2026076673141432E-2</c:v>
                </c:pt>
                <c:pt idx="941">
                  <c:v>-3.2542006895609196E-2</c:v>
                </c:pt>
                <c:pt idx="942">
                  <c:v>-3.3681597039687344E-2</c:v>
                </c:pt>
                <c:pt idx="943">
                  <c:v>-2.685937819171047E-2</c:v>
                </c:pt>
                <c:pt idx="944">
                  <c:v>-2.9377466323153772E-2</c:v>
                </c:pt>
                <c:pt idx="945">
                  <c:v>-3.6900479877709169E-2</c:v>
                </c:pt>
                <c:pt idx="946">
                  <c:v>-2.6506772229811661E-2</c:v>
                </c:pt>
                <c:pt idx="947">
                  <c:v>-2.6883902444535587E-2</c:v>
                </c:pt>
                <c:pt idx="948">
                  <c:v>-2.2433226023393222E-2</c:v>
                </c:pt>
                <c:pt idx="949">
                  <c:v>-2.2689905045923855E-2</c:v>
                </c:pt>
                <c:pt idx="950">
                  <c:v>-1.93602700529414E-2</c:v>
                </c:pt>
                <c:pt idx="951">
                  <c:v>-2.0226337083482232E-2</c:v>
                </c:pt>
                <c:pt idx="952">
                  <c:v>-1.7632315255543547E-2</c:v>
                </c:pt>
                <c:pt idx="953">
                  <c:v>-1.7001112699536775E-2</c:v>
                </c:pt>
                <c:pt idx="954">
                  <c:v>-1.9141657377769801E-2</c:v>
                </c:pt>
                <c:pt idx="955">
                  <c:v>-1.8814144553201281E-2</c:v>
                </c:pt>
                <c:pt idx="956">
                  <c:v>-1.766353464411036E-2</c:v>
                </c:pt>
                <c:pt idx="957">
                  <c:v>-1.5612352594477704E-2</c:v>
                </c:pt>
                <c:pt idx="958">
                  <c:v>-1.6823125601913361E-2</c:v>
                </c:pt>
                <c:pt idx="959">
                  <c:v>-1.6740362937790583E-2</c:v>
                </c:pt>
                <c:pt idx="960">
                  <c:v>-1.7745905398634666E-2</c:v>
                </c:pt>
                <c:pt idx="961">
                  <c:v>-1.9941712369749537E-2</c:v>
                </c:pt>
                <c:pt idx="962">
                  <c:v>-2.2254216845611609E-2</c:v>
                </c:pt>
                <c:pt idx="963">
                  <c:v>-2.5309145997611616E-2</c:v>
                </c:pt>
                <c:pt idx="964">
                  <c:v>-2.3783746246728785E-2</c:v>
                </c:pt>
                <c:pt idx="965">
                  <c:v>-2.3993219005988036E-2</c:v>
                </c:pt>
                <c:pt idx="966">
                  <c:v>-2.6705935375988015E-2</c:v>
                </c:pt>
                <c:pt idx="967">
                  <c:v>-2.8055986132178502E-2</c:v>
                </c:pt>
                <c:pt idx="968">
                  <c:v>-2.8076459560941056E-2</c:v>
                </c:pt>
                <c:pt idx="969">
                  <c:v>-2.6813019774277969E-2</c:v>
                </c:pt>
                <c:pt idx="970">
                  <c:v>-1.8821628939704151E-2</c:v>
                </c:pt>
                <c:pt idx="971">
                  <c:v>-2.1769089492823867E-2</c:v>
                </c:pt>
                <c:pt idx="972">
                  <c:v>-2.0405442215709006E-2</c:v>
                </c:pt>
                <c:pt idx="973">
                  <c:v>-2.3791212429204289E-2</c:v>
                </c:pt>
                <c:pt idx="974">
                  <c:v>-1.9114161983626084E-2</c:v>
                </c:pt>
                <c:pt idx="975">
                  <c:v>-1.7488655529216527E-2</c:v>
                </c:pt>
                <c:pt idx="976">
                  <c:v>-1.5071350846546731E-2</c:v>
                </c:pt>
                <c:pt idx="977">
                  <c:v>-1.5657996132998366E-2</c:v>
                </c:pt>
                <c:pt idx="978">
                  <c:v>-1.6391484140315427E-2</c:v>
                </c:pt>
                <c:pt idx="979">
                  <c:v>-2.00408738471788E-2</c:v>
                </c:pt>
                <c:pt idx="980">
                  <c:v>8.1962902326367885E-3</c:v>
                </c:pt>
                <c:pt idx="981">
                  <c:v>-1.568172356736321E-2</c:v>
                </c:pt>
                <c:pt idx="982">
                  <c:v>-1.0820578421648925E-2</c:v>
                </c:pt>
                <c:pt idx="983">
                  <c:v>-1.1272957668097862E-2</c:v>
                </c:pt>
                <c:pt idx="984">
                  <c:v>-1.1536682785791168E-2</c:v>
                </c:pt>
                <c:pt idx="985">
                  <c:v>-1.4507266128396978E-2</c:v>
                </c:pt>
                <c:pt idx="986">
                  <c:v>-1.5704400211939598E-2</c:v>
                </c:pt>
                <c:pt idx="987">
                  <c:v>-1.7384161782986952E-2</c:v>
                </c:pt>
                <c:pt idx="988">
                  <c:v>-1.216869860725168E-2</c:v>
                </c:pt>
                <c:pt idx="989">
                  <c:v>-1.3053822165338807E-2</c:v>
                </c:pt>
                <c:pt idx="990">
                  <c:v>-1.3053822165338827E-2</c:v>
                </c:pt>
                <c:pt idx="991">
                  <c:v>-9.4492842022058376E-3</c:v>
                </c:pt>
                <c:pt idx="992">
                  <c:v>-8.8513915300191676E-3</c:v>
                </c:pt>
                <c:pt idx="993">
                  <c:v>-1.1781813856050911E-2</c:v>
                </c:pt>
                <c:pt idx="994">
                  <c:v>-1.106144588632087E-2</c:v>
                </c:pt>
                <c:pt idx="995">
                  <c:v>-1.2203842226197789E-2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D1-42BF-A25F-5EFCA1015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245791"/>
        <c:axId val="322252031"/>
      </c:lineChart>
      <c:dateAx>
        <c:axId val="3222457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52031"/>
        <c:crosses val="autoZero"/>
        <c:auto val="1"/>
        <c:lblOffset val="100"/>
        <c:baseTimeUnit val="days"/>
      </c:dateAx>
      <c:valAx>
        <c:axId val="32225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45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FC4C40-322C-4E37-9E0A-F9C3EAB4358A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7F6DC1-34D3-470D-BF35-D3A469DD686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41.862000000000002</v>
      </c>
      <c r="D2" s="4">
        <f>MIN(D3:D1912)</f>
        <v>0.26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8</v>
      </c>
    </row>
    <row r="5" spans="1:20" x14ac:dyDescent="0.25">
      <c r="A5" s="5">
        <v>44588</v>
      </c>
      <c r="B5">
        <v>10.27</v>
      </c>
      <c r="C5">
        <v>10.49</v>
      </c>
      <c r="D5">
        <v>9.74</v>
      </c>
      <c r="E5">
        <v>9.76</v>
      </c>
      <c r="F5">
        <v>274269.2</v>
      </c>
      <c r="G5">
        <v>9.76</v>
      </c>
      <c r="L5" t="s">
        <v>7</v>
      </c>
      <c r="M5" t="s">
        <v>7</v>
      </c>
      <c r="N5" t="s">
        <v>8</v>
      </c>
      <c r="P5">
        <f t="shared" ref="P5" si="0">IF(C5=D5,0,((E5-D5)-(C5-E5))/(C5-D5))</f>
        <v>-0.94666666666666777</v>
      </c>
      <c r="Q5">
        <f t="shared" ref="Q5" si="1">F5*P5</f>
        <v>-259641.50933333364</v>
      </c>
      <c r="R5">
        <f t="shared" ref="R5" si="2">R6+Q5</f>
        <v>31251908.71968174</v>
      </c>
      <c r="S5">
        <f t="shared" ref="S5" si="3">R5/100000</f>
        <v>312.5190871968174</v>
      </c>
      <c r="T5">
        <f t="shared" ref="T5" si="4">S5/1000</f>
        <v>0.31251908719681737</v>
      </c>
    </row>
    <row r="6" spans="1:20" x14ac:dyDescent="0.25">
      <c r="A6" s="5">
        <v>44587</v>
      </c>
      <c r="B6">
        <v>8.4</v>
      </c>
      <c r="C6">
        <v>12.09</v>
      </c>
      <c r="D6">
        <v>8.32</v>
      </c>
      <c r="E6">
        <v>10.26</v>
      </c>
      <c r="F6">
        <v>5669664.1500000004</v>
      </c>
      <c r="G6">
        <v>10.26</v>
      </c>
      <c r="L6" t="s">
        <v>8</v>
      </c>
      <c r="M6" t="s">
        <v>8</v>
      </c>
      <c r="N6" t="s">
        <v>8</v>
      </c>
      <c r="P6">
        <f t="shared" ref="P6" si="5">IF(C6=D6,0,((E6-D6)-(C6-E6))/(C6-D6))</f>
        <v>2.9177718832891098E-2</v>
      </c>
      <c r="Q6">
        <f t="shared" ref="Q6" si="6">F6*P6</f>
        <v>165427.86644562252</v>
      </c>
      <c r="R6">
        <f t="shared" ref="R6" si="7">R7+Q6</f>
        <v>31511550.229015075</v>
      </c>
      <c r="S6">
        <f t="shared" ref="S6" si="8">R6/100000</f>
        <v>315.11550229015074</v>
      </c>
      <c r="T6">
        <f t="shared" ref="T6" si="9">S6/1000</f>
        <v>0.31511550229015073</v>
      </c>
    </row>
    <row r="7" spans="1:20" x14ac:dyDescent="0.25">
      <c r="A7" s="5">
        <v>44586</v>
      </c>
      <c r="B7">
        <v>8.5299999999999994</v>
      </c>
      <c r="C7">
        <v>8.5299999999999994</v>
      </c>
      <c r="D7">
        <v>8.07</v>
      </c>
      <c r="E7">
        <v>8.39</v>
      </c>
      <c r="F7">
        <v>799703.81</v>
      </c>
      <c r="G7">
        <v>8.39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0.39130434782609097</v>
      </c>
      <c r="Q7">
        <f t="shared" ref="Q7" si="11">F7*P7</f>
        <v>312927.57782609022</v>
      </c>
      <c r="R7">
        <f t="shared" ref="R7" si="12">R8+Q7</f>
        <v>31346122.362569451</v>
      </c>
      <c r="S7">
        <f t="shared" ref="S7" si="13">R7/100000</f>
        <v>313.46122362569452</v>
      </c>
      <c r="T7">
        <f t="shared" ref="T7" si="14">S7/1000</f>
        <v>0.31346122362569451</v>
      </c>
    </row>
    <row r="8" spans="1:20" x14ac:dyDescent="0.25">
      <c r="A8" s="5">
        <v>44585</v>
      </c>
      <c r="B8">
        <v>9.2100000000000009</v>
      </c>
      <c r="C8">
        <v>9.2100000000000009</v>
      </c>
      <c r="D8">
        <v>7.56</v>
      </c>
      <c r="E8">
        <v>8.5299999999999994</v>
      </c>
      <c r="F8">
        <v>1732675.05</v>
      </c>
      <c r="G8">
        <v>8.5299999999999994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0.17575757575757456</v>
      </c>
      <c r="Q8">
        <f t="shared" ref="Q8" si="16">F8*P8</f>
        <v>304530.76636363432</v>
      </c>
      <c r="R8">
        <f t="shared" ref="R8" si="17">R9+Q8</f>
        <v>31033194.784743361</v>
      </c>
      <c r="S8">
        <f t="shared" ref="S8" si="18">R8/100000</f>
        <v>310.33194784743364</v>
      </c>
      <c r="T8">
        <f t="shared" ref="T8" si="19">S8/1000</f>
        <v>0.31033194784743362</v>
      </c>
    </row>
    <row r="9" spans="1:20" x14ac:dyDescent="0.25">
      <c r="A9" s="5">
        <v>44584</v>
      </c>
      <c r="B9">
        <v>8.9600000000000009</v>
      </c>
      <c r="C9">
        <v>9.42</v>
      </c>
      <c r="D9">
        <v>8.66</v>
      </c>
      <c r="E9">
        <v>9.2200000000000006</v>
      </c>
      <c r="F9">
        <v>1003281.49</v>
      </c>
      <c r="G9">
        <v>9.2200000000000006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0.47368421052631748</v>
      </c>
      <c r="Q9">
        <f t="shared" ref="Q9" si="21">F9*P9</f>
        <v>475238.60052631749</v>
      </c>
      <c r="R9">
        <f t="shared" ref="R9" si="22">R10+Q9</f>
        <v>30728664.018379726</v>
      </c>
      <c r="S9">
        <f t="shared" ref="S9" si="23">R9/100000</f>
        <v>307.28664018379726</v>
      </c>
      <c r="T9">
        <f t="shared" ref="T9" si="24">S9/1000</f>
        <v>0.30728664018379725</v>
      </c>
    </row>
    <row r="10" spans="1:20" x14ac:dyDescent="0.25">
      <c r="A10" s="5">
        <v>44583</v>
      </c>
      <c r="B10">
        <v>10.67</v>
      </c>
      <c r="C10">
        <v>11.34</v>
      </c>
      <c r="D10">
        <v>7.96</v>
      </c>
      <c r="E10">
        <v>8.9600000000000009</v>
      </c>
      <c r="F10">
        <v>3377557.09</v>
      </c>
      <c r="G10">
        <v>8.9600000000000009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-0.40828402366863853</v>
      </c>
      <c r="Q10">
        <f t="shared" ref="Q10" si="26">F10*P10</f>
        <v>-1379002.5988757377</v>
      </c>
      <c r="R10">
        <f t="shared" ref="R10" si="27">R11+Q10</f>
        <v>30253425.417853408</v>
      </c>
      <c r="S10">
        <f t="shared" ref="S10" si="28">R10/100000</f>
        <v>302.53425417853407</v>
      </c>
      <c r="T10">
        <f t="shared" ref="T10" si="29">S10/1000</f>
        <v>0.30253425417853408</v>
      </c>
    </row>
    <row r="11" spans="1:20" x14ac:dyDescent="0.25">
      <c r="A11" s="5">
        <v>44582</v>
      </c>
      <c r="B11">
        <v>12.59</v>
      </c>
      <c r="C11">
        <v>12.75</v>
      </c>
      <c r="D11">
        <v>10.36</v>
      </c>
      <c r="E11">
        <v>10.68</v>
      </c>
      <c r="F11">
        <v>1300287.746</v>
      </c>
      <c r="G11">
        <v>10.68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-0.73221757322175718</v>
      </c>
      <c r="Q11">
        <f t="shared" ref="Q11" si="31">F11*P11</f>
        <v>-952093.53786610859</v>
      </c>
      <c r="R11">
        <f t="shared" ref="R11" si="32">R12+Q11</f>
        <v>31632428.016729146</v>
      </c>
      <c r="S11">
        <f t="shared" ref="S11" si="33">R11/100000</f>
        <v>316.32428016729148</v>
      </c>
      <c r="T11">
        <f t="shared" ref="T11" si="34">S11/1000</f>
        <v>0.31632428016729147</v>
      </c>
    </row>
    <row r="12" spans="1:20" x14ac:dyDescent="0.25">
      <c r="A12" s="5">
        <v>44581</v>
      </c>
      <c r="B12">
        <v>13.19</v>
      </c>
      <c r="C12">
        <v>13.64</v>
      </c>
      <c r="D12">
        <v>12.54</v>
      </c>
      <c r="E12">
        <v>12.59</v>
      </c>
      <c r="F12">
        <v>466380.08</v>
      </c>
      <c r="G12">
        <v>12.59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-0.90909090909090795</v>
      </c>
      <c r="Q12">
        <f t="shared" ref="Q12" si="36">F12*P12</f>
        <v>-423981.89090909041</v>
      </c>
      <c r="R12">
        <f t="shared" ref="R12" si="37">R13+Q12</f>
        <v>32584521.554595254</v>
      </c>
      <c r="S12">
        <f t="shared" ref="S12" si="38">R12/100000</f>
        <v>325.84521554595256</v>
      </c>
      <c r="T12">
        <f t="shared" ref="T12" si="39">S12/1000</f>
        <v>0.32584521554595258</v>
      </c>
    </row>
    <row r="13" spans="1:20" x14ac:dyDescent="0.25">
      <c r="A13" s="5">
        <v>44580</v>
      </c>
      <c r="B13">
        <v>13.57</v>
      </c>
      <c r="C13">
        <v>13.82</v>
      </c>
      <c r="D13">
        <v>12.86</v>
      </c>
      <c r="E13">
        <v>13.18</v>
      </c>
      <c r="F13">
        <v>485004.49</v>
      </c>
      <c r="G13">
        <v>13.18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-0.33333333333333331</v>
      </c>
      <c r="Q13">
        <f t="shared" ref="Q13" si="41">F13*P13</f>
        <v>-161668.16333333333</v>
      </c>
      <c r="R13">
        <f t="shared" ref="R13" si="42">R14+Q13</f>
        <v>33008503.445504345</v>
      </c>
      <c r="S13">
        <f t="shared" ref="S13" si="43">R13/100000</f>
        <v>330.08503445504346</v>
      </c>
      <c r="T13">
        <f t="shared" ref="T13" si="44">S13/1000</f>
        <v>0.33008503445504345</v>
      </c>
    </row>
    <row r="14" spans="1:20" x14ac:dyDescent="0.25">
      <c r="A14" s="5">
        <v>44579</v>
      </c>
      <c r="B14">
        <v>13.75</v>
      </c>
      <c r="C14">
        <v>13.96</v>
      </c>
      <c r="D14">
        <v>13.06</v>
      </c>
      <c r="E14">
        <v>13.58</v>
      </c>
      <c r="F14">
        <v>509755.19</v>
      </c>
      <c r="G14">
        <v>13.58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0.15555555555555414</v>
      </c>
      <c r="Q14">
        <f t="shared" ref="Q14" si="46">F14*P14</f>
        <v>79295.251777777055</v>
      </c>
      <c r="R14">
        <f t="shared" ref="R14" si="47">R15+Q14</f>
        <v>33170171.608837679</v>
      </c>
      <c r="S14">
        <f t="shared" ref="S14" si="48">R14/100000</f>
        <v>331.70171608837677</v>
      </c>
      <c r="T14">
        <f t="shared" ref="T14" si="49">S14/1000</f>
        <v>0.33170171608837679</v>
      </c>
    </row>
    <row r="15" spans="1:20" x14ac:dyDescent="0.25">
      <c r="A15" s="5">
        <v>44578</v>
      </c>
      <c r="B15">
        <v>14.28</v>
      </c>
      <c r="C15">
        <v>14.31</v>
      </c>
      <c r="D15">
        <v>13.38</v>
      </c>
      <c r="E15">
        <v>13.73</v>
      </c>
      <c r="F15">
        <v>540679.39</v>
      </c>
      <c r="G15">
        <v>13.73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-0.24731182795698978</v>
      </c>
      <c r="Q15">
        <f t="shared" ref="Q15" si="51">F15*P15</f>
        <v>-133716.40827957017</v>
      </c>
      <c r="R15">
        <f t="shared" ref="R15" si="52">R16+Q15</f>
        <v>33090876.357059903</v>
      </c>
      <c r="S15">
        <f t="shared" ref="S15" si="53">R15/100000</f>
        <v>330.90876357059904</v>
      </c>
      <c r="T15">
        <f t="shared" ref="T15" si="54">S15/1000</f>
        <v>0.33090876357059906</v>
      </c>
    </row>
    <row r="16" spans="1:20" x14ac:dyDescent="0.25">
      <c r="A16" s="5">
        <v>44577</v>
      </c>
      <c r="B16">
        <v>14.52</v>
      </c>
      <c r="C16">
        <v>14.92</v>
      </c>
      <c r="D16">
        <v>14.11</v>
      </c>
      <c r="E16">
        <v>14.29</v>
      </c>
      <c r="F16">
        <v>443652.34</v>
      </c>
      <c r="G16">
        <v>14.29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-0.55555555555555658</v>
      </c>
      <c r="Q16">
        <f t="shared" ref="Q16" si="56">F16*P16</f>
        <v>-246473.5222222227</v>
      </c>
      <c r="R16">
        <f t="shared" ref="R16" si="57">R17+Q16</f>
        <v>33224592.765339475</v>
      </c>
      <c r="S16">
        <f t="shared" ref="S16" si="58">R16/100000</f>
        <v>332.24592765339474</v>
      </c>
      <c r="T16">
        <f t="shared" ref="T16" si="59">S16/1000</f>
        <v>0.33224592765339472</v>
      </c>
    </row>
    <row r="17" spans="1:20" x14ac:dyDescent="0.25">
      <c r="A17" s="5">
        <v>44576</v>
      </c>
      <c r="B17">
        <v>14.16</v>
      </c>
      <c r="C17">
        <v>14.83</v>
      </c>
      <c r="D17">
        <v>14.06</v>
      </c>
      <c r="E17">
        <v>14.53</v>
      </c>
      <c r="F17">
        <v>450328.63</v>
      </c>
      <c r="G17">
        <v>14.53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0.22077922077921849</v>
      </c>
      <c r="Q17">
        <f t="shared" ref="Q17" si="61">F17*P17</f>
        <v>99423.204025972998</v>
      </c>
      <c r="R17">
        <f t="shared" ref="R17" si="62">R18+Q17</f>
        <v>33471066.287561696</v>
      </c>
      <c r="S17">
        <f t="shared" ref="S17" si="63">R17/100000</f>
        <v>334.71066287561695</v>
      </c>
      <c r="T17">
        <f t="shared" ref="T17" si="64">S17/1000</f>
        <v>0.33471066287561696</v>
      </c>
    </row>
    <row r="18" spans="1:20" x14ac:dyDescent="0.25">
      <c r="A18" s="5">
        <v>44575</v>
      </c>
      <c r="B18">
        <v>14</v>
      </c>
      <c r="C18">
        <v>14.4</v>
      </c>
      <c r="D18">
        <v>13.74</v>
      </c>
      <c r="E18">
        <v>14.17</v>
      </c>
      <c r="F18">
        <v>567575.41</v>
      </c>
      <c r="G18">
        <v>14.17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0.30303030303030187</v>
      </c>
      <c r="Q18">
        <f t="shared" ref="Q18" si="66">F18*P18</f>
        <v>171992.54848484785</v>
      </c>
      <c r="R18">
        <f t="shared" ref="R18" si="67">R19+Q18</f>
        <v>33371643.083535723</v>
      </c>
      <c r="S18">
        <f t="shared" ref="S18" si="68">R18/100000</f>
        <v>333.71643083535724</v>
      </c>
      <c r="T18">
        <f t="shared" ref="T18" si="69">S18/1000</f>
        <v>0.33371643083535724</v>
      </c>
    </row>
    <row r="19" spans="1:20" x14ac:dyDescent="0.25">
      <c r="A19" s="5">
        <v>44574</v>
      </c>
      <c r="B19">
        <v>14.77</v>
      </c>
      <c r="C19">
        <v>14.8</v>
      </c>
      <c r="D19">
        <v>13.94</v>
      </c>
      <c r="E19">
        <v>14</v>
      </c>
      <c r="F19">
        <v>522978.74</v>
      </c>
      <c r="G19">
        <v>14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-0.86046511627906885</v>
      </c>
      <c r="Q19">
        <f t="shared" ref="Q19" si="71">F19*P19</f>
        <v>-450004.96232558088</v>
      </c>
      <c r="R19">
        <f t="shared" ref="R19" si="72">R20+Q19</f>
        <v>33199650.535050876</v>
      </c>
      <c r="S19">
        <f t="shared" ref="S19" si="73">R19/100000</f>
        <v>331.99650535050876</v>
      </c>
      <c r="T19">
        <f t="shared" ref="T19" si="74">S19/1000</f>
        <v>0.33199650535050873</v>
      </c>
    </row>
    <row r="20" spans="1:20" x14ac:dyDescent="0.25">
      <c r="A20" s="5">
        <v>44573</v>
      </c>
      <c r="B20">
        <v>14.1</v>
      </c>
      <c r="C20">
        <v>15.03</v>
      </c>
      <c r="D20">
        <v>14.01</v>
      </c>
      <c r="E20">
        <v>14.76</v>
      </c>
      <c r="F20">
        <v>539092.94999999995</v>
      </c>
      <c r="G20">
        <v>14.76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0.47058823529411825</v>
      </c>
      <c r="Q20">
        <f t="shared" ref="Q20" si="76">F20*P20</f>
        <v>253690.80000000031</v>
      </c>
      <c r="R20">
        <f t="shared" ref="R20" si="77">R21+Q20</f>
        <v>33649655.497376457</v>
      </c>
      <c r="S20">
        <f t="shared" ref="S20" si="78">R20/100000</f>
        <v>336.49655497376455</v>
      </c>
      <c r="T20">
        <f t="shared" ref="T20" si="79">S20/1000</f>
        <v>0.33649655497376457</v>
      </c>
    </row>
    <row r="21" spans="1:20" x14ac:dyDescent="0.25">
      <c r="A21" s="5">
        <v>44572</v>
      </c>
      <c r="B21">
        <v>13.37</v>
      </c>
      <c r="C21">
        <v>14.14</v>
      </c>
      <c r="D21">
        <v>13.31</v>
      </c>
      <c r="E21">
        <v>14.11</v>
      </c>
      <c r="F21">
        <v>393629.56</v>
      </c>
      <c r="G21">
        <v>14.11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0.92771084337349119</v>
      </c>
      <c r="Q21">
        <f t="shared" ref="Q21" si="81">F21*P21</f>
        <v>365174.41108433623</v>
      </c>
      <c r="R21">
        <f t="shared" ref="R21" si="82">R22+Q21</f>
        <v>33395964.69737646</v>
      </c>
      <c r="S21">
        <f t="shared" ref="S21" si="83">R21/100000</f>
        <v>333.95964697376462</v>
      </c>
      <c r="T21">
        <f t="shared" ref="T21" si="84">S21/1000</f>
        <v>0.33395964697376462</v>
      </c>
    </row>
    <row r="22" spans="1:20" x14ac:dyDescent="0.25">
      <c r="A22" s="5">
        <v>44571</v>
      </c>
      <c r="B22">
        <v>14.12</v>
      </c>
      <c r="C22">
        <v>14.41</v>
      </c>
      <c r="D22">
        <v>12.86</v>
      </c>
      <c r="E22">
        <v>13.36</v>
      </c>
      <c r="F22">
        <v>563020.93000000005</v>
      </c>
      <c r="G22">
        <v>13.36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-0.35483870967741965</v>
      </c>
      <c r="Q22">
        <f t="shared" ref="Q22" si="86">F22*P22</f>
        <v>-199781.62032258083</v>
      </c>
      <c r="R22">
        <f t="shared" ref="R22" si="87">R23+Q22</f>
        <v>33030790.286292125</v>
      </c>
      <c r="S22">
        <f t="shared" ref="S22" si="88">R22/100000</f>
        <v>330.30790286292125</v>
      </c>
      <c r="T22">
        <f t="shared" ref="T22" si="89">S22/1000</f>
        <v>0.33030790286292128</v>
      </c>
    </row>
    <row r="23" spans="1:20" x14ac:dyDescent="0.25">
      <c r="A23" s="5">
        <v>44570</v>
      </c>
      <c r="B23">
        <v>13.75</v>
      </c>
      <c r="C23">
        <v>14.29</v>
      </c>
      <c r="D23">
        <v>13.54</v>
      </c>
      <c r="E23">
        <v>14.13</v>
      </c>
      <c r="F23">
        <v>374300.55</v>
      </c>
      <c r="G23">
        <v>14.13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0.57333333333333769</v>
      </c>
      <c r="Q23">
        <f t="shared" ref="Q23" si="91">F23*P23</f>
        <v>214598.98200000162</v>
      </c>
      <c r="R23">
        <f t="shared" ref="R23" si="92">R24+Q23</f>
        <v>33230571.906614706</v>
      </c>
      <c r="S23">
        <f t="shared" ref="S23" si="93">R23/100000</f>
        <v>332.30571906614705</v>
      </c>
      <c r="T23">
        <f t="shared" ref="T23" si="94">S23/1000</f>
        <v>0.33230571906614703</v>
      </c>
    </row>
    <row r="24" spans="1:20" x14ac:dyDescent="0.25">
      <c r="A24" s="5">
        <v>44569</v>
      </c>
      <c r="B24">
        <v>13.77</v>
      </c>
      <c r="C24">
        <v>14.11</v>
      </c>
      <c r="D24">
        <v>12.97</v>
      </c>
      <c r="E24">
        <v>13.76</v>
      </c>
      <c r="F24">
        <v>446825.51199999999</v>
      </c>
      <c r="G24">
        <v>13.76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0.38596491228070173</v>
      </c>
      <c r="Q24">
        <f t="shared" ref="Q24" si="96">F24*P24</f>
        <v>172458.96954385962</v>
      </c>
      <c r="R24">
        <f t="shared" ref="R24" si="97">R25+Q24</f>
        <v>33015972.924614705</v>
      </c>
      <c r="S24">
        <f t="shared" ref="S24" si="98">R24/100000</f>
        <v>330.15972924614704</v>
      </c>
      <c r="T24">
        <f t="shared" ref="T24" si="99">S24/1000</f>
        <v>0.33015972924614706</v>
      </c>
    </row>
    <row r="25" spans="1:20" x14ac:dyDescent="0.25">
      <c r="A25" s="5">
        <v>44568</v>
      </c>
      <c r="B25">
        <v>14.18</v>
      </c>
      <c r="C25">
        <v>14.34</v>
      </c>
      <c r="D25">
        <v>13.16</v>
      </c>
      <c r="E25">
        <v>13.76</v>
      </c>
      <c r="F25">
        <v>632987.72</v>
      </c>
      <c r="G25">
        <v>13.76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1.6949152542372524E-2</v>
      </c>
      <c r="Q25">
        <f t="shared" ref="Q25" si="101">F25*P25</f>
        <v>10728.605423728586</v>
      </c>
      <c r="R25">
        <f t="shared" ref="R25" si="102">R26+Q25</f>
        <v>32843513.955070846</v>
      </c>
      <c r="S25">
        <f t="shared" ref="S25" si="103">R25/100000</f>
        <v>328.43513955070847</v>
      </c>
      <c r="T25">
        <f t="shared" ref="T25" si="104">S25/1000</f>
        <v>0.32843513955070847</v>
      </c>
    </row>
    <row r="26" spans="1:20" x14ac:dyDescent="0.25">
      <c r="A26" s="5">
        <v>44567</v>
      </c>
      <c r="B26">
        <v>14.39</v>
      </c>
      <c r="C26">
        <v>14.46</v>
      </c>
      <c r="D26">
        <v>13.45</v>
      </c>
      <c r="E26">
        <v>14.17</v>
      </c>
      <c r="F26">
        <v>556965.36</v>
      </c>
      <c r="G26">
        <v>14.17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0.42574257425742479</v>
      </c>
      <c r="Q26">
        <f t="shared" ref="Q26" si="106">F26*P26</f>
        <v>237123.86613861332</v>
      </c>
      <c r="R26">
        <f t="shared" ref="R26" si="107">R27+Q26</f>
        <v>32832785.349647116</v>
      </c>
      <c r="S26">
        <f t="shared" ref="S26" si="108">R26/100000</f>
        <v>328.32785349647116</v>
      </c>
      <c r="T26">
        <f t="shared" ref="T26" si="109">S26/1000</f>
        <v>0.32832785349647114</v>
      </c>
    </row>
    <row r="27" spans="1:20" x14ac:dyDescent="0.25">
      <c r="A27" s="5">
        <v>44566</v>
      </c>
      <c r="B27">
        <v>15.81</v>
      </c>
      <c r="C27">
        <v>16.28</v>
      </c>
      <c r="D27">
        <v>13.52</v>
      </c>
      <c r="E27">
        <v>14.39</v>
      </c>
      <c r="F27">
        <v>720969.75</v>
      </c>
      <c r="G27">
        <v>14.39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-0.36956521739130399</v>
      </c>
      <c r="Q27">
        <f t="shared" ref="Q27" si="111">F27*P27</f>
        <v>-266445.34239130409</v>
      </c>
      <c r="R27">
        <f t="shared" ref="R27" si="112">R28+Q27</f>
        <v>32595661.483508501</v>
      </c>
      <c r="S27">
        <f t="shared" ref="S27" si="113">R27/100000</f>
        <v>325.95661483508502</v>
      </c>
      <c r="T27">
        <f t="shared" ref="T27" si="114">S27/1000</f>
        <v>0.32595661483508503</v>
      </c>
    </row>
    <row r="28" spans="1:20" x14ac:dyDescent="0.25">
      <c r="A28" s="5">
        <v>44565</v>
      </c>
      <c r="B28">
        <v>15.56</v>
      </c>
      <c r="C28">
        <v>16.32</v>
      </c>
      <c r="D28">
        <v>15.13</v>
      </c>
      <c r="E28">
        <v>15.8</v>
      </c>
      <c r="F28">
        <v>741272.09</v>
      </c>
      <c r="G28">
        <v>15.8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0.12605042016806758</v>
      </c>
      <c r="Q28">
        <f t="shared" ref="Q28" si="116">F28*P28</f>
        <v>93437.658403361609</v>
      </c>
      <c r="R28">
        <f t="shared" ref="R28" si="117">R29+Q28</f>
        <v>32862106.825899806</v>
      </c>
      <c r="S28">
        <f t="shared" ref="S28" si="118">R28/100000</f>
        <v>328.62106825899804</v>
      </c>
      <c r="T28">
        <f t="shared" ref="T28" si="119">S28/1000</f>
        <v>0.32862106825899806</v>
      </c>
    </row>
    <row r="29" spans="1:20" x14ac:dyDescent="0.25">
      <c r="A29" s="5">
        <v>44564</v>
      </c>
      <c r="B29">
        <v>15.37</v>
      </c>
      <c r="C29">
        <v>15.82</v>
      </c>
      <c r="D29">
        <v>15.12</v>
      </c>
      <c r="E29">
        <v>15.58</v>
      </c>
      <c r="F29">
        <v>476190.61</v>
      </c>
      <c r="G29">
        <v>15.58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0.31428571428571472</v>
      </c>
      <c r="Q29">
        <f t="shared" ref="Q29" si="121">F29*P29</f>
        <v>149659.90600000019</v>
      </c>
      <c r="R29">
        <f t="shared" ref="R29" si="122">R30+Q29</f>
        <v>32768669.167496443</v>
      </c>
      <c r="S29">
        <f t="shared" ref="S29" si="123">R29/100000</f>
        <v>327.68669167496444</v>
      </c>
      <c r="T29">
        <f t="shared" ref="T29" si="124">S29/1000</f>
        <v>0.32768669167496445</v>
      </c>
    </row>
    <row r="30" spans="1:20" x14ac:dyDescent="0.25">
      <c r="A30" s="5">
        <v>44563</v>
      </c>
      <c r="B30">
        <v>15.1</v>
      </c>
      <c r="C30">
        <v>15.6</v>
      </c>
      <c r="D30">
        <v>14.75</v>
      </c>
      <c r="E30">
        <v>15.38</v>
      </c>
      <c r="F30">
        <v>479545.31</v>
      </c>
      <c r="G30">
        <v>15.38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0.48235294117647304</v>
      </c>
      <c r="Q30">
        <f t="shared" ref="Q30" si="126">F30*P30</f>
        <v>231310.09070588351</v>
      </c>
      <c r="R30">
        <f t="shared" ref="R30" si="127">R31+Q30</f>
        <v>32619009.261496443</v>
      </c>
      <c r="S30">
        <f t="shared" ref="S30" si="128">R30/100000</f>
        <v>326.19009261496444</v>
      </c>
      <c r="T30">
        <f t="shared" ref="T30" si="129">S30/1000</f>
        <v>0.32619009261496446</v>
      </c>
    </row>
    <row r="31" spans="1:20" x14ac:dyDescent="0.25">
      <c r="A31" s="5">
        <v>44562</v>
      </c>
      <c r="B31">
        <v>14.51</v>
      </c>
      <c r="C31">
        <v>15.31</v>
      </c>
      <c r="D31">
        <v>14.51</v>
      </c>
      <c r="E31">
        <v>15.1</v>
      </c>
      <c r="F31">
        <v>356702.28</v>
      </c>
      <c r="G31">
        <v>15.1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0.47499999999999831</v>
      </c>
      <c r="Q31">
        <f t="shared" ref="Q31" si="131">F31*P31</f>
        <v>169433.5829999994</v>
      </c>
      <c r="R31">
        <f t="shared" ref="R31" si="132">R32+Q31</f>
        <v>32387699.170790561</v>
      </c>
      <c r="S31">
        <f t="shared" ref="S31" si="133">R31/100000</f>
        <v>323.87699170790563</v>
      </c>
      <c r="T31">
        <f t="shared" ref="T31" si="134">S31/1000</f>
        <v>0.32387699170790563</v>
      </c>
    </row>
    <row r="32" spans="1:20" x14ac:dyDescent="0.25">
      <c r="A32" s="5">
        <v>44561</v>
      </c>
      <c r="B32">
        <v>14.68</v>
      </c>
      <c r="C32">
        <v>15.04</v>
      </c>
      <c r="D32">
        <v>14.18</v>
      </c>
      <c r="E32">
        <v>14.53</v>
      </c>
      <c r="F32">
        <v>367474.15</v>
      </c>
      <c r="G32">
        <v>14.53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-0.18604651162790725</v>
      </c>
      <c r="Q32">
        <f t="shared" ref="Q32" si="136">F32*P32</f>
        <v>-68367.28372093034</v>
      </c>
      <c r="R32">
        <f t="shared" ref="R32" si="137">R33+Q32</f>
        <v>32218265.58779056</v>
      </c>
      <c r="S32">
        <f t="shared" ref="S32" si="138">R32/100000</f>
        <v>322.18265587790557</v>
      </c>
      <c r="T32">
        <f t="shared" ref="T32" si="139">S32/1000</f>
        <v>0.32218265587790557</v>
      </c>
    </row>
    <row r="33" spans="1:20" x14ac:dyDescent="0.25">
      <c r="A33" s="5">
        <v>44560</v>
      </c>
      <c r="B33">
        <v>14.37</v>
      </c>
      <c r="C33">
        <v>14.95</v>
      </c>
      <c r="D33">
        <v>13.55</v>
      </c>
      <c r="E33">
        <v>14.69</v>
      </c>
      <c r="F33">
        <v>483996.81</v>
      </c>
      <c r="G33">
        <v>14.69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0.62857142857142845</v>
      </c>
      <c r="Q33">
        <f t="shared" ref="Q33" si="141">F33*P33</f>
        <v>304226.56628571422</v>
      </c>
      <c r="R33">
        <f t="shared" ref="R33" si="142">R34+Q33</f>
        <v>32286632.871511489</v>
      </c>
      <c r="S33">
        <f t="shared" ref="S33" si="143">R33/100000</f>
        <v>322.86632871511489</v>
      </c>
      <c r="T33">
        <f t="shared" ref="T33" si="144">S33/1000</f>
        <v>0.32286632871511489</v>
      </c>
    </row>
    <row r="34" spans="1:20" x14ac:dyDescent="0.25">
      <c r="A34" s="5">
        <v>44559</v>
      </c>
      <c r="B34">
        <v>14.83</v>
      </c>
      <c r="C34">
        <v>15.07</v>
      </c>
      <c r="D34">
        <v>14.1</v>
      </c>
      <c r="E34">
        <v>14.37</v>
      </c>
      <c r="F34">
        <v>645060.15</v>
      </c>
      <c r="G34">
        <v>14.37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-0.4432989690721662</v>
      </c>
      <c r="Q34">
        <f t="shared" ref="Q34" si="146">F34*P34</f>
        <v>-285954.49948453688</v>
      </c>
      <c r="R34">
        <f t="shared" ref="R34" si="147">R35+Q34</f>
        <v>31982406.305225775</v>
      </c>
      <c r="S34">
        <f t="shared" ref="S34" si="148">R34/100000</f>
        <v>319.82406305225777</v>
      </c>
      <c r="T34">
        <f t="shared" ref="T34" si="149">S34/1000</f>
        <v>0.31982406305225775</v>
      </c>
    </row>
    <row r="35" spans="1:20" x14ac:dyDescent="0.25">
      <c r="A35" s="5">
        <v>44558</v>
      </c>
      <c r="B35">
        <v>16.489999999999998</v>
      </c>
      <c r="C35">
        <v>16.489999999999998</v>
      </c>
      <c r="D35">
        <v>14.62</v>
      </c>
      <c r="E35">
        <v>14.83</v>
      </c>
      <c r="F35">
        <v>1000420.32</v>
      </c>
      <c r="G35">
        <v>14.83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-0.77540106951871557</v>
      </c>
      <c r="Q35">
        <f t="shared" ref="Q35" si="151">F35*P35</f>
        <v>-775726.9860962556</v>
      </c>
      <c r="R35">
        <f t="shared" ref="R35" si="152">R36+Q35</f>
        <v>32268360.80471031</v>
      </c>
      <c r="S35">
        <f t="shared" ref="S35" si="153">R35/100000</f>
        <v>322.68360804710312</v>
      </c>
      <c r="T35">
        <f t="shared" ref="T35" si="154">S35/1000</f>
        <v>0.32268360804710311</v>
      </c>
    </row>
    <row r="36" spans="1:20" x14ac:dyDescent="0.25">
      <c r="A36" s="5">
        <v>44557</v>
      </c>
      <c r="B36">
        <v>16.18</v>
      </c>
      <c r="C36">
        <v>17.02</v>
      </c>
      <c r="D36">
        <v>15.9</v>
      </c>
      <c r="E36">
        <v>16.48</v>
      </c>
      <c r="F36">
        <v>922350.41</v>
      </c>
      <c r="G36">
        <v>16.48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3.5714285714286566E-2</v>
      </c>
      <c r="Q36">
        <f t="shared" ref="Q36" si="156">F36*P36</f>
        <v>32941.086071429359</v>
      </c>
      <c r="R36">
        <f t="shared" ref="R36" si="157">R37+Q36</f>
        <v>33044087.790806565</v>
      </c>
      <c r="S36">
        <f t="shared" ref="S36" si="158">R36/100000</f>
        <v>330.44087790806566</v>
      </c>
      <c r="T36">
        <f t="shared" ref="T36" si="159">S36/1000</f>
        <v>0.33044087790806564</v>
      </c>
    </row>
    <row r="37" spans="1:20" x14ac:dyDescent="0.25">
      <c r="A37" s="5">
        <v>44556</v>
      </c>
      <c r="B37">
        <v>16.170000000000002</v>
      </c>
      <c r="C37">
        <v>16.36</v>
      </c>
      <c r="D37">
        <v>15.63</v>
      </c>
      <c r="E37">
        <v>16.16</v>
      </c>
      <c r="F37">
        <v>435204.47</v>
      </c>
      <c r="G37">
        <v>16.16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0.45205479452054886</v>
      </c>
      <c r="Q37">
        <f t="shared" ref="Q37" si="161">F37*P37</f>
        <v>196736.26726027436</v>
      </c>
      <c r="R37">
        <f t="shared" ref="R37" si="162">R38+Q37</f>
        <v>33011146.704735138</v>
      </c>
      <c r="S37">
        <f t="shared" ref="S37" si="163">R37/100000</f>
        <v>330.11146704735137</v>
      </c>
      <c r="T37">
        <f t="shared" ref="T37" si="164">S37/1000</f>
        <v>0.33011146704735139</v>
      </c>
    </row>
    <row r="38" spans="1:20" x14ac:dyDescent="0.25">
      <c r="A38" s="5">
        <v>44555</v>
      </c>
      <c r="B38">
        <v>15.94</v>
      </c>
      <c r="C38">
        <v>16.34</v>
      </c>
      <c r="D38">
        <v>15.85</v>
      </c>
      <c r="E38">
        <v>16.149999999999999</v>
      </c>
      <c r="F38">
        <v>406264.91</v>
      </c>
      <c r="G38">
        <v>16.149999999999999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0.22448979591836246</v>
      </c>
      <c r="Q38">
        <f t="shared" ref="Q38" si="166">F38*P38</f>
        <v>91202.326734691887</v>
      </c>
      <c r="R38">
        <f t="shared" ref="R38" si="167">R39+Q38</f>
        <v>32814410.437474862</v>
      </c>
      <c r="S38">
        <f t="shared" ref="S38" si="168">R38/100000</f>
        <v>328.14410437474862</v>
      </c>
      <c r="T38">
        <f t="shared" ref="T38" si="169">S38/1000</f>
        <v>0.32814410437474861</v>
      </c>
    </row>
    <row r="39" spans="1:20" x14ac:dyDescent="0.25">
      <c r="A39" s="5">
        <v>44554</v>
      </c>
      <c r="B39">
        <v>16.510000000000002</v>
      </c>
      <c r="C39">
        <v>16.73</v>
      </c>
      <c r="D39">
        <v>15.77</v>
      </c>
      <c r="E39">
        <v>15.94</v>
      </c>
      <c r="F39">
        <v>606680</v>
      </c>
      <c r="G39">
        <v>15.94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-0.64583333333333381</v>
      </c>
      <c r="Q39">
        <f t="shared" ref="Q39" si="171">F39*P39</f>
        <v>-391814.16666666698</v>
      </c>
      <c r="R39">
        <f t="shared" ref="R39" si="172">R40+Q39</f>
        <v>32723208.11074017</v>
      </c>
      <c r="S39">
        <f t="shared" ref="S39" si="173">R39/100000</f>
        <v>327.23208110740171</v>
      </c>
      <c r="T39">
        <f t="shared" ref="T39" si="174">S39/1000</f>
        <v>0.32723208110740171</v>
      </c>
    </row>
    <row r="40" spans="1:20" x14ac:dyDescent="0.25">
      <c r="A40" s="5">
        <v>44553</v>
      </c>
      <c r="B40">
        <v>16.04</v>
      </c>
      <c r="C40">
        <v>16.73</v>
      </c>
      <c r="D40">
        <v>15.62</v>
      </c>
      <c r="E40">
        <v>16.510000000000002</v>
      </c>
      <c r="F40">
        <v>922438.68</v>
      </c>
      <c r="G40">
        <v>16.510000000000002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0.6036036036036061</v>
      </c>
      <c r="Q40">
        <f t="shared" ref="Q40" si="176">F40*P40</f>
        <v>556787.31135135365</v>
      </c>
      <c r="R40">
        <f t="shared" ref="R40" si="177">R41+Q40</f>
        <v>33115022.277406838</v>
      </c>
      <c r="S40">
        <f t="shared" ref="S40" si="178">R40/100000</f>
        <v>331.15022277406837</v>
      </c>
      <c r="T40">
        <f t="shared" ref="T40" si="179">S40/1000</f>
        <v>0.33115022277406836</v>
      </c>
    </row>
    <row r="41" spans="1:20" x14ac:dyDescent="0.25">
      <c r="A41" s="5">
        <v>44552</v>
      </c>
      <c r="B41">
        <v>16</v>
      </c>
      <c r="C41">
        <v>16.43</v>
      </c>
      <c r="D41">
        <v>15.83</v>
      </c>
      <c r="E41">
        <v>16.03</v>
      </c>
      <c r="F41">
        <v>610608.44999999995</v>
      </c>
      <c r="G41">
        <v>16.03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-0.33333333333332937</v>
      </c>
      <c r="Q41">
        <f t="shared" ref="Q41" si="181">F41*P41</f>
        <v>-203536.14999999758</v>
      </c>
      <c r="R41">
        <f t="shared" ref="R41" si="182">R42+Q41</f>
        <v>32558234.966055483</v>
      </c>
      <c r="S41">
        <f t="shared" ref="S41" si="183">R41/100000</f>
        <v>325.58234966055483</v>
      </c>
      <c r="T41">
        <f t="shared" ref="T41" si="184">S41/1000</f>
        <v>0.32558234966055483</v>
      </c>
    </row>
    <row r="42" spans="1:20" x14ac:dyDescent="0.25">
      <c r="A42" s="5">
        <v>44551</v>
      </c>
      <c r="B42">
        <v>15.45</v>
      </c>
      <c r="C42">
        <v>16.420000000000002</v>
      </c>
      <c r="D42">
        <v>15.22</v>
      </c>
      <c r="E42">
        <v>15.98</v>
      </c>
      <c r="F42">
        <v>660406.55000000005</v>
      </c>
      <c r="G42">
        <v>15.98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0.26666666666666516</v>
      </c>
      <c r="Q42">
        <f t="shared" ref="Q42" si="186">F42*P42</f>
        <v>176108.41333333234</v>
      </c>
      <c r="R42">
        <f t="shared" ref="R42" si="187">R43+Q42</f>
        <v>32761771.116055481</v>
      </c>
      <c r="S42">
        <f t="shared" ref="S42" si="188">R42/100000</f>
        <v>327.61771116055479</v>
      </c>
      <c r="T42">
        <f t="shared" ref="T42" si="189">S42/1000</f>
        <v>0.32761771116055477</v>
      </c>
    </row>
    <row r="43" spans="1:20" x14ac:dyDescent="0.25">
      <c r="A43" s="5">
        <v>44550</v>
      </c>
      <c r="B43">
        <v>16.12</v>
      </c>
      <c r="C43">
        <v>16.2</v>
      </c>
      <c r="D43">
        <v>14.89</v>
      </c>
      <c r="E43">
        <v>15.44</v>
      </c>
      <c r="F43">
        <v>745816.82</v>
      </c>
      <c r="G43">
        <v>15.44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-0.16030534351145118</v>
      </c>
      <c r="Q43">
        <f t="shared" ref="Q43" si="191">F43*P43</f>
        <v>-119558.42152671814</v>
      </c>
      <c r="R43">
        <f t="shared" ref="R43" si="192">R44+Q43</f>
        <v>32585662.702722147</v>
      </c>
      <c r="S43">
        <f t="shared" ref="S43" si="193">R43/100000</f>
        <v>325.85662702722146</v>
      </c>
      <c r="T43">
        <f t="shared" ref="T43" si="194">S43/1000</f>
        <v>0.32585662702722146</v>
      </c>
    </row>
    <row r="44" spans="1:20" x14ac:dyDescent="0.25">
      <c r="A44" s="5">
        <v>44549</v>
      </c>
      <c r="B44">
        <v>17.28</v>
      </c>
      <c r="C44">
        <v>17.34</v>
      </c>
      <c r="D44">
        <v>16.04</v>
      </c>
      <c r="E44">
        <v>16.11</v>
      </c>
      <c r="F44">
        <v>698484.4</v>
      </c>
      <c r="G44">
        <v>16.11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-0.89230769230769191</v>
      </c>
      <c r="Q44">
        <f t="shared" ref="Q44" si="196">F44*P44</f>
        <v>-623263.00307692285</v>
      </c>
      <c r="R44">
        <f t="shared" ref="R44" si="197">R45+Q44</f>
        <v>32705221.124248866</v>
      </c>
      <c r="S44">
        <f t="shared" ref="S44" si="198">R44/100000</f>
        <v>327.05221124248868</v>
      </c>
      <c r="T44">
        <f t="shared" ref="T44" si="199">S44/1000</f>
        <v>0.32705221124248868</v>
      </c>
    </row>
    <row r="45" spans="1:20" x14ac:dyDescent="0.25">
      <c r="A45" s="5">
        <v>44548</v>
      </c>
      <c r="B45">
        <v>17.52</v>
      </c>
      <c r="C45">
        <v>17.95</v>
      </c>
      <c r="D45">
        <v>17.04</v>
      </c>
      <c r="E45">
        <v>17.3</v>
      </c>
      <c r="F45">
        <v>870162.86</v>
      </c>
      <c r="G45">
        <v>17.3</v>
      </c>
      <c r="L45" t="s">
        <v>7</v>
      </c>
      <c r="M45" t="s">
        <v>8</v>
      </c>
      <c r="N45" t="s">
        <v>8</v>
      </c>
      <c r="P45">
        <f t="shared" ref="P45" si="200">IF(C45=D45,0,((E45-D45)-(C45-E45))/(C45-D45))</f>
        <v>-0.42857142857142522</v>
      </c>
      <c r="Q45">
        <f t="shared" ref="Q45" si="201">F45*P45</f>
        <v>-372926.93999999709</v>
      </c>
      <c r="R45">
        <f t="shared" ref="R45" si="202">R46+Q45</f>
        <v>33328484.127325788</v>
      </c>
      <c r="S45">
        <f t="shared" ref="S45" si="203">R45/100000</f>
        <v>333.28484127325788</v>
      </c>
      <c r="T45">
        <f t="shared" ref="T45" si="204">S45/1000</f>
        <v>0.33328484127325786</v>
      </c>
    </row>
    <row r="46" spans="1:20" x14ac:dyDescent="0.25">
      <c r="A46" s="5">
        <v>44547</v>
      </c>
      <c r="B46">
        <v>18.68</v>
      </c>
      <c r="C46">
        <v>20.12</v>
      </c>
      <c r="D46">
        <v>17.36</v>
      </c>
      <c r="E46">
        <v>17.52</v>
      </c>
      <c r="F46">
        <v>3031230.13</v>
      </c>
      <c r="G46">
        <v>17.52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-0.88405797101449268</v>
      </c>
      <c r="Q46">
        <f t="shared" ref="Q46" si="206">F46*P46</f>
        <v>-2679783.1584057966</v>
      </c>
      <c r="R46">
        <f t="shared" ref="R46" si="207">R47+Q46</f>
        <v>33701411.067325786</v>
      </c>
      <c r="S46">
        <f t="shared" ref="S46" si="208">R46/100000</f>
        <v>337.01411067325785</v>
      </c>
      <c r="T46">
        <f t="shared" ref="T46" si="209">S46/1000</f>
        <v>0.33701411067325787</v>
      </c>
    </row>
    <row r="47" spans="1:20" x14ac:dyDescent="0.25">
      <c r="A47" s="5">
        <v>44546</v>
      </c>
      <c r="B47">
        <v>17.12</v>
      </c>
      <c r="C47">
        <v>19.12</v>
      </c>
      <c r="D47">
        <v>16.739999999999998</v>
      </c>
      <c r="E47">
        <v>18.649999999999999</v>
      </c>
      <c r="F47">
        <v>1628517.92</v>
      </c>
      <c r="G47">
        <v>18.649999999999999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0.60504201680672109</v>
      </c>
      <c r="Q47">
        <f t="shared" ref="Q47" si="211">F47*P47</f>
        <v>985321.76672268647</v>
      </c>
      <c r="R47">
        <f t="shared" ref="R47" si="212">R48+Q47</f>
        <v>36381194.225731581</v>
      </c>
      <c r="S47">
        <f t="shared" ref="S47" si="213">R47/100000</f>
        <v>363.81194225731582</v>
      </c>
      <c r="T47">
        <f t="shared" ref="T47" si="214">S47/1000</f>
        <v>0.36381194225731583</v>
      </c>
    </row>
    <row r="48" spans="1:20" x14ac:dyDescent="0.25">
      <c r="A48" s="5">
        <v>44545</v>
      </c>
      <c r="B48">
        <v>15.01</v>
      </c>
      <c r="C48">
        <v>17.88</v>
      </c>
      <c r="D48">
        <v>14.91</v>
      </c>
      <c r="E48">
        <v>17.100000000000001</v>
      </c>
      <c r="F48">
        <v>2084029.7</v>
      </c>
      <c r="G48">
        <v>17.100000000000001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0.47474747474747619</v>
      </c>
      <c r="Q48">
        <f t="shared" ref="Q48" si="216">F48*P48</f>
        <v>989387.83737374039</v>
      </c>
      <c r="R48">
        <f t="shared" ref="R48" si="217">R49+Q48</f>
        <v>35395872.459008895</v>
      </c>
      <c r="S48">
        <f t="shared" ref="S48" si="218">R48/100000</f>
        <v>353.95872459008893</v>
      </c>
      <c r="T48">
        <f t="shared" ref="T48" si="219">S48/1000</f>
        <v>0.35395872459008892</v>
      </c>
    </row>
    <row r="49" spans="1:20" x14ac:dyDescent="0.25">
      <c r="A49" s="5">
        <v>44544</v>
      </c>
      <c r="B49">
        <v>14.38</v>
      </c>
      <c r="C49">
        <v>15.53</v>
      </c>
      <c r="D49">
        <v>13.94</v>
      </c>
      <c r="E49">
        <v>14.99</v>
      </c>
      <c r="F49">
        <v>1525895.956</v>
      </c>
      <c r="G49">
        <v>14.99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0.32075471698113311</v>
      </c>
      <c r="Q49">
        <f t="shared" ref="Q49" si="221">F49*P49</f>
        <v>489438.32550943556</v>
      </c>
      <c r="R49">
        <f t="shared" ref="R49" si="222">R50+Q49</f>
        <v>34406484.621635154</v>
      </c>
      <c r="S49">
        <f t="shared" ref="S49" si="223">R49/100000</f>
        <v>344.06484621635155</v>
      </c>
      <c r="T49">
        <f t="shared" ref="T49" si="224">S49/1000</f>
        <v>0.34406484621635153</v>
      </c>
    </row>
    <row r="50" spans="1:20" x14ac:dyDescent="0.25">
      <c r="A50" s="5">
        <v>44543</v>
      </c>
      <c r="B50">
        <v>16.559999999999999</v>
      </c>
      <c r="C50">
        <v>16.989999999999998</v>
      </c>
      <c r="D50">
        <v>14.31</v>
      </c>
      <c r="E50">
        <v>14.38</v>
      </c>
      <c r="F50">
        <v>834259.26</v>
      </c>
      <c r="G50">
        <v>14.38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-0.94776119402985048</v>
      </c>
      <c r="Q50">
        <f t="shared" ref="Q50" si="226">F50*P50</f>
        <v>-790678.55238805944</v>
      </c>
      <c r="R50">
        <f t="shared" ref="R50" si="227">R51+Q50</f>
        <v>33917046.296125717</v>
      </c>
      <c r="S50">
        <f t="shared" ref="S50" si="228">R50/100000</f>
        <v>339.17046296125716</v>
      </c>
      <c r="T50">
        <f t="shared" ref="T50" si="229">S50/1000</f>
        <v>0.33917046296125714</v>
      </c>
    </row>
    <row r="51" spans="1:20" x14ac:dyDescent="0.25">
      <c r="A51" s="5">
        <v>44542</v>
      </c>
      <c r="B51">
        <v>16.05</v>
      </c>
      <c r="C51">
        <v>16.899999999999999</v>
      </c>
      <c r="D51">
        <v>15.51</v>
      </c>
      <c r="E51">
        <v>16.55</v>
      </c>
      <c r="F51">
        <v>662795.28</v>
      </c>
      <c r="G51">
        <v>16.55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0.49640287769784436</v>
      </c>
      <c r="Q51">
        <f t="shared" ref="Q51" si="231">F51*P51</f>
        <v>329013.48431654851</v>
      </c>
      <c r="R51">
        <f t="shared" ref="R51" si="232">R52+Q51</f>
        <v>34707724.848513775</v>
      </c>
      <c r="S51">
        <f t="shared" ref="S51" si="233">R51/100000</f>
        <v>347.07724848513777</v>
      </c>
      <c r="T51">
        <f t="shared" ref="T51" si="234">S51/1000</f>
        <v>0.34707724848513777</v>
      </c>
    </row>
    <row r="52" spans="1:20" x14ac:dyDescent="0.25">
      <c r="A52" s="5">
        <v>44541</v>
      </c>
      <c r="B52">
        <v>15.62</v>
      </c>
      <c r="C52">
        <v>15.79</v>
      </c>
      <c r="D52">
        <v>15.31</v>
      </c>
      <c r="E52">
        <v>15.72</v>
      </c>
      <c r="F52">
        <v>34160.050000000003</v>
      </c>
      <c r="G52">
        <v>15.72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0.7083333333333387</v>
      </c>
      <c r="Q52">
        <f t="shared" ref="Q52" si="236">F52*P52</f>
        <v>24196.702083333519</v>
      </c>
      <c r="R52">
        <f t="shared" ref="R52" si="237">R53+Q52</f>
        <v>34378711.364197224</v>
      </c>
      <c r="S52">
        <f t="shared" ref="S52" si="238">R52/100000</f>
        <v>343.78711364197227</v>
      </c>
      <c r="T52">
        <f t="shared" ref="T52" si="239">S52/1000</f>
        <v>0.34378711364197229</v>
      </c>
    </row>
    <row r="53" spans="1:20" x14ac:dyDescent="0.25">
      <c r="A53" s="5">
        <v>44540</v>
      </c>
      <c r="B53">
        <v>17.05</v>
      </c>
      <c r="C53">
        <v>17.53</v>
      </c>
      <c r="D53">
        <v>15.54</v>
      </c>
      <c r="E53">
        <v>15.62</v>
      </c>
      <c r="F53">
        <v>1021790.89</v>
      </c>
      <c r="G53">
        <v>15.62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-0.91959798994974873</v>
      </c>
      <c r="Q53">
        <f t="shared" ref="Q53" si="241">F53*P53</f>
        <v>-939636.84859296482</v>
      </c>
      <c r="R53">
        <f t="shared" ref="R53" si="242">R54+Q53</f>
        <v>34354514.66211389</v>
      </c>
      <c r="S53">
        <f t="shared" ref="S53" si="243">R53/100000</f>
        <v>343.54514662113888</v>
      </c>
      <c r="T53">
        <f t="shared" ref="T53" si="244">S53/1000</f>
        <v>0.34354514662113889</v>
      </c>
    </row>
    <row r="54" spans="1:20" x14ac:dyDescent="0.25">
      <c r="A54" s="5">
        <v>44539</v>
      </c>
      <c r="B54">
        <v>19.170000000000002</v>
      </c>
      <c r="C54">
        <v>19.25</v>
      </c>
      <c r="D54">
        <v>16.97</v>
      </c>
      <c r="E54">
        <v>17.07</v>
      </c>
      <c r="F54">
        <v>442103.92</v>
      </c>
      <c r="G54">
        <v>17.07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-0.9122807017543848</v>
      </c>
      <c r="Q54">
        <f t="shared" ref="Q54" si="246">F54*P54</f>
        <v>-403322.87438596436</v>
      </c>
      <c r="R54">
        <f t="shared" ref="R54" si="247">R55+Q54</f>
        <v>35294151.510706857</v>
      </c>
      <c r="S54">
        <f t="shared" ref="S54" si="248">R54/100000</f>
        <v>352.9415151070686</v>
      </c>
      <c r="T54">
        <f t="shared" ref="T54" si="249">S54/1000</f>
        <v>0.35294151510706862</v>
      </c>
    </row>
    <row r="55" spans="1:20" x14ac:dyDescent="0.25">
      <c r="A55" s="5">
        <v>44538</v>
      </c>
      <c r="B55">
        <v>19.190000000000001</v>
      </c>
      <c r="C55">
        <v>19.309999999999999</v>
      </c>
      <c r="D55">
        <v>18.18</v>
      </c>
      <c r="E55">
        <v>19.170000000000002</v>
      </c>
      <c r="F55">
        <v>398825.01</v>
      </c>
      <c r="G55">
        <v>19.170000000000002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0.75221238938053603</v>
      </c>
      <c r="Q55">
        <f t="shared" ref="Q55" si="251">F55*P55</f>
        <v>300001.11371681618</v>
      </c>
      <c r="R55">
        <f t="shared" ref="R55" si="252">R56+Q55</f>
        <v>35697474.385092825</v>
      </c>
      <c r="S55">
        <f t="shared" ref="S55" si="253">R55/100000</f>
        <v>356.97474385092823</v>
      </c>
      <c r="T55">
        <f t="shared" ref="T55" si="254">S55/1000</f>
        <v>0.35697474385092826</v>
      </c>
    </row>
    <row r="56" spans="1:20" x14ac:dyDescent="0.25">
      <c r="A56" s="5">
        <v>44537</v>
      </c>
      <c r="B56">
        <v>19.510000000000002</v>
      </c>
      <c r="C56">
        <v>20.04</v>
      </c>
      <c r="D56">
        <v>18.88</v>
      </c>
      <c r="E56">
        <v>19.190000000000001</v>
      </c>
      <c r="F56">
        <v>627216.37</v>
      </c>
      <c r="G56">
        <v>19.190000000000001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-0.4655172413793065</v>
      </c>
      <c r="Q56">
        <f t="shared" ref="Q56" si="256">F56*P56</f>
        <v>-291980.03431034239</v>
      </c>
      <c r="R56">
        <f t="shared" ref="R56" si="257">R57+Q56</f>
        <v>35397473.271376006</v>
      </c>
      <c r="S56">
        <f t="shared" ref="S56" si="258">R56/100000</f>
        <v>353.97473271376009</v>
      </c>
      <c r="T56">
        <f t="shared" ref="T56" si="259">S56/1000</f>
        <v>0.35397473271376007</v>
      </c>
    </row>
    <row r="57" spans="1:20" x14ac:dyDescent="0.25">
      <c r="A57" s="5">
        <v>44536</v>
      </c>
      <c r="B57">
        <v>19.21</v>
      </c>
      <c r="C57">
        <v>21.62</v>
      </c>
      <c r="D57">
        <v>18.05</v>
      </c>
      <c r="E57">
        <v>19.510000000000002</v>
      </c>
      <c r="F57">
        <v>2377308.88</v>
      </c>
      <c r="G57">
        <v>19.510000000000002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-0.18207282913165224</v>
      </c>
      <c r="Q57">
        <f t="shared" ref="Q57" si="261">F57*P57</f>
        <v>-432843.35350139951</v>
      </c>
      <c r="R57">
        <f t="shared" ref="R57" si="262">R58+Q57</f>
        <v>35689453.305686347</v>
      </c>
      <c r="S57">
        <f t="shared" ref="S57" si="263">R57/100000</f>
        <v>356.89453305686345</v>
      </c>
      <c r="T57">
        <f t="shared" ref="T57" si="264">S57/1000</f>
        <v>0.35689453305686347</v>
      </c>
    </row>
    <row r="58" spans="1:20" x14ac:dyDescent="0.25">
      <c r="A58" s="5">
        <v>44535</v>
      </c>
      <c r="B58">
        <v>18.34</v>
      </c>
      <c r="C58">
        <v>19.989999999999998</v>
      </c>
      <c r="D58">
        <v>17.440000000000001</v>
      </c>
      <c r="E58">
        <v>19.22</v>
      </c>
      <c r="F58">
        <v>1054548.8899999999</v>
      </c>
      <c r="G58">
        <v>19.22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0.39607843137254867</v>
      </c>
      <c r="Q58">
        <f t="shared" ref="Q58" si="266">F58*P58</f>
        <v>417684.07015686232</v>
      </c>
      <c r="R58">
        <f t="shared" ref="R58" si="267">R59+Q58</f>
        <v>36122296.659187749</v>
      </c>
      <c r="S58">
        <f t="shared" ref="S58" si="268">R58/100000</f>
        <v>361.22296659187748</v>
      </c>
      <c r="T58">
        <f t="shared" ref="T58" si="269">S58/1000</f>
        <v>0.36122296659187747</v>
      </c>
    </row>
    <row r="59" spans="1:20" x14ac:dyDescent="0.25">
      <c r="A59" s="5">
        <v>44534</v>
      </c>
      <c r="B59">
        <v>21.25</v>
      </c>
      <c r="C59">
        <v>21.3</v>
      </c>
      <c r="D59">
        <v>15</v>
      </c>
      <c r="E59">
        <v>18.329999999999998</v>
      </c>
      <c r="F59">
        <v>1223115.7379999999</v>
      </c>
      <c r="G59">
        <v>18.329999999999998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5.7142857142856482E-2</v>
      </c>
      <c r="Q59">
        <f t="shared" ref="Q59" si="271">F59*P59</f>
        <v>69892.327885713472</v>
      </c>
      <c r="R59">
        <f t="shared" ref="R59" si="272">R60+Q59</f>
        <v>35704612.589030884</v>
      </c>
      <c r="S59">
        <f t="shared" ref="S59" si="273">R59/100000</f>
        <v>357.04612589030882</v>
      </c>
      <c r="T59">
        <f t="shared" ref="T59" si="274">S59/1000</f>
        <v>0.35704612589030882</v>
      </c>
    </row>
    <row r="60" spans="1:20" x14ac:dyDescent="0.25">
      <c r="A60" s="5">
        <v>44533</v>
      </c>
      <c r="B60">
        <v>21.24</v>
      </c>
      <c r="C60">
        <v>21.57</v>
      </c>
      <c r="D60">
        <v>19.93</v>
      </c>
      <c r="E60">
        <v>21.27</v>
      </c>
      <c r="F60">
        <v>679240.94</v>
      </c>
      <c r="G60">
        <v>21.27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0.63414634146341387</v>
      </c>
      <c r="Q60">
        <f t="shared" ref="Q60" si="276">F60*P60</f>
        <v>430738.15707317018</v>
      </c>
      <c r="R60">
        <f t="shared" ref="R60" si="277">R61+Q60</f>
        <v>35634720.261145167</v>
      </c>
      <c r="S60">
        <f t="shared" ref="S60" si="278">R60/100000</f>
        <v>356.34720261145168</v>
      </c>
      <c r="T60">
        <f t="shared" ref="T60" si="279">S60/1000</f>
        <v>0.3563472026114517</v>
      </c>
    </row>
    <row r="61" spans="1:20" x14ac:dyDescent="0.25">
      <c r="A61" s="5">
        <v>44532</v>
      </c>
      <c r="B61">
        <v>22.65</v>
      </c>
      <c r="C61">
        <v>23.38</v>
      </c>
      <c r="D61">
        <v>21.13</v>
      </c>
      <c r="E61">
        <v>21.24</v>
      </c>
      <c r="F61">
        <v>649192.14</v>
      </c>
      <c r="G61">
        <v>21.24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-0.9022222222222227</v>
      </c>
      <c r="Q61">
        <f t="shared" ref="Q61" si="281">F61*P61</f>
        <v>-585715.57520000031</v>
      </c>
      <c r="R61">
        <f t="shared" ref="R61" si="282">R62+Q61</f>
        <v>35203982.104071997</v>
      </c>
      <c r="S61">
        <f t="shared" ref="S61" si="283">R61/100000</f>
        <v>352.03982104071997</v>
      </c>
      <c r="T61">
        <f t="shared" ref="T61" si="284">S61/1000</f>
        <v>0.35203982104071996</v>
      </c>
    </row>
    <row r="62" spans="1:20" x14ac:dyDescent="0.25">
      <c r="A62" s="5">
        <v>44531</v>
      </c>
      <c r="B62">
        <v>21.37</v>
      </c>
      <c r="C62">
        <v>22.75</v>
      </c>
      <c r="D62">
        <v>21.21</v>
      </c>
      <c r="E62">
        <v>22.67</v>
      </c>
      <c r="F62">
        <v>338716.64</v>
      </c>
      <c r="G62">
        <v>22.67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0.89610389610389829</v>
      </c>
      <c r="Q62">
        <f t="shared" ref="Q62" si="286">F62*P62</f>
        <v>303525.30077922152</v>
      </c>
      <c r="R62">
        <f t="shared" ref="R62" si="287">R63+Q62</f>
        <v>35789697.679271996</v>
      </c>
      <c r="S62">
        <f t="shared" ref="S62" si="288">R62/100000</f>
        <v>357.89697679271995</v>
      </c>
      <c r="T62">
        <f t="shared" ref="T62" si="289">S62/1000</f>
        <v>0.35789697679271998</v>
      </c>
    </row>
    <row r="63" spans="1:20" x14ac:dyDescent="0.25">
      <c r="A63" s="5">
        <v>44530</v>
      </c>
      <c r="B63">
        <v>21.35</v>
      </c>
      <c r="C63">
        <v>22.12</v>
      </c>
      <c r="D63">
        <v>20.75</v>
      </c>
      <c r="E63">
        <v>21.37</v>
      </c>
      <c r="F63">
        <v>437891.33</v>
      </c>
      <c r="G63">
        <v>21.37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-9.4890510948904314E-2</v>
      </c>
      <c r="Q63">
        <f t="shared" ref="Q63" si="291">F63*P63</f>
        <v>-41551.732043795273</v>
      </c>
      <c r="R63">
        <f t="shared" ref="R63" si="292">R64+Q63</f>
        <v>35486172.378492773</v>
      </c>
      <c r="S63">
        <f t="shared" ref="S63" si="293">R63/100000</f>
        <v>354.86172378492773</v>
      </c>
      <c r="T63">
        <f t="shared" ref="T63" si="294">S63/1000</f>
        <v>0.35486172378492775</v>
      </c>
    </row>
    <row r="64" spans="1:20" x14ac:dyDescent="0.25">
      <c r="A64" s="5">
        <v>44529</v>
      </c>
      <c r="B64">
        <v>20.43</v>
      </c>
      <c r="C64">
        <v>21.57</v>
      </c>
      <c r="D64">
        <v>20.079999999999998</v>
      </c>
      <c r="E64">
        <v>21.35</v>
      </c>
      <c r="F64">
        <v>343870.76</v>
      </c>
      <c r="G64">
        <v>21.35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0.70469798657718308</v>
      </c>
      <c r="Q64">
        <f t="shared" ref="Q64" si="296">F64*P64</f>
        <v>242325.03221476576</v>
      </c>
      <c r="R64">
        <f t="shared" ref="R64" si="297">R65+Q64</f>
        <v>35527724.110536568</v>
      </c>
      <c r="S64">
        <f t="shared" ref="S64" si="298">R64/100000</f>
        <v>355.2772411053657</v>
      </c>
      <c r="T64">
        <f t="shared" ref="T64" si="299">S64/1000</f>
        <v>0.35527724110536568</v>
      </c>
    </row>
    <row r="65" spans="1:20" x14ac:dyDescent="0.25">
      <c r="A65" s="5">
        <v>44528</v>
      </c>
      <c r="B65">
        <v>19.309999999999999</v>
      </c>
      <c r="C65">
        <v>20.8</v>
      </c>
      <c r="D65">
        <v>18.29</v>
      </c>
      <c r="E65">
        <v>20.440000000000001</v>
      </c>
      <c r="F65">
        <v>461356.78</v>
      </c>
      <c r="G65">
        <v>20.440000000000001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0.71314741035856632</v>
      </c>
      <c r="Q65">
        <f t="shared" ref="Q65" si="301">F65*P65</f>
        <v>329015.3929083668</v>
      </c>
      <c r="R65">
        <f t="shared" ref="R65" si="302">R66+Q65</f>
        <v>35285399.0783218</v>
      </c>
      <c r="S65">
        <f t="shared" ref="S65" si="303">R65/100000</f>
        <v>352.85399078321802</v>
      </c>
      <c r="T65">
        <f t="shared" ref="T65" si="304">S65/1000</f>
        <v>0.352853990783218</v>
      </c>
    </row>
    <row r="66" spans="1:20" x14ac:dyDescent="0.25">
      <c r="A66" s="5">
        <v>44527</v>
      </c>
      <c r="B66">
        <v>19.690000000000001</v>
      </c>
      <c r="C66">
        <v>20.36</v>
      </c>
      <c r="D66">
        <v>19.059999999999999</v>
      </c>
      <c r="E66">
        <v>19.32</v>
      </c>
      <c r="F66">
        <v>237488.67</v>
      </c>
      <c r="G66">
        <v>19.32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-0.59999999999999787</v>
      </c>
      <c r="Q66">
        <f t="shared" ref="Q66" si="306">F66*P66</f>
        <v>-142493.2019999995</v>
      </c>
      <c r="R66">
        <f t="shared" ref="R66" si="307">R67+Q66</f>
        <v>34956383.685413435</v>
      </c>
      <c r="S66">
        <f t="shared" ref="S66" si="308">R66/100000</f>
        <v>349.56383685413437</v>
      </c>
      <c r="T66">
        <f t="shared" ref="T66" si="309">S66/1000</f>
        <v>0.34956383685413439</v>
      </c>
    </row>
    <row r="67" spans="1:20" x14ac:dyDescent="0.25">
      <c r="A67" s="5">
        <v>44526</v>
      </c>
      <c r="B67">
        <v>20.5</v>
      </c>
      <c r="C67">
        <v>20.73</v>
      </c>
      <c r="D67">
        <v>18.059999999999999</v>
      </c>
      <c r="E67">
        <v>19.71</v>
      </c>
      <c r="F67">
        <v>961768.82200000004</v>
      </c>
      <c r="G67">
        <v>19.71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0.23595505617977608</v>
      </c>
      <c r="Q67">
        <f t="shared" ref="Q67" si="311">F67*P67</f>
        <v>226934.21642696706</v>
      </c>
      <c r="R67">
        <f t="shared" ref="R67" si="312">R68+Q67</f>
        <v>35098876.887413435</v>
      </c>
      <c r="S67">
        <f t="shared" ref="S67" si="313">R67/100000</f>
        <v>350.98876887413434</v>
      </c>
      <c r="T67">
        <f t="shared" ref="T67" si="314">S67/1000</f>
        <v>0.35098876887413433</v>
      </c>
    </row>
    <row r="68" spans="1:20" x14ac:dyDescent="0.25">
      <c r="A68" s="5">
        <v>44525</v>
      </c>
      <c r="B68">
        <v>20.22</v>
      </c>
      <c r="C68">
        <v>20.96</v>
      </c>
      <c r="D68">
        <v>19.920000000000002</v>
      </c>
      <c r="E68">
        <v>20.5</v>
      </c>
      <c r="F68">
        <v>334874.03000000003</v>
      </c>
      <c r="G68">
        <v>20.5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0.11538461538461302</v>
      </c>
      <c r="Q68">
        <f t="shared" ref="Q68" si="316">F68*P68</f>
        <v>38639.311153845367</v>
      </c>
      <c r="R68">
        <f t="shared" ref="R68" si="317">R69+Q68</f>
        <v>34871942.670986466</v>
      </c>
      <c r="S68">
        <f t="shared" ref="S68" si="318">R68/100000</f>
        <v>348.71942670986465</v>
      </c>
      <c r="T68">
        <f t="shared" ref="T68" si="319">S68/1000</f>
        <v>0.34871942670986467</v>
      </c>
    </row>
    <row r="69" spans="1:20" x14ac:dyDescent="0.25">
      <c r="A69" s="5">
        <v>44524</v>
      </c>
      <c r="B69">
        <v>20.91</v>
      </c>
      <c r="C69">
        <v>21.15</v>
      </c>
      <c r="D69">
        <v>20.079999999999998</v>
      </c>
      <c r="E69">
        <v>20.37</v>
      </c>
      <c r="F69">
        <v>243792.1</v>
      </c>
      <c r="G69">
        <v>20.37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-0.45794392523363997</v>
      </c>
      <c r="Q69">
        <f t="shared" ref="Q69" si="321">F69*P69</f>
        <v>-111643.11121495208</v>
      </c>
      <c r="R69">
        <f t="shared" ref="R69" si="322">R70+Q69</f>
        <v>34833303.359832622</v>
      </c>
      <c r="S69">
        <f t="shared" ref="S69" si="323">R69/100000</f>
        <v>348.33303359832621</v>
      </c>
      <c r="T69">
        <f t="shared" ref="T69" si="324">S69/1000</f>
        <v>0.34833303359832624</v>
      </c>
    </row>
    <row r="70" spans="1:20" x14ac:dyDescent="0.25">
      <c r="A70" s="5">
        <v>44523</v>
      </c>
      <c r="B70">
        <v>20.91</v>
      </c>
      <c r="C70">
        <v>21.34</v>
      </c>
      <c r="D70">
        <v>20.5</v>
      </c>
      <c r="E70">
        <v>20.92</v>
      </c>
      <c r="F70">
        <v>409691.01</v>
      </c>
      <c r="G70">
        <v>20.92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4.2294210461910733E-15</v>
      </c>
      <c r="Q70">
        <f t="shared" ref="Q70" si="326">F70*P70</f>
        <v>1.7327557801292775E-9</v>
      </c>
      <c r="R70">
        <f t="shared" ref="R70" si="327">R71+Q70</f>
        <v>34944946.471047573</v>
      </c>
      <c r="S70">
        <f t="shared" ref="S70" si="328">R70/100000</f>
        <v>349.44946471047575</v>
      </c>
      <c r="T70">
        <f t="shared" ref="T70" si="329">S70/1000</f>
        <v>0.34944946471047578</v>
      </c>
    </row>
    <row r="71" spans="1:20" x14ac:dyDescent="0.25">
      <c r="A71" s="5">
        <v>44522</v>
      </c>
      <c r="B71">
        <v>21.48</v>
      </c>
      <c r="C71">
        <v>21.6</v>
      </c>
      <c r="D71">
        <v>20.399999999999999</v>
      </c>
      <c r="E71">
        <v>20.91</v>
      </c>
      <c r="F71">
        <v>488592.06</v>
      </c>
      <c r="G71">
        <v>20.91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-0.14999999999999941</v>
      </c>
      <c r="Q71">
        <f t="shared" ref="Q71" si="331">F71*P71</f>
        <v>-73288.808999999717</v>
      </c>
      <c r="R71">
        <f t="shared" ref="R71" si="332">R72+Q71</f>
        <v>34944946.471047573</v>
      </c>
      <c r="S71">
        <f t="shared" ref="S71" si="333">R71/100000</f>
        <v>349.44946471047575</v>
      </c>
      <c r="T71">
        <f t="shared" ref="T71" si="334">S71/1000</f>
        <v>0.34944946471047578</v>
      </c>
    </row>
    <row r="72" spans="1:20" x14ac:dyDescent="0.25">
      <c r="A72" s="5">
        <v>44521</v>
      </c>
      <c r="B72">
        <v>22.09</v>
      </c>
      <c r="C72">
        <v>22.12</v>
      </c>
      <c r="D72">
        <v>21.23</v>
      </c>
      <c r="E72">
        <v>21.46</v>
      </c>
      <c r="F72">
        <v>316374.53000000003</v>
      </c>
      <c r="G72">
        <v>21.46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-0.48314606741572969</v>
      </c>
      <c r="Q72">
        <f t="shared" ref="Q72" si="336">F72*P72</f>
        <v>-152855.10999999981</v>
      </c>
      <c r="R72">
        <f t="shared" ref="R72" si="337">R73+Q72</f>
        <v>35018235.280047573</v>
      </c>
      <c r="S72">
        <f t="shared" ref="S72" si="338">R72/100000</f>
        <v>350.18235280047571</v>
      </c>
      <c r="T72">
        <f t="shared" ref="T72" si="339">S72/1000</f>
        <v>0.35018235280047572</v>
      </c>
    </row>
    <row r="73" spans="1:20" x14ac:dyDescent="0.25">
      <c r="A73" s="5">
        <v>44520</v>
      </c>
      <c r="B73">
        <v>22.16</v>
      </c>
      <c r="C73">
        <v>22.25</v>
      </c>
      <c r="D73">
        <v>21.09</v>
      </c>
      <c r="E73">
        <v>22.1</v>
      </c>
      <c r="F73">
        <v>313013.99</v>
      </c>
      <c r="G73">
        <v>22.1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0.74137931034483007</v>
      </c>
      <c r="Q73">
        <f t="shared" ref="Q73" si="341">F73*P73</f>
        <v>232062.09603448352</v>
      </c>
      <c r="R73">
        <f t="shared" ref="R73" si="342">R74+Q73</f>
        <v>35171090.390047573</v>
      </c>
      <c r="S73">
        <f t="shared" ref="S73" si="343">R73/100000</f>
        <v>351.71090390047573</v>
      </c>
      <c r="T73">
        <f t="shared" ref="T73" si="344">S73/1000</f>
        <v>0.35171090390047571</v>
      </c>
    </row>
    <row r="74" spans="1:20" x14ac:dyDescent="0.25">
      <c r="A74" s="5">
        <v>44519</v>
      </c>
      <c r="B74">
        <v>21.7</v>
      </c>
      <c r="C74">
        <v>22.3</v>
      </c>
      <c r="D74">
        <v>20.54</v>
      </c>
      <c r="E74">
        <v>22.17</v>
      </c>
      <c r="F74">
        <v>448845.24</v>
      </c>
      <c r="G74">
        <v>22.17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0.85227272727272851</v>
      </c>
      <c r="Q74">
        <f t="shared" ref="Q74" si="346">F74*P74</f>
        <v>382538.55681818235</v>
      </c>
      <c r="R74">
        <f t="shared" ref="R74" si="347">R75+Q74</f>
        <v>34939028.29401309</v>
      </c>
      <c r="S74">
        <f t="shared" ref="S74" si="348">R74/100000</f>
        <v>349.39028294013093</v>
      </c>
      <c r="T74">
        <f t="shared" ref="T74" si="349">S74/1000</f>
        <v>0.34939028294013091</v>
      </c>
    </row>
    <row r="75" spans="1:20" x14ac:dyDescent="0.25">
      <c r="A75" s="5">
        <v>44518</v>
      </c>
      <c r="B75">
        <v>21.52</v>
      </c>
      <c r="C75">
        <v>24.6</v>
      </c>
      <c r="D75">
        <v>20.68</v>
      </c>
      <c r="E75">
        <v>21.7</v>
      </c>
      <c r="F75">
        <v>2085336.44</v>
      </c>
      <c r="G75">
        <v>21.7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-0.4795918367346943</v>
      </c>
      <c r="Q75">
        <f t="shared" ref="Q75" si="351">F75*P75</f>
        <v>-1000110.3334693887</v>
      </c>
      <c r="R75">
        <f t="shared" ref="R75" si="352">R76+Q75</f>
        <v>34556489.737194911</v>
      </c>
      <c r="S75">
        <f t="shared" ref="S75" si="353">R75/100000</f>
        <v>345.56489737194909</v>
      </c>
      <c r="T75">
        <f t="shared" ref="T75" si="354">S75/1000</f>
        <v>0.34556489737194906</v>
      </c>
    </row>
    <row r="76" spans="1:20" x14ac:dyDescent="0.25">
      <c r="A76" s="5">
        <v>44517</v>
      </c>
      <c r="B76">
        <v>21.54</v>
      </c>
      <c r="C76">
        <v>21.73</v>
      </c>
      <c r="D76">
        <v>20.59</v>
      </c>
      <c r="E76">
        <v>21.52</v>
      </c>
      <c r="F76">
        <v>495261.09</v>
      </c>
      <c r="G76">
        <v>21.52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0.63157894736841969</v>
      </c>
      <c r="Q76">
        <f t="shared" ref="Q76" si="356">F76*P76</f>
        <v>312796.47789473616</v>
      </c>
      <c r="R76">
        <f t="shared" ref="R76" si="357">R77+Q76</f>
        <v>35556600.070664302</v>
      </c>
      <c r="S76">
        <f t="shared" ref="S76" si="358">R76/100000</f>
        <v>355.56600070664302</v>
      </c>
      <c r="T76">
        <f t="shared" ref="T76" si="359">S76/1000</f>
        <v>0.35556600070664302</v>
      </c>
    </row>
    <row r="77" spans="1:20" x14ac:dyDescent="0.25">
      <c r="A77" s="5">
        <v>44516</v>
      </c>
      <c r="B77">
        <v>23.21</v>
      </c>
      <c r="C77">
        <v>23.95</v>
      </c>
      <c r="D77">
        <v>19.53</v>
      </c>
      <c r="E77">
        <v>21.55</v>
      </c>
      <c r="F77">
        <v>995225.08600000001</v>
      </c>
      <c r="G77">
        <v>21.55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-8.5972850678732837E-2</v>
      </c>
      <c r="Q77">
        <f t="shared" ref="Q77" si="361">F77*P77</f>
        <v>-85562.337710407053</v>
      </c>
      <c r="R77">
        <f t="shared" ref="R77" si="362">R78+Q77</f>
        <v>35243803.592769563</v>
      </c>
      <c r="S77">
        <f t="shared" ref="S77" si="363">R77/100000</f>
        <v>352.43803592769564</v>
      </c>
      <c r="T77">
        <f t="shared" ref="T77" si="364">S77/1000</f>
        <v>0.35243803592769563</v>
      </c>
    </row>
    <row r="78" spans="1:20" x14ac:dyDescent="0.25">
      <c r="A78" s="5">
        <v>44515</v>
      </c>
      <c r="B78">
        <v>23.39</v>
      </c>
      <c r="C78">
        <v>23.96</v>
      </c>
      <c r="D78">
        <v>23.1</v>
      </c>
      <c r="E78">
        <v>23.2</v>
      </c>
      <c r="F78">
        <v>499496.21</v>
      </c>
      <c r="G78">
        <v>23.2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-0.76744186046512108</v>
      </c>
      <c r="Q78">
        <f t="shared" ref="Q78" si="366">F78*P78</f>
        <v>-383334.30069767684</v>
      </c>
      <c r="R78">
        <f t="shared" ref="R78" si="367">R79+Q78</f>
        <v>35329365.930479974</v>
      </c>
      <c r="S78">
        <f t="shared" ref="S78" si="368">R78/100000</f>
        <v>353.29365930479975</v>
      </c>
      <c r="T78">
        <f t="shared" ref="T78" si="369">S78/1000</f>
        <v>0.35329365930479972</v>
      </c>
    </row>
    <row r="79" spans="1:20" x14ac:dyDescent="0.25">
      <c r="A79" s="5">
        <v>44514</v>
      </c>
      <c r="B79">
        <v>23.74</v>
      </c>
      <c r="C79">
        <v>23.82</v>
      </c>
      <c r="D79">
        <v>22.91</v>
      </c>
      <c r="E79">
        <v>23.37</v>
      </c>
      <c r="F79">
        <v>377925.3</v>
      </c>
      <c r="G79">
        <v>23.37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1.0989010989012706E-2</v>
      </c>
      <c r="Q79">
        <f t="shared" ref="Q79" si="371">F79*P79</f>
        <v>4153.0252747259237</v>
      </c>
      <c r="R79">
        <f t="shared" ref="R79" si="372">R80+Q79</f>
        <v>35712700.23117765</v>
      </c>
      <c r="S79">
        <f t="shared" ref="S79" si="373">R79/100000</f>
        <v>357.12700231177649</v>
      </c>
      <c r="T79">
        <f t="shared" ref="T79" si="374">S79/1000</f>
        <v>0.35712700231177652</v>
      </c>
    </row>
    <row r="80" spans="1:20" x14ac:dyDescent="0.25">
      <c r="A80" s="5">
        <v>44513</v>
      </c>
      <c r="B80">
        <v>23.36</v>
      </c>
      <c r="C80">
        <v>23.96</v>
      </c>
      <c r="D80">
        <v>23.21</v>
      </c>
      <c r="E80">
        <v>23.74</v>
      </c>
      <c r="F80">
        <v>356469.13</v>
      </c>
      <c r="G80">
        <v>23.74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0.41333333333332689</v>
      </c>
      <c r="Q80">
        <f t="shared" ref="Q80" si="376">F80*P80</f>
        <v>147340.57373333102</v>
      </c>
      <c r="R80">
        <f t="shared" ref="R80" si="377">R81+Q80</f>
        <v>35708547.205902927</v>
      </c>
      <c r="S80">
        <f t="shared" ref="S80" si="378">R80/100000</f>
        <v>357.08547205902926</v>
      </c>
      <c r="T80">
        <f t="shared" ref="T80" si="379">S80/1000</f>
        <v>0.35708547205902924</v>
      </c>
    </row>
    <row r="81" spans="1:20" x14ac:dyDescent="0.25">
      <c r="A81" s="5">
        <v>44512</v>
      </c>
      <c r="B81">
        <v>24.25</v>
      </c>
      <c r="C81">
        <v>24.3</v>
      </c>
      <c r="D81">
        <v>22.93</v>
      </c>
      <c r="E81">
        <v>23.36</v>
      </c>
      <c r="F81">
        <v>406752.51</v>
      </c>
      <c r="G81">
        <v>23.36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-0.37226277372262861</v>
      </c>
      <c r="Q81">
        <f t="shared" ref="Q81" si="381">F81*P81</f>
        <v>-151418.81759124124</v>
      </c>
      <c r="R81">
        <f t="shared" ref="R81" si="382">R82+Q81</f>
        <v>35561206.632169597</v>
      </c>
      <c r="S81">
        <f t="shared" ref="S81" si="383">R81/100000</f>
        <v>355.61206632169598</v>
      </c>
      <c r="T81">
        <f t="shared" ref="T81" si="384">S81/1000</f>
        <v>0.35561206632169595</v>
      </c>
    </row>
    <row r="82" spans="1:20" x14ac:dyDescent="0.25">
      <c r="A82" s="5">
        <v>44511</v>
      </c>
      <c r="B82">
        <v>23.88</v>
      </c>
      <c r="C82">
        <v>24.49</v>
      </c>
      <c r="D82">
        <v>23.57</v>
      </c>
      <c r="E82">
        <v>24.26</v>
      </c>
      <c r="F82">
        <v>365317.17</v>
      </c>
      <c r="G82">
        <v>24.26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0.50000000000000577</v>
      </c>
      <c r="Q82">
        <f t="shared" ref="Q82" si="386">F82*P82</f>
        <v>182658.58500000209</v>
      </c>
      <c r="R82">
        <f t="shared" ref="R82" si="387">R83+Q82</f>
        <v>35712625.449760839</v>
      </c>
      <c r="S82">
        <f t="shared" ref="S82" si="388">R82/100000</f>
        <v>357.12625449760839</v>
      </c>
      <c r="T82">
        <f t="shared" ref="T82" si="389">S82/1000</f>
        <v>0.35712625449760838</v>
      </c>
    </row>
    <row r="83" spans="1:20" x14ac:dyDescent="0.25">
      <c r="A83" s="5">
        <v>44510</v>
      </c>
      <c r="B83">
        <v>25.85</v>
      </c>
      <c r="C83">
        <v>26.06</v>
      </c>
      <c r="D83">
        <v>22.24</v>
      </c>
      <c r="E83">
        <v>23.89</v>
      </c>
      <c r="F83">
        <v>715429.53</v>
      </c>
      <c r="G83">
        <v>23.89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-0.13612565445026073</v>
      </c>
      <c r="Q83">
        <f t="shared" ref="Q83" si="391">F83*P83</f>
        <v>-97388.312984292454</v>
      </c>
      <c r="R83">
        <f t="shared" ref="R83" si="392">R84+Q83</f>
        <v>35529966.864760838</v>
      </c>
      <c r="S83">
        <f t="shared" ref="S83" si="393">R83/100000</f>
        <v>355.29966864760837</v>
      </c>
      <c r="T83">
        <f t="shared" ref="T83" si="394">S83/1000</f>
        <v>0.35529966864760837</v>
      </c>
    </row>
    <row r="84" spans="1:20" x14ac:dyDescent="0.25">
      <c r="A84" s="5">
        <v>44509</v>
      </c>
      <c r="B84">
        <v>25.52</v>
      </c>
      <c r="C84">
        <v>26.42</v>
      </c>
      <c r="D84">
        <v>25.23</v>
      </c>
      <c r="E84">
        <v>25.85</v>
      </c>
      <c r="F84">
        <v>687307.51</v>
      </c>
      <c r="G84">
        <v>25.85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4.2016806722689627E-2</v>
      </c>
      <c r="Q84">
        <f t="shared" ref="Q84" si="396">F84*P84</f>
        <v>28878.466806723067</v>
      </c>
      <c r="R84">
        <f t="shared" ref="R84" si="397">R85+Q84</f>
        <v>35627355.177745134</v>
      </c>
      <c r="S84">
        <f t="shared" ref="S84" si="398">R84/100000</f>
        <v>356.27355177745136</v>
      </c>
      <c r="T84">
        <f t="shared" ref="T84" si="399">S84/1000</f>
        <v>0.35627355177745135</v>
      </c>
    </row>
    <row r="85" spans="1:20" x14ac:dyDescent="0.25">
      <c r="A85" s="5">
        <v>44508</v>
      </c>
      <c r="B85">
        <v>25.4</v>
      </c>
      <c r="C85">
        <v>25.74</v>
      </c>
      <c r="D85">
        <v>24.93</v>
      </c>
      <c r="E85">
        <v>25.51</v>
      </c>
      <c r="F85">
        <v>430233.4</v>
      </c>
      <c r="G85">
        <v>25.51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0.43209876543210557</v>
      </c>
      <c r="Q85">
        <f t="shared" ref="Q85" si="401">F85*P85</f>
        <v>185903.32098765727</v>
      </c>
      <c r="R85">
        <f t="shared" ref="R85" si="402">R86+Q85</f>
        <v>35598476.710938409</v>
      </c>
      <c r="S85">
        <f t="shared" ref="S85" si="403">R85/100000</f>
        <v>355.98476710938411</v>
      </c>
      <c r="T85">
        <f t="shared" ref="T85" si="404">S85/1000</f>
        <v>0.35598476710938409</v>
      </c>
    </row>
    <row r="86" spans="1:20" x14ac:dyDescent="0.25">
      <c r="A86" s="5">
        <v>44507</v>
      </c>
      <c r="B86">
        <v>25.22</v>
      </c>
      <c r="C86">
        <v>25.55</v>
      </c>
      <c r="D86">
        <v>24.82</v>
      </c>
      <c r="E86">
        <v>25.4</v>
      </c>
      <c r="F86">
        <v>409221.41</v>
      </c>
      <c r="G86">
        <v>25.4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0.58904109589040532</v>
      </c>
      <c r="Q86">
        <f t="shared" ref="Q86" si="406">F86*P86</f>
        <v>241048.22780821685</v>
      </c>
      <c r="R86">
        <f t="shared" ref="R86" si="407">R87+Q86</f>
        <v>35412573.389950752</v>
      </c>
      <c r="S86">
        <f t="shared" ref="S86" si="408">R86/100000</f>
        <v>354.12573389950751</v>
      </c>
      <c r="T86">
        <f t="shared" ref="T86" si="409">S86/1000</f>
        <v>0.35412573389950752</v>
      </c>
    </row>
    <row r="87" spans="1:20" x14ac:dyDescent="0.25">
      <c r="A87" s="5">
        <v>44506</v>
      </c>
      <c r="B87">
        <v>25.37</v>
      </c>
      <c r="C87">
        <v>25.69</v>
      </c>
      <c r="D87">
        <v>24.49</v>
      </c>
      <c r="E87">
        <v>25.21</v>
      </c>
      <c r="F87">
        <v>357192.42</v>
      </c>
      <c r="G87">
        <v>25.21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0.20000000000000118</v>
      </c>
      <c r="Q87">
        <f t="shared" ref="Q87" si="411">F87*P87</f>
        <v>71438.484000000419</v>
      </c>
      <c r="R87">
        <f t="shared" ref="R87" si="412">R88+Q87</f>
        <v>35171525.162142538</v>
      </c>
      <c r="S87">
        <f t="shared" ref="S87" si="413">R87/100000</f>
        <v>351.71525162142535</v>
      </c>
      <c r="T87">
        <f t="shared" ref="T87" si="414">S87/1000</f>
        <v>0.35171525162142536</v>
      </c>
    </row>
    <row r="88" spans="1:20" x14ac:dyDescent="0.25">
      <c r="A88" s="5">
        <v>44505</v>
      </c>
      <c r="B88">
        <v>25.96</v>
      </c>
      <c r="C88">
        <v>26</v>
      </c>
      <c r="D88">
        <v>25.11</v>
      </c>
      <c r="E88">
        <v>25.37</v>
      </c>
      <c r="F88">
        <v>390139.43</v>
      </c>
      <c r="G88">
        <v>25.37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-0.41573033707864854</v>
      </c>
      <c r="Q88">
        <f t="shared" ref="Q88" si="416">F88*P88</f>
        <v>-162192.7967415718</v>
      </c>
      <c r="R88">
        <f t="shared" ref="R88" si="417">R89+Q88</f>
        <v>35100086.67814254</v>
      </c>
      <c r="S88">
        <f t="shared" ref="S88" si="418">R88/100000</f>
        <v>351.00086678142543</v>
      </c>
      <c r="T88">
        <f t="shared" ref="T88" si="419">S88/1000</f>
        <v>0.35100086678142545</v>
      </c>
    </row>
    <row r="89" spans="1:20" x14ac:dyDescent="0.25">
      <c r="A89" s="5">
        <v>44504</v>
      </c>
      <c r="B89">
        <v>26.24</v>
      </c>
      <c r="C89">
        <v>26.52</v>
      </c>
      <c r="D89">
        <v>25.16</v>
      </c>
      <c r="E89">
        <v>25.95</v>
      </c>
      <c r="F89">
        <v>508613.44</v>
      </c>
      <c r="G89">
        <v>25.95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0.16176470588235217</v>
      </c>
      <c r="Q89">
        <f t="shared" ref="Q89" si="421">F89*P89</f>
        <v>82275.703529411374</v>
      </c>
      <c r="R89">
        <f t="shared" ref="R89" si="422">R90+Q89</f>
        <v>35262279.474884115</v>
      </c>
      <c r="S89">
        <f t="shared" ref="S89" si="423">R89/100000</f>
        <v>352.62279474884116</v>
      </c>
      <c r="T89">
        <f t="shared" ref="T89" si="424">S89/1000</f>
        <v>0.35262279474884117</v>
      </c>
    </row>
    <row r="90" spans="1:20" x14ac:dyDescent="0.25">
      <c r="A90" s="5">
        <v>44503</v>
      </c>
      <c r="B90">
        <v>26.57</v>
      </c>
      <c r="C90">
        <v>26.62</v>
      </c>
      <c r="D90">
        <v>25.34</v>
      </c>
      <c r="E90">
        <v>26.25</v>
      </c>
      <c r="F90">
        <v>463720.81</v>
      </c>
      <c r="G90">
        <v>26.25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0.42187499999999895</v>
      </c>
      <c r="Q90">
        <f t="shared" ref="Q90" si="426">F90*P90</f>
        <v>195632.21671874952</v>
      </c>
      <c r="R90">
        <f t="shared" ref="R90" si="427">R91+Q90</f>
        <v>35180003.771354705</v>
      </c>
      <c r="S90">
        <f t="shared" ref="S90" si="428">R90/100000</f>
        <v>351.80003771354706</v>
      </c>
      <c r="T90">
        <f t="shared" ref="T90" si="429">S90/1000</f>
        <v>0.35180003771354706</v>
      </c>
    </row>
    <row r="91" spans="1:20" x14ac:dyDescent="0.25">
      <c r="A91" s="5">
        <v>44502</v>
      </c>
      <c r="B91">
        <v>26.47</v>
      </c>
      <c r="C91">
        <v>26.66</v>
      </c>
      <c r="D91">
        <v>26.04</v>
      </c>
      <c r="E91">
        <v>26.56</v>
      </c>
      <c r="F91">
        <v>550218.18000000005</v>
      </c>
      <c r="G91">
        <v>26.56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0.67741935483870563</v>
      </c>
      <c r="Q91">
        <f t="shared" ref="Q91" si="431">F91*P91</f>
        <v>372728.44451612682</v>
      </c>
      <c r="R91">
        <f t="shared" ref="R91" si="432">R92+Q91</f>
        <v>34984371.554635957</v>
      </c>
      <c r="S91">
        <f t="shared" ref="S91" si="433">R91/100000</f>
        <v>349.84371554635959</v>
      </c>
      <c r="T91">
        <f t="shared" ref="T91" si="434">S91/1000</f>
        <v>0.34984371554635957</v>
      </c>
    </row>
    <row r="92" spans="1:20" x14ac:dyDescent="0.25">
      <c r="A92" s="5">
        <v>44501</v>
      </c>
      <c r="B92">
        <v>26.44</v>
      </c>
      <c r="C92">
        <v>27.5</v>
      </c>
      <c r="D92">
        <v>25.89</v>
      </c>
      <c r="E92">
        <v>26.45</v>
      </c>
      <c r="F92">
        <v>558956.38</v>
      </c>
      <c r="G92">
        <v>26.45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-0.30434782608695787</v>
      </c>
      <c r="Q92">
        <f t="shared" ref="Q92" si="436">F92*P92</f>
        <v>-170117.15913043555</v>
      </c>
      <c r="R92">
        <f t="shared" ref="R92" si="437">R93+Q92</f>
        <v>34611643.110119827</v>
      </c>
      <c r="S92">
        <f t="shared" ref="S92" si="438">R92/100000</f>
        <v>346.11643110119826</v>
      </c>
      <c r="T92">
        <f t="shared" ref="T92" si="439">S92/1000</f>
        <v>0.34611643110119827</v>
      </c>
    </row>
    <row r="93" spans="1:20" x14ac:dyDescent="0.25">
      <c r="A93" s="5">
        <v>44500</v>
      </c>
      <c r="B93">
        <v>26.75</v>
      </c>
      <c r="C93">
        <v>26.79</v>
      </c>
      <c r="D93">
        <v>25.79</v>
      </c>
      <c r="E93">
        <v>26.44</v>
      </c>
      <c r="F93">
        <v>503445.53</v>
      </c>
      <c r="G93">
        <v>26.44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0.30000000000000426</v>
      </c>
      <c r="Q93">
        <f t="shared" ref="Q93" si="441">F93*P93</f>
        <v>151033.65900000217</v>
      </c>
      <c r="R93">
        <f t="shared" ref="R93" si="442">R94+Q93</f>
        <v>34781760.269250266</v>
      </c>
      <c r="S93">
        <f t="shared" ref="S93" si="443">R93/100000</f>
        <v>347.81760269250265</v>
      </c>
      <c r="T93">
        <f t="shared" ref="T93" si="444">S93/1000</f>
        <v>0.34781760269250267</v>
      </c>
    </row>
    <row r="94" spans="1:20" x14ac:dyDescent="0.25">
      <c r="A94" s="5">
        <v>44499</v>
      </c>
      <c r="B94">
        <v>27.51</v>
      </c>
      <c r="C94">
        <v>27.53</v>
      </c>
      <c r="D94">
        <v>26.3</v>
      </c>
      <c r="E94">
        <v>26.73</v>
      </c>
      <c r="F94">
        <v>639550.81999999995</v>
      </c>
      <c r="G94">
        <v>26.73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-0.30081300813008199</v>
      </c>
      <c r="Q94">
        <f t="shared" ref="Q94" si="446">F94*P94</f>
        <v>-192385.20601626058</v>
      </c>
      <c r="R94">
        <f t="shared" ref="R94" si="447">R95+Q94</f>
        <v>34630726.610250264</v>
      </c>
      <c r="S94">
        <f t="shared" ref="S94" si="448">R94/100000</f>
        <v>346.30726610250264</v>
      </c>
      <c r="T94">
        <f t="shared" ref="T94" si="449">S94/1000</f>
        <v>0.34630726610250262</v>
      </c>
    </row>
    <row r="95" spans="1:20" x14ac:dyDescent="0.25">
      <c r="A95" s="5">
        <v>44498</v>
      </c>
      <c r="B95">
        <v>27.66</v>
      </c>
      <c r="C95">
        <v>27.71</v>
      </c>
      <c r="D95">
        <v>26.94</v>
      </c>
      <c r="E95">
        <v>27.51</v>
      </c>
      <c r="F95">
        <v>974531.65</v>
      </c>
      <c r="G95">
        <v>27.51</v>
      </c>
      <c r="L95" t="s">
        <v>7</v>
      </c>
      <c r="M95" t="s">
        <v>8</v>
      </c>
      <c r="N95" t="s">
        <v>7</v>
      </c>
      <c r="P95">
        <f t="shared" ref="P95" si="450">IF(C95=D95,0,((E95-D95)-(C95-E95))/(C95-D95))</f>
        <v>0.48051948051948207</v>
      </c>
      <c r="Q95">
        <f t="shared" ref="Q95" si="451">F95*P95</f>
        <v>468281.44220779371</v>
      </c>
      <c r="R95">
        <f t="shared" ref="R95" si="452">R96+Q95</f>
        <v>34823111.816266522</v>
      </c>
      <c r="S95">
        <f t="shared" ref="S95" si="453">R95/100000</f>
        <v>348.23111816266521</v>
      </c>
      <c r="T95">
        <f t="shared" ref="T95" si="454">S95/1000</f>
        <v>0.34823111816266522</v>
      </c>
    </row>
    <row r="96" spans="1:20" x14ac:dyDescent="0.25">
      <c r="A96" s="5">
        <v>44497</v>
      </c>
      <c r="B96">
        <v>28.48</v>
      </c>
      <c r="C96">
        <v>29.19</v>
      </c>
      <c r="D96">
        <v>27.4</v>
      </c>
      <c r="E96">
        <v>27.66</v>
      </c>
      <c r="F96">
        <v>831269.4</v>
      </c>
      <c r="G96">
        <v>27.66</v>
      </c>
      <c r="L96" t="s">
        <v>7</v>
      </c>
      <c r="M96" t="s">
        <v>8</v>
      </c>
      <c r="N96" t="s">
        <v>7</v>
      </c>
      <c r="P96">
        <f t="shared" ref="P96" si="455">IF(C96=D96,0,((E96-D96)-(C96-E96))/(C96-D96))</f>
        <v>-0.70949720670390926</v>
      </c>
      <c r="Q96">
        <f t="shared" ref="Q96" si="456">F96*P96</f>
        <v>-589783.31731843459</v>
      </c>
      <c r="R96">
        <f t="shared" ref="R96" si="457">R97+Q96</f>
        <v>34354830.374058731</v>
      </c>
      <c r="S96">
        <f t="shared" ref="S96" si="458">R96/100000</f>
        <v>343.5483037405873</v>
      </c>
      <c r="T96">
        <f t="shared" ref="T96" si="459">S96/1000</f>
        <v>0.34354830374058731</v>
      </c>
    </row>
    <row r="97" spans="1:20" x14ac:dyDescent="0.25">
      <c r="A97" s="5">
        <v>44496</v>
      </c>
      <c r="B97">
        <v>28.67</v>
      </c>
      <c r="C97">
        <v>32.54</v>
      </c>
      <c r="D97">
        <v>24.25</v>
      </c>
      <c r="E97">
        <v>28.44</v>
      </c>
      <c r="F97">
        <v>2369920.27</v>
      </c>
      <c r="G97">
        <v>28.44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1.0856453558504635E-2</v>
      </c>
      <c r="Q97">
        <f t="shared" ref="Q97" si="461">F97*P97</f>
        <v>25728.929348613765</v>
      </c>
      <c r="R97">
        <f t="shared" ref="R97" si="462">R98+Q97</f>
        <v>34944613.691377163</v>
      </c>
      <c r="S97">
        <f t="shared" ref="S97" si="463">R97/100000</f>
        <v>349.44613691377162</v>
      </c>
      <c r="T97">
        <f t="shared" ref="T97" si="464">S97/1000</f>
        <v>0.34944613691377163</v>
      </c>
    </row>
    <row r="98" spans="1:20" x14ac:dyDescent="0.25">
      <c r="A98" s="5">
        <v>44495</v>
      </c>
      <c r="B98">
        <v>28.57</v>
      </c>
      <c r="C98">
        <v>29.39</v>
      </c>
      <c r="D98">
        <v>28</v>
      </c>
      <c r="E98">
        <v>28.66</v>
      </c>
      <c r="F98">
        <v>491182.1</v>
      </c>
      <c r="G98">
        <v>28.66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-5.0359712230216014E-2</v>
      </c>
      <c r="Q98">
        <f t="shared" ref="Q98" si="466">F98*P98</f>
        <v>-24735.789208633185</v>
      </c>
      <c r="R98">
        <f t="shared" ref="R98" si="467">R99+Q98</f>
        <v>34918884.762028553</v>
      </c>
      <c r="S98">
        <f t="shared" ref="S98" si="468">R98/100000</f>
        <v>349.18884762028551</v>
      </c>
      <c r="T98">
        <f t="shared" ref="T98" si="469">S98/1000</f>
        <v>0.34918884762028551</v>
      </c>
    </row>
    <row r="99" spans="1:20" x14ac:dyDescent="0.25">
      <c r="A99" s="5">
        <v>44494</v>
      </c>
      <c r="B99">
        <v>28.07</v>
      </c>
      <c r="C99">
        <v>28.73</v>
      </c>
      <c r="D99">
        <v>27.81</v>
      </c>
      <c r="E99">
        <v>28.56</v>
      </c>
      <c r="F99">
        <v>285170.45</v>
      </c>
      <c r="G99">
        <v>28.56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0.63043478260869268</v>
      </c>
      <c r="Q99">
        <f t="shared" ref="Q99" si="471">F99*P99</f>
        <v>179781.37065217306</v>
      </c>
      <c r="R99">
        <f t="shared" ref="R99" si="472">R100+Q99</f>
        <v>34943620.551237188</v>
      </c>
      <c r="S99">
        <f t="shared" ref="S99" si="473">R99/100000</f>
        <v>349.43620551237188</v>
      </c>
      <c r="T99">
        <f t="shared" ref="T99" si="474">S99/1000</f>
        <v>0.34943620551237187</v>
      </c>
    </row>
    <row r="100" spans="1:20" x14ac:dyDescent="0.25">
      <c r="A100" s="5">
        <v>44493</v>
      </c>
      <c r="B100">
        <v>28.34</v>
      </c>
      <c r="C100">
        <v>29.23</v>
      </c>
      <c r="D100">
        <v>27.11</v>
      </c>
      <c r="E100">
        <v>28.06</v>
      </c>
      <c r="F100">
        <v>371643.29</v>
      </c>
      <c r="G100">
        <v>28.06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-0.10377358490566146</v>
      </c>
      <c r="Q100">
        <f t="shared" ref="Q100" si="476">F100*P100</f>
        <v>-38566.756509434366</v>
      </c>
      <c r="R100">
        <f t="shared" ref="R100" si="477">R101+Q100</f>
        <v>34763839.180585012</v>
      </c>
      <c r="S100">
        <f t="shared" ref="S100" si="478">R100/100000</f>
        <v>347.63839180585012</v>
      </c>
      <c r="T100">
        <f t="shared" ref="T100" si="479">S100/1000</f>
        <v>0.3476383918058501</v>
      </c>
    </row>
    <row r="101" spans="1:20" x14ac:dyDescent="0.25">
      <c r="A101" s="5">
        <v>44492</v>
      </c>
      <c r="B101">
        <v>27.97</v>
      </c>
      <c r="C101">
        <v>28.43</v>
      </c>
      <c r="D101">
        <v>27.7</v>
      </c>
      <c r="E101">
        <v>28.33</v>
      </c>
      <c r="F101">
        <v>218564.68</v>
      </c>
      <c r="G101">
        <v>28.33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0.72602739726027021</v>
      </c>
      <c r="Q101">
        <f t="shared" ref="Q101" si="481">F101*P101</f>
        <v>158683.94575342382</v>
      </c>
      <c r="R101">
        <f t="shared" ref="R101" si="482">R102+Q101</f>
        <v>34802405.937094443</v>
      </c>
      <c r="S101">
        <f t="shared" ref="S101" si="483">R101/100000</f>
        <v>348.02405937094443</v>
      </c>
      <c r="T101">
        <f t="shared" ref="T101" si="484">S101/1000</f>
        <v>0.34802405937094444</v>
      </c>
    </row>
    <row r="102" spans="1:20" x14ac:dyDescent="0.25">
      <c r="A102" s="5">
        <v>44491</v>
      </c>
      <c r="B102">
        <v>27.9</v>
      </c>
      <c r="C102">
        <v>30.73</v>
      </c>
      <c r="D102">
        <v>27.29</v>
      </c>
      <c r="E102">
        <v>27.95</v>
      </c>
      <c r="F102">
        <v>445926.91</v>
      </c>
      <c r="G102">
        <v>27.95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-0.61627906976744196</v>
      </c>
      <c r="Q102">
        <f t="shared" ref="Q102" si="486">F102*P102</f>
        <v>-274815.42127906979</v>
      </c>
      <c r="R102">
        <f t="shared" ref="R102" si="487">R103+Q102</f>
        <v>34643721.991341017</v>
      </c>
      <c r="S102">
        <f t="shared" ref="S102" si="488">R102/100000</f>
        <v>346.43721991341016</v>
      </c>
      <c r="T102">
        <f t="shared" ref="T102" si="489">S102/1000</f>
        <v>0.34643721991341014</v>
      </c>
    </row>
    <row r="103" spans="1:20" x14ac:dyDescent="0.25">
      <c r="A103" s="5">
        <v>44490</v>
      </c>
      <c r="B103">
        <v>29.29</v>
      </c>
      <c r="C103">
        <v>29.82</v>
      </c>
      <c r="D103">
        <v>27.79</v>
      </c>
      <c r="E103">
        <v>27.91</v>
      </c>
      <c r="F103">
        <v>362202.43</v>
      </c>
      <c r="G103">
        <v>27.91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-0.88177339901477736</v>
      </c>
      <c r="Q103">
        <f t="shared" ref="Q103" si="491">F103*P103</f>
        <v>-319380.46783251193</v>
      </c>
      <c r="R103">
        <f t="shared" ref="R103" si="492">R104+Q103</f>
        <v>34918537.41262009</v>
      </c>
      <c r="S103">
        <f t="shared" ref="S103" si="493">R103/100000</f>
        <v>349.18537412620088</v>
      </c>
      <c r="T103">
        <f t="shared" ref="T103" si="494">S103/1000</f>
        <v>0.34918537412620088</v>
      </c>
    </row>
    <row r="104" spans="1:20" x14ac:dyDescent="0.25">
      <c r="A104" s="5">
        <v>44489</v>
      </c>
      <c r="B104">
        <v>28.54</v>
      </c>
      <c r="C104">
        <v>29.39</v>
      </c>
      <c r="D104">
        <v>28.18</v>
      </c>
      <c r="E104">
        <v>29.29</v>
      </c>
      <c r="F104">
        <v>297502.52</v>
      </c>
      <c r="G104">
        <v>29.29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0.83471074380165067</v>
      </c>
      <c r="Q104">
        <f t="shared" ref="Q104" si="496">F104*P104</f>
        <v>248328.54975206548</v>
      </c>
      <c r="R104">
        <f t="shared" ref="R104" si="497">R105+Q104</f>
        <v>35237917.880452603</v>
      </c>
      <c r="S104">
        <f t="shared" ref="S104" si="498">R104/100000</f>
        <v>352.37917880452602</v>
      </c>
      <c r="T104">
        <f t="shared" ref="T104" si="499">S104/1000</f>
        <v>0.35237917880452602</v>
      </c>
    </row>
    <row r="105" spans="1:20" x14ac:dyDescent="0.25">
      <c r="A105" s="5">
        <v>44488</v>
      </c>
      <c r="B105">
        <v>28.19</v>
      </c>
      <c r="C105">
        <v>29.53</v>
      </c>
      <c r="D105">
        <v>27.9</v>
      </c>
      <c r="E105">
        <v>28.55</v>
      </c>
      <c r="F105">
        <v>355779.97</v>
      </c>
      <c r="G105">
        <v>28.55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-0.20245398773005999</v>
      </c>
      <c r="Q105">
        <f t="shared" ref="Q105" si="501">F105*P105</f>
        <v>-72029.073680981106</v>
      </c>
      <c r="R105">
        <f t="shared" ref="R105" si="502">R106+Q105</f>
        <v>34989589.330700539</v>
      </c>
      <c r="S105">
        <f t="shared" ref="S105" si="503">R105/100000</f>
        <v>349.89589330700539</v>
      </c>
      <c r="T105">
        <f t="shared" ref="T105" si="504">S105/1000</f>
        <v>0.34989589330700538</v>
      </c>
    </row>
    <row r="106" spans="1:20" x14ac:dyDescent="0.25">
      <c r="A106" s="5">
        <v>44487</v>
      </c>
      <c r="B106">
        <v>28.87</v>
      </c>
      <c r="C106">
        <v>29.14</v>
      </c>
      <c r="D106">
        <v>27.7</v>
      </c>
      <c r="E106">
        <v>28.2</v>
      </c>
      <c r="F106">
        <v>315496.15999999997</v>
      </c>
      <c r="G106">
        <v>28.2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-0.30555555555555619</v>
      </c>
      <c r="Q106">
        <f t="shared" ref="Q106" si="506">F106*P106</f>
        <v>-96401.604444444631</v>
      </c>
      <c r="R106">
        <f t="shared" ref="R106" si="507">R107+Q106</f>
        <v>35061618.404381521</v>
      </c>
      <c r="S106">
        <f t="shared" ref="S106" si="508">R106/100000</f>
        <v>350.61618404381522</v>
      </c>
      <c r="T106">
        <f t="shared" ref="T106" si="509">S106/1000</f>
        <v>0.35061618404381523</v>
      </c>
    </row>
    <row r="107" spans="1:20" x14ac:dyDescent="0.25">
      <c r="A107" s="5">
        <v>44486</v>
      </c>
      <c r="B107">
        <v>29.26</v>
      </c>
      <c r="C107">
        <v>30.4</v>
      </c>
      <c r="D107">
        <v>27.82</v>
      </c>
      <c r="E107">
        <v>28.85</v>
      </c>
      <c r="F107">
        <v>550522.99</v>
      </c>
      <c r="G107">
        <v>28.85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-0.20155038759689781</v>
      </c>
      <c r="Q107">
        <f t="shared" ref="Q107" si="511">F107*P107</f>
        <v>-110958.12201550309</v>
      </c>
      <c r="R107">
        <f t="shared" ref="R107" si="512">R108+Q107</f>
        <v>35158020.008825965</v>
      </c>
      <c r="S107">
        <f t="shared" ref="S107" si="513">R107/100000</f>
        <v>351.58020008825963</v>
      </c>
      <c r="T107">
        <f t="shared" ref="T107" si="514">S107/1000</f>
        <v>0.35158020008825963</v>
      </c>
    </row>
    <row r="108" spans="1:20" x14ac:dyDescent="0.25">
      <c r="A108" s="5">
        <v>44485</v>
      </c>
      <c r="B108">
        <v>30.17</v>
      </c>
      <c r="C108">
        <v>30.9</v>
      </c>
      <c r="D108">
        <v>29.08</v>
      </c>
      <c r="E108">
        <v>29.23</v>
      </c>
      <c r="F108">
        <v>611684.12</v>
      </c>
      <c r="G108">
        <v>29.23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-0.83516483516483286</v>
      </c>
      <c r="Q108">
        <f t="shared" ref="Q108" si="516">F108*P108</f>
        <v>-510857.06725274585</v>
      </c>
      <c r="R108">
        <f t="shared" ref="R108" si="517">R109+Q108</f>
        <v>35268978.130841471</v>
      </c>
      <c r="S108">
        <f t="shared" ref="S108" si="518">R108/100000</f>
        <v>352.68978130841469</v>
      </c>
      <c r="T108">
        <f t="shared" ref="T108" si="519">S108/1000</f>
        <v>0.35268978130841472</v>
      </c>
    </row>
    <row r="109" spans="1:20" x14ac:dyDescent="0.25">
      <c r="A109" s="5">
        <v>44484</v>
      </c>
      <c r="B109">
        <v>32.31</v>
      </c>
      <c r="C109">
        <v>33.24</v>
      </c>
      <c r="D109">
        <v>27.37</v>
      </c>
      <c r="E109">
        <v>30.2</v>
      </c>
      <c r="F109">
        <v>753045.78</v>
      </c>
      <c r="G109">
        <v>30.2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-3.5775127768314201E-2</v>
      </c>
      <c r="Q109">
        <f t="shared" ref="Q109" si="521">F109*P109</f>
        <v>-26940.308994889827</v>
      </c>
      <c r="R109">
        <f t="shared" ref="R109" si="522">R110+Q109</f>
        <v>35779835.198094219</v>
      </c>
      <c r="S109">
        <f t="shared" ref="S109" si="523">R109/100000</f>
        <v>357.79835198094219</v>
      </c>
      <c r="T109">
        <f t="shared" ref="T109" si="524">S109/1000</f>
        <v>0.35779835198094218</v>
      </c>
    </row>
    <row r="110" spans="1:20" x14ac:dyDescent="0.25">
      <c r="A110" s="5">
        <v>44483</v>
      </c>
      <c r="B110">
        <v>31.95</v>
      </c>
      <c r="C110">
        <v>34.68</v>
      </c>
      <c r="D110">
        <v>31.89</v>
      </c>
      <c r="E110">
        <v>32.299999999999997</v>
      </c>
      <c r="F110">
        <v>1019499.19</v>
      </c>
      <c r="G110">
        <v>32.299999999999997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-0.70609318996416004</v>
      </c>
      <c r="Q110">
        <f t="shared" ref="Q110" si="526">F110*P110</f>
        <v>-719861.43523297727</v>
      </c>
      <c r="R110">
        <f t="shared" ref="R110" si="527">R111+Q110</f>
        <v>35806775.507089108</v>
      </c>
      <c r="S110">
        <f t="shared" ref="S110" si="528">R110/100000</f>
        <v>358.06775507089111</v>
      </c>
      <c r="T110">
        <f t="shared" ref="T110" si="529">S110/1000</f>
        <v>0.35806775507089111</v>
      </c>
    </row>
    <row r="111" spans="1:20" x14ac:dyDescent="0.25">
      <c r="A111" s="5">
        <v>44482</v>
      </c>
      <c r="B111">
        <v>29.6</v>
      </c>
      <c r="C111">
        <v>32.72</v>
      </c>
      <c r="D111">
        <v>28.4</v>
      </c>
      <c r="E111">
        <v>31.95</v>
      </c>
      <c r="F111">
        <v>1362290.81</v>
      </c>
      <c r="G111">
        <v>31.95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0.64351851851851871</v>
      </c>
      <c r="Q111">
        <f t="shared" ref="Q111" si="531">F111*P111</f>
        <v>876659.36384259292</v>
      </c>
      <c r="R111">
        <f t="shared" ref="R111" si="532">R112+Q111</f>
        <v>36526636.942322083</v>
      </c>
      <c r="S111">
        <f t="shared" ref="S111" si="533">R111/100000</f>
        <v>365.26636942322085</v>
      </c>
      <c r="T111">
        <f t="shared" ref="T111" si="534">S111/1000</f>
        <v>0.36526636942322083</v>
      </c>
    </row>
    <row r="112" spans="1:20" x14ac:dyDescent="0.25">
      <c r="A112" s="5">
        <v>44481</v>
      </c>
      <c r="B112">
        <v>26.96</v>
      </c>
      <c r="C112">
        <v>31.5</v>
      </c>
      <c r="D112">
        <v>25.85</v>
      </c>
      <c r="E112">
        <v>29.6</v>
      </c>
      <c r="F112">
        <v>3445374.82</v>
      </c>
      <c r="G112">
        <v>29.6</v>
      </c>
      <c r="L112" t="s">
        <v>8</v>
      </c>
      <c r="M112" t="s">
        <v>8</v>
      </c>
      <c r="N112" t="s">
        <v>8</v>
      </c>
      <c r="P112">
        <f t="shared" ref="P112" si="535">IF(C112=D112,0,((E112-D112)-(C112-E112))/(C112-D112))</f>
        <v>0.32743362831858441</v>
      </c>
      <c r="Q112">
        <f t="shared" ref="Q112" si="536">F112*P112</f>
        <v>1128131.5782300895</v>
      </c>
      <c r="R112">
        <f t="shared" ref="R112" si="537">R113+Q112</f>
        <v>35649977.578479491</v>
      </c>
      <c r="S112">
        <f t="shared" ref="S112" si="538">R112/100000</f>
        <v>356.49977578479491</v>
      </c>
      <c r="T112">
        <f t="shared" ref="T112" si="539">S112/1000</f>
        <v>0.35649977578479491</v>
      </c>
    </row>
    <row r="113" spans="1:20" x14ac:dyDescent="0.25">
      <c r="A113" s="5">
        <v>44480</v>
      </c>
      <c r="B113">
        <v>26.31</v>
      </c>
      <c r="C113">
        <v>27.61</v>
      </c>
      <c r="D113">
        <v>25.87</v>
      </c>
      <c r="E113">
        <v>26.96</v>
      </c>
      <c r="F113">
        <v>372280.74</v>
      </c>
      <c r="G113">
        <v>26.96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0.25287356321839177</v>
      </c>
      <c r="Q113">
        <f t="shared" ref="Q113" si="541">F113*P113</f>
        <v>94139.95724137967</v>
      </c>
      <c r="R113">
        <f t="shared" ref="R113" si="542">R114+Q113</f>
        <v>34521846.000249401</v>
      </c>
      <c r="S113">
        <f t="shared" ref="S113" si="543">R113/100000</f>
        <v>345.218460002494</v>
      </c>
      <c r="T113">
        <f t="shared" ref="T113" si="544">S113/1000</f>
        <v>0.34521846000249401</v>
      </c>
    </row>
    <row r="114" spans="1:20" x14ac:dyDescent="0.25">
      <c r="A114" s="5">
        <v>44479</v>
      </c>
      <c r="B114">
        <v>28.97</v>
      </c>
      <c r="C114">
        <v>28.97</v>
      </c>
      <c r="D114">
        <v>26.15</v>
      </c>
      <c r="E114">
        <v>26.34</v>
      </c>
      <c r="F114">
        <v>389354.37</v>
      </c>
      <c r="G114">
        <v>26.34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-0.86524822695035375</v>
      </c>
      <c r="Q114">
        <f t="shared" ref="Q114" si="546">F114*P114</f>
        <v>-336888.17829787201</v>
      </c>
      <c r="R114">
        <f t="shared" ref="R114" si="547">R115+Q114</f>
        <v>34427706.043008022</v>
      </c>
      <c r="S114">
        <f t="shared" ref="S114" si="548">R114/100000</f>
        <v>344.27706043008021</v>
      </c>
      <c r="T114">
        <f t="shared" ref="T114" si="549">S114/1000</f>
        <v>0.34427706043008022</v>
      </c>
    </row>
    <row r="115" spans="1:20" x14ac:dyDescent="0.25">
      <c r="A115" s="5">
        <v>44478</v>
      </c>
      <c r="B115">
        <v>27.25</v>
      </c>
      <c r="C115">
        <v>28.96</v>
      </c>
      <c r="D115">
        <v>27.04</v>
      </c>
      <c r="E115">
        <v>28.95</v>
      </c>
      <c r="F115">
        <v>471375.18</v>
      </c>
      <c r="G115">
        <v>28.95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0.98958333333333171</v>
      </c>
      <c r="Q115">
        <f t="shared" ref="Q115" si="551">F115*P115</f>
        <v>466465.02187499922</v>
      </c>
      <c r="R115">
        <f t="shared" ref="R115" si="552">R116+Q115</f>
        <v>34764594.221305892</v>
      </c>
      <c r="S115">
        <f t="shared" ref="S115" si="553">R115/100000</f>
        <v>347.6459422130589</v>
      </c>
      <c r="T115">
        <f t="shared" ref="T115" si="554">S115/1000</f>
        <v>0.34764594221305889</v>
      </c>
    </row>
    <row r="116" spans="1:20" x14ac:dyDescent="0.25">
      <c r="A116" s="5">
        <v>44477</v>
      </c>
      <c r="B116">
        <v>27.5</v>
      </c>
      <c r="C116">
        <v>28.87</v>
      </c>
      <c r="D116">
        <v>26.96</v>
      </c>
      <c r="E116">
        <v>27.26</v>
      </c>
      <c r="F116">
        <v>526646.34</v>
      </c>
      <c r="G116">
        <v>27.26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-0.68586387434554896</v>
      </c>
      <c r="Q116">
        <f t="shared" ref="Q116" si="556">F116*P116</f>
        <v>-361207.69916230324</v>
      </c>
      <c r="R116">
        <f t="shared" ref="R116" si="557">R117+Q116</f>
        <v>34298129.19943089</v>
      </c>
      <c r="S116">
        <f t="shared" ref="S116" si="558">R116/100000</f>
        <v>342.98129199430889</v>
      </c>
      <c r="T116">
        <f t="shared" ref="T116" si="559">S116/1000</f>
        <v>0.34298129199430888</v>
      </c>
    </row>
    <row r="117" spans="1:20" x14ac:dyDescent="0.25">
      <c r="A117" s="5">
        <v>44476</v>
      </c>
      <c r="B117">
        <v>27.18</v>
      </c>
      <c r="C117">
        <v>28.15</v>
      </c>
      <c r="D117">
        <v>26.88</v>
      </c>
      <c r="E117">
        <v>27.49</v>
      </c>
      <c r="F117">
        <v>342451.56</v>
      </c>
      <c r="G117">
        <v>27.49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-3.9370078740158056E-2</v>
      </c>
      <c r="Q117">
        <f t="shared" ref="Q117" si="561">F117*P117</f>
        <v>-13482.344881889961</v>
      </c>
      <c r="R117">
        <f t="shared" ref="R117" si="562">R118+Q117</f>
        <v>34659336.898593195</v>
      </c>
      <c r="S117">
        <f t="shared" ref="S117" si="563">R117/100000</f>
        <v>346.59336898593193</v>
      </c>
      <c r="T117">
        <f t="shared" ref="T117" si="564">S117/1000</f>
        <v>0.3465933689859319</v>
      </c>
    </row>
    <row r="118" spans="1:20" x14ac:dyDescent="0.25">
      <c r="A118" s="5">
        <v>44475</v>
      </c>
      <c r="B118">
        <v>27.58</v>
      </c>
      <c r="C118">
        <v>29.12</v>
      </c>
      <c r="D118">
        <v>25.9</v>
      </c>
      <c r="E118">
        <v>27.17</v>
      </c>
      <c r="F118">
        <v>608603.79</v>
      </c>
      <c r="G118">
        <v>27.17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-0.21118012422360113</v>
      </c>
      <c r="Q118">
        <f t="shared" ref="Q118" si="566">F118*P118</f>
        <v>-128525.02397515447</v>
      </c>
      <c r="R118">
        <f t="shared" ref="R118" si="567">R119+Q118</f>
        <v>34672819.243475087</v>
      </c>
      <c r="S118">
        <f t="shared" ref="S118" si="568">R118/100000</f>
        <v>346.72819243475089</v>
      </c>
      <c r="T118">
        <f t="shared" ref="T118" si="569">S118/1000</f>
        <v>0.34672819243475089</v>
      </c>
    </row>
    <row r="119" spans="1:20" x14ac:dyDescent="0.25">
      <c r="A119" s="5">
        <v>44474</v>
      </c>
      <c r="B119">
        <v>26.02</v>
      </c>
      <c r="C119">
        <v>28.59</v>
      </c>
      <c r="D119">
        <v>25.66</v>
      </c>
      <c r="E119">
        <v>27.59</v>
      </c>
      <c r="F119">
        <v>729078.61</v>
      </c>
      <c r="G119">
        <v>27.59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0.31740614334470985</v>
      </c>
      <c r="Q119">
        <f t="shared" ref="Q119" si="571">F119*P119</f>
        <v>231414.02979522181</v>
      </c>
      <c r="R119">
        <f t="shared" ref="R119" si="572">R120+Q119</f>
        <v>34801344.267450243</v>
      </c>
      <c r="S119">
        <f t="shared" ref="S119" si="573">R119/100000</f>
        <v>348.01344267450241</v>
      </c>
      <c r="T119">
        <f t="shared" ref="T119" si="574">S119/1000</f>
        <v>0.3480134426745024</v>
      </c>
    </row>
    <row r="120" spans="1:20" x14ac:dyDescent="0.25">
      <c r="A120" s="5">
        <v>44473</v>
      </c>
      <c r="B120">
        <v>27.08</v>
      </c>
      <c r="C120">
        <v>27.13</v>
      </c>
      <c r="D120">
        <v>25.37</v>
      </c>
      <c r="E120">
        <v>26.09</v>
      </c>
      <c r="F120">
        <v>417817.45</v>
      </c>
      <c r="G120">
        <v>26.09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-0.18181818181818218</v>
      </c>
      <c r="Q120">
        <f t="shared" ref="Q120" si="576">F120*P120</f>
        <v>-75966.809090909243</v>
      </c>
      <c r="R120">
        <f t="shared" ref="R120" si="577">R121+Q120</f>
        <v>34569930.237655021</v>
      </c>
      <c r="S120">
        <f t="shared" ref="S120" si="578">R120/100000</f>
        <v>345.69930237655024</v>
      </c>
      <c r="T120">
        <f t="shared" ref="T120" si="579">S120/1000</f>
        <v>0.34569930237655022</v>
      </c>
    </row>
    <row r="121" spans="1:20" x14ac:dyDescent="0.25">
      <c r="A121" s="5">
        <v>44472</v>
      </c>
      <c r="B121">
        <v>26.29</v>
      </c>
      <c r="C121">
        <v>28.46</v>
      </c>
      <c r="D121">
        <v>25.78</v>
      </c>
      <c r="E121">
        <v>27.05</v>
      </c>
      <c r="F121">
        <v>629763.23</v>
      </c>
      <c r="G121">
        <v>27.05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-5.2238805970149474E-2</v>
      </c>
      <c r="Q121">
        <f t="shared" ref="Q121" si="581">F121*P121</f>
        <v>-32898.079179104614</v>
      </c>
      <c r="R121">
        <f t="shared" ref="R121" si="582">R122+Q121</f>
        <v>34645897.046745934</v>
      </c>
      <c r="S121">
        <f t="shared" ref="S121" si="583">R121/100000</f>
        <v>346.45897046745932</v>
      </c>
      <c r="T121">
        <f t="shared" ref="T121" si="584">S121/1000</f>
        <v>0.34645897046745933</v>
      </c>
    </row>
    <row r="122" spans="1:20" x14ac:dyDescent="0.25">
      <c r="A122" s="5">
        <v>44471</v>
      </c>
      <c r="B122">
        <v>26.14</v>
      </c>
      <c r="C122">
        <v>27.18</v>
      </c>
      <c r="D122">
        <v>25.81</v>
      </c>
      <c r="E122">
        <v>26.3</v>
      </c>
      <c r="F122">
        <v>407463.18</v>
      </c>
      <c r="G122">
        <v>26.3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-0.28467153284671293</v>
      </c>
      <c r="Q122">
        <f t="shared" ref="Q122" si="586">F122*P122</f>
        <v>-115993.16802919609</v>
      </c>
      <c r="R122">
        <f t="shared" ref="R122" si="587">R123+Q122</f>
        <v>34678795.125925042</v>
      </c>
      <c r="S122">
        <f t="shared" ref="S122" si="588">R122/100000</f>
        <v>346.78795125925041</v>
      </c>
      <c r="T122">
        <f t="shared" ref="T122" si="589">S122/1000</f>
        <v>0.34678795125925038</v>
      </c>
    </row>
    <row r="123" spans="1:20" x14ac:dyDescent="0.25">
      <c r="A123" s="5">
        <v>44470</v>
      </c>
      <c r="B123">
        <v>24.26</v>
      </c>
      <c r="C123">
        <v>26.31</v>
      </c>
      <c r="D123">
        <v>23.83</v>
      </c>
      <c r="E123">
        <v>26.12</v>
      </c>
      <c r="F123">
        <v>424890.69</v>
      </c>
      <c r="G123">
        <v>26.12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0.84677419354838901</v>
      </c>
      <c r="Q123">
        <f t="shared" ref="Q123" si="591">F123*P123</f>
        <v>359786.47137096856</v>
      </c>
      <c r="R123">
        <f t="shared" ref="R123" si="592">R124+Q123</f>
        <v>34794788.293954238</v>
      </c>
      <c r="S123">
        <f t="shared" ref="S123" si="593">R123/100000</f>
        <v>347.94788293954241</v>
      </c>
      <c r="T123">
        <f t="shared" ref="T123" si="594">S123/1000</f>
        <v>0.34794788293954243</v>
      </c>
    </row>
    <row r="124" spans="1:20" x14ac:dyDescent="0.25">
      <c r="A124" s="5">
        <v>44469</v>
      </c>
      <c r="B124">
        <v>23.17</v>
      </c>
      <c r="C124">
        <v>24.26</v>
      </c>
      <c r="D124">
        <v>23.07</v>
      </c>
      <c r="E124">
        <v>24.24</v>
      </c>
      <c r="F124">
        <v>298151.88</v>
      </c>
      <c r="G124">
        <v>24.24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0.96638655462184353</v>
      </c>
      <c r="Q124">
        <f t="shared" ref="Q124" si="596">F124*P124</f>
        <v>288129.96806722536</v>
      </c>
      <c r="R124">
        <f t="shared" ref="R124" si="597">R125+Q124</f>
        <v>34435001.822583273</v>
      </c>
      <c r="S124">
        <f t="shared" ref="S124" si="598">R124/100000</f>
        <v>344.35001822583274</v>
      </c>
      <c r="T124">
        <f t="shared" ref="T124" si="599">S124/1000</f>
        <v>0.34435001822583272</v>
      </c>
    </row>
    <row r="125" spans="1:20" x14ac:dyDescent="0.25">
      <c r="A125" s="5">
        <v>44468</v>
      </c>
      <c r="B125">
        <v>22.95</v>
      </c>
      <c r="C125">
        <v>24.29</v>
      </c>
      <c r="D125">
        <v>22.57</v>
      </c>
      <c r="E125">
        <v>23.19</v>
      </c>
      <c r="F125">
        <v>594707.4</v>
      </c>
      <c r="G125">
        <v>23.19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-0.27906976744185885</v>
      </c>
      <c r="Q125">
        <f t="shared" ref="Q125" si="601">F125*P125</f>
        <v>-165964.85581395254</v>
      </c>
      <c r="R125">
        <f t="shared" ref="R125" si="602">R126+Q125</f>
        <v>34146871.854516044</v>
      </c>
      <c r="S125">
        <f t="shared" ref="S125" si="603">R125/100000</f>
        <v>341.46871854516047</v>
      </c>
      <c r="T125">
        <f t="shared" ref="T125" si="604">S125/1000</f>
        <v>0.34146871854516048</v>
      </c>
    </row>
    <row r="126" spans="1:20" x14ac:dyDescent="0.25">
      <c r="A126" s="5">
        <v>44467</v>
      </c>
      <c r="B126">
        <v>22.73</v>
      </c>
      <c r="C126">
        <v>25.9</v>
      </c>
      <c r="D126">
        <v>22.48</v>
      </c>
      <c r="E126">
        <v>22.95</v>
      </c>
      <c r="F126">
        <v>1378400.69</v>
      </c>
      <c r="G126">
        <v>22.95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-0.72514619883040987</v>
      </c>
      <c r="Q126">
        <f t="shared" ref="Q126" si="606">F126*P126</f>
        <v>-999542.02081871417</v>
      </c>
      <c r="R126">
        <f t="shared" ref="R126" si="607">R127+Q126</f>
        <v>34312836.710329995</v>
      </c>
      <c r="S126">
        <f t="shared" ref="S126" si="608">R126/100000</f>
        <v>343.12836710329992</v>
      </c>
      <c r="T126">
        <f t="shared" ref="T126" si="609">S126/1000</f>
        <v>0.34312836710329991</v>
      </c>
    </row>
    <row r="127" spans="1:20" x14ac:dyDescent="0.25">
      <c r="A127" s="5">
        <v>44466</v>
      </c>
      <c r="B127">
        <v>23.63</v>
      </c>
      <c r="C127">
        <v>24.68</v>
      </c>
      <c r="D127">
        <v>22.71</v>
      </c>
      <c r="E127">
        <v>22.74</v>
      </c>
      <c r="F127">
        <v>694453.67</v>
      </c>
      <c r="G127">
        <v>22.74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-0.96954314720812429</v>
      </c>
      <c r="Q127">
        <f t="shared" ref="Q127" si="611">F127*P127</f>
        <v>-673302.79680203216</v>
      </c>
      <c r="R127">
        <f t="shared" ref="R127" si="612">R128+Q127</f>
        <v>35312378.731148712</v>
      </c>
      <c r="S127">
        <f t="shared" ref="S127" si="613">R127/100000</f>
        <v>353.12378731148715</v>
      </c>
      <c r="T127">
        <f t="shared" ref="T127" si="614">S127/1000</f>
        <v>0.35312378731148714</v>
      </c>
    </row>
    <row r="128" spans="1:20" x14ac:dyDescent="0.25">
      <c r="A128" s="5">
        <v>44465</v>
      </c>
      <c r="B128">
        <v>24.23</v>
      </c>
      <c r="C128">
        <v>24.29</v>
      </c>
      <c r="D128">
        <v>22.03</v>
      </c>
      <c r="E128">
        <v>23.65</v>
      </c>
      <c r="F128">
        <v>443856.46</v>
      </c>
      <c r="G128">
        <v>23.65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0.43362831858406981</v>
      </c>
      <c r="Q128">
        <f t="shared" ref="Q128" si="616">F128*P128</f>
        <v>192468.73044247745</v>
      </c>
      <c r="R128">
        <f t="shared" ref="R128" si="617">R129+Q128</f>
        <v>35985681.527950741</v>
      </c>
      <c r="S128">
        <f t="shared" ref="S128" si="618">R128/100000</f>
        <v>359.85681527950743</v>
      </c>
      <c r="T128">
        <f t="shared" ref="T128" si="619">S128/1000</f>
        <v>0.35985681527950741</v>
      </c>
    </row>
    <row r="129" spans="1:20" x14ac:dyDescent="0.25">
      <c r="A129" s="5">
        <v>44464</v>
      </c>
      <c r="B129">
        <v>25.55</v>
      </c>
      <c r="C129">
        <v>25.62</v>
      </c>
      <c r="D129">
        <v>23.68</v>
      </c>
      <c r="E129">
        <v>24.23</v>
      </c>
      <c r="F129">
        <v>524268.6</v>
      </c>
      <c r="G129">
        <v>24.23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-0.43298969072164911</v>
      </c>
      <c r="Q129">
        <f t="shared" ref="Q129" si="621">F129*P129</f>
        <v>-227002.89896907195</v>
      </c>
      <c r="R129">
        <f t="shared" ref="R129" si="622">R130+Q129</f>
        <v>35793212.797508262</v>
      </c>
      <c r="S129">
        <f t="shared" ref="S129" si="623">R129/100000</f>
        <v>357.93212797508261</v>
      </c>
      <c r="T129">
        <f t="shared" ref="T129" si="624">S129/1000</f>
        <v>0.35793212797508261</v>
      </c>
    </row>
    <row r="130" spans="1:20" x14ac:dyDescent="0.25">
      <c r="A130" s="5">
        <v>44463</v>
      </c>
      <c r="B130">
        <v>25.13</v>
      </c>
      <c r="C130">
        <v>27.4</v>
      </c>
      <c r="D130">
        <v>23.95</v>
      </c>
      <c r="E130">
        <v>25.56</v>
      </c>
      <c r="F130">
        <v>2538352.9300000002</v>
      </c>
      <c r="G130">
        <v>25.56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-6.6666666666666805E-2</v>
      </c>
      <c r="Q130">
        <f t="shared" ref="Q130" si="626">F130*P130</f>
        <v>-169223.52866666703</v>
      </c>
      <c r="R130">
        <f t="shared" ref="R130" si="627">R131+Q130</f>
        <v>36020215.696477331</v>
      </c>
      <c r="S130">
        <f t="shared" ref="S130" si="628">R130/100000</f>
        <v>360.20215696477334</v>
      </c>
      <c r="T130">
        <f t="shared" ref="T130" si="629">S130/1000</f>
        <v>0.36020215696477331</v>
      </c>
    </row>
    <row r="131" spans="1:20" x14ac:dyDescent="0.25">
      <c r="A131" s="5">
        <v>44462</v>
      </c>
      <c r="B131">
        <v>24.7</v>
      </c>
      <c r="C131">
        <v>25.46</v>
      </c>
      <c r="D131">
        <v>23.8</v>
      </c>
      <c r="E131">
        <v>25.15</v>
      </c>
      <c r="F131">
        <v>784912.34</v>
      </c>
      <c r="G131">
        <v>25.15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0.62650602409638279</v>
      </c>
      <c r="Q131">
        <f t="shared" ref="Q131" si="631">F131*P131</f>
        <v>491752.30939758819</v>
      </c>
      <c r="R131">
        <f t="shared" ref="R131" si="632">R132+Q131</f>
        <v>36189439.225143999</v>
      </c>
      <c r="S131">
        <f t="shared" ref="S131" si="633">R131/100000</f>
        <v>361.89439225143997</v>
      </c>
      <c r="T131">
        <f t="shared" ref="T131" si="634">S131/1000</f>
        <v>0.36189439225143999</v>
      </c>
    </row>
    <row r="132" spans="1:20" x14ac:dyDescent="0.25">
      <c r="A132" s="5">
        <v>44461</v>
      </c>
      <c r="B132">
        <v>22.41</v>
      </c>
      <c r="C132">
        <v>25.18</v>
      </c>
      <c r="D132">
        <v>21.53</v>
      </c>
      <c r="E132">
        <v>24.7</v>
      </c>
      <c r="F132">
        <v>896733.54</v>
      </c>
      <c r="G132">
        <v>24.7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0.73698630136986265</v>
      </c>
      <c r="Q132">
        <f t="shared" ref="Q132" si="636">F132*P132</f>
        <v>660880.33495890384</v>
      </c>
      <c r="R132">
        <f t="shared" ref="R132" si="637">R133+Q132</f>
        <v>35697686.915746413</v>
      </c>
      <c r="S132">
        <f t="shared" ref="S132" si="638">R132/100000</f>
        <v>356.97686915746414</v>
      </c>
      <c r="T132">
        <f t="shared" ref="T132" si="639">S132/1000</f>
        <v>0.35697686915746413</v>
      </c>
    </row>
    <row r="133" spans="1:20" x14ac:dyDescent="0.25">
      <c r="A133" s="5">
        <v>44460</v>
      </c>
      <c r="B133">
        <v>23.03</v>
      </c>
      <c r="C133">
        <v>25.04</v>
      </c>
      <c r="D133">
        <v>20.84</v>
      </c>
      <c r="E133">
        <v>22.37</v>
      </c>
      <c r="F133">
        <v>1146374.33</v>
      </c>
      <c r="G133">
        <v>22.37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-0.27142857142857074</v>
      </c>
      <c r="Q133">
        <f t="shared" ref="Q133" si="641">F133*P133</f>
        <v>-311158.74671428493</v>
      </c>
      <c r="R133">
        <f t="shared" ref="R133" si="642">R134+Q133</f>
        <v>35036806.58078751</v>
      </c>
      <c r="S133">
        <f t="shared" ref="S133" si="643">R133/100000</f>
        <v>350.3680658078751</v>
      </c>
      <c r="T133">
        <f t="shared" ref="T133" si="644">S133/1000</f>
        <v>0.35036806580787511</v>
      </c>
    </row>
    <row r="134" spans="1:20" x14ac:dyDescent="0.25">
      <c r="A134" s="5">
        <v>44459</v>
      </c>
      <c r="B134">
        <v>27.41</v>
      </c>
      <c r="C134">
        <v>27.46</v>
      </c>
      <c r="D134">
        <v>24.11</v>
      </c>
      <c r="E134">
        <v>24.53</v>
      </c>
      <c r="F134">
        <v>425783.05</v>
      </c>
      <c r="G134">
        <v>24.53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-0.74925373134328266</v>
      </c>
      <c r="Q134">
        <f t="shared" ref="Q134" si="646">F134*P134</f>
        <v>-319019.53895522346</v>
      </c>
      <c r="R134">
        <f t="shared" ref="R134" si="647">R135+Q134</f>
        <v>35347965.327501796</v>
      </c>
      <c r="S134">
        <f t="shared" ref="S134" si="648">R134/100000</f>
        <v>353.47965327501794</v>
      </c>
      <c r="T134">
        <f t="shared" ref="T134" si="649">S134/1000</f>
        <v>0.35347965327501796</v>
      </c>
    </row>
    <row r="135" spans="1:20" x14ac:dyDescent="0.25">
      <c r="A135" s="5">
        <v>44458</v>
      </c>
      <c r="B135">
        <v>29.01</v>
      </c>
      <c r="C135">
        <v>29.1</v>
      </c>
      <c r="D135">
        <v>26.95</v>
      </c>
      <c r="E135">
        <v>27.4</v>
      </c>
      <c r="F135">
        <v>552690.9</v>
      </c>
      <c r="G135">
        <v>27.4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-0.58139534883721034</v>
      </c>
      <c r="Q135">
        <f t="shared" ref="Q135" si="651">F135*P135</f>
        <v>-321331.91860465176</v>
      </c>
      <c r="R135">
        <f t="shared" ref="R135" si="652">R136+Q135</f>
        <v>35666984.866457023</v>
      </c>
      <c r="S135">
        <f t="shared" ref="S135" si="653">R135/100000</f>
        <v>356.66984866457022</v>
      </c>
      <c r="T135">
        <f t="shared" ref="T135" si="654">S135/1000</f>
        <v>0.35666984866457024</v>
      </c>
    </row>
    <row r="136" spans="1:20" x14ac:dyDescent="0.25">
      <c r="A136" s="5">
        <v>44457</v>
      </c>
      <c r="B136">
        <v>28.85</v>
      </c>
      <c r="C136">
        <v>29.8</v>
      </c>
      <c r="D136">
        <v>28.32</v>
      </c>
      <c r="E136">
        <v>29.01</v>
      </c>
      <c r="F136">
        <v>312918.40999999997</v>
      </c>
      <c r="G136">
        <v>29.01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-6.7567567567566114E-2</v>
      </c>
      <c r="Q136">
        <f t="shared" ref="Q136" si="656">F136*P136</f>
        <v>-21143.135810810356</v>
      </c>
      <c r="R136">
        <f t="shared" ref="R136" si="657">R137+Q136</f>
        <v>35988316.785061672</v>
      </c>
      <c r="S136">
        <f t="shared" ref="S136" si="658">R136/100000</f>
        <v>359.8831678506167</v>
      </c>
      <c r="T136">
        <f t="shared" ref="T136" si="659">S136/1000</f>
        <v>0.35988316785061669</v>
      </c>
    </row>
    <row r="137" spans="1:20" x14ac:dyDescent="0.25">
      <c r="A137" s="5">
        <v>44456</v>
      </c>
      <c r="B137">
        <v>30.91</v>
      </c>
      <c r="C137">
        <v>31.12</v>
      </c>
      <c r="D137">
        <v>28.41</v>
      </c>
      <c r="E137">
        <v>28.82</v>
      </c>
      <c r="F137">
        <v>466653.53</v>
      </c>
      <c r="G137">
        <v>28.82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-0.69741697416974169</v>
      </c>
      <c r="Q137">
        <f t="shared" ref="Q137" si="661">F137*P137</f>
        <v>-325452.09287822881</v>
      </c>
      <c r="R137">
        <f t="shared" ref="R137" si="662">R138+Q137</f>
        <v>36009459.92087248</v>
      </c>
      <c r="S137">
        <f t="shared" ref="S137" si="663">R137/100000</f>
        <v>360.09459920872479</v>
      </c>
      <c r="T137">
        <f t="shared" ref="T137" si="664">S137/1000</f>
        <v>0.36009459920872477</v>
      </c>
    </row>
    <row r="138" spans="1:20" x14ac:dyDescent="0.25">
      <c r="A138" s="5">
        <v>44455</v>
      </c>
      <c r="B138">
        <v>30.46</v>
      </c>
      <c r="C138">
        <v>33.74</v>
      </c>
      <c r="D138">
        <v>29.49</v>
      </c>
      <c r="E138">
        <v>30.94</v>
      </c>
      <c r="F138">
        <v>1396317.37</v>
      </c>
      <c r="G138">
        <v>30.94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-0.31764705882352867</v>
      </c>
      <c r="Q138">
        <f t="shared" ref="Q138" si="666">F138*P138</f>
        <v>-443536.10576470487</v>
      </c>
      <c r="R138">
        <f t="shared" ref="R138" si="667">R139+Q138</f>
        <v>36334912.01375071</v>
      </c>
      <c r="S138">
        <f t="shared" ref="S138" si="668">R138/100000</f>
        <v>363.3491201375071</v>
      </c>
      <c r="T138">
        <f t="shared" ref="T138" si="669">S138/1000</f>
        <v>0.36334912013750709</v>
      </c>
    </row>
    <row r="139" spans="1:20" x14ac:dyDescent="0.25">
      <c r="A139" s="5">
        <v>44454</v>
      </c>
      <c r="B139">
        <v>29.84</v>
      </c>
      <c r="C139">
        <v>30.79</v>
      </c>
      <c r="D139">
        <v>28.72</v>
      </c>
      <c r="E139">
        <v>30.46</v>
      </c>
      <c r="F139">
        <v>597246.98</v>
      </c>
      <c r="G139">
        <v>30.46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0.68115942028985677</v>
      </c>
      <c r="Q139">
        <f t="shared" ref="Q139" si="671">F139*P139</f>
        <v>406820.40666666767</v>
      </c>
      <c r="R139">
        <f t="shared" ref="R139" si="672">R140+Q139</f>
        <v>36778448.119515412</v>
      </c>
      <c r="S139">
        <f t="shared" ref="S139" si="673">R139/100000</f>
        <v>367.78448119515411</v>
      </c>
      <c r="T139">
        <f t="shared" ref="T139" si="674">S139/1000</f>
        <v>0.36778448119515411</v>
      </c>
    </row>
    <row r="140" spans="1:20" x14ac:dyDescent="0.25">
      <c r="A140" s="5">
        <v>44453</v>
      </c>
      <c r="B140">
        <v>29.97</v>
      </c>
      <c r="C140">
        <v>30.12</v>
      </c>
      <c r="D140">
        <v>28.73</v>
      </c>
      <c r="E140">
        <v>29.84</v>
      </c>
      <c r="F140">
        <v>634140.4</v>
      </c>
      <c r="G140">
        <v>29.84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0.59712230215827189</v>
      </c>
      <c r="Q140">
        <f t="shared" ref="Q140" si="676">F140*P140</f>
        <v>378659.37553956744</v>
      </c>
      <c r="R140">
        <f t="shared" ref="R140" si="677">R141+Q140</f>
        <v>36371627.712848745</v>
      </c>
      <c r="S140">
        <f t="shared" ref="S140" si="678">R140/100000</f>
        <v>363.71627712848743</v>
      </c>
      <c r="T140">
        <f t="shared" ref="T140" si="679">S140/1000</f>
        <v>0.36371627712848742</v>
      </c>
    </row>
    <row r="141" spans="1:20" x14ac:dyDescent="0.25">
      <c r="A141" s="5">
        <v>44452</v>
      </c>
      <c r="B141">
        <v>32.049999999999997</v>
      </c>
      <c r="C141">
        <v>34.9</v>
      </c>
      <c r="D141">
        <v>27.91</v>
      </c>
      <c r="E141">
        <v>29.98</v>
      </c>
      <c r="F141">
        <v>1599493.05</v>
      </c>
      <c r="G141">
        <v>29.98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-0.40772532188841182</v>
      </c>
      <c r="Q141">
        <f t="shared" ref="Q141" si="681">F141*P141</f>
        <v>-652153.81866952765</v>
      </c>
      <c r="R141">
        <f t="shared" ref="R141" si="682">R142+Q141</f>
        <v>35992968.337309174</v>
      </c>
      <c r="S141">
        <f t="shared" ref="S141" si="683">R141/100000</f>
        <v>359.92968337309173</v>
      </c>
      <c r="T141">
        <f t="shared" ref="T141" si="684">S141/1000</f>
        <v>0.35992968337309172</v>
      </c>
    </row>
    <row r="142" spans="1:20" x14ac:dyDescent="0.25">
      <c r="A142" s="5">
        <v>44451</v>
      </c>
      <c r="B142">
        <v>30.54</v>
      </c>
      <c r="C142">
        <v>32.92</v>
      </c>
      <c r="D142">
        <v>29.45</v>
      </c>
      <c r="E142">
        <v>32.06</v>
      </c>
      <c r="F142">
        <v>890341.47</v>
      </c>
      <c r="G142">
        <v>32.06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0.50432276657060582</v>
      </c>
      <c r="Q142">
        <f t="shared" ref="Q142" si="686">F142*P142</f>
        <v>449019.47334294004</v>
      </c>
      <c r="R142">
        <f t="shared" ref="R142" si="687">R143+Q142</f>
        <v>36645122.155978702</v>
      </c>
      <c r="S142">
        <f t="shared" ref="S142" si="688">R142/100000</f>
        <v>366.45122155978703</v>
      </c>
      <c r="T142">
        <f t="shared" ref="T142" si="689">S142/1000</f>
        <v>0.36645122155978704</v>
      </c>
    </row>
    <row r="143" spans="1:20" x14ac:dyDescent="0.25">
      <c r="A143" s="5">
        <v>44450</v>
      </c>
      <c r="B143">
        <v>29.14</v>
      </c>
      <c r="C143">
        <v>33.71</v>
      </c>
      <c r="D143">
        <v>29</v>
      </c>
      <c r="E143">
        <v>30.54</v>
      </c>
      <c r="F143">
        <v>1371766.54</v>
      </c>
      <c r="G143">
        <v>30.54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-0.34607218683651852</v>
      </c>
      <c r="Q143">
        <f t="shared" ref="Q143" si="691">F143*P143</f>
        <v>-474730.24632696458</v>
      </c>
      <c r="R143">
        <f t="shared" ref="R143" si="692">R144+Q143</f>
        <v>36196102.682635762</v>
      </c>
      <c r="S143">
        <f t="shared" ref="S143" si="693">R143/100000</f>
        <v>361.96102682635762</v>
      </c>
      <c r="T143">
        <f t="shared" ref="T143" si="694">S143/1000</f>
        <v>0.36196102682635761</v>
      </c>
    </row>
    <row r="144" spans="1:20" x14ac:dyDescent="0.25">
      <c r="A144" s="5">
        <v>44449</v>
      </c>
      <c r="B144">
        <v>31.22</v>
      </c>
      <c r="C144">
        <v>32.57</v>
      </c>
      <c r="D144">
        <v>27.93</v>
      </c>
      <c r="E144">
        <v>29.14</v>
      </c>
      <c r="F144">
        <v>1305471.21</v>
      </c>
      <c r="G144">
        <v>29.14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-0.47844827586206867</v>
      </c>
      <c r="Q144">
        <f t="shared" ref="Q144" si="696">F144*P144</f>
        <v>-624600.44961206859</v>
      </c>
      <c r="R144">
        <f t="shared" ref="R144" si="697">R145+Q144</f>
        <v>36670832.92896273</v>
      </c>
      <c r="S144">
        <f t="shared" ref="S144" si="698">R144/100000</f>
        <v>366.70832928962727</v>
      </c>
      <c r="T144">
        <f t="shared" ref="T144" si="699">S144/1000</f>
        <v>0.36670832928962727</v>
      </c>
    </row>
    <row r="145" spans="1:20" x14ac:dyDescent="0.25">
      <c r="A145" s="5">
        <v>44448</v>
      </c>
      <c r="B145">
        <v>27.51</v>
      </c>
      <c r="C145">
        <v>34.81</v>
      </c>
      <c r="D145">
        <v>27</v>
      </c>
      <c r="E145">
        <v>31.26</v>
      </c>
      <c r="F145">
        <v>4197358.0860000001</v>
      </c>
      <c r="G145">
        <v>31.26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9.0909090909090995E-2</v>
      </c>
      <c r="Q145">
        <f t="shared" ref="Q145" si="701">F145*P145</f>
        <v>381578.00781818217</v>
      </c>
      <c r="R145">
        <f t="shared" ref="R145" si="702">R146+Q145</f>
        <v>37295433.378574796</v>
      </c>
      <c r="S145">
        <f t="shared" ref="S145" si="703">R145/100000</f>
        <v>372.95433378574796</v>
      </c>
      <c r="T145">
        <f t="shared" ref="T145" si="704">S145/1000</f>
        <v>0.37295433378574794</v>
      </c>
    </row>
    <row r="146" spans="1:20" x14ac:dyDescent="0.25">
      <c r="A146" s="5">
        <v>44447</v>
      </c>
      <c r="B146">
        <v>27.24</v>
      </c>
      <c r="C146">
        <v>29</v>
      </c>
      <c r="D146">
        <v>24.09</v>
      </c>
      <c r="E146">
        <v>27.5</v>
      </c>
      <c r="F146">
        <v>2014958.52</v>
      </c>
      <c r="G146">
        <v>27.5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0.38900203665987781</v>
      </c>
      <c r="Q146">
        <f t="shared" ref="Q146" si="706">F146*P146</f>
        <v>783822.96806517313</v>
      </c>
      <c r="R146">
        <f t="shared" ref="R146" si="707">R147+Q146</f>
        <v>36913855.370756611</v>
      </c>
      <c r="S146">
        <f t="shared" ref="S146" si="708">R146/100000</f>
        <v>369.13855370756613</v>
      </c>
      <c r="T146">
        <f t="shared" ref="T146" si="709">S146/1000</f>
        <v>0.36913855370756615</v>
      </c>
    </row>
    <row r="147" spans="1:20" x14ac:dyDescent="0.25">
      <c r="A147" s="5">
        <v>44446</v>
      </c>
      <c r="B147">
        <v>29.22</v>
      </c>
      <c r="C147">
        <v>30.23</v>
      </c>
      <c r="D147">
        <v>21.11</v>
      </c>
      <c r="E147">
        <v>27.27</v>
      </c>
      <c r="F147">
        <v>2671936.7829999998</v>
      </c>
      <c r="G147">
        <v>27.27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0.35087719298245601</v>
      </c>
      <c r="Q147">
        <f t="shared" ref="Q147" si="711">F147*P147</f>
        <v>937521.67824561358</v>
      </c>
      <c r="R147">
        <f t="shared" ref="R147" si="712">R148+Q147</f>
        <v>36130032.402691439</v>
      </c>
      <c r="S147">
        <f t="shared" ref="S147" si="713">R147/100000</f>
        <v>361.30032402691438</v>
      </c>
      <c r="T147">
        <f t="shared" ref="T147" si="714">S147/1000</f>
        <v>0.36130032402691437</v>
      </c>
    </row>
    <row r="148" spans="1:20" x14ac:dyDescent="0.25">
      <c r="A148" s="5">
        <v>44445</v>
      </c>
      <c r="B148">
        <v>29.47</v>
      </c>
      <c r="C148">
        <v>30.08</v>
      </c>
      <c r="D148">
        <v>28.01</v>
      </c>
      <c r="E148">
        <v>29.23</v>
      </c>
      <c r="F148">
        <v>653449.84</v>
      </c>
      <c r="G148">
        <v>29.23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0.17874396135265777</v>
      </c>
      <c r="Q148">
        <f t="shared" ref="Q148" si="716">F148*P148</f>
        <v>116800.2129468604</v>
      </c>
      <c r="R148">
        <f t="shared" ref="R148" si="717">R149+Q148</f>
        <v>35192510.724445827</v>
      </c>
      <c r="S148">
        <f t="shared" ref="S148" si="718">R148/100000</f>
        <v>351.92510724445827</v>
      </c>
      <c r="T148">
        <f t="shared" ref="T148" si="719">S148/1000</f>
        <v>0.3519251072444583</v>
      </c>
    </row>
    <row r="149" spans="1:20" x14ac:dyDescent="0.25">
      <c r="A149" s="5">
        <v>44444</v>
      </c>
      <c r="B149">
        <v>30.53</v>
      </c>
      <c r="C149">
        <v>30.63</v>
      </c>
      <c r="D149">
        <v>29</v>
      </c>
      <c r="E149">
        <v>29.49</v>
      </c>
      <c r="F149">
        <v>1153970.57</v>
      </c>
      <c r="G149">
        <v>29.49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-0.39877300613497085</v>
      </c>
      <c r="Q149">
        <f t="shared" ref="Q149" si="721">F149*P149</f>
        <v>-460172.31319018581</v>
      </c>
      <c r="R149">
        <f t="shared" ref="R149" si="722">R150+Q149</f>
        <v>35075710.511498965</v>
      </c>
      <c r="S149">
        <f t="shared" ref="S149" si="723">R149/100000</f>
        <v>350.75710511498966</v>
      </c>
      <c r="T149">
        <f t="shared" ref="T149" si="724">S149/1000</f>
        <v>0.35075710511498964</v>
      </c>
    </row>
    <row r="150" spans="1:20" x14ac:dyDescent="0.25">
      <c r="A150" s="5">
        <v>44443</v>
      </c>
      <c r="B150">
        <v>30.76</v>
      </c>
      <c r="C150">
        <v>31.18</v>
      </c>
      <c r="D150">
        <v>29.86</v>
      </c>
      <c r="E150">
        <v>30.53</v>
      </c>
      <c r="F150">
        <v>587053.93999999994</v>
      </c>
      <c r="G150">
        <v>30.53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1.5151515151517516E-2</v>
      </c>
      <c r="Q150">
        <f t="shared" ref="Q150" si="726">F150*P150</f>
        <v>8894.7566666680541</v>
      </c>
      <c r="R150">
        <f t="shared" ref="R150" si="727">R151+Q150</f>
        <v>35535882.82468915</v>
      </c>
      <c r="S150">
        <f t="shared" ref="S150" si="728">R150/100000</f>
        <v>355.35882824689151</v>
      </c>
      <c r="T150">
        <f t="shared" ref="T150" si="729">S150/1000</f>
        <v>0.35535882824689152</v>
      </c>
    </row>
    <row r="151" spans="1:20" x14ac:dyDescent="0.25">
      <c r="A151" s="5">
        <v>44442</v>
      </c>
      <c r="B151">
        <v>29.67</v>
      </c>
      <c r="C151">
        <v>31.76</v>
      </c>
      <c r="D151">
        <v>29.67</v>
      </c>
      <c r="E151">
        <v>30.76</v>
      </c>
      <c r="F151">
        <v>790905.58799999999</v>
      </c>
      <c r="G151">
        <v>30.76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4.3062200956937732E-2</v>
      </c>
      <c r="Q151">
        <f t="shared" ref="Q151" si="731">F151*P151</f>
        <v>34058.135368420997</v>
      </c>
      <c r="R151">
        <f t="shared" ref="R151" si="732">R152+Q151</f>
        <v>35526988.068022482</v>
      </c>
      <c r="S151">
        <f t="shared" ref="S151" si="733">R151/100000</f>
        <v>355.26988068022484</v>
      </c>
      <c r="T151">
        <f t="shared" ref="T151" si="734">S151/1000</f>
        <v>0.35526988068022486</v>
      </c>
    </row>
    <row r="152" spans="1:20" x14ac:dyDescent="0.25">
      <c r="A152" s="5">
        <v>44441</v>
      </c>
      <c r="B152">
        <v>29.06</v>
      </c>
      <c r="C152">
        <v>30.85</v>
      </c>
      <c r="D152">
        <v>28.13</v>
      </c>
      <c r="E152">
        <v>29.72</v>
      </c>
      <c r="F152">
        <v>1027579.92</v>
      </c>
      <c r="G152">
        <v>29.72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0.16911764705882237</v>
      </c>
      <c r="Q152">
        <f t="shared" ref="Q152" si="736">F152*P152</f>
        <v>173781.89823529293</v>
      </c>
      <c r="R152">
        <f t="shared" ref="R152" si="737">R153+Q152</f>
        <v>35492929.93265406</v>
      </c>
      <c r="S152">
        <f t="shared" ref="S152" si="738">R152/100000</f>
        <v>354.92929932654062</v>
      </c>
      <c r="T152">
        <f t="shared" ref="T152" si="739">S152/1000</f>
        <v>0.3549292993265406</v>
      </c>
    </row>
    <row r="153" spans="1:20" x14ac:dyDescent="0.25">
      <c r="A153" s="5">
        <v>44440</v>
      </c>
      <c r="B153">
        <v>28.16</v>
      </c>
      <c r="C153">
        <v>30.94</v>
      </c>
      <c r="D153">
        <v>27.19</v>
      </c>
      <c r="E153">
        <v>29.07</v>
      </c>
      <c r="F153">
        <v>1125491.963</v>
      </c>
      <c r="G153">
        <v>29.07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2.6666666666661362E-3</v>
      </c>
      <c r="Q153">
        <f t="shared" ref="Q153" si="741">F153*P153</f>
        <v>3001.3119013327364</v>
      </c>
      <c r="R153">
        <f t="shared" ref="R153" si="742">R154+Q153</f>
        <v>35319148.034418769</v>
      </c>
      <c r="S153">
        <f t="shared" ref="S153" si="743">R153/100000</f>
        <v>353.19148034418771</v>
      </c>
      <c r="T153">
        <f t="shared" ref="T153" si="744">S153/1000</f>
        <v>0.35319148034418774</v>
      </c>
    </row>
    <row r="154" spans="1:20" x14ac:dyDescent="0.25">
      <c r="A154" s="5">
        <v>44439</v>
      </c>
      <c r="B154">
        <v>26.57</v>
      </c>
      <c r="C154">
        <v>29.32</v>
      </c>
      <c r="D154">
        <v>25.38</v>
      </c>
      <c r="E154">
        <v>28.13</v>
      </c>
      <c r="F154">
        <v>1512990.4140000001</v>
      </c>
      <c r="G154">
        <v>28.13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0.39593908629441577</v>
      </c>
      <c r="Q154">
        <f t="shared" ref="Q154" si="746">F154*P154</f>
        <v>599052.04209136986</v>
      </c>
      <c r="R154">
        <f t="shared" ref="R154" si="747">R155+Q154</f>
        <v>35316146.722517438</v>
      </c>
      <c r="S154">
        <f t="shared" ref="S154" si="748">R154/100000</f>
        <v>353.16146722517436</v>
      </c>
      <c r="T154">
        <f t="shared" ref="T154" si="749">S154/1000</f>
        <v>0.35316146722517439</v>
      </c>
    </row>
    <row r="155" spans="1:20" x14ac:dyDescent="0.25">
      <c r="A155" s="5">
        <v>44438</v>
      </c>
      <c r="B155">
        <v>24.79</v>
      </c>
      <c r="C155">
        <v>29.09</v>
      </c>
      <c r="D155">
        <v>24.72</v>
      </c>
      <c r="E155">
        <v>26.54</v>
      </c>
      <c r="F155">
        <v>2961312.7220000001</v>
      </c>
      <c r="G155">
        <v>26.54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-0.16704805491990854</v>
      </c>
      <c r="Q155">
        <f t="shared" ref="Q155" si="751">F155*P155</f>
        <v>-494681.53021967987</v>
      </c>
      <c r="R155">
        <f t="shared" ref="R155" si="752">R156+Q155</f>
        <v>34717094.680426069</v>
      </c>
      <c r="S155">
        <f t="shared" ref="S155" si="753">R155/100000</f>
        <v>347.17094680426067</v>
      </c>
      <c r="T155">
        <f t="shared" ref="T155" si="754">S155/1000</f>
        <v>0.34717094680426064</v>
      </c>
    </row>
    <row r="156" spans="1:20" x14ac:dyDescent="0.25">
      <c r="A156" s="5">
        <v>44437</v>
      </c>
      <c r="B156">
        <v>25.34</v>
      </c>
      <c r="C156">
        <v>25.47</v>
      </c>
      <c r="D156">
        <v>24.27</v>
      </c>
      <c r="E156">
        <v>24.8</v>
      </c>
      <c r="F156">
        <v>399174.69</v>
      </c>
      <c r="G156">
        <v>24.8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-0.11666666666666425</v>
      </c>
      <c r="Q156">
        <f t="shared" ref="Q156" si="756">F156*P156</f>
        <v>-46570.380499999039</v>
      </c>
      <c r="R156">
        <f t="shared" ref="R156" si="757">R157+Q156</f>
        <v>35211776.21064575</v>
      </c>
      <c r="S156">
        <f t="shared" ref="S156" si="758">R156/100000</f>
        <v>352.11776210645752</v>
      </c>
      <c r="T156">
        <f t="shared" ref="T156" si="759">S156/1000</f>
        <v>0.35211776210645751</v>
      </c>
    </row>
    <row r="157" spans="1:20" x14ac:dyDescent="0.25">
      <c r="A157" s="5">
        <v>44436</v>
      </c>
      <c r="B157">
        <v>24.65</v>
      </c>
      <c r="C157">
        <v>26.82</v>
      </c>
      <c r="D157">
        <v>24.43</v>
      </c>
      <c r="E157">
        <v>25.31</v>
      </c>
      <c r="F157">
        <v>811460.96499999997</v>
      </c>
      <c r="G157">
        <v>25.31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-0.26359832635983366</v>
      </c>
      <c r="Q157">
        <f t="shared" ref="Q157" si="761">F157*P157</f>
        <v>-213899.75228033555</v>
      </c>
      <c r="R157">
        <f t="shared" ref="R157" si="762">R158+Q157</f>
        <v>35258346.591145746</v>
      </c>
      <c r="S157">
        <f t="shared" ref="S157" si="763">R157/100000</f>
        <v>352.58346591145744</v>
      </c>
      <c r="T157">
        <f t="shared" ref="T157" si="764">S157/1000</f>
        <v>0.35258346591145745</v>
      </c>
    </row>
    <row r="158" spans="1:20" x14ac:dyDescent="0.25">
      <c r="A158" s="5">
        <v>44435</v>
      </c>
      <c r="B158">
        <v>23.01</v>
      </c>
      <c r="C158">
        <v>24.92</v>
      </c>
      <c r="D158">
        <v>22.31</v>
      </c>
      <c r="E158">
        <v>24.65</v>
      </c>
      <c r="F158">
        <v>417647.75199999998</v>
      </c>
      <c r="G158">
        <v>24.65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0.79310344827585988</v>
      </c>
      <c r="Q158">
        <f t="shared" ref="Q158" si="766">F158*P158</f>
        <v>331237.87227586115</v>
      </c>
      <c r="R158">
        <f t="shared" ref="R158" si="767">R159+Q158</f>
        <v>35472246.343426079</v>
      </c>
      <c r="S158">
        <f t="shared" ref="S158" si="768">R158/100000</f>
        <v>354.72246343426076</v>
      </c>
      <c r="T158">
        <f t="shared" ref="T158" si="769">S158/1000</f>
        <v>0.35472246343426078</v>
      </c>
    </row>
    <row r="159" spans="1:20" x14ac:dyDescent="0.25">
      <c r="A159" s="5">
        <v>44434</v>
      </c>
      <c r="B159">
        <v>24.288</v>
      </c>
      <c r="C159">
        <v>25.387</v>
      </c>
      <c r="D159">
        <v>22.77</v>
      </c>
      <c r="E159">
        <v>22.99</v>
      </c>
      <c r="F159">
        <v>896651.54399999999</v>
      </c>
      <c r="G159">
        <v>22.99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-0.8318685517768446</v>
      </c>
      <c r="Q159">
        <f t="shared" ref="Q159" si="771">F159*P159</f>
        <v>-745896.22135575162</v>
      </c>
      <c r="R159">
        <f t="shared" ref="R159" si="772">R160+Q159</f>
        <v>35141008.471150219</v>
      </c>
      <c r="S159">
        <f t="shared" ref="S159" si="773">R159/100000</f>
        <v>351.41008471150218</v>
      </c>
      <c r="T159">
        <f t="shared" ref="T159" si="774">S159/1000</f>
        <v>0.3514100847115022</v>
      </c>
    </row>
    <row r="160" spans="1:20" x14ac:dyDescent="0.25">
      <c r="A160" s="5">
        <v>44433</v>
      </c>
      <c r="B160">
        <v>23.654</v>
      </c>
      <c r="C160">
        <v>24.466000000000001</v>
      </c>
      <c r="D160">
        <v>22.754000000000001</v>
      </c>
      <c r="E160">
        <v>24.268000000000001</v>
      </c>
      <c r="F160">
        <v>447887.35999999999</v>
      </c>
      <c r="G160">
        <v>24.268000000000001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0.76869158878504618</v>
      </c>
      <c r="Q160">
        <f t="shared" ref="Q160" si="776">F160*P160</f>
        <v>344287.24635513994</v>
      </c>
      <c r="R160">
        <f t="shared" ref="R160" si="777">R161+Q160</f>
        <v>35886904.692505971</v>
      </c>
      <c r="S160">
        <f t="shared" ref="S160" si="778">R160/100000</f>
        <v>358.86904692505971</v>
      </c>
      <c r="T160">
        <f t="shared" ref="T160" si="779">S160/1000</f>
        <v>0.35886904692505972</v>
      </c>
    </row>
    <row r="161" spans="1:20" x14ac:dyDescent="0.25">
      <c r="A161" s="5">
        <v>44432</v>
      </c>
      <c r="B161">
        <v>25.998000000000001</v>
      </c>
      <c r="C161">
        <v>26.018999999999998</v>
      </c>
      <c r="D161">
        <v>23.251999999999999</v>
      </c>
      <c r="E161">
        <v>23.651</v>
      </c>
      <c r="F161">
        <v>574686.91799999995</v>
      </c>
      <c r="G161">
        <v>23.651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-0.71160101192627323</v>
      </c>
      <c r="Q161">
        <f t="shared" ref="Q161" si="781">F161*P161</f>
        <v>-408947.79238959117</v>
      </c>
      <c r="R161">
        <f t="shared" ref="R161" si="782">R162+Q161</f>
        <v>35542617.446150832</v>
      </c>
      <c r="S161">
        <f t="shared" ref="S161" si="783">R161/100000</f>
        <v>355.42617446150831</v>
      </c>
      <c r="T161">
        <f t="shared" ref="T161" si="784">S161/1000</f>
        <v>0.35542617446150832</v>
      </c>
    </row>
    <row r="162" spans="1:20" x14ac:dyDescent="0.25">
      <c r="A162" s="5">
        <v>44431</v>
      </c>
      <c r="B162">
        <v>26.021999999999998</v>
      </c>
      <c r="C162">
        <v>26.486000000000001</v>
      </c>
      <c r="D162">
        <v>25.318999999999999</v>
      </c>
      <c r="E162">
        <v>26.007000000000001</v>
      </c>
      <c r="F162">
        <v>671295.40300000005</v>
      </c>
      <c r="G162">
        <v>26.007000000000001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0.17909168808911988</v>
      </c>
      <c r="Q162">
        <f t="shared" ref="Q162" si="786">F162*P162</f>
        <v>120223.42692973603</v>
      </c>
      <c r="R162">
        <f t="shared" ref="R162" si="787">R163+Q162</f>
        <v>35951565.238540426</v>
      </c>
      <c r="S162">
        <f t="shared" ref="S162" si="788">R162/100000</f>
        <v>359.51565238540428</v>
      </c>
      <c r="T162">
        <f t="shared" ref="T162" si="789">S162/1000</f>
        <v>0.35951565238540428</v>
      </c>
    </row>
    <row r="163" spans="1:20" x14ac:dyDescent="0.25">
      <c r="A163" s="5">
        <v>44430</v>
      </c>
      <c r="B163">
        <v>24.92</v>
      </c>
      <c r="C163">
        <v>27.556000000000001</v>
      </c>
      <c r="D163">
        <v>24.783999999999999</v>
      </c>
      <c r="E163">
        <v>26.527000000000001</v>
      </c>
      <c r="F163">
        <v>656360.55599999998</v>
      </c>
      <c r="G163">
        <v>26.527000000000001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0.25757575757575818</v>
      </c>
      <c r="Q163">
        <f t="shared" ref="Q163" si="791">F163*P163</f>
        <v>169062.56745454585</v>
      </c>
      <c r="R163">
        <f t="shared" ref="R163" si="792">R164+Q163</f>
        <v>35831341.811610691</v>
      </c>
      <c r="S163">
        <f t="shared" ref="S163" si="793">R163/100000</f>
        <v>358.3134181161069</v>
      </c>
      <c r="T163">
        <f t="shared" ref="T163" si="794">S163/1000</f>
        <v>0.3583134181161069</v>
      </c>
    </row>
    <row r="164" spans="1:20" x14ac:dyDescent="0.25">
      <c r="A164" s="5">
        <v>44429</v>
      </c>
      <c r="B164">
        <v>24.483000000000001</v>
      </c>
      <c r="C164">
        <v>26.954999999999998</v>
      </c>
      <c r="D164">
        <v>23.913</v>
      </c>
      <c r="E164">
        <v>24.908999999999999</v>
      </c>
      <c r="F164">
        <v>968568.821</v>
      </c>
      <c r="G164">
        <v>24.908999999999999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-0.34516765285996098</v>
      </c>
      <c r="Q164">
        <f t="shared" ref="Q164" si="796">F164*P164</f>
        <v>-334318.62657790969</v>
      </c>
      <c r="R164">
        <f t="shared" ref="R164" si="797">R165+Q164</f>
        <v>35662279.244156145</v>
      </c>
      <c r="S164">
        <f t="shared" ref="S164" si="798">R164/100000</f>
        <v>356.62279244156144</v>
      </c>
      <c r="T164">
        <f t="shared" ref="T164" si="799">S164/1000</f>
        <v>0.35662279244156142</v>
      </c>
    </row>
    <row r="165" spans="1:20" x14ac:dyDescent="0.25">
      <c r="A165" s="5">
        <v>44428</v>
      </c>
      <c r="B165">
        <v>23.876000000000001</v>
      </c>
      <c r="C165">
        <v>25.45</v>
      </c>
      <c r="D165">
        <v>23.457999999999998</v>
      </c>
      <c r="E165">
        <v>24.498000000000001</v>
      </c>
      <c r="F165">
        <v>738115.80799999996</v>
      </c>
      <c r="G165">
        <v>24.498000000000001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4.4176706827311486E-2</v>
      </c>
      <c r="Q165">
        <f t="shared" ref="Q165" si="801">F165*P165</f>
        <v>32607.525654620131</v>
      </c>
      <c r="R165">
        <f t="shared" ref="R165" si="802">R166+Q165</f>
        <v>35996597.870734051</v>
      </c>
      <c r="S165">
        <f t="shared" ref="S165" si="803">R165/100000</f>
        <v>359.96597870734053</v>
      </c>
      <c r="T165">
        <f t="shared" ref="T165" si="804">S165/1000</f>
        <v>0.35996597870734054</v>
      </c>
    </row>
    <row r="166" spans="1:20" x14ac:dyDescent="0.25">
      <c r="A166" s="5">
        <v>44427</v>
      </c>
      <c r="B166">
        <v>23.334</v>
      </c>
      <c r="C166">
        <v>23.949000000000002</v>
      </c>
      <c r="D166">
        <v>22.359000000000002</v>
      </c>
      <c r="E166">
        <v>23.869</v>
      </c>
      <c r="F166">
        <v>639845.52</v>
      </c>
      <c r="G166">
        <v>23.869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0.89937106918238763</v>
      </c>
      <c r="Q166">
        <f t="shared" ref="Q166" si="806">F166*P166</f>
        <v>575458.54943396081</v>
      </c>
      <c r="R166">
        <f t="shared" ref="R166" si="807">R167+Q166</f>
        <v>35963990.345079429</v>
      </c>
      <c r="S166">
        <f t="shared" ref="S166" si="808">R166/100000</f>
        <v>359.63990345079429</v>
      </c>
      <c r="T166">
        <f t="shared" ref="T166" si="809">S166/1000</f>
        <v>0.35963990345079427</v>
      </c>
    </row>
    <row r="167" spans="1:20" x14ac:dyDescent="0.25">
      <c r="A167" s="5">
        <v>44426</v>
      </c>
      <c r="B167">
        <v>22.22</v>
      </c>
      <c r="C167">
        <v>24.8</v>
      </c>
      <c r="D167">
        <v>21.152000000000001</v>
      </c>
      <c r="E167">
        <v>23.343</v>
      </c>
      <c r="F167">
        <v>1453122.692</v>
      </c>
      <c r="G167">
        <v>23.343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0.20120614035087672</v>
      </c>
      <c r="Q167">
        <f t="shared" ref="Q167" si="811">F167*P167</f>
        <v>292377.20831359579</v>
      </c>
      <c r="R167">
        <f t="shared" ref="R167" si="812">R168+Q167</f>
        <v>35388531.795645468</v>
      </c>
      <c r="S167">
        <f t="shared" ref="S167" si="813">R167/100000</f>
        <v>353.88531795645468</v>
      </c>
      <c r="T167">
        <f t="shared" ref="T167" si="814">S167/1000</f>
        <v>0.35388531795645467</v>
      </c>
    </row>
    <row r="168" spans="1:20" x14ac:dyDescent="0.25">
      <c r="A168" s="5">
        <v>44425</v>
      </c>
      <c r="B168">
        <v>23.434999999999999</v>
      </c>
      <c r="C168">
        <v>25.254000000000001</v>
      </c>
      <c r="D168">
        <v>21.831</v>
      </c>
      <c r="E168">
        <v>22.204000000000001</v>
      </c>
      <c r="F168">
        <v>1428415.986</v>
      </c>
      <c r="G168">
        <v>22.204000000000001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-0.78206251825883677</v>
      </c>
      <c r="Q168">
        <f t="shared" ref="Q168" si="816">F168*P168</f>
        <v>-1117110.6031323394</v>
      </c>
      <c r="R168">
        <f t="shared" ref="R168" si="817">R169+Q168</f>
        <v>35096154.587331869</v>
      </c>
      <c r="S168">
        <f t="shared" ref="S168" si="818">R168/100000</f>
        <v>350.9615458733187</v>
      </c>
      <c r="T168">
        <f t="shared" ref="T168" si="819">S168/1000</f>
        <v>0.35096154587331868</v>
      </c>
    </row>
    <row r="169" spans="1:20" x14ac:dyDescent="0.25">
      <c r="A169" s="5">
        <v>44424</v>
      </c>
      <c r="B169">
        <v>24.905000000000001</v>
      </c>
      <c r="C169">
        <v>25.009</v>
      </c>
      <c r="D169">
        <v>23</v>
      </c>
      <c r="E169">
        <v>23.452000000000002</v>
      </c>
      <c r="F169">
        <v>822908.54200000002</v>
      </c>
      <c r="G169">
        <v>23.452000000000002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-0.55002488800398042</v>
      </c>
      <c r="Q169">
        <f t="shared" ref="Q169" si="821">F169*P169</f>
        <v>-452620.17865106883</v>
      </c>
      <c r="R169">
        <f t="shared" ref="R169" si="822">R170+Q169</f>
        <v>36213265.190464206</v>
      </c>
      <c r="S169">
        <f t="shared" ref="S169" si="823">R169/100000</f>
        <v>362.13265190464205</v>
      </c>
      <c r="T169">
        <f t="shared" ref="T169" si="824">S169/1000</f>
        <v>0.36213265190464206</v>
      </c>
    </row>
    <row r="170" spans="1:20" x14ac:dyDescent="0.25">
      <c r="A170" s="5">
        <v>44423</v>
      </c>
      <c r="B170">
        <v>26.442</v>
      </c>
      <c r="C170">
        <v>27.3</v>
      </c>
      <c r="D170">
        <v>24.02</v>
      </c>
      <c r="E170">
        <v>24.905000000000001</v>
      </c>
      <c r="F170">
        <v>1399370.7790000001</v>
      </c>
      <c r="G170">
        <v>24.905000000000001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-0.46036585365853583</v>
      </c>
      <c r="Q170">
        <f t="shared" ref="Q170" si="826">F170*P170</f>
        <v>-644222.52325914532</v>
      </c>
      <c r="R170">
        <f t="shared" ref="R170" si="827">R171+Q170</f>
        <v>36665885.369115278</v>
      </c>
      <c r="S170">
        <f t="shared" ref="S170" si="828">R170/100000</f>
        <v>366.65885369115279</v>
      </c>
      <c r="T170">
        <f t="shared" ref="T170" si="829">S170/1000</f>
        <v>0.36665885369115281</v>
      </c>
    </row>
    <row r="171" spans="1:20" x14ac:dyDescent="0.25">
      <c r="A171" s="5">
        <v>44422</v>
      </c>
      <c r="B171">
        <v>20.692</v>
      </c>
      <c r="C171">
        <v>27.45</v>
      </c>
      <c r="D171">
        <v>20.213000000000001</v>
      </c>
      <c r="E171">
        <v>26.469000000000001</v>
      </c>
      <c r="F171">
        <v>6835941.5360000003</v>
      </c>
      <c r="G171">
        <v>26.469000000000001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0.72889318778499423</v>
      </c>
      <c r="Q171">
        <f t="shared" ref="Q171" si="831">F171*P171</f>
        <v>4982671.2176868897</v>
      </c>
      <c r="R171">
        <f t="shared" ref="R171" si="832">R172+Q171</f>
        <v>37310107.892374426</v>
      </c>
      <c r="S171">
        <f t="shared" ref="S171" si="833">R171/100000</f>
        <v>373.10107892374424</v>
      </c>
      <c r="T171">
        <f t="shared" ref="T171" si="834">S171/1000</f>
        <v>0.37310107892374422</v>
      </c>
    </row>
    <row r="172" spans="1:20" x14ac:dyDescent="0.25">
      <c r="A172" s="5">
        <v>44421</v>
      </c>
      <c r="B172">
        <v>19.841999999999999</v>
      </c>
      <c r="C172">
        <v>21.318999999999999</v>
      </c>
      <c r="D172">
        <v>19.263000000000002</v>
      </c>
      <c r="E172">
        <v>20.690999999999999</v>
      </c>
      <c r="F172">
        <v>1219723.699</v>
      </c>
      <c r="G172">
        <v>20.690999999999999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0.38910505836575787</v>
      </c>
      <c r="Q172">
        <f t="shared" ref="Q172" si="836">F172*P172</f>
        <v>474600.66108949308</v>
      </c>
      <c r="R172">
        <f t="shared" ref="R172" si="837">R173+Q172</f>
        <v>32327436.674687538</v>
      </c>
      <c r="S172">
        <f t="shared" ref="S172" si="838">R172/100000</f>
        <v>323.27436674687539</v>
      </c>
      <c r="T172">
        <f t="shared" ref="T172" si="839">S172/1000</f>
        <v>0.32327436674687537</v>
      </c>
    </row>
    <row r="173" spans="1:20" x14ac:dyDescent="0.25">
      <c r="A173" s="5">
        <v>44420</v>
      </c>
      <c r="B173">
        <v>18.587</v>
      </c>
      <c r="C173">
        <v>19.963000000000001</v>
      </c>
      <c r="D173">
        <v>17.681999999999999</v>
      </c>
      <c r="E173">
        <v>19.844000000000001</v>
      </c>
      <c r="F173">
        <v>1489249.531</v>
      </c>
      <c r="G173">
        <v>19.844000000000001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0.89565979833406428</v>
      </c>
      <c r="Q173">
        <f t="shared" ref="Q173" si="841">F173*P173</f>
        <v>1333860.9346045598</v>
      </c>
      <c r="R173">
        <f t="shared" ref="R173" si="842">R174+Q173</f>
        <v>31852836.013598043</v>
      </c>
      <c r="S173">
        <f t="shared" ref="S173" si="843">R173/100000</f>
        <v>318.52836013598045</v>
      </c>
      <c r="T173">
        <f t="shared" ref="T173" si="844">S173/1000</f>
        <v>0.31852836013598046</v>
      </c>
    </row>
    <row r="174" spans="1:20" x14ac:dyDescent="0.25">
      <c r="A174" s="5">
        <v>44419</v>
      </c>
      <c r="B174">
        <v>17.582000000000001</v>
      </c>
      <c r="C174">
        <v>19.693000000000001</v>
      </c>
      <c r="D174">
        <v>17.332000000000001</v>
      </c>
      <c r="E174">
        <v>18.579000000000001</v>
      </c>
      <c r="F174">
        <v>1346044.4839999999</v>
      </c>
      <c r="G174">
        <v>18.579000000000001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5.6332062685302449E-2</v>
      </c>
      <c r="Q174">
        <f t="shared" ref="Q174" si="846">F174*P174</f>
        <v>75825.462249893579</v>
      </c>
      <c r="R174">
        <f t="shared" ref="R174" si="847">R175+Q174</f>
        <v>30518975.078993484</v>
      </c>
      <c r="S174">
        <f t="shared" ref="S174" si="848">R174/100000</f>
        <v>305.18975078993486</v>
      </c>
      <c r="T174">
        <f t="shared" ref="T174" si="849">S174/1000</f>
        <v>0.30518975078993488</v>
      </c>
    </row>
    <row r="175" spans="1:20" x14ac:dyDescent="0.25">
      <c r="A175" s="5">
        <v>44418</v>
      </c>
      <c r="B175">
        <v>17.265999999999998</v>
      </c>
      <c r="C175">
        <v>17.837</v>
      </c>
      <c r="D175">
        <v>16.919</v>
      </c>
      <c r="E175">
        <v>17.585000000000001</v>
      </c>
      <c r="F175">
        <v>573698.52399999998</v>
      </c>
      <c r="G175">
        <v>17.585000000000001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0.4509803921568647</v>
      </c>
      <c r="Q175">
        <f t="shared" ref="Q175" si="851">F175*P175</f>
        <v>258726.78533333444</v>
      </c>
      <c r="R175">
        <f t="shared" ref="R175" si="852">R176+Q175</f>
        <v>30443149.616743591</v>
      </c>
      <c r="S175">
        <f t="shared" ref="S175" si="853">R175/100000</f>
        <v>304.43149616743591</v>
      </c>
      <c r="T175">
        <f t="shared" ref="T175" si="854">S175/1000</f>
        <v>0.30443149616743592</v>
      </c>
    </row>
    <row r="176" spans="1:20" x14ac:dyDescent="0.25">
      <c r="A176" s="5">
        <v>44417</v>
      </c>
      <c r="B176">
        <v>16.251000000000001</v>
      </c>
      <c r="C176">
        <v>17.949000000000002</v>
      </c>
      <c r="D176">
        <v>15.872999999999999</v>
      </c>
      <c r="E176">
        <v>17.265999999999998</v>
      </c>
      <c r="F176">
        <v>797713.55799999996</v>
      </c>
      <c r="G176">
        <v>17.265999999999998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0.34200385356454466</v>
      </c>
      <c r="Q176">
        <f t="shared" ref="Q176" si="856">F176*P176</f>
        <v>272821.1108766839</v>
      </c>
      <c r="R176">
        <f t="shared" ref="R176" si="857">R177+Q176</f>
        <v>30184422.831410255</v>
      </c>
      <c r="S176">
        <f t="shared" ref="S176" si="858">R176/100000</f>
        <v>301.84422831410257</v>
      </c>
      <c r="T176">
        <f t="shared" ref="T176" si="859">S176/1000</f>
        <v>0.30184422831410257</v>
      </c>
    </row>
    <row r="177" spans="1:20" x14ac:dyDescent="0.25">
      <c r="A177" s="5">
        <v>44416</v>
      </c>
      <c r="B177">
        <v>17.358000000000001</v>
      </c>
      <c r="C177">
        <v>17.587</v>
      </c>
      <c r="D177">
        <v>16.103000000000002</v>
      </c>
      <c r="E177">
        <v>16.248000000000001</v>
      </c>
      <c r="F177">
        <v>559047.57799999998</v>
      </c>
      <c r="G177">
        <v>16.248000000000001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-0.80458221024258791</v>
      </c>
      <c r="Q177">
        <f t="shared" ref="Q177" si="861">F177*P177</f>
        <v>-449799.73593800556</v>
      </c>
      <c r="R177">
        <f t="shared" ref="R177" si="862">R178+Q177</f>
        <v>29911601.720533572</v>
      </c>
      <c r="S177">
        <f t="shared" ref="S177" si="863">R177/100000</f>
        <v>299.11601720533571</v>
      </c>
      <c r="T177">
        <f t="shared" ref="T177" si="864">S177/1000</f>
        <v>0.2991160172053357</v>
      </c>
    </row>
    <row r="178" spans="1:20" x14ac:dyDescent="0.25">
      <c r="A178" s="5">
        <v>44415</v>
      </c>
      <c r="B178">
        <v>16.651</v>
      </c>
      <c r="C178">
        <v>17.411000000000001</v>
      </c>
      <c r="D178">
        <v>16.423999999999999</v>
      </c>
      <c r="E178">
        <v>17.347999999999999</v>
      </c>
      <c r="F178">
        <v>789938.799</v>
      </c>
      <c r="G178">
        <v>17.347999999999999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0.87234042553191027</v>
      </c>
      <c r="Q178">
        <f t="shared" ref="Q178" si="866">F178*P178</f>
        <v>689095.54806382617</v>
      </c>
      <c r="R178">
        <f t="shared" ref="R178" si="867">R179+Q178</f>
        <v>30361401.456471577</v>
      </c>
      <c r="S178">
        <f t="shared" ref="S178" si="868">R178/100000</f>
        <v>303.61401456471577</v>
      </c>
      <c r="T178">
        <f t="shared" ref="T178" si="869">S178/1000</f>
        <v>0.30361401456471576</v>
      </c>
    </row>
    <row r="179" spans="1:20" x14ac:dyDescent="0.25">
      <c r="A179" s="5">
        <v>44414</v>
      </c>
      <c r="B179">
        <v>16.364000000000001</v>
      </c>
      <c r="C179">
        <v>16.814</v>
      </c>
      <c r="D179">
        <v>16.001000000000001</v>
      </c>
      <c r="E179">
        <v>16.654</v>
      </c>
      <c r="F179">
        <v>721728.95799999998</v>
      </c>
      <c r="G179">
        <v>16.654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0.60639606396063872</v>
      </c>
      <c r="Q179">
        <f t="shared" ref="Q179" si="871">F179*P179</f>
        <v>437653.59937761311</v>
      </c>
      <c r="R179">
        <f t="shared" ref="R179" si="872">R180+Q179</f>
        <v>29672305.908407751</v>
      </c>
      <c r="S179">
        <f t="shared" ref="S179" si="873">R179/100000</f>
        <v>296.72305908407753</v>
      </c>
      <c r="T179">
        <f t="shared" ref="T179" si="874">S179/1000</f>
        <v>0.29672305908407753</v>
      </c>
    </row>
    <row r="180" spans="1:20" x14ac:dyDescent="0.25">
      <c r="A180" s="5">
        <v>44413</v>
      </c>
      <c r="B180">
        <v>16.265999999999998</v>
      </c>
      <c r="C180">
        <v>16.667999999999999</v>
      </c>
      <c r="D180">
        <v>15.58</v>
      </c>
      <c r="E180">
        <v>16.364999999999998</v>
      </c>
      <c r="F180">
        <v>671413.84199999995</v>
      </c>
      <c r="G180">
        <v>16.364999999999998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0.44301470588235103</v>
      </c>
      <c r="Q180">
        <f t="shared" ref="Q180" si="876">F180*P180</f>
        <v>297446.20573896926</v>
      </c>
      <c r="R180">
        <f t="shared" ref="R180" si="877">R181+Q180</f>
        <v>29234652.309030138</v>
      </c>
      <c r="S180">
        <f t="shared" ref="S180" si="878">R180/100000</f>
        <v>292.34652309030139</v>
      </c>
      <c r="T180">
        <f t="shared" ref="T180" si="879">S180/1000</f>
        <v>0.2923465230903014</v>
      </c>
    </row>
    <row r="181" spans="1:20" x14ac:dyDescent="0.25">
      <c r="A181" s="5">
        <v>44412</v>
      </c>
      <c r="B181">
        <v>16.088999999999999</v>
      </c>
      <c r="C181">
        <v>16.343</v>
      </c>
      <c r="D181">
        <v>15.51</v>
      </c>
      <c r="E181">
        <v>16.277000000000001</v>
      </c>
      <c r="F181">
        <v>402016.31599999999</v>
      </c>
      <c r="G181">
        <v>16.277000000000001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0.84153661464586094</v>
      </c>
      <c r="Q181">
        <f t="shared" ref="Q181" si="881">F181*P181</f>
        <v>338311.44959904067</v>
      </c>
      <c r="R181">
        <f t="shared" ref="R181" si="882">R182+Q181</f>
        <v>28937206.103291169</v>
      </c>
      <c r="S181">
        <f t="shared" ref="S181" si="883">R181/100000</f>
        <v>289.37206103291169</v>
      </c>
      <c r="T181">
        <f t="shared" ref="T181" si="884">S181/1000</f>
        <v>0.28937206103291169</v>
      </c>
    </row>
    <row r="182" spans="1:20" x14ac:dyDescent="0.25">
      <c r="A182" s="5">
        <v>44411</v>
      </c>
      <c r="B182">
        <v>16.114000000000001</v>
      </c>
      <c r="C182">
        <v>16.597000000000001</v>
      </c>
      <c r="D182">
        <v>15.48</v>
      </c>
      <c r="E182">
        <v>16.068999999999999</v>
      </c>
      <c r="F182">
        <v>696831.55700000003</v>
      </c>
      <c r="G182">
        <v>16.068999999999999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5.4610564010739784E-2</v>
      </c>
      <c r="Q182">
        <f t="shared" ref="Q182" si="886">F182*P182</f>
        <v>38054.364348251969</v>
      </c>
      <c r="R182">
        <f t="shared" ref="R182" si="887">R183+Q182</f>
        <v>28598894.65369213</v>
      </c>
      <c r="S182">
        <f t="shared" ref="S182" si="888">R182/100000</f>
        <v>285.98894653692128</v>
      </c>
      <c r="T182">
        <f t="shared" ref="T182" si="889">S182/1000</f>
        <v>0.28598894653692125</v>
      </c>
    </row>
    <row r="183" spans="1:20" x14ac:dyDescent="0.25">
      <c r="A183" s="5">
        <v>44410</v>
      </c>
      <c r="B183">
        <v>15.775</v>
      </c>
      <c r="C183">
        <v>16.175000000000001</v>
      </c>
      <c r="D183">
        <v>15.515000000000001</v>
      </c>
      <c r="E183">
        <v>16.114999999999998</v>
      </c>
      <c r="F183">
        <v>494228.21899999998</v>
      </c>
      <c r="G183">
        <v>16.114999999999998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0.81818181818181135</v>
      </c>
      <c r="Q183">
        <f t="shared" ref="Q183" si="891">F183*P183</f>
        <v>404368.54281817842</v>
      </c>
      <c r="R183">
        <f t="shared" ref="R183" si="892">R184+Q183</f>
        <v>28560840.289343879</v>
      </c>
      <c r="S183">
        <f t="shared" ref="S183" si="893">R183/100000</f>
        <v>285.60840289343878</v>
      </c>
      <c r="T183">
        <f t="shared" ref="T183" si="894">S183/1000</f>
        <v>0.28560840289343881</v>
      </c>
    </row>
    <row r="184" spans="1:20" x14ac:dyDescent="0.25">
      <c r="A184" s="5">
        <v>44409</v>
      </c>
      <c r="B184">
        <v>16.587</v>
      </c>
      <c r="C184">
        <v>16.96</v>
      </c>
      <c r="D184">
        <v>15.534000000000001</v>
      </c>
      <c r="E184">
        <v>15.775</v>
      </c>
      <c r="F184">
        <v>735456.11600000004</v>
      </c>
      <c r="G184">
        <v>15.775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-0.66199158485273546</v>
      </c>
      <c r="Q184">
        <f t="shared" ref="Q184" si="896">F184*P184</f>
        <v>-486865.75982047728</v>
      </c>
      <c r="R184">
        <f t="shared" ref="R184" si="897">R185+Q184</f>
        <v>28156471.746525701</v>
      </c>
      <c r="S184">
        <f t="shared" ref="S184" si="898">R184/100000</f>
        <v>281.56471746525699</v>
      </c>
      <c r="T184">
        <f t="shared" ref="T184" si="899">S184/1000</f>
        <v>0.28156471746525696</v>
      </c>
    </row>
    <row r="185" spans="1:20" x14ac:dyDescent="0.25">
      <c r="A185" s="5">
        <v>44408</v>
      </c>
      <c r="B185">
        <v>16.247</v>
      </c>
      <c r="C185">
        <v>16.709</v>
      </c>
      <c r="D185">
        <v>15.906000000000001</v>
      </c>
      <c r="E185">
        <v>16.587</v>
      </c>
      <c r="F185">
        <v>577198.36699999997</v>
      </c>
      <c r="G185">
        <v>16.587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0.69613947696139467</v>
      </c>
      <c r="Q185">
        <f t="shared" ref="Q185" si="901">F185*P185</f>
        <v>401810.56930635113</v>
      </c>
      <c r="R185">
        <f t="shared" ref="R185" si="902">R186+Q185</f>
        <v>28643337.506346177</v>
      </c>
      <c r="S185">
        <f t="shared" ref="S185" si="903">R185/100000</f>
        <v>286.43337506346177</v>
      </c>
      <c r="T185">
        <f t="shared" ref="T185" si="904">S185/1000</f>
        <v>0.28643337506346178</v>
      </c>
    </row>
    <row r="186" spans="1:20" x14ac:dyDescent="0.25">
      <c r="A186" s="5">
        <v>44407</v>
      </c>
      <c r="B186">
        <v>15.741</v>
      </c>
      <c r="C186">
        <v>17.239999999999998</v>
      </c>
      <c r="D186">
        <v>15.465</v>
      </c>
      <c r="E186">
        <v>16.260999999999999</v>
      </c>
      <c r="F186">
        <v>1646248.416</v>
      </c>
      <c r="G186">
        <v>16.260999999999999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-0.10309859154929576</v>
      </c>
      <c r="Q186">
        <f t="shared" ref="Q186" si="906">F186*P186</f>
        <v>-169725.89302985914</v>
      </c>
      <c r="R186">
        <f t="shared" ref="R186" si="907">R187+Q186</f>
        <v>28241526.937039826</v>
      </c>
      <c r="S186">
        <f t="shared" ref="S186" si="908">R186/100000</f>
        <v>282.41526937039828</v>
      </c>
      <c r="T186">
        <f t="shared" ref="T186" si="909">S186/1000</f>
        <v>0.28241526937039829</v>
      </c>
    </row>
    <row r="187" spans="1:20" x14ac:dyDescent="0.25">
      <c r="A187" s="5">
        <v>44406</v>
      </c>
      <c r="B187">
        <v>15.632</v>
      </c>
      <c r="C187">
        <v>15.975</v>
      </c>
      <c r="D187">
        <v>15.215</v>
      </c>
      <c r="E187">
        <v>15.738</v>
      </c>
      <c r="F187">
        <v>613337.92000000004</v>
      </c>
      <c r="G187">
        <v>15.738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0.37631578947368377</v>
      </c>
      <c r="Q187">
        <f t="shared" ref="Q187" si="911">F187*P187</f>
        <v>230808.74357894712</v>
      </c>
      <c r="R187">
        <f t="shared" ref="R187" si="912">R188+Q187</f>
        <v>28411252.830069683</v>
      </c>
      <c r="S187">
        <f t="shared" ref="S187" si="913">R187/100000</f>
        <v>284.11252830069685</v>
      </c>
      <c r="T187">
        <f t="shared" ref="T187" si="914">S187/1000</f>
        <v>0.28411252830069683</v>
      </c>
    </row>
    <row r="188" spans="1:20" x14ac:dyDescent="0.25">
      <c r="A188" s="5">
        <v>44405</v>
      </c>
      <c r="B188">
        <v>15.058999999999999</v>
      </c>
      <c r="C188">
        <v>17.068000000000001</v>
      </c>
      <c r="D188">
        <v>14.698</v>
      </c>
      <c r="E188">
        <v>15.63</v>
      </c>
      <c r="F188">
        <v>2555267.7420000001</v>
      </c>
      <c r="G188">
        <v>15.63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-0.21350210970464137</v>
      </c>
      <c r="Q188">
        <f t="shared" ref="Q188" si="916">F188*P188</f>
        <v>-545555.0537772153</v>
      </c>
      <c r="R188">
        <f t="shared" ref="R188" si="917">R189+Q188</f>
        <v>28180444.086490735</v>
      </c>
      <c r="S188">
        <f t="shared" ref="S188" si="918">R188/100000</f>
        <v>281.80444086490735</v>
      </c>
      <c r="T188">
        <f t="shared" ref="T188" si="919">S188/1000</f>
        <v>0.28180444086490736</v>
      </c>
    </row>
    <row r="189" spans="1:20" x14ac:dyDescent="0.25">
      <c r="A189" s="5">
        <v>44404</v>
      </c>
      <c r="B189">
        <v>14.968999999999999</v>
      </c>
      <c r="C189">
        <v>15.154</v>
      </c>
      <c r="D189">
        <v>14.305999999999999</v>
      </c>
      <c r="E189">
        <v>15.061</v>
      </c>
      <c r="F189">
        <v>785706.95400000003</v>
      </c>
      <c r="G189">
        <v>15.061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0.78066037735849081</v>
      </c>
      <c r="Q189">
        <f t="shared" ref="Q189" si="921">F189*P189</f>
        <v>613370.28720283043</v>
      </c>
      <c r="R189">
        <f t="shared" ref="R189" si="922">R190+Q189</f>
        <v>28725999.14026795</v>
      </c>
      <c r="S189">
        <f t="shared" ref="S189" si="923">R189/100000</f>
        <v>287.25999140267947</v>
      </c>
      <c r="T189">
        <f t="shared" ref="T189" si="924">S189/1000</f>
        <v>0.28725999140267949</v>
      </c>
    </row>
    <row r="190" spans="1:20" x14ac:dyDescent="0.25">
      <c r="A190" s="5">
        <v>44403</v>
      </c>
      <c r="B190">
        <v>15.403</v>
      </c>
      <c r="C190">
        <v>16.413</v>
      </c>
      <c r="D190">
        <v>14.868</v>
      </c>
      <c r="E190">
        <v>14.97</v>
      </c>
      <c r="F190">
        <v>1494552.588</v>
      </c>
      <c r="G190">
        <v>14.97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-0.86796116504854326</v>
      </c>
      <c r="Q190">
        <f t="shared" ref="Q190" si="926">F190*P190</f>
        <v>-1297213.6055067955</v>
      </c>
      <c r="R190">
        <f t="shared" ref="R190" si="927">R191+Q190</f>
        <v>28112628.853065118</v>
      </c>
      <c r="S190">
        <f t="shared" ref="S190" si="928">R190/100000</f>
        <v>281.12628853065121</v>
      </c>
      <c r="T190">
        <f t="shared" ref="T190" si="929">S190/1000</f>
        <v>0.28112628853065119</v>
      </c>
    </row>
    <row r="191" spans="1:20" x14ac:dyDescent="0.25">
      <c r="A191" s="5">
        <v>44402</v>
      </c>
      <c r="B191">
        <v>14.984</v>
      </c>
      <c r="C191">
        <v>16.006</v>
      </c>
      <c r="D191">
        <v>14.532999999999999</v>
      </c>
      <c r="E191">
        <v>15.406000000000001</v>
      </c>
      <c r="F191">
        <v>1320386.4639999999</v>
      </c>
      <c r="G191">
        <v>15.406000000000001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0.18533604887983796</v>
      </c>
      <c r="Q191">
        <f t="shared" ref="Q191" si="931">F191*P191</f>
        <v>244715.2102321804</v>
      </c>
      <c r="R191">
        <f t="shared" ref="R191" si="932">R192+Q191</f>
        <v>29409842.458571915</v>
      </c>
      <c r="S191">
        <f t="shared" ref="S191" si="933">R191/100000</f>
        <v>294.09842458571916</v>
      </c>
      <c r="T191">
        <f t="shared" ref="T191:T197" si="934">S191/1000</f>
        <v>0.29409842458571916</v>
      </c>
    </row>
    <row r="192" spans="1:20" x14ac:dyDescent="0.25">
      <c r="A192" s="5">
        <v>44401</v>
      </c>
      <c r="B192">
        <v>14.348000000000001</v>
      </c>
      <c r="C192">
        <v>16.225000000000001</v>
      </c>
      <c r="D192">
        <v>14.180999999999999</v>
      </c>
      <c r="E192">
        <v>14.973000000000001</v>
      </c>
      <c r="F192">
        <v>1893333.73</v>
      </c>
      <c r="G192">
        <v>14.973000000000001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-0.22504892367905996</v>
      </c>
      <c r="Q192">
        <f t="shared" ref="Q192" si="936">F192*P192</f>
        <v>-426092.71810175991</v>
      </c>
      <c r="R192">
        <f t="shared" ref="R192" si="937">R193+Q192</f>
        <v>29165127.248339735</v>
      </c>
      <c r="S192">
        <f t="shared" ref="S192" si="938">R192/100000</f>
        <v>291.65127248339735</v>
      </c>
      <c r="T192">
        <f t="shared" si="934"/>
        <v>0.29165127248339734</v>
      </c>
    </row>
    <row r="193" spans="1:20" x14ac:dyDescent="0.25">
      <c r="A193" s="5">
        <v>44400</v>
      </c>
      <c r="B193">
        <v>14.106</v>
      </c>
      <c r="C193">
        <v>14.576000000000001</v>
      </c>
      <c r="D193">
        <v>13.759</v>
      </c>
      <c r="E193">
        <v>14.348000000000001</v>
      </c>
      <c r="F193">
        <v>747483.78599999996</v>
      </c>
      <c r="G193">
        <v>14.348000000000001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0.4418604651162798</v>
      </c>
      <c r="Q193">
        <f t="shared" ref="Q193" si="940">F193*P193</f>
        <v>330283.53334883775</v>
      </c>
      <c r="R193">
        <f t="shared" ref="R193" si="941">R194+Q193</f>
        <v>29591219.966441493</v>
      </c>
      <c r="S193">
        <f t="shared" ref="S193" si="942">R193/100000</f>
        <v>295.91219966441491</v>
      </c>
      <c r="T193">
        <f t="shared" si="934"/>
        <v>0.2959121996644149</v>
      </c>
    </row>
    <row r="194" spans="1:20" x14ac:dyDescent="0.25">
      <c r="A194" s="5">
        <v>44399</v>
      </c>
      <c r="B194">
        <v>12.753</v>
      </c>
      <c r="C194">
        <v>14.988</v>
      </c>
      <c r="D194">
        <v>12.6</v>
      </c>
      <c r="E194">
        <v>14.103999999999999</v>
      </c>
      <c r="F194">
        <v>2895945.9840000002</v>
      </c>
      <c r="G194">
        <v>14.103999999999999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0.25963149078726938</v>
      </c>
      <c r="Q194">
        <f t="shared" ref="Q194" si="944">F194*P194</f>
        <v>751878.7730653258</v>
      </c>
      <c r="R194">
        <f t="shared" ref="R194" si="945">R195+Q194</f>
        <v>29260936.433092657</v>
      </c>
      <c r="S194">
        <f t="shared" ref="S194" si="946">R194/100000</f>
        <v>292.60936433092655</v>
      </c>
      <c r="T194">
        <f t="shared" si="934"/>
        <v>0.29260936433092655</v>
      </c>
    </row>
    <row r="195" spans="1:20" x14ac:dyDescent="0.25">
      <c r="A195" s="5">
        <v>44398</v>
      </c>
      <c r="B195">
        <v>11.881</v>
      </c>
      <c r="C195">
        <v>12.93</v>
      </c>
      <c r="D195">
        <v>11.66</v>
      </c>
      <c r="E195">
        <v>12.752000000000001</v>
      </c>
      <c r="F195">
        <v>675941.19799999997</v>
      </c>
      <c r="G195">
        <v>12.752000000000001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0.7196850393700801</v>
      </c>
      <c r="Q195">
        <f t="shared" ref="Q195" si="948">F195*P195</f>
        <v>486464.7676944891</v>
      </c>
      <c r="R195">
        <f t="shared" ref="R195" si="949">R196+Q195</f>
        <v>28509057.660027333</v>
      </c>
      <c r="S195">
        <f t="shared" ref="S195" si="950">R195/100000</f>
        <v>285.09057660027332</v>
      </c>
      <c r="T195">
        <f t="shared" si="934"/>
        <v>0.28509057660027332</v>
      </c>
    </row>
    <row r="196" spans="1:20" x14ac:dyDescent="0.25">
      <c r="A196" s="5">
        <v>44397</v>
      </c>
      <c r="B196">
        <v>12.84</v>
      </c>
      <c r="C196">
        <v>13.007999999999999</v>
      </c>
      <c r="D196">
        <v>11.651</v>
      </c>
      <c r="E196">
        <v>11.871</v>
      </c>
      <c r="F196">
        <v>1000465.1580000001</v>
      </c>
      <c r="G196">
        <v>11.871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-0.67575534266764814</v>
      </c>
      <c r="Q196">
        <f t="shared" ref="Q196" si="952">F196*P196</f>
        <v>-676069.67567133275</v>
      </c>
      <c r="R196">
        <f t="shared" ref="R196" si="953">R197+Q196</f>
        <v>28022592.892332844</v>
      </c>
      <c r="S196">
        <f t="shared" ref="S196" si="954">R196/100000</f>
        <v>280.22592892332847</v>
      </c>
      <c r="T196">
        <f t="shared" si="934"/>
        <v>0.28022592892332848</v>
      </c>
    </row>
    <row r="197" spans="1:20" x14ac:dyDescent="0.25">
      <c r="A197" s="5">
        <v>44396</v>
      </c>
      <c r="B197">
        <v>13.157</v>
      </c>
      <c r="C197">
        <v>13.663</v>
      </c>
      <c r="D197">
        <v>12.762</v>
      </c>
      <c r="E197">
        <v>12.832000000000001</v>
      </c>
      <c r="F197">
        <v>1076282.7830000001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-0.84461709211986613</v>
      </c>
      <c r="Q197">
        <f t="shared" ref="Q197" si="956">F197*P197</f>
        <v>-909046.83447613695</v>
      </c>
      <c r="R197">
        <f t="shared" ref="R197" si="957">R198+Q197</f>
        <v>28698662.568004176</v>
      </c>
      <c r="S197">
        <f t="shared" ref="S197" si="958">R197/100000</f>
        <v>286.98662568004175</v>
      </c>
      <c r="T197">
        <f t="shared" si="934"/>
        <v>0.28698662568004174</v>
      </c>
    </row>
    <row r="198" spans="1:20" x14ac:dyDescent="0.25">
      <c r="A198" s="5">
        <v>44395</v>
      </c>
      <c r="B198">
        <v>13.17</v>
      </c>
      <c r="C198">
        <v>13.69</v>
      </c>
      <c r="D198">
        <v>12.795999999999999</v>
      </c>
      <c r="E198">
        <v>13.166</v>
      </c>
      <c r="F198">
        <v>502435.28499999997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-0.17225950782997551</v>
      </c>
      <c r="Q198">
        <f t="shared" ref="Q198:Q261" si="960">F198*P198</f>
        <v>-86549.254910513468</v>
      </c>
      <c r="R198">
        <f t="shared" ref="R198:R261" si="961">R199+Q198</f>
        <v>29607709.402480312</v>
      </c>
      <c r="S198">
        <f t="shared" ref="S198:S261" si="962">R198/100000</f>
        <v>296.0770940248031</v>
      </c>
      <c r="T198">
        <f t="shared" ref="T198:T261" si="963">S198/1000</f>
        <v>0.29607709402480309</v>
      </c>
    </row>
    <row r="199" spans="1:20" x14ac:dyDescent="0.25">
      <c r="A199" s="5">
        <v>44394</v>
      </c>
      <c r="B199">
        <v>13.44</v>
      </c>
      <c r="C199">
        <v>13.44</v>
      </c>
      <c r="D199">
        <v>12.662000000000001</v>
      </c>
      <c r="E199">
        <v>13.167999999999999</v>
      </c>
      <c r="F199">
        <v>613243.51300000004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0.30077120822621928</v>
      </c>
      <c r="Q199">
        <f t="shared" si="960"/>
        <v>184445.9923419012</v>
      </c>
      <c r="R199">
        <f t="shared" si="961"/>
        <v>29694258.657390825</v>
      </c>
      <c r="S199">
        <f t="shared" si="962"/>
        <v>296.94258657390827</v>
      </c>
      <c r="T199">
        <f t="shared" si="963"/>
        <v>0.29694258657390826</v>
      </c>
    </row>
    <row r="200" spans="1:20" x14ac:dyDescent="0.25">
      <c r="A200" s="5">
        <v>44393</v>
      </c>
      <c r="B200">
        <v>13.086</v>
      </c>
      <c r="C200">
        <v>14.25</v>
      </c>
      <c r="D200">
        <v>12.721</v>
      </c>
      <c r="E200">
        <v>13.446999999999999</v>
      </c>
      <c r="F200">
        <v>2000206.371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-5.0359712230216964E-2</v>
      </c>
      <c r="Q200">
        <f t="shared" si="960"/>
        <v>-100729.81724460659</v>
      </c>
      <c r="R200">
        <f t="shared" si="961"/>
        <v>29509812.665048923</v>
      </c>
      <c r="S200">
        <f t="shared" si="962"/>
        <v>295.09812665048923</v>
      </c>
      <c r="T200">
        <f t="shared" si="963"/>
        <v>0.29509812665048923</v>
      </c>
    </row>
    <row r="201" spans="1:20" x14ac:dyDescent="0.25">
      <c r="A201" s="5">
        <v>44392</v>
      </c>
      <c r="B201">
        <v>13.589</v>
      </c>
      <c r="C201">
        <v>14.295</v>
      </c>
      <c r="D201">
        <v>12.792</v>
      </c>
      <c r="E201">
        <v>13.086</v>
      </c>
      <c r="F201">
        <v>998571.13199999998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-0.60878243512973995</v>
      </c>
      <c r="Q201">
        <f t="shared" si="960"/>
        <v>-607912.56538922095</v>
      </c>
      <c r="R201">
        <f t="shared" si="961"/>
        <v>29610542.482293531</v>
      </c>
      <c r="S201">
        <f t="shared" si="962"/>
        <v>296.10542482293533</v>
      </c>
      <c r="T201">
        <f t="shared" si="963"/>
        <v>0.29610542482293534</v>
      </c>
    </row>
    <row r="202" spans="1:20" x14ac:dyDescent="0.25">
      <c r="A202" s="5">
        <v>44391</v>
      </c>
      <c r="B202">
        <v>13.528</v>
      </c>
      <c r="C202">
        <v>13.951000000000001</v>
      </c>
      <c r="D202">
        <v>12.827999999999999</v>
      </c>
      <c r="E202">
        <v>13.593999999999999</v>
      </c>
      <c r="F202">
        <v>621768.12699999998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0.36420302760462914</v>
      </c>
      <c r="Q202">
        <f t="shared" si="960"/>
        <v>226449.83432145955</v>
      </c>
      <c r="R202">
        <f t="shared" si="961"/>
        <v>30218455.047682751</v>
      </c>
      <c r="S202">
        <f t="shared" si="962"/>
        <v>302.1845504768275</v>
      </c>
      <c r="T202">
        <f t="shared" si="963"/>
        <v>0.30218455047682752</v>
      </c>
    </row>
    <row r="203" spans="1:20" x14ac:dyDescent="0.25">
      <c r="A203" s="5">
        <v>44390</v>
      </c>
      <c r="B203">
        <v>13.929</v>
      </c>
      <c r="C203">
        <v>14.032999999999999</v>
      </c>
      <c r="D203">
        <v>13.348000000000001</v>
      </c>
      <c r="E203">
        <v>13.532999999999999</v>
      </c>
      <c r="F203">
        <v>365073.77899999998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-0.45985401459854286</v>
      </c>
      <c r="Q203">
        <f t="shared" si="960"/>
        <v>-167880.64289781119</v>
      </c>
      <c r="R203">
        <f t="shared" si="961"/>
        <v>29992005.213361293</v>
      </c>
      <c r="S203">
        <f t="shared" si="962"/>
        <v>299.92005213361296</v>
      </c>
      <c r="T203">
        <f t="shared" si="963"/>
        <v>0.29992005213361295</v>
      </c>
    </row>
    <row r="204" spans="1:20" x14ac:dyDescent="0.25">
      <c r="A204" s="5">
        <v>44389</v>
      </c>
      <c r="B204">
        <v>14.31</v>
      </c>
      <c r="C204">
        <v>14.46</v>
      </c>
      <c r="D204">
        <v>13.654</v>
      </c>
      <c r="E204">
        <v>13.932</v>
      </c>
      <c r="F204">
        <v>559227.50199999998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-0.31017369727047112</v>
      </c>
      <c r="Q204">
        <f t="shared" si="960"/>
        <v>-173457.66191066976</v>
      </c>
      <c r="R204">
        <f t="shared" si="961"/>
        <v>30159885.856259104</v>
      </c>
      <c r="S204">
        <f t="shared" si="962"/>
        <v>301.59885856259103</v>
      </c>
      <c r="T204">
        <f t="shared" si="963"/>
        <v>0.30159885856259105</v>
      </c>
    </row>
    <row r="205" spans="1:20" x14ac:dyDescent="0.25">
      <c r="A205" s="5">
        <v>44388</v>
      </c>
      <c r="B205">
        <v>14.19</v>
      </c>
      <c r="C205">
        <v>14.48</v>
      </c>
      <c r="D205">
        <v>13.83</v>
      </c>
      <c r="E205">
        <v>14.31</v>
      </c>
      <c r="F205">
        <v>1328796.429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0.47692307692307745</v>
      </c>
      <c r="Q205">
        <f t="shared" si="960"/>
        <v>633733.68152307766</v>
      </c>
      <c r="R205">
        <f t="shared" si="961"/>
        <v>30333343.518169772</v>
      </c>
      <c r="S205">
        <f t="shared" si="962"/>
        <v>303.33343518169772</v>
      </c>
      <c r="T205">
        <f t="shared" si="963"/>
        <v>0.3033334351816977</v>
      </c>
    </row>
    <row r="206" spans="1:20" x14ac:dyDescent="0.25">
      <c r="A206" s="5">
        <v>44387</v>
      </c>
      <c r="B206">
        <v>14.994</v>
      </c>
      <c r="C206">
        <v>15.265000000000001</v>
      </c>
      <c r="D206">
        <v>13.95</v>
      </c>
      <c r="E206">
        <v>14.189</v>
      </c>
      <c r="F206">
        <v>1572734.2560000001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-0.63650190114068361</v>
      </c>
      <c r="Q206">
        <f t="shared" si="960"/>
        <v>-1001048.3439330786</v>
      </c>
      <c r="R206">
        <f t="shared" si="961"/>
        <v>29699609.836646695</v>
      </c>
      <c r="S206">
        <f t="shared" si="962"/>
        <v>296.99609836646692</v>
      </c>
      <c r="T206">
        <f t="shared" si="963"/>
        <v>0.2969960983664669</v>
      </c>
    </row>
    <row r="207" spans="1:20" x14ac:dyDescent="0.25">
      <c r="A207" s="5">
        <v>44386</v>
      </c>
      <c r="B207">
        <v>14.805</v>
      </c>
      <c r="C207">
        <v>15.164</v>
      </c>
      <c r="D207">
        <v>14.162000000000001</v>
      </c>
      <c r="E207">
        <v>15</v>
      </c>
      <c r="F207">
        <v>668956.13300000003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0.67265469061876271</v>
      </c>
      <c r="Q207">
        <f t="shared" si="960"/>
        <v>449976.48068063892</v>
      </c>
      <c r="R207">
        <f t="shared" si="961"/>
        <v>30700658.180579774</v>
      </c>
      <c r="S207">
        <f t="shared" si="962"/>
        <v>307.00658180579774</v>
      </c>
      <c r="T207">
        <f t="shared" si="963"/>
        <v>0.30700658180579776</v>
      </c>
    </row>
    <row r="208" spans="1:20" x14ac:dyDescent="0.25">
      <c r="A208" s="5">
        <v>44385</v>
      </c>
      <c r="B208">
        <v>16.550999999999998</v>
      </c>
      <c r="C208">
        <v>16.611999999999998</v>
      </c>
      <c r="D208">
        <v>14.621</v>
      </c>
      <c r="E208">
        <v>14.805999999999999</v>
      </c>
      <c r="F208">
        <v>796874.49199999997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-0.81416373681567156</v>
      </c>
      <c r="Q208">
        <f t="shared" si="960"/>
        <v>-648786.31417981</v>
      </c>
      <c r="R208">
        <f t="shared" si="961"/>
        <v>30250681.699899133</v>
      </c>
      <c r="S208">
        <f t="shared" si="962"/>
        <v>302.50681699899133</v>
      </c>
      <c r="T208">
        <f t="shared" si="963"/>
        <v>0.30250681699899135</v>
      </c>
    </row>
    <row r="209" spans="1:20" x14ac:dyDescent="0.25">
      <c r="A209" s="5">
        <v>44384</v>
      </c>
      <c r="B209">
        <v>16.181999999999999</v>
      </c>
      <c r="C209">
        <v>17.373000000000001</v>
      </c>
      <c r="D209">
        <v>16.093</v>
      </c>
      <c r="E209">
        <v>16.542000000000002</v>
      </c>
      <c r="F209">
        <v>1090025.3400000001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-0.29843749999999808</v>
      </c>
      <c r="Q209">
        <f t="shared" si="960"/>
        <v>-325304.43740624795</v>
      </c>
      <c r="R209">
        <f t="shared" si="961"/>
        <v>30899468.014078945</v>
      </c>
      <c r="S209">
        <f t="shared" si="962"/>
        <v>308.99468014078946</v>
      </c>
      <c r="T209">
        <f t="shared" si="963"/>
        <v>0.30899468014078946</v>
      </c>
    </row>
    <row r="210" spans="1:20" x14ac:dyDescent="0.25">
      <c r="A210" s="5">
        <v>44383</v>
      </c>
      <c r="B210">
        <v>15.973000000000001</v>
      </c>
      <c r="C210">
        <v>16.8</v>
      </c>
      <c r="D210">
        <v>15.929</v>
      </c>
      <c r="E210">
        <v>16.190999999999999</v>
      </c>
      <c r="F210">
        <v>709663.24899999995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-0.39839265212399877</v>
      </c>
      <c r="Q210">
        <f t="shared" si="960"/>
        <v>-282724.62388404371</v>
      </c>
      <c r="R210">
        <f t="shared" si="961"/>
        <v>31224772.451485194</v>
      </c>
      <c r="S210">
        <f t="shared" si="962"/>
        <v>312.24772451485194</v>
      </c>
      <c r="T210">
        <f t="shared" si="963"/>
        <v>0.31224772451485194</v>
      </c>
    </row>
    <row r="211" spans="1:20" x14ac:dyDescent="0.25">
      <c r="A211" s="5">
        <v>44382</v>
      </c>
      <c r="B211">
        <v>16.895</v>
      </c>
      <c r="C211">
        <v>17.202999999999999</v>
      </c>
      <c r="D211">
        <v>15.72</v>
      </c>
      <c r="E211">
        <v>15.974</v>
      </c>
      <c r="F211">
        <v>1084651.862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-0.65745111260957545</v>
      </c>
      <c r="Q211">
        <f t="shared" si="960"/>
        <v>-713105.57346594764</v>
      </c>
      <c r="R211">
        <f t="shared" si="961"/>
        <v>31507497.075369239</v>
      </c>
      <c r="S211">
        <f t="shared" si="962"/>
        <v>315.07497075369241</v>
      </c>
      <c r="T211">
        <f t="shared" si="963"/>
        <v>0.3150749707536924</v>
      </c>
    </row>
    <row r="212" spans="1:20" x14ac:dyDescent="0.25">
      <c r="A212" s="5">
        <v>44381</v>
      </c>
      <c r="B212">
        <v>16.184999999999999</v>
      </c>
      <c r="C212">
        <v>17.88</v>
      </c>
      <c r="D212">
        <v>15.618</v>
      </c>
      <c r="E212">
        <v>16.890999999999998</v>
      </c>
      <c r="F212">
        <v>1717052.6429999999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0.1255526083112278</v>
      </c>
      <c r="Q212">
        <f t="shared" si="960"/>
        <v>215580.43793633746</v>
      </c>
      <c r="R212">
        <f t="shared" si="961"/>
        <v>32220602.648835186</v>
      </c>
      <c r="S212">
        <f t="shared" si="962"/>
        <v>322.20602648835188</v>
      </c>
      <c r="T212">
        <f t="shared" si="963"/>
        <v>0.32220602648835189</v>
      </c>
    </row>
    <row r="213" spans="1:20" x14ac:dyDescent="0.25">
      <c r="A213" s="5">
        <v>44380</v>
      </c>
      <c r="B213">
        <v>16.084</v>
      </c>
      <c r="C213">
        <v>16.5</v>
      </c>
      <c r="D213">
        <v>15.792999999999999</v>
      </c>
      <c r="E213">
        <v>16.187999999999999</v>
      </c>
      <c r="F213">
        <v>417003.027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0.11739745403111503</v>
      </c>
      <c r="Q213">
        <f t="shared" si="960"/>
        <v>48955.093693068316</v>
      </c>
      <c r="R213">
        <f t="shared" si="961"/>
        <v>32005022.21089885</v>
      </c>
      <c r="S213">
        <f t="shared" si="962"/>
        <v>320.05022210898852</v>
      </c>
      <c r="T213">
        <f t="shared" si="963"/>
        <v>0.32005022210898854</v>
      </c>
    </row>
    <row r="214" spans="1:20" x14ac:dyDescent="0.25">
      <c r="A214" s="5">
        <v>44379</v>
      </c>
      <c r="B214">
        <v>15.811999999999999</v>
      </c>
      <c r="C214">
        <v>16.279</v>
      </c>
      <c r="D214">
        <v>15.164999999999999</v>
      </c>
      <c r="E214">
        <v>16.085999999999999</v>
      </c>
      <c r="F214">
        <v>942152.745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0.65350089766606601</v>
      </c>
      <c r="Q214">
        <f t="shared" si="960"/>
        <v>615697.66459604818</v>
      </c>
      <c r="R214">
        <f t="shared" si="961"/>
        <v>31956067.11720578</v>
      </c>
      <c r="S214">
        <f t="shared" si="962"/>
        <v>319.56067117205782</v>
      </c>
      <c r="T214">
        <f t="shared" si="963"/>
        <v>0.31956067117205783</v>
      </c>
    </row>
    <row r="215" spans="1:20" x14ac:dyDescent="0.25">
      <c r="A215" s="5">
        <v>44378</v>
      </c>
      <c r="B215">
        <v>16.321999999999999</v>
      </c>
      <c r="C215">
        <v>16.353999999999999</v>
      </c>
      <c r="D215">
        <v>14.94</v>
      </c>
      <c r="E215">
        <v>15.821</v>
      </c>
      <c r="F215">
        <v>1946676.737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0.2461103253182467</v>
      </c>
      <c r="Q215">
        <f t="shared" si="960"/>
        <v>479097.24503253296</v>
      </c>
      <c r="R215">
        <f t="shared" si="961"/>
        <v>31340369.452609733</v>
      </c>
      <c r="S215">
        <f t="shared" si="962"/>
        <v>313.40369452609735</v>
      </c>
      <c r="T215">
        <f t="shared" si="963"/>
        <v>0.31340369452609734</v>
      </c>
    </row>
    <row r="216" spans="1:20" x14ac:dyDescent="0.25">
      <c r="A216" s="5">
        <v>44377</v>
      </c>
      <c r="B216">
        <v>15.391999999999999</v>
      </c>
      <c r="C216">
        <v>17.77</v>
      </c>
      <c r="D216">
        <v>15.041</v>
      </c>
      <c r="E216">
        <v>16.329000000000001</v>
      </c>
      <c r="F216">
        <v>4428427.7980000004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-5.6064492488090416E-2</v>
      </c>
      <c r="Q216">
        <f t="shared" si="960"/>
        <v>-248277.5570150218</v>
      </c>
      <c r="R216">
        <f t="shared" si="961"/>
        <v>30861272.207577199</v>
      </c>
      <c r="S216">
        <f t="shared" si="962"/>
        <v>308.61272207577201</v>
      </c>
      <c r="T216">
        <f t="shared" si="963"/>
        <v>0.30861272207577201</v>
      </c>
    </row>
    <row r="217" spans="1:20" x14ac:dyDescent="0.25">
      <c r="A217" s="5">
        <v>44376</v>
      </c>
      <c r="B217">
        <v>14.146000000000001</v>
      </c>
      <c r="C217">
        <v>15.882999999999999</v>
      </c>
      <c r="D217">
        <v>14.058</v>
      </c>
      <c r="E217">
        <v>15.413</v>
      </c>
      <c r="F217">
        <v>1257949.155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0.48493150684931613</v>
      </c>
      <c r="Q217">
        <f t="shared" si="960"/>
        <v>610019.17927397392</v>
      </c>
      <c r="R217">
        <f t="shared" si="961"/>
        <v>31109549.764592219</v>
      </c>
      <c r="S217">
        <f t="shared" si="962"/>
        <v>311.09549764592219</v>
      </c>
      <c r="T217">
        <f t="shared" si="963"/>
        <v>0.3110954976459222</v>
      </c>
    </row>
    <row r="218" spans="1:20" x14ac:dyDescent="0.25">
      <c r="A218" s="5">
        <v>44375</v>
      </c>
      <c r="B218">
        <v>13.867000000000001</v>
      </c>
      <c r="C218">
        <v>14.298</v>
      </c>
      <c r="D218">
        <v>13.539</v>
      </c>
      <c r="E218">
        <v>14.141999999999999</v>
      </c>
      <c r="F218">
        <v>1067350.6370000001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0.58893280632410927</v>
      </c>
      <c r="Q218">
        <f t="shared" si="960"/>
        <v>628597.80598023569</v>
      </c>
      <c r="R218">
        <f t="shared" si="961"/>
        <v>30499530.585318245</v>
      </c>
      <c r="S218">
        <f t="shared" si="962"/>
        <v>304.99530585318246</v>
      </c>
      <c r="T218">
        <f t="shared" si="963"/>
        <v>0.30499530585318246</v>
      </c>
    </row>
    <row r="219" spans="1:20" x14ac:dyDescent="0.25">
      <c r="A219" s="5">
        <v>44374</v>
      </c>
      <c r="B219">
        <v>13.58</v>
      </c>
      <c r="C219">
        <v>13.916</v>
      </c>
      <c r="D219">
        <v>13.132999999999999</v>
      </c>
      <c r="E219">
        <v>13.867000000000001</v>
      </c>
      <c r="F219">
        <v>841014.87600000005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0.87484035759897982</v>
      </c>
      <c r="Q219">
        <f t="shared" si="960"/>
        <v>735753.75486590166</v>
      </c>
      <c r="R219">
        <f t="shared" si="961"/>
        <v>29870932.77933801</v>
      </c>
      <c r="S219">
        <f t="shared" si="962"/>
        <v>298.70932779338011</v>
      </c>
      <c r="T219">
        <f t="shared" si="963"/>
        <v>0.29870932779338011</v>
      </c>
    </row>
    <row r="220" spans="1:20" x14ac:dyDescent="0.25">
      <c r="A220" s="5">
        <v>44373</v>
      </c>
      <c r="B220">
        <v>12.968</v>
      </c>
      <c r="C220">
        <v>13.895</v>
      </c>
      <c r="D220">
        <v>12.805999999999999</v>
      </c>
      <c r="E220">
        <v>13.579000000000001</v>
      </c>
      <c r="F220">
        <v>2033681.6310000001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0.41965105601469455</v>
      </c>
      <c r="Q220">
        <f t="shared" si="960"/>
        <v>853436.64404683642</v>
      </c>
      <c r="R220">
        <f t="shared" si="961"/>
        <v>29135179.024472106</v>
      </c>
      <c r="S220">
        <f t="shared" si="962"/>
        <v>291.35179024472109</v>
      </c>
      <c r="T220">
        <f t="shared" si="963"/>
        <v>0.29135179024472108</v>
      </c>
    </row>
    <row r="221" spans="1:20" x14ac:dyDescent="0.25">
      <c r="A221" s="5">
        <v>44372</v>
      </c>
      <c r="B221">
        <v>13.542999999999999</v>
      </c>
      <c r="C221">
        <v>14.45</v>
      </c>
      <c r="D221">
        <v>12.439</v>
      </c>
      <c r="E221">
        <v>12.973000000000001</v>
      </c>
      <c r="F221">
        <v>4315275.2089999998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-0.46892093485827857</v>
      </c>
      <c r="Q221">
        <f t="shared" si="960"/>
        <v>-2023522.8851750332</v>
      </c>
      <c r="R221">
        <f t="shared" si="961"/>
        <v>28281742.380425271</v>
      </c>
      <c r="S221">
        <f t="shared" si="962"/>
        <v>282.81742380425271</v>
      </c>
      <c r="T221">
        <f t="shared" si="963"/>
        <v>0.28281742380425273</v>
      </c>
    </row>
    <row r="222" spans="1:20" x14ac:dyDescent="0.25">
      <c r="A222" s="5">
        <v>44371</v>
      </c>
      <c r="B222">
        <v>13.109</v>
      </c>
      <c r="C222">
        <v>13.596</v>
      </c>
      <c r="D222">
        <v>12.423</v>
      </c>
      <c r="E222">
        <v>13.535</v>
      </c>
      <c r="F222">
        <v>2137382.9300000002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0.89599317988064797</v>
      </c>
      <c r="Q222">
        <f t="shared" si="960"/>
        <v>1915080.5280733167</v>
      </c>
      <c r="R222">
        <f t="shared" si="961"/>
        <v>30305265.265600305</v>
      </c>
      <c r="S222">
        <f t="shared" si="962"/>
        <v>303.05265265600303</v>
      </c>
      <c r="T222">
        <f t="shared" si="963"/>
        <v>0.30305265265600301</v>
      </c>
    </row>
    <row r="223" spans="1:20" x14ac:dyDescent="0.25">
      <c r="A223" s="5">
        <v>44370</v>
      </c>
      <c r="B223">
        <v>12.542999999999999</v>
      </c>
      <c r="C223">
        <v>13.728999999999999</v>
      </c>
      <c r="D223">
        <v>11.858000000000001</v>
      </c>
      <c r="E223">
        <v>13.109</v>
      </c>
      <c r="F223">
        <v>2809287.3259999999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0.33725280598610408</v>
      </c>
      <c r="Q223">
        <f t="shared" si="960"/>
        <v>947440.03351469908</v>
      </c>
      <c r="R223">
        <f t="shared" si="961"/>
        <v>28390184.737526987</v>
      </c>
      <c r="S223">
        <f t="shared" si="962"/>
        <v>283.90184737526988</v>
      </c>
      <c r="T223">
        <f t="shared" si="963"/>
        <v>0.28390184737526986</v>
      </c>
    </row>
    <row r="224" spans="1:20" x14ac:dyDescent="0.25">
      <c r="A224" s="5">
        <v>44369</v>
      </c>
      <c r="B224">
        <v>13.965999999999999</v>
      </c>
      <c r="C224">
        <v>14.596</v>
      </c>
      <c r="D224">
        <v>11.417999999999999</v>
      </c>
      <c r="E224">
        <v>12.544</v>
      </c>
      <c r="F224">
        <v>3743927.1510000001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-0.29137822529892954</v>
      </c>
      <c r="Q224">
        <f t="shared" si="960"/>
        <v>-1090898.8489068574</v>
      </c>
      <c r="R224">
        <f t="shared" si="961"/>
        <v>27442744.704012286</v>
      </c>
      <c r="S224">
        <f t="shared" si="962"/>
        <v>274.42744704012284</v>
      </c>
      <c r="T224">
        <f t="shared" si="963"/>
        <v>0.27442744704012284</v>
      </c>
    </row>
    <row r="225" spans="1:20" x14ac:dyDescent="0.25">
      <c r="A225" s="5">
        <v>44368</v>
      </c>
      <c r="B225">
        <v>17.850000000000001</v>
      </c>
      <c r="C225">
        <v>17.95</v>
      </c>
      <c r="D225">
        <v>13.739000000000001</v>
      </c>
      <c r="E225">
        <v>13.972</v>
      </c>
      <c r="F225">
        <v>2337434.9959999998</v>
      </c>
      <c r="G225">
        <v>0</v>
      </c>
      <c r="L225" t="s">
        <v>7</v>
      </c>
      <c r="M225" t="s">
        <v>7</v>
      </c>
      <c r="N225" t="s">
        <v>8</v>
      </c>
      <c r="P225">
        <f t="shared" si="959"/>
        <v>-0.88933744953692762</v>
      </c>
      <c r="Q225">
        <f t="shared" si="960"/>
        <v>-2078768.4778009984</v>
      </c>
      <c r="R225">
        <f t="shared" si="961"/>
        <v>28533643.552919142</v>
      </c>
      <c r="S225">
        <f t="shared" si="962"/>
        <v>285.33643552919142</v>
      </c>
      <c r="T225">
        <f t="shared" si="963"/>
        <v>0.28533643552919141</v>
      </c>
    </row>
    <row r="226" spans="1:20" x14ac:dyDescent="0.25">
      <c r="A226" s="5">
        <v>44367</v>
      </c>
      <c r="B226">
        <v>15.834</v>
      </c>
      <c r="C226">
        <v>18.420000000000002</v>
      </c>
      <c r="D226">
        <v>15.638</v>
      </c>
      <c r="E226">
        <v>17.904</v>
      </c>
      <c r="F226">
        <v>3442823.071</v>
      </c>
      <c r="G226">
        <v>0</v>
      </c>
      <c r="L226" t="s">
        <v>8</v>
      </c>
      <c r="M226" t="s">
        <v>7</v>
      </c>
      <c r="N226" t="s">
        <v>8</v>
      </c>
      <c r="P226">
        <f t="shared" si="959"/>
        <v>0.62904385334291768</v>
      </c>
      <c r="Q226">
        <f t="shared" si="960"/>
        <v>2165686.6909597376</v>
      </c>
      <c r="R226">
        <f t="shared" si="961"/>
        <v>30612412.030720141</v>
      </c>
      <c r="S226">
        <f t="shared" si="962"/>
        <v>306.12412030720139</v>
      </c>
      <c r="T226">
        <f t="shared" si="963"/>
        <v>0.30612412030720138</v>
      </c>
    </row>
    <row r="227" spans="1:20" x14ac:dyDescent="0.25">
      <c r="A227" s="5">
        <v>44366</v>
      </c>
      <c r="B227">
        <v>16.431999999999999</v>
      </c>
      <c r="C227">
        <v>16.678999999999998</v>
      </c>
      <c r="D227">
        <v>15.471</v>
      </c>
      <c r="E227">
        <v>15.839</v>
      </c>
      <c r="F227">
        <v>984888.51100000006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-0.39072847682119072</v>
      </c>
      <c r="Q227">
        <f t="shared" si="960"/>
        <v>-384823.98774172057</v>
      </c>
      <c r="R227">
        <f t="shared" si="961"/>
        <v>28446725.339760404</v>
      </c>
      <c r="S227">
        <f t="shared" si="962"/>
        <v>284.46725339760405</v>
      </c>
      <c r="T227">
        <f t="shared" si="963"/>
        <v>0.28446725339760404</v>
      </c>
    </row>
    <row r="228" spans="1:20" x14ac:dyDescent="0.25">
      <c r="A228" s="5">
        <v>44365</v>
      </c>
      <c r="B228">
        <v>18.350000000000001</v>
      </c>
      <c r="C228">
        <v>18.370999999999999</v>
      </c>
      <c r="D228">
        <v>15.728</v>
      </c>
      <c r="E228">
        <v>16.448</v>
      </c>
      <c r="F228">
        <v>2042118.165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-0.45516458569806967</v>
      </c>
      <c r="Q228">
        <f t="shared" si="960"/>
        <v>-929499.86851872725</v>
      </c>
      <c r="R228">
        <f t="shared" si="961"/>
        <v>28831549.327502124</v>
      </c>
      <c r="S228">
        <f t="shared" si="962"/>
        <v>288.31549327502125</v>
      </c>
      <c r="T228">
        <f t="shared" si="963"/>
        <v>0.28831549327502126</v>
      </c>
    </row>
    <row r="229" spans="1:20" x14ac:dyDescent="0.25">
      <c r="A229" s="5">
        <v>44364</v>
      </c>
      <c r="B229">
        <v>16.925000000000001</v>
      </c>
      <c r="C229">
        <v>18.978000000000002</v>
      </c>
      <c r="D229">
        <v>16.762</v>
      </c>
      <c r="E229">
        <v>18.350000000000001</v>
      </c>
      <c r="F229">
        <v>2835255.247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0.43321299638989186</v>
      </c>
      <c r="Q229">
        <f t="shared" si="960"/>
        <v>1228269.4210830329</v>
      </c>
      <c r="R229">
        <f t="shared" si="961"/>
        <v>29761049.196020853</v>
      </c>
      <c r="S229">
        <f t="shared" si="962"/>
        <v>297.61049196020855</v>
      </c>
      <c r="T229">
        <f t="shared" si="963"/>
        <v>0.29761049196020856</v>
      </c>
    </row>
    <row r="230" spans="1:20" x14ac:dyDescent="0.25">
      <c r="A230" s="5">
        <v>44363</v>
      </c>
      <c r="B230">
        <v>16.579999999999998</v>
      </c>
      <c r="C230">
        <v>17.582999999999998</v>
      </c>
      <c r="D230">
        <v>16.065000000000001</v>
      </c>
      <c r="E230">
        <v>16.936</v>
      </c>
      <c r="F230">
        <v>2665654.1839999999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0.14756258234519146</v>
      </c>
      <c r="Q230">
        <f t="shared" si="960"/>
        <v>393350.81503030413</v>
      </c>
      <c r="R230">
        <f t="shared" si="961"/>
        <v>28532779.77493782</v>
      </c>
      <c r="S230">
        <f t="shared" si="962"/>
        <v>285.32779774937819</v>
      </c>
      <c r="T230">
        <f t="shared" si="963"/>
        <v>0.28532779774937816</v>
      </c>
    </row>
    <row r="231" spans="1:20" x14ac:dyDescent="0.25">
      <c r="A231" s="5">
        <v>44362</v>
      </c>
      <c r="B231">
        <v>15.666</v>
      </c>
      <c r="C231">
        <v>16.88</v>
      </c>
      <c r="D231">
        <v>15.382999999999999</v>
      </c>
      <c r="E231">
        <v>16.579000000000001</v>
      </c>
      <c r="F231">
        <v>1744720.8419999999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0.59786239144956799</v>
      </c>
      <c r="Q231">
        <f t="shared" si="960"/>
        <v>1043102.9750100238</v>
      </c>
      <c r="R231">
        <f t="shared" si="961"/>
        <v>28139428.959907517</v>
      </c>
      <c r="S231">
        <f t="shared" si="962"/>
        <v>281.39428959907519</v>
      </c>
      <c r="T231">
        <f t="shared" si="963"/>
        <v>0.2813942895990752</v>
      </c>
    </row>
    <row r="232" spans="1:20" x14ac:dyDescent="0.25">
      <c r="A232" s="5">
        <v>44361</v>
      </c>
      <c r="B232">
        <v>15.179</v>
      </c>
      <c r="C232">
        <v>16.288</v>
      </c>
      <c r="D232">
        <v>14.842000000000001</v>
      </c>
      <c r="E232">
        <v>15.666</v>
      </c>
      <c r="F232">
        <v>2121982.3909999998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0.1396957123098202</v>
      </c>
      <c r="Q232">
        <f t="shared" si="960"/>
        <v>296431.84161964036</v>
      </c>
      <c r="R232">
        <f t="shared" si="961"/>
        <v>27096325.984897494</v>
      </c>
      <c r="S232">
        <f t="shared" si="962"/>
        <v>270.96325984897493</v>
      </c>
      <c r="T232">
        <f t="shared" si="963"/>
        <v>0.2709632598489749</v>
      </c>
    </row>
    <row r="233" spans="1:20" x14ac:dyDescent="0.25">
      <c r="A233" s="5">
        <v>44360</v>
      </c>
      <c r="B233">
        <v>14.635999999999999</v>
      </c>
      <c r="C233">
        <v>15.388999999999999</v>
      </c>
      <c r="D233">
        <v>14.085000000000001</v>
      </c>
      <c r="E233">
        <v>15.177</v>
      </c>
      <c r="F233">
        <v>1421506.9439999999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0.67484662576687116</v>
      </c>
      <c r="Q233">
        <f t="shared" si="960"/>
        <v>959299.16466257663</v>
      </c>
      <c r="R233">
        <f t="shared" si="961"/>
        <v>26799894.143277854</v>
      </c>
      <c r="S233">
        <f t="shared" si="962"/>
        <v>267.99894143277857</v>
      </c>
      <c r="T233">
        <f t="shared" si="963"/>
        <v>0.26799894143277858</v>
      </c>
    </row>
    <row r="234" spans="1:20" x14ac:dyDescent="0.25">
      <c r="A234" s="5">
        <v>44359</v>
      </c>
      <c r="B234">
        <v>14.074999999999999</v>
      </c>
      <c r="C234">
        <v>15.494999999999999</v>
      </c>
      <c r="D234">
        <v>13.25</v>
      </c>
      <c r="E234">
        <v>14.629</v>
      </c>
      <c r="F234">
        <v>3240947.0980000002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0.22850779510022276</v>
      </c>
      <c r="Q234">
        <f t="shared" si="960"/>
        <v>740581.67540044559</v>
      </c>
      <c r="R234">
        <f t="shared" si="961"/>
        <v>25840594.978615277</v>
      </c>
      <c r="S234">
        <f t="shared" si="962"/>
        <v>258.40594978615275</v>
      </c>
      <c r="T234">
        <f t="shared" si="963"/>
        <v>0.25840594978615272</v>
      </c>
    </row>
    <row r="235" spans="1:20" x14ac:dyDescent="0.25">
      <c r="A235" s="5">
        <v>44358</v>
      </c>
      <c r="B235">
        <v>14.037000000000001</v>
      </c>
      <c r="C235">
        <v>15.455</v>
      </c>
      <c r="D235">
        <v>13.632999999999999</v>
      </c>
      <c r="E235">
        <v>14.074999999999999</v>
      </c>
      <c r="F235">
        <v>2145427.0559999999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-0.51481888035126244</v>
      </c>
      <c r="Q235">
        <f t="shared" si="960"/>
        <v>-1104506.3548452251</v>
      </c>
      <c r="R235">
        <f t="shared" si="961"/>
        <v>25100013.303214829</v>
      </c>
      <c r="S235">
        <f t="shared" si="962"/>
        <v>251.00013303214828</v>
      </c>
      <c r="T235">
        <f t="shared" si="963"/>
        <v>0.2510001330321483</v>
      </c>
    </row>
    <row r="236" spans="1:20" x14ac:dyDescent="0.25">
      <c r="A236" s="5">
        <v>44357</v>
      </c>
      <c r="B236">
        <v>14.590999999999999</v>
      </c>
      <c r="C236">
        <v>14.664999999999999</v>
      </c>
      <c r="D236">
        <v>13.762</v>
      </c>
      <c r="E236">
        <v>14.028</v>
      </c>
      <c r="F236">
        <v>1170636.6399999999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-0.41085271317829369</v>
      </c>
      <c r="Q236">
        <f t="shared" si="960"/>
        <v>-480959.23968992144</v>
      </c>
      <c r="R236">
        <f t="shared" si="961"/>
        <v>26204519.658060055</v>
      </c>
      <c r="S236">
        <f t="shared" si="962"/>
        <v>262.04519658060053</v>
      </c>
      <c r="T236">
        <f t="shared" si="963"/>
        <v>0.26204519658060055</v>
      </c>
    </row>
    <row r="237" spans="1:20" x14ac:dyDescent="0.25">
      <c r="A237" s="5">
        <v>44356</v>
      </c>
      <c r="B237">
        <v>14.419</v>
      </c>
      <c r="C237">
        <v>14.622999999999999</v>
      </c>
      <c r="D237">
        <v>13.430999999999999</v>
      </c>
      <c r="E237">
        <v>14.592000000000001</v>
      </c>
      <c r="F237">
        <v>1823879.7420000001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0.94798657718121004</v>
      </c>
      <c r="Q237">
        <f t="shared" si="960"/>
        <v>1729013.5138087284</v>
      </c>
      <c r="R237">
        <f t="shared" si="961"/>
        <v>26685478.897749975</v>
      </c>
      <c r="S237">
        <f t="shared" si="962"/>
        <v>266.85478897749977</v>
      </c>
      <c r="T237">
        <f t="shared" si="963"/>
        <v>0.26685478897749976</v>
      </c>
    </row>
    <row r="238" spans="1:20" x14ac:dyDescent="0.25">
      <c r="A238" s="5">
        <v>44355</v>
      </c>
      <c r="B238">
        <v>14.195</v>
      </c>
      <c r="C238">
        <v>14.58</v>
      </c>
      <c r="D238">
        <v>12.82</v>
      </c>
      <c r="E238">
        <v>14.417999999999999</v>
      </c>
      <c r="F238">
        <v>3121733.3220000002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0.81590909090908992</v>
      </c>
      <c r="Q238">
        <f t="shared" si="960"/>
        <v>2547050.5968136336</v>
      </c>
      <c r="R238">
        <f t="shared" si="961"/>
        <v>24956465.383941248</v>
      </c>
      <c r="S238">
        <f t="shared" si="962"/>
        <v>249.56465383941247</v>
      </c>
      <c r="T238">
        <f t="shared" si="963"/>
        <v>0.24956465383941248</v>
      </c>
    </row>
    <row r="239" spans="1:20" x14ac:dyDescent="0.25">
      <c r="A239" s="5">
        <v>44354</v>
      </c>
      <c r="B239">
        <v>16.292999999999999</v>
      </c>
      <c r="C239">
        <v>16.809999999999999</v>
      </c>
      <c r="D239">
        <v>13.973000000000001</v>
      </c>
      <c r="E239">
        <v>14.208</v>
      </c>
      <c r="F239">
        <v>2738101.6830000002</v>
      </c>
      <c r="G239">
        <v>0</v>
      </c>
      <c r="L239" t="s">
        <v>7</v>
      </c>
      <c r="M239" t="s">
        <v>8</v>
      </c>
      <c r="N239" t="s">
        <v>7</v>
      </c>
      <c r="P239">
        <f t="shared" si="959"/>
        <v>-0.83433204088826252</v>
      </c>
      <c r="Q239">
        <f t="shared" si="960"/>
        <v>-2284485.9653369766</v>
      </c>
      <c r="R239">
        <f t="shared" si="961"/>
        <v>22409414.787127614</v>
      </c>
      <c r="S239">
        <f t="shared" si="962"/>
        <v>224.09414787127614</v>
      </c>
      <c r="T239">
        <f t="shared" si="963"/>
        <v>0.22409414787127613</v>
      </c>
    </row>
    <row r="240" spans="1:20" x14ac:dyDescent="0.25">
      <c r="A240" s="5">
        <v>44353</v>
      </c>
      <c r="B240">
        <v>14.119</v>
      </c>
      <c r="C240">
        <v>16.771000000000001</v>
      </c>
      <c r="D240">
        <v>13.929</v>
      </c>
      <c r="E240">
        <v>16.297000000000001</v>
      </c>
      <c r="F240">
        <v>6015085.665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0.66643209007741022</v>
      </c>
      <c r="Q240">
        <f t="shared" si="960"/>
        <v>4008646.1117206188</v>
      </c>
      <c r="R240">
        <f t="shared" si="961"/>
        <v>24693900.752464589</v>
      </c>
      <c r="S240">
        <f t="shared" si="962"/>
        <v>246.93900752464589</v>
      </c>
      <c r="T240">
        <f t="shared" si="963"/>
        <v>0.2469390075246459</v>
      </c>
    </row>
    <row r="241" spans="1:20" x14ac:dyDescent="0.25">
      <c r="A241" s="5">
        <v>44352</v>
      </c>
      <c r="B241">
        <v>13.882999999999999</v>
      </c>
      <c r="C241">
        <v>15.68</v>
      </c>
      <c r="D241">
        <v>13.61</v>
      </c>
      <c r="E241">
        <v>14.13</v>
      </c>
      <c r="F241">
        <v>2911833.085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-0.4975845410628007</v>
      </c>
      <c r="Q241">
        <f t="shared" si="960"/>
        <v>-1448883.1292512042</v>
      </c>
      <c r="R241">
        <f t="shared" si="961"/>
        <v>20685254.640743971</v>
      </c>
      <c r="S241">
        <f t="shared" si="962"/>
        <v>206.85254640743972</v>
      </c>
      <c r="T241">
        <f t="shared" si="963"/>
        <v>0.20685254640743972</v>
      </c>
    </row>
    <row r="242" spans="1:20" x14ac:dyDescent="0.25">
      <c r="A242" s="5">
        <v>44351</v>
      </c>
      <c r="B242">
        <v>15.327</v>
      </c>
      <c r="C242">
        <v>15.343</v>
      </c>
      <c r="D242">
        <v>13.081</v>
      </c>
      <c r="E242">
        <v>13.875</v>
      </c>
      <c r="F242">
        <v>2034935.9879999999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-0.29796640141467701</v>
      </c>
      <c r="Q242">
        <f t="shared" si="960"/>
        <v>-606342.55345358036</v>
      </c>
      <c r="R242">
        <f t="shared" si="961"/>
        <v>22134137.769995175</v>
      </c>
      <c r="S242">
        <f t="shared" si="962"/>
        <v>221.34137769995175</v>
      </c>
      <c r="T242">
        <f t="shared" si="963"/>
        <v>0.22134137769995174</v>
      </c>
    </row>
    <row r="243" spans="1:20" x14ac:dyDescent="0.25">
      <c r="A243" s="5">
        <v>44350</v>
      </c>
      <c r="B243">
        <v>14.747</v>
      </c>
      <c r="C243">
        <v>15.71</v>
      </c>
      <c r="D243">
        <v>14.183999999999999</v>
      </c>
      <c r="E243">
        <v>15.324999999999999</v>
      </c>
      <c r="F243">
        <v>2546631.0830000001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0.49541284403669572</v>
      </c>
      <c r="Q243">
        <f t="shared" si="960"/>
        <v>1261633.7475412805</v>
      </c>
      <c r="R243">
        <f t="shared" si="961"/>
        <v>22740480.323448755</v>
      </c>
      <c r="S243">
        <f t="shared" si="962"/>
        <v>227.40480323448756</v>
      </c>
      <c r="T243">
        <f t="shared" si="963"/>
        <v>0.22740480323448756</v>
      </c>
    </row>
    <row r="244" spans="1:20" x14ac:dyDescent="0.25">
      <c r="A244" s="5">
        <v>44349</v>
      </c>
      <c r="B244">
        <v>13.215</v>
      </c>
      <c r="C244">
        <v>15.49</v>
      </c>
      <c r="D244">
        <v>12.821999999999999</v>
      </c>
      <c r="E244">
        <v>14.747</v>
      </c>
      <c r="F244">
        <v>3839143.031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0.44302848575712139</v>
      </c>
      <c r="Q244">
        <f t="shared" si="960"/>
        <v>1700849.7236289354</v>
      </c>
      <c r="R244">
        <f t="shared" si="961"/>
        <v>21478846.575907473</v>
      </c>
      <c r="S244">
        <f t="shared" si="962"/>
        <v>214.78846575907471</v>
      </c>
      <c r="T244">
        <f t="shared" si="963"/>
        <v>0.2147884657590747</v>
      </c>
    </row>
    <row r="245" spans="1:20" x14ac:dyDescent="0.25">
      <c r="A245" s="5">
        <v>44348</v>
      </c>
      <c r="B245">
        <v>13.843999999999999</v>
      </c>
      <c r="C245">
        <v>13.928000000000001</v>
      </c>
      <c r="D245">
        <v>12.654999999999999</v>
      </c>
      <c r="E245">
        <v>13.221</v>
      </c>
      <c r="F245">
        <v>1802803.121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-0.11076197957580507</v>
      </c>
      <c r="Q245">
        <f t="shared" si="960"/>
        <v>-199682.04246739965</v>
      </c>
      <c r="R245">
        <f t="shared" si="961"/>
        <v>19777996.852278538</v>
      </c>
      <c r="S245">
        <f t="shared" si="962"/>
        <v>197.77996852278537</v>
      </c>
      <c r="T245">
        <f t="shared" si="963"/>
        <v>0.19777996852278537</v>
      </c>
    </row>
    <row r="246" spans="1:20" x14ac:dyDescent="0.25">
      <c r="A246" s="5">
        <v>44347</v>
      </c>
      <c r="B246">
        <v>13.304</v>
      </c>
      <c r="C246">
        <v>13.981999999999999</v>
      </c>
      <c r="D246">
        <v>12.124000000000001</v>
      </c>
      <c r="E246">
        <v>13.842000000000001</v>
      </c>
      <c r="F246">
        <v>2323046.7439999999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0.8493003229278806</v>
      </c>
      <c r="Q246">
        <f t="shared" si="960"/>
        <v>1972964.3498557615</v>
      </c>
      <c r="R246">
        <f t="shared" si="961"/>
        <v>19977678.894745938</v>
      </c>
      <c r="S246">
        <f t="shared" si="962"/>
        <v>199.77678894745938</v>
      </c>
      <c r="T246">
        <f t="shared" si="963"/>
        <v>0.19977678894745937</v>
      </c>
    </row>
    <row r="247" spans="1:20" x14ac:dyDescent="0.25">
      <c r="A247" s="5">
        <v>44346</v>
      </c>
      <c r="B247">
        <v>13.125999999999999</v>
      </c>
      <c r="C247">
        <v>13.551</v>
      </c>
      <c r="D247">
        <v>12</v>
      </c>
      <c r="E247">
        <v>13.324999999999999</v>
      </c>
      <c r="F247">
        <v>2230440.1869999999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0.70857511283043084</v>
      </c>
      <c r="Q247">
        <f t="shared" si="960"/>
        <v>1580434.4071650521</v>
      </c>
      <c r="R247">
        <f t="shared" si="961"/>
        <v>18004714.544890177</v>
      </c>
      <c r="S247">
        <f t="shared" si="962"/>
        <v>180.04714544890177</v>
      </c>
      <c r="T247">
        <f t="shared" si="963"/>
        <v>0.18004714544890177</v>
      </c>
    </row>
    <row r="248" spans="1:20" x14ac:dyDescent="0.25">
      <c r="A248" s="5">
        <v>44345</v>
      </c>
      <c r="B248">
        <v>14.044</v>
      </c>
      <c r="C248">
        <v>14.398999999999999</v>
      </c>
      <c r="D248">
        <v>12.3</v>
      </c>
      <c r="E248">
        <v>13.105</v>
      </c>
      <c r="F248">
        <v>1807545.794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-0.23296808003811309</v>
      </c>
      <c r="Q248">
        <f t="shared" si="960"/>
        <v>-421100.4732091467</v>
      </c>
      <c r="R248">
        <f t="shared" si="961"/>
        <v>16424280.137725126</v>
      </c>
      <c r="S248">
        <f t="shared" si="962"/>
        <v>164.24280137725125</v>
      </c>
      <c r="T248">
        <f t="shared" si="963"/>
        <v>0.16424280137725125</v>
      </c>
    </row>
    <row r="249" spans="1:20" x14ac:dyDescent="0.25">
      <c r="A249" s="5">
        <v>44344</v>
      </c>
      <c r="B249">
        <v>16.539000000000001</v>
      </c>
      <c r="C249">
        <v>16.541</v>
      </c>
      <c r="D249">
        <v>13.404999999999999</v>
      </c>
      <c r="E249">
        <v>14.031000000000001</v>
      </c>
      <c r="F249">
        <v>2522436.9419999998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-0.60076530612244838</v>
      </c>
      <c r="Q249">
        <f t="shared" si="960"/>
        <v>-1515392.6016352025</v>
      </c>
      <c r="R249">
        <f t="shared" si="961"/>
        <v>16845380.610934272</v>
      </c>
      <c r="S249">
        <f t="shared" si="962"/>
        <v>168.45380610934274</v>
      </c>
      <c r="T249">
        <f t="shared" si="963"/>
        <v>0.16845380610934274</v>
      </c>
    </row>
    <row r="250" spans="1:20" x14ac:dyDescent="0.25">
      <c r="A250" s="5">
        <v>44343</v>
      </c>
      <c r="B250">
        <v>17.443999999999999</v>
      </c>
      <c r="C250">
        <v>17.477</v>
      </c>
      <c r="D250">
        <v>15.458</v>
      </c>
      <c r="E250">
        <v>16.512</v>
      </c>
      <c r="F250">
        <v>2083121.105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4.4081228330857064E-2</v>
      </c>
      <c r="Q250">
        <f t="shared" si="960"/>
        <v>91826.53707033227</v>
      </c>
      <c r="R250">
        <f t="shared" si="961"/>
        <v>18360773.212569475</v>
      </c>
      <c r="S250">
        <f t="shared" si="962"/>
        <v>183.60773212569475</v>
      </c>
      <c r="T250">
        <f t="shared" si="963"/>
        <v>0.18360773212569476</v>
      </c>
    </row>
    <row r="251" spans="1:20" x14ac:dyDescent="0.25">
      <c r="A251" s="5">
        <v>44342</v>
      </c>
      <c r="B251">
        <v>16.152999999999999</v>
      </c>
      <c r="C251">
        <v>17.45</v>
      </c>
      <c r="D251">
        <v>15.026</v>
      </c>
      <c r="E251">
        <v>17.45</v>
      </c>
      <c r="F251">
        <v>4612278.0769999996</v>
      </c>
      <c r="G251">
        <v>0</v>
      </c>
      <c r="L251" t="s">
        <v>8</v>
      </c>
      <c r="M251" t="s">
        <v>7</v>
      </c>
      <c r="N251" t="s">
        <v>8</v>
      </c>
      <c r="P251">
        <f t="shared" si="959"/>
        <v>1</v>
      </c>
      <c r="Q251">
        <f t="shared" si="960"/>
        <v>4612278.0769999996</v>
      </c>
      <c r="R251">
        <f t="shared" si="961"/>
        <v>18268946.675499141</v>
      </c>
      <c r="S251">
        <f t="shared" si="962"/>
        <v>182.6894667549914</v>
      </c>
      <c r="T251">
        <f t="shared" si="963"/>
        <v>0.1826894667549914</v>
      </c>
    </row>
    <row r="252" spans="1:20" x14ac:dyDescent="0.25">
      <c r="A252" s="5">
        <v>44341</v>
      </c>
      <c r="B252">
        <v>17.463000000000001</v>
      </c>
      <c r="C252">
        <v>17.959</v>
      </c>
      <c r="D252">
        <v>13.842000000000001</v>
      </c>
      <c r="E252">
        <v>16.14</v>
      </c>
      <c r="F252">
        <v>7037370.7769999998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0.11634685450570831</v>
      </c>
      <c r="Q252">
        <f t="shared" si="960"/>
        <v>818775.95389434241</v>
      </c>
      <c r="R252">
        <f t="shared" si="961"/>
        <v>13656668.598499142</v>
      </c>
      <c r="S252">
        <f t="shared" si="962"/>
        <v>136.56668598499141</v>
      </c>
      <c r="T252">
        <f t="shared" si="963"/>
        <v>0.13656668598499141</v>
      </c>
    </row>
    <row r="253" spans="1:20" x14ac:dyDescent="0.25">
      <c r="A253" s="5">
        <v>44340</v>
      </c>
      <c r="B253">
        <v>14.742000000000001</v>
      </c>
      <c r="C253">
        <v>17.7</v>
      </c>
      <c r="D253">
        <v>14.01</v>
      </c>
      <c r="E253">
        <v>17.460999999999999</v>
      </c>
      <c r="F253">
        <v>3721397.5950000002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0.87046070460704561</v>
      </c>
      <c r="Q253">
        <f t="shared" si="960"/>
        <v>3239330.3726666654</v>
      </c>
      <c r="R253">
        <f t="shared" si="961"/>
        <v>12837892.644604798</v>
      </c>
      <c r="S253">
        <f t="shared" si="962"/>
        <v>128.37892644604798</v>
      </c>
      <c r="T253">
        <f t="shared" si="963"/>
        <v>0.12837892644604798</v>
      </c>
    </row>
    <row r="254" spans="1:20" x14ac:dyDescent="0.25">
      <c r="A254" s="5">
        <v>44339</v>
      </c>
      <c r="B254">
        <v>18</v>
      </c>
      <c r="C254">
        <v>19.239000000000001</v>
      </c>
      <c r="D254">
        <v>11.688000000000001</v>
      </c>
      <c r="E254">
        <v>14.737</v>
      </c>
      <c r="F254">
        <v>3467259.9709999999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-0.19242484439147148</v>
      </c>
      <c r="Q254">
        <f t="shared" si="960"/>
        <v>-667186.96038445295</v>
      </c>
      <c r="R254">
        <f t="shared" si="961"/>
        <v>9598562.2719381321</v>
      </c>
      <c r="S254">
        <f t="shared" si="962"/>
        <v>95.985622719381325</v>
      </c>
      <c r="T254">
        <f t="shared" si="963"/>
        <v>9.5985622719381325E-2</v>
      </c>
    </row>
    <row r="255" spans="1:20" x14ac:dyDescent="0.25">
      <c r="A255" s="5">
        <v>44338</v>
      </c>
      <c r="B255">
        <v>20.699000000000002</v>
      </c>
      <c r="C255">
        <v>20.768000000000001</v>
      </c>
      <c r="D255">
        <v>17.201000000000001</v>
      </c>
      <c r="E255">
        <v>17.991</v>
      </c>
      <c r="F255">
        <v>1884150.308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-0.55705074292122281</v>
      </c>
      <c r="Q255">
        <f t="shared" si="960"/>
        <v>-1049567.3288466507</v>
      </c>
      <c r="R255">
        <f t="shared" si="961"/>
        <v>10265749.232322585</v>
      </c>
      <c r="S255">
        <f t="shared" si="962"/>
        <v>102.65749232322585</v>
      </c>
      <c r="T255">
        <f t="shared" si="963"/>
        <v>0.10265749232322585</v>
      </c>
    </row>
    <row r="256" spans="1:20" x14ac:dyDescent="0.25">
      <c r="A256" s="5">
        <v>44337</v>
      </c>
      <c r="B256">
        <v>24.332000000000001</v>
      </c>
      <c r="C256">
        <v>26.8</v>
      </c>
      <c r="D256">
        <v>17.818999999999999</v>
      </c>
      <c r="E256">
        <v>20.725999999999999</v>
      </c>
      <c r="F256">
        <v>2257127.682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-0.3526333370448726</v>
      </c>
      <c r="Q256">
        <f t="shared" si="960"/>
        <v>-795938.46664001804</v>
      </c>
      <c r="R256">
        <f t="shared" si="961"/>
        <v>11315316.561169235</v>
      </c>
      <c r="S256">
        <f t="shared" si="962"/>
        <v>113.15316561169234</v>
      </c>
      <c r="T256">
        <f t="shared" si="963"/>
        <v>0.11315316561169235</v>
      </c>
    </row>
    <row r="257" spans="1:20" x14ac:dyDescent="0.25">
      <c r="A257" s="5">
        <v>44336</v>
      </c>
      <c r="B257">
        <v>18.193999999999999</v>
      </c>
      <c r="C257">
        <v>28.398</v>
      </c>
      <c r="D257">
        <v>18.175000000000001</v>
      </c>
      <c r="E257">
        <v>24.327000000000002</v>
      </c>
      <c r="F257">
        <v>5320550.8430000003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0.20356059865010304</v>
      </c>
      <c r="Q257">
        <f t="shared" si="960"/>
        <v>1083054.5147493905</v>
      </c>
      <c r="R257">
        <f t="shared" si="961"/>
        <v>12111255.027809253</v>
      </c>
      <c r="S257">
        <f t="shared" si="962"/>
        <v>121.11255027809253</v>
      </c>
      <c r="T257">
        <f t="shared" si="963"/>
        <v>0.12111255027809252</v>
      </c>
    </row>
    <row r="258" spans="1:20" x14ac:dyDescent="0.25">
      <c r="A258" s="5">
        <v>44335</v>
      </c>
      <c r="B258">
        <v>27.635000000000002</v>
      </c>
      <c r="C258">
        <v>28.02</v>
      </c>
      <c r="D258">
        <v>13.82</v>
      </c>
      <c r="E258">
        <v>18.148</v>
      </c>
      <c r="F258">
        <v>2761488.35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-0.39042253521126769</v>
      </c>
      <c r="Q258">
        <f t="shared" si="960"/>
        <v>-1078147.2825633804</v>
      </c>
      <c r="R258">
        <f t="shared" si="961"/>
        <v>11028200.513059862</v>
      </c>
      <c r="S258">
        <f t="shared" si="962"/>
        <v>110.28200513059862</v>
      </c>
      <c r="T258">
        <f t="shared" si="963"/>
        <v>0.11028200513059862</v>
      </c>
    </row>
    <row r="259" spans="1:20" x14ac:dyDescent="0.25">
      <c r="A259" s="5">
        <v>44334</v>
      </c>
      <c r="B259">
        <v>27.053999999999998</v>
      </c>
      <c r="C259">
        <v>29.228999999999999</v>
      </c>
      <c r="D259">
        <v>26.67</v>
      </c>
      <c r="E259">
        <v>27.64</v>
      </c>
      <c r="F259">
        <v>795564.34299999999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-0.24189136381398998</v>
      </c>
      <c r="Q259">
        <f t="shared" si="960"/>
        <v>-192440.14393005092</v>
      </c>
      <c r="R259">
        <f t="shared" si="961"/>
        <v>12106347.795623243</v>
      </c>
      <c r="S259">
        <f t="shared" si="962"/>
        <v>121.06347795623243</v>
      </c>
      <c r="T259">
        <f t="shared" si="963"/>
        <v>0.12106347795623243</v>
      </c>
    </row>
    <row r="260" spans="1:20" x14ac:dyDescent="0.25">
      <c r="A260" s="5">
        <v>44333</v>
      </c>
      <c r="B260">
        <v>30.446000000000002</v>
      </c>
      <c r="C260">
        <v>30.45</v>
      </c>
      <c r="D260">
        <v>26.167000000000002</v>
      </c>
      <c r="E260">
        <v>27.001000000000001</v>
      </c>
      <c r="F260">
        <v>1117808.889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-0.61055335045528836</v>
      </c>
      <c r="Q260">
        <f t="shared" si="960"/>
        <v>-682481.96234765346</v>
      </c>
      <c r="R260">
        <f t="shared" si="961"/>
        <v>12298787.939553294</v>
      </c>
      <c r="S260">
        <f t="shared" si="962"/>
        <v>122.98787939553294</v>
      </c>
      <c r="T260">
        <f t="shared" si="963"/>
        <v>0.12298787939553295</v>
      </c>
    </row>
    <row r="261" spans="1:20" x14ac:dyDescent="0.25">
      <c r="A261" s="5">
        <v>44332</v>
      </c>
      <c r="B261">
        <v>31.178000000000001</v>
      </c>
      <c r="C261">
        <v>33.58</v>
      </c>
      <c r="D261">
        <v>28.588999999999999</v>
      </c>
      <c r="E261">
        <v>30.456</v>
      </c>
      <c r="F261">
        <v>915306.81799999997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-0.25185333600480825</v>
      </c>
      <c r="Q261">
        <f t="shared" si="960"/>
        <v>-230523.07558124585</v>
      </c>
      <c r="R261">
        <f t="shared" si="961"/>
        <v>12981269.901900947</v>
      </c>
      <c r="S261">
        <f t="shared" si="962"/>
        <v>129.81269901900947</v>
      </c>
      <c r="T261">
        <f t="shared" si="963"/>
        <v>0.12981269901900946</v>
      </c>
    </row>
    <row r="262" spans="1:20" x14ac:dyDescent="0.25">
      <c r="A262" s="5">
        <v>44331</v>
      </c>
      <c r="B262">
        <v>33.393000000000001</v>
      </c>
      <c r="C262">
        <v>35.515999999999998</v>
      </c>
      <c r="D262">
        <v>30.838999999999999</v>
      </c>
      <c r="E262">
        <v>31.189</v>
      </c>
      <c r="F262">
        <v>1585211.888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-0.85033140902287729</v>
      </c>
      <c r="Q262">
        <f t="shared" ref="Q262:Q325" si="965">F262*P262</f>
        <v>-1347955.4583228556</v>
      </c>
      <c r="R262">
        <f t="shared" ref="R262:R325" si="966">R263+Q262</f>
        <v>13211792.977482192</v>
      </c>
      <c r="S262">
        <f t="shared" ref="S262:S325" si="967">R262/100000</f>
        <v>132.11792977482193</v>
      </c>
      <c r="T262">
        <f t="shared" ref="T262:T325" si="968">S262/1000</f>
        <v>0.13211792977482192</v>
      </c>
    </row>
    <row r="263" spans="1:20" x14ac:dyDescent="0.25">
      <c r="A263" s="5">
        <v>44330</v>
      </c>
      <c r="B263">
        <v>31.873000000000001</v>
      </c>
      <c r="C263">
        <v>34.415999999999997</v>
      </c>
      <c r="D263">
        <v>30.631</v>
      </c>
      <c r="E263">
        <v>33.414000000000001</v>
      </c>
      <c r="F263">
        <v>1071559.7930000001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0.47054161162483688</v>
      </c>
      <c r="Q263">
        <f t="shared" si="965"/>
        <v>504213.47195059661</v>
      </c>
      <c r="R263">
        <f t="shared" si="966"/>
        <v>14559748.435805047</v>
      </c>
      <c r="S263">
        <f t="shared" si="967"/>
        <v>145.59748435805048</v>
      </c>
      <c r="T263">
        <f t="shared" si="968"/>
        <v>0.14559748435805048</v>
      </c>
    </row>
    <row r="264" spans="1:20" x14ac:dyDescent="0.25">
      <c r="A264" s="5">
        <v>44329</v>
      </c>
      <c r="B264">
        <v>31.669</v>
      </c>
      <c r="C264">
        <v>37.5</v>
      </c>
      <c r="D264">
        <v>29.327999999999999</v>
      </c>
      <c r="E264">
        <v>31.873999999999999</v>
      </c>
      <c r="F264">
        <v>1834457.9380000001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-0.37689672050905548</v>
      </c>
      <c r="Q264">
        <f t="shared" si="965"/>
        <v>-691401.18074400432</v>
      </c>
      <c r="R264">
        <f t="shared" si="966"/>
        <v>14055534.963854451</v>
      </c>
      <c r="S264">
        <f t="shared" si="967"/>
        <v>140.5553496385445</v>
      </c>
      <c r="T264">
        <f t="shared" si="968"/>
        <v>0.14055534963854449</v>
      </c>
    </row>
    <row r="265" spans="1:20" x14ac:dyDescent="0.25">
      <c r="A265" s="5">
        <v>44328</v>
      </c>
      <c r="B265">
        <v>33.171999999999997</v>
      </c>
      <c r="C265">
        <v>38.799999999999997</v>
      </c>
      <c r="D265">
        <v>30.8</v>
      </c>
      <c r="E265">
        <v>31.664000000000001</v>
      </c>
      <c r="F265">
        <v>4243514.909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-0.7839999999999997</v>
      </c>
      <c r="Q265">
        <f t="shared" si="965"/>
        <v>-3326915.6886559986</v>
      </c>
      <c r="R265">
        <f t="shared" si="966"/>
        <v>14746936.144598454</v>
      </c>
      <c r="S265">
        <f t="shared" si="967"/>
        <v>147.46936144598453</v>
      </c>
      <c r="T265">
        <f t="shared" si="968"/>
        <v>0.14746936144598452</v>
      </c>
    </row>
    <row r="266" spans="1:20" x14ac:dyDescent="0.25">
      <c r="A266" s="5">
        <v>44327</v>
      </c>
      <c r="B266">
        <v>30.809000000000001</v>
      </c>
      <c r="C266">
        <v>36.689</v>
      </c>
      <c r="D266">
        <v>29.170999999999999</v>
      </c>
      <c r="E266">
        <v>33.171999999999997</v>
      </c>
      <c r="F266">
        <v>3232941.6290000002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6.4378824155359754E-2</v>
      </c>
      <c r="Q266">
        <f t="shared" si="965"/>
        <v>208132.98063793333</v>
      </c>
      <c r="R266">
        <f t="shared" si="966"/>
        <v>18073851.833254453</v>
      </c>
      <c r="S266">
        <f t="shared" si="967"/>
        <v>180.73851833254452</v>
      </c>
      <c r="T266">
        <f t="shared" si="968"/>
        <v>0.18073851833254451</v>
      </c>
    </row>
    <row r="267" spans="1:20" x14ac:dyDescent="0.25">
      <c r="A267" s="5">
        <v>44326</v>
      </c>
      <c r="B267">
        <v>31.617999999999999</v>
      </c>
      <c r="C267">
        <v>38.19</v>
      </c>
      <c r="D267">
        <v>27.15</v>
      </c>
      <c r="E267">
        <v>30.850999999999999</v>
      </c>
      <c r="F267">
        <v>4169731.3360000001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-0.32952898550724624</v>
      </c>
      <c r="Q267">
        <f t="shared" si="965"/>
        <v>-1374047.3369898545</v>
      </c>
      <c r="R267">
        <f t="shared" si="966"/>
        <v>17865718.852616519</v>
      </c>
      <c r="S267">
        <f t="shared" si="967"/>
        <v>178.65718852616519</v>
      </c>
      <c r="T267">
        <f t="shared" si="968"/>
        <v>0.17865718852616519</v>
      </c>
    </row>
    <row r="268" spans="1:20" x14ac:dyDescent="0.25">
      <c r="A268" s="5">
        <v>44325</v>
      </c>
      <c r="B268">
        <v>32.39</v>
      </c>
      <c r="C268">
        <v>32.72</v>
      </c>
      <c r="D268">
        <v>29.625</v>
      </c>
      <c r="E268">
        <v>31.619</v>
      </c>
      <c r="F268">
        <v>2067712.3149999999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0.28852988691437836</v>
      </c>
      <c r="Q268">
        <f t="shared" si="965"/>
        <v>596596.80041841744</v>
      </c>
      <c r="R268">
        <f t="shared" si="966"/>
        <v>19239766.189606372</v>
      </c>
      <c r="S268">
        <f t="shared" si="967"/>
        <v>192.39766189606371</v>
      </c>
      <c r="T268">
        <f t="shared" si="968"/>
        <v>0.19239766189606372</v>
      </c>
    </row>
    <row r="269" spans="1:20" x14ac:dyDescent="0.25">
      <c r="A269" s="5">
        <v>44324</v>
      </c>
      <c r="B269">
        <v>32.439</v>
      </c>
      <c r="C269">
        <v>35.814999999999998</v>
      </c>
      <c r="D269">
        <v>31.463999999999999</v>
      </c>
      <c r="E269">
        <v>32.390999999999998</v>
      </c>
      <c r="F269">
        <v>1536239.5449999999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-0.57389105952654573</v>
      </c>
      <c r="Q269">
        <f t="shared" si="965"/>
        <v>-881634.14016662852</v>
      </c>
      <c r="R269">
        <f t="shared" si="966"/>
        <v>18643169.389187954</v>
      </c>
      <c r="S269">
        <f t="shared" si="967"/>
        <v>186.43169389187955</v>
      </c>
      <c r="T269">
        <f t="shared" si="968"/>
        <v>0.18643169389187955</v>
      </c>
    </row>
    <row r="270" spans="1:20" x14ac:dyDescent="0.25">
      <c r="A270" s="5">
        <v>44323</v>
      </c>
      <c r="B270">
        <v>34.201000000000001</v>
      </c>
      <c r="C270">
        <v>35.49</v>
      </c>
      <c r="D270">
        <v>31.558</v>
      </c>
      <c r="E270">
        <v>32.447000000000003</v>
      </c>
      <c r="F270">
        <v>2157759.1170000001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-0.54781281790437308</v>
      </c>
      <c r="Q270">
        <f t="shared" si="965"/>
        <v>-1182048.1022426218</v>
      </c>
      <c r="R270">
        <f t="shared" si="966"/>
        <v>19524803.529354583</v>
      </c>
      <c r="S270">
        <f t="shared" si="967"/>
        <v>195.24803529354583</v>
      </c>
      <c r="T270">
        <f t="shared" si="968"/>
        <v>0.19524803529354581</v>
      </c>
    </row>
    <row r="271" spans="1:20" x14ac:dyDescent="0.25">
      <c r="A271" s="5">
        <v>44322</v>
      </c>
      <c r="B271">
        <v>35.932000000000002</v>
      </c>
      <c r="C271">
        <v>40.9</v>
      </c>
      <c r="D271">
        <v>32.829000000000001</v>
      </c>
      <c r="E271">
        <v>34.215000000000003</v>
      </c>
      <c r="F271">
        <v>4844742.773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-0.65654813529921863</v>
      </c>
      <c r="Q271">
        <f t="shared" si="965"/>
        <v>-3180806.8336175159</v>
      </c>
      <c r="R271">
        <f t="shared" si="966"/>
        <v>20706851.631597206</v>
      </c>
      <c r="S271">
        <f t="shared" si="967"/>
        <v>207.06851631597206</v>
      </c>
      <c r="T271">
        <f t="shared" si="968"/>
        <v>0.20706851631597206</v>
      </c>
    </row>
    <row r="272" spans="1:20" x14ac:dyDescent="0.25">
      <c r="A272" s="5">
        <v>44321</v>
      </c>
      <c r="B272">
        <v>35.176000000000002</v>
      </c>
      <c r="C272">
        <v>39.142000000000003</v>
      </c>
      <c r="D272">
        <v>33.854999999999997</v>
      </c>
      <c r="E272">
        <v>35.932000000000002</v>
      </c>
      <c r="F272">
        <v>4951209.6490000002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-0.21429922451295522</v>
      </c>
      <c r="Q272">
        <f t="shared" si="965"/>
        <v>-1061040.3881817611</v>
      </c>
      <c r="R272">
        <f t="shared" si="966"/>
        <v>23887658.465214722</v>
      </c>
      <c r="S272">
        <f t="shared" si="967"/>
        <v>238.87658465214722</v>
      </c>
      <c r="T272">
        <f t="shared" si="968"/>
        <v>0.23887658465214723</v>
      </c>
    </row>
    <row r="273" spans="1:20" x14ac:dyDescent="0.25">
      <c r="A273" s="5">
        <v>44320</v>
      </c>
      <c r="B273">
        <v>32.661000000000001</v>
      </c>
      <c r="C273">
        <v>41.862000000000002</v>
      </c>
      <c r="D273">
        <v>30.074999999999999</v>
      </c>
      <c r="E273">
        <v>35.174999999999997</v>
      </c>
      <c r="F273">
        <v>12406118.560000001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-0.13463985747009471</v>
      </c>
      <c r="Q273">
        <f t="shared" si="965"/>
        <v>-1670358.0346754969</v>
      </c>
      <c r="R273">
        <f t="shared" si="966"/>
        <v>24948698.853396483</v>
      </c>
      <c r="S273">
        <f t="shared" si="967"/>
        <v>249.48698853396482</v>
      </c>
      <c r="T273">
        <f t="shared" si="968"/>
        <v>0.24948698853396481</v>
      </c>
    </row>
    <row r="274" spans="1:20" x14ac:dyDescent="0.25">
      <c r="A274" s="5">
        <v>44319</v>
      </c>
      <c r="B274">
        <v>23.777999999999999</v>
      </c>
      <c r="C274">
        <v>37.576000000000001</v>
      </c>
      <c r="D274">
        <v>23.687999999999999</v>
      </c>
      <c r="E274">
        <v>32.631999999999998</v>
      </c>
      <c r="F274">
        <v>11842040.039999999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0.2880184331797232</v>
      </c>
      <c r="Q274">
        <f t="shared" si="965"/>
        <v>3410725.8179723462</v>
      </c>
      <c r="R274">
        <f t="shared" si="966"/>
        <v>26619056.88807198</v>
      </c>
      <c r="S274">
        <f t="shared" si="967"/>
        <v>266.19056888071981</v>
      </c>
      <c r="T274">
        <f t="shared" si="968"/>
        <v>0.26619056888071979</v>
      </c>
    </row>
    <row r="275" spans="1:20" x14ac:dyDescent="0.25">
      <c r="A275" s="5">
        <v>44318</v>
      </c>
      <c r="B275">
        <v>22.512</v>
      </c>
      <c r="C275">
        <v>24.84</v>
      </c>
      <c r="D275">
        <v>21.117000000000001</v>
      </c>
      <c r="E275">
        <v>23.805</v>
      </c>
      <c r="F275">
        <v>2288908.9449999998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0.44399677679290872</v>
      </c>
      <c r="Q275">
        <f t="shared" si="965"/>
        <v>1016268.1939524572</v>
      </c>
      <c r="R275">
        <f t="shared" si="966"/>
        <v>23208331.070099633</v>
      </c>
      <c r="S275">
        <f t="shared" si="967"/>
        <v>232.08331070099632</v>
      </c>
      <c r="T275">
        <f t="shared" si="968"/>
        <v>0.23208331070099633</v>
      </c>
    </row>
    <row r="276" spans="1:20" x14ac:dyDescent="0.25">
      <c r="A276" s="5">
        <v>44317</v>
      </c>
      <c r="B276">
        <v>23.260999999999999</v>
      </c>
      <c r="C276">
        <v>23.56</v>
      </c>
      <c r="D276">
        <v>21.95</v>
      </c>
      <c r="E276">
        <v>22.495000000000001</v>
      </c>
      <c r="F276">
        <v>1137276.8959999999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-0.322981366459625</v>
      </c>
      <c r="Q276">
        <f t="shared" si="965"/>
        <v>-367319.24591304082</v>
      </c>
      <c r="R276">
        <f t="shared" si="966"/>
        <v>22192062.876147177</v>
      </c>
      <c r="S276">
        <f t="shared" si="967"/>
        <v>221.92062876147176</v>
      </c>
      <c r="T276">
        <f t="shared" si="968"/>
        <v>0.22192062876147176</v>
      </c>
    </row>
    <row r="277" spans="1:20" x14ac:dyDescent="0.25">
      <c r="A277" s="5">
        <v>44316</v>
      </c>
      <c r="B277">
        <v>23.001000000000001</v>
      </c>
      <c r="C277">
        <v>24.614999999999998</v>
      </c>
      <c r="D277">
        <v>21.452000000000002</v>
      </c>
      <c r="E277">
        <v>23.260999999999999</v>
      </c>
      <c r="F277">
        <v>3612371.048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0.14385077458109352</v>
      </c>
      <c r="Q277">
        <f t="shared" si="965"/>
        <v>519642.37332911656</v>
      </c>
      <c r="R277">
        <f t="shared" si="966"/>
        <v>22559382.122060217</v>
      </c>
      <c r="S277">
        <f t="shared" si="967"/>
        <v>225.59382122060217</v>
      </c>
      <c r="T277">
        <f t="shared" si="968"/>
        <v>0.22559382122060218</v>
      </c>
    </row>
    <row r="278" spans="1:20" x14ac:dyDescent="0.25">
      <c r="A278" s="5">
        <v>44315</v>
      </c>
      <c r="B278">
        <v>19.02</v>
      </c>
      <c r="C278">
        <v>23.731000000000002</v>
      </c>
      <c r="D278">
        <v>17.975000000000001</v>
      </c>
      <c r="E278">
        <v>23.015000000000001</v>
      </c>
      <c r="F278">
        <v>5718591.3169999998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0.7512161223071574</v>
      </c>
      <c r="Q278">
        <f t="shared" si="965"/>
        <v>4295897.9942161199</v>
      </c>
      <c r="R278">
        <f t="shared" si="966"/>
        <v>22039739.748731099</v>
      </c>
      <c r="S278">
        <f t="shared" si="967"/>
        <v>220.397397487311</v>
      </c>
      <c r="T278">
        <f t="shared" si="968"/>
        <v>0.22039739748731099</v>
      </c>
    </row>
    <row r="279" spans="1:20" x14ac:dyDescent="0.25">
      <c r="A279" s="5">
        <v>44314</v>
      </c>
      <c r="B279">
        <v>20.65</v>
      </c>
      <c r="C279">
        <v>21.582999999999998</v>
      </c>
      <c r="D279">
        <v>18.245000000000001</v>
      </c>
      <c r="E279">
        <v>18.998999999999999</v>
      </c>
      <c r="F279">
        <v>2622205.5920000002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-0.54823247453565105</v>
      </c>
      <c r="Q279">
        <f t="shared" si="965"/>
        <v>-1437578.260443382</v>
      </c>
      <c r="R279">
        <f t="shared" si="966"/>
        <v>17743841.754514977</v>
      </c>
      <c r="S279">
        <f t="shared" si="967"/>
        <v>177.43841754514978</v>
      </c>
      <c r="T279">
        <f t="shared" si="968"/>
        <v>0.17743841754514977</v>
      </c>
    </row>
    <row r="280" spans="1:20" x14ac:dyDescent="0.25">
      <c r="A280" s="5">
        <v>44313</v>
      </c>
      <c r="B280">
        <v>18.524000000000001</v>
      </c>
      <c r="C280">
        <v>21.638999999999999</v>
      </c>
      <c r="D280">
        <v>17.907</v>
      </c>
      <c r="E280">
        <v>20.638999999999999</v>
      </c>
      <c r="F280">
        <v>7123523.409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0.46409431939978552</v>
      </c>
      <c r="Q280">
        <f t="shared" si="965"/>
        <v>3305986.7482282948</v>
      </c>
      <c r="R280">
        <f t="shared" si="966"/>
        <v>19181420.014958359</v>
      </c>
      <c r="S280">
        <f t="shared" si="967"/>
        <v>191.8142001495836</v>
      </c>
      <c r="T280">
        <f t="shared" si="968"/>
        <v>0.19181420014958359</v>
      </c>
    </row>
    <row r="281" spans="1:20" x14ac:dyDescent="0.25">
      <c r="A281" s="5">
        <v>44312</v>
      </c>
      <c r="B281">
        <v>12.928000000000001</v>
      </c>
      <c r="C281">
        <v>20.010999999999999</v>
      </c>
      <c r="D281">
        <v>12.801</v>
      </c>
      <c r="E281">
        <v>18.523</v>
      </c>
      <c r="F281">
        <v>9304773.3039999995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0.58723994452149797</v>
      </c>
      <c r="Q281">
        <f t="shared" si="965"/>
        <v>5464134.5588260749</v>
      </c>
      <c r="R281">
        <f t="shared" si="966"/>
        <v>15875433.266730066</v>
      </c>
      <c r="S281">
        <f t="shared" si="967"/>
        <v>158.75433266730067</v>
      </c>
      <c r="T281">
        <f t="shared" si="968"/>
        <v>0.15875433266730068</v>
      </c>
    </row>
    <row r="282" spans="1:20" x14ac:dyDescent="0.25">
      <c r="A282" s="5">
        <v>44311</v>
      </c>
      <c r="B282">
        <v>13.180199999999999</v>
      </c>
      <c r="C282">
        <v>14.117000000000001</v>
      </c>
      <c r="D282">
        <v>12.326000000000001</v>
      </c>
      <c r="E282">
        <v>12.936</v>
      </c>
      <c r="F282">
        <v>947137.424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-0.31881630374092762</v>
      </c>
      <c r="Q282">
        <f t="shared" si="965"/>
        <v>-301962.85265438375</v>
      </c>
      <c r="R282">
        <f t="shared" si="966"/>
        <v>10411298.707903991</v>
      </c>
      <c r="S282">
        <f t="shared" si="967"/>
        <v>104.11298707903991</v>
      </c>
      <c r="T282">
        <f t="shared" si="968"/>
        <v>0.10411298707903992</v>
      </c>
    </row>
    <row r="283" spans="1:20" x14ac:dyDescent="0.25">
      <c r="A283" s="5">
        <v>44310</v>
      </c>
      <c r="B283">
        <v>14.601699999999999</v>
      </c>
      <c r="C283">
        <v>14.6311</v>
      </c>
      <c r="D283">
        <v>13.05</v>
      </c>
      <c r="E283">
        <v>13.1594</v>
      </c>
      <c r="F283">
        <v>1817934.62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-0.86161533109860333</v>
      </c>
      <c r="Q283">
        <f t="shared" si="965"/>
        <v>-1566360.3395269138</v>
      </c>
      <c r="R283">
        <f t="shared" si="966"/>
        <v>10713261.560558375</v>
      </c>
      <c r="S283">
        <f t="shared" si="967"/>
        <v>107.13261560558375</v>
      </c>
      <c r="T283">
        <f t="shared" si="968"/>
        <v>0.10713261560558375</v>
      </c>
    </row>
    <row r="284" spans="1:20" x14ac:dyDescent="0.25">
      <c r="A284" s="5">
        <v>44309</v>
      </c>
      <c r="B284">
        <v>12.6928</v>
      </c>
      <c r="C284">
        <v>15.8294</v>
      </c>
      <c r="D284">
        <v>11.05</v>
      </c>
      <c r="E284">
        <v>14.6013</v>
      </c>
      <c r="F284">
        <v>6073081.1799999997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0.4860861195966022</v>
      </c>
      <c r="Q284">
        <f t="shared" si="965"/>
        <v>2952040.4647813537</v>
      </c>
      <c r="R284">
        <f t="shared" si="966"/>
        <v>12279621.900085289</v>
      </c>
      <c r="S284">
        <f t="shared" si="967"/>
        <v>122.79621900085289</v>
      </c>
      <c r="T284">
        <f t="shared" si="968"/>
        <v>0.12279621900085289</v>
      </c>
    </row>
    <row r="285" spans="1:20" x14ac:dyDescent="0.25">
      <c r="A285" s="5">
        <v>44308</v>
      </c>
      <c r="B285">
        <v>14.462199999999999</v>
      </c>
      <c r="C285">
        <v>14.821099999999999</v>
      </c>
      <c r="D285">
        <v>12.584300000000001</v>
      </c>
      <c r="E285">
        <v>12.6958</v>
      </c>
      <c r="F285">
        <v>2209639.94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-0.90030400572246105</v>
      </c>
      <c r="Q285">
        <f t="shared" si="965"/>
        <v>-1989347.6891863383</v>
      </c>
      <c r="R285">
        <f t="shared" si="966"/>
        <v>9327581.4353039358</v>
      </c>
      <c r="S285">
        <f t="shared" si="967"/>
        <v>93.275814353039351</v>
      </c>
      <c r="T285">
        <f t="shared" si="968"/>
        <v>9.3275814353039346E-2</v>
      </c>
    </row>
    <row r="286" spans="1:20" x14ac:dyDescent="0.25">
      <c r="A286" s="5">
        <v>44307</v>
      </c>
      <c r="B286">
        <v>13.519500000000001</v>
      </c>
      <c r="C286">
        <v>16.09</v>
      </c>
      <c r="D286">
        <v>13.2013</v>
      </c>
      <c r="E286">
        <v>14.445600000000001</v>
      </c>
      <c r="F286">
        <v>5513499.8600000003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-0.13850520995603502</v>
      </c>
      <c r="Q286">
        <f t="shared" si="965"/>
        <v>-763648.45570186968</v>
      </c>
      <c r="R286">
        <f t="shared" si="966"/>
        <v>11316929.124490274</v>
      </c>
      <c r="S286">
        <f t="shared" si="967"/>
        <v>113.16929124490274</v>
      </c>
      <c r="T286">
        <f t="shared" si="968"/>
        <v>0.11316929124490274</v>
      </c>
    </row>
    <row r="287" spans="1:20" x14ac:dyDescent="0.25">
      <c r="A287" s="5">
        <v>44306</v>
      </c>
      <c r="B287">
        <v>12.373799999999999</v>
      </c>
      <c r="C287">
        <v>14.22</v>
      </c>
      <c r="D287">
        <v>11.2296</v>
      </c>
      <c r="E287">
        <v>13.523999999999999</v>
      </c>
      <c r="F287">
        <v>2788919.45</v>
      </c>
      <c r="G287">
        <v>0</v>
      </c>
      <c r="L287" t="s">
        <v>8</v>
      </c>
      <c r="M287" t="s">
        <v>7</v>
      </c>
      <c r="N287" t="s">
        <v>7</v>
      </c>
      <c r="P287">
        <f t="shared" si="964"/>
        <v>0.53451043338683701</v>
      </c>
      <c r="Q287">
        <f t="shared" si="965"/>
        <v>1490706.5439004793</v>
      </c>
      <c r="R287">
        <f t="shared" si="966"/>
        <v>12080577.580192143</v>
      </c>
      <c r="S287">
        <f t="shared" si="967"/>
        <v>120.80577580192143</v>
      </c>
      <c r="T287">
        <f t="shared" si="968"/>
        <v>0.12080577580192142</v>
      </c>
    </row>
    <row r="288" spans="1:20" x14ac:dyDescent="0.25">
      <c r="A288" s="5">
        <v>44305</v>
      </c>
      <c r="B288">
        <v>13.5997</v>
      </c>
      <c r="C288">
        <v>14.042199999999999</v>
      </c>
      <c r="D288">
        <v>12.153700000000001</v>
      </c>
      <c r="E288">
        <v>12.3721</v>
      </c>
      <c r="F288">
        <v>1234845.53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-0.76870532168387695</v>
      </c>
      <c r="Q288">
        <f t="shared" si="965"/>
        <v>-949232.33036854758</v>
      </c>
      <c r="R288">
        <f t="shared" si="966"/>
        <v>10589871.036291664</v>
      </c>
      <c r="S288">
        <f t="shared" si="967"/>
        <v>105.89871036291665</v>
      </c>
      <c r="T288">
        <f t="shared" si="968"/>
        <v>0.10589871036291665</v>
      </c>
    </row>
    <row r="289" spans="1:20" x14ac:dyDescent="0.25">
      <c r="A289" s="5">
        <v>44304</v>
      </c>
      <c r="B289">
        <v>15.5916</v>
      </c>
      <c r="C289">
        <v>15.699199999999999</v>
      </c>
      <c r="D289">
        <v>11.6713</v>
      </c>
      <c r="E289">
        <v>13.5951</v>
      </c>
      <c r="F289">
        <v>2364723.9700000002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-4.4762779612204637E-2</v>
      </c>
      <c r="Q289">
        <f t="shared" si="965"/>
        <v>-105851.61791280762</v>
      </c>
      <c r="R289">
        <f t="shared" si="966"/>
        <v>11539103.366660211</v>
      </c>
      <c r="S289">
        <f t="shared" si="967"/>
        <v>115.39103366660211</v>
      </c>
      <c r="T289">
        <f t="shared" si="968"/>
        <v>0.11539103366660211</v>
      </c>
    </row>
    <row r="290" spans="1:20" x14ac:dyDescent="0.25">
      <c r="A290" s="5">
        <v>44303</v>
      </c>
      <c r="B290">
        <v>16.453800000000001</v>
      </c>
      <c r="C290">
        <v>16.675699999999999</v>
      </c>
      <c r="D290">
        <v>15.462</v>
      </c>
      <c r="E290">
        <v>15.5916</v>
      </c>
      <c r="F290">
        <v>1225320.3400000001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-0.78643816429101099</v>
      </c>
      <c r="Q290">
        <f t="shared" si="965"/>
        <v>-963638.67885803746</v>
      </c>
      <c r="R290">
        <f t="shared" si="966"/>
        <v>11644954.98457302</v>
      </c>
      <c r="S290">
        <f t="shared" si="967"/>
        <v>116.4495498457302</v>
      </c>
      <c r="T290">
        <f t="shared" si="968"/>
        <v>0.11644954984573021</v>
      </c>
    </row>
    <row r="291" spans="1:20" x14ac:dyDescent="0.25">
      <c r="A291" s="5">
        <v>44302</v>
      </c>
      <c r="B291">
        <v>15.9625</v>
      </c>
      <c r="C291">
        <v>17.0626</v>
      </c>
      <c r="D291">
        <v>15.3041</v>
      </c>
      <c r="E291">
        <v>16.4725</v>
      </c>
      <c r="F291">
        <v>2579925.16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0.3288598237133924</v>
      </c>
      <c r="Q291">
        <f t="shared" si="965"/>
        <v>848433.73331134568</v>
      </c>
      <c r="R291">
        <f t="shared" si="966"/>
        <v>12608593.663431058</v>
      </c>
      <c r="S291">
        <f t="shared" si="967"/>
        <v>126.08593663431057</v>
      </c>
      <c r="T291">
        <f t="shared" si="968"/>
        <v>0.12608593663431056</v>
      </c>
    </row>
    <row r="292" spans="1:20" x14ac:dyDescent="0.25">
      <c r="A292" s="5">
        <v>44301</v>
      </c>
      <c r="B292">
        <v>15.2119</v>
      </c>
      <c r="C292">
        <v>17.185500000000001</v>
      </c>
      <c r="D292">
        <v>14.9152</v>
      </c>
      <c r="E292">
        <v>15.9422</v>
      </c>
      <c r="F292">
        <v>2910934.95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-9.5273752367529441E-2</v>
      </c>
      <c r="Q292">
        <f t="shared" si="965"/>
        <v>-277335.6955842867</v>
      </c>
      <c r="R292">
        <f t="shared" si="966"/>
        <v>11760159.930119712</v>
      </c>
      <c r="S292">
        <f t="shared" si="967"/>
        <v>117.60159930119713</v>
      </c>
      <c r="T292">
        <f t="shared" si="968"/>
        <v>0.11760159930119712</v>
      </c>
    </row>
    <row r="293" spans="1:20" x14ac:dyDescent="0.25">
      <c r="A293" s="5">
        <v>44300</v>
      </c>
      <c r="B293">
        <v>15.805400000000001</v>
      </c>
      <c r="C293">
        <v>15.93</v>
      </c>
      <c r="D293">
        <v>14.530200000000001</v>
      </c>
      <c r="E293">
        <v>15.2118</v>
      </c>
      <c r="F293">
        <v>1369971.77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-2.6146592370338614E-2</v>
      </c>
      <c r="Q293">
        <f t="shared" si="965"/>
        <v>-35820.093429061286</v>
      </c>
      <c r="R293">
        <f t="shared" si="966"/>
        <v>12037495.625703998</v>
      </c>
      <c r="S293">
        <f t="shared" si="967"/>
        <v>120.37495625703998</v>
      </c>
      <c r="T293">
        <f t="shared" si="968"/>
        <v>0.12037495625703998</v>
      </c>
    </row>
    <row r="294" spans="1:20" x14ac:dyDescent="0.25">
      <c r="A294" s="5">
        <v>44299</v>
      </c>
      <c r="B294">
        <v>15.1713</v>
      </c>
      <c r="C294">
        <v>16.149999999999999</v>
      </c>
      <c r="D294">
        <v>15.1052</v>
      </c>
      <c r="E294">
        <v>15.806900000000001</v>
      </c>
      <c r="F294">
        <v>1666753.72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0.3432235834609525</v>
      </c>
      <c r="Q294">
        <f t="shared" si="965"/>
        <v>572069.18452527304</v>
      </c>
      <c r="R294">
        <f t="shared" si="966"/>
        <v>12073315.719133059</v>
      </c>
      <c r="S294">
        <f t="shared" si="967"/>
        <v>120.73315719133059</v>
      </c>
      <c r="T294">
        <f t="shared" si="968"/>
        <v>0.12073315719133058</v>
      </c>
    </row>
    <row r="295" spans="1:20" x14ac:dyDescent="0.25">
      <c r="A295" s="5">
        <v>44298</v>
      </c>
      <c r="B295">
        <v>15.6113</v>
      </c>
      <c r="C295">
        <v>16.034800000000001</v>
      </c>
      <c r="D295">
        <v>14.6965</v>
      </c>
      <c r="E295">
        <v>15.171200000000001</v>
      </c>
      <c r="F295">
        <v>1551057.3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-0.290592542778151</v>
      </c>
      <c r="Q295">
        <f t="shared" si="965"/>
        <v>-450725.68480161339</v>
      </c>
      <c r="R295">
        <f t="shared" si="966"/>
        <v>11501246.534607785</v>
      </c>
      <c r="S295">
        <f t="shared" si="967"/>
        <v>115.01246534607785</v>
      </c>
      <c r="T295">
        <f t="shared" si="968"/>
        <v>0.11501246534607784</v>
      </c>
    </row>
    <row r="296" spans="1:20" x14ac:dyDescent="0.25">
      <c r="A296" s="5">
        <v>44297</v>
      </c>
      <c r="B296">
        <v>16.334299999999999</v>
      </c>
      <c r="C296">
        <v>16.399999999999999</v>
      </c>
      <c r="D296">
        <v>15.221399999999999</v>
      </c>
      <c r="E296">
        <v>15.608000000000001</v>
      </c>
      <c r="F296">
        <v>2477754.79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-0.34396741897165861</v>
      </c>
      <c r="Q296">
        <f t="shared" si="965"/>
        <v>-852266.91996096401</v>
      </c>
      <c r="R296">
        <f t="shared" si="966"/>
        <v>11951972.219409399</v>
      </c>
      <c r="S296">
        <f t="shared" si="967"/>
        <v>119.51972219409399</v>
      </c>
      <c r="T296">
        <f t="shared" si="968"/>
        <v>0.11951972219409399</v>
      </c>
    </row>
    <row r="297" spans="1:20" x14ac:dyDescent="0.25">
      <c r="A297" s="5">
        <v>44296</v>
      </c>
      <c r="B297">
        <v>16.776700000000002</v>
      </c>
      <c r="C297">
        <v>18.1755</v>
      </c>
      <c r="D297">
        <v>15.963699999999999</v>
      </c>
      <c r="E297">
        <v>16.328600000000002</v>
      </c>
      <c r="F297">
        <v>5104260.12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-0.67004249932181736</v>
      </c>
      <c r="Q297">
        <f t="shared" si="965"/>
        <v>-3420071.2079934794</v>
      </c>
      <c r="R297">
        <f t="shared" si="966"/>
        <v>12804239.139370363</v>
      </c>
      <c r="S297">
        <f t="shared" si="967"/>
        <v>128.04239139370364</v>
      </c>
      <c r="T297">
        <f t="shared" si="968"/>
        <v>0.12804239139370363</v>
      </c>
    </row>
    <row r="298" spans="1:20" x14ac:dyDescent="0.25">
      <c r="A298" s="5">
        <v>44295</v>
      </c>
      <c r="B298">
        <v>13.712899999999999</v>
      </c>
      <c r="C298">
        <v>20.350000000000001</v>
      </c>
      <c r="D298">
        <v>13.6027</v>
      </c>
      <c r="E298">
        <v>16.776800000000001</v>
      </c>
      <c r="F298">
        <v>17305264.579999998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-5.9149585760229849E-2</v>
      </c>
      <c r="Q298">
        <f t="shared" si="965"/>
        <v>-1023599.2313781779</v>
      </c>
      <c r="R298">
        <f t="shared" si="966"/>
        <v>16224310.347363843</v>
      </c>
      <c r="S298">
        <f t="shared" si="967"/>
        <v>162.24310347363843</v>
      </c>
      <c r="T298">
        <f t="shared" si="968"/>
        <v>0.16224310347363843</v>
      </c>
    </row>
    <row r="299" spans="1:20" x14ac:dyDescent="0.25">
      <c r="A299" s="5">
        <v>44294</v>
      </c>
      <c r="B299">
        <v>12.0871</v>
      </c>
      <c r="C299">
        <v>13.964</v>
      </c>
      <c r="D299">
        <v>12.007</v>
      </c>
      <c r="E299">
        <v>13.716900000000001</v>
      </c>
      <c r="F299">
        <v>1760954.43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0.74747061829330652</v>
      </c>
      <c r="Q299">
        <f t="shared" si="965"/>
        <v>1316261.696578437</v>
      </c>
      <c r="R299">
        <f t="shared" si="966"/>
        <v>17247909.57874202</v>
      </c>
      <c r="S299">
        <f t="shared" si="967"/>
        <v>172.47909578742019</v>
      </c>
      <c r="T299">
        <f t="shared" si="968"/>
        <v>0.17247909578742018</v>
      </c>
    </row>
    <row r="300" spans="1:20" x14ac:dyDescent="0.25">
      <c r="A300" s="5">
        <v>44293</v>
      </c>
      <c r="B300">
        <v>13.390700000000001</v>
      </c>
      <c r="C300">
        <v>14.3385</v>
      </c>
      <c r="D300">
        <v>11.94</v>
      </c>
      <c r="E300">
        <v>12.093500000000001</v>
      </c>
      <c r="F300">
        <v>3332632.86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-0.87200333541796871</v>
      </c>
      <c r="Q300">
        <f t="shared" si="965"/>
        <v>-2906066.9696435244</v>
      </c>
      <c r="R300">
        <f t="shared" si="966"/>
        <v>15931647.882163582</v>
      </c>
      <c r="S300">
        <f t="shared" si="967"/>
        <v>159.31647882163583</v>
      </c>
      <c r="T300">
        <f t="shared" si="968"/>
        <v>0.15931647882163583</v>
      </c>
    </row>
    <row r="301" spans="1:20" x14ac:dyDescent="0.25">
      <c r="A301" s="5">
        <v>44292</v>
      </c>
      <c r="B301">
        <v>12.7746</v>
      </c>
      <c r="C301">
        <v>13.58</v>
      </c>
      <c r="D301">
        <v>12.05</v>
      </c>
      <c r="E301">
        <v>13.3887</v>
      </c>
      <c r="F301">
        <v>2180082.6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0.74993464052287573</v>
      </c>
      <c r="Q301">
        <f t="shared" si="965"/>
        <v>1634919.4609411764</v>
      </c>
      <c r="R301">
        <f t="shared" si="966"/>
        <v>18837714.851807106</v>
      </c>
      <c r="S301">
        <f t="shared" si="967"/>
        <v>188.37714851807107</v>
      </c>
      <c r="T301">
        <f t="shared" si="968"/>
        <v>0.18837714851807108</v>
      </c>
    </row>
    <row r="302" spans="1:20" x14ac:dyDescent="0.25">
      <c r="A302" s="5">
        <v>44291</v>
      </c>
      <c r="B302">
        <v>12.196</v>
      </c>
      <c r="C302">
        <v>12.95</v>
      </c>
      <c r="D302">
        <v>11.671099999999999</v>
      </c>
      <c r="E302">
        <v>12.7873</v>
      </c>
      <c r="F302">
        <v>1504099.4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0.74556259285323456</v>
      </c>
      <c r="Q302">
        <f t="shared" si="965"/>
        <v>1121400.2485729943</v>
      </c>
      <c r="R302">
        <f t="shared" si="966"/>
        <v>17202795.390865929</v>
      </c>
      <c r="S302">
        <f t="shared" si="967"/>
        <v>172.0279539086593</v>
      </c>
      <c r="T302">
        <f t="shared" si="968"/>
        <v>0.1720279539086593</v>
      </c>
    </row>
    <row r="303" spans="1:20" x14ac:dyDescent="0.25">
      <c r="A303" s="5">
        <v>44290</v>
      </c>
      <c r="B303">
        <v>11.5977</v>
      </c>
      <c r="C303">
        <v>12.334099999999999</v>
      </c>
      <c r="D303">
        <v>11.4</v>
      </c>
      <c r="E303">
        <v>12.182399999999999</v>
      </c>
      <c r="F303">
        <v>629754.67000000004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0.67519537522749151</v>
      </c>
      <c r="Q303">
        <f t="shared" si="965"/>
        <v>425207.44071191514</v>
      </c>
      <c r="R303">
        <f t="shared" si="966"/>
        <v>16081395.142292935</v>
      </c>
      <c r="S303">
        <f t="shared" si="967"/>
        <v>160.81395142292936</v>
      </c>
      <c r="T303">
        <f t="shared" si="968"/>
        <v>0.16081395142292937</v>
      </c>
    </row>
    <row r="304" spans="1:20" x14ac:dyDescent="0.25">
      <c r="A304" s="5">
        <v>44289</v>
      </c>
      <c r="B304">
        <v>13.071199999999999</v>
      </c>
      <c r="C304">
        <v>13.1675</v>
      </c>
      <c r="D304">
        <v>11.544600000000001</v>
      </c>
      <c r="E304">
        <v>11.5989</v>
      </c>
      <c r="F304">
        <v>1108032.8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-0.93308275309630961</v>
      </c>
      <c r="Q304">
        <f t="shared" si="965"/>
        <v>-1033886.2955450127</v>
      </c>
      <c r="R304">
        <f t="shared" si="966"/>
        <v>15656187.70158102</v>
      </c>
      <c r="S304">
        <f t="shared" si="967"/>
        <v>156.56187701581021</v>
      </c>
      <c r="T304">
        <f t="shared" si="968"/>
        <v>0.1565618770158102</v>
      </c>
    </row>
    <row r="305" spans="1:20" x14ac:dyDescent="0.25">
      <c r="A305" s="5">
        <v>44288</v>
      </c>
      <c r="B305">
        <v>11.801600000000001</v>
      </c>
      <c r="C305">
        <v>13.67</v>
      </c>
      <c r="D305">
        <v>11.5936</v>
      </c>
      <c r="E305">
        <v>13.0557</v>
      </c>
      <c r="F305">
        <v>2385562.7000000002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0.4083028318243111</v>
      </c>
      <c r="Q305">
        <f t="shared" si="965"/>
        <v>974032.00590444962</v>
      </c>
      <c r="R305">
        <f t="shared" si="966"/>
        <v>16690073.997126032</v>
      </c>
      <c r="S305">
        <f t="shared" si="967"/>
        <v>166.90073997126032</v>
      </c>
      <c r="T305">
        <f t="shared" si="968"/>
        <v>0.16690073997126031</v>
      </c>
    </row>
    <row r="306" spans="1:20" x14ac:dyDescent="0.25">
      <c r="A306" s="5">
        <v>44287</v>
      </c>
      <c r="B306">
        <v>11.967700000000001</v>
      </c>
      <c r="C306">
        <v>12.2415</v>
      </c>
      <c r="D306">
        <v>11.5267</v>
      </c>
      <c r="E306">
        <v>11.801500000000001</v>
      </c>
      <c r="F306">
        <v>978701.35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-0.23111359820928737</v>
      </c>
      <c r="Q306">
        <f t="shared" si="965"/>
        <v>-226191.19057078712</v>
      </c>
      <c r="R306">
        <f t="shared" si="966"/>
        <v>15716041.991221583</v>
      </c>
      <c r="S306">
        <f t="shared" si="967"/>
        <v>157.16041991221581</v>
      </c>
      <c r="T306">
        <f t="shared" si="968"/>
        <v>0.15716041991221583</v>
      </c>
    </row>
    <row r="307" spans="1:20" x14ac:dyDescent="0.25">
      <c r="A307" s="5">
        <v>44286</v>
      </c>
      <c r="B307">
        <v>12.3169</v>
      </c>
      <c r="C307">
        <v>12.3169</v>
      </c>
      <c r="D307">
        <v>11.276</v>
      </c>
      <c r="E307">
        <v>11.964</v>
      </c>
      <c r="F307">
        <v>1143677.3400000001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0.3219329426457877</v>
      </c>
      <c r="Q307">
        <f t="shared" si="965"/>
        <v>368187.41150350706</v>
      </c>
      <c r="R307">
        <f t="shared" si="966"/>
        <v>15942233.181792369</v>
      </c>
      <c r="S307">
        <f t="shared" si="967"/>
        <v>159.42233181792369</v>
      </c>
      <c r="T307">
        <f t="shared" si="968"/>
        <v>0.1594223318179237</v>
      </c>
    </row>
    <row r="308" spans="1:20" x14ac:dyDescent="0.25">
      <c r="A308" s="5">
        <v>44285</v>
      </c>
      <c r="B308">
        <v>12.44</v>
      </c>
      <c r="C308">
        <v>12.96</v>
      </c>
      <c r="D308">
        <v>12.195600000000001</v>
      </c>
      <c r="E308">
        <v>12.315899999999999</v>
      </c>
      <c r="F308">
        <v>1647369.55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-0.68524332810047495</v>
      </c>
      <c r="Q308">
        <f t="shared" si="965"/>
        <v>-1128848.9930533818</v>
      </c>
      <c r="R308">
        <f t="shared" si="966"/>
        <v>15574045.770288862</v>
      </c>
      <c r="S308">
        <f t="shared" si="967"/>
        <v>155.74045770288862</v>
      </c>
      <c r="T308">
        <f t="shared" si="968"/>
        <v>0.15574045770288861</v>
      </c>
    </row>
    <row r="309" spans="1:20" x14ac:dyDescent="0.25">
      <c r="A309" s="5">
        <v>44284</v>
      </c>
      <c r="B309">
        <v>11.805</v>
      </c>
      <c r="C309">
        <v>12.6159</v>
      </c>
      <c r="D309">
        <v>11.6378</v>
      </c>
      <c r="E309">
        <v>12.44</v>
      </c>
      <c r="F309">
        <v>1642486.13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0.64032307535016775</v>
      </c>
      <c r="Q309">
        <f t="shared" si="965"/>
        <v>1051721.7699815955</v>
      </c>
      <c r="R309">
        <f t="shared" si="966"/>
        <v>16702894.763342245</v>
      </c>
      <c r="S309">
        <f t="shared" si="967"/>
        <v>167.02894763342243</v>
      </c>
      <c r="T309">
        <f t="shared" si="968"/>
        <v>0.16702894763342244</v>
      </c>
    </row>
    <row r="310" spans="1:20" x14ac:dyDescent="0.25">
      <c r="A310" s="5">
        <v>44283</v>
      </c>
      <c r="B310">
        <v>11.880599999999999</v>
      </c>
      <c r="C310">
        <v>12.25</v>
      </c>
      <c r="D310">
        <v>11.46</v>
      </c>
      <c r="E310">
        <v>11.8043</v>
      </c>
      <c r="F310">
        <v>899128.94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-0.12835443037974914</v>
      </c>
      <c r="Q310">
        <f t="shared" si="965"/>
        <v>-115407.18293164764</v>
      </c>
      <c r="R310">
        <f t="shared" si="966"/>
        <v>15651172.99336065</v>
      </c>
      <c r="S310">
        <f t="shared" si="967"/>
        <v>156.51172993360649</v>
      </c>
      <c r="T310">
        <f t="shared" si="968"/>
        <v>0.15651172993360649</v>
      </c>
    </row>
    <row r="311" spans="1:20" x14ac:dyDescent="0.25">
      <c r="A311" s="5">
        <v>44282</v>
      </c>
      <c r="B311">
        <v>12.291600000000001</v>
      </c>
      <c r="C311">
        <v>12.4993</v>
      </c>
      <c r="D311">
        <v>11.5</v>
      </c>
      <c r="E311">
        <v>11.8802</v>
      </c>
      <c r="F311">
        <v>1430652.82</v>
      </c>
      <c r="G311">
        <v>0</v>
      </c>
      <c r="L311" t="s">
        <v>7</v>
      </c>
      <c r="M311" t="s">
        <v>8</v>
      </c>
      <c r="N311" t="s">
        <v>8</v>
      </c>
      <c r="P311">
        <f t="shared" si="964"/>
        <v>-0.23906734714299935</v>
      </c>
      <c r="Q311">
        <f t="shared" si="965"/>
        <v>-342022.37436005095</v>
      </c>
      <c r="R311">
        <f t="shared" si="966"/>
        <v>15766580.176292298</v>
      </c>
      <c r="S311">
        <f t="shared" si="967"/>
        <v>157.665801762923</v>
      </c>
      <c r="T311">
        <f t="shared" si="968"/>
        <v>0.157665801762923</v>
      </c>
    </row>
    <row r="312" spans="1:20" x14ac:dyDescent="0.25">
      <c r="A312" s="5">
        <v>44281</v>
      </c>
      <c r="B312">
        <v>10.445</v>
      </c>
      <c r="C312">
        <v>13.237500000000001</v>
      </c>
      <c r="D312">
        <v>10.4251</v>
      </c>
      <c r="E312">
        <v>12.2797</v>
      </c>
      <c r="F312">
        <v>3856815.22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0.31887355994879779</v>
      </c>
      <c r="Q312">
        <f t="shared" si="965"/>
        <v>1229836.3992661058</v>
      </c>
      <c r="R312">
        <f t="shared" si="966"/>
        <v>16108602.550652349</v>
      </c>
      <c r="S312">
        <f t="shared" si="967"/>
        <v>161.0860255065235</v>
      </c>
      <c r="T312">
        <f t="shared" si="968"/>
        <v>0.16108602550652351</v>
      </c>
    </row>
    <row r="313" spans="1:20" x14ac:dyDescent="0.25">
      <c r="A313" s="5">
        <v>44280</v>
      </c>
      <c r="B313">
        <v>10.835900000000001</v>
      </c>
      <c r="C313">
        <v>11.6318</v>
      </c>
      <c r="D313">
        <v>10.1889</v>
      </c>
      <c r="E313">
        <v>10.4376</v>
      </c>
      <c r="F313">
        <v>2676135.89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-0.65527756601289144</v>
      </c>
      <c r="Q313">
        <f t="shared" si="965"/>
        <v>-1753611.812318943</v>
      </c>
      <c r="R313">
        <f t="shared" si="966"/>
        <v>14878766.151386244</v>
      </c>
      <c r="S313">
        <f t="shared" si="967"/>
        <v>148.78766151386245</v>
      </c>
      <c r="T313">
        <f t="shared" si="968"/>
        <v>0.14878766151386244</v>
      </c>
    </row>
    <row r="314" spans="1:20" x14ac:dyDescent="0.25">
      <c r="A314" s="5">
        <v>44279</v>
      </c>
      <c r="B314">
        <v>11.1897</v>
      </c>
      <c r="C314">
        <v>13.6</v>
      </c>
      <c r="D314">
        <v>10.67</v>
      </c>
      <c r="E314">
        <v>10.836</v>
      </c>
      <c r="F314">
        <v>6360044.5199999996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-0.88668941979522153</v>
      </c>
      <c r="Q314">
        <f t="shared" si="965"/>
        <v>-5639384.185310578</v>
      </c>
      <c r="R314">
        <f t="shared" si="966"/>
        <v>16632377.963705188</v>
      </c>
      <c r="S314">
        <f t="shared" si="967"/>
        <v>166.32377963705187</v>
      </c>
      <c r="T314">
        <f t="shared" si="968"/>
        <v>0.16632377963705186</v>
      </c>
    </row>
    <row r="315" spans="1:20" x14ac:dyDescent="0.25">
      <c r="A315" s="5">
        <v>44278</v>
      </c>
      <c r="B315">
        <v>9.7950999999999997</v>
      </c>
      <c r="C315">
        <v>12.77</v>
      </c>
      <c r="D315">
        <v>9.6888000000000005</v>
      </c>
      <c r="E315">
        <v>11.1934</v>
      </c>
      <c r="F315">
        <v>4627354.13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-2.3367519148383486E-2</v>
      </c>
      <c r="Q315">
        <f t="shared" si="965"/>
        <v>-108129.78623912641</v>
      </c>
      <c r="R315">
        <f t="shared" si="966"/>
        <v>22271762.149015766</v>
      </c>
      <c r="S315">
        <f t="shared" si="967"/>
        <v>222.71762149015765</v>
      </c>
      <c r="T315">
        <f t="shared" si="968"/>
        <v>0.22271762149015764</v>
      </c>
    </row>
    <row r="316" spans="1:20" x14ac:dyDescent="0.25">
      <c r="A316" s="5">
        <v>44277</v>
      </c>
      <c r="B316">
        <v>9.9475999999999996</v>
      </c>
      <c r="C316">
        <v>10.95</v>
      </c>
      <c r="D316">
        <v>9.7424999999999997</v>
      </c>
      <c r="E316">
        <v>9.7853999999999992</v>
      </c>
      <c r="F316">
        <v>1776532.38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-0.92894409937888278</v>
      </c>
      <c r="Q316">
        <f t="shared" si="965"/>
        <v>-1650299.2717565231</v>
      </c>
      <c r="R316">
        <f t="shared" si="966"/>
        <v>22379891.93525489</v>
      </c>
      <c r="S316">
        <f t="shared" si="967"/>
        <v>223.79891935254889</v>
      </c>
      <c r="T316">
        <f t="shared" si="968"/>
        <v>0.22379891935254889</v>
      </c>
    </row>
    <row r="317" spans="1:20" x14ac:dyDescent="0.25">
      <c r="A317" s="5">
        <v>44276</v>
      </c>
      <c r="B317">
        <v>10.167299999999999</v>
      </c>
      <c r="C317">
        <v>10.238899999999999</v>
      </c>
      <c r="D317">
        <v>9.5852000000000004</v>
      </c>
      <c r="E317">
        <v>9.9499999999999993</v>
      </c>
      <c r="F317">
        <v>730854.41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0.11610830656264204</v>
      </c>
      <c r="Q317">
        <f t="shared" si="965"/>
        <v>84858.267888938877</v>
      </c>
      <c r="R317">
        <f t="shared" si="966"/>
        <v>24030191.207011413</v>
      </c>
      <c r="S317">
        <f t="shared" si="967"/>
        <v>240.30191207011413</v>
      </c>
      <c r="T317">
        <f t="shared" si="968"/>
        <v>0.24030191207011412</v>
      </c>
    </row>
    <row r="318" spans="1:20" x14ac:dyDescent="0.25">
      <c r="A318" s="5">
        <v>44275</v>
      </c>
      <c r="B318">
        <v>10.207599999999999</v>
      </c>
      <c r="C318">
        <v>10.673500000000001</v>
      </c>
      <c r="D318">
        <v>10.09</v>
      </c>
      <c r="E318">
        <v>10.167400000000001</v>
      </c>
      <c r="F318">
        <v>886069.18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-0.73470437017994616</v>
      </c>
      <c r="Q318">
        <f t="shared" si="965"/>
        <v>-650998.89882776141</v>
      </c>
      <c r="R318">
        <f t="shared" si="966"/>
        <v>23945332.939122476</v>
      </c>
      <c r="S318">
        <f t="shared" si="967"/>
        <v>239.45332939122477</v>
      </c>
      <c r="T318">
        <f t="shared" si="968"/>
        <v>0.23945332939122477</v>
      </c>
    </row>
    <row r="319" spans="1:20" x14ac:dyDescent="0.25">
      <c r="A319" s="5">
        <v>44274</v>
      </c>
      <c r="B319">
        <v>10.247299999999999</v>
      </c>
      <c r="C319">
        <v>10.5754</v>
      </c>
      <c r="D319">
        <v>10.020799999999999</v>
      </c>
      <c r="E319">
        <v>10.207599999999999</v>
      </c>
      <c r="F319">
        <v>704379.81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-0.32636134150739404</v>
      </c>
      <c r="Q319">
        <f t="shared" si="965"/>
        <v>-229882.33972232335</v>
      </c>
      <c r="R319">
        <f t="shared" si="966"/>
        <v>24596331.837950237</v>
      </c>
      <c r="S319">
        <f t="shared" si="967"/>
        <v>245.96331837950237</v>
      </c>
      <c r="T319">
        <f t="shared" si="968"/>
        <v>0.24596331837950236</v>
      </c>
    </row>
    <row r="320" spans="1:20" x14ac:dyDescent="0.25">
      <c r="A320" s="5">
        <v>44273</v>
      </c>
      <c r="B320">
        <v>10.1243</v>
      </c>
      <c r="C320">
        <v>10.8</v>
      </c>
      <c r="D320">
        <v>10.0427</v>
      </c>
      <c r="E320">
        <v>10.2454</v>
      </c>
      <c r="F320">
        <v>1014492.34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-0.46467714247986291</v>
      </c>
      <c r="Q320">
        <f t="shared" si="965"/>
        <v>-471411.4016189095</v>
      </c>
      <c r="R320">
        <f t="shared" si="966"/>
        <v>24826214.177672561</v>
      </c>
      <c r="S320">
        <f t="shared" si="967"/>
        <v>248.2621417767256</v>
      </c>
      <c r="T320">
        <f t="shared" si="968"/>
        <v>0.24826214177672559</v>
      </c>
    </row>
    <row r="321" spans="1:20" x14ac:dyDescent="0.25">
      <c r="A321" s="5">
        <v>44272</v>
      </c>
      <c r="B321">
        <v>9.8333999999999993</v>
      </c>
      <c r="C321">
        <v>10.199999999999999</v>
      </c>
      <c r="D321">
        <v>9.6503999999999994</v>
      </c>
      <c r="E321">
        <v>10.1243</v>
      </c>
      <c r="F321">
        <v>898018.93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0.72452692867540225</v>
      </c>
      <c r="Q321">
        <f t="shared" si="965"/>
        <v>650638.89724527113</v>
      </c>
      <c r="R321">
        <f t="shared" si="966"/>
        <v>25297625.57929147</v>
      </c>
      <c r="S321">
        <f t="shared" si="967"/>
        <v>252.97625579291471</v>
      </c>
      <c r="T321">
        <f t="shared" si="968"/>
        <v>0.25297625579291472</v>
      </c>
    </row>
    <row r="322" spans="1:20" x14ac:dyDescent="0.25">
      <c r="A322" s="5">
        <v>44271</v>
      </c>
      <c r="B322">
        <v>9.5912000000000006</v>
      </c>
      <c r="C322">
        <v>10.099</v>
      </c>
      <c r="D322">
        <v>9.2106999999999992</v>
      </c>
      <c r="E322">
        <v>9.8411000000000008</v>
      </c>
      <c r="F322">
        <v>1218507.67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0.41934031295733631</v>
      </c>
      <c r="Q322">
        <f t="shared" si="965"/>
        <v>510969.38767871464</v>
      </c>
      <c r="R322">
        <f t="shared" si="966"/>
        <v>24646986.682046197</v>
      </c>
      <c r="S322">
        <f t="shared" si="967"/>
        <v>246.46986682046196</v>
      </c>
      <c r="T322">
        <f t="shared" si="968"/>
        <v>0.24646986682046196</v>
      </c>
    </row>
    <row r="323" spans="1:20" x14ac:dyDescent="0.25">
      <c r="A323" s="5">
        <v>44270</v>
      </c>
      <c r="B323">
        <v>9.7294999999999998</v>
      </c>
      <c r="C323">
        <v>10.1</v>
      </c>
      <c r="D323">
        <v>9.2514000000000003</v>
      </c>
      <c r="E323">
        <v>9.5841999999999992</v>
      </c>
      <c r="F323">
        <v>983445.74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-0.2156493047372163</v>
      </c>
      <c r="Q323">
        <f t="shared" si="965"/>
        <v>-212079.39007777718</v>
      </c>
      <c r="R323">
        <f t="shared" si="966"/>
        <v>24136017.294367481</v>
      </c>
      <c r="S323">
        <f t="shared" si="967"/>
        <v>241.3601729436748</v>
      </c>
      <c r="T323">
        <f t="shared" si="968"/>
        <v>0.24136017294367479</v>
      </c>
    </row>
    <row r="324" spans="1:20" x14ac:dyDescent="0.25">
      <c r="A324" s="5">
        <v>44269</v>
      </c>
      <c r="B324">
        <v>10.1555</v>
      </c>
      <c r="C324">
        <v>10.215299999999999</v>
      </c>
      <c r="D324">
        <v>9.6969999999999992</v>
      </c>
      <c r="E324">
        <v>9.7387999999999995</v>
      </c>
      <c r="F324">
        <v>655998.13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-0.83870345359830101</v>
      </c>
      <c r="Q324">
        <f t="shared" si="965"/>
        <v>-550187.89718502725</v>
      </c>
      <c r="R324">
        <f t="shared" si="966"/>
        <v>24348096.684445258</v>
      </c>
      <c r="S324">
        <f t="shared" si="967"/>
        <v>243.48096684445258</v>
      </c>
      <c r="T324">
        <f t="shared" si="968"/>
        <v>0.24348096684445258</v>
      </c>
    </row>
    <row r="325" spans="1:20" x14ac:dyDescent="0.25">
      <c r="A325" s="5">
        <v>44268</v>
      </c>
      <c r="B325">
        <v>9.8632000000000009</v>
      </c>
      <c r="C325">
        <v>10.2521</v>
      </c>
      <c r="D325">
        <v>9.4510000000000005</v>
      </c>
      <c r="E325">
        <v>10.153</v>
      </c>
      <c r="F325">
        <v>765470.32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0.75259018849082515</v>
      </c>
      <c r="Q325">
        <f t="shared" si="965"/>
        <v>576085.45241293218</v>
      </c>
      <c r="R325">
        <f t="shared" si="966"/>
        <v>24898284.581630286</v>
      </c>
      <c r="S325">
        <f t="shared" si="967"/>
        <v>248.98284581630287</v>
      </c>
      <c r="T325">
        <f t="shared" si="968"/>
        <v>0.24898284581630287</v>
      </c>
    </row>
    <row r="326" spans="1:20" x14ac:dyDescent="0.25">
      <c r="A326" s="5">
        <v>44267</v>
      </c>
      <c r="B326">
        <v>10.068300000000001</v>
      </c>
      <c r="C326">
        <v>10.17</v>
      </c>
      <c r="D326">
        <v>9.5017999999999994</v>
      </c>
      <c r="E326">
        <v>9.8729999999999993</v>
      </c>
      <c r="F326">
        <v>680479.57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0.11104459742591935</v>
      </c>
      <c r="Q326">
        <f t="shared" ref="Q326:Q389" si="970">F326*P326</f>
        <v>75563.579907212697</v>
      </c>
      <c r="R326">
        <f t="shared" ref="R326:R389" si="971">R327+Q326</f>
        <v>24322199.129217353</v>
      </c>
      <c r="S326">
        <f t="shared" ref="S326:S389" si="972">R326/100000</f>
        <v>243.22199129217353</v>
      </c>
      <c r="T326">
        <f t="shared" ref="T326:T389" si="973">S326/1000</f>
        <v>0.24322199129217353</v>
      </c>
    </row>
    <row r="327" spans="1:20" x14ac:dyDescent="0.25">
      <c r="A327" s="5">
        <v>44266</v>
      </c>
      <c r="B327">
        <v>10.2461</v>
      </c>
      <c r="C327">
        <v>10.302</v>
      </c>
      <c r="D327">
        <v>9.7624999999999993</v>
      </c>
      <c r="E327">
        <v>10.058400000000001</v>
      </c>
      <c r="F327">
        <v>767632.12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9.6941612604267702E-2</v>
      </c>
      <c r="Q327">
        <f t="shared" si="970"/>
        <v>74415.495599632734</v>
      </c>
      <c r="R327">
        <f t="shared" si="971"/>
        <v>24246635.54931014</v>
      </c>
      <c r="S327">
        <f t="shared" si="972"/>
        <v>242.46635549310139</v>
      </c>
      <c r="T327">
        <f t="shared" si="973"/>
        <v>0.24246635549310139</v>
      </c>
    </row>
    <row r="328" spans="1:20" x14ac:dyDescent="0.25">
      <c r="A328" s="5">
        <v>44265</v>
      </c>
      <c r="B328">
        <v>10.724600000000001</v>
      </c>
      <c r="C328">
        <v>10.86</v>
      </c>
      <c r="D328">
        <v>10.0053</v>
      </c>
      <c r="E328">
        <v>10.2479</v>
      </c>
      <c r="F328">
        <v>921455.06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-0.43231543231543307</v>
      </c>
      <c r="Q328">
        <f t="shared" si="970"/>
        <v>-398359.24262314336</v>
      </c>
      <c r="R328">
        <f t="shared" si="971"/>
        <v>24172220.053710509</v>
      </c>
      <c r="S328">
        <f t="shared" si="972"/>
        <v>241.7222005371051</v>
      </c>
      <c r="T328">
        <f t="shared" si="973"/>
        <v>0.24172220053710511</v>
      </c>
    </row>
    <row r="329" spans="1:20" x14ac:dyDescent="0.25">
      <c r="A329" s="5">
        <v>44264</v>
      </c>
      <c r="B329">
        <v>10.0892</v>
      </c>
      <c r="C329">
        <v>10.7811</v>
      </c>
      <c r="D329">
        <v>9.9370999999999992</v>
      </c>
      <c r="E329">
        <v>10.7134</v>
      </c>
      <c r="F329">
        <v>1032874.82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0.83957345971563924</v>
      </c>
      <c r="Q329">
        <f t="shared" si="970"/>
        <v>867174.2860805681</v>
      </c>
      <c r="R329">
        <f t="shared" si="971"/>
        <v>24570579.296333652</v>
      </c>
      <c r="S329">
        <f t="shared" si="972"/>
        <v>245.70579296333651</v>
      </c>
      <c r="T329">
        <f t="shared" si="973"/>
        <v>0.2457057929633365</v>
      </c>
    </row>
    <row r="330" spans="1:20" x14ac:dyDescent="0.25">
      <c r="A330" s="5">
        <v>44263</v>
      </c>
      <c r="B330">
        <v>10.1326</v>
      </c>
      <c r="C330">
        <v>10.208</v>
      </c>
      <c r="D330">
        <v>9.7140000000000004</v>
      </c>
      <c r="E330">
        <v>10.079800000000001</v>
      </c>
      <c r="F330">
        <v>510932.66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0.48097165991902951</v>
      </c>
      <c r="Q330">
        <f t="shared" si="970"/>
        <v>245744.12958704511</v>
      </c>
      <c r="R330">
        <f t="shared" si="971"/>
        <v>23703405.010253083</v>
      </c>
      <c r="S330">
        <f t="shared" si="972"/>
        <v>237.03405010253084</v>
      </c>
      <c r="T330">
        <f t="shared" si="973"/>
        <v>0.23703405010253084</v>
      </c>
    </row>
    <row r="331" spans="1:20" x14ac:dyDescent="0.25">
      <c r="A331" s="5">
        <v>44262</v>
      </c>
      <c r="B331">
        <v>9.9916</v>
      </c>
      <c r="C331">
        <v>10.233599999999999</v>
      </c>
      <c r="D331">
        <v>9.8007000000000009</v>
      </c>
      <c r="E331">
        <v>10.1471</v>
      </c>
      <c r="F331">
        <v>586736.23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0.60036960036960274</v>
      </c>
      <c r="Q331">
        <f t="shared" si="970"/>
        <v>352258.59592746728</v>
      </c>
      <c r="R331">
        <f t="shared" si="971"/>
        <v>23457660.880666036</v>
      </c>
      <c r="S331">
        <f t="shared" si="972"/>
        <v>234.57660880666037</v>
      </c>
      <c r="T331">
        <f t="shared" si="973"/>
        <v>0.23457660880666037</v>
      </c>
    </row>
    <row r="332" spans="1:20" x14ac:dyDescent="0.25">
      <c r="A332" s="5">
        <v>44261</v>
      </c>
      <c r="B332">
        <v>9.9222000000000001</v>
      </c>
      <c r="C332">
        <v>10.357200000000001</v>
      </c>
      <c r="D332">
        <v>9.6463000000000001</v>
      </c>
      <c r="E332">
        <v>9.9916</v>
      </c>
      <c r="F332">
        <v>719054.64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-2.8555352370235806E-2</v>
      </c>
      <c r="Q332">
        <f t="shared" si="970"/>
        <v>-20532.858618653056</v>
      </c>
      <c r="R332">
        <f t="shared" si="971"/>
        <v>23105402.28473857</v>
      </c>
      <c r="S332">
        <f t="shared" si="972"/>
        <v>231.05402284738571</v>
      </c>
      <c r="T332">
        <f t="shared" si="973"/>
        <v>0.23105402284738571</v>
      </c>
    </row>
    <row r="333" spans="1:20" x14ac:dyDescent="0.25">
      <c r="A333" s="5">
        <v>44260</v>
      </c>
      <c r="B333">
        <v>9.4472000000000005</v>
      </c>
      <c r="C333">
        <v>10.5847</v>
      </c>
      <c r="D333">
        <v>8.9582999999999995</v>
      </c>
      <c r="E333">
        <v>9.9124999999999996</v>
      </c>
      <c r="F333">
        <v>1924512.31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0.17338908017707819</v>
      </c>
      <c r="Q333">
        <f t="shared" si="970"/>
        <v>333689.41922036395</v>
      </c>
      <c r="R333">
        <f t="shared" si="971"/>
        <v>23125935.143357225</v>
      </c>
      <c r="S333">
        <f t="shared" si="972"/>
        <v>231.25935143357225</v>
      </c>
      <c r="T333">
        <f t="shared" si="973"/>
        <v>0.23125935143357224</v>
      </c>
    </row>
    <row r="334" spans="1:20" x14ac:dyDescent="0.25">
      <c r="A334" s="5">
        <v>44259</v>
      </c>
      <c r="B334">
        <v>9.8201000000000001</v>
      </c>
      <c r="C334">
        <v>10.223100000000001</v>
      </c>
      <c r="D334">
        <v>9.1013000000000002</v>
      </c>
      <c r="E334">
        <v>9.4472000000000005</v>
      </c>
      <c r="F334">
        <v>879994.01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-0.38331253342841826</v>
      </c>
      <c r="Q334">
        <f t="shared" si="970"/>
        <v>-337312.73337493284</v>
      </c>
      <c r="R334">
        <f t="shared" si="971"/>
        <v>22792245.724136859</v>
      </c>
      <c r="S334">
        <f t="shared" si="972"/>
        <v>227.92245724136859</v>
      </c>
      <c r="T334">
        <f t="shared" si="973"/>
        <v>0.22792245724136859</v>
      </c>
    </row>
    <row r="335" spans="1:20" x14ac:dyDescent="0.25">
      <c r="A335" s="5">
        <v>44258</v>
      </c>
      <c r="B335">
        <v>9.4120000000000008</v>
      </c>
      <c r="C335">
        <v>10.1</v>
      </c>
      <c r="D335">
        <v>9.3215000000000003</v>
      </c>
      <c r="E335">
        <v>9.8181999999999992</v>
      </c>
      <c r="F335">
        <v>1106651.02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0.2760436737315331</v>
      </c>
      <c r="Q335">
        <f t="shared" si="970"/>
        <v>305484.01309954829</v>
      </c>
      <c r="R335">
        <f t="shared" si="971"/>
        <v>23129558.457511794</v>
      </c>
      <c r="S335">
        <f t="shared" si="972"/>
        <v>231.29558457511794</v>
      </c>
      <c r="T335">
        <f t="shared" si="973"/>
        <v>0.23129558457511795</v>
      </c>
    </row>
    <row r="336" spans="1:20" x14ac:dyDescent="0.25">
      <c r="A336" s="5">
        <v>44257</v>
      </c>
      <c r="B336">
        <v>9.5277999999999992</v>
      </c>
      <c r="C336">
        <v>9.9659999999999993</v>
      </c>
      <c r="D336">
        <v>9.0723000000000003</v>
      </c>
      <c r="E336">
        <v>9.4175000000000004</v>
      </c>
      <c r="F336">
        <v>934463.1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-0.22748125769273686</v>
      </c>
      <c r="Q336">
        <f t="shared" si="970"/>
        <v>-212572.84125545374</v>
      </c>
      <c r="R336">
        <f t="shared" si="971"/>
        <v>22824074.444412246</v>
      </c>
      <c r="S336">
        <f t="shared" si="972"/>
        <v>228.24074444412247</v>
      </c>
      <c r="T336">
        <f t="shared" si="973"/>
        <v>0.22824074444412246</v>
      </c>
    </row>
    <row r="337" spans="1:20" x14ac:dyDescent="0.25">
      <c r="A337" s="5">
        <v>44256</v>
      </c>
      <c r="B337">
        <v>8.9047000000000001</v>
      </c>
      <c r="C337">
        <v>9.6637000000000004</v>
      </c>
      <c r="D337">
        <v>8.8404000000000007</v>
      </c>
      <c r="E337">
        <v>9.5234000000000005</v>
      </c>
      <c r="F337">
        <v>757032.07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0.65917648487793046</v>
      </c>
      <c r="Q337">
        <f t="shared" si="970"/>
        <v>499017.73884246335</v>
      </c>
      <c r="R337">
        <f t="shared" si="971"/>
        <v>23036647.285667699</v>
      </c>
      <c r="S337">
        <f t="shared" si="972"/>
        <v>230.36647285667698</v>
      </c>
      <c r="T337">
        <f t="shared" si="973"/>
        <v>0.23036647285667697</v>
      </c>
    </row>
    <row r="338" spans="1:20" x14ac:dyDescent="0.25">
      <c r="A338" s="5">
        <v>44255</v>
      </c>
      <c r="B338">
        <v>9.6043000000000003</v>
      </c>
      <c r="C338">
        <v>9.6503999999999994</v>
      </c>
      <c r="D338">
        <v>8.3373000000000008</v>
      </c>
      <c r="E338">
        <v>8.9025999999999996</v>
      </c>
      <c r="F338">
        <v>935320.17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-0.13898408346660665</v>
      </c>
      <c r="Q338">
        <f t="shared" si="970"/>
        <v>-129994.61657528073</v>
      </c>
      <c r="R338">
        <f t="shared" si="971"/>
        <v>22537629.546825234</v>
      </c>
      <c r="S338">
        <f t="shared" si="972"/>
        <v>225.37629546825235</v>
      </c>
      <c r="T338">
        <f t="shared" si="973"/>
        <v>0.22537629546825236</v>
      </c>
    </row>
    <row r="339" spans="1:20" x14ac:dyDescent="0.25">
      <c r="A339" s="5">
        <v>44254</v>
      </c>
      <c r="B339">
        <v>9.5646000000000004</v>
      </c>
      <c r="C339">
        <v>10.06</v>
      </c>
      <c r="D339">
        <v>9.3320000000000007</v>
      </c>
      <c r="E339">
        <v>9.5954999999999995</v>
      </c>
      <c r="F339">
        <v>961586.84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-0.27609890109890434</v>
      </c>
      <c r="Q339">
        <f t="shared" si="970"/>
        <v>-265493.06983516796</v>
      </c>
      <c r="R339">
        <f t="shared" si="971"/>
        <v>22667624.163400516</v>
      </c>
      <c r="S339">
        <f t="shared" si="972"/>
        <v>226.67624163400515</v>
      </c>
      <c r="T339">
        <f t="shared" si="973"/>
        <v>0.22667624163400515</v>
      </c>
    </row>
    <row r="340" spans="1:20" x14ac:dyDescent="0.25">
      <c r="A340" s="5">
        <v>44253</v>
      </c>
      <c r="B340">
        <v>9.5980000000000008</v>
      </c>
      <c r="C340">
        <v>10.003</v>
      </c>
      <c r="D340">
        <v>8.9457000000000004</v>
      </c>
      <c r="E340">
        <v>9.5611999999999995</v>
      </c>
      <c r="F340">
        <v>1239109.43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0.16428638986096517</v>
      </c>
      <c r="Q340">
        <f t="shared" si="970"/>
        <v>203568.81489737832</v>
      </c>
      <c r="R340">
        <f t="shared" si="971"/>
        <v>22933117.233235683</v>
      </c>
      <c r="S340">
        <f t="shared" si="972"/>
        <v>229.33117233235683</v>
      </c>
      <c r="T340">
        <f t="shared" si="973"/>
        <v>0.22933117233235684</v>
      </c>
    </row>
    <row r="341" spans="1:20" x14ac:dyDescent="0.25">
      <c r="A341" s="5">
        <v>44252</v>
      </c>
      <c r="B341">
        <v>9.8315999999999999</v>
      </c>
      <c r="C341">
        <v>11.5</v>
      </c>
      <c r="D341">
        <v>9.5221</v>
      </c>
      <c r="E341">
        <v>9.6074000000000002</v>
      </c>
      <c r="F341">
        <v>2073440.11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-0.91374690328125774</v>
      </c>
      <c r="Q341">
        <f t="shared" si="970"/>
        <v>-1894599.4796516504</v>
      </c>
      <c r="R341">
        <f t="shared" si="971"/>
        <v>22729548.418338306</v>
      </c>
      <c r="S341">
        <f t="shared" si="972"/>
        <v>227.29548418338305</v>
      </c>
      <c r="T341">
        <f t="shared" si="973"/>
        <v>0.22729548418338305</v>
      </c>
    </row>
    <row r="342" spans="1:20" x14ac:dyDescent="0.25">
      <c r="A342" s="5">
        <v>44251</v>
      </c>
      <c r="B342">
        <v>9.3745999999999992</v>
      </c>
      <c r="C342">
        <v>10.861599999999999</v>
      </c>
      <c r="D342">
        <v>8.9090000000000007</v>
      </c>
      <c r="E342">
        <v>9.8336000000000006</v>
      </c>
      <c r="F342">
        <v>1870321.11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-5.2955034313222835E-2</v>
      </c>
      <c r="Q342">
        <f t="shared" si="970"/>
        <v>-99042.918556795019</v>
      </c>
      <c r="R342">
        <f t="shared" si="971"/>
        <v>24624147.897989955</v>
      </c>
      <c r="S342">
        <f t="shared" si="972"/>
        <v>246.24147897989954</v>
      </c>
      <c r="T342">
        <f t="shared" si="973"/>
        <v>0.24624147897989954</v>
      </c>
    </row>
    <row r="343" spans="1:20" x14ac:dyDescent="0.25">
      <c r="A343" s="5">
        <v>44250</v>
      </c>
      <c r="B343">
        <v>10.620699999999999</v>
      </c>
      <c r="C343">
        <v>10.7012</v>
      </c>
      <c r="D343">
        <v>7.7</v>
      </c>
      <c r="E343">
        <v>9.3749000000000002</v>
      </c>
      <c r="F343">
        <v>4015069.48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0.11615353858456626</v>
      </c>
      <c r="Q343">
        <f t="shared" si="970"/>
        <v>466364.52776489436</v>
      </c>
      <c r="R343">
        <f t="shared" si="971"/>
        <v>24723190.816546749</v>
      </c>
      <c r="S343">
        <f t="shared" si="972"/>
        <v>247.2319081654675</v>
      </c>
      <c r="T343">
        <f t="shared" si="973"/>
        <v>0.2472319081654675</v>
      </c>
    </row>
    <row r="344" spans="1:20" x14ac:dyDescent="0.25">
      <c r="A344" s="5">
        <v>44249</v>
      </c>
      <c r="B344">
        <v>12.3706</v>
      </c>
      <c r="C344">
        <v>12.381500000000001</v>
      </c>
      <c r="D344">
        <v>9.1165000000000003</v>
      </c>
      <c r="E344">
        <v>10.615</v>
      </c>
      <c r="F344">
        <v>2353876.9700000002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-8.2082695252680138E-2</v>
      </c>
      <c r="Q344">
        <f t="shared" si="970"/>
        <v>-193212.56599081212</v>
      </c>
      <c r="R344">
        <f t="shared" si="971"/>
        <v>24256826.288781855</v>
      </c>
      <c r="S344">
        <f t="shared" si="972"/>
        <v>242.56826288781855</v>
      </c>
      <c r="T344">
        <f t="shared" si="973"/>
        <v>0.24256826288781855</v>
      </c>
    </row>
    <row r="345" spans="1:20" x14ac:dyDescent="0.25">
      <c r="A345" s="5">
        <v>44248</v>
      </c>
      <c r="B345">
        <v>12.2509</v>
      </c>
      <c r="C345">
        <v>12.921099999999999</v>
      </c>
      <c r="D345">
        <v>12.023099999999999</v>
      </c>
      <c r="E345">
        <v>12.356400000000001</v>
      </c>
      <c r="F345">
        <v>1238872.27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-0.25768374164810381</v>
      </c>
      <c r="Q345">
        <f t="shared" si="970"/>
        <v>-319237.24195767991</v>
      </c>
      <c r="R345">
        <f t="shared" si="971"/>
        <v>24450038.854772668</v>
      </c>
      <c r="S345">
        <f t="shared" si="972"/>
        <v>244.50038854772669</v>
      </c>
      <c r="T345">
        <f t="shared" si="973"/>
        <v>0.24450038854772668</v>
      </c>
    </row>
    <row r="346" spans="1:20" x14ac:dyDescent="0.25">
      <c r="A346" s="5">
        <v>44247</v>
      </c>
      <c r="B346">
        <v>12.5662</v>
      </c>
      <c r="C346">
        <v>13.346399999999999</v>
      </c>
      <c r="D346">
        <v>11.574</v>
      </c>
      <c r="E346">
        <v>12.260400000000001</v>
      </c>
      <c r="F346">
        <v>1897214.61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-0.22545700744752759</v>
      </c>
      <c r="Q346">
        <f t="shared" si="970"/>
        <v>-427740.32845632819</v>
      </c>
      <c r="R346">
        <f t="shared" si="971"/>
        <v>24769276.096730348</v>
      </c>
      <c r="S346">
        <f t="shared" si="972"/>
        <v>247.69276096730349</v>
      </c>
      <c r="T346">
        <f t="shared" si="973"/>
        <v>0.24769276096730347</v>
      </c>
    </row>
    <row r="347" spans="1:20" x14ac:dyDescent="0.25">
      <c r="A347" s="5">
        <v>44246</v>
      </c>
      <c r="B347">
        <v>12.397399999999999</v>
      </c>
      <c r="C347">
        <v>13.3841</v>
      </c>
      <c r="D347">
        <v>11.8001</v>
      </c>
      <c r="E347">
        <v>12.546200000000001</v>
      </c>
      <c r="F347">
        <v>2003862.6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-5.7954545454544974E-2</v>
      </c>
      <c r="Q347">
        <f t="shared" si="970"/>
        <v>-116132.94613636268</v>
      </c>
      <c r="R347">
        <f t="shared" si="971"/>
        <v>25197016.425186675</v>
      </c>
      <c r="S347">
        <f t="shared" si="972"/>
        <v>251.97016425186675</v>
      </c>
      <c r="T347">
        <f t="shared" si="973"/>
        <v>0.25197016425186675</v>
      </c>
    </row>
    <row r="348" spans="1:20" x14ac:dyDescent="0.25">
      <c r="A348" s="5">
        <v>44245</v>
      </c>
      <c r="B348">
        <v>11.482699999999999</v>
      </c>
      <c r="C348">
        <v>14.2</v>
      </c>
      <c r="D348">
        <v>11.373699999999999</v>
      </c>
      <c r="E348">
        <v>12.3607</v>
      </c>
      <c r="F348">
        <v>3282700.95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-0.30156034391253572</v>
      </c>
      <c r="Q348">
        <f t="shared" si="970"/>
        <v>-989932.42744400783</v>
      </c>
      <c r="R348">
        <f t="shared" si="971"/>
        <v>25313149.371323038</v>
      </c>
      <c r="S348">
        <f t="shared" si="972"/>
        <v>253.13149371323038</v>
      </c>
      <c r="T348">
        <f t="shared" si="973"/>
        <v>0.2531314937132304</v>
      </c>
    </row>
    <row r="349" spans="1:20" x14ac:dyDescent="0.25">
      <c r="A349" s="5">
        <v>44244</v>
      </c>
      <c r="B349">
        <v>11.066800000000001</v>
      </c>
      <c r="C349">
        <v>11.664899999999999</v>
      </c>
      <c r="D349">
        <v>10.035600000000001</v>
      </c>
      <c r="E349">
        <v>11.491300000000001</v>
      </c>
      <c r="F349">
        <v>2184288.87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0.78690235070275727</v>
      </c>
      <c r="Q349">
        <f t="shared" si="970"/>
        <v>1718822.0464168694</v>
      </c>
      <c r="R349">
        <f t="shared" si="971"/>
        <v>26303081.798767045</v>
      </c>
      <c r="S349">
        <f t="shared" si="972"/>
        <v>263.03081798767045</v>
      </c>
      <c r="T349">
        <f t="shared" si="973"/>
        <v>0.26303081798767047</v>
      </c>
    </row>
    <row r="350" spans="1:20" x14ac:dyDescent="0.25">
      <c r="A350" s="5">
        <v>44243</v>
      </c>
      <c r="B350">
        <v>10.968</v>
      </c>
      <c r="C350">
        <v>11.533300000000001</v>
      </c>
      <c r="D350">
        <v>10.3131</v>
      </c>
      <c r="E350">
        <v>11.066599999999999</v>
      </c>
      <c r="F350">
        <v>2106391.9500000002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0.23504343550237475</v>
      </c>
      <c r="Q350">
        <f t="shared" si="970"/>
        <v>495093.60044254642</v>
      </c>
      <c r="R350">
        <f t="shared" si="971"/>
        <v>24584259.752350178</v>
      </c>
      <c r="S350">
        <f t="shared" si="972"/>
        <v>245.84259752350178</v>
      </c>
      <c r="T350">
        <f t="shared" si="973"/>
        <v>0.24584259752350179</v>
      </c>
    </row>
    <row r="351" spans="1:20" x14ac:dyDescent="0.25">
      <c r="A351" s="5">
        <v>44242</v>
      </c>
      <c r="B351">
        <v>11.824199999999999</v>
      </c>
      <c r="C351">
        <v>12.443899999999999</v>
      </c>
      <c r="D351">
        <v>9.3239999999999998</v>
      </c>
      <c r="E351">
        <v>10.966900000000001</v>
      </c>
      <c r="F351">
        <v>3387982.94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5.3174781242989327E-2</v>
      </c>
      <c r="Q351">
        <f t="shared" si="970"/>
        <v>180155.25168947983</v>
      </c>
      <c r="R351">
        <f t="shared" si="971"/>
        <v>24089166.15190763</v>
      </c>
      <c r="S351">
        <f t="shared" si="972"/>
        <v>240.89166151907631</v>
      </c>
      <c r="T351">
        <f t="shared" si="973"/>
        <v>0.24089166151907632</v>
      </c>
    </row>
    <row r="352" spans="1:20" x14ac:dyDescent="0.25">
      <c r="A352" s="5">
        <v>44241</v>
      </c>
      <c r="B352">
        <v>11.242800000000001</v>
      </c>
      <c r="C352">
        <v>13.41</v>
      </c>
      <c r="D352">
        <v>10.5715</v>
      </c>
      <c r="E352">
        <v>11.8003</v>
      </c>
      <c r="F352">
        <v>5362077.68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-0.13419059362339281</v>
      </c>
      <c r="Q352">
        <f t="shared" si="970"/>
        <v>-719540.38693394489</v>
      </c>
      <c r="R352">
        <f t="shared" si="971"/>
        <v>23909010.900218152</v>
      </c>
      <c r="S352">
        <f t="shared" si="972"/>
        <v>239.09010900218152</v>
      </c>
      <c r="T352">
        <f t="shared" si="973"/>
        <v>0.23909010900218153</v>
      </c>
    </row>
    <row r="353" spans="1:20" x14ac:dyDescent="0.25">
      <c r="A353" s="5">
        <v>44240</v>
      </c>
      <c r="B353">
        <v>10.863</v>
      </c>
      <c r="C353">
        <v>11.74</v>
      </c>
      <c r="D353">
        <v>10.335699999999999</v>
      </c>
      <c r="E353">
        <v>11.2315</v>
      </c>
      <c r="F353">
        <v>2565543.88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0.2757957701345875</v>
      </c>
      <c r="Q353">
        <f t="shared" si="970"/>
        <v>707566.15019867767</v>
      </c>
      <c r="R353">
        <f t="shared" si="971"/>
        <v>24628551.287152097</v>
      </c>
      <c r="S353">
        <f t="shared" si="972"/>
        <v>246.28551287152098</v>
      </c>
      <c r="T353">
        <f t="shared" si="973"/>
        <v>0.24628551287152098</v>
      </c>
    </row>
    <row r="354" spans="1:20" x14ac:dyDescent="0.25">
      <c r="A354" s="5">
        <v>44239</v>
      </c>
      <c r="B354">
        <v>10.4596</v>
      </c>
      <c r="C354">
        <v>11.271800000000001</v>
      </c>
      <c r="D354">
        <v>9.9435000000000002</v>
      </c>
      <c r="E354">
        <v>10.850899999999999</v>
      </c>
      <c r="F354">
        <v>1949873.48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0.36625762252503014</v>
      </c>
      <c r="Q354">
        <f t="shared" si="970"/>
        <v>714156.02500940685</v>
      </c>
      <c r="R354">
        <f t="shared" si="971"/>
        <v>23920985.136953417</v>
      </c>
      <c r="S354">
        <f t="shared" si="972"/>
        <v>239.20985136953416</v>
      </c>
      <c r="T354">
        <f t="shared" si="973"/>
        <v>0.23920985136953415</v>
      </c>
    </row>
    <row r="355" spans="1:20" x14ac:dyDescent="0.25">
      <c r="A355" s="5">
        <v>44238</v>
      </c>
      <c r="B355">
        <v>9.6515000000000004</v>
      </c>
      <c r="C355">
        <v>11.2189</v>
      </c>
      <c r="D355">
        <v>9.4499999999999993</v>
      </c>
      <c r="E355">
        <v>10.4596</v>
      </c>
      <c r="F355">
        <v>3329357.88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0.14150036746000397</v>
      </c>
      <c r="Q355">
        <f t="shared" si="970"/>
        <v>471105.36342585977</v>
      </c>
      <c r="R355">
        <f t="shared" si="971"/>
        <v>23206829.111944009</v>
      </c>
      <c r="S355">
        <f t="shared" si="972"/>
        <v>232.06829111944009</v>
      </c>
      <c r="T355">
        <f t="shared" si="973"/>
        <v>0.23206829111944008</v>
      </c>
    </row>
    <row r="356" spans="1:20" x14ac:dyDescent="0.25">
      <c r="A356" s="5">
        <v>44237</v>
      </c>
      <c r="B356">
        <v>9.7878000000000007</v>
      </c>
      <c r="C356">
        <v>10.72</v>
      </c>
      <c r="D356">
        <v>8.9179999999999993</v>
      </c>
      <c r="E356">
        <v>9.6669</v>
      </c>
      <c r="F356">
        <v>5801400.54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-0.16881243063263018</v>
      </c>
      <c r="Q356">
        <f t="shared" si="970"/>
        <v>-979348.52623085328</v>
      </c>
      <c r="R356">
        <f t="shared" si="971"/>
        <v>22735723.74851815</v>
      </c>
      <c r="S356">
        <f t="shared" si="972"/>
        <v>227.35723748518151</v>
      </c>
      <c r="T356">
        <f t="shared" si="973"/>
        <v>0.22735723748518152</v>
      </c>
    </row>
    <row r="357" spans="1:20" x14ac:dyDescent="0.25">
      <c r="A357" s="5">
        <v>44236</v>
      </c>
      <c r="B357">
        <v>8.3889999999999993</v>
      </c>
      <c r="C357">
        <v>11.38</v>
      </c>
      <c r="D357">
        <v>8.2590000000000003</v>
      </c>
      <c r="E357">
        <v>9.7879000000000005</v>
      </c>
      <c r="F357">
        <v>7468791.5800000001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-2.0249919897468802E-2</v>
      </c>
      <c r="Q357">
        <f t="shared" si="970"/>
        <v>-151242.43122588945</v>
      </c>
      <c r="R357">
        <f t="shared" si="971"/>
        <v>23715072.274749003</v>
      </c>
      <c r="S357">
        <f t="shared" si="972"/>
        <v>237.15072274749002</v>
      </c>
      <c r="T357">
        <f t="shared" si="973"/>
        <v>0.23715072274749002</v>
      </c>
    </row>
    <row r="358" spans="1:20" x14ac:dyDescent="0.25">
      <c r="A358" s="5">
        <v>44235</v>
      </c>
      <c r="B358">
        <v>8.0413999999999994</v>
      </c>
      <c r="C358">
        <v>8.5538000000000007</v>
      </c>
      <c r="D358">
        <v>7.78</v>
      </c>
      <c r="E358">
        <v>8.3874999999999993</v>
      </c>
      <c r="F358">
        <v>2623777.9500000002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0.57017317136210566</v>
      </c>
      <c r="Q358">
        <f t="shared" si="970"/>
        <v>1496007.7947014645</v>
      </c>
      <c r="R358">
        <f t="shared" si="971"/>
        <v>23866314.705974892</v>
      </c>
      <c r="S358">
        <f t="shared" si="972"/>
        <v>238.66314705974892</v>
      </c>
      <c r="T358">
        <f t="shared" si="973"/>
        <v>0.23866314705974892</v>
      </c>
    </row>
    <row r="359" spans="1:20" x14ac:dyDescent="0.25">
      <c r="A359" s="5">
        <v>44234</v>
      </c>
      <c r="B359">
        <v>8.1999999999999993</v>
      </c>
      <c r="C359">
        <v>8.3999000000000006</v>
      </c>
      <c r="D359">
        <v>7.5888999999999998</v>
      </c>
      <c r="E359">
        <v>8.0508000000000006</v>
      </c>
      <c r="F359">
        <v>2232075.16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0.13908754623921182</v>
      </c>
      <c r="Q359">
        <f t="shared" si="970"/>
        <v>310453.85702589614</v>
      </c>
      <c r="R359">
        <f t="shared" si="971"/>
        <v>22370306.911273427</v>
      </c>
      <c r="S359">
        <f t="shared" si="972"/>
        <v>223.70306911273428</v>
      </c>
      <c r="T359">
        <f t="shared" si="973"/>
        <v>0.22370306911273427</v>
      </c>
    </row>
    <row r="360" spans="1:20" x14ac:dyDescent="0.25">
      <c r="A360" s="5">
        <v>44233</v>
      </c>
      <c r="B360">
        <v>8.8598999999999997</v>
      </c>
      <c r="C360">
        <v>8.9181000000000008</v>
      </c>
      <c r="D360">
        <v>7.57</v>
      </c>
      <c r="E360">
        <v>8.1913999999999998</v>
      </c>
      <c r="F360">
        <v>2906061.13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-7.8109932497590281E-2</v>
      </c>
      <c r="Q360">
        <f t="shared" si="970"/>
        <v>-226992.23869817093</v>
      </c>
      <c r="R360">
        <f t="shared" si="971"/>
        <v>22059853.054247532</v>
      </c>
      <c r="S360">
        <f t="shared" si="972"/>
        <v>220.59853054247532</v>
      </c>
      <c r="T360">
        <f t="shared" si="973"/>
        <v>0.22059853054247533</v>
      </c>
    </row>
    <row r="361" spans="1:20" x14ac:dyDescent="0.25">
      <c r="A361" s="5">
        <v>44232</v>
      </c>
      <c r="B361">
        <v>7.2443999999999997</v>
      </c>
      <c r="C361">
        <v>8.9499999999999993</v>
      </c>
      <c r="D361">
        <v>7.1749999999999998</v>
      </c>
      <c r="E361">
        <v>8.8459000000000003</v>
      </c>
      <c r="F361">
        <v>5716049.2599999998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0.88270422535211379</v>
      </c>
      <c r="Q361">
        <f t="shared" si="970"/>
        <v>5045580.8341228226</v>
      </c>
      <c r="R361">
        <f t="shared" si="971"/>
        <v>22286845.292945702</v>
      </c>
      <c r="S361">
        <f t="shared" si="972"/>
        <v>222.86845292945702</v>
      </c>
      <c r="T361">
        <f t="shared" si="973"/>
        <v>0.22286845292945703</v>
      </c>
    </row>
    <row r="362" spans="1:20" x14ac:dyDescent="0.25">
      <c r="A362" s="5">
        <v>44231</v>
      </c>
      <c r="B362">
        <v>7.2988</v>
      </c>
      <c r="C362">
        <v>7.8</v>
      </c>
      <c r="D362">
        <v>6.7028999999999996</v>
      </c>
      <c r="E362">
        <v>7.2465000000000002</v>
      </c>
      <c r="F362">
        <v>3131790.36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-9.0237899917957609E-3</v>
      </c>
      <c r="Q362">
        <f t="shared" si="970"/>
        <v>-28260.618506970441</v>
      </c>
      <c r="R362">
        <f t="shared" si="971"/>
        <v>17241264.45882288</v>
      </c>
      <c r="S362">
        <f t="shared" si="972"/>
        <v>172.4126445882288</v>
      </c>
      <c r="T362">
        <f t="shared" si="973"/>
        <v>0.1724126445882288</v>
      </c>
    </row>
    <row r="363" spans="1:20" x14ac:dyDescent="0.25">
      <c r="A363" s="5">
        <v>44230</v>
      </c>
      <c r="B363">
        <v>6.9401999999999999</v>
      </c>
      <c r="C363">
        <v>7.5716000000000001</v>
      </c>
      <c r="D363">
        <v>6.8769</v>
      </c>
      <c r="E363">
        <v>7.2972999999999999</v>
      </c>
      <c r="F363">
        <v>1871331.69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0.21030660716856148</v>
      </c>
      <c r="Q363">
        <f t="shared" si="970"/>
        <v>393553.41861091024</v>
      </c>
      <c r="R363">
        <f t="shared" si="971"/>
        <v>17269525.077329852</v>
      </c>
      <c r="S363">
        <f t="shared" si="972"/>
        <v>172.69525077329851</v>
      </c>
      <c r="T363">
        <f t="shared" si="973"/>
        <v>0.1726952507732985</v>
      </c>
    </row>
    <row r="364" spans="1:20" x14ac:dyDescent="0.25">
      <c r="A364" s="5">
        <v>44229</v>
      </c>
      <c r="B364">
        <v>7.0115999999999996</v>
      </c>
      <c r="C364">
        <v>7.1538000000000004</v>
      </c>
      <c r="D364">
        <v>6.8406000000000002</v>
      </c>
      <c r="E364">
        <v>6.9478999999999997</v>
      </c>
      <c r="F364">
        <v>912107.8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-0.31481481481481827</v>
      </c>
      <c r="Q364">
        <f t="shared" si="970"/>
        <v>-287145.04814815131</v>
      </c>
      <c r="R364">
        <f t="shared" si="971"/>
        <v>16875971.65871894</v>
      </c>
      <c r="S364">
        <f t="shared" si="972"/>
        <v>168.75971658718939</v>
      </c>
      <c r="T364">
        <f t="shared" si="973"/>
        <v>0.16875971658718938</v>
      </c>
    </row>
    <row r="365" spans="1:20" x14ac:dyDescent="0.25">
      <c r="A365" s="5">
        <v>44228</v>
      </c>
      <c r="B365">
        <v>6.5438000000000001</v>
      </c>
      <c r="C365">
        <v>7.2309999999999999</v>
      </c>
      <c r="D365">
        <v>6.39</v>
      </c>
      <c r="E365">
        <v>7.0186999999999999</v>
      </c>
      <c r="F365">
        <v>2324066.4500000002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0.49512485136742002</v>
      </c>
      <c r="Q365">
        <f t="shared" si="970"/>
        <v>1150703.0556242575</v>
      </c>
      <c r="R365">
        <f t="shared" si="971"/>
        <v>17163116.706867091</v>
      </c>
      <c r="S365">
        <f t="shared" si="972"/>
        <v>171.63116706867092</v>
      </c>
      <c r="T365">
        <f t="shared" si="973"/>
        <v>0.17163116706867093</v>
      </c>
    </row>
    <row r="366" spans="1:20" x14ac:dyDescent="0.25">
      <c r="A366" s="5">
        <v>44227</v>
      </c>
      <c r="B366">
        <v>6.7427999999999999</v>
      </c>
      <c r="C366">
        <v>7.0648999999999997</v>
      </c>
      <c r="D366">
        <v>6.4326999999999996</v>
      </c>
      <c r="E366">
        <v>6.5438000000000001</v>
      </c>
      <c r="F366">
        <v>1613816.95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-0.64852894653590509</v>
      </c>
      <c r="Q366">
        <f t="shared" si="970"/>
        <v>-1046607.0064852874</v>
      </c>
      <c r="R366">
        <f t="shared" si="971"/>
        <v>16012413.651242834</v>
      </c>
      <c r="S366">
        <f t="shared" si="972"/>
        <v>160.12413651242832</v>
      </c>
      <c r="T366">
        <f t="shared" si="973"/>
        <v>0.16012413651242832</v>
      </c>
    </row>
    <row r="367" spans="1:20" x14ac:dyDescent="0.25">
      <c r="A367" s="5">
        <v>44226</v>
      </c>
      <c r="B367">
        <v>6.5011000000000001</v>
      </c>
      <c r="C367">
        <v>6.9862000000000002</v>
      </c>
      <c r="D367">
        <v>6.23</v>
      </c>
      <c r="E367">
        <v>6.74</v>
      </c>
      <c r="F367">
        <v>1554499.62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0.34884951071145187</v>
      </c>
      <c r="Q367">
        <f t="shared" si="970"/>
        <v>542286.43183813791</v>
      </c>
      <c r="R367">
        <f t="shared" si="971"/>
        <v>17059020.657728121</v>
      </c>
      <c r="S367">
        <f t="shared" si="972"/>
        <v>170.59020657728121</v>
      </c>
      <c r="T367">
        <f t="shared" si="973"/>
        <v>0.17059020657728122</v>
      </c>
    </row>
    <row r="368" spans="1:20" x14ac:dyDescent="0.25">
      <c r="A368" s="5">
        <v>44225</v>
      </c>
      <c r="B368">
        <v>6.2874999999999996</v>
      </c>
      <c r="C368">
        <v>6.798</v>
      </c>
      <c r="D368">
        <v>6.1565000000000003</v>
      </c>
      <c r="E368">
        <v>6.5143000000000004</v>
      </c>
      <c r="F368">
        <v>1619427.14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0.11551052221356278</v>
      </c>
      <c r="Q368">
        <f t="shared" si="970"/>
        <v>187060.87462821644</v>
      </c>
      <c r="R368">
        <f t="shared" si="971"/>
        <v>16516734.225889983</v>
      </c>
      <c r="S368">
        <f t="shared" si="972"/>
        <v>165.16734225889982</v>
      </c>
      <c r="T368">
        <f t="shared" si="973"/>
        <v>0.16516734225889981</v>
      </c>
    </row>
    <row r="369" spans="1:20" x14ac:dyDescent="0.25">
      <c r="A369" s="5">
        <v>44224</v>
      </c>
      <c r="B369">
        <v>6.0269000000000004</v>
      </c>
      <c r="C369">
        <v>6.54</v>
      </c>
      <c r="D369">
        <v>5.9335000000000004</v>
      </c>
      <c r="E369">
        <v>6.2835999999999999</v>
      </c>
      <c r="F369">
        <v>1057445.51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0.15449299258037805</v>
      </c>
      <c r="Q369">
        <f t="shared" si="970"/>
        <v>163367.92133058407</v>
      </c>
      <c r="R369">
        <f t="shared" si="971"/>
        <v>16329673.351261767</v>
      </c>
      <c r="S369">
        <f t="shared" si="972"/>
        <v>163.29673351261766</v>
      </c>
      <c r="T369">
        <f t="shared" si="973"/>
        <v>0.16329673351261767</v>
      </c>
    </row>
    <row r="370" spans="1:20" x14ac:dyDescent="0.25">
      <c r="A370" s="5">
        <v>44223</v>
      </c>
      <c r="B370">
        <v>6.8288000000000002</v>
      </c>
      <c r="C370">
        <v>6.8451000000000004</v>
      </c>
      <c r="D370">
        <v>5.9500999999999999</v>
      </c>
      <c r="E370">
        <v>6.0370999999999997</v>
      </c>
      <c r="F370">
        <v>1129406.32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-0.8055865921787716</v>
      </c>
      <c r="Q370">
        <f t="shared" si="970"/>
        <v>-909834.58851396723</v>
      </c>
      <c r="R370">
        <f t="shared" si="971"/>
        <v>16166305.429931182</v>
      </c>
      <c r="S370">
        <f t="shared" si="972"/>
        <v>161.66305429931182</v>
      </c>
      <c r="T370">
        <f t="shared" si="973"/>
        <v>0.16166305429931183</v>
      </c>
    </row>
    <row r="371" spans="1:20" x14ac:dyDescent="0.25">
      <c r="A371" s="5">
        <v>44222</v>
      </c>
      <c r="B371">
        <v>6.6722000000000001</v>
      </c>
      <c r="C371">
        <v>6.9192</v>
      </c>
      <c r="D371">
        <v>6.4109999999999996</v>
      </c>
      <c r="E371">
        <v>6.8288000000000002</v>
      </c>
      <c r="F371">
        <v>1181531.54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0.64423455332546342</v>
      </c>
      <c r="Q371">
        <f t="shared" si="970"/>
        <v>761183.44391184696</v>
      </c>
      <c r="R371">
        <f t="shared" si="971"/>
        <v>17076140.018445149</v>
      </c>
      <c r="S371">
        <f t="shared" si="972"/>
        <v>170.7614001844515</v>
      </c>
      <c r="T371">
        <f t="shared" si="973"/>
        <v>0.17076140018445149</v>
      </c>
    </row>
    <row r="372" spans="1:20" x14ac:dyDescent="0.25">
      <c r="A372" s="5">
        <v>44221</v>
      </c>
      <c r="B372">
        <v>6.9927999999999999</v>
      </c>
      <c r="C372">
        <v>7.3234000000000004</v>
      </c>
      <c r="D372">
        <v>6.6520000000000001</v>
      </c>
      <c r="E372">
        <v>6.6722999999999999</v>
      </c>
      <c r="F372">
        <v>1867470.35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-0.9395293416741145</v>
      </c>
      <c r="Q372">
        <f t="shared" si="970"/>
        <v>-1754543.1885314283</v>
      </c>
      <c r="R372">
        <f t="shared" si="971"/>
        <v>16314956.574533302</v>
      </c>
      <c r="S372">
        <f t="shared" si="972"/>
        <v>163.14956574533304</v>
      </c>
      <c r="T372">
        <f t="shared" si="973"/>
        <v>0.16314956574533304</v>
      </c>
    </row>
    <row r="373" spans="1:20" x14ac:dyDescent="0.25">
      <c r="A373" s="5">
        <v>44220</v>
      </c>
      <c r="B373">
        <v>6.5887000000000002</v>
      </c>
      <c r="C373">
        <v>7.4489000000000001</v>
      </c>
      <c r="D373">
        <v>6.5221</v>
      </c>
      <c r="E373">
        <v>6.9832999999999998</v>
      </c>
      <c r="F373">
        <v>3146784.18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-4.7475183426849412E-3</v>
      </c>
      <c r="Q373">
        <f t="shared" si="970"/>
        <v>-14939.415615020793</v>
      </c>
      <c r="R373">
        <f t="shared" si="971"/>
        <v>18069499.763064731</v>
      </c>
      <c r="S373">
        <f t="shared" si="972"/>
        <v>180.69499763064732</v>
      </c>
      <c r="T373">
        <f t="shared" si="973"/>
        <v>0.18069499763064731</v>
      </c>
    </row>
    <row r="374" spans="1:20" x14ac:dyDescent="0.25">
      <c r="A374" s="5">
        <v>44219</v>
      </c>
      <c r="B374">
        <v>6.3920000000000003</v>
      </c>
      <c r="C374">
        <v>6.8879999999999999</v>
      </c>
      <c r="D374">
        <v>6.3185000000000002</v>
      </c>
      <c r="E374">
        <v>6.5922999999999998</v>
      </c>
      <c r="F374">
        <v>1649390.61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-3.8454784899035095E-2</v>
      </c>
      <c r="Q374">
        <f t="shared" si="970"/>
        <v>-63426.961122038287</v>
      </c>
      <c r="R374">
        <f t="shared" si="971"/>
        <v>18084439.178679753</v>
      </c>
      <c r="S374">
        <f t="shared" si="972"/>
        <v>180.84439178679753</v>
      </c>
      <c r="T374">
        <f t="shared" si="973"/>
        <v>0.18084439178679754</v>
      </c>
    </row>
    <row r="375" spans="1:20" x14ac:dyDescent="0.25">
      <c r="A375" s="5">
        <v>44218</v>
      </c>
      <c r="B375">
        <v>5.9760999999999997</v>
      </c>
      <c r="C375">
        <v>6.64</v>
      </c>
      <c r="D375">
        <v>5.4505999999999997</v>
      </c>
      <c r="E375">
        <v>6.4028</v>
      </c>
      <c r="F375">
        <v>1804100.88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0.60114343366403289</v>
      </c>
      <c r="Q375">
        <f t="shared" si="970"/>
        <v>1084523.3976795033</v>
      </c>
      <c r="R375">
        <f t="shared" si="971"/>
        <v>18147866.139801793</v>
      </c>
      <c r="S375">
        <f t="shared" si="972"/>
        <v>181.47866139801792</v>
      </c>
      <c r="T375">
        <f t="shared" si="973"/>
        <v>0.18147866139801791</v>
      </c>
    </row>
    <row r="376" spans="1:20" x14ac:dyDescent="0.25">
      <c r="A376" s="5">
        <v>44217</v>
      </c>
      <c r="B376">
        <v>7.2146999999999997</v>
      </c>
      <c r="C376">
        <v>7.2427999999999999</v>
      </c>
      <c r="D376">
        <v>5.9</v>
      </c>
      <c r="E376">
        <v>5.9885000000000002</v>
      </c>
      <c r="F376">
        <v>2031299.13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-0.8681858802502237</v>
      </c>
      <c r="Q376">
        <f t="shared" si="970"/>
        <v>-1763545.2232305636</v>
      </c>
      <c r="R376">
        <f t="shared" si="971"/>
        <v>17063342.742122289</v>
      </c>
      <c r="S376">
        <f t="shared" si="972"/>
        <v>170.63342742122288</v>
      </c>
      <c r="T376">
        <f t="shared" si="973"/>
        <v>0.17063342742122287</v>
      </c>
    </row>
    <row r="377" spans="1:20" x14ac:dyDescent="0.25">
      <c r="A377" s="5">
        <v>44216</v>
      </c>
      <c r="B377">
        <v>7.0747999999999998</v>
      </c>
      <c r="C377">
        <v>7.3</v>
      </c>
      <c r="D377">
        <v>6.4718</v>
      </c>
      <c r="E377">
        <v>7.2093999999999996</v>
      </c>
      <c r="F377">
        <v>2060258.55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0.7812122675682196</v>
      </c>
      <c r="Q377">
        <f t="shared" si="970"/>
        <v>1609499.2536223121</v>
      </c>
      <c r="R377">
        <f t="shared" si="971"/>
        <v>18826887.965352852</v>
      </c>
      <c r="S377">
        <f t="shared" si="972"/>
        <v>188.26887965352853</v>
      </c>
      <c r="T377">
        <f t="shared" si="973"/>
        <v>0.18826887965352854</v>
      </c>
    </row>
    <row r="378" spans="1:20" x14ac:dyDescent="0.25">
      <c r="A378" s="5">
        <v>44215</v>
      </c>
      <c r="B378">
        <v>7.8376999999999999</v>
      </c>
      <c r="C378">
        <v>7.9303999999999997</v>
      </c>
      <c r="D378">
        <v>7.07</v>
      </c>
      <c r="E378">
        <v>7.0773000000000001</v>
      </c>
      <c r="F378">
        <v>2321561.63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-0.98303114830311511</v>
      </c>
      <c r="Q378">
        <f t="shared" si="970"/>
        <v>-2282167.3949953513</v>
      </c>
      <c r="R378">
        <f t="shared" si="971"/>
        <v>17217388.71173054</v>
      </c>
      <c r="S378">
        <f t="shared" si="972"/>
        <v>172.17388711730541</v>
      </c>
      <c r="T378">
        <f t="shared" si="973"/>
        <v>0.17217388711730541</v>
      </c>
    </row>
    <row r="379" spans="1:20" x14ac:dyDescent="0.25">
      <c r="A379" s="5">
        <v>44214</v>
      </c>
      <c r="B379">
        <v>7.3780000000000001</v>
      </c>
      <c r="C379">
        <v>8.3039000000000005</v>
      </c>
      <c r="D379">
        <v>7.3002000000000002</v>
      </c>
      <c r="E379">
        <v>7.8384</v>
      </c>
      <c r="F379">
        <v>3972627.18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7.2432001594101125E-2</v>
      </c>
      <c r="Q379">
        <f t="shared" si="970"/>
        <v>287745.33823452948</v>
      </c>
      <c r="R379">
        <f t="shared" si="971"/>
        <v>19499556.10672589</v>
      </c>
      <c r="S379">
        <f t="shared" si="972"/>
        <v>194.9955610672589</v>
      </c>
      <c r="T379">
        <f t="shared" si="973"/>
        <v>0.1949955610672589</v>
      </c>
    </row>
    <row r="380" spans="1:20" x14ac:dyDescent="0.25">
      <c r="A380" s="5">
        <v>44213</v>
      </c>
      <c r="B380">
        <v>6.6315999999999997</v>
      </c>
      <c r="C380">
        <v>8.19</v>
      </c>
      <c r="D380">
        <v>6.274</v>
      </c>
      <c r="E380">
        <v>7.3768000000000002</v>
      </c>
      <c r="F380">
        <v>6267179.0499999998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0.15114822546972914</v>
      </c>
      <c r="Q380">
        <f t="shared" si="970"/>
        <v>947272.99210856284</v>
      </c>
      <c r="R380">
        <f t="shared" si="971"/>
        <v>19211810.768491361</v>
      </c>
      <c r="S380">
        <f t="shared" si="972"/>
        <v>192.11810768491361</v>
      </c>
      <c r="T380">
        <f t="shared" si="973"/>
        <v>0.19211810768491361</v>
      </c>
    </row>
    <row r="381" spans="1:20" x14ac:dyDescent="0.25">
      <c r="A381" s="5">
        <v>44212</v>
      </c>
      <c r="B381">
        <v>6.3704000000000001</v>
      </c>
      <c r="C381">
        <v>6.9478999999999997</v>
      </c>
      <c r="D381">
        <v>6.2060000000000004</v>
      </c>
      <c r="E381">
        <v>6.6315999999999997</v>
      </c>
      <c r="F381">
        <v>3044807.26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0.147324437255694</v>
      </c>
      <c r="Q381">
        <f t="shared" si="970"/>
        <v>448574.51613155153</v>
      </c>
      <c r="R381">
        <f t="shared" si="971"/>
        <v>18264537.7763828</v>
      </c>
      <c r="S381">
        <f t="shared" si="972"/>
        <v>182.64537776382801</v>
      </c>
      <c r="T381">
        <f t="shared" si="973"/>
        <v>0.182645377763828</v>
      </c>
    </row>
    <row r="382" spans="1:20" x14ac:dyDescent="0.25">
      <c r="A382" s="5">
        <v>44211</v>
      </c>
      <c r="B382">
        <v>6.4438000000000004</v>
      </c>
      <c r="C382">
        <v>6.8977000000000004</v>
      </c>
      <c r="D382">
        <v>5.85</v>
      </c>
      <c r="E382">
        <v>6.3539000000000003</v>
      </c>
      <c r="F382">
        <v>3876814.5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-3.8083420826571873E-2</v>
      </c>
      <c r="Q382">
        <f t="shared" si="970"/>
        <v>-147642.35807005584</v>
      </c>
      <c r="R382">
        <f t="shared" si="971"/>
        <v>17815963.26025125</v>
      </c>
      <c r="S382">
        <f t="shared" si="972"/>
        <v>178.15963260251249</v>
      </c>
      <c r="T382">
        <f t="shared" si="973"/>
        <v>0.1781596326025125</v>
      </c>
    </row>
    <row r="383" spans="1:20" x14ac:dyDescent="0.25">
      <c r="A383" s="5">
        <v>44210</v>
      </c>
      <c r="B383">
        <v>6.3827999999999996</v>
      </c>
      <c r="C383">
        <v>6.8979999999999997</v>
      </c>
      <c r="D383">
        <v>5.8</v>
      </c>
      <c r="E383">
        <v>6.4439000000000002</v>
      </c>
      <c r="F383">
        <v>3233900.7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0.17285974499089332</v>
      </c>
      <c r="Q383">
        <f t="shared" si="970"/>
        <v>559011.25032787141</v>
      </c>
      <c r="R383">
        <f t="shared" si="971"/>
        <v>17963605.618321307</v>
      </c>
      <c r="S383">
        <f t="shared" si="972"/>
        <v>179.63605618321307</v>
      </c>
      <c r="T383">
        <f t="shared" si="973"/>
        <v>0.17963605618321307</v>
      </c>
    </row>
    <row r="384" spans="1:20" x14ac:dyDescent="0.25">
      <c r="A384" s="5">
        <v>44209</v>
      </c>
      <c r="B384">
        <v>6.0189000000000004</v>
      </c>
      <c r="C384">
        <v>6.5217000000000001</v>
      </c>
      <c r="D384">
        <v>5.7858999999999998</v>
      </c>
      <c r="E384">
        <v>6.3811999999999998</v>
      </c>
      <c r="F384">
        <v>2161759.52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0.61810274531122522</v>
      </c>
      <c r="Q384">
        <f t="shared" si="970"/>
        <v>1336189.4940146764</v>
      </c>
      <c r="R384">
        <f t="shared" si="971"/>
        <v>17404594.367993437</v>
      </c>
      <c r="S384">
        <f t="shared" si="972"/>
        <v>174.04594367993437</v>
      </c>
      <c r="T384">
        <f t="shared" si="973"/>
        <v>0.17404594367993437</v>
      </c>
    </row>
    <row r="385" spans="1:20" x14ac:dyDescent="0.25">
      <c r="A385" s="5">
        <v>44208</v>
      </c>
      <c r="B385">
        <v>5.6093000000000002</v>
      </c>
      <c r="C385">
        <v>6.6016000000000004</v>
      </c>
      <c r="D385">
        <v>5.4078999999999997</v>
      </c>
      <c r="E385">
        <v>6.0229999999999997</v>
      </c>
      <c r="F385">
        <v>4415896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3.0577196950657026E-2</v>
      </c>
      <c r="Q385">
        <f t="shared" si="970"/>
        <v>135025.72170561855</v>
      </c>
      <c r="R385">
        <f t="shared" si="971"/>
        <v>16068404.87397876</v>
      </c>
      <c r="S385">
        <f t="shared" si="972"/>
        <v>160.68404873978761</v>
      </c>
      <c r="T385">
        <f t="shared" si="973"/>
        <v>0.16068404873978762</v>
      </c>
    </row>
    <row r="386" spans="1:20" x14ac:dyDescent="0.25">
      <c r="A386" s="5">
        <v>44207</v>
      </c>
      <c r="B386">
        <v>6.5279999999999996</v>
      </c>
      <c r="C386">
        <v>6.5446999999999997</v>
      </c>
      <c r="D386">
        <v>4.9667000000000003</v>
      </c>
      <c r="E386">
        <v>5.6184000000000003</v>
      </c>
      <c r="F386">
        <v>3973971.93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-0.17401774397972092</v>
      </c>
      <c r="Q386">
        <f t="shared" si="970"/>
        <v>-691541.62989733741</v>
      </c>
      <c r="R386">
        <f t="shared" si="971"/>
        <v>15933379.152273141</v>
      </c>
      <c r="S386">
        <f t="shared" si="972"/>
        <v>159.33379152273142</v>
      </c>
      <c r="T386">
        <f t="shared" si="973"/>
        <v>0.15933379152273142</v>
      </c>
    </row>
    <row r="387" spans="1:20" x14ac:dyDescent="0.25">
      <c r="A387" s="5">
        <v>44206</v>
      </c>
      <c r="B387">
        <v>6.1816000000000004</v>
      </c>
      <c r="C387">
        <v>6.98</v>
      </c>
      <c r="D387">
        <v>5.8699000000000003</v>
      </c>
      <c r="E387">
        <v>6.5273000000000003</v>
      </c>
      <c r="F387">
        <v>5124687.83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0.18439780199981973</v>
      </c>
      <c r="Q387">
        <f t="shared" si="970"/>
        <v>944981.17178722587</v>
      </c>
      <c r="R387">
        <f t="shared" si="971"/>
        <v>16624920.782170478</v>
      </c>
      <c r="S387">
        <f t="shared" si="972"/>
        <v>166.24920782170477</v>
      </c>
      <c r="T387">
        <f t="shared" si="973"/>
        <v>0.16624920782170477</v>
      </c>
    </row>
    <row r="388" spans="1:20" x14ac:dyDescent="0.25">
      <c r="A388" s="5">
        <v>44205</v>
      </c>
      <c r="B388">
        <v>5.6148999999999996</v>
      </c>
      <c r="C388">
        <v>6.27</v>
      </c>
      <c r="D388">
        <v>5.4137000000000004</v>
      </c>
      <c r="E388">
        <v>6.1818</v>
      </c>
      <c r="F388">
        <v>2162083.17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0.79399743080696084</v>
      </c>
      <c r="Q388">
        <f t="shared" si="970"/>
        <v>1716688.4821709695</v>
      </c>
      <c r="R388">
        <f t="shared" si="971"/>
        <v>15679939.610383252</v>
      </c>
      <c r="S388">
        <f t="shared" si="972"/>
        <v>156.79939610383252</v>
      </c>
      <c r="T388">
        <f t="shared" si="973"/>
        <v>0.15679939610383253</v>
      </c>
    </row>
    <row r="389" spans="1:20" x14ac:dyDescent="0.25">
      <c r="A389" s="5">
        <v>44204</v>
      </c>
      <c r="B389">
        <v>5.9314</v>
      </c>
      <c r="C389">
        <v>5.9859</v>
      </c>
      <c r="D389">
        <v>5.1721000000000004</v>
      </c>
      <c r="E389">
        <v>5.6108000000000002</v>
      </c>
      <c r="F389">
        <v>2656961.92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7.8151880068813129E-2</v>
      </c>
      <c r="Q389">
        <f t="shared" si="970"/>
        <v>207646.56931924346</v>
      </c>
      <c r="R389">
        <f t="shared" si="971"/>
        <v>13963251.128212282</v>
      </c>
      <c r="S389">
        <f t="shared" si="972"/>
        <v>139.63251128212283</v>
      </c>
      <c r="T389">
        <f t="shared" si="973"/>
        <v>0.13963251128212284</v>
      </c>
    </row>
    <row r="390" spans="1:20" x14ac:dyDescent="0.25">
      <c r="A390" s="5">
        <v>44203</v>
      </c>
      <c r="B390">
        <v>5.8480999999999996</v>
      </c>
      <c r="C390">
        <v>6.5777999999999999</v>
      </c>
      <c r="D390">
        <v>5.5</v>
      </c>
      <c r="E390">
        <v>5.9377000000000004</v>
      </c>
      <c r="F390">
        <v>4017826.93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-0.187789942475412</v>
      </c>
      <c r="Q390">
        <f t="shared" ref="Q390:Q453" si="975">F390*P390</f>
        <v>-754507.48806086124</v>
      </c>
      <c r="R390">
        <f t="shared" ref="R390:R453" si="976">R391+Q390</f>
        <v>13755604.55889304</v>
      </c>
      <c r="S390">
        <f t="shared" ref="S390:S453" si="977">R390/100000</f>
        <v>137.5560455889304</v>
      </c>
      <c r="T390">
        <f t="shared" ref="T390:T453" si="978">S390/1000</f>
        <v>0.13755604558893039</v>
      </c>
    </row>
    <row r="391" spans="1:20" x14ac:dyDescent="0.25">
      <c r="A391" s="5">
        <v>44202</v>
      </c>
      <c r="B391">
        <v>5.5726000000000004</v>
      </c>
      <c r="C391">
        <v>6.1349999999999998</v>
      </c>
      <c r="D391">
        <v>5.3522999999999996</v>
      </c>
      <c r="E391">
        <v>5.84</v>
      </c>
      <c r="F391">
        <v>3182507.29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0.24619905455474675</v>
      </c>
      <c r="Q391">
        <f t="shared" si="975"/>
        <v>783530.28591158928</v>
      </c>
      <c r="R391">
        <f t="shared" si="976"/>
        <v>14510112.046953902</v>
      </c>
      <c r="S391">
        <f t="shared" si="977"/>
        <v>145.10112046953901</v>
      </c>
      <c r="T391">
        <f t="shared" si="978"/>
        <v>0.14510112046953902</v>
      </c>
    </row>
    <row r="392" spans="1:20" x14ac:dyDescent="0.25">
      <c r="A392" s="5">
        <v>44201</v>
      </c>
      <c r="B392">
        <v>5.3918999999999997</v>
      </c>
      <c r="C392">
        <v>5.8415999999999997</v>
      </c>
      <c r="D392">
        <v>5.1631999999999998</v>
      </c>
      <c r="E392">
        <v>5.5768000000000004</v>
      </c>
      <c r="F392">
        <v>2797294.25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0.21933962264151149</v>
      </c>
      <c r="Q392">
        <f t="shared" si="975"/>
        <v>613557.46521226992</v>
      </c>
      <c r="R392">
        <f t="shared" si="976"/>
        <v>13726581.761042312</v>
      </c>
      <c r="S392">
        <f t="shared" si="977"/>
        <v>137.26581761042311</v>
      </c>
      <c r="T392">
        <f t="shared" si="978"/>
        <v>0.13726581761042311</v>
      </c>
    </row>
    <row r="393" spans="1:20" x14ac:dyDescent="0.25">
      <c r="A393" s="5">
        <v>44200</v>
      </c>
      <c r="B393">
        <v>5.5580999999999996</v>
      </c>
      <c r="C393">
        <v>6.15</v>
      </c>
      <c r="D393">
        <v>4.8600000000000003</v>
      </c>
      <c r="E393">
        <v>5.3943000000000003</v>
      </c>
      <c r="F393">
        <v>3110352.59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-0.17162790697674421</v>
      </c>
      <c r="Q393">
        <f t="shared" si="975"/>
        <v>-533823.30498139537</v>
      </c>
      <c r="R393">
        <f t="shared" si="976"/>
        <v>13113024.295830041</v>
      </c>
      <c r="S393">
        <f t="shared" si="977"/>
        <v>131.13024295830041</v>
      </c>
      <c r="T393">
        <f t="shared" si="978"/>
        <v>0.13113024295830042</v>
      </c>
    </row>
    <row r="394" spans="1:20" x14ac:dyDescent="0.25">
      <c r="A394" s="5">
        <v>44199</v>
      </c>
      <c r="B394">
        <v>5.5829000000000004</v>
      </c>
      <c r="C394">
        <v>6.0739000000000001</v>
      </c>
      <c r="D394">
        <v>5.0792000000000002</v>
      </c>
      <c r="E394">
        <v>5.5580999999999996</v>
      </c>
      <c r="F394">
        <v>4334320.66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-3.7096612043833362E-2</v>
      </c>
      <c r="Q394">
        <f t="shared" si="975"/>
        <v>-160788.61199759177</v>
      </c>
      <c r="R394">
        <f t="shared" si="976"/>
        <v>13646847.600811437</v>
      </c>
      <c r="S394">
        <f t="shared" si="977"/>
        <v>136.46847600811438</v>
      </c>
      <c r="T394">
        <f t="shared" si="978"/>
        <v>0.13646847600811438</v>
      </c>
    </row>
    <row r="395" spans="1:20" x14ac:dyDescent="0.25">
      <c r="A395" s="5">
        <v>44198</v>
      </c>
      <c r="B395">
        <v>5.9794999999999998</v>
      </c>
      <c r="C395">
        <v>5.9802</v>
      </c>
      <c r="D395">
        <v>5.4436</v>
      </c>
      <c r="E395">
        <v>5.5872999999999999</v>
      </c>
      <c r="F395">
        <v>2805520.85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-0.46440551621319437</v>
      </c>
      <c r="Q395">
        <f t="shared" si="975"/>
        <v>-1302899.35859113</v>
      </c>
      <c r="R395">
        <f t="shared" si="976"/>
        <v>13807636.212809028</v>
      </c>
      <c r="S395">
        <f t="shared" si="977"/>
        <v>138.07636212809027</v>
      </c>
      <c r="T395">
        <f t="shared" si="978"/>
        <v>0.13807636212809027</v>
      </c>
    </row>
    <row r="396" spans="1:20" x14ac:dyDescent="0.25">
      <c r="A396" s="5">
        <v>44197</v>
      </c>
      <c r="B396">
        <v>6.1939000000000002</v>
      </c>
      <c r="C396">
        <v>6.3616999999999999</v>
      </c>
      <c r="D396">
        <v>5.8825000000000003</v>
      </c>
      <c r="E396">
        <v>5.9794999999999998</v>
      </c>
      <c r="F396">
        <v>2057953.8</v>
      </c>
      <c r="G396">
        <v>0</v>
      </c>
      <c r="L396" t="s">
        <v>7</v>
      </c>
      <c r="M396" t="s">
        <v>7</v>
      </c>
      <c r="N396" t="s">
        <v>8</v>
      </c>
      <c r="P396">
        <f t="shared" si="974"/>
        <v>-0.5951585976627729</v>
      </c>
      <c r="Q396">
        <f t="shared" si="975"/>
        <v>-1224808.8976627747</v>
      </c>
      <c r="R396">
        <f t="shared" si="976"/>
        <v>15110535.571400158</v>
      </c>
      <c r="S396">
        <f t="shared" si="977"/>
        <v>151.10535571400158</v>
      </c>
      <c r="T396">
        <f t="shared" si="978"/>
        <v>0.15110535571400158</v>
      </c>
    </row>
    <row r="397" spans="1:20" x14ac:dyDescent="0.25">
      <c r="A397" s="5">
        <v>44196</v>
      </c>
      <c r="B397">
        <v>6.6291000000000002</v>
      </c>
      <c r="C397">
        <v>6.6359000000000004</v>
      </c>
      <c r="D397">
        <v>5.9671000000000003</v>
      </c>
      <c r="E397">
        <v>6.1939000000000002</v>
      </c>
      <c r="F397">
        <v>1235999.3999999999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-0.32177033492823004</v>
      </c>
      <c r="Q397">
        <f t="shared" si="975"/>
        <v>-397707.94090909133</v>
      </c>
      <c r="R397">
        <f t="shared" si="976"/>
        <v>16335344.469062934</v>
      </c>
      <c r="S397">
        <f t="shared" si="977"/>
        <v>163.35344469062935</v>
      </c>
      <c r="T397">
        <f t="shared" si="978"/>
        <v>0.16335344469062935</v>
      </c>
    </row>
    <row r="398" spans="1:20" x14ac:dyDescent="0.25">
      <c r="A398" s="5">
        <v>44195</v>
      </c>
      <c r="B398">
        <v>7.0225</v>
      </c>
      <c r="C398">
        <v>7.0636000000000001</v>
      </c>
      <c r="D398">
        <v>6.4664000000000001</v>
      </c>
      <c r="E398">
        <v>6.6234999999999999</v>
      </c>
      <c r="F398">
        <v>1064678.9099999999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-0.47387809778968581</v>
      </c>
      <c r="Q398">
        <f t="shared" si="975"/>
        <v>-504528.01662759605</v>
      </c>
      <c r="R398">
        <f t="shared" si="976"/>
        <v>16733052.409972025</v>
      </c>
      <c r="S398">
        <f t="shared" si="977"/>
        <v>167.33052409972026</v>
      </c>
      <c r="T398">
        <f t="shared" si="978"/>
        <v>0.16733052409972027</v>
      </c>
    </row>
    <row r="399" spans="1:20" x14ac:dyDescent="0.25">
      <c r="A399" s="5">
        <v>44194</v>
      </c>
      <c r="B399">
        <v>6.6266999999999996</v>
      </c>
      <c r="C399">
        <v>7.6039000000000003</v>
      </c>
      <c r="D399">
        <v>6.5206999999999997</v>
      </c>
      <c r="E399">
        <v>7.0125000000000002</v>
      </c>
      <c r="F399">
        <v>2333087.23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-9.1949778434268492E-2</v>
      </c>
      <c r="Q399">
        <f t="shared" si="975"/>
        <v>-214526.85386632121</v>
      </c>
      <c r="R399">
        <f t="shared" si="976"/>
        <v>17237580.426599622</v>
      </c>
      <c r="S399">
        <f t="shared" si="977"/>
        <v>172.37580426599621</v>
      </c>
      <c r="T399">
        <f t="shared" si="978"/>
        <v>0.17237580426599622</v>
      </c>
    </row>
    <row r="400" spans="1:20" x14ac:dyDescent="0.25">
      <c r="A400" s="5">
        <v>44193</v>
      </c>
      <c r="B400">
        <v>6.4074999999999998</v>
      </c>
      <c r="C400">
        <v>6.7907000000000002</v>
      </c>
      <c r="D400">
        <v>6.3162000000000003</v>
      </c>
      <c r="E400">
        <v>6.6245000000000003</v>
      </c>
      <c r="F400">
        <v>946600.43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0.29947312961011618</v>
      </c>
      <c r="Q400">
        <f t="shared" si="975"/>
        <v>283481.39326238172</v>
      </c>
      <c r="R400">
        <f t="shared" si="976"/>
        <v>17452107.280465942</v>
      </c>
      <c r="S400">
        <f t="shared" si="977"/>
        <v>174.52107280465941</v>
      </c>
      <c r="T400">
        <f t="shared" si="978"/>
        <v>0.17452107280465942</v>
      </c>
    </row>
    <row r="401" spans="1:20" x14ac:dyDescent="0.25">
      <c r="A401" s="5">
        <v>44192</v>
      </c>
      <c r="B401">
        <v>6.3419999999999996</v>
      </c>
      <c r="C401">
        <v>6.8455000000000004</v>
      </c>
      <c r="D401">
        <v>6.0000999999999998</v>
      </c>
      <c r="E401">
        <v>6.3994999999999997</v>
      </c>
      <c r="F401">
        <v>1462336.74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-5.5121835817365281E-2</v>
      </c>
      <c r="Q401">
        <f t="shared" si="975"/>
        <v>-80606.685691981183</v>
      </c>
      <c r="R401">
        <f t="shared" si="976"/>
        <v>17168625.887203559</v>
      </c>
      <c r="S401">
        <f t="shared" si="977"/>
        <v>171.68625887203558</v>
      </c>
      <c r="T401">
        <f t="shared" si="978"/>
        <v>0.17168625887203559</v>
      </c>
    </row>
    <row r="402" spans="1:20" x14ac:dyDescent="0.25">
      <c r="A402" s="5">
        <v>44191</v>
      </c>
      <c r="B402">
        <v>6.6551</v>
      </c>
      <c r="C402">
        <v>6.8339999999999996</v>
      </c>
      <c r="D402">
        <v>6.2355</v>
      </c>
      <c r="E402">
        <v>6.3428000000000004</v>
      </c>
      <c r="F402">
        <v>771149.96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-0.64143692564745036</v>
      </c>
      <c r="Q402">
        <f t="shared" si="975"/>
        <v>-494644.0595555543</v>
      </c>
      <c r="R402">
        <f t="shared" si="976"/>
        <v>17249232.572895542</v>
      </c>
      <c r="S402">
        <f t="shared" si="977"/>
        <v>172.49232572895542</v>
      </c>
      <c r="T402">
        <f t="shared" si="978"/>
        <v>0.17249232572895543</v>
      </c>
    </row>
    <row r="403" spans="1:20" x14ac:dyDescent="0.25">
      <c r="A403" s="5">
        <v>44190</v>
      </c>
      <c r="B403">
        <v>6.4923999999999999</v>
      </c>
      <c r="C403">
        <v>7.2949999999999999</v>
      </c>
      <c r="D403">
        <v>6.3844000000000003</v>
      </c>
      <c r="E403">
        <v>6.6622000000000003</v>
      </c>
      <c r="F403">
        <v>1688966.2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-0.38985284427849737</v>
      </c>
      <c r="Q403">
        <f t="shared" si="975"/>
        <v>-658448.27696024545</v>
      </c>
      <c r="R403">
        <f t="shared" si="976"/>
        <v>17743876.632451095</v>
      </c>
      <c r="S403">
        <f t="shared" si="977"/>
        <v>177.43876632451094</v>
      </c>
      <c r="T403">
        <f t="shared" si="978"/>
        <v>0.17743876632451094</v>
      </c>
    </row>
    <row r="404" spans="1:20" x14ac:dyDescent="0.25">
      <c r="A404" s="5">
        <v>44189</v>
      </c>
      <c r="B404">
        <v>5.8699000000000003</v>
      </c>
      <c r="C404">
        <v>6.7439999999999998</v>
      </c>
      <c r="D404">
        <v>5.4200999999999997</v>
      </c>
      <c r="E404">
        <v>6.4837999999999996</v>
      </c>
      <c r="F404">
        <v>2271407.79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0.60691895158244547</v>
      </c>
      <c r="Q404">
        <f t="shared" si="975"/>
        <v>1378560.4345229995</v>
      </c>
      <c r="R404">
        <f t="shared" si="976"/>
        <v>18402324.909411341</v>
      </c>
      <c r="S404">
        <f t="shared" si="977"/>
        <v>184.0232490941134</v>
      </c>
      <c r="T404">
        <f t="shared" si="978"/>
        <v>0.18402324909411338</v>
      </c>
    </row>
    <row r="405" spans="1:20" x14ac:dyDescent="0.25">
      <c r="A405" s="5">
        <v>44188</v>
      </c>
      <c r="B405">
        <v>7.1010999999999997</v>
      </c>
      <c r="C405">
        <v>7.2313999999999998</v>
      </c>
      <c r="D405">
        <v>5.415</v>
      </c>
      <c r="E405">
        <v>5.8731999999999998</v>
      </c>
      <c r="F405">
        <v>1896933.54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-0.49548557586434733</v>
      </c>
      <c r="Q405">
        <f t="shared" si="975"/>
        <v>-939903.20744329493</v>
      </c>
      <c r="R405">
        <f t="shared" si="976"/>
        <v>17023764.474888343</v>
      </c>
      <c r="S405">
        <f t="shared" si="977"/>
        <v>170.23764474888344</v>
      </c>
      <c r="T405">
        <f t="shared" si="978"/>
        <v>0.17023764474888345</v>
      </c>
    </row>
    <row r="406" spans="1:20" x14ac:dyDescent="0.25">
      <c r="A406" s="5">
        <v>44187</v>
      </c>
      <c r="B406">
        <v>6.6577000000000002</v>
      </c>
      <c r="C406">
        <v>7.6501000000000001</v>
      </c>
      <c r="D406">
        <v>6.5259999999999998</v>
      </c>
      <c r="E406">
        <v>7.0959000000000003</v>
      </c>
      <c r="F406">
        <v>2241568.91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1.3966728938707151E-2</v>
      </c>
      <c r="Q406">
        <f t="shared" si="975"/>
        <v>31307.385363403249</v>
      </c>
      <c r="R406">
        <f t="shared" si="976"/>
        <v>17963667.682331637</v>
      </c>
      <c r="S406">
        <f t="shared" si="977"/>
        <v>179.63667682331638</v>
      </c>
      <c r="T406">
        <f t="shared" si="978"/>
        <v>0.17963667682331638</v>
      </c>
    </row>
    <row r="407" spans="1:20" x14ac:dyDescent="0.25">
      <c r="A407" s="5">
        <v>44186</v>
      </c>
      <c r="B407">
        <v>7.1807999999999996</v>
      </c>
      <c r="C407">
        <v>7.3335999999999997</v>
      </c>
      <c r="D407">
        <v>6.4535</v>
      </c>
      <c r="E407">
        <v>6.6577000000000002</v>
      </c>
      <c r="F407">
        <v>1526821.34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-0.53596182252016766</v>
      </c>
      <c r="Q407">
        <f t="shared" si="975"/>
        <v>-818317.94804908463</v>
      </c>
      <c r="R407">
        <f t="shared" si="976"/>
        <v>17932360.296968233</v>
      </c>
      <c r="S407">
        <f t="shared" si="977"/>
        <v>179.32360296968233</v>
      </c>
      <c r="T407">
        <f t="shared" si="978"/>
        <v>0.17932360296968233</v>
      </c>
    </row>
    <row r="408" spans="1:20" x14ac:dyDescent="0.25">
      <c r="A408" s="5">
        <v>44185</v>
      </c>
      <c r="B408">
        <v>7.66</v>
      </c>
      <c r="C408">
        <v>7.76</v>
      </c>
      <c r="D408">
        <v>7.0426000000000002</v>
      </c>
      <c r="E408">
        <v>7.1741000000000001</v>
      </c>
      <c r="F408">
        <v>1103890.18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-0.63339838304990237</v>
      </c>
      <c r="Q408">
        <f t="shared" si="975"/>
        <v>-699202.25507666566</v>
      </c>
      <c r="R408">
        <f t="shared" si="976"/>
        <v>18750678.245017316</v>
      </c>
      <c r="S408">
        <f t="shared" si="977"/>
        <v>187.50678245017315</v>
      </c>
      <c r="T408">
        <f t="shared" si="978"/>
        <v>0.18750678245017316</v>
      </c>
    </row>
    <row r="409" spans="1:20" x14ac:dyDescent="0.25">
      <c r="A409" s="5">
        <v>44184</v>
      </c>
      <c r="B409">
        <v>7.8250999999999999</v>
      </c>
      <c r="C409">
        <v>8</v>
      </c>
      <c r="D409">
        <v>7.6105</v>
      </c>
      <c r="E409">
        <v>7.6656000000000004</v>
      </c>
      <c r="F409">
        <v>851659.92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-0.7170731707317054</v>
      </c>
      <c r="Q409">
        <f t="shared" si="975"/>
        <v>-610702.47921951057</v>
      </c>
      <c r="R409">
        <f t="shared" si="976"/>
        <v>19449880.500093982</v>
      </c>
      <c r="S409">
        <f t="shared" si="977"/>
        <v>194.49880500093983</v>
      </c>
      <c r="T409">
        <f t="shared" si="978"/>
        <v>0.19449880500093983</v>
      </c>
    </row>
    <row r="410" spans="1:20" x14ac:dyDescent="0.25">
      <c r="A410" s="5">
        <v>44183</v>
      </c>
      <c r="B410">
        <v>7.9268000000000001</v>
      </c>
      <c r="C410">
        <v>8.2249999999999996</v>
      </c>
      <c r="D410">
        <v>7.5121000000000002</v>
      </c>
      <c r="E410">
        <v>7.8285999999999998</v>
      </c>
      <c r="F410">
        <v>1229834.3600000001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-0.11207743021461687</v>
      </c>
      <c r="Q410">
        <f t="shared" si="975"/>
        <v>-137836.67465843802</v>
      </c>
      <c r="R410">
        <f t="shared" si="976"/>
        <v>20060582.979313493</v>
      </c>
      <c r="S410">
        <f t="shared" si="977"/>
        <v>200.60582979313492</v>
      </c>
      <c r="T410">
        <f t="shared" si="978"/>
        <v>0.2006058297931349</v>
      </c>
    </row>
    <row r="411" spans="1:20" x14ac:dyDescent="0.25">
      <c r="A411" s="5">
        <v>44182</v>
      </c>
      <c r="B411">
        <v>8.3431999999999995</v>
      </c>
      <c r="C411">
        <v>8.58</v>
      </c>
      <c r="D411">
        <v>7.7937000000000003</v>
      </c>
      <c r="E411">
        <v>7.93</v>
      </c>
      <c r="F411">
        <v>1700896.01</v>
      </c>
      <c r="G411">
        <v>0</v>
      </c>
      <c r="L411" t="s">
        <v>7</v>
      </c>
      <c r="M411" t="s">
        <v>8</v>
      </c>
      <c r="N411" t="s">
        <v>8</v>
      </c>
      <c r="P411">
        <f t="shared" si="974"/>
        <v>-0.65331298486582867</v>
      </c>
      <c r="Q411">
        <f t="shared" si="975"/>
        <v>-1111217.4492394784</v>
      </c>
      <c r="R411">
        <f t="shared" si="976"/>
        <v>20198419.653971929</v>
      </c>
      <c r="S411">
        <f t="shared" si="977"/>
        <v>201.98419653971928</v>
      </c>
      <c r="T411">
        <f t="shared" si="978"/>
        <v>0.20198419653971927</v>
      </c>
    </row>
    <row r="412" spans="1:20" x14ac:dyDescent="0.25">
      <c r="A412" s="5">
        <v>44181</v>
      </c>
      <c r="B412">
        <v>8.1083999999999996</v>
      </c>
      <c r="C412">
        <v>8.5555000000000003</v>
      </c>
      <c r="D412">
        <v>7.9344000000000001</v>
      </c>
      <c r="E412">
        <v>8.3437000000000001</v>
      </c>
      <c r="F412">
        <v>1187888.6200000001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0.31798422154242428</v>
      </c>
      <c r="Q412">
        <f t="shared" si="975"/>
        <v>377729.83810980467</v>
      </c>
      <c r="R412">
        <f t="shared" si="976"/>
        <v>21309637.103211407</v>
      </c>
      <c r="S412">
        <f t="shared" si="977"/>
        <v>213.09637103211406</v>
      </c>
      <c r="T412">
        <f t="shared" si="978"/>
        <v>0.21309637103211407</v>
      </c>
    </row>
    <row r="413" spans="1:20" x14ac:dyDescent="0.25">
      <c r="A413" s="5">
        <v>44180</v>
      </c>
      <c r="B413">
        <v>8.6234999999999999</v>
      </c>
      <c r="C413">
        <v>8.6669</v>
      </c>
      <c r="D413">
        <v>8.0500000000000007</v>
      </c>
      <c r="E413">
        <v>8.1173999999999999</v>
      </c>
      <c r="F413">
        <v>1044837.29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-0.78148808558923877</v>
      </c>
      <c r="Q413">
        <f t="shared" si="975"/>
        <v>-816527.89351434831</v>
      </c>
      <c r="R413">
        <f t="shared" si="976"/>
        <v>20931907.2651016</v>
      </c>
      <c r="S413">
        <f t="shared" si="977"/>
        <v>209.319072651016</v>
      </c>
      <c r="T413">
        <f t="shared" si="978"/>
        <v>0.20931907265101601</v>
      </c>
    </row>
    <row r="414" spans="1:20" x14ac:dyDescent="0.25">
      <c r="A414" s="5">
        <v>44179</v>
      </c>
      <c r="B414">
        <v>8.6407000000000007</v>
      </c>
      <c r="C414">
        <v>8.85</v>
      </c>
      <c r="D414">
        <v>8.3263999999999996</v>
      </c>
      <c r="E414">
        <v>8.6191999999999993</v>
      </c>
      <c r="F414">
        <v>1268638.8899999999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0.11841100076394076</v>
      </c>
      <c r="Q414">
        <f t="shared" si="975"/>
        <v>150220.80057295493</v>
      </c>
      <c r="R414">
        <f t="shared" si="976"/>
        <v>21748435.15861595</v>
      </c>
      <c r="S414">
        <f t="shared" si="977"/>
        <v>217.48435158615951</v>
      </c>
      <c r="T414">
        <f t="shared" si="978"/>
        <v>0.2174843515861595</v>
      </c>
    </row>
    <row r="415" spans="1:20" x14ac:dyDescent="0.25">
      <c r="A415" s="5">
        <v>44178</v>
      </c>
      <c r="B415">
        <v>8.4711999999999996</v>
      </c>
      <c r="C415">
        <v>8.9498999999999995</v>
      </c>
      <c r="D415">
        <v>8.2524999999999995</v>
      </c>
      <c r="E415">
        <v>8.6418999999999997</v>
      </c>
      <c r="F415">
        <v>1427114.28</v>
      </c>
      <c r="G415">
        <v>0</v>
      </c>
      <c r="L415" t="s">
        <v>7</v>
      </c>
      <c r="M415" t="s">
        <v>8</v>
      </c>
      <c r="N415" t="s">
        <v>8</v>
      </c>
      <c r="P415">
        <f t="shared" si="974"/>
        <v>0.11671924290220871</v>
      </c>
      <c r="Q415">
        <f t="shared" si="975"/>
        <v>166571.6982965307</v>
      </c>
      <c r="R415">
        <f t="shared" si="976"/>
        <v>21598214.358042996</v>
      </c>
      <c r="S415">
        <f t="shared" si="977"/>
        <v>215.98214358042998</v>
      </c>
      <c r="T415">
        <f t="shared" si="978"/>
        <v>0.21598214358042997</v>
      </c>
    </row>
    <row r="416" spans="1:20" x14ac:dyDescent="0.25">
      <c r="A416" s="5">
        <v>44177</v>
      </c>
      <c r="B416">
        <v>8.1217000000000006</v>
      </c>
      <c r="C416">
        <v>8.8412000000000006</v>
      </c>
      <c r="D416">
        <v>8.1194000000000006</v>
      </c>
      <c r="E416">
        <v>8.4687999999999999</v>
      </c>
      <c r="F416">
        <v>2016297.96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-3.1864782488225912E-2</v>
      </c>
      <c r="Q416">
        <f t="shared" si="975"/>
        <v>-64248.895926853627</v>
      </c>
      <c r="R416">
        <f t="shared" si="976"/>
        <v>21431642.659746464</v>
      </c>
      <c r="S416">
        <f t="shared" si="977"/>
        <v>214.31642659746464</v>
      </c>
      <c r="T416">
        <f t="shared" si="978"/>
        <v>0.21431642659746464</v>
      </c>
    </row>
    <row r="417" spans="1:20" x14ac:dyDescent="0.25">
      <c r="A417" s="5">
        <v>44176</v>
      </c>
      <c r="B417">
        <v>8.1245999999999992</v>
      </c>
      <c r="C417">
        <v>8.4110999999999994</v>
      </c>
      <c r="D417">
        <v>7.6645000000000003</v>
      </c>
      <c r="E417">
        <v>8.1206999999999994</v>
      </c>
      <c r="F417">
        <v>1701419.31</v>
      </c>
      <c r="G417">
        <v>0</v>
      </c>
      <c r="L417" t="s">
        <v>7</v>
      </c>
      <c r="M417" t="s">
        <v>8</v>
      </c>
      <c r="N417" t="s">
        <v>8</v>
      </c>
      <c r="P417">
        <f t="shared" si="974"/>
        <v>0.2220733994106607</v>
      </c>
      <c r="Q417">
        <f t="shared" si="975"/>
        <v>377839.96999464073</v>
      </c>
      <c r="R417">
        <f t="shared" si="976"/>
        <v>21495891.555673316</v>
      </c>
      <c r="S417">
        <f t="shared" si="977"/>
        <v>214.95891555673316</v>
      </c>
      <c r="T417">
        <f t="shared" si="978"/>
        <v>0.21495891555673316</v>
      </c>
    </row>
    <row r="418" spans="1:20" x14ac:dyDescent="0.25">
      <c r="A418" s="5">
        <v>44175</v>
      </c>
      <c r="B418">
        <v>8.5469000000000008</v>
      </c>
      <c r="C418">
        <v>8.7111999999999998</v>
      </c>
      <c r="D418">
        <v>7.8224999999999998</v>
      </c>
      <c r="E418">
        <v>8.1159999999999997</v>
      </c>
      <c r="F418">
        <v>1734792.1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-0.33948464048610361</v>
      </c>
      <c r="Q418">
        <f t="shared" si="975"/>
        <v>-588935.27238663274</v>
      </c>
      <c r="R418">
        <f t="shared" si="976"/>
        <v>21118051.585678674</v>
      </c>
      <c r="S418">
        <f t="shared" si="977"/>
        <v>211.18051585678674</v>
      </c>
      <c r="T418">
        <f t="shared" si="978"/>
        <v>0.21118051585678674</v>
      </c>
    </row>
    <row r="419" spans="1:20" x14ac:dyDescent="0.25">
      <c r="A419" s="5">
        <v>44174</v>
      </c>
      <c r="B419">
        <v>7.7957000000000001</v>
      </c>
      <c r="C419">
        <v>8.9326000000000008</v>
      </c>
      <c r="D419">
        <v>7.2295999999999996</v>
      </c>
      <c r="E419">
        <v>8.5542999999999996</v>
      </c>
      <c r="F419">
        <v>3219140.29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0.55572519083969352</v>
      </c>
      <c r="Q419">
        <f t="shared" si="975"/>
        <v>1788957.3519999965</v>
      </c>
      <c r="R419">
        <f t="shared" si="976"/>
        <v>21706986.858065307</v>
      </c>
      <c r="S419">
        <f t="shared" si="977"/>
        <v>217.06986858065306</v>
      </c>
      <c r="T419">
        <f t="shared" si="978"/>
        <v>0.21706986858065305</v>
      </c>
    </row>
    <row r="420" spans="1:20" x14ac:dyDescent="0.25">
      <c r="A420" s="5">
        <v>44173</v>
      </c>
      <c r="B420">
        <v>8.9440000000000008</v>
      </c>
      <c r="C420">
        <v>9.1999999999999993</v>
      </c>
      <c r="D420">
        <v>7.65</v>
      </c>
      <c r="E420">
        <v>7.7944000000000004</v>
      </c>
      <c r="F420">
        <v>2424673.4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-0.8136774193548385</v>
      </c>
      <c r="Q420">
        <f t="shared" si="975"/>
        <v>-1972901.994890322</v>
      </c>
      <c r="R420">
        <f t="shared" si="976"/>
        <v>19918029.506065309</v>
      </c>
      <c r="S420">
        <f t="shared" si="977"/>
        <v>199.18029506065309</v>
      </c>
      <c r="T420">
        <f t="shared" si="978"/>
        <v>0.1991802950606531</v>
      </c>
    </row>
    <row r="421" spans="1:20" x14ac:dyDescent="0.25">
      <c r="A421" s="5">
        <v>44172</v>
      </c>
      <c r="B421">
        <v>8.4331999999999994</v>
      </c>
      <c r="C421">
        <v>9.32</v>
      </c>
      <c r="D421">
        <v>8.1388999999999996</v>
      </c>
      <c r="E421">
        <v>8.9461999999999993</v>
      </c>
      <c r="F421">
        <v>3225603.31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0.36703073406146675</v>
      </c>
      <c r="Q421">
        <f t="shared" si="975"/>
        <v>1183895.5506603969</v>
      </c>
      <c r="R421">
        <f t="shared" si="976"/>
        <v>21890931.50095563</v>
      </c>
      <c r="S421">
        <f t="shared" si="977"/>
        <v>218.90931500955631</v>
      </c>
      <c r="T421">
        <f t="shared" si="978"/>
        <v>0.21890931500955632</v>
      </c>
    </row>
    <row r="422" spans="1:20" x14ac:dyDescent="0.25">
      <c r="A422" s="5">
        <v>44171</v>
      </c>
      <c r="B422">
        <v>8.1386000000000003</v>
      </c>
      <c r="C422">
        <v>8.6890000000000001</v>
      </c>
      <c r="D422">
        <v>7.8620000000000001</v>
      </c>
      <c r="E422">
        <v>8.4330999999999996</v>
      </c>
      <c r="F422">
        <v>2396873.88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0.38113663845223583</v>
      </c>
      <c r="Q422">
        <f t="shared" si="975"/>
        <v>913536.45341716765</v>
      </c>
      <c r="R422">
        <f t="shared" si="976"/>
        <v>20707035.950295232</v>
      </c>
      <c r="S422">
        <f t="shared" si="977"/>
        <v>207.07035950295233</v>
      </c>
      <c r="T422">
        <f t="shared" si="978"/>
        <v>0.20707035950295233</v>
      </c>
    </row>
    <row r="423" spans="1:20" x14ac:dyDescent="0.25">
      <c r="A423" s="5">
        <v>44170</v>
      </c>
      <c r="B423">
        <v>7.2270000000000003</v>
      </c>
      <c r="C423">
        <v>8.4255999999999993</v>
      </c>
      <c r="D423">
        <v>7.1597</v>
      </c>
      <c r="E423">
        <v>8.1288999999999998</v>
      </c>
      <c r="F423">
        <v>2356255.5099999998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0.53124259420175424</v>
      </c>
      <c r="Q423">
        <f t="shared" si="975"/>
        <v>1251743.2897345773</v>
      </c>
      <c r="R423">
        <f t="shared" si="976"/>
        <v>19793499.496878065</v>
      </c>
      <c r="S423">
        <f t="shared" si="977"/>
        <v>197.93499496878064</v>
      </c>
      <c r="T423">
        <f t="shared" si="978"/>
        <v>0.19793499496878064</v>
      </c>
    </row>
    <row r="424" spans="1:20" x14ac:dyDescent="0.25">
      <c r="A424" s="5">
        <v>44169</v>
      </c>
      <c r="B424">
        <v>7.3856999999999999</v>
      </c>
      <c r="C424">
        <v>7.8777999999999997</v>
      </c>
      <c r="D424">
        <v>7.07</v>
      </c>
      <c r="E424">
        <v>7.2270000000000003</v>
      </c>
      <c r="F424">
        <v>2580780.54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-0.61128992324832843</v>
      </c>
      <c r="Q424">
        <f t="shared" si="975"/>
        <v>-1577605.1382173796</v>
      </c>
      <c r="R424">
        <f t="shared" si="976"/>
        <v>18541756.207143489</v>
      </c>
      <c r="S424">
        <f t="shared" si="977"/>
        <v>185.4175620714349</v>
      </c>
      <c r="T424">
        <f t="shared" si="978"/>
        <v>0.18541756207143489</v>
      </c>
    </row>
    <row r="425" spans="1:20" x14ac:dyDescent="0.25">
      <c r="A425" s="5">
        <v>44168</v>
      </c>
      <c r="B425">
        <v>7.0430000000000001</v>
      </c>
      <c r="C425">
        <v>7.4984000000000002</v>
      </c>
      <c r="D425">
        <v>6.8569000000000004</v>
      </c>
      <c r="E425">
        <v>7.3856999999999999</v>
      </c>
      <c r="F425">
        <v>1486851.82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0.64863600935307786</v>
      </c>
      <c r="Q425">
        <f t="shared" si="975"/>
        <v>964425.63102416089</v>
      </c>
      <c r="R425">
        <f t="shared" si="976"/>
        <v>20119361.345360868</v>
      </c>
      <c r="S425">
        <f t="shared" si="977"/>
        <v>201.19361345360866</v>
      </c>
      <c r="T425">
        <f t="shared" si="978"/>
        <v>0.20119361345360867</v>
      </c>
    </row>
    <row r="426" spans="1:20" x14ac:dyDescent="0.25">
      <c r="A426" s="5">
        <v>44167</v>
      </c>
      <c r="B426">
        <v>6.8201000000000001</v>
      </c>
      <c r="C426">
        <v>7.5579000000000001</v>
      </c>
      <c r="D426">
        <v>6.6280000000000001</v>
      </c>
      <c r="E426">
        <v>7.0492999999999997</v>
      </c>
      <c r="F426">
        <v>1790763.59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-9.3881062479837435E-2</v>
      </c>
      <c r="Q426">
        <f t="shared" si="975"/>
        <v>-168118.78847940799</v>
      </c>
      <c r="R426">
        <f t="shared" si="976"/>
        <v>19154935.714336708</v>
      </c>
      <c r="S426">
        <f t="shared" si="977"/>
        <v>191.54935714336708</v>
      </c>
      <c r="T426">
        <f t="shared" si="978"/>
        <v>0.19154935714336707</v>
      </c>
    </row>
    <row r="427" spans="1:20" x14ac:dyDescent="0.25">
      <c r="A427" s="5">
        <v>44166</v>
      </c>
      <c r="B427">
        <v>7.0834000000000001</v>
      </c>
      <c r="C427">
        <v>7.1016000000000004</v>
      </c>
      <c r="D427">
        <v>6.2</v>
      </c>
      <c r="E427">
        <v>6.8201000000000001</v>
      </c>
      <c r="F427">
        <v>2243481.7999999998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0.37555456965394796</v>
      </c>
      <c r="Q427">
        <f t="shared" si="975"/>
        <v>842549.84192546445</v>
      </c>
      <c r="R427">
        <f t="shared" si="976"/>
        <v>19323054.502816115</v>
      </c>
      <c r="S427">
        <f t="shared" si="977"/>
        <v>193.23054502816115</v>
      </c>
      <c r="T427">
        <f t="shared" si="978"/>
        <v>0.19323054502816114</v>
      </c>
    </row>
    <row r="428" spans="1:20" x14ac:dyDescent="0.25">
      <c r="A428" s="5">
        <v>44165</v>
      </c>
      <c r="B428">
        <v>7.0366999999999997</v>
      </c>
      <c r="C428">
        <v>7.2952000000000004</v>
      </c>
      <c r="D428">
        <v>6.8623000000000003</v>
      </c>
      <c r="E428">
        <v>7.0841000000000003</v>
      </c>
      <c r="F428">
        <v>1526054.05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2.4717024717024555E-2</v>
      </c>
      <c r="Q428">
        <f t="shared" si="975"/>
        <v>37719.515673365429</v>
      </c>
      <c r="R428">
        <f t="shared" si="976"/>
        <v>18480504.66089065</v>
      </c>
      <c r="S428">
        <f t="shared" si="977"/>
        <v>184.80504660890651</v>
      </c>
      <c r="T428">
        <f t="shared" si="978"/>
        <v>0.18480504660890651</v>
      </c>
    </row>
    <row r="429" spans="1:20" x14ac:dyDescent="0.25">
      <c r="A429" s="5">
        <v>44164</v>
      </c>
      <c r="B429">
        <v>6.5907</v>
      </c>
      <c r="C429">
        <v>7.3287000000000004</v>
      </c>
      <c r="D429">
        <v>6.4127999999999998</v>
      </c>
      <c r="E429">
        <v>7.0331000000000001</v>
      </c>
      <c r="F429">
        <v>2361660.14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0.35451468500928024</v>
      </c>
      <c r="Q429">
        <f t="shared" si="975"/>
        <v>837243.20063107274</v>
      </c>
      <c r="R429">
        <f t="shared" si="976"/>
        <v>18442785.145217285</v>
      </c>
      <c r="S429">
        <f t="shared" si="977"/>
        <v>184.42785145217286</v>
      </c>
      <c r="T429">
        <f t="shared" si="978"/>
        <v>0.18442785145217286</v>
      </c>
    </row>
    <row r="430" spans="1:20" x14ac:dyDescent="0.25">
      <c r="A430" s="5">
        <v>44163</v>
      </c>
      <c r="B430">
        <v>6.4519000000000002</v>
      </c>
      <c r="C430">
        <v>6.8498999999999999</v>
      </c>
      <c r="D430">
        <v>6.2721999999999998</v>
      </c>
      <c r="E430">
        <v>6.5972999999999997</v>
      </c>
      <c r="F430">
        <v>1718893.92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0.1254976631469617</v>
      </c>
      <c r="Q430">
        <f t="shared" si="975"/>
        <v>215717.17015752054</v>
      </c>
      <c r="R430">
        <f t="shared" si="976"/>
        <v>17605541.94458621</v>
      </c>
      <c r="S430">
        <f t="shared" si="977"/>
        <v>176.0554194458621</v>
      </c>
      <c r="T430">
        <f t="shared" si="978"/>
        <v>0.17605541944586209</v>
      </c>
    </row>
    <row r="431" spans="1:20" x14ac:dyDescent="0.25">
      <c r="A431" s="5">
        <v>44162</v>
      </c>
      <c r="B431">
        <v>6.0529000000000002</v>
      </c>
      <c r="C431">
        <v>6.9</v>
      </c>
      <c r="D431">
        <v>6.0016999999999996</v>
      </c>
      <c r="E431">
        <v>6.4518000000000004</v>
      </c>
      <c r="F431">
        <v>2702646.47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2.1151063119235216E-3</v>
      </c>
      <c r="Q431">
        <f t="shared" si="975"/>
        <v>5716.384607594825</v>
      </c>
      <c r="R431">
        <f t="shared" si="976"/>
        <v>17389824.774428688</v>
      </c>
      <c r="S431">
        <f t="shared" si="977"/>
        <v>173.89824774428689</v>
      </c>
      <c r="T431">
        <f t="shared" si="978"/>
        <v>0.17389824774428689</v>
      </c>
    </row>
    <row r="432" spans="1:20" x14ac:dyDescent="0.25">
      <c r="A432" s="5">
        <v>44161</v>
      </c>
      <c r="B432">
        <v>6.6822999999999997</v>
      </c>
      <c r="C432">
        <v>6.79</v>
      </c>
      <c r="D432">
        <v>5.5590000000000002</v>
      </c>
      <c r="E432">
        <v>6.0606</v>
      </c>
      <c r="F432">
        <v>4141174.39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-0.18505280259951279</v>
      </c>
      <c r="Q432">
        <f t="shared" si="975"/>
        <v>-766335.92692282784</v>
      </c>
      <c r="R432">
        <f t="shared" si="976"/>
        <v>17384108.389821094</v>
      </c>
      <c r="S432">
        <f t="shared" si="977"/>
        <v>173.84108389821094</v>
      </c>
      <c r="T432">
        <f t="shared" si="978"/>
        <v>0.17384108389821093</v>
      </c>
    </row>
    <row r="433" spans="1:20" x14ac:dyDescent="0.25">
      <c r="A433" s="5">
        <v>44160</v>
      </c>
      <c r="B433">
        <v>7.5430999999999999</v>
      </c>
      <c r="C433">
        <v>7.6999000000000004</v>
      </c>
      <c r="D433">
        <v>6</v>
      </c>
      <c r="E433">
        <v>6.7032999999999996</v>
      </c>
      <c r="F433">
        <v>3197964.19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-0.17253956115065661</v>
      </c>
      <c r="Q433">
        <f t="shared" si="975"/>
        <v>-551775.33791811496</v>
      </c>
      <c r="R433">
        <f t="shared" si="976"/>
        <v>18150444.316743921</v>
      </c>
      <c r="S433">
        <f t="shared" si="977"/>
        <v>181.50444316743921</v>
      </c>
      <c r="T433">
        <f t="shared" si="978"/>
        <v>0.18150444316743922</v>
      </c>
    </row>
    <row r="434" spans="1:20" x14ac:dyDescent="0.25">
      <c r="A434" s="5">
        <v>44159</v>
      </c>
      <c r="B434">
        <v>7.8926999999999996</v>
      </c>
      <c r="C434">
        <v>8.2156000000000002</v>
      </c>
      <c r="D434">
        <v>7.3</v>
      </c>
      <c r="E434">
        <v>7.5488</v>
      </c>
      <c r="F434">
        <v>3157080.54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-0.45653123634775006</v>
      </c>
      <c r="Q434">
        <f t="shared" si="975"/>
        <v>-1441305.8821756225</v>
      </c>
      <c r="R434">
        <f t="shared" si="976"/>
        <v>18702219.654662035</v>
      </c>
      <c r="S434">
        <f t="shared" si="977"/>
        <v>187.02219654662036</v>
      </c>
      <c r="T434">
        <f t="shared" si="978"/>
        <v>0.18702219654662036</v>
      </c>
    </row>
    <row r="435" spans="1:20" x14ac:dyDescent="0.25">
      <c r="A435" s="5">
        <v>44158</v>
      </c>
      <c r="B435">
        <v>7.0590000000000002</v>
      </c>
      <c r="C435">
        <v>8.73</v>
      </c>
      <c r="D435">
        <v>7.0590000000000002</v>
      </c>
      <c r="E435">
        <v>7.9207000000000001</v>
      </c>
      <c r="F435">
        <v>5566797.9800000004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3.13584679832433E-2</v>
      </c>
      <c r="Q435">
        <f t="shared" si="975"/>
        <v>174566.25622501349</v>
      </c>
      <c r="R435">
        <f t="shared" si="976"/>
        <v>20143525.536837656</v>
      </c>
      <c r="S435">
        <f t="shared" si="977"/>
        <v>201.43525536837657</v>
      </c>
      <c r="T435">
        <f t="shared" si="978"/>
        <v>0.20143525536837659</v>
      </c>
    </row>
    <row r="436" spans="1:20" x14ac:dyDescent="0.25">
      <c r="A436" s="5">
        <v>44157</v>
      </c>
      <c r="B436">
        <v>6.2234999999999996</v>
      </c>
      <c r="C436">
        <v>7.7549999999999999</v>
      </c>
      <c r="D436">
        <v>5.7458999999999998</v>
      </c>
      <c r="E436">
        <v>7.0696000000000003</v>
      </c>
      <c r="F436">
        <v>7923040.0199999996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0.31770444477626847</v>
      </c>
      <c r="Q436">
        <f t="shared" si="975"/>
        <v>2517185.030494255</v>
      </c>
      <c r="R436">
        <f t="shared" si="976"/>
        <v>19968959.280612644</v>
      </c>
      <c r="S436">
        <f t="shared" si="977"/>
        <v>199.68959280612643</v>
      </c>
      <c r="T436">
        <f t="shared" si="978"/>
        <v>0.19968959280612641</v>
      </c>
    </row>
    <row r="437" spans="1:20" x14ac:dyDescent="0.25">
      <c r="A437" s="5">
        <v>44156</v>
      </c>
      <c r="B437">
        <v>6.7667000000000002</v>
      </c>
      <c r="C437">
        <v>6.9028</v>
      </c>
      <c r="D437">
        <v>6.0286</v>
      </c>
      <c r="E437">
        <v>6.2111000000000001</v>
      </c>
      <c r="F437">
        <v>3420752.27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-0.5824754060855637</v>
      </c>
      <c r="Q437">
        <f t="shared" si="975"/>
        <v>-1992504.0675863638</v>
      </c>
      <c r="R437">
        <f t="shared" si="976"/>
        <v>17451774.25011839</v>
      </c>
      <c r="S437">
        <f t="shared" si="977"/>
        <v>174.5177425011839</v>
      </c>
      <c r="T437">
        <f t="shared" si="978"/>
        <v>0.1745177425011839</v>
      </c>
    </row>
    <row r="438" spans="1:20" x14ac:dyDescent="0.25">
      <c r="A438" s="5">
        <v>44155</v>
      </c>
      <c r="B438">
        <v>5.8353000000000002</v>
      </c>
      <c r="C438">
        <v>7.1664000000000003</v>
      </c>
      <c r="D438">
        <v>5.6875</v>
      </c>
      <c r="E438">
        <v>6.7652999999999999</v>
      </c>
      <c r="F438">
        <v>6730966.3799999999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0.4575698154033398</v>
      </c>
      <c r="Q438">
        <f t="shared" si="975"/>
        <v>3079887.0439826865</v>
      </c>
      <c r="R438">
        <f t="shared" si="976"/>
        <v>19444278.317704752</v>
      </c>
      <c r="S438">
        <f t="shared" si="977"/>
        <v>194.44278317704752</v>
      </c>
      <c r="T438">
        <f t="shared" si="978"/>
        <v>0.19444278317704752</v>
      </c>
    </row>
    <row r="439" spans="1:20" x14ac:dyDescent="0.25">
      <c r="A439" s="5">
        <v>44154</v>
      </c>
      <c r="B439">
        <v>5.1725000000000003</v>
      </c>
      <c r="C439">
        <v>5.9816000000000003</v>
      </c>
      <c r="D439">
        <v>5.0308999999999999</v>
      </c>
      <c r="E439">
        <v>5.8456000000000001</v>
      </c>
      <c r="F439">
        <v>3803701.32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0.7138950247186282</v>
      </c>
      <c r="Q439">
        <f t="shared" si="975"/>
        <v>2715443.4478636784</v>
      </c>
      <c r="R439">
        <f t="shared" si="976"/>
        <v>16364391.273722067</v>
      </c>
      <c r="S439">
        <f t="shared" si="977"/>
        <v>163.64391273722069</v>
      </c>
      <c r="T439">
        <f t="shared" si="978"/>
        <v>0.16364391273722068</v>
      </c>
    </row>
    <row r="440" spans="1:20" x14ac:dyDescent="0.25">
      <c r="A440" s="5">
        <v>44153</v>
      </c>
      <c r="B440">
        <v>4.9219999999999997</v>
      </c>
      <c r="C440">
        <v>5.3380000000000001</v>
      </c>
      <c r="D440">
        <v>4.58</v>
      </c>
      <c r="E440">
        <v>5.1727999999999996</v>
      </c>
      <c r="F440">
        <v>3229390.65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0.56411609498680615</v>
      </c>
      <c r="Q440">
        <f t="shared" si="975"/>
        <v>1821751.2426649036</v>
      </c>
      <c r="R440">
        <f t="shared" si="976"/>
        <v>13648947.82585839</v>
      </c>
      <c r="S440">
        <f t="shared" si="977"/>
        <v>136.48947825858389</v>
      </c>
      <c r="T440">
        <f t="shared" si="978"/>
        <v>0.13648947825858387</v>
      </c>
    </row>
    <row r="441" spans="1:20" x14ac:dyDescent="0.25">
      <c r="A441" s="5">
        <v>44152</v>
      </c>
      <c r="B441">
        <v>4.9029999999999996</v>
      </c>
      <c r="C441">
        <v>5.0467000000000004</v>
      </c>
      <c r="D441">
        <v>4.71</v>
      </c>
      <c r="E441">
        <v>4.9242999999999997</v>
      </c>
      <c r="F441">
        <v>1565188.56</v>
      </c>
      <c r="G441">
        <v>0</v>
      </c>
      <c r="L441" t="s">
        <v>7</v>
      </c>
      <c r="M441" t="s">
        <v>8</v>
      </c>
      <c r="N441" t="s">
        <v>8</v>
      </c>
      <c r="P441">
        <f t="shared" si="974"/>
        <v>0.27294327294326959</v>
      </c>
      <c r="Q441">
        <f t="shared" si="975"/>
        <v>427207.68833976309</v>
      </c>
      <c r="R441">
        <f t="shared" si="976"/>
        <v>11827196.583193487</v>
      </c>
      <c r="S441">
        <f t="shared" si="977"/>
        <v>118.27196583193486</v>
      </c>
      <c r="T441">
        <f t="shared" si="978"/>
        <v>0.11827196583193486</v>
      </c>
    </row>
    <row r="442" spans="1:20" x14ac:dyDescent="0.25">
      <c r="A442" s="5">
        <v>44151</v>
      </c>
      <c r="B442">
        <v>4.3653000000000004</v>
      </c>
      <c r="C442">
        <v>5.3209</v>
      </c>
      <c r="D442">
        <v>4.34</v>
      </c>
      <c r="E442">
        <v>4.9028999999999998</v>
      </c>
      <c r="F442">
        <v>4377464.53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0.14772148027321827</v>
      </c>
      <c r="Q442">
        <f t="shared" si="975"/>
        <v>646645.54021510773</v>
      </c>
      <c r="R442">
        <f t="shared" si="976"/>
        <v>11399988.894853724</v>
      </c>
      <c r="S442">
        <f t="shared" si="977"/>
        <v>113.99988894853725</v>
      </c>
      <c r="T442">
        <f t="shared" si="978"/>
        <v>0.11399988894853724</v>
      </c>
    </row>
    <row r="443" spans="1:20" x14ac:dyDescent="0.25">
      <c r="A443" s="5">
        <v>44150</v>
      </c>
      <c r="B443">
        <v>4.2958999999999996</v>
      </c>
      <c r="C443">
        <v>4.4332000000000003</v>
      </c>
      <c r="D443">
        <v>4.1965000000000003</v>
      </c>
      <c r="E443">
        <v>4.3653000000000004</v>
      </c>
      <c r="F443">
        <v>1588106.38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0.42627798901563263</v>
      </c>
      <c r="Q443">
        <f t="shared" si="975"/>
        <v>676974.79400929611</v>
      </c>
      <c r="R443">
        <f t="shared" si="976"/>
        <v>10753343.354638616</v>
      </c>
      <c r="S443">
        <f t="shared" si="977"/>
        <v>107.53343354638615</v>
      </c>
      <c r="T443">
        <f t="shared" si="978"/>
        <v>0.10753343354638614</v>
      </c>
    </row>
    <row r="444" spans="1:20" x14ac:dyDescent="0.25">
      <c r="A444" s="5">
        <v>44149</v>
      </c>
      <c r="B444">
        <v>4.0921000000000003</v>
      </c>
      <c r="C444">
        <v>4.4848999999999997</v>
      </c>
      <c r="D444">
        <v>4.0705999999999998</v>
      </c>
      <c r="E444">
        <v>4.2901999999999996</v>
      </c>
      <c r="F444">
        <v>2718173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6.0101375814626372E-2</v>
      </c>
      <c r="Q444">
        <f t="shared" si="975"/>
        <v>163365.93700217042</v>
      </c>
      <c r="R444">
        <f t="shared" si="976"/>
        <v>10076368.560629319</v>
      </c>
      <c r="S444">
        <f t="shared" si="977"/>
        <v>100.76368560629319</v>
      </c>
      <c r="T444">
        <f t="shared" si="978"/>
        <v>0.10076368560629319</v>
      </c>
    </row>
    <row r="445" spans="1:20" x14ac:dyDescent="0.25">
      <c r="A445" s="5">
        <v>44148</v>
      </c>
      <c r="B445">
        <v>3.8902999999999999</v>
      </c>
      <c r="C445">
        <v>4.1387999999999998</v>
      </c>
      <c r="D445">
        <v>3.8824000000000001</v>
      </c>
      <c r="E445">
        <v>4.0975000000000001</v>
      </c>
      <c r="F445">
        <v>1872991.41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0.67784711388455765</v>
      </c>
      <c r="Q445">
        <f t="shared" si="975"/>
        <v>1269601.8215990681</v>
      </c>
      <c r="R445">
        <f t="shared" si="976"/>
        <v>9913002.6236271486</v>
      </c>
      <c r="S445">
        <f t="shared" si="977"/>
        <v>99.13002623627149</v>
      </c>
      <c r="T445">
        <f t="shared" si="978"/>
        <v>9.9130026236271485E-2</v>
      </c>
    </row>
    <row r="446" spans="1:20" x14ac:dyDescent="0.25">
      <c r="A446" s="5">
        <v>44147</v>
      </c>
      <c r="B446">
        <v>3.7509999999999999</v>
      </c>
      <c r="C446">
        <v>3.9636</v>
      </c>
      <c r="D446">
        <v>3.6755</v>
      </c>
      <c r="E446">
        <v>3.891</v>
      </c>
      <c r="F446">
        <v>1821493.11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0.49600833044081921</v>
      </c>
      <c r="Q446">
        <f t="shared" si="975"/>
        <v>903475.75640055549</v>
      </c>
      <c r="R446">
        <f t="shared" si="976"/>
        <v>8643400.8020280804</v>
      </c>
      <c r="S446">
        <f t="shared" si="977"/>
        <v>86.4340080202808</v>
      </c>
      <c r="T446">
        <f t="shared" si="978"/>
        <v>8.6434008020280798E-2</v>
      </c>
    </row>
    <row r="447" spans="1:20" x14ac:dyDescent="0.25">
      <c r="A447" s="5">
        <v>44146</v>
      </c>
      <c r="B447">
        <v>3.827</v>
      </c>
      <c r="C447">
        <v>3.8462000000000001</v>
      </c>
      <c r="D447">
        <v>3.7081</v>
      </c>
      <c r="E447">
        <v>3.7467000000000001</v>
      </c>
      <c r="F447">
        <v>1201513.7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-0.44098479362780363</v>
      </c>
      <c r="Q447">
        <f t="shared" si="975"/>
        <v>-529849.27103547868</v>
      </c>
      <c r="R447">
        <f t="shared" si="976"/>
        <v>7739925.0456275241</v>
      </c>
      <c r="S447">
        <f t="shared" si="977"/>
        <v>77.39925045627524</v>
      </c>
      <c r="T447">
        <f t="shared" si="978"/>
        <v>7.7399250456275243E-2</v>
      </c>
    </row>
    <row r="448" spans="1:20" x14ac:dyDescent="0.25">
      <c r="A448" s="5">
        <v>44145</v>
      </c>
      <c r="B448">
        <v>3.7997000000000001</v>
      </c>
      <c r="C448">
        <v>3.95</v>
      </c>
      <c r="D448">
        <v>3.7031999999999998</v>
      </c>
      <c r="E448">
        <v>3.8268</v>
      </c>
      <c r="F448">
        <v>1558275.87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1.6207455429495762E-3</v>
      </c>
      <c r="Q448">
        <f t="shared" si="975"/>
        <v>2525.5686709883735</v>
      </c>
      <c r="R448">
        <f t="shared" si="976"/>
        <v>8269774.3166630026</v>
      </c>
      <c r="S448">
        <f t="shared" si="977"/>
        <v>82.697743166630019</v>
      </c>
      <c r="T448">
        <f t="shared" si="978"/>
        <v>8.2697743166630019E-2</v>
      </c>
    </row>
    <row r="449" spans="1:20" x14ac:dyDescent="0.25">
      <c r="A449" s="5">
        <v>44144</v>
      </c>
      <c r="B449">
        <v>3.5198999999999998</v>
      </c>
      <c r="C449">
        <v>3.988</v>
      </c>
      <c r="D449">
        <v>3.4186999999999999</v>
      </c>
      <c r="E449">
        <v>3.7976000000000001</v>
      </c>
      <c r="F449">
        <v>2504051.2200000002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0.33110837871069787</v>
      </c>
      <c r="Q449">
        <f t="shared" si="975"/>
        <v>829112.33966274513</v>
      </c>
      <c r="R449">
        <f t="shared" si="976"/>
        <v>8267248.7479920145</v>
      </c>
      <c r="S449">
        <f t="shared" si="977"/>
        <v>82.67248747992015</v>
      </c>
      <c r="T449">
        <f t="shared" si="978"/>
        <v>8.2672487479920148E-2</v>
      </c>
    </row>
    <row r="450" spans="1:20" x14ac:dyDescent="0.25">
      <c r="A450" s="5">
        <v>44143</v>
      </c>
      <c r="B450">
        <v>3.4380000000000002</v>
      </c>
      <c r="C450">
        <v>3.54</v>
      </c>
      <c r="D450">
        <v>3.4258999999999999</v>
      </c>
      <c r="E450">
        <v>3.5186000000000002</v>
      </c>
      <c r="F450">
        <v>1254911.77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0.62489044697633922</v>
      </c>
      <c r="Q450">
        <f t="shared" si="975"/>
        <v>784182.37687116896</v>
      </c>
      <c r="R450">
        <f t="shared" si="976"/>
        <v>7438136.4083292689</v>
      </c>
      <c r="S450">
        <f t="shared" si="977"/>
        <v>74.381364083292695</v>
      </c>
      <c r="T450">
        <f t="shared" si="978"/>
        <v>7.4381364083292698E-2</v>
      </c>
    </row>
    <row r="451" spans="1:20" x14ac:dyDescent="0.25">
      <c r="A451" s="5">
        <v>44142</v>
      </c>
      <c r="B451">
        <v>3.5661</v>
      </c>
      <c r="C451">
        <v>3.75</v>
      </c>
      <c r="D451">
        <v>3.3687999999999998</v>
      </c>
      <c r="E451">
        <v>3.4434</v>
      </c>
      <c r="F451">
        <v>2608122.84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-0.60860440713536101</v>
      </c>
      <c r="Q451">
        <f t="shared" si="975"/>
        <v>-1587315.054774394</v>
      </c>
      <c r="R451">
        <f t="shared" si="976"/>
        <v>6653954.0314581003</v>
      </c>
      <c r="S451">
        <f t="shared" si="977"/>
        <v>66.539540314581004</v>
      </c>
      <c r="T451">
        <f t="shared" si="978"/>
        <v>6.6539540314581008E-2</v>
      </c>
    </row>
    <row r="452" spans="1:20" x14ac:dyDescent="0.25">
      <c r="A452" s="5">
        <v>44141</v>
      </c>
      <c r="B452">
        <v>3.4277000000000002</v>
      </c>
      <c r="C452">
        <v>3.65</v>
      </c>
      <c r="D452">
        <v>3.3877000000000002</v>
      </c>
      <c r="E452">
        <v>3.5691000000000002</v>
      </c>
      <c r="F452">
        <v>2316162.7599999998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0.38314906595501469</v>
      </c>
      <c r="Q452">
        <f t="shared" si="975"/>
        <v>887435.59809378872</v>
      </c>
      <c r="R452">
        <f t="shared" si="976"/>
        <v>8241269.0862324946</v>
      </c>
      <c r="S452">
        <f t="shared" si="977"/>
        <v>82.412690862324951</v>
      </c>
      <c r="T452">
        <f t="shared" si="978"/>
        <v>8.2412690862324944E-2</v>
      </c>
    </row>
    <row r="453" spans="1:20" x14ac:dyDescent="0.25">
      <c r="A453" s="5">
        <v>44140</v>
      </c>
      <c r="B453">
        <v>3.198</v>
      </c>
      <c r="C453">
        <v>3.47</v>
      </c>
      <c r="D453">
        <v>3.1916000000000002</v>
      </c>
      <c r="E453">
        <v>3.4277000000000002</v>
      </c>
      <c r="F453">
        <v>1720516.87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0.69612068965517238</v>
      </c>
      <c r="Q453">
        <f t="shared" si="975"/>
        <v>1197687.3901077586</v>
      </c>
      <c r="R453">
        <f t="shared" si="976"/>
        <v>7353833.4881387055</v>
      </c>
      <c r="S453">
        <f t="shared" si="977"/>
        <v>73.538334881387058</v>
      </c>
      <c r="T453">
        <f t="shared" si="978"/>
        <v>7.3538334881387057E-2</v>
      </c>
    </row>
    <row r="454" spans="1:20" x14ac:dyDescent="0.25">
      <c r="A454" s="5">
        <v>44139</v>
      </c>
      <c r="B454">
        <v>3.1469999999999998</v>
      </c>
      <c r="C454">
        <v>3.2160000000000002</v>
      </c>
      <c r="D454">
        <v>3.085</v>
      </c>
      <c r="E454">
        <v>3.1985999999999999</v>
      </c>
      <c r="F454">
        <v>672167.07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0.73435114503816379</v>
      </c>
      <c r="Q454">
        <f t="shared" ref="Q454:Q517" si="980">F454*P454</f>
        <v>493606.65751144756</v>
      </c>
      <c r="R454">
        <f t="shared" ref="R454:R517" si="981">R455+Q454</f>
        <v>6156146.0980309471</v>
      </c>
      <c r="S454">
        <f t="shared" ref="S454:S517" si="982">R454/100000</f>
        <v>61.561460980309469</v>
      </c>
      <c r="T454">
        <f t="shared" ref="T454:T517" si="983">S454/1000</f>
        <v>6.1561460980309471E-2</v>
      </c>
    </row>
    <row r="455" spans="1:20" x14ac:dyDescent="0.25">
      <c r="A455" s="5">
        <v>44138</v>
      </c>
      <c r="B455">
        <v>3.1111</v>
      </c>
      <c r="C455">
        <v>3.1688999999999998</v>
      </c>
      <c r="D455">
        <v>3.0417000000000001</v>
      </c>
      <c r="E455">
        <v>3.1476999999999999</v>
      </c>
      <c r="F455">
        <v>742496.48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0.66666666666666785</v>
      </c>
      <c r="Q455">
        <f t="shared" si="980"/>
        <v>494997.65333333419</v>
      </c>
      <c r="R455">
        <f t="shared" si="981"/>
        <v>5662539.4405194996</v>
      </c>
      <c r="S455">
        <f t="shared" si="982"/>
        <v>56.625394405194996</v>
      </c>
      <c r="T455">
        <f t="shared" si="983"/>
        <v>5.6625394405194998E-2</v>
      </c>
    </row>
    <row r="456" spans="1:20" x14ac:dyDescent="0.25">
      <c r="A456" s="5">
        <v>44137</v>
      </c>
      <c r="B456">
        <v>3.2269000000000001</v>
      </c>
      <c r="C456">
        <v>3.2785000000000002</v>
      </c>
      <c r="D456">
        <v>3.0931000000000002</v>
      </c>
      <c r="E456">
        <v>3.1145</v>
      </c>
      <c r="F456">
        <v>873400.14</v>
      </c>
      <c r="G456">
        <v>0</v>
      </c>
      <c r="L456" t="s">
        <v>7</v>
      </c>
      <c r="M456" t="s">
        <v>7</v>
      </c>
      <c r="N456" t="s">
        <v>8</v>
      </c>
      <c r="P456">
        <f t="shared" si="979"/>
        <v>-0.76914778856526578</v>
      </c>
      <c r="Q456">
        <f t="shared" si="980"/>
        <v>-671773.78621359356</v>
      </c>
      <c r="R456">
        <f t="shared" si="981"/>
        <v>5167541.7871861653</v>
      </c>
      <c r="S456">
        <f t="shared" si="982"/>
        <v>51.675417871861654</v>
      </c>
      <c r="T456">
        <f t="shared" si="983"/>
        <v>5.1675417871861654E-2</v>
      </c>
    </row>
    <row r="457" spans="1:20" x14ac:dyDescent="0.25">
      <c r="A457" s="5">
        <v>44136</v>
      </c>
      <c r="B457">
        <v>3.2328999999999999</v>
      </c>
      <c r="C457">
        <v>3.2467999999999999</v>
      </c>
      <c r="D457">
        <v>3.18</v>
      </c>
      <c r="E457">
        <v>3.2231000000000001</v>
      </c>
      <c r="F457">
        <v>582990.56999999995</v>
      </c>
      <c r="G457">
        <v>0</v>
      </c>
      <c r="L457" t="s">
        <v>7</v>
      </c>
      <c r="M457" t="s">
        <v>7</v>
      </c>
      <c r="N457" t="s">
        <v>8</v>
      </c>
      <c r="P457">
        <f t="shared" si="979"/>
        <v>0.29041916167664905</v>
      </c>
      <c r="Q457">
        <f t="shared" si="980"/>
        <v>169311.63260479178</v>
      </c>
      <c r="R457">
        <f t="shared" si="981"/>
        <v>5839315.5733997589</v>
      </c>
      <c r="S457">
        <f t="shared" si="982"/>
        <v>58.393155733997588</v>
      </c>
      <c r="T457">
        <f t="shared" si="983"/>
        <v>5.8393155733997587E-2</v>
      </c>
    </row>
    <row r="458" spans="1:20" x14ac:dyDescent="0.25">
      <c r="A458" s="5">
        <v>44135</v>
      </c>
      <c r="B458">
        <v>3.2077</v>
      </c>
      <c r="C458">
        <v>3.319</v>
      </c>
      <c r="D458">
        <v>3.1888000000000001</v>
      </c>
      <c r="E458">
        <v>3.2328999999999999</v>
      </c>
      <c r="F458">
        <v>758672.74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-0.32258064516129265</v>
      </c>
      <c r="Q458">
        <f t="shared" si="980"/>
        <v>-244733.14193548562</v>
      </c>
      <c r="R458">
        <f t="shared" si="981"/>
        <v>5670003.9407949671</v>
      </c>
      <c r="S458">
        <f t="shared" si="982"/>
        <v>56.700039407949674</v>
      </c>
      <c r="T458">
        <f t="shared" si="983"/>
        <v>5.6700039407949675E-2</v>
      </c>
    </row>
    <row r="459" spans="1:20" x14ac:dyDescent="0.25">
      <c r="A459" s="5">
        <v>44134</v>
      </c>
      <c r="B459">
        <v>3.0232000000000001</v>
      </c>
      <c r="C459">
        <v>3.5</v>
      </c>
      <c r="D459">
        <v>2.9538000000000002</v>
      </c>
      <c r="E459">
        <v>3.2101000000000002</v>
      </c>
      <c r="F459">
        <v>3624124.96</v>
      </c>
      <c r="G459">
        <v>0</v>
      </c>
      <c r="L459" t="s">
        <v>8</v>
      </c>
      <c r="M459" t="s">
        <v>7</v>
      </c>
      <c r="N459" t="s">
        <v>8</v>
      </c>
      <c r="P459">
        <f t="shared" si="979"/>
        <v>-6.1515928231416814E-2</v>
      </c>
      <c r="Q459">
        <f t="shared" si="980"/>
        <v>-222941.41094104634</v>
      </c>
      <c r="R459">
        <f t="shared" si="981"/>
        <v>5914737.0827304525</v>
      </c>
      <c r="S459">
        <f t="shared" si="982"/>
        <v>59.147370827304528</v>
      </c>
      <c r="T459">
        <f t="shared" si="983"/>
        <v>5.9147370827304528E-2</v>
      </c>
    </row>
    <row r="460" spans="1:20" x14ac:dyDescent="0.25">
      <c r="A460" s="5">
        <v>44133</v>
      </c>
      <c r="B460">
        <v>3.0503999999999998</v>
      </c>
      <c r="C460">
        <v>3.1307</v>
      </c>
      <c r="D460">
        <v>2.9384000000000001</v>
      </c>
      <c r="E460">
        <v>3.0232000000000001</v>
      </c>
      <c r="F460">
        <v>1197433.3999999999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-0.11804472178887131</v>
      </c>
      <c r="Q460">
        <f t="shared" si="980"/>
        <v>-141350.69256370224</v>
      </c>
      <c r="R460">
        <f t="shared" si="981"/>
        <v>6137678.4936714992</v>
      </c>
      <c r="S460">
        <f t="shared" si="982"/>
        <v>61.376784936714991</v>
      </c>
      <c r="T460">
        <f t="shared" si="983"/>
        <v>6.1376784936714994E-2</v>
      </c>
    </row>
    <row r="461" spans="1:20" x14ac:dyDescent="0.25">
      <c r="A461" s="5">
        <v>44132</v>
      </c>
      <c r="B461">
        <v>3.1528</v>
      </c>
      <c r="C461">
        <v>3.1871</v>
      </c>
      <c r="D461">
        <v>2.9588999999999999</v>
      </c>
      <c r="E461">
        <v>3.0503999999999998</v>
      </c>
      <c r="F461">
        <v>794221.64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-0.19807186678352462</v>
      </c>
      <c r="Q461">
        <f t="shared" si="980"/>
        <v>-157312.96287467246</v>
      </c>
      <c r="R461">
        <f t="shared" si="981"/>
        <v>6279029.1862352015</v>
      </c>
      <c r="S461">
        <f t="shared" si="982"/>
        <v>62.790291862352014</v>
      </c>
      <c r="T461">
        <f t="shared" si="983"/>
        <v>6.2790291862352007E-2</v>
      </c>
    </row>
    <row r="462" spans="1:20" x14ac:dyDescent="0.25">
      <c r="A462" s="5">
        <v>44131</v>
      </c>
      <c r="B462">
        <v>3.1697000000000002</v>
      </c>
      <c r="C462">
        <v>3.2378999999999998</v>
      </c>
      <c r="D462">
        <v>3.0811000000000002</v>
      </c>
      <c r="E462">
        <v>3.1568999999999998</v>
      </c>
      <c r="F462">
        <v>825713.29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-3.3163265306124547E-2</v>
      </c>
      <c r="Q462">
        <f t="shared" si="980"/>
        <v>-27383.348903062957</v>
      </c>
      <c r="R462">
        <f t="shared" si="981"/>
        <v>6436342.1491098739</v>
      </c>
      <c r="S462">
        <f t="shared" si="982"/>
        <v>64.363421491098734</v>
      </c>
      <c r="T462">
        <f t="shared" si="983"/>
        <v>6.4363421491098735E-2</v>
      </c>
    </row>
    <row r="463" spans="1:20" x14ac:dyDescent="0.25">
      <c r="A463" s="5">
        <v>44130</v>
      </c>
      <c r="B463">
        <v>3.2782</v>
      </c>
      <c r="C463">
        <v>3.3041999999999998</v>
      </c>
      <c r="D463">
        <v>3.0638999999999998</v>
      </c>
      <c r="E463">
        <v>3.1694</v>
      </c>
      <c r="F463">
        <v>1413687.09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-0.12193091968372728</v>
      </c>
      <c r="Q463">
        <f t="shared" si="980"/>
        <v>-172372.16702871214</v>
      </c>
      <c r="R463">
        <f t="shared" si="981"/>
        <v>6463725.4980129367</v>
      </c>
      <c r="S463">
        <f t="shared" si="982"/>
        <v>64.63725498012937</v>
      </c>
      <c r="T463">
        <f t="shared" si="983"/>
        <v>6.4637254980129372E-2</v>
      </c>
    </row>
    <row r="464" spans="1:20" x14ac:dyDescent="0.25">
      <c r="A464" s="5">
        <v>44129</v>
      </c>
      <c r="B464">
        <v>3.4378000000000002</v>
      </c>
      <c r="C464">
        <v>3.4885999999999999</v>
      </c>
      <c r="D464">
        <v>3.2688999999999999</v>
      </c>
      <c r="E464">
        <v>3.2784</v>
      </c>
      <c r="F464">
        <v>1663754.2</v>
      </c>
      <c r="G464">
        <v>0</v>
      </c>
      <c r="L464" t="s">
        <v>7</v>
      </c>
      <c r="M464" t="s">
        <v>8</v>
      </c>
      <c r="N464" t="s">
        <v>8</v>
      </c>
      <c r="P464">
        <f t="shared" si="979"/>
        <v>-0.91351843422849277</v>
      </c>
      <c r="Q464">
        <f t="shared" si="980"/>
        <v>-1519870.1317250784</v>
      </c>
      <c r="R464">
        <f t="shared" si="981"/>
        <v>6636097.6650416488</v>
      </c>
      <c r="S464">
        <f t="shared" si="982"/>
        <v>66.36097665041649</v>
      </c>
      <c r="T464">
        <f t="shared" si="983"/>
        <v>6.6360976650416487E-2</v>
      </c>
    </row>
    <row r="465" spans="1:20" x14ac:dyDescent="0.25">
      <c r="A465" s="5">
        <v>44128</v>
      </c>
      <c r="B465">
        <v>3.3708999999999998</v>
      </c>
      <c r="C465">
        <v>3.4759000000000002</v>
      </c>
      <c r="D465">
        <v>3.3271999999999999</v>
      </c>
      <c r="E465">
        <v>3.4382000000000001</v>
      </c>
      <c r="F465">
        <v>1575962.76</v>
      </c>
      <c r="G465">
        <v>0</v>
      </c>
      <c r="L465" t="s">
        <v>7</v>
      </c>
      <c r="M465" t="s">
        <v>8</v>
      </c>
      <c r="N465" t="s">
        <v>8</v>
      </c>
      <c r="P465">
        <f t="shared" si="979"/>
        <v>0.49293880295897785</v>
      </c>
      <c r="Q465">
        <f t="shared" si="980"/>
        <v>776853.19642232696</v>
      </c>
      <c r="R465">
        <f t="shared" si="981"/>
        <v>8155967.7967667272</v>
      </c>
      <c r="S465">
        <f t="shared" si="982"/>
        <v>81.55967796766727</v>
      </c>
      <c r="T465">
        <f t="shared" si="983"/>
        <v>8.1559677967667263E-2</v>
      </c>
    </row>
    <row r="466" spans="1:20" x14ac:dyDescent="0.25">
      <c r="A466" s="5">
        <v>44127</v>
      </c>
      <c r="B466">
        <v>3.2444000000000002</v>
      </c>
      <c r="C466">
        <v>3.5998000000000001</v>
      </c>
      <c r="D466">
        <v>3.1661999999999999</v>
      </c>
      <c r="E466">
        <v>3.3708999999999998</v>
      </c>
      <c r="F466">
        <v>4024237.1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-5.5811808118082173E-2</v>
      </c>
      <c r="Q466">
        <f t="shared" si="980"/>
        <v>-224599.94884686748</v>
      </c>
      <c r="R466">
        <f t="shared" si="981"/>
        <v>7379114.6003443999</v>
      </c>
      <c r="S466">
        <f t="shared" si="982"/>
        <v>73.791146003443998</v>
      </c>
      <c r="T466">
        <f t="shared" si="983"/>
        <v>7.3791146003443997E-2</v>
      </c>
    </row>
    <row r="467" spans="1:20" x14ac:dyDescent="0.25">
      <c r="A467" s="5">
        <v>44126</v>
      </c>
      <c r="B467">
        <v>3.1141999999999999</v>
      </c>
      <c r="C467">
        <v>3.3</v>
      </c>
      <c r="D467">
        <v>3.0667</v>
      </c>
      <c r="E467">
        <v>3.2437999999999998</v>
      </c>
      <c r="F467">
        <v>3218745.2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0.51821688812687472</v>
      </c>
      <c r="Q467">
        <f t="shared" si="980"/>
        <v>1668008.1212173151</v>
      </c>
      <c r="R467">
        <f t="shared" si="981"/>
        <v>7603714.5491912672</v>
      </c>
      <c r="S467">
        <f t="shared" si="982"/>
        <v>76.037145491912668</v>
      </c>
      <c r="T467">
        <f t="shared" si="983"/>
        <v>7.6037145491912664E-2</v>
      </c>
    </row>
    <row r="468" spans="1:20" x14ac:dyDescent="0.25">
      <c r="A468" s="5">
        <v>44125</v>
      </c>
      <c r="B468">
        <v>2.8704999999999998</v>
      </c>
      <c r="C468">
        <v>3.14</v>
      </c>
      <c r="D468">
        <v>2.8567</v>
      </c>
      <c r="E468">
        <v>3.1111</v>
      </c>
      <c r="F468">
        <v>3211332.81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0.79597599717613743</v>
      </c>
      <c r="Q468">
        <f t="shared" si="980"/>
        <v>2556143.8357041976</v>
      </c>
      <c r="R468">
        <f t="shared" si="981"/>
        <v>5935706.4279739521</v>
      </c>
      <c r="S468">
        <f t="shared" si="982"/>
        <v>59.357064279739518</v>
      </c>
      <c r="T468">
        <f t="shared" si="983"/>
        <v>5.9357064279739517E-2</v>
      </c>
    </row>
    <row r="469" spans="1:20" x14ac:dyDescent="0.25">
      <c r="A469" s="5">
        <v>44124</v>
      </c>
      <c r="B469">
        <v>2.9342000000000001</v>
      </c>
      <c r="C469">
        <v>2.9384999999999999</v>
      </c>
      <c r="D469">
        <v>2.8170999999999999</v>
      </c>
      <c r="E469">
        <v>2.8677999999999999</v>
      </c>
      <c r="F469">
        <v>1560820.46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-0.16474464579901174</v>
      </c>
      <c r="Q469">
        <f t="shared" si="980"/>
        <v>-257136.81383855056</v>
      </c>
      <c r="R469">
        <f t="shared" si="981"/>
        <v>3379562.592269754</v>
      </c>
      <c r="S469">
        <f t="shared" si="982"/>
        <v>33.795625922697539</v>
      </c>
      <c r="T469">
        <f t="shared" si="983"/>
        <v>3.3795625922697539E-2</v>
      </c>
    </row>
    <row r="470" spans="1:20" x14ac:dyDescent="0.25">
      <c r="A470" s="5">
        <v>44123</v>
      </c>
      <c r="B470">
        <v>3.0600999999999998</v>
      </c>
      <c r="C470">
        <v>3.0790999999999999</v>
      </c>
      <c r="D470">
        <v>2.9081000000000001</v>
      </c>
      <c r="E470">
        <v>2.9373</v>
      </c>
      <c r="F470">
        <v>1225964.8899999999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-0.65847953216374355</v>
      </c>
      <c r="Q470">
        <f t="shared" si="980"/>
        <v>-807272.78721637523</v>
      </c>
      <c r="R470">
        <f t="shared" si="981"/>
        <v>3636699.4061083044</v>
      </c>
      <c r="S470">
        <f t="shared" si="982"/>
        <v>36.366994061083041</v>
      </c>
      <c r="T470">
        <f t="shared" si="983"/>
        <v>3.6366994061083041E-2</v>
      </c>
    </row>
    <row r="471" spans="1:20" x14ac:dyDescent="0.25">
      <c r="A471" s="5">
        <v>44122</v>
      </c>
      <c r="B471">
        <v>3.1854</v>
      </c>
      <c r="C471">
        <v>3.2848000000000002</v>
      </c>
      <c r="D471">
        <v>3.0308000000000002</v>
      </c>
      <c r="E471">
        <v>3.0567000000000002</v>
      </c>
      <c r="F471">
        <v>1822647.64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-0.79606299212598397</v>
      </c>
      <c r="Q471">
        <f t="shared" si="980"/>
        <v>-1450942.3338897631</v>
      </c>
      <c r="R471">
        <f t="shared" si="981"/>
        <v>4443972.1933246795</v>
      </c>
      <c r="S471">
        <f t="shared" si="982"/>
        <v>44.439721933246794</v>
      </c>
      <c r="T471">
        <f t="shared" si="983"/>
        <v>4.4439721933246794E-2</v>
      </c>
    </row>
    <row r="472" spans="1:20" x14ac:dyDescent="0.25">
      <c r="A472" s="5">
        <v>44121</v>
      </c>
      <c r="B472">
        <v>2.9533</v>
      </c>
      <c r="C472">
        <v>3.3988999999999998</v>
      </c>
      <c r="D472">
        <v>2.8711000000000002</v>
      </c>
      <c r="E472">
        <v>3.1854</v>
      </c>
      <c r="F472">
        <v>4779117.49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0.19098143236074286</v>
      </c>
      <c r="Q472">
        <f t="shared" si="980"/>
        <v>912722.70366047823</v>
      </c>
      <c r="R472">
        <f t="shared" si="981"/>
        <v>5894914.5272144424</v>
      </c>
      <c r="S472">
        <f t="shared" si="982"/>
        <v>58.94914527214442</v>
      </c>
      <c r="T472">
        <f t="shared" si="983"/>
        <v>5.894914527214442E-2</v>
      </c>
    </row>
    <row r="473" spans="1:20" x14ac:dyDescent="0.25">
      <c r="A473" s="5">
        <v>44120</v>
      </c>
      <c r="B473">
        <v>2.6970999999999998</v>
      </c>
      <c r="C473">
        <v>3.35</v>
      </c>
      <c r="D473">
        <v>2.5445000000000002</v>
      </c>
      <c r="E473">
        <v>2.9557000000000002</v>
      </c>
      <c r="F473">
        <v>7328527.3300000001</v>
      </c>
      <c r="G473">
        <v>0</v>
      </c>
      <c r="L473" t="s">
        <v>8</v>
      </c>
      <c r="M473" t="s">
        <v>8</v>
      </c>
      <c r="N473" t="s">
        <v>8</v>
      </c>
      <c r="P473">
        <f t="shared" si="979"/>
        <v>2.0980757293606628E-2</v>
      </c>
      <c r="Q473">
        <f t="shared" si="980"/>
        <v>153758.05323029301</v>
      </c>
      <c r="R473">
        <f t="shared" si="981"/>
        <v>4982191.8235539645</v>
      </c>
      <c r="S473">
        <f t="shared" si="982"/>
        <v>49.821918235539648</v>
      </c>
      <c r="T473">
        <f t="shared" si="983"/>
        <v>4.982191823553965E-2</v>
      </c>
    </row>
    <row r="474" spans="1:20" x14ac:dyDescent="0.25">
      <c r="A474" s="5">
        <v>44119</v>
      </c>
      <c r="B474">
        <v>2.5097</v>
      </c>
      <c r="C474">
        <v>2.7597999999999998</v>
      </c>
      <c r="D474">
        <v>2.4342000000000001</v>
      </c>
      <c r="E474">
        <v>2.6970000000000001</v>
      </c>
      <c r="F474">
        <v>4234211.32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0.61425061425061545</v>
      </c>
      <c r="Q474">
        <f t="shared" si="980"/>
        <v>2600866.9041769095</v>
      </c>
      <c r="R474">
        <f t="shared" si="981"/>
        <v>4828433.7703236714</v>
      </c>
      <c r="S474">
        <f t="shared" si="982"/>
        <v>48.284337703236716</v>
      </c>
      <c r="T474">
        <f t="shared" si="983"/>
        <v>4.8284337703236715E-2</v>
      </c>
    </row>
    <row r="475" spans="1:20" x14ac:dyDescent="0.25">
      <c r="A475" s="5">
        <v>44118</v>
      </c>
      <c r="B475">
        <v>2.5167000000000002</v>
      </c>
      <c r="C475">
        <v>2.5331999999999999</v>
      </c>
      <c r="D475">
        <v>2.4359999999999999</v>
      </c>
      <c r="E475">
        <v>2.5097</v>
      </c>
      <c r="F475">
        <v>2060366.97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0.51646090534979705</v>
      </c>
      <c r="Q475">
        <f t="shared" si="980"/>
        <v>1064098.9906790182</v>
      </c>
      <c r="R475">
        <f t="shared" si="981"/>
        <v>2227566.8661467619</v>
      </c>
      <c r="S475">
        <f t="shared" si="982"/>
        <v>22.27566866146762</v>
      </c>
      <c r="T475">
        <f t="shared" si="983"/>
        <v>2.2275668661467619E-2</v>
      </c>
    </row>
    <row r="476" spans="1:20" x14ac:dyDescent="0.25">
      <c r="A476" s="5">
        <v>44117</v>
      </c>
      <c r="B476">
        <v>2.4615</v>
      </c>
      <c r="C476">
        <v>2.5992999999999999</v>
      </c>
      <c r="D476">
        <v>2.4525999999999999</v>
      </c>
      <c r="E476">
        <v>2.5167000000000002</v>
      </c>
      <c r="F476">
        <v>2775231.68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-0.12610770279481601</v>
      </c>
      <c r="Q476">
        <f t="shared" si="980"/>
        <v>-349978.09188819793</v>
      </c>
      <c r="R476">
        <f t="shared" si="981"/>
        <v>1163467.8754677435</v>
      </c>
      <c r="S476">
        <f t="shared" si="982"/>
        <v>11.634678754677434</v>
      </c>
      <c r="T476">
        <f t="shared" si="983"/>
        <v>1.1634678754677434E-2</v>
      </c>
    </row>
    <row r="477" spans="1:20" x14ac:dyDescent="0.25">
      <c r="A477" s="5">
        <v>44116</v>
      </c>
      <c r="B477">
        <v>2.4476</v>
      </c>
      <c r="C477">
        <v>2.5171999999999999</v>
      </c>
      <c r="D477">
        <v>2.42</v>
      </c>
      <c r="E477">
        <v>2.4622000000000002</v>
      </c>
      <c r="F477">
        <v>2715172.73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-0.13168724279834862</v>
      </c>
      <c r="Q477">
        <f t="shared" si="980"/>
        <v>-357553.61053496506</v>
      </c>
      <c r="R477">
        <f t="shared" si="981"/>
        <v>1513445.9673559414</v>
      </c>
      <c r="S477">
        <f t="shared" si="982"/>
        <v>15.134459673559414</v>
      </c>
      <c r="T477">
        <f t="shared" si="983"/>
        <v>1.5134459673559414E-2</v>
      </c>
    </row>
    <row r="478" spans="1:20" x14ac:dyDescent="0.25">
      <c r="A478" s="5">
        <v>44115</v>
      </c>
      <c r="B478">
        <v>2.4218999999999999</v>
      </c>
      <c r="C478">
        <v>2.4691999999999998</v>
      </c>
      <c r="D478">
        <v>2.3919999999999999</v>
      </c>
      <c r="E478">
        <v>2.4477000000000002</v>
      </c>
      <c r="F478">
        <v>2493942.02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0.44300518134715938</v>
      </c>
      <c r="Q478">
        <f t="shared" si="980"/>
        <v>1104829.2368394011</v>
      </c>
      <c r="R478">
        <f t="shared" si="981"/>
        <v>1870999.5778909065</v>
      </c>
      <c r="S478">
        <f t="shared" si="982"/>
        <v>18.709995778909065</v>
      </c>
      <c r="T478">
        <f t="shared" si="983"/>
        <v>1.8709995778909066E-2</v>
      </c>
    </row>
    <row r="479" spans="1:20" x14ac:dyDescent="0.25">
      <c r="A479" s="5">
        <v>44114</v>
      </c>
      <c r="B479">
        <v>2.3925999999999998</v>
      </c>
      <c r="C479">
        <v>2.5363000000000002</v>
      </c>
      <c r="D479">
        <v>2.3780999999999999</v>
      </c>
      <c r="E479">
        <v>2.4243999999999999</v>
      </c>
      <c r="F479">
        <v>2396674.4300000002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-0.4146649810366636</v>
      </c>
      <c r="Q479">
        <f t="shared" si="980"/>
        <v>-993816.95706700662</v>
      </c>
      <c r="R479">
        <f t="shared" si="981"/>
        <v>766170.34105150553</v>
      </c>
      <c r="S479">
        <f t="shared" si="982"/>
        <v>7.661703410515055</v>
      </c>
      <c r="T479">
        <f t="shared" si="983"/>
        <v>7.6617034105150549E-3</v>
      </c>
    </row>
    <row r="480" spans="1:20" x14ac:dyDescent="0.25">
      <c r="A480" s="5">
        <v>44113</v>
      </c>
      <c r="B480">
        <v>2.31</v>
      </c>
      <c r="C480">
        <v>2.4289999999999998</v>
      </c>
      <c r="D480">
        <v>2.2378999999999998</v>
      </c>
      <c r="E480">
        <v>2.3927</v>
      </c>
      <c r="F480">
        <v>1738117.87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0.62009419152276535</v>
      </c>
      <c r="Q480">
        <f t="shared" si="980"/>
        <v>1077796.795368921</v>
      </c>
      <c r="R480">
        <f t="shared" si="981"/>
        <v>1759987.2981185121</v>
      </c>
      <c r="S480">
        <f t="shared" si="982"/>
        <v>17.599872981185122</v>
      </c>
      <c r="T480">
        <f t="shared" si="983"/>
        <v>1.7599872981185122E-2</v>
      </c>
    </row>
    <row r="481" spans="1:20" x14ac:dyDescent="0.25">
      <c r="A481" s="5">
        <v>44112</v>
      </c>
      <c r="B481">
        <v>2.2843</v>
      </c>
      <c r="C481">
        <v>2.3494000000000002</v>
      </c>
      <c r="D481">
        <v>2.1200999999999999</v>
      </c>
      <c r="E481">
        <v>2.3109000000000002</v>
      </c>
      <c r="F481">
        <v>960952.28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0.66419537723506383</v>
      </c>
      <c r="Q481">
        <f t="shared" si="980"/>
        <v>638260.06211949466</v>
      </c>
      <c r="R481">
        <f t="shared" si="981"/>
        <v>682190.50274959113</v>
      </c>
      <c r="S481">
        <f t="shared" si="982"/>
        <v>6.8219050274959114</v>
      </c>
      <c r="T481">
        <f t="shared" si="983"/>
        <v>6.8219050274959114E-3</v>
      </c>
    </row>
    <row r="482" spans="1:20" x14ac:dyDescent="0.25">
      <c r="A482" s="5">
        <v>44111</v>
      </c>
      <c r="B482">
        <v>2.1745000000000001</v>
      </c>
      <c r="C482">
        <v>2.2997000000000001</v>
      </c>
      <c r="D482">
        <v>2.0649000000000002</v>
      </c>
      <c r="E482">
        <v>2.2845</v>
      </c>
      <c r="F482">
        <v>1015348.28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0.87052810902895994</v>
      </c>
      <c r="Q482">
        <f t="shared" si="980"/>
        <v>883889.21819420694</v>
      </c>
      <c r="R482">
        <f t="shared" si="981"/>
        <v>43930.440630096477</v>
      </c>
      <c r="S482">
        <f t="shared" si="982"/>
        <v>0.43930440630096479</v>
      </c>
      <c r="T482">
        <f t="shared" si="983"/>
        <v>4.3930440630096478E-4</v>
      </c>
    </row>
    <row r="483" spans="1:20" x14ac:dyDescent="0.25">
      <c r="A483" s="5">
        <v>44110</v>
      </c>
      <c r="B483">
        <v>2.3597000000000001</v>
      </c>
      <c r="C483">
        <v>2.3622999999999998</v>
      </c>
      <c r="D483">
        <v>2.1476999999999999</v>
      </c>
      <c r="E483">
        <v>2.1724000000000001</v>
      </c>
      <c r="F483">
        <v>1023250.55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-0.76980428704566473</v>
      </c>
      <c r="Q483">
        <f t="shared" si="980"/>
        <v>-787702.6601118343</v>
      </c>
      <c r="R483">
        <f t="shared" si="981"/>
        <v>-839958.77756411047</v>
      </c>
      <c r="S483">
        <f t="shared" si="982"/>
        <v>-8.3995877756411055</v>
      </c>
      <c r="T483">
        <f t="shared" si="983"/>
        <v>-8.3995877756411052E-3</v>
      </c>
    </row>
    <row r="484" spans="1:20" x14ac:dyDescent="0.25">
      <c r="A484" s="5">
        <v>44109</v>
      </c>
      <c r="B484">
        <v>2.3698999999999999</v>
      </c>
      <c r="C484">
        <v>2.4371</v>
      </c>
      <c r="D484">
        <v>2.3117000000000001</v>
      </c>
      <c r="E484">
        <v>2.3597000000000001</v>
      </c>
      <c r="F484">
        <v>613769.96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-0.2344497607655493</v>
      </c>
      <c r="Q484">
        <f t="shared" si="980"/>
        <v>-143898.22028708077</v>
      </c>
      <c r="R484">
        <f t="shared" si="981"/>
        <v>-52256.117452276143</v>
      </c>
      <c r="S484">
        <f t="shared" si="982"/>
        <v>-0.52256117452276141</v>
      </c>
      <c r="T484">
        <f t="shared" si="983"/>
        <v>-5.2256117452276142E-4</v>
      </c>
    </row>
    <row r="485" spans="1:20" x14ac:dyDescent="0.25">
      <c r="A485" s="5">
        <v>44108</v>
      </c>
      <c r="B485">
        <v>2.4125999999999999</v>
      </c>
      <c r="C485">
        <v>2.4245999999999999</v>
      </c>
      <c r="D485">
        <v>2.33</v>
      </c>
      <c r="E485">
        <v>2.3698999999999999</v>
      </c>
      <c r="F485">
        <v>676199.35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-0.15644820295983275</v>
      </c>
      <c r="Q485">
        <f t="shared" si="980"/>
        <v>-105790.17315010697</v>
      </c>
      <c r="R485">
        <f t="shared" si="981"/>
        <v>91642.102834804624</v>
      </c>
      <c r="S485">
        <f t="shared" si="982"/>
        <v>0.91642102834804628</v>
      </c>
      <c r="T485">
        <f t="shared" si="983"/>
        <v>9.164210283480463E-4</v>
      </c>
    </row>
    <row r="486" spans="1:20" x14ac:dyDescent="0.25">
      <c r="A486" s="5">
        <v>44107</v>
      </c>
      <c r="B486">
        <v>2.448</v>
      </c>
      <c r="C486">
        <v>2.5053999999999998</v>
      </c>
      <c r="D486">
        <v>2.3944000000000001</v>
      </c>
      <c r="E486">
        <v>2.42</v>
      </c>
      <c r="F486">
        <v>635812.4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-0.53873873873874056</v>
      </c>
      <c r="Q486">
        <f t="shared" si="980"/>
        <v>-342536.77045045164</v>
      </c>
      <c r="R486">
        <f t="shared" si="981"/>
        <v>197432.2759849116</v>
      </c>
      <c r="S486">
        <f t="shared" si="982"/>
        <v>1.974322759849116</v>
      </c>
      <c r="T486">
        <f t="shared" si="983"/>
        <v>1.9743227598491161E-3</v>
      </c>
    </row>
    <row r="487" spans="1:20" x14ac:dyDescent="0.25">
      <c r="A487" s="5">
        <v>44106</v>
      </c>
      <c r="B487">
        <v>2.6240000000000001</v>
      </c>
      <c r="C487">
        <v>2.6257999999999999</v>
      </c>
      <c r="D487">
        <v>2.2930000000000001</v>
      </c>
      <c r="E487">
        <v>2.452</v>
      </c>
      <c r="F487">
        <v>1900118.99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-4.447115384615432E-2</v>
      </c>
      <c r="Q487">
        <f t="shared" si="980"/>
        <v>-84500.483930289367</v>
      </c>
      <c r="R487">
        <f t="shared" si="981"/>
        <v>539969.04643536324</v>
      </c>
      <c r="S487">
        <f t="shared" si="982"/>
        <v>5.3996904643536325</v>
      </c>
      <c r="T487">
        <f t="shared" si="983"/>
        <v>5.3996904643536323E-3</v>
      </c>
    </row>
    <row r="488" spans="1:20" x14ac:dyDescent="0.25">
      <c r="A488" s="5">
        <v>44105</v>
      </c>
      <c r="B488">
        <v>2.5733999999999999</v>
      </c>
      <c r="C488">
        <v>2.7974000000000001</v>
      </c>
      <c r="D488">
        <v>2.4500000000000002</v>
      </c>
      <c r="E488">
        <v>2.6240000000000001</v>
      </c>
      <c r="F488">
        <v>4860837.8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1.7271157167528326E-3</v>
      </c>
      <c r="Q488">
        <f t="shared" si="980"/>
        <v>8395.2293609662611</v>
      </c>
      <c r="R488">
        <f t="shared" si="981"/>
        <v>624469.53036565264</v>
      </c>
      <c r="S488">
        <f t="shared" si="982"/>
        <v>6.2446953036565267</v>
      </c>
      <c r="T488">
        <f t="shared" si="983"/>
        <v>6.2446953036565268E-3</v>
      </c>
    </row>
    <row r="489" spans="1:20" x14ac:dyDescent="0.25">
      <c r="A489" s="5">
        <v>44104</v>
      </c>
      <c r="B489">
        <v>2.4514999999999998</v>
      </c>
      <c r="C489">
        <v>2.5735999999999999</v>
      </c>
      <c r="D489">
        <v>2.4333999999999998</v>
      </c>
      <c r="E489">
        <v>2.5733999999999999</v>
      </c>
      <c r="F489">
        <v>2395297.2200000002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0.99714693295292467</v>
      </c>
      <c r="Q489">
        <f t="shared" si="980"/>
        <v>2388463.2764336672</v>
      </c>
      <c r="R489">
        <f t="shared" si="981"/>
        <v>616074.30100468639</v>
      </c>
      <c r="S489">
        <f t="shared" si="982"/>
        <v>6.1607430100468639</v>
      </c>
      <c r="T489">
        <f t="shared" si="983"/>
        <v>6.1607430100468642E-3</v>
      </c>
    </row>
    <row r="490" spans="1:20" x14ac:dyDescent="0.25">
      <c r="A490" s="5">
        <v>44103</v>
      </c>
      <c r="B490">
        <v>2.4169999999999998</v>
      </c>
      <c r="C490">
        <v>2.4723000000000002</v>
      </c>
      <c r="D490">
        <v>2.3773</v>
      </c>
      <c r="E490">
        <v>2.4514999999999998</v>
      </c>
      <c r="F490">
        <v>1848323.74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0.56210526315788778</v>
      </c>
      <c r="Q490">
        <f t="shared" si="980"/>
        <v>1038952.5022736713</v>
      </c>
      <c r="R490">
        <f t="shared" si="981"/>
        <v>-1772388.9754289808</v>
      </c>
      <c r="S490">
        <f t="shared" si="982"/>
        <v>-17.723889754289807</v>
      </c>
      <c r="T490">
        <f t="shared" si="983"/>
        <v>-1.7723889754289807E-2</v>
      </c>
    </row>
    <row r="491" spans="1:20" x14ac:dyDescent="0.25">
      <c r="A491" s="5">
        <v>44102</v>
      </c>
      <c r="B491">
        <v>2.4834999999999998</v>
      </c>
      <c r="C491">
        <v>2.5139999999999998</v>
      </c>
      <c r="D491">
        <v>2.38</v>
      </c>
      <c r="E491">
        <v>2.4173</v>
      </c>
      <c r="F491">
        <v>2635696.2200000002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-0.44328358208955015</v>
      </c>
      <c r="Q491">
        <f t="shared" si="980"/>
        <v>-1168360.8617014871</v>
      </c>
      <c r="R491">
        <f t="shared" si="981"/>
        <v>-2811341.4777026521</v>
      </c>
      <c r="S491">
        <f t="shared" si="982"/>
        <v>-28.11341477702652</v>
      </c>
      <c r="T491">
        <f t="shared" si="983"/>
        <v>-2.8113414777026519E-2</v>
      </c>
    </row>
    <row r="492" spans="1:20" x14ac:dyDescent="0.25">
      <c r="A492" s="5">
        <v>44101</v>
      </c>
      <c r="B492">
        <v>2.5103</v>
      </c>
      <c r="C492">
        <v>2.5375999999999999</v>
      </c>
      <c r="D492">
        <v>2.3910999999999998</v>
      </c>
      <c r="E492">
        <v>2.4834999999999998</v>
      </c>
      <c r="F492">
        <v>1763613.9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0.26143344709897598</v>
      </c>
      <c r="Q492">
        <f t="shared" si="980"/>
        <v>461067.6612286687</v>
      </c>
      <c r="R492">
        <f t="shared" si="981"/>
        <v>-1642980.6160011648</v>
      </c>
      <c r="S492">
        <f t="shared" si="982"/>
        <v>-16.429806160011648</v>
      </c>
      <c r="T492">
        <f t="shared" si="983"/>
        <v>-1.6429806160011648E-2</v>
      </c>
    </row>
    <row r="493" spans="1:20" x14ac:dyDescent="0.25">
      <c r="A493" s="5">
        <v>44100</v>
      </c>
      <c r="B493">
        <v>2.3892000000000002</v>
      </c>
      <c r="C493">
        <v>2.5291999999999999</v>
      </c>
      <c r="D493">
        <v>2.3652000000000002</v>
      </c>
      <c r="E493">
        <v>2.5148000000000001</v>
      </c>
      <c r="F493">
        <v>2334155.85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0.82439024390244175</v>
      </c>
      <c r="Q493">
        <f t="shared" si="980"/>
        <v>1924255.3104878112</v>
      </c>
      <c r="R493">
        <f t="shared" si="981"/>
        <v>-2104048.2772298334</v>
      </c>
      <c r="S493">
        <f t="shared" si="982"/>
        <v>-21.040482772298333</v>
      </c>
      <c r="T493">
        <f t="shared" si="983"/>
        <v>-2.1040482772298332E-2</v>
      </c>
    </row>
    <row r="494" spans="1:20" x14ac:dyDescent="0.25">
      <c r="A494" s="5">
        <v>44099</v>
      </c>
      <c r="B494">
        <v>2.3685999999999998</v>
      </c>
      <c r="C494">
        <v>2.4089</v>
      </c>
      <c r="D494">
        <v>2.3010999999999999</v>
      </c>
      <c r="E494">
        <v>2.3894000000000002</v>
      </c>
      <c r="F494">
        <v>3135786.15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0.63821892393321278</v>
      </c>
      <c r="Q494">
        <f t="shared" si="980"/>
        <v>2001318.0623376721</v>
      </c>
      <c r="R494">
        <f t="shared" si="981"/>
        <v>-4028303.5877176449</v>
      </c>
      <c r="S494">
        <f t="shared" si="982"/>
        <v>-40.283035877176445</v>
      </c>
      <c r="T494">
        <f t="shared" si="983"/>
        <v>-4.0283035877176444E-2</v>
      </c>
    </row>
    <row r="495" spans="1:20" x14ac:dyDescent="0.25">
      <c r="A495" s="5">
        <v>44098</v>
      </c>
      <c r="B495">
        <v>2.1722999999999999</v>
      </c>
      <c r="C495">
        <v>2.38</v>
      </c>
      <c r="D495">
        <v>2.1482999999999999</v>
      </c>
      <c r="E495">
        <v>2.3685999999999998</v>
      </c>
      <c r="F495">
        <v>2535955.4900000002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0.90159689253344777</v>
      </c>
      <c r="Q495">
        <f t="shared" si="980"/>
        <v>2286409.589387137</v>
      </c>
      <c r="R495">
        <f t="shared" si="981"/>
        <v>-6029621.6500553172</v>
      </c>
      <c r="S495">
        <f t="shared" si="982"/>
        <v>-60.296216500553172</v>
      </c>
      <c r="T495">
        <f t="shared" si="983"/>
        <v>-6.0296216500553175E-2</v>
      </c>
    </row>
    <row r="496" spans="1:20" x14ac:dyDescent="0.25">
      <c r="A496" s="5">
        <v>44097</v>
      </c>
      <c r="B496">
        <v>2.2176</v>
      </c>
      <c r="C496">
        <v>2.5937000000000001</v>
      </c>
      <c r="D496">
        <v>2</v>
      </c>
      <c r="E496">
        <v>2.1718000000000002</v>
      </c>
      <c r="F496">
        <v>4839932.04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-0.42125652686541976</v>
      </c>
      <c r="Q496">
        <f t="shared" si="980"/>
        <v>-2038852.9614350658</v>
      </c>
      <c r="R496">
        <f t="shared" si="981"/>
        <v>-8316031.2394424537</v>
      </c>
      <c r="S496">
        <f t="shared" si="982"/>
        <v>-83.160312394424537</v>
      </c>
      <c r="T496">
        <f t="shared" si="983"/>
        <v>-8.3160312394424535E-2</v>
      </c>
    </row>
    <row r="497" spans="1:20" x14ac:dyDescent="0.25">
      <c r="A497" s="5">
        <v>44096</v>
      </c>
      <c r="B497">
        <v>2.1556000000000002</v>
      </c>
      <c r="C497">
        <v>2.2534000000000001</v>
      </c>
      <c r="D497">
        <v>2.1113</v>
      </c>
      <c r="E497">
        <v>2.2183000000000002</v>
      </c>
      <c r="F497">
        <v>1769673.01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0.50598170302603973</v>
      </c>
      <c r="Q497">
        <f t="shared" si="980"/>
        <v>895422.16339901788</v>
      </c>
      <c r="R497">
        <f t="shared" si="981"/>
        <v>-6277178.2780073881</v>
      </c>
      <c r="S497">
        <f t="shared" si="982"/>
        <v>-62.771782780073885</v>
      </c>
      <c r="T497">
        <f t="shared" si="983"/>
        <v>-6.2771782780073879E-2</v>
      </c>
    </row>
    <row r="498" spans="1:20" x14ac:dyDescent="0.25">
      <c r="A498" s="5">
        <v>44095</v>
      </c>
      <c r="B498">
        <v>2.4388999999999998</v>
      </c>
      <c r="C498">
        <v>2.4584999999999999</v>
      </c>
      <c r="D498">
        <v>2.0878000000000001</v>
      </c>
      <c r="E498">
        <v>2.1530999999999998</v>
      </c>
      <c r="F498">
        <v>3114816.76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-0.64769355273806462</v>
      </c>
      <c r="Q498">
        <f t="shared" si="980"/>
        <v>-2017446.7334124674</v>
      </c>
      <c r="R498">
        <f t="shared" si="981"/>
        <v>-7172600.4414064065</v>
      </c>
      <c r="S498">
        <f t="shared" si="982"/>
        <v>-71.726004414064064</v>
      </c>
      <c r="T498">
        <f t="shared" si="983"/>
        <v>-7.1726004414064071E-2</v>
      </c>
    </row>
    <row r="499" spans="1:20" x14ac:dyDescent="0.25">
      <c r="A499" s="5">
        <v>44094</v>
      </c>
      <c r="B499">
        <v>2.5428000000000002</v>
      </c>
      <c r="C499">
        <v>2.5779999999999998</v>
      </c>
      <c r="D499">
        <v>2.3658999999999999</v>
      </c>
      <c r="E499">
        <v>2.4388999999999998</v>
      </c>
      <c r="F499">
        <v>1667101.86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-0.31164545025931195</v>
      </c>
      <c r="Q499">
        <f t="shared" si="980"/>
        <v>-519544.70978783647</v>
      </c>
      <c r="R499">
        <f t="shared" si="981"/>
        <v>-5155153.7079939386</v>
      </c>
      <c r="S499">
        <f t="shared" si="982"/>
        <v>-51.551537079939386</v>
      </c>
      <c r="T499">
        <f t="shared" si="983"/>
        <v>-5.1551537079939383E-2</v>
      </c>
    </row>
    <row r="500" spans="1:20" x14ac:dyDescent="0.25">
      <c r="A500" s="5">
        <v>44093</v>
      </c>
      <c r="B500">
        <v>2.4485000000000001</v>
      </c>
      <c r="C500">
        <v>2.5924999999999998</v>
      </c>
      <c r="D500">
        <v>2.4251999999999998</v>
      </c>
      <c r="E500">
        <v>2.5426000000000002</v>
      </c>
      <c r="F500">
        <v>2161401.04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0.40346682606097301</v>
      </c>
      <c r="Q500">
        <f t="shared" si="980"/>
        <v>872053.61745368619</v>
      </c>
      <c r="R500">
        <f t="shared" si="981"/>
        <v>-4635608.9982061023</v>
      </c>
      <c r="S500">
        <f t="shared" si="982"/>
        <v>-46.356089982061022</v>
      </c>
      <c r="T500">
        <f t="shared" si="983"/>
        <v>-4.6356089982061019E-2</v>
      </c>
    </row>
    <row r="501" spans="1:20" x14ac:dyDescent="0.25">
      <c r="A501" s="5">
        <v>44092</v>
      </c>
      <c r="B501">
        <v>2.5525000000000002</v>
      </c>
      <c r="C501">
        <v>2.5699000000000001</v>
      </c>
      <c r="D501">
        <v>2.3814000000000002</v>
      </c>
      <c r="E501">
        <v>2.4474</v>
      </c>
      <c r="F501">
        <v>1246148.23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-0.2997347480106114</v>
      </c>
      <c r="Q501">
        <f t="shared" si="980"/>
        <v>-373513.92570291943</v>
      </c>
      <c r="R501">
        <f t="shared" si="981"/>
        <v>-5507662.6156597883</v>
      </c>
      <c r="S501">
        <f t="shared" si="982"/>
        <v>-55.076626156597882</v>
      </c>
      <c r="T501">
        <f t="shared" si="983"/>
        <v>-5.5076626156597884E-2</v>
      </c>
    </row>
    <row r="502" spans="1:20" x14ac:dyDescent="0.25">
      <c r="A502" s="5">
        <v>44091</v>
      </c>
      <c r="B502">
        <v>2.5590000000000002</v>
      </c>
      <c r="C502">
        <v>2.65</v>
      </c>
      <c r="D502">
        <v>2.4449999999999998</v>
      </c>
      <c r="E502">
        <v>2.5522999999999998</v>
      </c>
      <c r="F502">
        <v>1271227.51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4.6829268292682087E-2</v>
      </c>
      <c r="Q502">
        <f t="shared" si="980"/>
        <v>59530.654126828202</v>
      </c>
      <c r="R502">
        <f t="shared" si="981"/>
        <v>-5134148.689956869</v>
      </c>
      <c r="S502">
        <f t="shared" si="982"/>
        <v>-51.341486899568693</v>
      </c>
      <c r="T502">
        <f t="shared" si="983"/>
        <v>-5.1341486899568696E-2</v>
      </c>
    </row>
    <row r="503" spans="1:20" x14ac:dyDescent="0.25">
      <c r="A503" s="5">
        <v>44090</v>
      </c>
      <c r="B503">
        <v>2.4849000000000001</v>
      </c>
      <c r="C503">
        <v>2.5666000000000002</v>
      </c>
      <c r="D503">
        <v>2.3182</v>
      </c>
      <c r="E503">
        <v>2.5589</v>
      </c>
      <c r="F503">
        <v>1591457.89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0.93800322061191421</v>
      </c>
      <c r="Q503">
        <f t="shared" si="980"/>
        <v>1492792.6262882415</v>
      </c>
      <c r="R503">
        <f t="shared" si="981"/>
        <v>-5193679.3440836975</v>
      </c>
      <c r="S503">
        <f t="shared" si="982"/>
        <v>-51.936793440836972</v>
      </c>
      <c r="T503">
        <f t="shared" si="983"/>
        <v>-5.1936793440836973E-2</v>
      </c>
    </row>
    <row r="504" spans="1:20" x14ac:dyDescent="0.25">
      <c r="A504" s="5">
        <v>44089</v>
      </c>
      <c r="B504">
        <v>2.8885000000000001</v>
      </c>
      <c r="C504">
        <v>2.9053</v>
      </c>
      <c r="D504">
        <v>2.4632999999999998</v>
      </c>
      <c r="E504">
        <v>2.4874999999999998</v>
      </c>
      <c r="F504">
        <v>2686536.68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-0.89049773755656114</v>
      </c>
      <c r="Q504">
        <f t="shared" si="980"/>
        <v>-2392354.835402715</v>
      </c>
      <c r="R504">
        <f t="shared" si="981"/>
        <v>-6686471.9703719392</v>
      </c>
      <c r="S504">
        <f t="shared" si="982"/>
        <v>-66.864719703719388</v>
      </c>
      <c r="T504">
        <f t="shared" si="983"/>
        <v>-6.6864719703719391E-2</v>
      </c>
    </row>
    <row r="505" spans="1:20" x14ac:dyDescent="0.25">
      <c r="A505" s="5">
        <v>44088</v>
      </c>
      <c r="B505">
        <v>3.0783999999999998</v>
      </c>
      <c r="C505">
        <v>3.1154000000000002</v>
      </c>
      <c r="D505">
        <v>2.7797999999999998</v>
      </c>
      <c r="E505">
        <v>2.8853</v>
      </c>
      <c r="F505">
        <v>3921405.55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-0.37127532777115591</v>
      </c>
      <c r="Q505">
        <f t="shared" si="980"/>
        <v>-1455921.1308998798</v>
      </c>
      <c r="R505">
        <f t="shared" si="981"/>
        <v>-4294117.1349692242</v>
      </c>
      <c r="S505">
        <f t="shared" si="982"/>
        <v>-42.94117134969224</v>
      </c>
      <c r="T505">
        <f t="shared" si="983"/>
        <v>-4.2941171349692241E-2</v>
      </c>
    </row>
    <row r="506" spans="1:20" x14ac:dyDescent="0.25">
      <c r="A506" s="5">
        <v>44087</v>
      </c>
      <c r="B506">
        <v>2.6097999999999999</v>
      </c>
      <c r="C506">
        <v>3.1499000000000001</v>
      </c>
      <c r="D506">
        <v>2.5329999999999999</v>
      </c>
      <c r="E506">
        <v>3.0775999999999999</v>
      </c>
      <c r="F506">
        <v>6877255.8799999999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0.76560220457124262</v>
      </c>
      <c r="Q506">
        <f t="shared" si="980"/>
        <v>5265242.2631285414</v>
      </c>
      <c r="R506">
        <f t="shared" si="981"/>
        <v>-2838196.0040693441</v>
      </c>
      <c r="S506">
        <f t="shared" si="982"/>
        <v>-28.381960040693443</v>
      </c>
      <c r="T506">
        <f t="shared" si="983"/>
        <v>-2.8381960040693443E-2</v>
      </c>
    </row>
    <row r="507" spans="1:20" x14ac:dyDescent="0.25">
      <c r="A507" s="5">
        <v>44086</v>
      </c>
      <c r="B507">
        <v>2.4998999999999998</v>
      </c>
      <c r="C507">
        <v>2.6551999999999998</v>
      </c>
      <c r="D507">
        <v>2.4506999999999999</v>
      </c>
      <c r="E507">
        <v>2.6118999999999999</v>
      </c>
      <c r="F507">
        <v>1594519.67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0.57652811735941401</v>
      </c>
      <c r="Q507">
        <f t="shared" si="980"/>
        <v>919285.42343765404</v>
      </c>
      <c r="R507">
        <f t="shared" si="981"/>
        <v>-8103438.2671978856</v>
      </c>
      <c r="S507">
        <f t="shared" si="982"/>
        <v>-81.034382671978861</v>
      </c>
      <c r="T507">
        <f t="shared" si="983"/>
        <v>-8.1034382671978863E-2</v>
      </c>
    </row>
    <row r="508" spans="1:20" x14ac:dyDescent="0.25">
      <c r="A508" s="5">
        <v>44085</v>
      </c>
      <c r="B508">
        <v>2.4348000000000001</v>
      </c>
      <c r="C508">
        <v>2.5099999999999998</v>
      </c>
      <c r="D508">
        <v>2.3542000000000001</v>
      </c>
      <c r="E508">
        <v>2.5</v>
      </c>
      <c r="F508">
        <v>915507.86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0.87163029525032343</v>
      </c>
      <c r="Q508">
        <f t="shared" si="980"/>
        <v>797984.38631579175</v>
      </c>
      <c r="R508">
        <f t="shared" si="981"/>
        <v>-9022723.6906355396</v>
      </c>
      <c r="S508">
        <f t="shared" si="982"/>
        <v>-90.227236906355401</v>
      </c>
      <c r="T508">
        <f t="shared" si="983"/>
        <v>-9.0227236906355396E-2</v>
      </c>
    </row>
    <row r="509" spans="1:20" x14ac:dyDescent="0.25">
      <c r="A509" s="5">
        <v>44084</v>
      </c>
      <c r="B509">
        <v>2.3927</v>
      </c>
      <c r="C509">
        <v>2.5424000000000002</v>
      </c>
      <c r="D509">
        <v>2.3795999999999999</v>
      </c>
      <c r="E509">
        <v>2.4337</v>
      </c>
      <c r="F509">
        <v>1322863.68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-0.33538083538083607</v>
      </c>
      <c r="Q509">
        <f t="shared" si="980"/>
        <v>-443663.126093367</v>
      </c>
      <c r="R509">
        <f t="shared" si="981"/>
        <v>-9820708.0769513305</v>
      </c>
      <c r="S509">
        <f t="shared" si="982"/>
        <v>-98.207080769513311</v>
      </c>
      <c r="T509">
        <f t="shared" si="983"/>
        <v>-9.8207080769513316E-2</v>
      </c>
    </row>
    <row r="510" spans="1:20" x14ac:dyDescent="0.25">
      <c r="A510" s="5">
        <v>44083</v>
      </c>
      <c r="B510">
        <v>2.3166000000000002</v>
      </c>
      <c r="C510">
        <v>2.48</v>
      </c>
      <c r="D510">
        <v>2.2536999999999998</v>
      </c>
      <c r="E510">
        <v>2.3971</v>
      </c>
      <c r="F510">
        <v>1831881.47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0.26734423331860441</v>
      </c>
      <c r="Q510">
        <f t="shared" si="980"/>
        <v>489742.947127708</v>
      </c>
      <c r="R510">
        <f t="shared" si="981"/>
        <v>-9377044.9508579634</v>
      </c>
      <c r="S510">
        <f t="shared" si="982"/>
        <v>-93.770449508579631</v>
      </c>
      <c r="T510">
        <f t="shared" si="983"/>
        <v>-9.3770449508579629E-2</v>
      </c>
    </row>
    <row r="511" spans="1:20" x14ac:dyDescent="0.25">
      <c r="A511" s="5">
        <v>44082</v>
      </c>
      <c r="B511">
        <v>2.3992</v>
      </c>
      <c r="C511">
        <v>2.5001000000000002</v>
      </c>
      <c r="D511">
        <v>2.2200000000000002</v>
      </c>
      <c r="E511">
        <v>2.3199999999999998</v>
      </c>
      <c r="F511">
        <v>1752132.36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-0.28596929667975979</v>
      </c>
      <c r="Q511">
        <f t="shared" si="980"/>
        <v>-501056.05867904774</v>
      </c>
      <c r="R511">
        <f t="shared" si="981"/>
        <v>-9866787.8979856707</v>
      </c>
      <c r="S511">
        <f t="shared" si="982"/>
        <v>-98.66787897985671</v>
      </c>
      <c r="T511">
        <f t="shared" si="983"/>
        <v>-9.866787897985671E-2</v>
      </c>
    </row>
    <row r="512" spans="1:20" x14ac:dyDescent="0.25">
      <c r="A512" s="5">
        <v>44081</v>
      </c>
      <c r="B512">
        <v>2.4748000000000001</v>
      </c>
      <c r="C512">
        <v>2.4998</v>
      </c>
      <c r="D512">
        <v>2.2223000000000002</v>
      </c>
      <c r="E512">
        <v>2.3997999999999999</v>
      </c>
      <c r="F512">
        <v>1968742.93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0.27927927927927826</v>
      </c>
      <c r="Q512">
        <f t="shared" si="980"/>
        <v>549829.1065765745</v>
      </c>
      <c r="R512">
        <f t="shared" si="981"/>
        <v>-9365731.8393066227</v>
      </c>
      <c r="S512">
        <f t="shared" si="982"/>
        <v>-93.657318393066234</v>
      </c>
      <c r="T512">
        <f t="shared" si="983"/>
        <v>-9.3657318393066236E-2</v>
      </c>
    </row>
    <row r="513" spans="1:20" x14ac:dyDescent="0.25">
      <c r="A513" s="5">
        <v>44080</v>
      </c>
      <c r="B513">
        <v>2.3106</v>
      </c>
      <c r="C513">
        <v>2.5310999999999999</v>
      </c>
      <c r="D513">
        <v>2.1892999999999998</v>
      </c>
      <c r="E513">
        <v>2.4710000000000001</v>
      </c>
      <c r="F513">
        <v>2114503.6800000002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0.64833235810415568</v>
      </c>
      <c r="Q513">
        <f t="shared" si="980"/>
        <v>1370901.157074315</v>
      </c>
      <c r="R513">
        <f t="shared" si="981"/>
        <v>-9915560.9458831977</v>
      </c>
      <c r="S513">
        <f t="shared" si="982"/>
        <v>-99.155609458831975</v>
      </c>
      <c r="T513">
        <f t="shared" si="983"/>
        <v>-9.9155609458831978E-2</v>
      </c>
    </row>
    <row r="514" spans="1:20" x14ac:dyDescent="0.25">
      <c r="A514" s="5">
        <v>44079</v>
      </c>
      <c r="B514">
        <v>2.6286</v>
      </c>
      <c r="C514">
        <v>2.72</v>
      </c>
      <c r="D514">
        <v>2.1168</v>
      </c>
      <c r="E514">
        <v>2.3132999999999999</v>
      </c>
      <c r="F514">
        <v>2436704.2799999998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-0.34847480106100848</v>
      </c>
      <c r="Q514">
        <f t="shared" si="980"/>
        <v>-849130.03921750782</v>
      </c>
      <c r="R514">
        <f t="shared" si="981"/>
        <v>-11286462.102957513</v>
      </c>
      <c r="S514">
        <f t="shared" si="982"/>
        <v>-112.86462102957513</v>
      </c>
      <c r="T514">
        <f t="shared" si="983"/>
        <v>-0.11286462102957513</v>
      </c>
    </row>
    <row r="515" spans="1:20" x14ac:dyDescent="0.25">
      <c r="A515" s="5">
        <v>44078</v>
      </c>
      <c r="B515">
        <v>2.476</v>
      </c>
      <c r="C515">
        <v>2.8393999999999999</v>
      </c>
      <c r="D515">
        <v>2.3046000000000002</v>
      </c>
      <c r="E515">
        <v>2.6204000000000001</v>
      </c>
      <c r="F515">
        <v>4476897.08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0.18100224382946906</v>
      </c>
      <c r="Q515">
        <f t="shared" si="980"/>
        <v>810328.41687359801</v>
      </c>
      <c r="R515">
        <f t="shared" si="981"/>
        <v>-10437332.063740006</v>
      </c>
      <c r="S515">
        <f t="shared" si="982"/>
        <v>-104.37332063740006</v>
      </c>
      <c r="T515">
        <f t="shared" si="983"/>
        <v>-0.10437332063740005</v>
      </c>
    </row>
    <row r="516" spans="1:20" x14ac:dyDescent="0.25">
      <c r="A516" s="5">
        <v>44077</v>
      </c>
      <c r="B516">
        <v>3.2742</v>
      </c>
      <c r="C516">
        <v>3.3416999999999999</v>
      </c>
      <c r="D516">
        <v>2.2547999999999999</v>
      </c>
      <c r="E516">
        <v>2.4758</v>
      </c>
      <c r="F516">
        <v>2851728.89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-0.59333885362038807</v>
      </c>
      <c r="Q516">
        <f t="shared" si="980"/>
        <v>-1692041.5504287418</v>
      </c>
      <c r="R516">
        <f t="shared" si="981"/>
        <v>-11247660.480613604</v>
      </c>
      <c r="S516">
        <f t="shared" si="982"/>
        <v>-112.47660480613604</v>
      </c>
      <c r="T516">
        <f t="shared" si="983"/>
        <v>-0.11247660480613604</v>
      </c>
    </row>
    <row r="517" spans="1:20" x14ac:dyDescent="0.25">
      <c r="A517" s="5">
        <v>44076</v>
      </c>
      <c r="B517">
        <v>3.5301</v>
      </c>
      <c r="C517">
        <v>3.6</v>
      </c>
      <c r="D517">
        <v>2.97</v>
      </c>
      <c r="E517">
        <v>3.2747999999999999</v>
      </c>
      <c r="F517">
        <v>2858387.97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-3.2380952380953051E-2</v>
      </c>
      <c r="Q517">
        <f t="shared" si="980"/>
        <v>-92557.324742859069</v>
      </c>
      <c r="R517">
        <f t="shared" si="981"/>
        <v>-9555618.9301848616</v>
      </c>
      <c r="S517">
        <f t="shared" si="982"/>
        <v>-95.556189301848619</v>
      </c>
      <c r="T517">
        <f t="shared" si="983"/>
        <v>-9.5556189301848615E-2</v>
      </c>
    </row>
    <row r="518" spans="1:20" x14ac:dyDescent="0.25">
      <c r="A518" s="5">
        <v>44075</v>
      </c>
      <c r="B518">
        <v>3.5954000000000002</v>
      </c>
      <c r="C518">
        <v>3.8786</v>
      </c>
      <c r="D518">
        <v>3.5158999999999998</v>
      </c>
      <c r="E518">
        <v>3.5345</v>
      </c>
      <c r="F518">
        <v>3343720.47</v>
      </c>
      <c r="G518">
        <v>0</v>
      </c>
      <c r="L518" t="s">
        <v>8</v>
      </c>
      <c r="M518" t="s">
        <v>8</v>
      </c>
      <c r="N518" t="s">
        <v>7</v>
      </c>
      <c r="P518">
        <f t="shared" ref="P518:P581" si="984">IF(C518=D518,0,((E518-D518)-(C518-E518))/(C518-D518))</f>
        <v>-0.89743589743589658</v>
      </c>
      <c r="Q518">
        <f t="shared" ref="Q518:Q581" si="985">F518*P518</f>
        <v>-3000774.780769228</v>
      </c>
      <c r="R518">
        <f t="shared" ref="R518:R581" si="986">R519+Q518</f>
        <v>-9463061.6054420024</v>
      </c>
      <c r="S518">
        <f t="shared" ref="S518:S581" si="987">R518/100000</f>
        <v>-94.630616054420031</v>
      </c>
      <c r="T518">
        <f t="shared" ref="T518:T581" si="988">S518/1000</f>
        <v>-9.4630616054420025E-2</v>
      </c>
    </row>
    <row r="519" spans="1:20" x14ac:dyDescent="0.25">
      <c r="A519" s="5">
        <v>44074</v>
      </c>
      <c r="B519">
        <v>3.3816000000000002</v>
      </c>
      <c r="C519">
        <v>3.7601</v>
      </c>
      <c r="D519">
        <v>3.3654000000000002</v>
      </c>
      <c r="E519">
        <v>3.5954000000000002</v>
      </c>
      <c r="F519">
        <v>4194120.97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0.16544210793007388</v>
      </c>
      <c r="Q519">
        <f t="shared" si="985"/>
        <v>693884.21419052617</v>
      </c>
      <c r="R519">
        <f t="shared" si="986"/>
        <v>-6462286.8246727753</v>
      </c>
      <c r="S519">
        <f t="shared" si="987"/>
        <v>-64.622868246727748</v>
      </c>
      <c r="T519">
        <f t="shared" si="988"/>
        <v>-6.4622868246727749E-2</v>
      </c>
    </row>
    <row r="520" spans="1:20" x14ac:dyDescent="0.25">
      <c r="A520" s="5">
        <v>44073</v>
      </c>
      <c r="B520">
        <v>3.37</v>
      </c>
      <c r="C520">
        <v>3.49</v>
      </c>
      <c r="D520">
        <v>3.2866</v>
      </c>
      <c r="E520">
        <v>3.3786</v>
      </c>
      <c r="F520">
        <v>1959435.7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-9.5378564405113372E-2</v>
      </c>
      <c r="Q520">
        <f t="shared" si="985"/>
        <v>-186888.16411012839</v>
      </c>
      <c r="R520">
        <f t="shared" si="986"/>
        <v>-7156171.0388633013</v>
      </c>
      <c r="S520">
        <f t="shared" si="987"/>
        <v>-71.561710388633017</v>
      </c>
      <c r="T520">
        <f t="shared" si="988"/>
        <v>-7.1561710388633015E-2</v>
      </c>
    </row>
    <row r="521" spans="1:20" x14ac:dyDescent="0.25">
      <c r="A521" s="5">
        <v>44072</v>
      </c>
      <c r="B521">
        <v>3.3698000000000001</v>
      </c>
      <c r="C521">
        <v>3.5649000000000002</v>
      </c>
      <c r="D521">
        <v>3.2768000000000002</v>
      </c>
      <c r="E521">
        <v>3.37</v>
      </c>
      <c r="F521">
        <v>2898064.29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-0.35300242971190599</v>
      </c>
      <c r="Q521">
        <f t="shared" si="985"/>
        <v>-1023023.7358313097</v>
      </c>
      <c r="R521">
        <f t="shared" si="986"/>
        <v>-6969282.8747531725</v>
      </c>
      <c r="S521">
        <f t="shared" si="987"/>
        <v>-69.692828747531721</v>
      </c>
      <c r="T521">
        <f t="shared" si="988"/>
        <v>-6.9692828747531715E-2</v>
      </c>
    </row>
    <row r="522" spans="1:20" x14ac:dyDescent="0.25">
      <c r="A522" s="5">
        <v>44071</v>
      </c>
      <c r="B522">
        <v>3.1112000000000002</v>
      </c>
      <c r="C522">
        <v>3.5249000000000001</v>
      </c>
      <c r="D522">
        <v>3.0432000000000001</v>
      </c>
      <c r="E522">
        <v>3.3696999999999999</v>
      </c>
      <c r="F522">
        <v>3497142.26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0.35561552833713839</v>
      </c>
      <c r="Q522">
        <f t="shared" si="985"/>
        <v>1243638.0924600342</v>
      </c>
      <c r="R522">
        <f t="shared" si="986"/>
        <v>-5946259.1389218625</v>
      </c>
      <c r="S522">
        <f t="shared" si="987"/>
        <v>-59.462591389218623</v>
      </c>
      <c r="T522">
        <f t="shared" si="988"/>
        <v>-5.9462591389218625E-2</v>
      </c>
    </row>
    <row r="523" spans="1:20" x14ac:dyDescent="0.25">
      <c r="A523" s="5">
        <v>44070</v>
      </c>
      <c r="B523">
        <v>3.2551000000000001</v>
      </c>
      <c r="C523">
        <v>3.2972000000000001</v>
      </c>
      <c r="D523">
        <v>2.9552999999999998</v>
      </c>
      <c r="E523">
        <v>3.0972</v>
      </c>
      <c r="F523">
        <v>3427714.38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-0.16993272886809005</v>
      </c>
      <c r="Q523">
        <f t="shared" si="985"/>
        <v>-582480.85837379342</v>
      </c>
      <c r="R523">
        <f t="shared" si="986"/>
        <v>-7189897.2313818969</v>
      </c>
      <c r="S523">
        <f t="shared" si="987"/>
        <v>-71.898972313818973</v>
      </c>
      <c r="T523">
        <f t="shared" si="988"/>
        <v>-7.1898972313818976E-2</v>
      </c>
    </row>
    <row r="524" spans="1:20" x14ac:dyDescent="0.25">
      <c r="A524" s="5">
        <v>44069</v>
      </c>
      <c r="B524">
        <v>3.2330000000000001</v>
      </c>
      <c r="C524">
        <v>3.3650000000000002</v>
      </c>
      <c r="D524">
        <v>3.1196000000000002</v>
      </c>
      <c r="E524">
        <v>3.2574999999999998</v>
      </c>
      <c r="F524">
        <v>3086551.02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0.12387938060309417</v>
      </c>
      <c r="Q524">
        <f t="shared" si="985"/>
        <v>382360.02855744853</v>
      </c>
      <c r="R524">
        <f t="shared" si="986"/>
        <v>-6607416.3730081031</v>
      </c>
      <c r="S524">
        <f t="shared" si="987"/>
        <v>-66.074163730081025</v>
      </c>
      <c r="T524">
        <f t="shared" si="988"/>
        <v>-6.6074163730081029E-2</v>
      </c>
    </row>
    <row r="525" spans="1:20" x14ac:dyDescent="0.25">
      <c r="A525" s="5">
        <v>44068</v>
      </c>
      <c r="B525">
        <v>3.6488999999999998</v>
      </c>
      <c r="C525">
        <v>3.6613000000000002</v>
      </c>
      <c r="D525">
        <v>3.0779999999999998</v>
      </c>
      <c r="E525">
        <v>3.2269999999999999</v>
      </c>
      <c r="F525">
        <v>4936003.4000000004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-0.48911366363792241</v>
      </c>
      <c r="Q525">
        <f t="shared" si="985"/>
        <v>-2414266.7067032414</v>
      </c>
      <c r="R525">
        <f t="shared" si="986"/>
        <v>-6989776.4015655518</v>
      </c>
      <c r="S525">
        <f t="shared" si="987"/>
        <v>-69.897764015655511</v>
      </c>
      <c r="T525">
        <f t="shared" si="988"/>
        <v>-6.9897764015655506E-2</v>
      </c>
    </row>
    <row r="526" spans="1:20" x14ac:dyDescent="0.25">
      <c r="A526" s="5">
        <v>44067</v>
      </c>
      <c r="B526">
        <v>3.4990000000000001</v>
      </c>
      <c r="C526">
        <v>3.7801999999999998</v>
      </c>
      <c r="D526">
        <v>3.3652000000000002</v>
      </c>
      <c r="E526">
        <v>3.6478000000000002</v>
      </c>
      <c r="F526">
        <v>4183932.41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0.36192771084337466</v>
      </c>
      <c r="Q526">
        <f t="shared" si="985"/>
        <v>1514281.0794747036</v>
      </c>
      <c r="R526">
        <f t="shared" si="986"/>
        <v>-4575509.6948623108</v>
      </c>
      <c r="S526">
        <f t="shared" si="987"/>
        <v>-45.755096948623105</v>
      </c>
      <c r="T526">
        <f t="shared" si="988"/>
        <v>-4.5755096948623106E-2</v>
      </c>
    </row>
    <row r="527" spans="1:20" x14ac:dyDescent="0.25">
      <c r="A527" s="5">
        <v>44066</v>
      </c>
      <c r="B527">
        <v>3.3893</v>
      </c>
      <c r="C527">
        <v>3.68</v>
      </c>
      <c r="D527">
        <v>3.1819000000000002</v>
      </c>
      <c r="E527">
        <v>3.4990000000000001</v>
      </c>
      <c r="F527">
        <v>5934824.5099999998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0.2732383055611321</v>
      </c>
      <c r="Q527">
        <f t="shared" si="985"/>
        <v>1621621.3929150761</v>
      </c>
      <c r="R527">
        <f t="shared" si="986"/>
        <v>-6089790.7743370142</v>
      </c>
      <c r="S527">
        <f t="shared" si="987"/>
        <v>-60.897907743370141</v>
      </c>
      <c r="T527">
        <f t="shared" si="988"/>
        <v>-6.0897907743370137E-2</v>
      </c>
    </row>
    <row r="528" spans="1:20" x14ac:dyDescent="0.25">
      <c r="A528" s="5">
        <v>44065</v>
      </c>
      <c r="B528">
        <v>3.2056</v>
      </c>
      <c r="C528">
        <v>3.5236999999999998</v>
      </c>
      <c r="D528">
        <v>2.8624999999999998</v>
      </c>
      <c r="E528">
        <v>3.3831000000000002</v>
      </c>
      <c r="F528">
        <v>6129846.5899999999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0.57471264367816211</v>
      </c>
      <c r="Q528">
        <f t="shared" si="985"/>
        <v>3522900.3390804669</v>
      </c>
      <c r="R528">
        <f t="shared" si="986"/>
        <v>-7711412.1672520908</v>
      </c>
      <c r="S528">
        <f t="shared" si="987"/>
        <v>-77.114121672520909</v>
      </c>
      <c r="T528">
        <f t="shared" si="988"/>
        <v>-7.7114121672520908E-2</v>
      </c>
    </row>
    <row r="529" spans="1:20" x14ac:dyDescent="0.25">
      <c r="A529" s="5">
        <v>44064</v>
      </c>
      <c r="B529">
        <v>3.8576000000000001</v>
      </c>
      <c r="C529">
        <v>3.8799000000000001</v>
      </c>
      <c r="D529">
        <v>3.1701000000000001</v>
      </c>
      <c r="E529">
        <v>3.2014</v>
      </c>
      <c r="F529">
        <v>12370402.029999999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-0.91180614257537362</v>
      </c>
      <c r="Q529">
        <f t="shared" si="985"/>
        <v>-11279408.55708087</v>
      </c>
      <c r="R529">
        <f t="shared" si="986"/>
        <v>-11234312.506332558</v>
      </c>
      <c r="S529">
        <f t="shared" si="987"/>
        <v>-112.34312506332557</v>
      </c>
      <c r="T529">
        <f t="shared" si="988"/>
        <v>-0.11234312506332557</v>
      </c>
    </row>
    <row r="530" spans="1:20" x14ac:dyDescent="0.25">
      <c r="A530" s="5">
        <v>44063</v>
      </c>
      <c r="B530">
        <v>3.8220000000000001</v>
      </c>
      <c r="C530">
        <v>4.0599999999999996</v>
      </c>
      <c r="D530">
        <v>3.7435</v>
      </c>
      <c r="E530">
        <v>3.8557000000000001</v>
      </c>
      <c r="F530">
        <v>5653677.1900000004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-0.29099526066350562</v>
      </c>
      <c r="Q530">
        <f t="shared" si="985"/>
        <v>-1645193.267611366</v>
      </c>
      <c r="R530">
        <f t="shared" si="986"/>
        <v>45096.050748313544</v>
      </c>
      <c r="S530">
        <f t="shared" si="987"/>
        <v>0.45096050748313543</v>
      </c>
      <c r="T530">
        <f t="shared" si="988"/>
        <v>4.5096050748313541E-4</v>
      </c>
    </row>
    <row r="531" spans="1:20" x14ac:dyDescent="0.25">
      <c r="A531" s="5">
        <v>44062</v>
      </c>
      <c r="B531">
        <v>4.1970000000000001</v>
      </c>
      <c r="C531">
        <v>4.5342000000000002</v>
      </c>
      <c r="D531">
        <v>3.55</v>
      </c>
      <c r="E531">
        <v>3.8151000000000002</v>
      </c>
      <c r="F531">
        <v>11623978.689999999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-0.46128835602519769</v>
      </c>
      <c r="Q531">
        <f t="shared" si="985"/>
        <v>-5362006.0203820309</v>
      </c>
      <c r="R531">
        <f t="shared" si="986"/>
        <v>1690289.3183596795</v>
      </c>
      <c r="S531">
        <f t="shared" si="987"/>
        <v>16.902893183596795</v>
      </c>
      <c r="T531">
        <f t="shared" si="988"/>
        <v>1.6902893183596796E-2</v>
      </c>
    </row>
    <row r="532" spans="1:20" x14ac:dyDescent="0.25">
      <c r="A532" s="5">
        <v>44061</v>
      </c>
      <c r="B532">
        <v>4.4097999999999997</v>
      </c>
      <c r="C532">
        <v>4.59</v>
      </c>
      <c r="D532">
        <v>3.55</v>
      </c>
      <c r="E532">
        <v>4.1839000000000004</v>
      </c>
      <c r="F532">
        <v>13426888.9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0.2190384615384626</v>
      </c>
      <c r="Q532">
        <f t="shared" si="985"/>
        <v>2941005.0879038605</v>
      </c>
      <c r="R532">
        <f t="shared" si="986"/>
        <v>7052295.3387417104</v>
      </c>
      <c r="S532">
        <f t="shared" si="987"/>
        <v>70.522953387417104</v>
      </c>
      <c r="T532">
        <f t="shared" si="988"/>
        <v>7.0522953387417098E-2</v>
      </c>
    </row>
    <row r="533" spans="1:20" x14ac:dyDescent="0.25">
      <c r="A533" s="5">
        <v>44060</v>
      </c>
      <c r="B533">
        <v>4.0340999999999996</v>
      </c>
      <c r="C533">
        <v>4.8</v>
      </c>
      <c r="D533">
        <v>4.0118</v>
      </c>
      <c r="E533">
        <v>4.4095000000000004</v>
      </c>
      <c r="F533">
        <v>16401416.720000001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9.1347373763016812E-3</v>
      </c>
      <c r="Q533">
        <f t="shared" si="985"/>
        <v>149822.63433648334</v>
      </c>
      <c r="R533">
        <f t="shared" si="986"/>
        <v>4111290.2508378499</v>
      </c>
      <c r="S533">
        <f t="shared" si="987"/>
        <v>41.112902508378497</v>
      </c>
      <c r="T533">
        <f t="shared" si="988"/>
        <v>4.1112902508378499E-2</v>
      </c>
    </row>
    <row r="534" spans="1:20" x14ac:dyDescent="0.25">
      <c r="A534" s="5">
        <v>44059</v>
      </c>
      <c r="B534">
        <v>3.3961999999999999</v>
      </c>
      <c r="C534">
        <v>4.29</v>
      </c>
      <c r="D534">
        <v>3.3833000000000002</v>
      </c>
      <c r="E534">
        <v>4.0340999999999996</v>
      </c>
      <c r="F534">
        <v>15482371.460000001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0.43553545825521012</v>
      </c>
      <c r="Q534">
        <f t="shared" si="985"/>
        <v>6743121.7487084866</v>
      </c>
      <c r="R534">
        <f t="shared" si="986"/>
        <v>3961467.6165013667</v>
      </c>
      <c r="S534">
        <f t="shared" si="987"/>
        <v>39.61467616501367</v>
      </c>
      <c r="T534">
        <f t="shared" si="988"/>
        <v>3.9614676165013671E-2</v>
      </c>
    </row>
    <row r="535" spans="1:20" x14ac:dyDescent="0.25">
      <c r="A535" s="5">
        <v>44058</v>
      </c>
      <c r="B535">
        <v>3.4914000000000001</v>
      </c>
      <c r="C535">
        <v>3.782</v>
      </c>
      <c r="D535">
        <v>3.1686000000000001</v>
      </c>
      <c r="E535">
        <v>3.3895</v>
      </c>
      <c r="F535">
        <v>9792605.8699999992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-0.27975220084773428</v>
      </c>
      <c r="Q535">
        <f t="shared" si="985"/>
        <v>-2739503.0441669417</v>
      </c>
      <c r="R535">
        <f t="shared" si="986"/>
        <v>-2781654.1322071198</v>
      </c>
      <c r="S535">
        <f t="shared" si="987"/>
        <v>-27.816541322071199</v>
      </c>
      <c r="T535">
        <f t="shared" si="988"/>
        <v>-2.78165413220712E-2</v>
      </c>
    </row>
    <row r="536" spans="1:20" x14ac:dyDescent="0.25">
      <c r="A536" s="5">
        <v>44057</v>
      </c>
      <c r="B536">
        <v>3.3144</v>
      </c>
      <c r="C536">
        <v>4.13</v>
      </c>
      <c r="D536">
        <v>2.9592999999999998</v>
      </c>
      <c r="E536">
        <v>3.4914000000000001</v>
      </c>
      <c r="F536">
        <v>20544549.73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-9.0971213803706832E-2</v>
      </c>
      <c r="Q536">
        <f t="shared" si="985"/>
        <v>-1868962.6259887174</v>
      </c>
      <c r="R536">
        <f t="shared" si="986"/>
        <v>-42151.088040177943</v>
      </c>
      <c r="S536">
        <f t="shared" si="987"/>
        <v>-0.42151088040177942</v>
      </c>
      <c r="T536">
        <f t="shared" si="988"/>
        <v>-4.2151088040177941E-4</v>
      </c>
    </row>
    <row r="537" spans="1:20" x14ac:dyDescent="0.25">
      <c r="A537" s="5">
        <v>44056</v>
      </c>
      <c r="B537">
        <v>2.1703000000000001</v>
      </c>
      <c r="C537">
        <v>3.63</v>
      </c>
      <c r="D537">
        <v>2.0629</v>
      </c>
      <c r="E537">
        <v>3.3267000000000002</v>
      </c>
      <c r="F537">
        <v>26916306.559999999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0.61291557654265882</v>
      </c>
      <c r="Q537">
        <f t="shared" si="985"/>
        <v>16497423.55362135</v>
      </c>
      <c r="R537">
        <f t="shared" si="986"/>
        <v>1826811.5379485395</v>
      </c>
      <c r="S537">
        <f t="shared" si="987"/>
        <v>18.268115379485394</v>
      </c>
      <c r="T537">
        <f t="shared" si="988"/>
        <v>1.8268115379485392E-2</v>
      </c>
    </row>
    <row r="538" spans="1:20" x14ac:dyDescent="0.25">
      <c r="A538" s="5">
        <v>44055</v>
      </c>
      <c r="B538">
        <v>1.8625</v>
      </c>
      <c r="C538">
        <v>2.2599</v>
      </c>
      <c r="D538">
        <v>1.7966</v>
      </c>
      <c r="E538">
        <v>2.1705999999999999</v>
      </c>
      <c r="F538">
        <v>9980169.4700000007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0.6145046406216268</v>
      </c>
      <c r="Q538">
        <f t="shared" si="985"/>
        <v>6132860.4535052823</v>
      </c>
      <c r="R538">
        <f t="shared" si="986"/>
        <v>-14670612.01567281</v>
      </c>
      <c r="S538">
        <f t="shared" si="987"/>
        <v>-146.7061201567281</v>
      </c>
      <c r="T538">
        <f t="shared" si="988"/>
        <v>-0.1467061201567281</v>
      </c>
    </row>
    <row r="539" spans="1:20" x14ac:dyDescent="0.25">
      <c r="A539" s="5">
        <v>44054</v>
      </c>
      <c r="B539">
        <v>1.9730000000000001</v>
      </c>
      <c r="C539">
        <v>2.0619000000000001</v>
      </c>
      <c r="D539">
        <v>1.8122</v>
      </c>
      <c r="E539">
        <v>1.8648</v>
      </c>
      <c r="F539">
        <v>2051741.14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-0.57869443331998416</v>
      </c>
      <c r="Q539">
        <f t="shared" si="985"/>
        <v>-1187331.1763315983</v>
      </c>
      <c r="R539">
        <f t="shared" si="986"/>
        <v>-20803472.469178092</v>
      </c>
      <c r="S539">
        <f t="shared" si="987"/>
        <v>-208.03472469178092</v>
      </c>
      <c r="T539">
        <f t="shared" si="988"/>
        <v>-0.20803472469178091</v>
      </c>
    </row>
    <row r="540" spans="1:20" x14ac:dyDescent="0.25">
      <c r="A540" s="5">
        <v>44053</v>
      </c>
      <c r="B540">
        <v>1.9459</v>
      </c>
      <c r="C540">
        <v>2.0990000000000002</v>
      </c>
      <c r="D540">
        <v>1.8706</v>
      </c>
      <c r="E540">
        <v>1.9746999999999999</v>
      </c>
      <c r="F540">
        <v>2744675.62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-8.844133099825055E-2</v>
      </c>
      <c r="Q540">
        <f t="shared" si="985"/>
        <v>-242742.76499124855</v>
      </c>
      <c r="R540">
        <f t="shared" si="986"/>
        <v>-19616141.292846493</v>
      </c>
      <c r="S540">
        <f t="shared" si="987"/>
        <v>-196.16141292846493</v>
      </c>
      <c r="T540">
        <f t="shared" si="988"/>
        <v>-0.19616141292846492</v>
      </c>
    </row>
    <row r="541" spans="1:20" x14ac:dyDescent="0.25">
      <c r="A541" s="5">
        <v>44052</v>
      </c>
      <c r="B541">
        <v>1.8250999999999999</v>
      </c>
      <c r="C541">
        <v>1.9892000000000001</v>
      </c>
      <c r="D541">
        <v>1.79</v>
      </c>
      <c r="E541">
        <v>1.9479</v>
      </c>
      <c r="F541">
        <v>2087959.4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0.58534136546184634</v>
      </c>
      <c r="Q541">
        <f t="shared" si="985"/>
        <v>1222169.0062248975</v>
      </c>
      <c r="R541">
        <f t="shared" si="986"/>
        <v>-19373398.527855244</v>
      </c>
      <c r="S541">
        <f t="shared" si="987"/>
        <v>-193.73398527855244</v>
      </c>
      <c r="T541">
        <f t="shared" si="988"/>
        <v>-0.19373398527855243</v>
      </c>
    </row>
    <row r="542" spans="1:20" x14ac:dyDescent="0.25">
      <c r="A542" s="5">
        <v>44051</v>
      </c>
      <c r="B542">
        <v>1.7859</v>
      </c>
      <c r="C542">
        <v>1.99</v>
      </c>
      <c r="D542">
        <v>1.7696000000000001</v>
      </c>
      <c r="E542">
        <v>1.8258000000000001</v>
      </c>
      <c r="F542">
        <v>3286840.25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-0.49001814882032624</v>
      </c>
      <c r="Q542">
        <f t="shared" si="985"/>
        <v>-1610611.3747731382</v>
      </c>
      <c r="R542">
        <f t="shared" si="986"/>
        <v>-20595567.53408014</v>
      </c>
      <c r="S542">
        <f t="shared" si="987"/>
        <v>-205.95567534080141</v>
      </c>
      <c r="T542">
        <f t="shared" si="988"/>
        <v>-0.20595567534080142</v>
      </c>
    </row>
    <row r="543" spans="1:20" x14ac:dyDescent="0.25">
      <c r="A543" s="5">
        <v>44050</v>
      </c>
      <c r="B543">
        <v>1.7114</v>
      </c>
      <c r="C543">
        <v>1.7932999999999999</v>
      </c>
      <c r="D543">
        <v>1.6721999999999999</v>
      </c>
      <c r="E543">
        <v>1.786</v>
      </c>
      <c r="F543">
        <v>2650928.9900000002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0.87943848059455221</v>
      </c>
      <c r="Q543">
        <f t="shared" si="985"/>
        <v>2331328.9631296513</v>
      </c>
      <c r="R543">
        <f t="shared" si="986"/>
        <v>-18984956.159307003</v>
      </c>
      <c r="S543">
        <f t="shared" si="987"/>
        <v>-189.84956159307004</v>
      </c>
      <c r="T543">
        <f t="shared" si="988"/>
        <v>-0.18984956159307004</v>
      </c>
    </row>
    <row r="544" spans="1:20" x14ac:dyDescent="0.25">
      <c r="A544" s="5">
        <v>44049</v>
      </c>
      <c r="B544">
        <v>1.6475</v>
      </c>
      <c r="C544">
        <v>1.7909999999999999</v>
      </c>
      <c r="D544">
        <v>1.6347</v>
      </c>
      <c r="E544">
        <v>1.7110000000000001</v>
      </c>
      <c r="F544">
        <v>5923433.9299999997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-2.3672424824055134E-2</v>
      </c>
      <c r="Q544">
        <f t="shared" si="985"/>
        <v>-140222.04440818247</v>
      </c>
      <c r="R544">
        <f t="shared" si="986"/>
        <v>-21316285.122436654</v>
      </c>
      <c r="S544">
        <f t="shared" si="987"/>
        <v>-213.16285122436653</v>
      </c>
      <c r="T544">
        <f t="shared" si="988"/>
        <v>-0.21316285122436654</v>
      </c>
    </row>
    <row r="545" spans="1:20" x14ac:dyDescent="0.25">
      <c r="A545" s="5">
        <v>44048</v>
      </c>
      <c r="B545">
        <v>1.6456999999999999</v>
      </c>
      <c r="C545">
        <v>1.6507000000000001</v>
      </c>
      <c r="D545">
        <v>1.5898000000000001</v>
      </c>
      <c r="E545">
        <v>1.6475</v>
      </c>
      <c r="F545">
        <v>3775953.1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0.8949096880131332</v>
      </c>
      <c r="Q545">
        <f t="shared" si="985"/>
        <v>3379137.0106732231</v>
      </c>
      <c r="R545">
        <f t="shared" si="986"/>
        <v>-21176063.07802847</v>
      </c>
      <c r="S545">
        <f t="shared" si="987"/>
        <v>-211.76063078028471</v>
      </c>
      <c r="T545">
        <f t="shared" si="988"/>
        <v>-0.2117606307802847</v>
      </c>
    </row>
    <row r="546" spans="1:20" x14ac:dyDescent="0.25">
      <c r="A546" s="5">
        <v>44047</v>
      </c>
      <c r="B546">
        <v>1.6938</v>
      </c>
      <c r="C546">
        <v>1.71</v>
      </c>
      <c r="D546">
        <v>1.6</v>
      </c>
      <c r="E546">
        <v>1.6457999999999999</v>
      </c>
      <c r="F546">
        <v>4719052.13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-0.16727272727272924</v>
      </c>
      <c r="Q546">
        <f t="shared" si="985"/>
        <v>-789368.71992728196</v>
      </c>
      <c r="R546">
        <f t="shared" si="986"/>
        <v>-24555200.088701691</v>
      </c>
      <c r="S546">
        <f t="shared" si="987"/>
        <v>-245.5520008870169</v>
      </c>
      <c r="T546">
        <f t="shared" si="988"/>
        <v>-0.2455520008870169</v>
      </c>
    </row>
    <row r="547" spans="1:20" x14ac:dyDescent="0.25">
      <c r="A547" s="5">
        <v>44046</v>
      </c>
      <c r="B547">
        <v>1.6005</v>
      </c>
      <c r="C547">
        <v>1.7176</v>
      </c>
      <c r="D547">
        <v>1.5784</v>
      </c>
      <c r="E547">
        <v>1.6956</v>
      </c>
      <c r="F547">
        <v>6198595.3099999996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0.68390804597701116</v>
      </c>
      <c r="Q547">
        <f t="shared" si="985"/>
        <v>4239269.2062643655</v>
      </c>
      <c r="R547">
        <f t="shared" si="986"/>
        <v>-23765831.36877441</v>
      </c>
      <c r="S547">
        <f t="shared" si="987"/>
        <v>-237.65831368774411</v>
      </c>
      <c r="T547">
        <f t="shared" si="988"/>
        <v>-0.23765831368774412</v>
      </c>
    </row>
    <row r="548" spans="1:20" x14ac:dyDescent="0.25">
      <c r="A548" s="5">
        <v>44045</v>
      </c>
      <c r="B548">
        <v>1.5707</v>
      </c>
      <c r="C548">
        <v>1.6797</v>
      </c>
      <c r="D548">
        <v>1.4601999999999999</v>
      </c>
      <c r="E548">
        <v>1.599</v>
      </c>
      <c r="F548">
        <v>3879369.25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0.26469248291571768</v>
      </c>
      <c r="Q548">
        <f t="shared" si="985"/>
        <v>1026839.8789293854</v>
      </c>
      <c r="R548">
        <f t="shared" si="986"/>
        <v>-28005100.575038776</v>
      </c>
      <c r="S548">
        <f t="shared" si="987"/>
        <v>-280.05100575038773</v>
      </c>
      <c r="T548">
        <f t="shared" si="988"/>
        <v>-0.28005100575038772</v>
      </c>
    </row>
    <row r="549" spans="1:20" x14ac:dyDescent="0.25">
      <c r="A549" s="5">
        <v>44044</v>
      </c>
      <c r="B549">
        <v>1.5205</v>
      </c>
      <c r="C549">
        <v>1.5743</v>
      </c>
      <c r="D549">
        <v>1.5101</v>
      </c>
      <c r="E549">
        <v>1.5707</v>
      </c>
      <c r="F549">
        <v>2389212.9</v>
      </c>
      <c r="G549">
        <v>0</v>
      </c>
      <c r="L549" t="s">
        <v>7</v>
      </c>
      <c r="M549" t="s">
        <v>8</v>
      </c>
      <c r="N549" t="s">
        <v>8</v>
      </c>
      <c r="P549">
        <f t="shared" si="984"/>
        <v>0.88785046728971817</v>
      </c>
      <c r="Q549">
        <f t="shared" si="985"/>
        <v>2121263.7897196226</v>
      </c>
      <c r="R549">
        <f t="shared" si="986"/>
        <v>-29031940.45396816</v>
      </c>
      <c r="S549">
        <f t="shared" si="987"/>
        <v>-290.31940453968161</v>
      </c>
      <c r="T549">
        <f t="shared" si="988"/>
        <v>-0.29031940453968164</v>
      </c>
    </row>
    <row r="550" spans="1:20" x14ac:dyDescent="0.25">
      <c r="A550" s="5">
        <v>44043</v>
      </c>
      <c r="B550">
        <v>1.5295000000000001</v>
      </c>
      <c r="C550">
        <v>1.5551999999999999</v>
      </c>
      <c r="D550">
        <v>1.5042</v>
      </c>
      <c r="E550">
        <v>1.5206</v>
      </c>
      <c r="F550">
        <v>1022330.44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-0.35686274509803956</v>
      </c>
      <c r="Q550">
        <f t="shared" si="985"/>
        <v>-364831.64721568662</v>
      </c>
      <c r="R550">
        <f t="shared" si="986"/>
        <v>-31153204.243687782</v>
      </c>
      <c r="S550">
        <f t="shared" si="987"/>
        <v>-311.53204243687782</v>
      </c>
      <c r="T550">
        <f t="shared" si="988"/>
        <v>-0.31153204243687782</v>
      </c>
    </row>
    <row r="551" spans="1:20" x14ac:dyDescent="0.25">
      <c r="A551" s="5">
        <v>44042</v>
      </c>
      <c r="B551">
        <v>1.5003</v>
      </c>
      <c r="C551">
        <v>1.64</v>
      </c>
      <c r="D551">
        <v>1.4944</v>
      </c>
      <c r="E551">
        <v>1.5293000000000001</v>
      </c>
      <c r="F551">
        <v>1992676.53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-0.52060439560439331</v>
      </c>
      <c r="Q551">
        <f t="shared" si="985"/>
        <v>-1037396.1605357097</v>
      </c>
      <c r="R551">
        <f t="shared" si="986"/>
        <v>-30788372.596472096</v>
      </c>
      <c r="S551">
        <f t="shared" si="987"/>
        <v>-307.88372596472095</v>
      </c>
      <c r="T551">
        <f t="shared" si="988"/>
        <v>-0.30788372596472097</v>
      </c>
    </row>
    <row r="552" spans="1:20" x14ac:dyDescent="0.25">
      <c r="A552" s="5">
        <v>44041</v>
      </c>
      <c r="B552">
        <v>1.4958</v>
      </c>
      <c r="C552">
        <v>1.5329999999999999</v>
      </c>
      <c r="D552">
        <v>1.4761</v>
      </c>
      <c r="E552">
        <v>1.5003</v>
      </c>
      <c r="F552">
        <v>771124.63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-0.1493848857644984</v>
      </c>
      <c r="Q552">
        <f t="shared" si="985"/>
        <v>-115194.3647627411</v>
      </c>
      <c r="R552">
        <f t="shared" si="986"/>
        <v>-29750976.435936388</v>
      </c>
      <c r="S552">
        <f t="shared" si="987"/>
        <v>-297.50976435936388</v>
      </c>
      <c r="T552">
        <f t="shared" si="988"/>
        <v>-0.29750976435936388</v>
      </c>
    </row>
    <row r="553" spans="1:20" x14ac:dyDescent="0.25">
      <c r="A553" s="5">
        <v>44040</v>
      </c>
      <c r="B553">
        <v>1.4718</v>
      </c>
      <c r="C553">
        <v>1.5267999999999999</v>
      </c>
      <c r="D553">
        <v>1.4553</v>
      </c>
      <c r="E553">
        <v>1.4994000000000001</v>
      </c>
      <c r="F553">
        <v>825170.97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0.23356643356643614</v>
      </c>
      <c r="Q553">
        <f t="shared" si="985"/>
        <v>192732.24054545665</v>
      </c>
      <c r="R553">
        <f t="shared" si="986"/>
        <v>-29635782.071173646</v>
      </c>
      <c r="S553">
        <f t="shared" si="987"/>
        <v>-296.35782071173645</v>
      </c>
      <c r="T553">
        <f t="shared" si="988"/>
        <v>-0.29635782071173644</v>
      </c>
    </row>
    <row r="554" spans="1:20" x14ac:dyDescent="0.25">
      <c r="A554" s="5">
        <v>44039</v>
      </c>
      <c r="B554">
        <v>1.5224</v>
      </c>
      <c r="C554">
        <v>1.5262</v>
      </c>
      <c r="D554">
        <v>1.3761000000000001</v>
      </c>
      <c r="E554">
        <v>1.4734</v>
      </c>
      <c r="F554">
        <v>1272977.6000000001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0.29646902065289815</v>
      </c>
      <c r="Q554">
        <f t="shared" si="985"/>
        <v>377398.42238507676</v>
      </c>
      <c r="R554">
        <f t="shared" si="986"/>
        <v>-29828514.311719101</v>
      </c>
      <c r="S554">
        <f t="shared" si="987"/>
        <v>-298.28514311719101</v>
      </c>
      <c r="T554">
        <f t="shared" si="988"/>
        <v>-0.29828514311719101</v>
      </c>
    </row>
    <row r="555" spans="1:20" x14ac:dyDescent="0.25">
      <c r="A555" s="5">
        <v>44038</v>
      </c>
      <c r="B555">
        <v>1.5237000000000001</v>
      </c>
      <c r="C555">
        <v>1.5371999999999999</v>
      </c>
      <c r="D555">
        <v>1.4447000000000001</v>
      </c>
      <c r="E555">
        <v>1.5249999999999999</v>
      </c>
      <c r="F555">
        <v>1158055.03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0.73621621621621591</v>
      </c>
      <c r="Q555">
        <f t="shared" si="985"/>
        <v>852578.89235675638</v>
      </c>
      <c r="R555">
        <f t="shared" si="986"/>
        <v>-30205912.734104179</v>
      </c>
      <c r="S555">
        <f t="shared" si="987"/>
        <v>-302.0591273410418</v>
      </c>
      <c r="T555">
        <f t="shared" si="988"/>
        <v>-0.30205912734104179</v>
      </c>
    </row>
    <row r="556" spans="1:20" x14ac:dyDescent="0.25">
      <c r="A556" s="5">
        <v>44037</v>
      </c>
      <c r="B556">
        <v>1.5649999999999999</v>
      </c>
      <c r="C556">
        <v>1.6081000000000001</v>
      </c>
      <c r="D556">
        <v>1.4981</v>
      </c>
      <c r="E556">
        <v>1.5269999999999999</v>
      </c>
      <c r="F556">
        <v>844255.52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-0.47454545454545638</v>
      </c>
      <c r="Q556">
        <f t="shared" si="985"/>
        <v>-400637.61949091067</v>
      </c>
      <c r="R556">
        <f t="shared" si="986"/>
        <v>-31058491.626460936</v>
      </c>
      <c r="S556">
        <f t="shared" si="987"/>
        <v>-310.58491626460938</v>
      </c>
      <c r="T556">
        <f t="shared" si="988"/>
        <v>-0.31058491626460938</v>
      </c>
    </row>
    <row r="557" spans="1:20" x14ac:dyDescent="0.25">
      <c r="A557" s="5">
        <v>44036</v>
      </c>
      <c r="B557">
        <v>1.5863</v>
      </c>
      <c r="C557">
        <v>1.6904999999999999</v>
      </c>
      <c r="D557">
        <v>1.5281</v>
      </c>
      <c r="E557">
        <v>1.5617000000000001</v>
      </c>
      <c r="F557">
        <v>1279357.04</v>
      </c>
      <c r="G557">
        <v>0</v>
      </c>
      <c r="L557" t="s">
        <v>8</v>
      </c>
      <c r="M557" t="s">
        <v>7</v>
      </c>
      <c r="N557" t="s">
        <v>8</v>
      </c>
      <c r="P557">
        <f t="shared" si="984"/>
        <v>-0.58620689655172287</v>
      </c>
      <c r="Q557">
        <f t="shared" si="985"/>
        <v>-749967.91999999841</v>
      </c>
      <c r="R557">
        <f t="shared" si="986"/>
        <v>-30657854.006970026</v>
      </c>
      <c r="S557">
        <f t="shared" si="987"/>
        <v>-306.57854006970024</v>
      </c>
      <c r="T557">
        <f t="shared" si="988"/>
        <v>-0.30657854006970026</v>
      </c>
    </row>
    <row r="558" spans="1:20" x14ac:dyDescent="0.25">
      <c r="A558" s="5">
        <v>44035</v>
      </c>
      <c r="B558">
        <v>1.6716</v>
      </c>
      <c r="C558">
        <v>1.6994</v>
      </c>
      <c r="D558">
        <v>1.5456000000000001</v>
      </c>
      <c r="E558">
        <v>1.5880000000000001</v>
      </c>
      <c r="F558">
        <v>1770266.51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-0.44863459037711301</v>
      </c>
      <c r="Q558">
        <f t="shared" si="985"/>
        <v>-794202.79057217145</v>
      </c>
      <c r="R558">
        <f t="shared" si="986"/>
        <v>-29907886.086970028</v>
      </c>
      <c r="S558">
        <f t="shared" si="987"/>
        <v>-299.07886086970029</v>
      </c>
      <c r="T558">
        <f t="shared" si="988"/>
        <v>-0.29907886086970031</v>
      </c>
    </row>
    <row r="559" spans="1:20" x14ac:dyDescent="0.25">
      <c r="A559" s="5">
        <v>44034</v>
      </c>
      <c r="B559">
        <v>1.6580999999999999</v>
      </c>
      <c r="C559">
        <v>1.76</v>
      </c>
      <c r="D559">
        <v>1.639</v>
      </c>
      <c r="E559">
        <v>1.6715</v>
      </c>
      <c r="F559">
        <v>1987515.48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-0.4628099173553723</v>
      </c>
      <c r="Q559">
        <f t="shared" si="985"/>
        <v>-919841.87504132313</v>
      </c>
      <c r="R559">
        <f t="shared" si="986"/>
        <v>-29113683.296397857</v>
      </c>
      <c r="S559">
        <f t="shared" si="987"/>
        <v>-291.13683296397858</v>
      </c>
      <c r="T559">
        <f t="shared" si="988"/>
        <v>-0.29113683296397858</v>
      </c>
    </row>
    <row r="560" spans="1:20" x14ac:dyDescent="0.25">
      <c r="A560" s="5">
        <v>44033</v>
      </c>
      <c r="B560">
        <v>1.5994999999999999</v>
      </c>
      <c r="C560">
        <v>1.7661</v>
      </c>
      <c r="D560">
        <v>1.5382</v>
      </c>
      <c r="E560">
        <v>1.6580999999999999</v>
      </c>
      <c r="F560">
        <v>2693354.78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5.2215884159718298E-2</v>
      </c>
      <c r="Q560">
        <f t="shared" si="985"/>
        <v>140635.90119350355</v>
      </c>
      <c r="R560">
        <f t="shared" si="986"/>
        <v>-28193841.421356533</v>
      </c>
      <c r="S560">
        <f t="shared" si="987"/>
        <v>-281.93841421356535</v>
      </c>
      <c r="T560">
        <f t="shared" si="988"/>
        <v>-0.28193841421356536</v>
      </c>
    </row>
    <row r="561" spans="1:104" x14ac:dyDescent="0.25">
      <c r="A561" s="5">
        <v>44032</v>
      </c>
      <c r="B561">
        <v>1.4599</v>
      </c>
      <c r="C561">
        <v>1.8</v>
      </c>
      <c r="D561">
        <v>1.4308000000000001</v>
      </c>
      <c r="E561">
        <v>1.5995999999999999</v>
      </c>
      <c r="F561">
        <v>6510211.9299999997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-8.5590465872156823E-2</v>
      </c>
      <c r="Q561">
        <f t="shared" si="985"/>
        <v>-557212.07201517315</v>
      </c>
      <c r="R561">
        <f t="shared" si="986"/>
        <v>-28334477.322550036</v>
      </c>
      <c r="S561">
        <f t="shared" si="987"/>
        <v>-283.34477322550038</v>
      </c>
      <c r="T561">
        <f t="shared" si="988"/>
        <v>-0.28334477322550039</v>
      </c>
      <c r="CZ561" t="s">
        <v>7</v>
      </c>
    </row>
    <row r="562" spans="1:104" x14ac:dyDescent="0.25">
      <c r="A562" s="5">
        <v>44031</v>
      </c>
      <c r="B562">
        <v>1.4689000000000001</v>
      </c>
      <c r="C562">
        <v>1.51</v>
      </c>
      <c r="D562">
        <v>1.4049</v>
      </c>
      <c r="E562">
        <v>1.4572000000000001</v>
      </c>
      <c r="F562">
        <v>988886.24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-4.7573739295903436E-3</v>
      </c>
      <c r="Q562">
        <f t="shared" si="985"/>
        <v>-4704.5016175066194</v>
      </c>
      <c r="R562">
        <f t="shared" si="986"/>
        <v>-27777265.250534862</v>
      </c>
      <c r="S562">
        <f t="shared" si="987"/>
        <v>-277.77265250534862</v>
      </c>
      <c r="T562">
        <f t="shared" si="988"/>
        <v>-0.27777265250534861</v>
      </c>
      <c r="CZ562" t="s">
        <v>7</v>
      </c>
    </row>
    <row r="563" spans="1:104" x14ac:dyDescent="0.25">
      <c r="A563" s="5">
        <v>44030</v>
      </c>
      <c r="B563">
        <v>1.4589000000000001</v>
      </c>
      <c r="C563">
        <v>1.5422</v>
      </c>
      <c r="D563">
        <v>1.3977999999999999</v>
      </c>
      <c r="E563">
        <v>1.4689000000000001</v>
      </c>
      <c r="F563">
        <v>1663081.91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-1.5235457063710224E-2</v>
      </c>
      <c r="Q563">
        <f t="shared" si="985"/>
        <v>-25337.813033238188</v>
      </c>
      <c r="R563">
        <f t="shared" si="986"/>
        <v>-27772560.748917356</v>
      </c>
      <c r="S563">
        <f t="shared" si="987"/>
        <v>-277.72560748917357</v>
      </c>
      <c r="T563">
        <f t="shared" si="988"/>
        <v>-0.27772560748917358</v>
      </c>
      <c r="CZ563" t="s">
        <v>7</v>
      </c>
    </row>
    <row r="564" spans="1:104" x14ac:dyDescent="0.25">
      <c r="A564" s="5">
        <v>44029</v>
      </c>
      <c r="B564">
        <v>1.3517999999999999</v>
      </c>
      <c r="C564">
        <v>1.6194</v>
      </c>
      <c r="D564">
        <v>1.3158000000000001</v>
      </c>
      <c r="E564">
        <v>1.4601</v>
      </c>
      <c r="F564">
        <v>4619804.59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-4.9407114624506358E-2</v>
      </c>
      <c r="Q564">
        <f t="shared" si="985"/>
        <v>-228251.21492095059</v>
      </c>
      <c r="R564">
        <f t="shared" si="986"/>
        <v>-27747222.935884118</v>
      </c>
      <c r="S564">
        <f t="shared" si="987"/>
        <v>-277.47222935884116</v>
      </c>
      <c r="T564">
        <f t="shared" si="988"/>
        <v>-0.27747222935884114</v>
      </c>
    </row>
    <row r="565" spans="1:104" x14ac:dyDescent="0.25">
      <c r="A565" s="5">
        <v>44028</v>
      </c>
      <c r="B565">
        <v>1.3227</v>
      </c>
      <c r="C565">
        <v>1.58</v>
      </c>
      <c r="D565">
        <v>1.2059</v>
      </c>
      <c r="E565">
        <v>1.3487</v>
      </c>
      <c r="F565">
        <v>6591009.4400000004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-0.23656776263031276</v>
      </c>
      <c r="Q565">
        <f t="shared" si="985"/>
        <v>-1559220.3566960706</v>
      </c>
      <c r="R565">
        <f t="shared" si="986"/>
        <v>-27518971.720963169</v>
      </c>
      <c r="S565">
        <f t="shared" si="987"/>
        <v>-275.18971720963168</v>
      </c>
      <c r="T565">
        <f t="shared" si="988"/>
        <v>-0.2751897172096317</v>
      </c>
    </row>
    <row r="566" spans="1:104" x14ac:dyDescent="0.25">
      <c r="A566" s="5">
        <v>44027</v>
      </c>
      <c r="B566">
        <v>1.319</v>
      </c>
      <c r="C566">
        <v>1.4198999999999999</v>
      </c>
      <c r="D566">
        <v>1.29</v>
      </c>
      <c r="E566">
        <v>1.3214999999999999</v>
      </c>
      <c r="F566">
        <v>3813002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-0.51501154734411259</v>
      </c>
      <c r="Q566">
        <f t="shared" si="985"/>
        <v>-1963740.060046196</v>
      </c>
      <c r="R566">
        <f t="shared" si="986"/>
        <v>-25959751.3642671</v>
      </c>
      <c r="S566">
        <f t="shared" si="987"/>
        <v>-259.597513642671</v>
      </c>
      <c r="T566">
        <f t="shared" si="988"/>
        <v>-0.25959751364267103</v>
      </c>
    </row>
    <row r="567" spans="1:104" x14ac:dyDescent="0.25">
      <c r="A567" s="5">
        <v>44026</v>
      </c>
      <c r="B567">
        <v>1.1795</v>
      </c>
      <c r="C567">
        <v>1.3194999999999999</v>
      </c>
      <c r="D567">
        <v>1.1647000000000001</v>
      </c>
      <c r="E567">
        <v>1.3189</v>
      </c>
      <c r="F567">
        <v>2509371.69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0.99224806201550475</v>
      </c>
      <c r="Q567">
        <f t="shared" si="985"/>
        <v>2489919.1962790717</v>
      </c>
      <c r="R567">
        <f t="shared" si="986"/>
        <v>-23996011.304220904</v>
      </c>
      <c r="S567">
        <f t="shared" si="987"/>
        <v>-239.96011304220903</v>
      </c>
      <c r="T567">
        <f t="shared" si="988"/>
        <v>-0.23996011304220904</v>
      </c>
    </row>
    <row r="568" spans="1:104" x14ac:dyDescent="0.25">
      <c r="A568" s="5">
        <v>44025</v>
      </c>
      <c r="B568">
        <v>1.2136</v>
      </c>
      <c r="C568">
        <v>1.222</v>
      </c>
      <c r="D568">
        <v>1.1615</v>
      </c>
      <c r="E568">
        <v>1.1835</v>
      </c>
      <c r="F568">
        <v>732169.51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-0.27272727272727204</v>
      </c>
      <c r="Q568">
        <f t="shared" si="985"/>
        <v>-199682.59363636313</v>
      </c>
      <c r="R568">
        <f t="shared" si="986"/>
        <v>-26485930.500499975</v>
      </c>
      <c r="S568">
        <f t="shared" si="987"/>
        <v>-264.85930500499973</v>
      </c>
      <c r="T568">
        <f t="shared" si="988"/>
        <v>-0.26485930500499971</v>
      </c>
    </row>
    <row r="569" spans="1:104" x14ac:dyDescent="0.25">
      <c r="A569" s="5">
        <v>44024</v>
      </c>
      <c r="B569">
        <v>1.2010000000000001</v>
      </c>
      <c r="C569">
        <v>1.2299</v>
      </c>
      <c r="D569">
        <v>1.1854</v>
      </c>
      <c r="E569">
        <v>1.2111000000000001</v>
      </c>
      <c r="F569">
        <v>925904.35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0.15505617977528383</v>
      </c>
      <c r="Q569">
        <f t="shared" si="985"/>
        <v>143567.19134831731</v>
      </c>
      <c r="R569">
        <f t="shared" si="986"/>
        <v>-26286247.906863611</v>
      </c>
      <c r="S569">
        <f t="shared" si="987"/>
        <v>-262.86247906863611</v>
      </c>
      <c r="T569">
        <f t="shared" si="988"/>
        <v>-0.26286247906863608</v>
      </c>
    </row>
    <row r="570" spans="1:104" x14ac:dyDescent="0.25">
      <c r="A570" s="5">
        <v>44023</v>
      </c>
      <c r="B570">
        <v>1.1605000000000001</v>
      </c>
      <c r="C570">
        <v>1.2069000000000001</v>
      </c>
      <c r="D570">
        <v>1.1553</v>
      </c>
      <c r="E570">
        <v>1.2008000000000001</v>
      </c>
      <c r="F570">
        <v>647787.41</v>
      </c>
      <c r="G570">
        <v>0</v>
      </c>
      <c r="L570" t="s">
        <v>8</v>
      </c>
      <c r="M570" t="s">
        <v>7</v>
      </c>
      <c r="N570" t="s">
        <v>8</v>
      </c>
      <c r="P570">
        <f t="shared" si="984"/>
        <v>0.7635658914728688</v>
      </c>
      <c r="Q570">
        <f t="shared" si="985"/>
        <v>494628.37120155076</v>
      </c>
      <c r="R570">
        <f t="shared" si="986"/>
        <v>-26429815.098211929</v>
      </c>
      <c r="S570">
        <f t="shared" si="987"/>
        <v>-264.2981509821193</v>
      </c>
      <c r="T570">
        <f t="shared" si="988"/>
        <v>-0.26429815098211928</v>
      </c>
    </row>
    <row r="571" spans="1:104" x14ac:dyDescent="0.25">
      <c r="A571" s="5">
        <v>44022</v>
      </c>
      <c r="B571">
        <v>1.1719999999999999</v>
      </c>
      <c r="C571">
        <v>1.2</v>
      </c>
      <c r="D571">
        <v>1.0409999999999999</v>
      </c>
      <c r="E571">
        <v>1.1585000000000001</v>
      </c>
      <c r="F571">
        <v>783627.57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0.47798742138364952</v>
      </c>
      <c r="Q571">
        <f t="shared" si="985"/>
        <v>374564.1215094353</v>
      </c>
      <c r="R571">
        <f t="shared" si="986"/>
        <v>-26924443.469413482</v>
      </c>
      <c r="S571">
        <f t="shared" si="987"/>
        <v>-269.24443469413484</v>
      </c>
      <c r="T571">
        <f t="shared" si="988"/>
        <v>-0.26924443469413484</v>
      </c>
    </row>
    <row r="572" spans="1:104" x14ac:dyDescent="0.25">
      <c r="A572" s="5">
        <v>44021</v>
      </c>
      <c r="B572">
        <v>1.2118</v>
      </c>
      <c r="C572">
        <v>1.2228000000000001</v>
      </c>
      <c r="D572">
        <v>1.1479999999999999</v>
      </c>
      <c r="E572">
        <v>1.1704000000000001</v>
      </c>
      <c r="F572">
        <v>787551.16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-0.40106951871657387</v>
      </c>
      <c r="Q572">
        <f t="shared" si="985"/>
        <v>-315862.7647058795</v>
      </c>
      <c r="R572">
        <f t="shared" si="986"/>
        <v>-27299007.590922918</v>
      </c>
      <c r="S572">
        <f t="shared" si="987"/>
        <v>-272.99007590922918</v>
      </c>
      <c r="T572">
        <f t="shared" si="988"/>
        <v>-0.27299007590922919</v>
      </c>
    </row>
    <row r="573" spans="1:104" x14ac:dyDescent="0.25">
      <c r="A573" s="5">
        <v>44020</v>
      </c>
      <c r="B573">
        <v>1.1675</v>
      </c>
      <c r="C573">
        <v>1.2182999999999999</v>
      </c>
      <c r="D573">
        <v>1.1572</v>
      </c>
      <c r="E573">
        <v>1.2117</v>
      </c>
      <c r="F573">
        <v>1120059.79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0.78396072013093465</v>
      </c>
      <c r="Q573">
        <f t="shared" si="985"/>
        <v>878082.87955810351</v>
      </c>
      <c r="R573">
        <f t="shared" si="986"/>
        <v>-26983144.82621704</v>
      </c>
      <c r="S573">
        <f t="shared" si="987"/>
        <v>-269.8314482621704</v>
      </c>
      <c r="T573">
        <f t="shared" si="988"/>
        <v>-0.26983144826217037</v>
      </c>
    </row>
    <row r="574" spans="1:104" x14ac:dyDescent="0.25">
      <c r="A574" s="5">
        <v>44019</v>
      </c>
      <c r="B574">
        <v>1.1579999999999999</v>
      </c>
      <c r="C574">
        <v>1.1753</v>
      </c>
      <c r="D574">
        <v>1.1420999999999999</v>
      </c>
      <c r="E574">
        <v>1.1672</v>
      </c>
      <c r="F574">
        <v>389815.47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0.51204819277108626</v>
      </c>
      <c r="Q574">
        <f t="shared" si="985"/>
        <v>199604.30692771159</v>
      </c>
      <c r="R574">
        <f t="shared" si="986"/>
        <v>-27861227.705775145</v>
      </c>
      <c r="S574">
        <f t="shared" si="987"/>
        <v>-278.61227705775144</v>
      </c>
      <c r="T574">
        <f t="shared" si="988"/>
        <v>-0.27861227705775143</v>
      </c>
    </row>
    <row r="575" spans="1:104" x14ac:dyDescent="0.25">
      <c r="A575" s="5">
        <v>44018</v>
      </c>
      <c r="B575">
        <v>1.1160000000000001</v>
      </c>
      <c r="C575">
        <v>1.1597</v>
      </c>
      <c r="D575">
        <v>1.1138999999999999</v>
      </c>
      <c r="E575">
        <v>1.1597</v>
      </c>
      <c r="F575">
        <v>354168.4</v>
      </c>
      <c r="G575">
        <v>0</v>
      </c>
      <c r="L575" t="s">
        <v>7</v>
      </c>
      <c r="M575" t="s">
        <v>7</v>
      </c>
      <c r="N575" t="s">
        <v>8</v>
      </c>
      <c r="P575">
        <f t="shared" si="984"/>
        <v>1</v>
      </c>
      <c r="Q575">
        <f t="shared" si="985"/>
        <v>354168.4</v>
      </c>
      <c r="R575">
        <f t="shared" si="986"/>
        <v>-28060832.012702856</v>
      </c>
      <c r="S575">
        <f t="shared" si="987"/>
        <v>-280.60832012702855</v>
      </c>
      <c r="T575">
        <f t="shared" si="988"/>
        <v>-0.28060832012702852</v>
      </c>
    </row>
    <row r="576" spans="1:104" x14ac:dyDescent="0.25">
      <c r="A576" s="5">
        <v>44017</v>
      </c>
      <c r="B576">
        <v>1.1305000000000001</v>
      </c>
      <c r="C576">
        <v>1.1309</v>
      </c>
      <c r="D576">
        <v>1.1001000000000001</v>
      </c>
      <c r="E576">
        <v>1.1160000000000001</v>
      </c>
      <c r="F576">
        <v>202686.56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3.2467532467536163E-2</v>
      </c>
      <c r="Q576">
        <f t="shared" si="985"/>
        <v>6580.7324675332165</v>
      </c>
      <c r="R576">
        <f t="shared" si="986"/>
        <v>-28415000.412702855</v>
      </c>
      <c r="S576">
        <f t="shared" si="987"/>
        <v>-284.15000412702852</v>
      </c>
      <c r="T576">
        <f t="shared" si="988"/>
        <v>-0.28415000412702851</v>
      </c>
    </row>
    <row r="577" spans="1:20" x14ac:dyDescent="0.25">
      <c r="A577" s="5">
        <v>44016</v>
      </c>
      <c r="B577">
        <v>1.119</v>
      </c>
      <c r="C577">
        <v>1.1339999999999999</v>
      </c>
      <c r="D577">
        <v>1.0989</v>
      </c>
      <c r="E577">
        <v>1.1305000000000001</v>
      </c>
      <c r="F577">
        <v>143131.31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0.80056980056980942</v>
      </c>
      <c r="Q577">
        <f t="shared" si="985"/>
        <v>114586.60430199557</v>
      </c>
      <c r="R577">
        <f t="shared" si="986"/>
        <v>-28421581.145170387</v>
      </c>
      <c r="S577">
        <f t="shared" si="987"/>
        <v>-284.21581145170387</v>
      </c>
      <c r="T577">
        <f t="shared" si="988"/>
        <v>-0.28421581145170388</v>
      </c>
    </row>
    <row r="578" spans="1:20" x14ac:dyDescent="0.25">
      <c r="A578" s="5">
        <v>44015</v>
      </c>
      <c r="B578">
        <v>1.1289</v>
      </c>
      <c r="C578">
        <v>1.1358999999999999</v>
      </c>
      <c r="D578">
        <v>1.1200000000000001</v>
      </c>
      <c r="E578">
        <v>1.121</v>
      </c>
      <c r="F578">
        <v>150254.82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-0.87421383647799977</v>
      </c>
      <c r="Q578">
        <f t="shared" si="985"/>
        <v>-131354.84264151129</v>
      </c>
      <c r="R578">
        <f t="shared" si="986"/>
        <v>-28536167.749472383</v>
      </c>
      <c r="S578">
        <f t="shared" si="987"/>
        <v>-285.36167749472384</v>
      </c>
      <c r="T578">
        <f t="shared" si="988"/>
        <v>-0.28536167749472385</v>
      </c>
    </row>
    <row r="579" spans="1:20" x14ac:dyDescent="0.25">
      <c r="A579" s="5">
        <v>44014</v>
      </c>
      <c r="B579">
        <v>1.1531</v>
      </c>
      <c r="C579">
        <v>1.1875</v>
      </c>
      <c r="D579">
        <v>1.1121000000000001</v>
      </c>
      <c r="E579">
        <v>1.1257999999999999</v>
      </c>
      <c r="F579">
        <v>772563.92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-0.63660477453581332</v>
      </c>
      <c r="Q579">
        <f t="shared" si="985"/>
        <v>-491817.88010610413</v>
      </c>
      <c r="R579">
        <f t="shared" si="986"/>
        <v>-28404812.906830873</v>
      </c>
      <c r="S579">
        <f t="shared" si="987"/>
        <v>-284.04812906830875</v>
      </c>
      <c r="T579">
        <f t="shared" si="988"/>
        <v>-0.28404812906830873</v>
      </c>
    </row>
    <row r="580" spans="1:20" x14ac:dyDescent="0.25">
      <c r="A580" s="5">
        <v>44013</v>
      </c>
      <c r="B580">
        <v>1.1212</v>
      </c>
      <c r="C580">
        <v>1.1658999999999999</v>
      </c>
      <c r="D580">
        <v>1.1155999999999999</v>
      </c>
      <c r="E580">
        <v>1.1515</v>
      </c>
      <c r="F580">
        <v>199224.25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0.42743538767395767</v>
      </c>
      <c r="Q580">
        <f t="shared" si="985"/>
        <v>85155.494532803466</v>
      </c>
      <c r="R580">
        <f t="shared" si="986"/>
        <v>-27912995.026724771</v>
      </c>
      <c r="S580">
        <f t="shared" si="987"/>
        <v>-279.12995026724769</v>
      </c>
      <c r="T580">
        <f t="shared" si="988"/>
        <v>-0.27912995026724768</v>
      </c>
    </row>
    <row r="581" spans="1:20" x14ac:dyDescent="0.25">
      <c r="A581" s="5">
        <v>44012</v>
      </c>
      <c r="B581">
        <v>1.1439999999999999</v>
      </c>
      <c r="C581">
        <v>1.145</v>
      </c>
      <c r="D581">
        <v>1.1176999999999999</v>
      </c>
      <c r="E581">
        <v>1.1200000000000001</v>
      </c>
      <c r="F581">
        <v>148610.14000000001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-0.83150183150181811</v>
      </c>
      <c r="Q581">
        <f t="shared" si="985"/>
        <v>-123569.60358974161</v>
      </c>
      <c r="R581">
        <f t="shared" si="986"/>
        <v>-27998150.521257576</v>
      </c>
      <c r="S581">
        <f t="shared" si="987"/>
        <v>-279.98150521257577</v>
      </c>
      <c r="T581">
        <f t="shared" si="988"/>
        <v>-0.27998150521257575</v>
      </c>
    </row>
    <row r="582" spans="1:20" x14ac:dyDescent="0.25">
      <c r="A582" s="5">
        <v>44011</v>
      </c>
      <c r="B582">
        <v>1.1346000000000001</v>
      </c>
      <c r="C582">
        <v>1.1497999999999999</v>
      </c>
      <c r="D582">
        <v>1.1138999999999999</v>
      </c>
      <c r="E582">
        <v>1.141</v>
      </c>
      <c r="F582">
        <v>269004.63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0.50974930362117499</v>
      </c>
      <c r="Q582">
        <f t="shared" ref="Q582:Q645" si="990">F582*P582</f>
        <v>137124.92281337184</v>
      </c>
      <c r="R582">
        <f t="shared" ref="R582:R645" si="991">R583+Q582</f>
        <v>-27874580.917667832</v>
      </c>
      <c r="S582">
        <f t="shared" ref="S582:S645" si="992">R582/100000</f>
        <v>-278.74580917667834</v>
      </c>
      <c r="T582">
        <f t="shared" ref="T582:T645" si="993">S582/1000</f>
        <v>-0.27874580917667835</v>
      </c>
    </row>
    <row r="583" spans="1:20" x14ac:dyDescent="0.25">
      <c r="A583" s="5">
        <v>44010</v>
      </c>
      <c r="B583">
        <v>1.1133</v>
      </c>
      <c r="C583">
        <v>1.1395</v>
      </c>
      <c r="D583">
        <v>1.1006</v>
      </c>
      <c r="E583">
        <v>1.1338999999999999</v>
      </c>
      <c r="F583">
        <v>185962.93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0.71208226221079385</v>
      </c>
      <c r="Q583">
        <f t="shared" si="990"/>
        <v>132420.90388174751</v>
      </c>
      <c r="R583">
        <f t="shared" si="991"/>
        <v>-28011705.840481203</v>
      </c>
      <c r="S583">
        <f t="shared" si="992"/>
        <v>-280.11705840481204</v>
      </c>
      <c r="T583">
        <f t="shared" si="993"/>
        <v>-0.28011705840481205</v>
      </c>
    </row>
    <row r="584" spans="1:20" x14ac:dyDescent="0.25">
      <c r="A584" s="5">
        <v>44009</v>
      </c>
      <c r="B584">
        <v>1.1541999999999999</v>
      </c>
      <c r="C584">
        <v>1.1895</v>
      </c>
      <c r="D584">
        <v>1.0701000000000001</v>
      </c>
      <c r="E584">
        <v>1.1133</v>
      </c>
      <c r="F584">
        <v>448811.69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-0.27638190954774</v>
      </c>
      <c r="Q584">
        <f t="shared" si="990"/>
        <v>-124043.43190954832</v>
      </c>
      <c r="R584">
        <f t="shared" si="991"/>
        <v>-28144126.74436295</v>
      </c>
      <c r="S584">
        <f t="shared" si="992"/>
        <v>-281.4412674436295</v>
      </c>
      <c r="T584">
        <f t="shared" si="993"/>
        <v>-0.28144126744362952</v>
      </c>
    </row>
    <row r="585" spans="1:20" x14ac:dyDescent="0.25">
      <c r="A585" s="5">
        <v>44008</v>
      </c>
      <c r="B585">
        <v>1.1835</v>
      </c>
      <c r="C585">
        <v>1.1835</v>
      </c>
      <c r="D585">
        <v>1.1496999999999999</v>
      </c>
      <c r="E585">
        <v>1.1541999999999999</v>
      </c>
      <c r="F585">
        <v>354616.04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-0.73372781065089099</v>
      </c>
      <c r="Q585">
        <f t="shared" si="990"/>
        <v>-260191.65065088877</v>
      </c>
      <c r="R585">
        <f t="shared" si="991"/>
        <v>-28020083.3124534</v>
      </c>
      <c r="S585">
        <f t="shared" si="992"/>
        <v>-280.20083312453403</v>
      </c>
      <c r="T585">
        <f t="shared" si="993"/>
        <v>-0.28020083312453403</v>
      </c>
    </row>
    <row r="586" spans="1:20" x14ac:dyDescent="0.25">
      <c r="A586" s="5">
        <v>44007</v>
      </c>
      <c r="B586">
        <v>1.1845000000000001</v>
      </c>
      <c r="C586">
        <v>1.1910000000000001</v>
      </c>
      <c r="D586">
        <v>1.1499999999999999</v>
      </c>
      <c r="E586">
        <v>1.1848000000000001</v>
      </c>
      <c r="F586">
        <v>438687.52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0.69756097560975805</v>
      </c>
      <c r="Q586">
        <f t="shared" si="990"/>
        <v>306011.29443902528</v>
      </c>
      <c r="R586">
        <f t="shared" si="991"/>
        <v>-27759891.661802512</v>
      </c>
      <c r="S586">
        <f t="shared" si="992"/>
        <v>-277.5989166180251</v>
      </c>
      <c r="T586">
        <f t="shared" si="993"/>
        <v>-0.2775989166180251</v>
      </c>
    </row>
    <row r="587" spans="1:20" x14ac:dyDescent="0.25">
      <c r="A587" s="5">
        <v>44006</v>
      </c>
      <c r="B587">
        <v>1.2390000000000001</v>
      </c>
      <c r="C587">
        <v>1.2475000000000001</v>
      </c>
      <c r="D587">
        <v>1.1615</v>
      </c>
      <c r="E587">
        <v>1.1849000000000001</v>
      </c>
      <c r="F587">
        <v>548775.31000000006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-0.45581395348837056</v>
      </c>
      <c r="Q587">
        <f t="shared" si="990"/>
        <v>-250139.44362790615</v>
      </c>
      <c r="R587">
        <f t="shared" si="991"/>
        <v>-28065902.956241537</v>
      </c>
      <c r="S587">
        <f t="shared" si="992"/>
        <v>-280.65902956241536</v>
      </c>
      <c r="T587">
        <f t="shared" si="993"/>
        <v>-0.28065902956241534</v>
      </c>
    </row>
    <row r="588" spans="1:20" x14ac:dyDescent="0.25">
      <c r="A588" s="5">
        <v>44005</v>
      </c>
      <c r="B588">
        <v>1.228</v>
      </c>
      <c r="C588">
        <v>1.2629999999999999</v>
      </c>
      <c r="D588">
        <v>1.2263999999999999</v>
      </c>
      <c r="E588">
        <v>1.2390000000000001</v>
      </c>
      <c r="F588">
        <v>416893.36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-0.31147540983605582</v>
      </c>
      <c r="Q588">
        <f t="shared" si="990"/>
        <v>-129852.03016393035</v>
      </c>
      <c r="R588">
        <f t="shared" si="991"/>
        <v>-27815763.512613632</v>
      </c>
      <c r="S588">
        <f t="shared" si="992"/>
        <v>-278.15763512613631</v>
      </c>
      <c r="T588">
        <f t="shared" si="993"/>
        <v>-0.27815763512613634</v>
      </c>
    </row>
    <row r="589" spans="1:20" x14ac:dyDescent="0.25">
      <c r="A589" s="5">
        <v>44004</v>
      </c>
      <c r="B589">
        <v>1.2016</v>
      </c>
      <c r="C589">
        <v>1.2347999999999999</v>
      </c>
      <c r="D589">
        <v>1.1997</v>
      </c>
      <c r="E589">
        <v>1.2258</v>
      </c>
      <c r="F589">
        <v>360704.38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0.48717948717949172</v>
      </c>
      <c r="Q589">
        <f t="shared" si="990"/>
        <v>175727.77487179652</v>
      </c>
      <c r="R589">
        <f t="shared" si="991"/>
        <v>-27685911.482449703</v>
      </c>
      <c r="S589">
        <f t="shared" si="992"/>
        <v>-276.85911482449706</v>
      </c>
      <c r="T589">
        <f t="shared" si="993"/>
        <v>-0.27685911482449704</v>
      </c>
    </row>
    <row r="590" spans="1:20" x14ac:dyDescent="0.25">
      <c r="A590" s="5">
        <v>44003</v>
      </c>
      <c r="B590">
        <v>1.2023999999999999</v>
      </c>
      <c r="C590">
        <v>1.2275</v>
      </c>
      <c r="D590">
        <v>1.1960999999999999</v>
      </c>
      <c r="E590">
        <v>1.1997</v>
      </c>
      <c r="F590">
        <v>287048.23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-0.77070063694267277</v>
      </c>
      <c r="Q590">
        <f t="shared" si="990"/>
        <v>-221228.25369426681</v>
      </c>
      <c r="R590">
        <f t="shared" si="991"/>
        <v>-27861639.257321499</v>
      </c>
      <c r="S590">
        <f t="shared" si="992"/>
        <v>-278.61639257321497</v>
      </c>
      <c r="T590">
        <f t="shared" si="993"/>
        <v>-0.27861639257321497</v>
      </c>
    </row>
    <row r="591" spans="1:20" x14ac:dyDescent="0.25">
      <c r="A591" s="5">
        <v>44002</v>
      </c>
      <c r="B591">
        <v>1.2151000000000001</v>
      </c>
      <c r="C591">
        <v>1.2327999999999999</v>
      </c>
      <c r="D591">
        <v>1.1798999999999999</v>
      </c>
      <c r="E591">
        <v>1.2022999999999999</v>
      </c>
      <c r="F591">
        <v>422293.07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-0.15311909262759932</v>
      </c>
      <c r="Q591">
        <f t="shared" si="990"/>
        <v>-64661.131701323284</v>
      </c>
      <c r="R591">
        <f t="shared" si="991"/>
        <v>-27640411.003627233</v>
      </c>
      <c r="S591">
        <f t="shared" si="992"/>
        <v>-276.40411003627236</v>
      </c>
      <c r="T591">
        <f t="shared" si="993"/>
        <v>-0.27640411003627235</v>
      </c>
    </row>
    <row r="592" spans="1:20" x14ac:dyDescent="0.25">
      <c r="A592" s="5">
        <v>44001</v>
      </c>
      <c r="B592">
        <v>1.2335</v>
      </c>
      <c r="C592">
        <v>1.2513000000000001</v>
      </c>
      <c r="D592">
        <v>1.2004999999999999</v>
      </c>
      <c r="E592">
        <v>1.2151000000000001</v>
      </c>
      <c r="F592">
        <v>337658.23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-0.4251968503936962</v>
      </c>
      <c r="Q592">
        <f t="shared" si="990"/>
        <v>-143571.21590551027</v>
      </c>
      <c r="R592">
        <f t="shared" si="991"/>
        <v>-27575749.871925909</v>
      </c>
      <c r="S592">
        <f t="shared" si="992"/>
        <v>-275.7574987192591</v>
      </c>
      <c r="T592">
        <f t="shared" si="993"/>
        <v>-0.27575749871925909</v>
      </c>
    </row>
    <row r="593" spans="1:20" x14ac:dyDescent="0.25">
      <c r="A593" s="5">
        <v>44000</v>
      </c>
      <c r="B593">
        <v>1.2608999999999999</v>
      </c>
      <c r="C593">
        <v>1.2645999999999999</v>
      </c>
      <c r="D593">
        <v>1.214</v>
      </c>
      <c r="E593">
        <v>1.2375</v>
      </c>
      <c r="F593">
        <v>433993.44</v>
      </c>
      <c r="G593">
        <v>0</v>
      </c>
      <c r="L593" t="s">
        <v>7</v>
      </c>
      <c r="M593" t="s">
        <v>8</v>
      </c>
      <c r="N593" t="s">
        <v>8</v>
      </c>
      <c r="P593">
        <f t="shared" si="989"/>
        <v>-7.1146245059285115E-2</v>
      </c>
      <c r="Q593">
        <f t="shared" si="990"/>
        <v>-30877.003636362151</v>
      </c>
      <c r="R593">
        <f t="shared" si="991"/>
        <v>-27432178.656020399</v>
      </c>
      <c r="S593">
        <f t="shared" si="992"/>
        <v>-274.32178656020398</v>
      </c>
      <c r="T593">
        <f t="shared" si="993"/>
        <v>-0.27432178656020395</v>
      </c>
    </row>
    <row r="594" spans="1:20" x14ac:dyDescent="0.25">
      <c r="A594" s="5">
        <v>43999</v>
      </c>
      <c r="B594">
        <v>1.2561</v>
      </c>
      <c r="C594">
        <v>1.2924</v>
      </c>
      <c r="D594">
        <v>1.212</v>
      </c>
      <c r="E594">
        <v>1.2608999999999999</v>
      </c>
      <c r="F594">
        <v>760729.36</v>
      </c>
      <c r="G594">
        <v>0</v>
      </c>
      <c r="L594" t="s">
        <v>7</v>
      </c>
      <c r="M594" t="s">
        <v>8</v>
      </c>
      <c r="N594" t="s">
        <v>8</v>
      </c>
      <c r="P594">
        <f t="shared" si="989"/>
        <v>0.21641791044775938</v>
      </c>
      <c r="Q594">
        <f t="shared" si="990"/>
        <v>164635.4585074613</v>
      </c>
      <c r="R594">
        <f t="shared" si="991"/>
        <v>-27401301.652384035</v>
      </c>
      <c r="S594">
        <f t="shared" si="992"/>
        <v>-274.01301652384035</v>
      </c>
      <c r="T594">
        <f t="shared" si="993"/>
        <v>-0.27401301652384036</v>
      </c>
    </row>
    <row r="595" spans="1:20" x14ac:dyDescent="0.25">
      <c r="A595" s="5">
        <v>43998</v>
      </c>
      <c r="B595">
        <v>1.1671</v>
      </c>
      <c r="C595">
        <v>1.2999000000000001</v>
      </c>
      <c r="D595">
        <v>1.161</v>
      </c>
      <c r="E595">
        <v>1.2563</v>
      </c>
      <c r="F595">
        <v>2548664.71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0.37221022318214436</v>
      </c>
      <c r="Q595">
        <f t="shared" si="990"/>
        <v>948639.06052555528</v>
      </c>
      <c r="R595">
        <f t="shared" si="991"/>
        <v>-27565937.110891495</v>
      </c>
      <c r="S595">
        <f t="shared" si="992"/>
        <v>-275.65937110891497</v>
      </c>
      <c r="T595">
        <f t="shared" si="993"/>
        <v>-0.27565937110891497</v>
      </c>
    </row>
    <row r="596" spans="1:20" x14ac:dyDescent="0.25">
      <c r="A596" s="5">
        <v>43997</v>
      </c>
      <c r="B596">
        <v>1.1751</v>
      </c>
      <c r="C596">
        <v>1.1853</v>
      </c>
      <c r="D596">
        <v>1.0911999999999999</v>
      </c>
      <c r="E596">
        <v>1.1658999999999999</v>
      </c>
      <c r="F596">
        <v>779627.52000000002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0.58767268862911648</v>
      </c>
      <c r="Q596">
        <f t="shared" si="990"/>
        <v>458165.80080765032</v>
      </c>
      <c r="R596">
        <f t="shared" si="991"/>
        <v>-28514576.17141705</v>
      </c>
      <c r="S596">
        <f t="shared" si="992"/>
        <v>-285.14576171417048</v>
      </c>
      <c r="T596">
        <f t="shared" si="993"/>
        <v>-0.2851457617141705</v>
      </c>
    </row>
    <row r="597" spans="1:20" x14ac:dyDescent="0.25">
      <c r="A597" s="5">
        <v>43996</v>
      </c>
      <c r="B597">
        <v>1.2475000000000001</v>
      </c>
      <c r="C597">
        <v>1.2571000000000001</v>
      </c>
      <c r="D597">
        <v>1.1621999999999999</v>
      </c>
      <c r="E597">
        <v>1.1748000000000001</v>
      </c>
      <c r="F597">
        <v>473525.48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-0.73445732349841641</v>
      </c>
      <c r="Q597">
        <f t="shared" si="990"/>
        <v>-347784.2566491029</v>
      </c>
      <c r="R597">
        <f t="shared" si="991"/>
        <v>-28972741.972224701</v>
      </c>
      <c r="S597">
        <f t="shared" si="992"/>
        <v>-289.72741972224702</v>
      </c>
      <c r="T597">
        <f t="shared" si="993"/>
        <v>-0.28972741972224703</v>
      </c>
    </row>
    <row r="598" spans="1:20" x14ac:dyDescent="0.25">
      <c r="A598" s="5">
        <v>43995</v>
      </c>
      <c r="B598">
        <v>1.2121</v>
      </c>
      <c r="C598">
        <v>1.2609999999999999</v>
      </c>
      <c r="D598">
        <v>1.1832</v>
      </c>
      <c r="E598">
        <v>1.2488999999999999</v>
      </c>
      <c r="F598">
        <v>628653.9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0.688946015424164</v>
      </c>
      <c r="Q598">
        <f t="shared" si="990"/>
        <v>433108.59948586085</v>
      </c>
      <c r="R598">
        <f t="shared" si="991"/>
        <v>-28624957.715575598</v>
      </c>
      <c r="S598">
        <f t="shared" si="992"/>
        <v>-286.24957715575596</v>
      </c>
      <c r="T598">
        <f t="shared" si="993"/>
        <v>-0.28624957715575594</v>
      </c>
    </row>
    <row r="599" spans="1:20" x14ac:dyDescent="0.25">
      <c r="A599" s="5">
        <v>43994</v>
      </c>
      <c r="B599">
        <v>1.1312</v>
      </c>
      <c r="C599">
        <v>1.2121999999999999</v>
      </c>
      <c r="D599">
        <v>1.1299999999999999</v>
      </c>
      <c r="E599">
        <v>1.2102999999999999</v>
      </c>
      <c r="F599">
        <v>544268.07999999996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0.95377128953771262</v>
      </c>
      <c r="Q599">
        <f t="shared" si="990"/>
        <v>519107.26851581491</v>
      </c>
      <c r="R599">
        <f t="shared" si="991"/>
        <v>-29058066.315061457</v>
      </c>
      <c r="S599">
        <f t="shared" si="992"/>
        <v>-290.58066315061455</v>
      </c>
      <c r="T599">
        <f t="shared" si="993"/>
        <v>-0.29058066315061454</v>
      </c>
    </row>
    <row r="600" spans="1:20" x14ac:dyDescent="0.25">
      <c r="A600" s="5">
        <v>43993</v>
      </c>
      <c r="B600">
        <v>1.2433000000000001</v>
      </c>
      <c r="C600">
        <v>1.2951999999999999</v>
      </c>
      <c r="D600">
        <v>1.1000000000000001</v>
      </c>
      <c r="E600">
        <v>1.1335</v>
      </c>
      <c r="F600">
        <v>1639581.6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-0.65676229508196826</v>
      </c>
      <c r="Q600">
        <f t="shared" si="990"/>
        <v>-1076815.3745901657</v>
      </c>
      <c r="R600">
        <f t="shared" si="991"/>
        <v>-29577173.583577272</v>
      </c>
      <c r="S600">
        <f t="shared" si="992"/>
        <v>-295.77173583577269</v>
      </c>
      <c r="T600">
        <f t="shared" si="993"/>
        <v>-0.29577173583577271</v>
      </c>
    </row>
    <row r="601" spans="1:20" x14ac:dyDescent="0.25">
      <c r="A601" s="5">
        <v>43992</v>
      </c>
      <c r="B601">
        <v>1.1721999999999999</v>
      </c>
      <c r="C601">
        <v>1.3197000000000001</v>
      </c>
      <c r="D601">
        <v>1.1679999999999999</v>
      </c>
      <c r="E601">
        <v>1.2423</v>
      </c>
      <c r="F601">
        <v>3169835.38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-2.0435069215557676E-2</v>
      </c>
      <c r="Q601">
        <f t="shared" si="990"/>
        <v>-64775.805392223563</v>
      </c>
      <c r="R601">
        <f t="shared" si="991"/>
        <v>-28500358.208987106</v>
      </c>
      <c r="S601">
        <f t="shared" si="992"/>
        <v>-285.00358208987103</v>
      </c>
      <c r="T601">
        <f t="shared" si="993"/>
        <v>-0.28500358208987103</v>
      </c>
    </row>
    <row r="602" spans="1:20" x14ac:dyDescent="0.25">
      <c r="A602" s="5">
        <v>43991</v>
      </c>
      <c r="B602">
        <v>1.1852</v>
      </c>
      <c r="C602">
        <v>1.1869000000000001</v>
      </c>
      <c r="D602">
        <v>1.1576</v>
      </c>
      <c r="E602">
        <v>1.1720999999999999</v>
      </c>
      <c r="F602">
        <v>438412.21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-1.0238907849835766E-2</v>
      </c>
      <c r="Q602">
        <f t="shared" si="990"/>
        <v>-4488.8622184328469</v>
      </c>
      <c r="R602">
        <f t="shared" si="991"/>
        <v>-28435582.403594881</v>
      </c>
      <c r="S602">
        <f t="shared" si="992"/>
        <v>-284.35582403594879</v>
      </c>
      <c r="T602">
        <f t="shared" si="993"/>
        <v>-0.28435582403594878</v>
      </c>
    </row>
    <row r="603" spans="1:20" x14ac:dyDescent="0.25">
      <c r="A603" s="5">
        <v>43990</v>
      </c>
      <c r="B603">
        <v>1.1442000000000001</v>
      </c>
      <c r="C603">
        <v>1.21</v>
      </c>
      <c r="D603">
        <v>1.1348</v>
      </c>
      <c r="E603">
        <v>1.1852</v>
      </c>
      <c r="F603">
        <v>1350029.76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0.34042553191489483</v>
      </c>
      <c r="Q603">
        <f t="shared" si="990"/>
        <v>459584.59914893779</v>
      </c>
      <c r="R603">
        <f t="shared" si="991"/>
        <v>-28431093.541376449</v>
      </c>
      <c r="S603">
        <f t="shared" si="992"/>
        <v>-284.31093541376447</v>
      </c>
      <c r="T603">
        <f t="shared" si="993"/>
        <v>-0.28431093541376445</v>
      </c>
    </row>
    <row r="604" spans="1:20" x14ac:dyDescent="0.25">
      <c r="A604" s="5">
        <v>43989</v>
      </c>
      <c r="B604">
        <v>1.1487000000000001</v>
      </c>
      <c r="C604">
        <v>1.1585000000000001</v>
      </c>
      <c r="D604">
        <v>1.1131</v>
      </c>
      <c r="E604">
        <v>1.1443000000000001</v>
      </c>
      <c r="F604">
        <v>564304.66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0.37444933920705037</v>
      </c>
      <c r="Q604">
        <f t="shared" si="990"/>
        <v>211303.50704845923</v>
      </c>
      <c r="R604">
        <f t="shared" si="991"/>
        <v>-28890678.140525386</v>
      </c>
      <c r="S604">
        <f t="shared" si="992"/>
        <v>-288.90678140525387</v>
      </c>
      <c r="T604">
        <f t="shared" si="993"/>
        <v>-0.28890678140525389</v>
      </c>
    </row>
    <row r="605" spans="1:20" x14ac:dyDescent="0.25">
      <c r="A605" s="5">
        <v>43988</v>
      </c>
      <c r="B605">
        <v>1.1303000000000001</v>
      </c>
      <c r="C605">
        <v>1.1918</v>
      </c>
      <c r="D605">
        <v>1.1154999999999999</v>
      </c>
      <c r="E605">
        <v>1.1487000000000001</v>
      </c>
      <c r="F605">
        <v>1663412.96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-0.12975098296198942</v>
      </c>
      <c r="Q605">
        <f t="shared" si="990"/>
        <v>-215829.46663171239</v>
      </c>
      <c r="R605">
        <f t="shared" si="991"/>
        <v>-29101981.647573844</v>
      </c>
      <c r="S605">
        <f t="shared" si="992"/>
        <v>-291.01981647573842</v>
      </c>
      <c r="T605">
        <f t="shared" si="993"/>
        <v>-0.29101981647573844</v>
      </c>
    </row>
    <row r="606" spans="1:20" x14ac:dyDescent="0.25">
      <c r="A606" s="5">
        <v>43987</v>
      </c>
      <c r="B606">
        <v>1.1261000000000001</v>
      </c>
      <c r="C606">
        <v>1.155</v>
      </c>
      <c r="D606">
        <v>1.1173</v>
      </c>
      <c r="E606">
        <v>1.1305000000000001</v>
      </c>
      <c r="F606">
        <v>767613.45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-0.29973474801060601</v>
      </c>
      <c r="Q606">
        <f t="shared" si="990"/>
        <v>-230080.4240053019</v>
      </c>
      <c r="R606">
        <f t="shared" si="991"/>
        <v>-28886152.180942129</v>
      </c>
      <c r="S606">
        <f t="shared" si="992"/>
        <v>-288.86152180942128</v>
      </c>
      <c r="T606">
        <f t="shared" si="993"/>
        <v>-0.28886152180942126</v>
      </c>
    </row>
    <row r="607" spans="1:20" x14ac:dyDescent="0.25">
      <c r="A607" s="5">
        <v>43986</v>
      </c>
      <c r="B607">
        <v>1.1177999999999999</v>
      </c>
      <c r="C607">
        <v>1.167</v>
      </c>
      <c r="D607">
        <v>1.105</v>
      </c>
      <c r="E607">
        <v>1.1255999999999999</v>
      </c>
      <c r="F607">
        <v>862008.64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-0.33548387096774407</v>
      </c>
      <c r="Q607">
        <f t="shared" si="990"/>
        <v>-289189.99535484053</v>
      </c>
      <c r="R607">
        <f t="shared" si="991"/>
        <v>-28656071.756936826</v>
      </c>
      <c r="S607">
        <f t="shared" si="992"/>
        <v>-286.56071756936825</v>
      </c>
      <c r="T607">
        <f t="shared" si="993"/>
        <v>-0.28656071756936824</v>
      </c>
    </row>
    <row r="608" spans="1:20" x14ac:dyDescent="0.25">
      <c r="A608" s="5">
        <v>43985</v>
      </c>
      <c r="B608">
        <v>1.1182000000000001</v>
      </c>
      <c r="C608">
        <v>1.1229</v>
      </c>
      <c r="D608">
        <v>1.0924</v>
      </c>
      <c r="E608">
        <v>1.1175999999999999</v>
      </c>
      <c r="F608">
        <v>555258.14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0.65245901639343684</v>
      </c>
      <c r="Q608">
        <f t="shared" si="990"/>
        <v>362283.17986884929</v>
      </c>
      <c r="R608">
        <f t="shared" si="991"/>
        <v>-28366881.761581983</v>
      </c>
      <c r="S608">
        <f t="shared" si="992"/>
        <v>-283.66881761581982</v>
      </c>
      <c r="T608">
        <f t="shared" si="993"/>
        <v>-0.2836688176158198</v>
      </c>
    </row>
    <row r="609" spans="1:20" x14ac:dyDescent="0.25">
      <c r="A609" s="5">
        <v>43984</v>
      </c>
      <c r="B609">
        <v>1.1485000000000001</v>
      </c>
      <c r="C609">
        <v>1.1578999999999999</v>
      </c>
      <c r="D609">
        <v>1.0580000000000001</v>
      </c>
      <c r="E609">
        <v>1.1180000000000001</v>
      </c>
      <c r="F609">
        <v>927716.97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0.20120120120120374</v>
      </c>
      <c r="Q609">
        <f t="shared" si="990"/>
        <v>186657.76873874108</v>
      </c>
      <c r="R609">
        <f t="shared" si="991"/>
        <v>-28729164.941450834</v>
      </c>
      <c r="S609">
        <f t="shared" si="992"/>
        <v>-287.29164941450836</v>
      </c>
      <c r="T609">
        <f t="shared" si="993"/>
        <v>-0.28729164941450835</v>
      </c>
    </row>
    <row r="610" spans="1:20" x14ac:dyDescent="0.25">
      <c r="A610" s="5">
        <v>43983</v>
      </c>
      <c r="B610">
        <v>1.0922000000000001</v>
      </c>
      <c r="C610">
        <v>1.1564000000000001</v>
      </c>
      <c r="D610">
        <v>1.0901000000000001</v>
      </c>
      <c r="E610">
        <v>1.1485000000000001</v>
      </c>
      <c r="F610">
        <v>891661.4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0.76168929110105532</v>
      </c>
      <c r="Q610">
        <f t="shared" si="990"/>
        <v>679168.9396681746</v>
      </c>
      <c r="R610">
        <f t="shared" si="991"/>
        <v>-28915822.710189577</v>
      </c>
      <c r="S610">
        <f t="shared" si="992"/>
        <v>-289.15822710189576</v>
      </c>
      <c r="T610">
        <f t="shared" si="993"/>
        <v>-0.28915822710189576</v>
      </c>
    </row>
    <row r="611" spans="1:20" x14ac:dyDescent="0.25">
      <c r="A611" s="5">
        <v>43982</v>
      </c>
      <c r="B611">
        <v>1.1145</v>
      </c>
      <c r="C611">
        <v>1.1344000000000001</v>
      </c>
      <c r="D611">
        <v>1.0861000000000001</v>
      </c>
      <c r="E611">
        <v>1.0945</v>
      </c>
      <c r="F611">
        <v>710065.99</v>
      </c>
      <c r="G611">
        <v>0</v>
      </c>
      <c r="L611" t="s">
        <v>8</v>
      </c>
      <c r="M611" t="s">
        <v>7</v>
      </c>
      <c r="N611" t="s">
        <v>8</v>
      </c>
      <c r="P611">
        <f t="shared" si="989"/>
        <v>-0.65217391304347982</v>
      </c>
      <c r="Q611">
        <f t="shared" si="990"/>
        <v>-463086.51521739241</v>
      </c>
      <c r="R611">
        <f t="shared" si="991"/>
        <v>-29594991.649857752</v>
      </c>
      <c r="S611">
        <f t="shared" si="992"/>
        <v>-295.94991649857752</v>
      </c>
      <c r="T611">
        <f t="shared" si="993"/>
        <v>-0.29594991649857755</v>
      </c>
    </row>
    <row r="612" spans="1:20" x14ac:dyDescent="0.25">
      <c r="A612" s="5">
        <v>43981</v>
      </c>
      <c r="B612">
        <v>1.0861000000000001</v>
      </c>
      <c r="C612">
        <v>1.1346000000000001</v>
      </c>
      <c r="D612">
        <v>1.0762</v>
      </c>
      <c r="E612">
        <v>1.1136999999999999</v>
      </c>
      <c r="F612">
        <v>904922.98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0.28424657534246101</v>
      </c>
      <c r="Q612">
        <f t="shared" si="990"/>
        <v>257221.25801369431</v>
      </c>
      <c r="R612">
        <f t="shared" si="991"/>
        <v>-29131905.134640358</v>
      </c>
      <c r="S612">
        <f t="shared" si="992"/>
        <v>-291.31905134640357</v>
      </c>
      <c r="T612">
        <f t="shared" si="993"/>
        <v>-0.29131905134640357</v>
      </c>
    </row>
    <row r="613" spans="1:20" x14ac:dyDescent="0.25">
      <c r="A613" s="5">
        <v>43980</v>
      </c>
      <c r="B613">
        <v>1.0874999999999999</v>
      </c>
      <c r="C613">
        <v>1.1099000000000001</v>
      </c>
      <c r="D613">
        <v>1.0549999999999999</v>
      </c>
      <c r="E613">
        <v>1.0859000000000001</v>
      </c>
      <c r="F613">
        <v>535076.93999999994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0.12568306010929156</v>
      </c>
      <c r="Q613">
        <f t="shared" si="990"/>
        <v>67250.107213115785</v>
      </c>
      <c r="R613">
        <f t="shared" si="991"/>
        <v>-29389126.392654054</v>
      </c>
      <c r="S613">
        <f t="shared" si="992"/>
        <v>-293.89126392654055</v>
      </c>
      <c r="T613">
        <f t="shared" si="993"/>
        <v>-0.29389126392654052</v>
      </c>
    </row>
    <row r="614" spans="1:20" x14ac:dyDescent="0.25">
      <c r="A614" s="5">
        <v>43979</v>
      </c>
      <c r="B614">
        <v>1.0649999999999999</v>
      </c>
      <c r="C614">
        <v>1.0940000000000001</v>
      </c>
      <c r="D614">
        <v>1.0556000000000001</v>
      </c>
      <c r="E614">
        <v>1.087</v>
      </c>
      <c r="F614">
        <v>398456.91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0.63541666666666041</v>
      </c>
      <c r="Q614">
        <f t="shared" si="990"/>
        <v>253186.16156249749</v>
      </c>
      <c r="R614">
        <f t="shared" si="991"/>
        <v>-29456376.499867171</v>
      </c>
      <c r="S614">
        <f t="shared" si="992"/>
        <v>-294.56376499867173</v>
      </c>
      <c r="T614">
        <f t="shared" si="993"/>
        <v>-0.29456376499867171</v>
      </c>
    </row>
    <row r="615" spans="1:20" x14ac:dyDescent="0.25">
      <c r="A615" s="5">
        <v>43978</v>
      </c>
      <c r="B615">
        <v>1.0661</v>
      </c>
      <c r="C615">
        <v>1.0871999999999999</v>
      </c>
      <c r="D615">
        <v>1.0488</v>
      </c>
      <c r="E615">
        <v>1.0652999999999999</v>
      </c>
      <c r="F615">
        <v>776355.23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-0.14062500000000189</v>
      </c>
      <c r="Q615">
        <f t="shared" si="990"/>
        <v>-109174.95421875146</v>
      </c>
      <c r="R615">
        <f t="shared" si="991"/>
        <v>-29709562.66142967</v>
      </c>
      <c r="S615">
        <f t="shared" si="992"/>
        <v>-297.09562661429669</v>
      </c>
      <c r="T615">
        <f t="shared" si="993"/>
        <v>-0.29709562661429667</v>
      </c>
    </row>
    <row r="616" spans="1:20" x14ac:dyDescent="0.25">
      <c r="A616" s="5">
        <v>43977</v>
      </c>
      <c r="B616">
        <v>1.0576000000000001</v>
      </c>
      <c r="C616">
        <v>1.1463000000000001</v>
      </c>
      <c r="D616">
        <v>1.0438000000000001</v>
      </c>
      <c r="E616">
        <v>1.0645</v>
      </c>
      <c r="F616">
        <v>2775140.27</v>
      </c>
      <c r="G616">
        <v>0</v>
      </c>
      <c r="L616" t="s">
        <v>8</v>
      </c>
      <c r="M616" t="s">
        <v>7</v>
      </c>
      <c r="N616" t="s">
        <v>8</v>
      </c>
      <c r="P616">
        <f t="shared" si="989"/>
        <v>-0.59609756097561106</v>
      </c>
      <c r="Q616">
        <f t="shared" si="990"/>
        <v>-1654254.3463121988</v>
      </c>
      <c r="R616">
        <f t="shared" si="991"/>
        <v>-29600387.707210917</v>
      </c>
      <c r="S616">
        <f t="shared" si="992"/>
        <v>-296.00387707210916</v>
      </c>
      <c r="T616">
        <f t="shared" si="993"/>
        <v>-0.29600387707210918</v>
      </c>
    </row>
    <row r="617" spans="1:20" x14ac:dyDescent="0.25">
      <c r="A617" s="5">
        <v>43976</v>
      </c>
      <c r="B617">
        <v>1.0103</v>
      </c>
      <c r="C617">
        <v>1.0712999999999999</v>
      </c>
      <c r="D617">
        <v>1.0056</v>
      </c>
      <c r="E617">
        <v>1.0576000000000001</v>
      </c>
      <c r="F617">
        <v>880167.06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0.58295281582953273</v>
      </c>
      <c r="Q617">
        <f t="shared" si="990"/>
        <v>513095.86602740129</v>
      </c>
      <c r="R617">
        <f t="shared" si="991"/>
        <v>-27946133.360898718</v>
      </c>
      <c r="S617">
        <f t="shared" si="992"/>
        <v>-279.46133360898716</v>
      </c>
      <c r="T617">
        <f t="shared" si="993"/>
        <v>-0.27946133360898717</v>
      </c>
    </row>
    <row r="618" spans="1:20" x14ac:dyDescent="0.25">
      <c r="A618" s="5">
        <v>43975</v>
      </c>
      <c r="B618">
        <v>1.0724</v>
      </c>
      <c r="C618">
        <v>1.0980000000000001</v>
      </c>
      <c r="D618">
        <v>1.0107999999999999</v>
      </c>
      <c r="E618">
        <v>1.0117</v>
      </c>
      <c r="F618">
        <v>1013676.19</v>
      </c>
      <c r="G618">
        <v>0</v>
      </c>
      <c r="L618" t="s">
        <v>7</v>
      </c>
      <c r="M618" t="s">
        <v>7</v>
      </c>
      <c r="N618" t="s">
        <v>8</v>
      </c>
      <c r="P618">
        <f t="shared" si="989"/>
        <v>-0.9793577981651348</v>
      </c>
      <c r="Q618">
        <f t="shared" si="990"/>
        <v>-992751.68149082281</v>
      </c>
      <c r="R618">
        <f t="shared" si="991"/>
        <v>-28459229.226926118</v>
      </c>
      <c r="S618">
        <f t="shared" si="992"/>
        <v>-284.59229226926118</v>
      </c>
      <c r="T618">
        <f t="shared" si="993"/>
        <v>-0.28459229226926119</v>
      </c>
    </row>
    <row r="619" spans="1:20" x14ac:dyDescent="0.25">
      <c r="A619" s="5">
        <v>43974</v>
      </c>
      <c r="B619">
        <v>1.0692999999999999</v>
      </c>
      <c r="C619">
        <v>1.1000000000000001</v>
      </c>
      <c r="D619">
        <v>1.0306</v>
      </c>
      <c r="E619">
        <v>1.0699000000000001</v>
      </c>
      <c r="F619">
        <v>913502.99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0.13256484149856024</v>
      </c>
      <c r="Q619">
        <f t="shared" si="990"/>
        <v>121098.37907781085</v>
      </c>
      <c r="R619">
        <f t="shared" si="991"/>
        <v>-27466477.545435295</v>
      </c>
      <c r="S619">
        <f t="shared" si="992"/>
        <v>-274.66477545435293</v>
      </c>
      <c r="T619">
        <f t="shared" si="993"/>
        <v>-0.27466477545435292</v>
      </c>
    </row>
    <row r="620" spans="1:20" x14ac:dyDescent="0.25">
      <c r="A620" s="5">
        <v>43973</v>
      </c>
      <c r="B620">
        <v>1.0177</v>
      </c>
      <c r="C620">
        <v>1.0880000000000001</v>
      </c>
      <c r="D620">
        <v>1.0029999999999999</v>
      </c>
      <c r="E620">
        <v>1.0665</v>
      </c>
      <c r="F620">
        <v>1036120.15</v>
      </c>
      <c r="G620">
        <v>0</v>
      </c>
      <c r="L620" t="s">
        <v>7</v>
      </c>
      <c r="M620" t="s">
        <v>7</v>
      </c>
      <c r="N620" t="s">
        <v>8</v>
      </c>
      <c r="P620">
        <f t="shared" si="989"/>
        <v>0.49411764705882288</v>
      </c>
      <c r="Q620">
        <f t="shared" si="990"/>
        <v>511965.25058823463</v>
      </c>
      <c r="R620">
        <f t="shared" si="991"/>
        <v>-27587575.924513105</v>
      </c>
      <c r="S620">
        <f t="shared" si="992"/>
        <v>-275.87575924513106</v>
      </c>
      <c r="T620">
        <f t="shared" si="993"/>
        <v>-0.27587575924513108</v>
      </c>
    </row>
    <row r="621" spans="1:20" x14ac:dyDescent="0.25">
      <c r="A621" s="5">
        <v>43972</v>
      </c>
      <c r="B621">
        <v>1.054</v>
      </c>
      <c r="C621">
        <v>1.1653</v>
      </c>
      <c r="D621">
        <v>0.99250000000000005</v>
      </c>
      <c r="E621">
        <v>1.0166999999999999</v>
      </c>
      <c r="F621">
        <v>2375379.4500000002</v>
      </c>
      <c r="G621">
        <v>0</v>
      </c>
      <c r="L621" t="s">
        <v>8</v>
      </c>
      <c r="M621" t="s">
        <v>7</v>
      </c>
      <c r="N621" t="s">
        <v>8</v>
      </c>
      <c r="P621">
        <f t="shared" si="989"/>
        <v>-0.71990740740740866</v>
      </c>
      <c r="Q621">
        <f t="shared" si="990"/>
        <v>-1710053.2614583364</v>
      </c>
      <c r="R621">
        <f t="shared" si="991"/>
        <v>-28099541.17510134</v>
      </c>
      <c r="S621">
        <f t="shared" si="992"/>
        <v>-280.99541175101342</v>
      </c>
      <c r="T621">
        <f t="shared" si="993"/>
        <v>-0.28099541175101345</v>
      </c>
    </row>
    <row r="622" spans="1:20" x14ac:dyDescent="0.25">
      <c r="A622" s="5">
        <v>43971</v>
      </c>
      <c r="B622">
        <v>1.0615000000000001</v>
      </c>
      <c r="C622">
        <v>1.083</v>
      </c>
      <c r="D622">
        <v>1.0308999999999999</v>
      </c>
      <c r="E622">
        <v>1.0542</v>
      </c>
      <c r="F622">
        <v>696417.01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-0.10556621880997763</v>
      </c>
      <c r="Q622">
        <f t="shared" si="990"/>
        <v>-73518.11046065038</v>
      </c>
      <c r="R622">
        <f t="shared" si="991"/>
        <v>-26389487.913643003</v>
      </c>
      <c r="S622">
        <f t="shared" si="992"/>
        <v>-263.89487913643001</v>
      </c>
      <c r="T622">
        <f t="shared" si="993"/>
        <v>-0.26389487913643001</v>
      </c>
    </row>
    <row r="623" spans="1:20" x14ac:dyDescent="0.25">
      <c r="A623" s="5">
        <v>43970</v>
      </c>
      <c r="B623">
        <v>1.0639000000000001</v>
      </c>
      <c r="C623">
        <v>1.07</v>
      </c>
      <c r="D623">
        <v>1.0385</v>
      </c>
      <c r="E623">
        <v>1.0615000000000001</v>
      </c>
      <c r="F623">
        <v>424002.04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0.46031746031746479</v>
      </c>
      <c r="Q623">
        <f t="shared" si="990"/>
        <v>195175.54222222412</v>
      </c>
      <c r="R623">
        <f t="shared" si="991"/>
        <v>-26315969.803182352</v>
      </c>
      <c r="S623">
        <f t="shared" si="992"/>
        <v>-263.1596980318235</v>
      </c>
      <c r="T623">
        <f t="shared" si="993"/>
        <v>-0.26315969803182349</v>
      </c>
    </row>
    <row r="624" spans="1:20" x14ac:dyDescent="0.25">
      <c r="A624" s="5">
        <v>43969</v>
      </c>
      <c r="B624">
        <v>1.0509999999999999</v>
      </c>
      <c r="C624">
        <v>1.075</v>
      </c>
      <c r="D624">
        <v>1.0409999999999999</v>
      </c>
      <c r="E624">
        <v>1.0638000000000001</v>
      </c>
      <c r="F624">
        <v>413610.6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0.34117647058824313</v>
      </c>
      <c r="Q624">
        <f t="shared" si="990"/>
        <v>141114.20470588558</v>
      </c>
      <c r="R624">
        <f t="shared" si="991"/>
        <v>-26511145.345404577</v>
      </c>
      <c r="S624">
        <f t="shared" si="992"/>
        <v>-265.11145345404577</v>
      </c>
      <c r="T624">
        <f t="shared" si="993"/>
        <v>-0.2651114534540458</v>
      </c>
    </row>
    <row r="625" spans="1:20" x14ac:dyDescent="0.25">
      <c r="A625" s="5">
        <v>43968</v>
      </c>
      <c r="B625">
        <v>1.0299</v>
      </c>
      <c r="C625">
        <v>1.0935999999999999</v>
      </c>
      <c r="D625">
        <v>1.0236000000000001</v>
      </c>
      <c r="E625">
        <v>1.0497000000000001</v>
      </c>
      <c r="F625">
        <v>651974.28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-0.25428571428571223</v>
      </c>
      <c r="Q625">
        <f t="shared" si="990"/>
        <v>-165787.74548571295</v>
      </c>
      <c r="R625">
        <f t="shared" si="991"/>
        <v>-26652259.550110463</v>
      </c>
      <c r="S625">
        <f t="shared" si="992"/>
        <v>-266.5225955011046</v>
      </c>
      <c r="T625">
        <f t="shared" si="993"/>
        <v>-0.26652259550110463</v>
      </c>
    </row>
    <row r="626" spans="1:20" x14ac:dyDescent="0.25">
      <c r="A626" s="5">
        <v>43967</v>
      </c>
      <c r="B626">
        <v>1.0286999999999999</v>
      </c>
      <c r="C626">
        <v>1.0462</v>
      </c>
      <c r="D626">
        <v>1.0144</v>
      </c>
      <c r="E626">
        <v>1.0299</v>
      </c>
      <c r="F626">
        <v>387524.1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-2.5157232704399707E-2</v>
      </c>
      <c r="Q626">
        <f t="shared" si="990"/>
        <v>-9749.0339622630618</v>
      </c>
      <c r="R626">
        <f t="shared" si="991"/>
        <v>-26486471.804624751</v>
      </c>
      <c r="S626">
        <f t="shared" si="992"/>
        <v>-264.8647180462475</v>
      </c>
      <c r="T626">
        <f t="shared" si="993"/>
        <v>-0.2648647180462475</v>
      </c>
    </row>
    <row r="627" spans="1:20" x14ac:dyDescent="0.25">
      <c r="A627" s="5">
        <v>43966</v>
      </c>
      <c r="B627">
        <v>1.0468999999999999</v>
      </c>
      <c r="C627">
        <v>1.0630999999999999</v>
      </c>
      <c r="D627">
        <v>1.0101</v>
      </c>
      <c r="E627">
        <v>1.0298</v>
      </c>
      <c r="F627">
        <v>655761.34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-0.25660377358490283</v>
      </c>
      <c r="Q627">
        <f t="shared" si="990"/>
        <v>-168270.83441509248</v>
      </c>
      <c r="R627">
        <f t="shared" si="991"/>
        <v>-26476722.770662487</v>
      </c>
      <c r="S627">
        <f t="shared" si="992"/>
        <v>-264.76722770662485</v>
      </c>
      <c r="T627">
        <f t="shared" si="993"/>
        <v>-0.26476722770662486</v>
      </c>
    </row>
    <row r="628" spans="1:20" x14ac:dyDescent="0.25">
      <c r="A628" s="5">
        <v>43965</v>
      </c>
      <c r="B628">
        <v>1.0613999999999999</v>
      </c>
      <c r="C628">
        <v>1.0799000000000001</v>
      </c>
      <c r="D628">
        <v>1.0390999999999999</v>
      </c>
      <c r="E628">
        <v>1.0461</v>
      </c>
      <c r="F628">
        <v>825120.63</v>
      </c>
      <c r="G628">
        <v>0</v>
      </c>
      <c r="L628" t="s">
        <v>7</v>
      </c>
      <c r="M628" t="s">
        <v>8</v>
      </c>
      <c r="N628" t="s">
        <v>8</v>
      </c>
      <c r="P628">
        <f t="shared" si="989"/>
        <v>-0.65686274509803488</v>
      </c>
      <c r="Q628">
        <f t="shared" si="990"/>
        <v>-541991.00205881998</v>
      </c>
      <c r="R628">
        <f t="shared" si="991"/>
        <v>-26308451.936247393</v>
      </c>
      <c r="S628">
        <f t="shared" si="992"/>
        <v>-263.08451936247394</v>
      </c>
      <c r="T628">
        <f t="shared" si="993"/>
        <v>-0.26308451936247396</v>
      </c>
    </row>
    <row r="629" spans="1:20" x14ac:dyDescent="0.25">
      <c r="A629" s="5">
        <v>43964</v>
      </c>
      <c r="B629">
        <v>1.0705</v>
      </c>
      <c r="C629">
        <v>1.175</v>
      </c>
      <c r="D629">
        <v>1.0511999999999999</v>
      </c>
      <c r="E629">
        <v>1.06</v>
      </c>
      <c r="F629">
        <v>4273422.92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-0.85783521809369734</v>
      </c>
      <c r="Q629">
        <f t="shared" si="990"/>
        <v>-3665892.6825848049</v>
      </c>
      <c r="R629">
        <f t="shared" si="991"/>
        <v>-25766460.934188575</v>
      </c>
      <c r="S629">
        <f t="shared" si="992"/>
        <v>-257.66460934188575</v>
      </c>
      <c r="T629">
        <f t="shared" si="993"/>
        <v>-0.25766460934188573</v>
      </c>
    </row>
    <row r="630" spans="1:20" x14ac:dyDescent="0.25">
      <c r="A630" s="5">
        <v>43963</v>
      </c>
      <c r="B630">
        <v>0.92869999999999997</v>
      </c>
      <c r="C630">
        <v>1.1165</v>
      </c>
      <c r="D630">
        <v>0.92749999999999999</v>
      </c>
      <c r="E630">
        <v>1.0699000000000001</v>
      </c>
      <c r="F630">
        <v>3896486.23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0.50687830687830726</v>
      </c>
      <c r="Q630">
        <f t="shared" si="990"/>
        <v>1975044.3430370386</v>
      </c>
      <c r="R630">
        <f t="shared" si="991"/>
        <v>-22100568.251603771</v>
      </c>
      <c r="S630">
        <f t="shared" si="992"/>
        <v>-221.00568251603772</v>
      </c>
      <c r="T630">
        <f t="shared" si="993"/>
        <v>-0.22100568251603772</v>
      </c>
    </row>
    <row r="631" spans="1:20" x14ac:dyDescent="0.25">
      <c r="A631" s="5">
        <v>43962</v>
      </c>
      <c r="B631">
        <v>0.9577</v>
      </c>
      <c r="C631">
        <v>0.97650000000000003</v>
      </c>
      <c r="D631">
        <v>0.89500000000000002</v>
      </c>
      <c r="E631">
        <v>0.93100000000000005</v>
      </c>
      <c r="F631">
        <v>980803.03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-0.11656441717791351</v>
      </c>
      <c r="Q631">
        <f t="shared" si="990"/>
        <v>-114326.73355828162</v>
      </c>
      <c r="R631">
        <f t="shared" si="991"/>
        <v>-24075612.59464081</v>
      </c>
      <c r="S631">
        <f t="shared" si="992"/>
        <v>-240.7561259464081</v>
      </c>
      <c r="T631">
        <f t="shared" si="993"/>
        <v>-0.24075612594640811</v>
      </c>
    </row>
    <row r="632" spans="1:20" x14ac:dyDescent="0.25">
      <c r="A632" s="5">
        <v>43961</v>
      </c>
      <c r="B632">
        <v>1.0406</v>
      </c>
      <c r="C632">
        <v>1.0406</v>
      </c>
      <c r="D632">
        <v>0.9</v>
      </c>
      <c r="E632">
        <v>0.95520000000000005</v>
      </c>
      <c r="F632">
        <v>1370450.56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-0.2147937411095299</v>
      </c>
      <c r="Q632">
        <f t="shared" si="990"/>
        <v>-294364.20278805029</v>
      </c>
      <c r="R632">
        <f t="shared" si="991"/>
        <v>-23961285.861082528</v>
      </c>
      <c r="S632">
        <f t="shared" si="992"/>
        <v>-239.61285861082527</v>
      </c>
      <c r="T632">
        <f t="shared" si="993"/>
        <v>-0.23961285861082526</v>
      </c>
    </row>
    <row r="633" spans="1:20" x14ac:dyDescent="0.25">
      <c r="A633" s="5">
        <v>43960</v>
      </c>
      <c r="B633">
        <v>1.0550999999999999</v>
      </c>
      <c r="C633">
        <v>1.0683</v>
      </c>
      <c r="D633">
        <v>1.0403</v>
      </c>
      <c r="E633">
        <v>1.0406</v>
      </c>
      <c r="F633">
        <v>401525.14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-0.97857142857143098</v>
      </c>
      <c r="Q633">
        <f t="shared" si="990"/>
        <v>-392921.02985714382</v>
      </c>
      <c r="R633">
        <f t="shared" si="991"/>
        <v>-23666921.658294477</v>
      </c>
      <c r="S633">
        <f t="shared" si="992"/>
        <v>-236.66921658294476</v>
      </c>
      <c r="T633">
        <f t="shared" si="993"/>
        <v>-0.23666921658294476</v>
      </c>
    </row>
    <row r="634" spans="1:20" x14ac:dyDescent="0.25">
      <c r="A634" s="5">
        <v>43959</v>
      </c>
      <c r="B634">
        <v>1.0424</v>
      </c>
      <c r="C634">
        <v>1.0765</v>
      </c>
      <c r="D634">
        <v>1.0114000000000001</v>
      </c>
      <c r="E634">
        <v>1.0550999999999999</v>
      </c>
      <c r="F634">
        <v>858559.36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0.34254992319508121</v>
      </c>
      <c r="Q634">
        <f t="shared" si="990"/>
        <v>294099.44282641809</v>
      </c>
      <c r="R634">
        <f t="shared" si="991"/>
        <v>-23274000.628437333</v>
      </c>
      <c r="S634">
        <f t="shared" si="992"/>
        <v>-232.74000628437332</v>
      </c>
      <c r="T634">
        <f t="shared" si="993"/>
        <v>-0.23274000628437333</v>
      </c>
    </row>
    <row r="635" spans="1:20" x14ac:dyDescent="0.25">
      <c r="A635" s="5">
        <v>43958</v>
      </c>
      <c r="B635">
        <v>1.0232000000000001</v>
      </c>
      <c r="C635">
        <v>1.0627</v>
      </c>
      <c r="D635">
        <v>1.0115000000000001</v>
      </c>
      <c r="E635">
        <v>1.0444</v>
      </c>
      <c r="F635">
        <v>766009.92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0.28515624999999944</v>
      </c>
      <c r="Q635">
        <f t="shared" si="990"/>
        <v>218432.51624999958</v>
      </c>
      <c r="R635">
        <f t="shared" si="991"/>
        <v>-23568100.071263749</v>
      </c>
      <c r="S635">
        <f t="shared" si="992"/>
        <v>-235.68100071263748</v>
      </c>
      <c r="T635">
        <f t="shared" si="993"/>
        <v>-0.23568100071263748</v>
      </c>
    </row>
    <row r="636" spans="1:20" x14ac:dyDescent="0.25">
      <c r="A636" s="5">
        <v>43957</v>
      </c>
      <c r="B636">
        <v>1.0489999999999999</v>
      </c>
      <c r="C636">
        <v>1.0584</v>
      </c>
      <c r="D636">
        <v>1.02</v>
      </c>
      <c r="E636">
        <v>1.024</v>
      </c>
      <c r="F636">
        <v>529173.68000000005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-0.79166666666666641</v>
      </c>
      <c r="Q636">
        <f t="shared" si="990"/>
        <v>-418929.16333333321</v>
      </c>
      <c r="R636">
        <f t="shared" si="991"/>
        <v>-23786532.587513749</v>
      </c>
      <c r="S636">
        <f t="shared" si="992"/>
        <v>-237.86532587513747</v>
      </c>
      <c r="T636">
        <f t="shared" si="993"/>
        <v>-0.23786532587513748</v>
      </c>
    </row>
    <row r="637" spans="1:20" x14ac:dyDescent="0.25">
      <c r="A637" s="5">
        <v>43956</v>
      </c>
      <c r="B637">
        <v>1.06</v>
      </c>
      <c r="C637">
        <v>1.0685</v>
      </c>
      <c r="D637">
        <v>1.0277000000000001</v>
      </c>
      <c r="E637">
        <v>1.0517000000000001</v>
      </c>
      <c r="F637">
        <v>737162.03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0.17647058823529668</v>
      </c>
      <c r="Q637">
        <f t="shared" si="990"/>
        <v>130087.41705882542</v>
      </c>
      <c r="R637">
        <f t="shared" si="991"/>
        <v>-23367603.424180415</v>
      </c>
      <c r="S637">
        <f t="shared" si="992"/>
        <v>-233.67603424180413</v>
      </c>
      <c r="T637">
        <f t="shared" si="993"/>
        <v>-0.23367603424180414</v>
      </c>
    </row>
    <row r="638" spans="1:20" x14ac:dyDescent="0.25">
      <c r="A638" s="5">
        <v>43955</v>
      </c>
      <c r="B638">
        <v>1.0629999999999999</v>
      </c>
      <c r="C638">
        <v>1.1062000000000001</v>
      </c>
      <c r="D638">
        <v>1.0054000000000001</v>
      </c>
      <c r="E638">
        <v>1.06</v>
      </c>
      <c r="F638">
        <v>1238084.99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8.3333333333332968E-2</v>
      </c>
      <c r="Q638">
        <f t="shared" si="990"/>
        <v>103173.74916666621</v>
      </c>
      <c r="R638">
        <f t="shared" si="991"/>
        <v>-23497690.84123924</v>
      </c>
      <c r="S638">
        <f t="shared" si="992"/>
        <v>-234.97690841239239</v>
      </c>
      <c r="T638">
        <f t="shared" si="993"/>
        <v>-0.23497690841239238</v>
      </c>
    </row>
    <row r="639" spans="1:20" x14ac:dyDescent="0.25">
      <c r="A639" s="5">
        <v>43954</v>
      </c>
      <c r="B639">
        <v>1.0896999999999999</v>
      </c>
      <c r="C639">
        <v>1.0967</v>
      </c>
      <c r="D639">
        <v>1.0492999999999999</v>
      </c>
      <c r="E639">
        <v>1.0624</v>
      </c>
      <c r="F639">
        <v>882692.29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-0.44725738396624126</v>
      </c>
      <c r="Q639">
        <f t="shared" si="990"/>
        <v>-394790.6444725708</v>
      </c>
      <c r="R639">
        <f t="shared" si="991"/>
        <v>-23600864.590405907</v>
      </c>
      <c r="S639">
        <f t="shared" si="992"/>
        <v>-236.00864590405908</v>
      </c>
      <c r="T639">
        <f t="shared" si="993"/>
        <v>-0.23600864590405907</v>
      </c>
    </row>
    <row r="640" spans="1:20" x14ac:dyDescent="0.25">
      <c r="A640" s="5">
        <v>43953</v>
      </c>
      <c r="B640">
        <v>1.0747</v>
      </c>
      <c r="C640">
        <v>1.0912999999999999</v>
      </c>
      <c r="D640">
        <v>1.0669</v>
      </c>
      <c r="E640">
        <v>1.0884</v>
      </c>
      <c r="F640">
        <v>487065.58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0.76229508196722084</v>
      </c>
      <c r="Q640">
        <f t="shared" si="990"/>
        <v>371287.69622951199</v>
      </c>
      <c r="R640">
        <f t="shared" si="991"/>
        <v>-23206073.945933338</v>
      </c>
      <c r="S640">
        <f t="shared" si="992"/>
        <v>-232.06073945933338</v>
      </c>
      <c r="T640">
        <f t="shared" si="993"/>
        <v>-0.23206073945933336</v>
      </c>
    </row>
    <row r="641" spans="1:20" x14ac:dyDescent="0.25">
      <c r="A641" s="5">
        <v>43952</v>
      </c>
      <c r="B641">
        <v>1.0512999999999999</v>
      </c>
      <c r="C641">
        <v>1.0924</v>
      </c>
      <c r="D641">
        <v>1.0509999999999999</v>
      </c>
      <c r="E641">
        <v>1.0750999999999999</v>
      </c>
      <c r="F641">
        <v>623085.13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0.16425120772946619</v>
      </c>
      <c r="Q641">
        <f t="shared" si="990"/>
        <v>102342.48512077145</v>
      </c>
      <c r="R641">
        <f t="shared" si="991"/>
        <v>-23577361.642162852</v>
      </c>
      <c r="S641">
        <f t="shared" si="992"/>
        <v>-235.77361642162853</v>
      </c>
      <c r="T641">
        <f t="shared" si="993"/>
        <v>-0.23577361642162853</v>
      </c>
    </row>
    <row r="642" spans="1:20" x14ac:dyDescent="0.25">
      <c r="A642" s="5">
        <v>43951</v>
      </c>
      <c r="B642">
        <v>1.0989</v>
      </c>
      <c r="C642">
        <v>1.145</v>
      </c>
      <c r="D642">
        <v>1.0491999999999999</v>
      </c>
      <c r="E642">
        <v>1.0551999999999999</v>
      </c>
      <c r="F642">
        <v>1401511.78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-0.87473903966597077</v>
      </c>
      <c r="Q642">
        <f t="shared" si="990"/>
        <v>-1225957.0685177452</v>
      </c>
      <c r="R642">
        <f t="shared" si="991"/>
        <v>-23679704.127283622</v>
      </c>
      <c r="S642">
        <f t="shared" si="992"/>
        <v>-236.79704127283622</v>
      </c>
      <c r="T642">
        <f t="shared" si="993"/>
        <v>-0.23679704127283621</v>
      </c>
    </row>
    <row r="643" spans="1:20" x14ac:dyDescent="0.25">
      <c r="A643" s="5">
        <v>43950</v>
      </c>
      <c r="B643">
        <v>1.0544</v>
      </c>
      <c r="C643">
        <v>1.1433</v>
      </c>
      <c r="D643">
        <v>1.0541</v>
      </c>
      <c r="E643">
        <v>1.099</v>
      </c>
      <c r="F643">
        <v>1876720.72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6.7264573991024021E-3</v>
      </c>
      <c r="Q643">
        <f t="shared" si="990"/>
        <v>12623.681973092787</v>
      </c>
      <c r="R643">
        <f t="shared" si="991"/>
        <v>-22453747.058765877</v>
      </c>
      <c r="S643">
        <f t="shared" si="992"/>
        <v>-224.53747058765876</v>
      </c>
      <c r="T643">
        <f t="shared" si="993"/>
        <v>-0.22453747058765877</v>
      </c>
    </row>
    <row r="644" spans="1:20" x14ac:dyDescent="0.25">
      <c r="A644" s="5">
        <v>43949</v>
      </c>
      <c r="B644">
        <v>1.0549999999999999</v>
      </c>
      <c r="C644">
        <v>1.085</v>
      </c>
      <c r="D644">
        <v>1.0385</v>
      </c>
      <c r="E644">
        <v>1.0533999999999999</v>
      </c>
      <c r="F644">
        <v>1374085.56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-0.3591397849462401</v>
      </c>
      <c r="Q644">
        <f t="shared" si="990"/>
        <v>-493488.79251613392</v>
      </c>
      <c r="R644">
        <f t="shared" si="991"/>
        <v>-22466370.740738969</v>
      </c>
      <c r="S644">
        <f t="shared" si="992"/>
        <v>-224.66370740738969</v>
      </c>
      <c r="T644">
        <f t="shared" si="993"/>
        <v>-0.2246637074073897</v>
      </c>
    </row>
    <row r="645" spans="1:20" x14ac:dyDescent="0.25">
      <c r="A645" s="5">
        <v>43948</v>
      </c>
      <c r="B645">
        <v>1.0541</v>
      </c>
      <c r="C645">
        <v>1.1990000000000001</v>
      </c>
      <c r="D645">
        <v>1.0268999999999999</v>
      </c>
      <c r="E645">
        <v>1.0549999999999999</v>
      </c>
      <c r="F645">
        <v>5614348.5199999996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-0.67344567112144116</v>
      </c>
      <c r="Q645">
        <f t="shared" si="990"/>
        <v>-3780958.7069610697</v>
      </c>
      <c r="R645">
        <f t="shared" si="991"/>
        <v>-21972881.948222835</v>
      </c>
      <c r="S645">
        <f t="shared" si="992"/>
        <v>-219.72881948222835</v>
      </c>
      <c r="T645">
        <f t="shared" si="993"/>
        <v>-0.21972881948222833</v>
      </c>
    </row>
    <row r="646" spans="1:20" x14ac:dyDescent="0.25">
      <c r="A646" s="5">
        <v>43947</v>
      </c>
      <c r="B646">
        <v>1.022</v>
      </c>
      <c r="C646">
        <v>1.0551999999999999</v>
      </c>
      <c r="D646">
        <v>1.0139</v>
      </c>
      <c r="E646">
        <v>1.0522</v>
      </c>
      <c r="F646">
        <v>1421971.79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4">IF(C646=D646,0,((E646-D646)-(C646-E646))/(C646-D646))</f>
        <v>0.8547215496368088</v>
      </c>
      <c r="Q646">
        <f t="shared" ref="Q646:Q709" si="995">F646*P646</f>
        <v>1215389.9318886269</v>
      </c>
      <c r="R646">
        <f t="shared" ref="R646:R709" si="996">R647+Q646</f>
        <v>-18191923.241261765</v>
      </c>
      <c r="S646">
        <f t="shared" ref="S646:S709" si="997">R646/100000</f>
        <v>-181.91923241261765</v>
      </c>
      <c r="T646">
        <f t="shared" ref="T646:T709" si="998">S646/1000</f>
        <v>-0.18191923241261765</v>
      </c>
    </row>
    <row r="647" spans="1:20" x14ac:dyDescent="0.25">
      <c r="A647" s="5">
        <v>43946</v>
      </c>
      <c r="B647">
        <v>1.012</v>
      </c>
      <c r="C647">
        <v>1.034</v>
      </c>
      <c r="D647">
        <v>1.0024999999999999</v>
      </c>
      <c r="E647">
        <v>1.0221</v>
      </c>
      <c r="F647">
        <v>1227625.47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0.24444444444444507</v>
      </c>
      <c r="Q647">
        <f t="shared" si="995"/>
        <v>300086.22600000078</v>
      </c>
      <c r="R647">
        <f t="shared" si="996"/>
        <v>-19407313.17315039</v>
      </c>
      <c r="S647">
        <f t="shared" si="997"/>
        <v>-194.07313173150391</v>
      </c>
      <c r="T647">
        <f t="shared" si="998"/>
        <v>-0.1940731317315039</v>
      </c>
    </row>
    <row r="648" spans="1:20" x14ac:dyDescent="0.25">
      <c r="A648" s="5">
        <v>43945</v>
      </c>
      <c r="B648">
        <v>1.014</v>
      </c>
      <c r="C648">
        <v>1.0293000000000001</v>
      </c>
      <c r="D648">
        <v>0.99609999999999999</v>
      </c>
      <c r="E648">
        <v>1.0106999999999999</v>
      </c>
      <c r="F648">
        <v>1093813.9099999999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-0.12048192771084974</v>
      </c>
      <c r="Q648">
        <f t="shared" si="995"/>
        <v>-131784.80843374188</v>
      </c>
      <c r="R648">
        <f t="shared" si="996"/>
        <v>-19707399.39915039</v>
      </c>
      <c r="S648">
        <f t="shared" si="997"/>
        <v>-197.0739939915039</v>
      </c>
      <c r="T648">
        <f t="shared" si="998"/>
        <v>-0.19707399399150391</v>
      </c>
    </row>
    <row r="649" spans="1:20" x14ac:dyDescent="0.25">
      <c r="A649" s="5">
        <v>43944</v>
      </c>
      <c r="B649">
        <v>0.99829999999999997</v>
      </c>
      <c r="C649">
        <v>1.042</v>
      </c>
      <c r="D649">
        <v>0.97609999999999997</v>
      </c>
      <c r="E649">
        <v>1.0074000000000001</v>
      </c>
      <c r="F649">
        <v>1206331.77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-5.0075872534140441E-2</v>
      </c>
      <c r="Q649">
        <f t="shared" si="995"/>
        <v>-60408.115948404025</v>
      </c>
      <c r="R649">
        <f t="shared" si="996"/>
        <v>-19575614.590716649</v>
      </c>
      <c r="S649">
        <f t="shared" si="997"/>
        <v>-195.75614590716648</v>
      </c>
      <c r="T649">
        <f t="shared" si="998"/>
        <v>-0.19575614590716647</v>
      </c>
    </row>
    <row r="650" spans="1:20" x14ac:dyDescent="0.25">
      <c r="A650" s="5">
        <v>43943</v>
      </c>
      <c r="B650">
        <v>0.96389999999999998</v>
      </c>
      <c r="C650">
        <v>0.99870000000000003</v>
      </c>
      <c r="D650">
        <v>0.96099999999999997</v>
      </c>
      <c r="E650">
        <v>0.998</v>
      </c>
      <c r="F650">
        <v>592704.65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0.96286472148540936</v>
      </c>
      <c r="Q650">
        <f t="shared" si="995"/>
        <v>570694.39774535701</v>
      </c>
      <c r="R650">
        <f t="shared" si="996"/>
        <v>-19515206.474768244</v>
      </c>
      <c r="S650">
        <f t="shared" si="997"/>
        <v>-195.15206474768243</v>
      </c>
      <c r="T650">
        <f t="shared" si="998"/>
        <v>-0.19515206474768243</v>
      </c>
    </row>
    <row r="651" spans="1:20" x14ac:dyDescent="0.25">
      <c r="A651" s="5">
        <v>43942</v>
      </c>
      <c r="B651">
        <v>0.97109999999999996</v>
      </c>
      <c r="C651">
        <v>0.98419999999999996</v>
      </c>
      <c r="D651">
        <v>0.94540000000000002</v>
      </c>
      <c r="E651">
        <v>0.96389999999999998</v>
      </c>
      <c r="F651">
        <v>452637.85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-4.6391752577320269E-2</v>
      </c>
      <c r="Q651">
        <f t="shared" si="995"/>
        <v>-20998.663144330203</v>
      </c>
      <c r="R651">
        <f t="shared" si="996"/>
        <v>-20085900.8725136</v>
      </c>
      <c r="S651">
        <f t="shared" si="997"/>
        <v>-200.85900872513599</v>
      </c>
      <c r="T651">
        <f t="shared" si="998"/>
        <v>-0.20085900872513598</v>
      </c>
    </row>
    <row r="652" spans="1:20" x14ac:dyDescent="0.25">
      <c r="A652" s="5">
        <v>43941</v>
      </c>
      <c r="B652">
        <v>1.0111000000000001</v>
      </c>
      <c r="C652">
        <v>1.0468999999999999</v>
      </c>
      <c r="D652">
        <v>0.95540000000000003</v>
      </c>
      <c r="E652">
        <v>0.97309999999999997</v>
      </c>
      <c r="F652">
        <v>587065.43999999994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-0.61311475409836169</v>
      </c>
      <c r="Q652">
        <f t="shared" si="995"/>
        <v>-359938.48288524646</v>
      </c>
      <c r="R652">
        <f t="shared" si="996"/>
        <v>-20064902.209369268</v>
      </c>
      <c r="S652">
        <f t="shared" si="997"/>
        <v>-200.64902209369268</v>
      </c>
      <c r="T652">
        <f t="shared" si="998"/>
        <v>-0.20064902209369267</v>
      </c>
    </row>
    <row r="653" spans="1:20" x14ac:dyDescent="0.25">
      <c r="A653" s="5">
        <v>43940</v>
      </c>
      <c r="B653">
        <v>1.0410999999999999</v>
      </c>
      <c r="C653">
        <v>1.0424</v>
      </c>
      <c r="D653">
        <v>1.01</v>
      </c>
      <c r="E653">
        <v>1.0138</v>
      </c>
      <c r="F653">
        <v>506379.72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-0.76543209876543039</v>
      </c>
      <c r="Q653">
        <f t="shared" si="995"/>
        <v>-387599.29185185098</v>
      </c>
      <c r="R653">
        <f t="shared" si="996"/>
        <v>-19704963.726484023</v>
      </c>
      <c r="S653">
        <f t="shared" si="997"/>
        <v>-197.04963726484024</v>
      </c>
      <c r="T653">
        <f t="shared" si="998"/>
        <v>-0.19704963726484023</v>
      </c>
    </row>
    <row r="654" spans="1:20" x14ac:dyDescent="0.25">
      <c r="A654" s="5">
        <v>43939</v>
      </c>
      <c r="B654">
        <v>0.99750000000000005</v>
      </c>
      <c r="C654">
        <v>1.0525</v>
      </c>
      <c r="D654">
        <v>0.99739999999999995</v>
      </c>
      <c r="E654">
        <v>1.0410999999999999</v>
      </c>
      <c r="F654">
        <v>1056923.97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0.58620689655172165</v>
      </c>
      <c r="Q654">
        <f t="shared" si="995"/>
        <v>619576.12034482497</v>
      </c>
      <c r="R654">
        <f t="shared" si="996"/>
        <v>-19317364.434632171</v>
      </c>
      <c r="S654">
        <f t="shared" si="997"/>
        <v>-193.17364434632171</v>
      </c>
      <c r="T654">
        <f t="shared" si="998"/>
        <v>-0.1931736443463217</v>
      </c>
    </row>
    <row r="655" spans="1:20" x14ac:dyDescent="0.25">
      <c r="A655" s="5">
        <v>43938</v>
      </c>
      <c r="B655">
        <v>1.0049999999999999</v>
      </c>
      <c r="C655">
        <v>1.0202</v>
      </c>
      <c r="D655">
        <v>0.99009999999999998</v>
      </c>
      <c r="E655">
        <v>0.99750000000000005</v>
      </c>
      <c r="F655">
        <v>375572.03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-0.50830564784052701</v>
      </c>
      <c r="Q655">
        <f t="shared" si="995"/>
        <v>-190905.38401993187</v>
      </c>
      <c r="R655">
        <f t="shared" si="996"/>
        <v>-19936940.554976996</v>
      </c>
      <c r="S655">
        <f t="shared" si="997"/>
        <v>-199.36940554976997</v>
      </c>
      <c r="T655">
        <f t="shared" si="998"/>
        <v>-0.19936940554976995</v>
      </c>
    </row>
    <row r="656" spans="1:20" x14ac:dyDescent="0.25">
      <c r="A656" s="5">
        <v>43937</v>
      </c>
      <c r="B656">
        <v>0.95899999999999996</v>
      </c>
      <c r="C656">
        <v>1.0233000000000001</v>
      </c>
      <c r="D656">
        <v>0.94110000000000005</v>
      </c>
      <c r="E656">
        <v>1.0056</v>
      </c>
      <c r="F656">
        <v>940304.79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0.56934306569342974</v>
      </c>
      <c r="Q656">
        <f t="shared" si="995"/>
        <v>535356.0118248167</v>
      </c>
      <c r="R656">
        <f t="shared" si="996"/>
        <v>-19746035.170957062</v>
      </c>
      <c r="S656">
        <f t="shared" si="997"/>
        <v>-197.46035170957063</v>
      </c>
      <c r="T656">
        <f t="shared" si="998"/>
        <v>-0.19746035170957063</v>
      </c>
    </row>
    <row r="657" spans="1:20" x14ac:dyDescent="0.25">
      <c r="A657" s="5">
        <v>43936</v>
      </c>
      <c r="B657">
        <v>0.98839999999999995</v>
      </c>
      <c r="C657">
        <v>1.0199</v>
      </c>
      <c r="D657">
        <v>0.95660000000000001</v>
      </c>
      <c r="E657">
        <v>0.95899999999999996</v>
      </c>
      <c r="F657">
        <v>744948.99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-0.9241706161137454</v>
      </c>
      <c r="Q657">
        <f t="shared" si="995"/>
        <v>-688459.96706161241</v>
      </c>
      <c r="R657">
        <f t="shared" si="996"/>
        <v>-20281391.182781879</v>
      </c>
      <c r="S657">
        <f t="shared" si="997"/>
        <v>-202.8139118278188</v>
      </c>
      <c r="T657">
        <f t="shared" si="998"/>
        <v>-0.2028139118278188</v>
      </c>
    </row>
    <row r="658" spans="1:20" x14ac:dyDescent="0.25">
      <c r="A658" s="5">
        <v>43935</v>
      </c>
      <c r="B658">
        <v>0.99970000000000003</v>
      </c>
      <c r="C658">
        <v>1.0118</v>
      </c>
      <c r="D658">
        <v>0.97689999999999999</v>
      </c>
      <c r="E658">
        <v>0.9899</v>
      </c>
      <c r="F658">
        <v>385653.49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-0.25501432664756468</v>
      </c>
      <c r="Q658">
        <f t="shared" si="995"/>
        <v>-98347.165071633324</v>
      </c>
      <c r="R658">
        <f t="shared" si="996"/>
        <v>-19592931.215720266</v>
      </c>
      <c r="S658">
        <f t="shared" si="997"/>
        <v>-195.92931215720267</v>
      </c>
      <c r="T658">
        <f t="shared" si="998"/>
        <v>-0.19592931215720266</v>
      </c>
    </row>
    <row r="659" spans="1:20" x14ac:dyDescent="0.25">
      <c r="A659" s="5">
        <v>43934</v>
      </c>
      <c r="B659">
        <v>0.99590000000000001</v>
      </c>
      <c r="C659">
        <v>1.0141</v>
      </c>
      <c r="D659">
        <v>0.95209999999999995</v>
      </c>
      <c r="E659">
        <v>0.99909999999999999</v>
      </c>
      <c r="F659">
        <v>593224.95999999996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0.5161290322580645</v>
      </c>
      <c r="Q659">
        <f t="shared" si="995"/>
        <v>306180.62451612903</v>
      </c>
      <c r="R659">
        <f t="shared" si="996"/>
        <v>-19494584.050648633</v>
      </c>
      <c r="S659">
        <f t="shared" si="997"/>
        <v>-194.94584050648632</v>
      </c>
      <c r="T659">
        <f t="shared" si="998"/>
        <v>-0.19494584050648631</v>
      </c>
    </row>
    <row r="660" spans="1:20" x14ac:dyDescent="0.25">
      <c r="A660" s="5">
        <v>43933</v>
      </c>
      <c r="B660">
        <v>0.99590000000000001</v>
      </c>
      <c r="C660">
        <v>1.0429999999999999</v>
      </c>
      <c r="D660">
        <v>0.96660000000000001</v>
      </c>
      <c r="E660">
        <v>0.99650000000000005</v>
      </c>
      <c r="F660">
        <v>544851.94999999995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-0.21727748691099288</v>
      </c>
      <c r="Q660">
        <f t="shared" si="995"/>
        <v>-118384.06243455394</v>
      </c>
      <c r="R660">
        <f t="shared" si="996"/>
        <v>-19800764.675164763</v>
      </c>
      <c r="S660">
        <f t="shared" si="997"/>
        <v>-198.00764675164763</v>
      </c>
      <c r="T660">
        <f t="shared" si="998"/>
        <v>-0.19800764675164761</v>
      </c>
    </row>
    <row r="661" spans="1:20" x14ac:dyDescent="0.25">
      <c r="A661" s="5">
        <v>43932</v>
      </c>
      <c r="B661">
        <v>1.0022</v>
      </c>
      <c r="C661">
        <v>1.0373000000000001</v>
      </c>
      <c r="D661">
        <v>0.98009999999999997</v>
      </c>
      <c r="E661">
        <v>0.99119999999999997</v>
      </c>
      <c r="F661">
        <v>872678.66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-0.61188811188811287</v>
      </c>
      <c r="Q661">
        <f t="shared" si="995"/>
        <v>-533981.69755244849</v>
      </c>
      <c r="R661">
        <f t="shared" si="996"/>
        <v>-19682380.612730209</v>
      </c>
      <c r="S661">
        <f t="shared" si="997"/>
        <v>-196.82380612730208</v>
      </c>
      <c r="T661">
        <f t="shared" si="998"/>
        <v>-0.19682380612730208</v>
      </c>
    </row>
    <row r="662" spans="1:20" x14ac:dyDescent="0.25">
      <c r="A662" s="5">
        <v>43931</v>
      </c>
      <c r="B662">
        <v>1.0457000000000001</v>
      </c>
      <c r="C662">
        <v>1.1861999999999999</v>
      </c>
      <c r="D662">
        <v>0.98709999999999998</v>
      </c>
      <c r="E662">
        <v>0.99980000000000002</v>
      </c>
      <c r="F662">
        <v>7529500.4900000002</v>
      </c>
      <c r="G662">
        <v>0</v>
      </c>
      <c r="L662" t="s">
        <v>8</v>
      </c>
      <c r="M662" t="s">
        <v>8</v>
      </c>
      <c r="N662" t="s">
        <v>8</v>
      </c>
      <c r="P662">
        <f t="shared" si="994"/>
        <v>-0.87242591662481117</v>
      </c>
      <c r="Q662">
        <f t="shared" si="995"/>
        <v>-6568931.3667152151</v>
      </c>
      <c r="R662">
        <f t="shared" si="996"/>
        <v>-19148398.915177759</v>
      </c>
      <c r="S662">
        <f t="shared" si="997"/>
        <v>-191.48398915177759</v>
      </c>
      <c r="T662">
        <f t="shared" si="998"/>
        <v>-0.19148398915177758</v>
      </c>
    </row>
    <row r="663" spans="1:20" x14ac:dyDescent="0.25">
      <c r="A663" s="5">
        <v>43930</v>
      </c>
      <c r="B663">
        <v>1.0071000000000001</v>
      </c>
      <c r="C663">
        <v>1.0553999999999999</v>
      </c>
      <c r="D663">
        <v>0.98050000000000004</v>
      </c>
      <c r="E663">
        <v>1.0458000000000001</v>
      </c>
      <c r="F663">
        <v>1959627.53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0.74365821094793461</v>
      </c>
      <c r="Q663">
        <f t="shared" si="995"/>
        <v>1457293.10308412</v>
      </c>
      <c r="R663">
        <f t="shared" si="996"/>
        <v>-12579467.548462544</v>
      </c>
      <c r="S663">
        <f t="shared" si="997"/>
        <v>-125.79467548462543</v>
      </c>
      <c r="T663">
        <f t="shared" si="998"/>
        <v>-0.12579467548462542</v>
      </c>
    </row>
    <row r="664" spans="1:20" x14ac:dyDescent="0.25">
      <c r="A664" s="5">
        <v>43929</v>
      </c>
      <c r="B664">
        <v>0.99250000000000005</v>
      </c>
      <c r="C664">
        <v>1.0282</v>
      </c>
      <c r="D664">
        <v>0.98009999999999997</v>
      </c>
      <c r="E664">
        <v>1.0066999999999999</v>
      </c>
      <c r="F664">
        <v>1451740.56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0.10602910602910351</v>
      </c>
      <c r="Q664">
        <f t="shared" si="995"/>
        <v>153926.75376299012</v>
      </c>
      <c r="R664">
        <f t="shared" si="996"/>
        <v>-14036760.651546665</v>
      </c>
      <c r="S664">
        <f t="shared" si="997"/>
        <v>-140.36760651546663</v>
      </c>
      <c r="T664">
        <f t="shared" si="998"/>
        <v>-0.14036760651546662</v>
      </c>
    </row>
    <row r="665" spans="1:20" x14ac:dyDescent="0.25">
      <c r="A665" s="5">
        <v>43928</v>
      </c>
      <c r="B665">
        <v>0.98680000000000001</v>
      </c>
      <c r="C665">
        <v>1.0994999999999999</v>
      </c>
      <c r="D665">
        <v>0.96530000000000005</v>
      </c>
      <c r="E665">
        <v>0.99280000000000002</v>
      </c>
      <c r="F665">
        <v>2614054.8199999998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-0.59016393442622961</v>
      </c>
      <c r="Q665">
        <f t="shared" si="995"/>
        <v>-1542720.8773770493</v>
      </c>
      <c r="R665">
        <f t="shared" si="996"/>
        <v>-14190687.405309655</v>
      </c>
      <c r="S665">
        <f t="shared" si="997"/>
        <v>-141.90687405309654</v>
      </c>
      <c r="T665">
        <f t="shared" si="998"/>
        <v>-0.14190687405309654</v>
      </c>
    </row>
    <row r="666" spans="1:20" x14ac:dyDescent="0.25">
      <c r="A666" s="5">
        <v>43927</v>
      </c>
      <c r="B666">
        <v>0.9486</v>
      </c>
      <c r="C666">
        <v>0.99239999999999995</v>
      </c>
      <c r="D666">
        <v>0.93600000000000005</v>
      </c>
      <c r="E666">
        <v>0.98670000000000002</v>
      </c>
      <c r="F666">
        <v>1782084.84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0.79787234042553412</v>
      </c>
      <c r="Q666">
        <f t="shared" si="995"/>
        <v>1421876.2021276637</v>
      </c>
      <c r="R666">
        <f t="shared" si="996"/>
        <v>-12647966.527932605</v>
      </c>
      <c r="S666">
        <f t="shared" si="997"/>
        <v>-126.47966527932604</v>
      </c>
      <c r="T666">
        <f t="shared" si="998"/>
        <v>-0.12647966527932605</v>
      </c>
    </row>
    <row r="667" spans="1:20" x14ac:dyDescent="0.25">
      <c r="A667" s="5">
        <v>43926</v>
      </c>
      <c r="B667">
        <v>0.95109999999999995</v>
      </c>
      <c r="C667">
        <v>0.95799999999999996</v>
      </c>
      <c r="D667">
        <v>0.92349999999999999</v>
      </c>
      <c r="E667">
        <v>0.9486</v>
      </c>
      <c r="F667">
        <v>754532.33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0.45507246376811766</v>
      </c>
      <c r="Q667">
        <f t="shared" si="995"/>
        <v>343366.88640579837</v>
      </c>
      <c r="R667">
        <f t="shared" si="996"/>
        <v>-14069842.730060268</v>
      </c>
      <c r="S667">
        <f t="shared" si="997"/>
        <v>-140.69842730060267</v>
      </c>
      <c r="T667">
        <f t="shared" si="998"/>
        <v>-0.14069842730060267</v>
      </c>
    </row>
    <row r="668" spans="1:20" x14ac:dyDescent="0.25">
      <c r="A668" s="5">
        <v>43925</v>
      </c>
      <c r="B668">
        <v>0.9637</v>
      </c>
      <c r="C668">
        <v>0.97240000000000004</v>
      </c>
      <c r="D668">
        <v>0.93220000000000003</v>
      </c>
      <c r="E668">
        <v>0.95050000000000001</v>
      </c>
      <c r="F668">
        <v>1017668.61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-8.955223880597131E-2</v>
      </c>
      <c r="Q668">
        <f t="shared" si="995"/>
        <v>-91134.502388060879</v>
      </c>
      <c r="R668">
        <f t="shared" si="996"/>
        <v>-14413209.616466066</v>
      </c>
      <c r="S668">
        <f t="shared" si="997"/>
        <v>-144.13209616466065</v>
      </c>
      <c r="T668">
        <f t="shared" si="998"/>
        <v>-0.14413209616466066</v>
      </c>
    </row>
    <row r="669" spans="1:20" x14ac:dyDescent="0.25">
      <c r="A669" s="5">
        <v>43924</v>
      </c>
      <c r="B669">
        <v>0.95899999999999996</v>
      </c>
      <c r="C669">
        <v>1</v>
      </c>
      <c r="D669">
        <v>0.93430000000000002</v>
      </c>
      <c r="E669">
        <v>0.96289999999999998</v>
      </c>
      <c r="F669">
        <v>1503024.31</v>
      </c>
      <c r="G669">
        <v>0</v>
      </c>
      <c r="L669" t="s">
        <v>7</v>
      </c>
      <c r="M669" t="s">
        <v>7</v>
      </c>
      <c r="N669" t="s">
        <v>8</v>
      </c>
      <c r="P669">
        <f t="shared" si="994"/>
        <v>-0.1293759512937605</v>
      </c>
      <c r="Q669">
        <f t="shared" si="995"/>
        <v>-194455.19992389801</v>
      </c>
      <c r="R669">
        <f t="shared" si="996"/>
        <v>-14322075.114078006</v>
      </c>
      <c r="S669">
        <f t="shared" si="997"/>
        <v>-143.22075114078007</v>
      </c>
      <c r="T669">
        <f t="shared" si="998"/>
        <v>-0.14322075114078006</v>
      </c>
    </row>
    <row r="670" spans="1:20" x14ac:dyDescent="0.25">
      <c r="A670" s="5">
        <v>43923</v>
      </c>
      <c r="B670">
        <v>0.96989999999999998</v>
      </c>
      <c r="C670">
        <v>1.0109999999999999</v>
      </c>
      <c r="D670">
        <v>0.94179999999999997</v>
      </c>
      <c r="E670">
        <v>0.96150000000000002</v>
      </c>
      <c r="F670">
        <v>2419945.66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-0.43063583815028694</v>
      </c>
      <c r="Q670">
        <f t="shared" si="995"/>
        <v>-1042115.3275722493</v>
      </c>
      <c r="R670">
        <f t="shared" si="996"/>
        <v>-14127619.914154109</v>
      </c>
      <c r="S670">
        <f t="shared" si="997"/>
        <v>-141.2761991415411</v>
      </c>
      <c r="T670">
        <f t="shared" si="998"/>
        <v>-0.1412761991415411</v>
      </c>
    </row>
    <row r="671" spans="1:20" x14ac:dyDescent="0.25">
      <c r="A671" s="5">
        <v>43922</v>
      </c>
      <c r="B671">
        <v>0.99</v>
      </c>
      <c r="C671">
        <v>1.0238</v>
      </c>
      <c r="D671">
        <v>0.90529999999999999</v>
      </c>
      <c r="E671">
        <v>0.9698</v>
      </c>
      <c r="F671">
        <v>3871047.29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8.8607594936708431E-2</v>
      </c>
      <c r="Q671">
        <f t="shared" si="995"/>
        <v>343004.19025316287</v>
      </c>
      <c r="R671">
        <f t="shared" si="996"/>
        <v>-13085504.58658186</v>
      </c>
      <c r="S671">
        <f t="shared" si="997"/>
        <v>-130.8550458658186</v>
      </c>
      <c r="T671">
        <f t="shared" si="998"/>
        <v>-0.13085504586581859</v>
      </c>
    </row>
    <row r="672" spans="1:20" x14ac:dyDescent="0.25">
      <c r="A672" s="5">
        <v>43921</v>
      </c>
      <c r="B672">
        <v>0.8236</v>
      </c>
      <c r="C672">
        <v>1.1258999999999999</v>
      </c>
      <c r="D672">
        <v>0.81410000000000005</v>
      </c>
      <c r="E672">
        <v>0.99</v>
      </c>
      <c r="F672">
        <v>8664763.5800000001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0.12828736369467625</v>
      </c>
      <c r="Q672">
        <f t="shared" si="995"/>
        <v>1111579.676715845</v>
      </c>
      <c r="R672">
        <f t="shared" si="996"/>
        <v>-13428508.776835022</v>
      </c>
      <c r="S672">
        <f t="shared" si="997"/>
        <v>-134.28508776835022</v>
      </c>
      <c r="T672">
        <f t="shared" si="998"/>
        <v>-0.13428508776835021</v>
      </c>
    </row>
    <row r="673" spans="1:20" x14ac:dyDescent="0.25">
      <c r="A673" s="5">
        <v>43920</v>
      </c>
      <c r="B673">
        <v>0.7712</v>
      </c>
      <c r="C673">
        <v>0.84660000000000002</v>
      </c>
      <c r="D673">
        <v>0.76770000000000005</v>
      </c>
      <c r="E673">
        <v>0.82620000000000005</v>
      </c>
      <c r="F673">
        <v>944052.26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0.48288973384030465</v>
      </c>
      <c r="Q673">
        <f t="shared" si="995"/>
        <v>455873.14456273807</v>
      </c>
      <c r="R673">
        <f t="shared" si="996"/>
        <v>-14540088.453550868</v>
      </c>
      <c r="S673">
        <f t="shared" si="997"/>
        <v>-145.40088453550868</v>
      </c>
      <c r="T673">
        <f t="shared" si="998"/>
        <v>-0.14540088453550867</v>
      </c>
    </row>
    <row r="674" spans="1:20" x14ac:dyDescent="0.25">
      <c r="A674" s="5">
        <v>43919</v>
      </c>
      <c r="B674">
        <v>0.8155</v>
      </c>
      <c r="C674">
        <v>0.82020000000000004</v>
      </c>
      <c r="D674">
        <v>0.76880000000000004</v>
      </c>
      <c r="E674">
        <v>0.77100000000000002</v>
      </c>
      <c r="F674">
        <v>389453.52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-0.91439688715953382</v>
      </c>
      <c r="Q674">
        <f t="shared" si="995"/>
        <v>-356115.08638132329</v>
      </c>
      <c r="R674">
        <f t="shared" si="996"/>
        <v>-14995961.598113606</v>
      </c>
      <c r="S674">
        <f t="shared" si="997"/>
        <v>-149.95961598113607</v>
      </c>
      <c r="T674">
        <f t="shared" si="998"/>
        <v>-0.14995961598113608</v>
      </c>
    </row>
    <row r="675" spans="1:20" x14ac:dyDescent="0.25">
      <c r="A675" s="5">
        <v>43918</v>
      </c>
      <c r="B675">
        <v>0.85870000000000002</v>
      </c>
      <c r="C675">
        <v>0.85870000000000002</v>
      </c>
      <c r="D675">
        <v>0.79630000000000001</v>
      </c>
      <c r="E675">
        <v>0.81440000000000001</v>
      </c>
      <c r="F675">
        <v>705700.64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-0.41987179487179482</v>
      </c>
      <c r="Q675">
        <f t="shared" si="995"/>
        <v>-296303.79435897432</v>
      </c>
      <c r="R675">
        <f t="shared" si="996"/>
        <v>-14639846.511732282</v>
      </c>
      <c r="S675">
        <f t="shared" si="997"/>
        <v>-146.39846511732281</v>
      </c>
      <c r="T675">
        <f t="shared" si="998"/>
        <v>-0.14639846511732282</v>
      </c>
    </row>
    <row r="676" spans="1:20" x14ac:dyDescent="0.25">
      <c r="A676" s="5">
        <v>43917</v>
      </c>
      <c r="B676">
        <v>0.89170000000000005</v>
      </c>
      <c r="C676">
        <v>0.91959999999999997</v>
      </c>
      <c r="D676">
        <v>0.83209999999999995</v>
      </c>
      <c r="E676">
        <v>0.85899999999999999</v>
      </c>
      <c r="F676">
        <v>513270.63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-0.38514285714285651</v>
      </c>
      <c r="Q676">
        <f t="shared" si="995"/>
        <v>-197682.51692571395</v>
      </c>
      <c r="R676">
        <f t="shared" si="996"/>
        <v>-14343542.717373308</v>
      </c>
      <c r="S676">
        <f t="shared" si="997"/>
        <v>-143.43542717373307</v>
      </c>
      <c r="T676">
        <f t="shared" si="998"/>
        <v>-0.14343542717373309</v>
      </c>
    </row>
    <row r="677" spans="1:20" x14ac:dyDescent="0.25">
      <c r="A677" s="5">
        <v>43916</v>
      </c>
      <c r="B677">
        <v>0.90090000000000003</v>
      </c>
      <c r="C677">
        <v>0.91600000000000004</v>
      </c>
      <c r="D677">
        <v>0.88</v>
      </c>
      <c r="E677">
        <v>0.89170000000000005</v>
      </c>
      <c r="F677">
        <v>607295.03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-0.34999999999999815</v>
      </c>
      <c r="Q677">
        <f t="shared" si="995"/>
        <v>-212553.2604999989</v>
      </c>
      <c r="R677">
        <f t="shared" si="996"/>
        <v>-14145860.200447595</v>
      </c>
      <c r="S677">
        <f t="shared" si="997"/>
        <v>-141.45860200447595</v>
      </c>
      <c r="T677">
        <f t="shared" si="998"/>
        <v>-0.14145860200447594</v>
      </c>
    </row>
    <row r="678" spans="1:20" x14ac:dyDescent="0.25">
      <c r="A678" s="5">
        <v>43915</v>
      </c>
      <c r="B678">
        <v>0.93</v>
      </c>
      <c r="C678">
        <v>0.94</v>
      </c>
      <c r="D678">
        <v>0.8821</v>
      </c>
      <c r="E678">
        <v>0.8992</v>
      </c>
      <c r="F678">
        <v>717848.29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-0.40932642487046567</v>
      </c>
      <c r="Q678">
        <f t="shared" si="995"/>
        <v>-293834.27414507727</v>
      </c>
      <c r="R678">
        <f t="shared" si="996"/>
        <v>-13933306.939947596</v>
      </c>
      <c r="S678">
        <f t="shared" si="997"/>
        <v>-139.33306939947596</v>
      </c>
      <c r="T678">
        <f t="shared" si="998"/>
        <v>-0.13933306939947596</v>
      </c>
    </row>
    <row r="679" spans="1:20" x14ac:dyDescent="0.25">
      <c r="A679" s="5">
        <v>43914</v>
      </c>
      <c r="B679">
        <v>0.92210000000000003</v>
      </c>
      <c r="C679">
        <v>0.94689999999999996</v>
      </c>
      <c r="D679">
        <v>0.89180000000000004</v>
      </c>
      <c r="E679">
        <v>0.93389999999999995</v>
      </c>
      <c r="F679">
        <v>1151967.68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0.52813067150635107</v>
      </c>
      <c r="Q679">
        <f t="shared" si="995"/>
        <v>608389.46439201327</v>
      </c>
      <c r="R679">
        <f t="shared" si="996"/>
        <v>-13639472.665802518</v>
      </c>
      <c r="S679">
        <f t="shared" si="997"/>
        <v>-136.39472665802518</v>
      </c>
      <c r="T679">
        <f t="shared" si="998"/>
        <v>-0.13639472665802518</v>
      </c>
    </row>
    <row r="680" spans="1:20" x14ac:dyDescent="0.25">
      <c r="A680" s="5">
        <v>43913</v>
      </c>
      <c r="B680">
        <v>0.84519999999999995</v>
      </c>
      <c r="C680">
        <v>0.95</v>
      </c>
      <c r="D680">
        <v>0.83299999999999996</v>
      </c>
      <c r="E680">
        <v>0.92210000000000003</v>
      </c>
      <c r="F680">
        <v>729815.83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0.52307692307692433</v>
      </c>
      <c r="Q680">
        <f t="shared" si="995"/>
        <v>381749.81876923167</v>
      </c>
      <c r="R680">
        <f t="shared" si="996"/>
        <v>-14247862.130194532</v>
      </c>
      <c r="S680">
        <f t="shared" si="997"/>
        <v>-142.47862130194531</v>
      </c>
      <c r="T680">
        <f t="shared" si="998"/>
        <v>-0.1424786213019453</v>
      </c>
    </row>
    <row r="681" spans="1:20" x14ac:dyDescent="0.25">
      <c r="A681" s="5">
        <v>43912</v>
      </c>
      <c r="B681">
        <v>0.93210000000000004</v>
      </c>
      <c r="C681">
        <v>0.95789999999999997</v>
      </c>
      <c r="D681">
        <v>0.84319999999999995</v>
      </c>
      <c r="E681">
        <v>0.84519999999999995</v>
      </c>
      <c r="F681">
        <v>571523.6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-0.96512641673931998</v>
      </c>
      <c r="Q681">
        <f t="shared" si="995"/>
        <v>-551592.52414995641</v>
      </c>
      <c r="R681">
        <f t="shared" si="996"/>
        <v>-14629611.948963763</v>
      </c>
      <c r="S681">
        <f t="shared" si="997"/>
        <v>-146.29611948963762</v>
      </c>
      <c r="T681">
        <f t="shared" si="998"/>
        <v>-0.14629611948963761</v>
      </c>
    </row>
    <row r="682" spans="1:20" x14ac:dyDescent="0.25">
      <c r="A682" s="5">
        <v>43911</v>
      </c>
      <c r="B682">
        <v>0.95220000000000005</v>
      </c>
      <c r="C682">
        <v>0.98270000000000002</v>
      </c>
      <c r="D682">
        <v>0.88439999999999996</v>
      </c>
      <c r="E682">
        <v>0.93540000000000001</v>
      </c>
      <c r="F682">
        <v>594298.39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3.7639877924720594E-2</v>
      </c>
      <c r="Q682">
        <f t="shared" si="995"/>
        <v>22369.318850457992</v>
      </c>
      <c r="R682">
        <f t="shared" si="996"/>
        <v>-14078019.424813807</v>
      </c>
      <c r="S682">
        <f t="shared" si="997"/>
        <v>-140.78019424813806</v>
      </c>
      <c r="T682">
        <f t="shared" si="998"/>
        <v>-0.14078019424813806</v>
      </c>
    </row>
    <row r="683" spans="1:20" x14ac:dyDescent="0.25">
      <c r="A683" s="5">
        <v>43910</v>
      </c>
      <c r="B683">
        <v>0.95009999999999994</v>
      </c>
      <c r="C683">
        <v>1.089</v>
      </c>
      <c r="D683">
        <v>0.86270000000000002</v>
      </c>
      <c r="E683">
        <v>0.95189999999999997</v>
      </c>
      <c r="F683">
        <v>1485205.28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-0.21166593018117572</v>
      </c>
      <c r="Q683">
        <f t="shared" si="995"/>
        <v>-314367.35710119351</v>
      </c>
      <c r="R683">
        <f t="shared" si="996"/>
        <v>-14100388.743664265</v>
      </c>
      <c r="S683">
        <f t="shared" si="997"/>
        <v>-141.00388743664266</v>
      </c>
      <c r="T683">
        <f t="shared" si="998"/>
        <v>-0.14100388743664266</v>
      </c>
    </row>
    <row r="684" spans="1:20" x14ac:dyDescent="0.25">
      <c r="A684" s="5">
        <v>43909</v>
      </c>
      <c r="B684">
        <v>0.86899999999999999</v>
      </c>
      <c r="C684">
        <v>1.0111000000000001</v>
      </c>
      <c r="D684">
        <v>0.8639</v>
      </c>
      <c r="E684">
        <v>0.9516</v>
      </c>
      <c r="F684">
        <v>1276626.29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0.19157608695652087</v>
      </c>
      <c r="Q684">
        <f t="shared" si="995"/>
        <v>244571.06914402064</v>
      </c>
      <c r="R684">
        <f t="shared" si="996"/>
        <v>-13786021.386563072</v>
      </c>
      <c r="S684">
        <f t="shared" si="997"/>
        <v>-137.86021386563073</v>
      </c>
      <c r="T684">
        <f t="shared" si="998"/>
        <v>-0.13786021386563072</v>
      </c>
    </row>
    <row r="685" spans="1:20" x14ac:dyDescent="0.25">
      <c r="A685" s="5">
        <v>43908</v>
      </c>
      <c r="B685">
        <v>0.86080000000000001</v>
      </c>
      <c r="C685">
        <v>0.94</v>
      </c>
      <c r="D685">
        <v>0.78149999999999997</v>
      </c>
      <c r="E685">
        <v>0.86670000000000003</v>
      </c>
      <c r="F685">
        <v>2191156.2000000002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7.5078864353313152E-2</v>
      </c>
      <c r="Q685">
        <f t="shared" si="995"/>
        <v>164509.51911672112</v>
      </c>
      <c r="R685">
        <f t="shared" si="996"/>
        <v>-14030592.455707092</v>
      </c>
      <c r="S685">
        <f t="shared" si="997"/>
        <v>-140.30592455707091</v>
      </c>
      <c r="T685">
        <f t="shared" si="998"/>
        <v>-0.14030592455707092</v>
      </c>
    </row>
    <row r="686" spans="1:20" x14ac:dyDescent="0.25">
      <c r="A686" s="5">
        <v>43907</v>
      </c>
      <c r="B686">
        <v>0.74080000000000001</v>
      </c>
      <c r="C686">
        <v>0.93220000000000003</v>
      </c>
      <c r="D686">
        <v>0.72470000000000001</v>
      </c>
      <c r="E686">
        <v>0.86119999999999997</v>
      </c>
      <c r="F686">
        <v>2241921.64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0.31566265060240911</v>
      </c>
      <c r="Q686">
        <f t="shared" si="995"/>
        <v>707690.92732530006</v>
      </c>
      <c r="R686">
        <f t="shared" si="996"/>
        <v>-14195101.974823812</v>
      </c>
      <c r="S686">
        <f t="shared" si="997"/>
        <v>-141.95101974823811</v>
      </c>
      <c r="T686">
        <f t="shared" si="998"/>
        <v>-0.14195101974823812</v>
      </c>
    </row>
    <row r="687" spans="1:20" x14ac:dyDescent="0.25">
      <c r="A687" s="5">
        <v>43906</v>
      </c>
      <c r="B687">
        <v>0.86019999999999996</v>
      </c>
      <c r="C687">
        <v>0.86019999999999996</v>
      </c>
      <c r="D687">
        <v>0.65749999999999997</v>
      </c>
      <c r="E687">
        <v>0.73860000000000003</v>
      </c>
      <c r="F687">
        <v>1247244.44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-0.19980266403551983</v>
      </c>
      <c r="Q687">
        <f t="shared" si="995"/>
        <v>-249202.76181549006</v>
      </c>
      <c r="R687">
        <f t="shared" si="996"/>
        <v>-14902792.902149113</v>
      </c>
      <c r="S687">
        <f t="shared" si="997"/>
        <v>-149.02792902149113</v>
      </c>
      <c r="T687">
        <f t="shared" si="998"/>
        <v>-0.14902792902149115</v>
      </c>
    </row>
    <row r="688" spans="1:20" x14ac:dyDescent="0.25">
      <c r="A688" s="5">
        <v>43905</v>
      </c>
      <c r="B688">
        <v>0.80379999999999996</v>
      </c>
      <c r="C688">
        <v>0.94289999999999996</v>
      </c>
      <c r="D688">
        <v>0.79579999999999995</v>
      </c>
      <c r="E688">
        <v>0.8629</v>
      </c>
      <c r="F688">
        <v>1197623.18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-8.7695445275322303E-2</v>
      </c>
      <c r="Q688">
        <f t="shared" si="995"/>
        <v>-105026.09804214747</v>
      </c>
      <c r="R688">
        <f t="shared" si="996"/>
        <v>-14653590.140333623</v>
      </c>
      <c r="S688">
        <f t="shared" si="997"/>
        <v>-146.53590140333623</v>
      </c>
      <c r="T688">
        <f t="shared" si="998"/>
        <v>-0.14653590140333622</v>
      </c>
    </row>
    <row r="689" spans="1:20" x14ac:dyDescent="0.25">
      <c r="A689" s="5">
        <v>43904</v>
      </c>
      <c r="B689">
        <v>0.86629999999999996</v>
      </c>
      <c r="C689">
        <v>0.89319999999999999</v>
      </c>
      <c r="D689">
        <v>0.78539999999999999</v>
      </c>
      <c r="E689">
        <v>0.80500000000000005</v>
      </c>
      <c r="F689">
        <v>1118636.3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-0.63636363636363524</v>
      </c>
      <c r="Q689">
        <f t="shared" si="995"/>
        <v>-711859.46363636246</v>
      </c>
      <c r="R689">
        <f t="shared" si="996"/>
        <v>-14548564.042291475</v>
      </c>
      <c r="S689">
        <f t="shared" si="997"/>
        <v>-145.48564042291474</v>
      </c>
      <c r="T689">
        <f t="shared" si="998"/>
        <v>-0.14548564042291473</v>
      </c>
    </row>
    <row r="690" spans="1:20" x14ac:dyDescent="0.25">
      <c r="A690" s="5">
        <v>43903</v>
      </c>
      <c r="B690">
        <v>0.79500000000000004</v>
      </c>
      <c r="C690">
        <v>0.97489999999999999</v>
      </c>
      <c r="D690">
        <v>0.54290000000000005</v>
      </c>
      <c r="E690">
        <v>0.87070000000000003</v>
      </c>
      <c r="F690">
        <v>2083636.81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0.51759259259259272</v>
      </c>
      <c r="Q690">
        <f t="shared" si="995"/>
        <v>1078474.9785092596</v>
      </c>
      <c r="R690">
        <f t="shared" si="996"/>
        <v>-13836704.578655113</v>
      </c>
      <c r="S690">
        <f t="shared" si="997"/>
        <v>-138.36704578655113</v>
      </c>
      <c r="T690">
        <f t="shared" si="998"/>
        <v>-0.13836704578655112</v>
      </c>
    </row>
    <row r="691" spans="1:20" x14ac:dyDescent="0.25">
      <c r="A691" s="5">
        <v>43902</v>
      </c>
      <c r="B691">
        <v>1.3391</v>
      </c>
      <c r="C691">
        <v>1.3660000000000001</v>
      </c>
      <c r="D691">
        <v>0.73</v>
      </c>
      <c r="E691">
        <v>0.79500000000000004</v>
      </c>
      <c r="F691">
        <v>4001113.67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-0.79559748427672938</v>
      </c>
      <c r="Q691">
        <f t="shared" si="995"/>
        <v>-3183275.9701572321</v>
      </c>
      <c r="R691">
        <f t="shared" si="996"/>
        <v>-14915179.557164373</v>
      </c>
      <c r="S691">
        <f t="shared" si="997"/>
        <v>-149.15179557164373</v>
      </c>
      <c r="T691">
        <f t="shared" si="998"/>
        <v>-0.14915179557164374</v>
      </c>
    </row>
    <row r="692" spans="1:20" x14ac:dyDescent="0.25">
      <c r="A692" s="5">
        <v>43901</v>
      </c>
      <c r="B692">
        <v>1.2890999999999999</v>
      </c>
      <c r="C692">
        <v>1.4058999999999999</v>
      </c>
      <c r="D692">
        <v>1.1611</v>
      </c>
      <c r="E692">
        <v>1.337</v>
      </c>
      <c r="F692">
        <v>3517450.96</v>
      </c>
      <c r="G692">
        <v>0</v>
      </c>
      <c r="L692" t="s">
        <v>7</v>
      </c>
      <c r="M692" t="s">
        <v>7</v>
      </c>
      <c r="N692" t="s">
        <v>8</v>
      </c>
      <c r="P692">
        <f t="shared" si="994"/>
        <v>0.43709150326797397</v>
      </c>
      <c r="Q692">
        <f t="shared" si="995"/>
        <v>1537447.9277777781</v>
      </c>
      <c r="R692">
        <f t="shared" si="996"/>
        <v>-11731903.587007141</v>
      </c>
      <c r="S692">
        <f t="shared" si="997"/>
        <v>-117.3190358700714</v>
      </c>
      <c r="T692">
        <f t="shared" si="998"/>
        <v>-0.11731903587007141</v>
      </c>
    </row>
    <row r="693" spans="1:20" x14ac:dyDescent="0.25">
      <c r="A693" s="5">
        <v>43900</v>
      </c>
      <c r="B693">
        <v>1.0945</v>
      </c>
      <c r="C693">
        <v>1.4979</v>
      </c>
      <c r="D693">
        <v>1.0768</v>
      </c>
      <c r="E693">
        <v>1.2875000000000001</v>
      </c>
      <c r="F693">
        <v>5558992.2800000003</v>
      </c>
      <c r="G693">
        <v>0</v>
      </c>
      <c r="L693" t="s">
        <v>8</v>
      </c>
      <c r="M693" t="s">
        <v>8</v>
      </c>
      <c r="N693" t="s">
        <v>8</v>
      </c>
      <c r="P693">
        <f t="shared" si="994"/>
        <v>7.1241985276701255E-4</v>
      </c>
      <c r="Q693">
        <f t="shared" si="995"/>
        <v>3960.3364616505596</v>
      </c>
      <c r="R693">
        <f t="shared" si="996"/>
        <v>-13269351.514784919</v>
      </c>
      <c r="S693">
        <f t="shared" si="997"/>
        <v>-132.69351514784918</v>
      </c>
      <c r="T693">
        <f t="shared" si="998"/>
        <v>-0.13269351514784919</v>
      </c>
    </row>
    <row r="694" spans="1:20" x14ac:dyDescent="0.25">
      <c r="A694" s="5">
        <v>43899</v>
      </c>
      <c r="B694">
        <v>1.0985</v>
      </c>
      <c r="C694">
        <v>1.1265000000000001</v>
      </c>
      <c r="D694">
        <v>1.0259</v>
      </c>
      <c r="E694">
        <v>1.0925</v>
      </c>
      <c r="F694">
        <v>943307.83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0.32405566600397567</v>
      </c>
      <c r="Q694">
        <f t="shared" si="995"/>
        <v>305684.24709741503</v>
      </c>
      <c r="R694">
        <f t="shared" si="996"/>
        <v>-13273311.851246569</v>
      </c>
      <c r="S694">
        <f t="shared" si="997"/>
        <v>-132.73311851246569</v>
      </c>
      <c r="T694">
        <f t="shared" si="998"/>
        <v>-0.13273311851246569</v>
      </c>
    </row>
    <row r="695" spans="1:20" x14ac:dyDescent="0.25">
      <c r="A695" s="5">
        <v>43898</v>
      </c>
      <c r="B695">
        <v>1.2806</v>
      </c>
      <c r="C695">
        <v>1.2806</v>
      </c>
      <c r="D695">
        <v>1.085</v>
      </c>
      <c r="E695">
        <v>1.0935999999999999</v>
      </c>
      <c r="F695">
        <v>1137377.58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-0.91206543967280229</v>
      </c>
      <c r="Q695">
        <f t="shared" si="995"/>
        <v>-1037362.782576688</v>
      </c>
      <c r="R695">
        <f t="shared" si="996"/>
        <v>-13578996.098343985</v>
      </c>
      <c r="S695">
        <f t="shared" si="997"/>
        <v>-135.78996098343984</v>
      </c>
      <c r="T695">
        <f t="shared" si="998"/>
        <v>-0.13578996098343984</v>
      </c>
    </row>
    <row r="696" spans="1:20" x14ac:dyDescent="0.25">
      <c r="A696" s="5">
        <v>43897</v>
      </c>
      <c r="B696">
        <v>1.375</v>
      </c>
      <c r="C696">
        <v>1.3994</v>
      </c>
      <c r="D696">
        <v>1.2806999999999999</v>
      </c>
      <c r="E696">
        <v>1.2858000000000001</v>
      </c>
      <c r="F696">
        <v>1093939.3</v>
      </c>
      <c r="G696">
        <v>0</v>
      </c>
      <c r="L696" t="s">
        <v>7</v>
      </c>
      <c r="M696" t="s">
        <v>8</v>
      </c>
      <c r="N696" t="s">
        <v>8</v>
      </c>
      <c r="P696">
        <f t="shared" si="994"/>
        <v>-0.91406908171861667</v>
      </c>
      <c r="Q696">
        <f t="shared" si="995"/>
        <v>-999936.09140690637</v>
      </c>
      <c r="R696">
        <f t="shared" si="996"/>
        <v>-12541633.315767298</v>
      </c>
      <c r="S696">
        <f t="shared" si="997"/>
        <v>-125.41633315767298</v>
      </c>
      <c r="T696">
        <f t="shared" si="998"/>
        <v>-0.12541633315767298</v>
      </c>
    </row>
    <row r="697" spans="1:20" x14ac:dyDescent="0.25">
      <c r="A697" s="5">
        <v>43896</v>
      </c>
      <c r="B697">
        <v>1.3393999999999999</v>
      </c>
      <c r="C697">
        <v>1.4657</v>
      </c>
      <c r="D697">
        <v>1.2995000000000001</v>
      </c>
      <c r="E697">
        <v>1.375</v>
      </c>
      <c r="F697">
        <v>3493571.85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-9.1456077015644469E-2</v>
      </c>
      <c r="Q697">
        <f t="shared" si="995"/>
        <v>-319508.37617328751</v>
      </c>
      <c r="R697">
        <f t="shared" si="996"/>
        <v>-11541697.224360391</v>
      </c>
      <c r="S697">
        <f t="shared" si="997"/>
        <v>-115.41697224360391</v>
      </c>
      <c r="T697">
        <f t="shared" si="998"/>
        <v>-0.11541697224360391</v>
      </c>
    </row>
    <row r="698" spans="1:20" x14ac:dyDescent="0.25">
      <c r="A698" s="5">
        <v>43895</v>
      </c>
      <c r="B698">
        <v>1.2017</v>
      </c>
      <c r="C698">
        <v>1.34</v>
      </c>
      <c r="D698">
        <v>1.1872</v>
      </c>
      <c r="E698">
        <v>1.3393999999999999</v>
      </c>
      <c r="F698">
        <v>2717019.85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0.99214659685863671</v>
      </c>
      <c r="Q698">
        <f t="shared" si="995"/>
        <v>2695681.9977748636</v>
      </c>
      <c r="R698">
        <f t="shared" si="996"/>
        <v>-11222188.848187104</v>
      </c>
      <c r="S698">
        <f t="shared" si="997"/>
        <v>-112.22188848187103</v>
      </c>
      <c r="T698">
        <f t="shared" si="998"/>
        <v>-0.11222188848187103</v>
      </c>
    </row>
    <row r="699" spans="1:20" x14ac:dyDescent="0.25">
      <c r="A699" s="5">
        <v>43894</v>
      </c>
      <c r="B699">
        <v>1.1645000000000001</v>
      </c>
      <c r="C699">
        <v>1.2121999999999999</v>
      </c>
      <c r="D699">
        <v>1.1312</v>
      </c>
      <c r="E699">
        <v>1.1998</v>
      </c>
      <c r="F699">
        <v>842275.96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0.69382716049382787</v>
      </c>
      <c r="Q699">
        <f t="shared" si="995"/>
        <v>584393.93767901289</v>
      </c>
      <c r="R699">
        <f t="shared" si="996"/>
        <v>-13917870.845961967</v>
      </c>
      <c r="S699">
        <f t="shared" si="997"/>
        <v>-139.17870845961968</v>
      </c>
      <c r="T699">
        <f t="shared" si="998"/>
        <v>-0.13917870845961969</v>
      </c>
    </row>
    <row r="700" spans="1:20" x14ac:dyDescent="0.25">
      <c r="A700" s="5">
        <v>43893</v>
      </c>
      <c r="B700">
        <v>1.1879</v>
      </c>
      <c r="C700">
        <v>1.1879999999999999</v>
      </c>
      <c r="D700">
        <v>1.1322000000000001</v>
      </c>
      <c r="E700">
        <v>1.1638999999999999</v>
      </c>
      <c r="F700">
        <v>725031.08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0.13620071684587545</v>
      </c>
      <c r="Q700">
        <f t="shared" si="995"/>
        <v>98749.75283153927</v>
      </c>
      <c r="R700">
        <f t="shared" si="996"/>
        <v>-14502264.783640981</v>
      </c>
      <c r="S700">
        <f t="shared" si="997"/>
        <v>-145.02264783640982</v>
      </c>
      <c r="T700">
        <f t="shared" si="998"/>
        <v>-0.14502264783640981</v>
      </c>
    </row>
    <row r="701" spans="1:20" x14ac:dyDescent="0.25">
      <c r="A701" s="5">
        <v>43892</v>
      </c>
      <c r="B701">
        <v>1.1174999999999999</v>
      </c>
      <c r="C701">
        <v>1.2099</v>
      </c>
      <c r="D701">
        <v>1.1075999999999999</v>
      </c>
      <c r="E701">
        <v>1.1853</v>
      </c>
      <c r="F701">
        <v>853509.63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0.5190615835777137</v>
      </c>
      <c r="Q701">
        <f t="shared" si="995"/>
        <v>443024.06014662853</v>
      </c>
      <c r="R701">
        <f t="shared" si="996"/>
        <v>-14601014.53647252</v>
      </c>
      <c r="S701">
        <f t="shared" si="997"/>
        <v>-146.01014536472519</v>
      </c>
      <c r="T701">
        <f t="shared" si="998"/>
        <v>-0.1460101453647252</v>
      </c>
    </row>
    <row r="702" spans="1:20" x14ac:dyDescent="0.25">
      <c r="A702" s="5">
        <v>43891</v>
      </c>
      <c r="B702">
        <v>1.1316999999999999</v>
      </c>
      <c r="C702">
        <v>1.1789000000000001</v>
      </c>
      <c r="D702">
        <v>1.099</v>
      </c>
      <c r="E702">
        <v>1.1175999999999999</v>
      </c>
      <c r="F702">
        <v>445944.96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-0.53441802252816195</v>
      </c>
      <c r="Q702">
        <f t="shared" si="995"/>
        <v>-238321.0236796003</v>
      </c>
      <c r="R702">
        <f t="shared" si="996"/>
        <v>-15044038.596619148</v>
      </c>
      <c r="S702">
        <f t="shared" si="997"/>
        <v>-150.44038596619149</v>
      </c>
      <c r="T702">
        <f t="shared" si="998"/>
        <v>-0.1504403859661915</v>
      </c>
    </row>
    <row r="703" spans="1:20" x14ac:dyDescent="0.25">
      <c r="A703" s="5">
        <v>43890</v>
      </c>
      <c r="B703">
        <v>1.1526000000000001</v>
      </c>
      <c r="C703">
        <v>1.1748000000000001</v>
      </c>
      <c r="D703">
        <v>1.1276999999999999</v>
      </c>
      <c r="E703">
        <v>1.1316999999999999</v>
      </c>
      <c r="F703">
        <v>486521.18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-0.83014861995753753</v>
      </c>
      <c r="Q703">
        <f t="shared" si="995"/>
        <v>-403884.88615711272</v>
      </c>
      <c r="R703">
        <f t="shared" si="996"/>
        <v>-14805717.572939547</v>
      </c>
      <c r="S703">
        <f t="shared" si="997"/>
        <v>-148.05717572939548</v>
      </c>
      <c r="T703">
        <f t="shared" si="998"/>
        <v>-0.14805717572939547</v>
      </c>
    </row>
    <row r="704" spans="1:20" x14ac:dyDescent="0.25">
      <c r="A704" s="5">
        <v>43889</v>
      </c>
      <c r="B704">
        <v>1.222</v>
      </c>
      <c r="C704">
        <v>1.2239</v>
      </c>
      <c r="D704">
        <v>1.1106</v>
      </c>
      <c r="E704">
        <v>1.1529</v>
      </c>
      <c r="F704">
        <v>753780.56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-0.25330979699911704</v>
      </c>
      <c r="Q704">
        <f t="shared" si="995"/>
        <v>-190940.00063548077</v>
      </c>
      <c r="R704">
        <f t="shared" si="996"/>
        <v>-14401832.686782435</v>
      </c>
      <c r="S704">
        <f t="shared" si="997"/>
        <v>-144.01832686782436</v>
      </c>
      <c r="T704">
        <f t="shared" si="998"/>
        <v>-0.14401832686782437</v>
      </c>
    </row>
    <row r="705" spans="1:20" x14ac:dyDescent="0.25">
      <c r="A705" s="5">
        <v>43888</v>
      </c>
      <c r="B705">
        <v>1.159</v>
      </c>
      <c r="C705">
        <v>1.2372000000000001</v>
      </c>
      <c r="D705">
        <v>1.0973999999999999</v>
      </c>
      <c r="E705">
        <v>1.2148000000000001</v>
      </c>
      <c r="F705">
        <v>1391657.96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0.67954220314735403</v>
      </c>
      <c r="Q705">
        <f t="shared" si="995"/>
        <v>945690.31616595224</v>
      </c>
      <c r="R705">
        <f t="shared" si="996"/>
        <v>-14210892.686146954</v>
      </c>
      <c r="S705">
        <f t="shared" si="997"/>
        <v>-142.10892686146954</v>
      </c>
      <c r="T705">
        <f t="shared" si="998"/>
        <v>-0.14210892686146953</v>
      </c>
    </row>
    <row r="706" spans="1:20" x14ac:dyDescent="0.25">
      <c r="A706" s="5">
        <v>43887</v>
      </c>
      <c r="B706">
        <v>1.3165</v>
      </c>
      <c r="C706">
        <v>1.3483000000000001</v>
      </c>
      <c r="D706">
        <v>1.1394</v>
      </c>
      <c r="E706">
        <v>1.1561999999999999</v>
      </c>
      <c r="F706">
        <v>1442246.02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-0.83915749162278674</v>
      </c>
      <c r="Q706">
        <f t="shared" si="995"/>
        <v>-1210271.5524461474</v>
      </c>
      <c r="R706">
        <f t="shared" si="996"/>
        <v>-15156583.002312906</v>
      </c>
      <c r="S706">
        <f t="shared" si="997"/>
        <v>-151.56583002312905</v>
      </c>
      <c r="T706">
        <f t="shared" si="998"/>
        <v>-0.15156583002312904</v>
      </c>
    </row>
    <row r="707" spans="1:20" x14ac:dyDescent="0.25">
      <c r="A707" s="5">
        <v>43886</v>
      </c>
      <c r="B707">
        <v>1.3671</v>
      </c>
      <c r="C707">
        <v>1.3684000000000001</v>
      </c>
      <c r="D707">
        <v>1.2470000000000001</v>
      </c>
      <c r="E707">
        <v>1.3214999999999999</v>
      </c>
      <c r="F707">
        <v>1081059.3500000001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0.22734761120263292</v>
      </c>
      <c r="Q707">
        <f t="shared" si="995"/>
        <v>245776.26079077108</v>
      </c>
      <c r="R707">
        <f t="shared" si="996"/>
        <v>-13946311.449866759</v>
      </c>
      <c r="S707">
        <f t="shared" si="997"/>
        <v>-139.46311449866758</v>
      </c>
      <c r="T707">
        <f t="shared" si="998"/>
        <v>-0.13946311449866758</v>
      </c>
    </row>
    <row r="708" spans="1:20" x14ac:dyDescent="0.25">
      <c r="A708" s="5">
        <v>43885</v>
      </c>
      <c r="B708">
        <v>1.4439</v>
      </c>
      <c r="C708">
        <v>1.4578</v>
      </c>
      <c r="D708">
        <v>1.3219000000000001</v>
      </c>
      <c r="E708">
        <v>1.3734999999999999</v>
      </c>
      <c r="F708">
        <v>569641.39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-0.24061810154525529</v>
      </c>
      <c r="Q708">
        <f t="shared" si="995"/>
        <v>-137066.02982340037</v>
      </c>
      <c r="R708">
        <f t="shared" si="996"/>
        <v>-14192087.71065753</v>
      </c>
      <c r="S708">
        <f t="shared" si="997"/>
        <v>-141.92087710657529</v>
      </c>
      <c r="T708">
        <f t="shared" si="998"/>
        <v>-0.14192087710657528</v>
      </c>
    </row>
    <row r="709" spans="1:20" x14ac:dyDescent="0.25">
      <c r="A709" s="5">
        <v>43884</v>
      </c>
      <c r="B709">
        <v>1.4198</v>
      </c>
      <c r="C709">
        <v>1.45</v>
      </c>
      <c r="D709">
        <v>1.4008</v>
      </c>
      <c r="E709">
        <v>1.4439</v>
      </c>
      <c r="F709">
        <v>421051.89</v>
      </c>
      <c r="G709">
        <v>0</v>
      </c>
      <c r="L709" t="s">
        <v>7</v>
      </c>
      <c r="M709" t="s">
        <v>7</v>
      </c>
      <c r="N709" t="s">
        <v>8</v>
      </c>
      <c r="P709">
        <f t="shared" si="994"/>
        <v>0.75203252032520307</v>
      </c>
      <c r="Q709">
        <f t="shared" si="995"/>
        <v>316644.71402439015</v>
      </c>
      <c r="R709">
        <f t="shared" si="996"/>
        <v>-14055021.680834129</v>
      </c>
      <c r="S709">
        <f t="shared" si="997"/>
        <v>-140.5502168083413</v>
      </c>
      <c r="T709">
        <f t="shared" si="998"/>
        <v>-0.14055021680834132</v>
      </c>
    </row>
    <row r="710" spans="1:20" x14ac:dyDescent="0.25">
      <c r="A710" s="5">
        <v>43883</v>
      </c>
      <c r="B710">
        <v>1.4460999999999999</v>
      </c>
      <c r="C710">
        <v>1.4538</v>
      </c>
      <c r="D710">
        <v>1.3718999999999999</v>
      </c>
      <c r="E710">
        <v>1.4198</v>
      </c>
      <c r="F710">
        <v>633201.14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0.16971916971916984</v>
      </c>
      <c r="Q710">
        <f t="shared" ref="Q710:Q766" si="1000">F710*P710</f>
        <v>107466.37174603183</v>
      </c>
      <c r="R710">
        <f t="shared" ref="R710:R766" si="1001">R711+Q710</f>
        <v>-14371666.39485852</v>
      </c>
      <c r="S710">
        <f t="shared" ref="S710:S766" si="1002">R710/100000</f>
        <v>-143.71666394858519</v>
      </c>
      <c r="T710">
        <f t="shared" ref="T710:T766" si="1003">S710/1000</f>
        <v>-0.1437166639485852</v>
      </c>
    </row>
    <row r="711" spans="1:20" x14ac:dyDescent="0.25">
      <c r="A711" s="5">
        <v>43882</v>
      </c>
      <c r="B711">
        <v>1.4879</v>
      </c>
      <c r="C711">
        <v>1.5182</v>
      </c>
      <c r="D711">
        <v>1.4157999999999999</v>
      </c>
      <c r="E711">
        <v>1.4459</v>
      </c>
      <c r="F711">
        <v>1135473.2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-0.41210937499999994</v>
      </c>
      <c r="Q711">
        <f t="shared" si="1000"/>
        <v>-467939.15078124992</v>
      </c>
      <c r="R711">
        <f t="shared" si="1001"/>
        <v>-14479132.766604552</v>
      </c>
      <c r="S711">
        <f t="shared" si="1002"/>
        <v>-144.79132766604553</v>
      </c>
      <c r="T711">
        <f t="shared" si="1003"/>
        <v>-0.14479132766604552</v>
      </c>
    </row>
    <row r="712" spans="1:20" x14ac:dyDescent="0.25">
      <c r="A712" s="5">
        <v>43881</v>
      </c>
      <c r="B712">
        <v>1.3716999999999999</v>
      </c>
      <c r="C712">
        <v>1.5150999999999999</v>
      </c>
      <c r="D712">
        <v>1.3378000000000001</v>
      </c>
      <c r="E712">
        <v>1.4854000000000001</v>
      </c>
      <c r="F712">
        <v>3743118.56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0.66497461928934154</v>
      </c>
      <c r="Q712">
        <f t="shared" si="1000"/>
        <v>2489078.8393908683</v>
      </c>
      <c r="R712">
        <f t="shared" si="1001"/>
        <v>-14011193.615823302</v>
      </c>
      <c r="S712">
        <f t="shared" si="1002"/>
        <v>-140.11193615823302</v>
      </c>
      <c r="T712">
        <f t="shared" si="1003"/>
        <v>-0.14011193615823303</v>
      </c>
    </row>
    <row r="713" spans="1:20" x14ac:dyDescent="0.25">
      <c r="A713" s="5">
        <v>43880</v>
      </c>
      <c r="B713">
        <v>1.4693000000000001</v>
      </c>
      <c r="C713">
        <v>1.5572999999999999</v>
      </c>
      <c r="D713">
        <v>1.2871999999999999</v>
      </c>
      <c r="E713">
        <v>1.3716999999999999</v>
      </c>
      <c r="F713">
        <v>2536047.6</v>
      </c>
      <c r="G713">
        <v>0</v>
      </c>
      <c r="L713" t="s">
        <v>8</v>
      </c>
      <c r="M713" t="s">
        <v>8</v>
      </c>
      <c r="N713" t="s">
        <v>8</v>
      </c>
      <c r="P713">
        <f t="shared" si="999"/>
        <v>-0.37430581266197693</v>
      </c>
      <c r="Q713">
        <f t="shared" si="1000"/>
        <v>-949257.35786745627</v>
      </c>
      <c r="R713">
        <f t="shared" si="1001"/>
        <v>-16500272.455214171</v>
      </c>
      <c r="S713">
        <f t="shared" si="1002"/>
        <v>-165.0027245521417</v>
      </c>
      <c r="T713">
        <f t="shared" si="1003"/>
        <v>-0.16500272455214171</v>
      </c>
    </row>
    <row r="714" spans="1:20" x14ac:dyDescent="0.25">
      <c r="A714" s="5">
        <v>43879</v>
      </c>
      <c r="B714">
        <v>1.3386</v>
      </c>
      <c r="C714">
        <v>1.4841</v>
      </c>
      <c r="D714">
        <v>1.3012999999999999</v>
      </c>
      <c r="E714">
        <v>1.4693000000000001</v>
      </c>
      <c r="F714">
        <v>2689734.91</v>
      </c>
      <c r="G714">
        <v>0</v>
      </c>
      <c r="L714" t="s">
        <v>8</v>
      </c>
      <c r="M714" t="s">
        <v>8</v>
      </c>
      <c r="N714" t="s">
        <v>8</v>
      </c>
      <c r="P714">
        <f t="shared" si="999"/>
        <v>0.83807439824945384</v>
      </c>
      <c r="Q714">
        <f t="shared" si="1000"/>
        <v>2254197.9661487988</v>
      </c>
      <c r="R714">
        <f t="shared" si="1001"/>
        <v>-15551015.097346714</v>
      </c>
      <c r="S714">
        <f t="shared" si="1002"/>
        <v>-155.51015097346715</v>
      </c>
      <c r="T714">
        <f t="shared" si="1003"/>
        <v>-0.15551015097346715</v>
      </c>
    </row>
    <row r="715" spans="1:20" x14ac:dyDescent="0.25">
      <c r="A715" s="5">
        <v>43878</v>
      </c>
      <c r="B715">
        <v>1.3829</v>
      </c>
      <c r="C715">
        <v>1.3937999999999999</v>
      </c>
      <c r="D715">
        <v>1.2107000000000001</v>
      </c>
      <c r="E715">
        <v>1.3366</v>
      </c>
      <c r="F715">
        <v>1967703.13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0.37520480611687629</v>
      </c>
      <c r="Q715">
        <f t="shared" si="1000"/>
        <v>738291.67138722062</v>
      </c>
      <c r="R715">
        <f t="shared" si="1001"/>
        <v>-17805213.063495513</v>
      </c>
      <c r="S715">
        <f t="shared" si="1002"/>
        <v>-178.05213063495512</v>
      </c>
      <c r="T715">
        <f t="shared" si="1003"/>
        <v>-0.17805213063495512</v>
      </c>
    </row>
    <row r="716" spans="1:20" x14ac:dyDescent="0.25">
      <c r="A716" s="5">
        <v>43877</v>
      </c>
      <c r="B716">
        <v>1.4652000000000001</v>
      </c>
      <c r="C716">
        <v>1.4951000000000001</v>
      </c>
      <c r="D716">
        <v>1.2766</v>
      </c>
      <c r="E716">
        <v>1.3809</v>
      </c>
      <c r="F716">
        <v>1669436.34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-4.5308924485125919E-2</v>
      </c>
      <c r="Q716">
        <f t="shared" si="1000"/>
        <v>-75640.365061785007</v>
      </c>
      <c r="R716">
        <f t="shared" si="1001"/>
        <v>-18543504.734882735</v>
      </c>
      <c r="S716">
        <f t="shared" si="1002"/>
        <v>-185.43504734882734</v>
      </c>
      <c r="T716">
        <f t="shared" si="1003"/>
        <v>-0.18543504734882735</v>
      </c>
    </row>
    <row r="717" spans="1:20" x14ac:dyDescent="0.25">
      <c r="A717" s="5">
        <v>43876</v>
      </c>
      <c r="B717">
        <v>1.5528999999999999</v>
      </c>
      <c r="C717">
        <v>1.72</v>
      </c>
      <c r="D717">
        <v>1.4512</v>
      </c>
      <c r="E717">
        <v>1.4685999999999999</v>
      </c>
      <c r="F717">
        <v>4317756.55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-0.8705357142857153</v>
      </c>
      <c r="Q717">
        <f t="shared" si="1000"/>
        <v>-3758761.2823660756</v>
      </c>
      <c r="R717">
        <f t="shared" si="1001"/>
        <v>-18467864.369820949</v>
      </c>
      <c r="S717">
        <f t="shared" si="1002"/>
        <v>-184.6786436982095</v>
      </c>
      <c r="T717">
        <f t="shared" si="1003"/>
        <v>-0.18467864369820949</v>
      </c>
    </row>
    <row r="718" spans="1:20" x14ac:dyDescent="0.25">
      <c r="A718" s="5">
        <v>43875</v>
      </c>
      <c r="B718">
        <v>1.4037999999999999</v>
      </c>
      <c r="C718">
        <v>1.5649</v>
      </c>
      <c r="D718">
        <v>1.3665</v>
      </c>
      <c r="E718">
        <v>1.5528999999999999</v>
      </c>
      <c r="F718">
        <v>2784939.57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0.87903225806451601</v>
      </c>
      <c r="Q718">
        <f t="shared" si="1000"/>
        <v>2448051.7187903221</v>
      </c>
      <c r="R718">
        <f t="shared" si="1001"/>
        <v>-14709103.087454874</v>
      </c>
      <c r="S718">
        <f t="shared" si="1002"/>
        <v>-147.09103087454875</v>
      </c>
      <c r="T718">
        <f t="shared" si="1003"/>
        <v>-0.14709103087454875</v>
      </c>
    </row>
    <row r="719" spans="1:20" x14ac:dyDescent="0.25">
      <c r="A719" s="5">
        <v>43874</v>
      </c>
      <c r="B719">
        <v>1.4245000000000001</v>
      </c>
      <c r="C719">
        <v>1.4542999999999999</v>
      </c>
      <c r="D719">
        <v>1.3636999999999999</v>
      </c>
      <c r="E719">
        <v>1.4037999999999999</v>
      </c>
      <c r="F719">
        <v>1587248.52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-0.11479028697571704</v>
      </c>
      <c r="Q719">
        <f t="shared" si="1000"/>
        <v>-182200.71311258216</v>
      </c>
      <c r="R719">
        <f t="shared" si="1001"/>
        <v>-17157154.806245197</v>
      </c>
      <c r="S719">
        <f t="shared" si="1002"/>
        <v>-171.57154806245197</v>
      </c>
      <c r="T719">
        <f t="shared" si="1003"/>
        <v>-0.17157154806245198</v>
      </c>
    </row>
    <row r="720" spans="1:20" x14ac:dyDescent="0.25">
      <c r="A720" s="5">
        <v>43873</v>
      </c>
      <c r="B720">
        <v>1.4117</v>
      </c>
      <c r="C720">
        <v>1.54</v>
      </c>
      <c r="D720">
        <v>1.4074</v>
      </c>
      <c r="E720">
        <v>1.4323999999999999</v>
      </c>
      <c r="F720">
        <v>3117026.45</v>
      </c>
      <c r="G720">
        <v>0</v>
      </c>
      <c r="L720" t="s">
        <v>8</v>
      </c>
      <c r="M720" t="s">
        <v>7</v>
      </c>
      <c r="N720" t="s">
        <v>8</v>
      </c>
      <c r="P720">
        <f t="shared" si="999"/>
        <v>-0.62292609351433026</v>
      </c>
      <c r="Q720">
        <f t="shared" si="1000"/>
        <v>-1941677.109879341</v>
      </c>
      <c r="R720">
        <f t="shared" si="1001"/>
        <v>-16974954.093132615</v>
      </c>
      <c r="S720">
        <f t="shared" si="1002"/>
        <v>-169.74954093132615</v>
      </c>
      <c r="T720">
        <f t="shared" si="1003"/>
        <v>-0.16974954093132616</v>
      </c>
    </row>
    <row r="721" spans="1:20" x14ac:dyDescent="0.25">
      <c r="A721" s="5">
        <v>43872</v>
      </c>
      <c r="B721">
        <v>1.4375</v>
      </c>
      <c r="C721">
        <v>1.5444</v>
      </c>
      <c r="D721">
        <v>1.31</v>
      </c>
      <c r="E721">
        <v>1.4117</v>
      </c>
      <c r="F721">
        <v>5209512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-0.13225255972696309</v>
      </c>
      <c r="Q721">
        <f t="shared" si="1000"/>
        <v>-688971.29692833091</v>
      </c>
      <c r="R721">
        <f t="shared" si="1001"/>
        <v>-15033276.983253274</v>
      </c>
      <c r="S721">
        <f t="shared" si="1002"/>
        <v>-150.33276983253273</v>
      </c>
      <c r="T721">
        <f t="shared" si="1003"/>
        <v>-0.15033276983253274</v>
      </c>
    </row>
    <row r="722" spans="1:20" x14ac:dyDescent="0.25">
      <c r="A722" s="5">
        <v>43871</v>
      </c>
      <c r="B722">
        <v>1.1096999999999999</v>
      </c>
      <c r="C722">
        <v>1.5620000000000001</v>
      </c>
      <c r="D722">
        <v>1.1063000000000001</v>
      </c>
      <c r="E722">
        <v>1.4376</v>
      </c>
      <c r="F722">
        <v>6379247.4299999997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0.45402677199912195</v>
      </c>
      <c r="Q722">
        <f t="shared" si="1000"/>
        <v>2896349.1184265944</v>
      </c>
      <c r="R722">
        <f t="shared" si="1001"/>
        <v>-14344305.686324943</v>
      </c>
      <c r="S722">
        <f t="shared" si="1002"/>
        <v>-143.44305686324944</v>
      </c>
      <c r="T722">
        <f t="shared" si="1003"/>
        <v>-0.14344305686324943</v>
      </c>
    </row>
    <row r="723" spans="1:20" x14ac:dyDescent="0.25">
      <c r="A723" s="5">
        <v>43870</v>
      </c>
      <c r="B723">
        <v>1.0577000000000001</v>
      </c>
      <c r="C723">
        <v>1.1233</v>
      </c>
      <c r="D723">
        <v>1.0548999999999999</v>
      </c>
      <c r="E723">
        <v>1.1100000000000001</v>
      </c>
      <c r="F723">
        <v>1068408.49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0.61111111111111505</v>
      </c>
      <c r="Q723">
        <f t="shared" si="1000"/>
        <v>652916.29944444867</v>
      </c>
      <c r="R723">
        <f t="shared" si="1001"/>
        <v>-17240654.804751538</v>
      </c>
      <c r="S723">
        <f t="shared" si="1002"/>
        <v>-172.40654804751537</v>
      </c>
      <c r="T723">
        <f t="shared" si="1003"/>
        <v>-0.17240654804751537</v>
      </c>
    </row>
    <row r="724" spans="1:20" x14ac:dyDescent="0.25">
      <c r="A724" s="5">
        <v>43869</v>
      </c>
      <c r="B724">
        <v>1.0920000000000001</v>
      </c>
      <c r="C724">
        <v>1.0935999999999999</v>
      </c>
      <c r="D724">
        <v>1.0304</v>
      </c>
      <c r="E724">
        <v>1.0580000000000001</v>
      </c>
      <c r="F724">
        <v>963016.42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-0.12658227848100942</v>
      </c>
      <c r="Q724">
        <f t="shared" si="1000"/>
        <v>-121900.81265822474</v>
      </c>
      <c r="R724">
        <f t="shared" si="1001"/>
        <v>-17893571.104195986</v>
      </c>
      <c r="S724">
        <f t="shared" si="1002"/>
        <v>-178.93571104195985</v>
      </c>
      <c r="T724">
        <f t="shared" si="1003"/>
        <v>-0.17893571104195985</v>
      </c>
    </row>
    <row r="725" spans="1:20" x14ac:dyDescent="0.25">
      <c r="A725" s="5">
        <v>43868</v>
      </c>
      <c r="B725">
        <v>1.0343</v>
      </c>
      <c r="C725">
        <v>1.1279999999999999</v>
      </c>
      <c r="D725">
        <v>1.0236000000000001</v>
      </c>
      <c r="E725">
        <v>1.0920000000000001</v>
      </c>
      <c r="F725">
        <v>3723106.49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0.3103448275862094</v>
      </c>
      <c r="Q725">
        <f t="shared" si="1000"/>
        <v>1155446.8417241473</v>
      </c>
      <c r="R725">
        <f t="shared" si="1001"/>
        <v>-17771670.291537762</v>
      </c>
      <c r="S725">
        <f t="shared" si="1002"/>
        <v>-177.71670291537762</v>
      </c>
      <c r="T725">
        <f t="shared" si="1003"/>
        <v>-0.17771670291537761</v>
      </c>
    </row>
    <row r="726" spans="1:20" x14ac:dyDescent="0.25">
      <c r="A726" s="5">
        <v>43867</v>
      </c>
      <c r="B726">
        <v>0.99250000000000005</v>
      </c>
      <c r="C726">
        <v>1.0365</v>
      </c>
      <c r="D726">
        <v>0.97140000000000004</v>
      </c>
      <c r="E726">
        <v>1.0364</v>
      </c>
      <c r="F726">
        <v>1297244.58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0.99692780337941667</v>
      </c>
      <c r="Q726">
        <f t="shared" si="1000"/>
        <v>1293259.1895852541</v>
      </c>
      <c r="R726">
        <f t="shared" si="1001"/>
        <v>-18927117.133261908</v>
      </c>
      <c r="S726">
        <f t="shared" si="1002"/>
        <v>-189.27117133261908</v>
      </c>
      <c r="T726">
        <f t="shared" si="1003"/>
        <v>-0.18927117133261909</v>
      </c>
    </row>
    <row r="727" spans="1:20" x14ac:dyDescent="0.25">
      <c r="A727" s="5">
        <v>43866</v>
      </c>
      <c r="B727">
        <v>0.96430000000000005</v>
      </c>
      <c r="C727">
        <v>1.0097</v>
      </c>
      <c r="D727">
        <v>0.95960000000000001</v>
      </c>
      <c r="E727">
        <v>0.9899</v>
      </c>
      <c r="F727">
        <v>1265562.98</v>
      </c>
      <c r="G727">
        <v>0</v>
      </c>
      <c r="L727" t="s">
        <v>7</v>
      </c>
      <c r="M727" t="s">
        <v>8</v>
      </c>
      <c r="N727" t="s">
        <v>7</v>
      </c>
      <c r="P727">
        <f t="shared" si="999"/>
        <v>0.20958083832335223</v>
      </c>
      <c r="Q727">
        <f t="shared" si="1000"/>
        <v>265237.75029939984</v>
      </c>
      <c r="R727">
        <f t="shared" si="1001"/>
        <v>-20220376.322847161</v>
      </c>
      <c r="S727">
        <f t="shared" si="1002"/>
        <v>-202.20376322847162</v>
      </c>
      <c r="T727">
        <f t="shared" si="1003"/>
        <v>-0.20220376322847161</v>
      </c>
    </row>
    <row r="728" spans="1:20" x14ac:dyDescent="0.25">
      <c r="A728" s="5">
        <v>43865</v>
      </c>
      <c r="B728">
        <v>0.98060000000000003</v>
      </c>
      <c r="C728">
        <v>0.99380000000000002</v>
      </c>
      <c r="D728">
        <v>0.94599999999999995</v>
      </c>
      <c r="E728">
        <v>0.96430000000000005</v>
      </c>
      <c r="F728">
        <v>986663.57</v>
      </c>
      <c r="G728">
        <v>0</v>
      </c>
      <c r="L728" t="s">
        <v>7</v>
      </c>
      <c r="M728" t="s">
        <v>8</v>
      </c>
      <c r="N728" t="s">
        <v>7</v>
      </c>
      <c r="P728">
        <f t="shared" si="999"/>
        <v>-0.23430962343095946</v>
      </c>
      <c r="Q728">
        <f t="shared" si="1000"/>
        <v>-231184.76953974611</v>
      </c>
      <c r="R728">
        <f t="shared" si="1001"/>
        <v>-20485614.073146563</v>
      </c>
      <c r="S728">
        <f t="shared" si="1002"/>
        <v>-204.85614073146564</v>
      </c>
      <c r="T728">
        <f t="shared" si="1003"/>
        <v>-0.20485614073146563</v>
      </c>
    </row>
    <row r="729" spans="1:20" x14ac:dyDescent="0.25">
      <c r="A729" s="5">
        <v>43864</v>
      </c>
      <c r="B729">
        <v>0.95940000000000003</v>
      </c>
      <c r="C729">
        <v>1.0158</v>
      </c>
      <c r="D729">
        <v>0.94630000000000003</v>
      </c>
      <c r="E729">
        <v>0.98089999999999999</v>
      </c>
      <c r="F729">
        <v>1795201.5</v>
      </c>
      <c r="G729">
        <v>0</v>
      </c>
      <c r="L729" t="s">
        <v>7</v>
      </c>
      <c r="M729" t="s">
        <v>8</v>
      </c>
      <c r="N729" t="s">
        <v>7</v>
      </c>
      <c r="P729">
        <f t="shared" si="999"/>
        <v>-4.3165467625910494E-3</v>
      </c>
      <c r="Q729">
        <f t="shared" si="1000"/>
        <v>-7749.0712230235958</v>
      </c>
      <c r="R729">
        <f t="shared" si="1001"/>
        <v>-20254429.303606816</v>
      </c>
      <c r="S729">
        <f t="shared" si="1002"/>
        <v>-202.54429303606815</v>
      </c>
      <c r="T729">
        <f t="shared" si="1003"/>
        <v>-0.20254429303606816</v>
      </c>
    </row>
    <row r="730" spans="1:20" x14ac:dyDescent="0.25">
      <c r="A730" s="5">
        <v>43863</v>
      </c>
      <c r="B730">
        <v>0.91110000000000002</v>
      </c>
      <c r="C730">
        <v>1.0218</v>
      </c>
      <c r="D730">
        <v>0.89329999999999998</v>
      </c>
      <c r="E730">
        <v>0.95940000000000003</v>
      </c>
      <c r="F730">
        <v>3321874.71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2.879377431906642E-2</v>
      </c>
      <c r="Q730">
        <f t="shared" si="1000"/>
        <v>95649.310715954212</v>
      </c>
      <c r="R730">
        <f t="shared" si="1001"/>
        <v>-20246680.232383791</v>
      </c>
      <c r="S730">
        <f t="shared" si="1002"/>
        <v>-202.46680232383792</v>
      </c>
      <c r="T730">
        <f t="shared" si="1003"/>
        <v>-0.20246680232383793</v>
      </c>
    </row>
    <row r="731" spans="1:20" x14ac:dyDescent="0.25">
      <c r="A731" s="5">
        <v>43862</v>
      </c>
      <c r="B731">
        <v>0.88239999999999996</v>
      </c>
      <c r="C731">
        <v>0.9143</v>
      </c>
      <c r="D731">
        <v>0.87849999999999995</v>
      </c>
      <c r="E731">
        <v>0.91110000000000002</v>
      </c>
      <c r="F731">
        <v>816084.9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0.82122905027933091</v>
      </c>
      <c r="Q731">
        <f t="shared" si="1000"/>
        <v>670192.62737430271</v>
      </c>
      <c r="R731">
        <f t="shared" si="1001"/>
        <v>-20342329.543099746</v>
      </c>
      <c r="S731">
        <f t="shared" si="1002"/>
        <v>-203.42329543099746</v>
      </c>
      <c r="T731">
        <f t="shared" si="1003"/>
        <v>-0.20342329543099746</v>
      </c>
    </row>
    <row r="732" spans="1:20" x14ac:dyDescent="0.25">
      <c r="A732" s="5">
        <v>43861</v>
      </c>
      <c r="B732">
        <v>0.86929999999999996</v>
      </c>
      <c r="C732">
        <v>0.93</v>
      </c>
      <c r="D732">
        <v>0.86050000000000004</v>
      </c>
      <c r="E732">
        <v>0.88239999999999996</v>
      </c>
      <c r="F732">
        <v>2449261.98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-0.36978417266187286</v>
      </c>
      <c r="Q732">
        <f t="shared" si="1000"/>
        <v>-905698.31490648061</v>
      </c>
      <c r="R732">
        <f t="shared" si="1001"/>
        <v>-21012522.170474049</v>
      </c>
      <c r="S732">
        <f t="shared" si="1002"/>
        <v>-210.12522170474048</v>
      </c>
      <c r="T732">
        <f t="shared" si="1003"/>
        <v>-0.21012522170474049</v>
      </c>
    </row>
    <row r="733" spans="1:20" x14ac:dyDescent="0.25">
      <c r="A733" s="5">
        <v>43860</v>
      </c>
      <c r="B733">
        <v>0.86980000000000002</v>
      </c>
      <c r="C733">
        <v>0.88829999999999998</v>
      </c>
      <c r="D733">
        <v>0.85840000000000005</v>
      </c>
      <c r="E733">
        <v>0.86960000000000004</v>
      </c>
      <c r="F733">
        <v>865007.3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-0.25083612040133679</v>
      </c>
      <c r="Q733">
        <f t="shared" si="1000"/>
        <v>-216975.07525083527</v>
      </c>
      <c r="R733">
        <f t="shared" si="1001"/>
        <v>-20106823.855567567</v>
      </c>
      <c r="S733">
        <f t="shared" si="1002"/>
        <v>-201.06823855567566</v>
      </c>
      <c r="T733">
        <f t="shared" si="1003"/>
        <v>-0.20106823855567565</v>
      </c>
    </row>
    <row r="734" spans="1:20" x14ac:dyDescent="0.25">
      <c r="A734" s="5">
        <v>43859</v>
      </c>
      <c r="B734">
        <v>0.88449999999999995</v>
      </c>
      <c r="C734">
        <v>0.90029999999999999</v>
      </c>
      <c r="D734">
        <v>0.86699999999999999</v>
      </c>
      <c r="E734">
        <v>0.86990000000000001</v>
      </c>
      <c r="F734">
        <v>799615.42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-0.82582582582582498</v>
      </c>
      <c r="Q734">
        <f t="shared" si="1000"/>
        <v>-660343.06456456392</v>
      </c>
      <c r="R734">
        <f t="shared" si="1001"/>
        <v>-19889848.780316733</v>
      </c>
      <c r="S734">
        <f t="shared" si="1002"/>
        <v>-198.89848780316734</v>
      </c>
      <c r="T734">
        <f t="shared" si="1003"/>
        <v>-0.19889848780316735</v>
      </c>
    </row>
    <row r="735" spans="1:20" x14ac:dyDescent="0.25">
      <c r="A735" s="5">
        <v>43858</v>
      </c>
      <c r="B735">
        <v>0.86809999999999998</v>
      </c>
      <c r="C735">
        <v>0.90500000000000003</v>
      </c>
      <c r="D735">
        <v>0.86</v>
      </c>
      <c r="E735">
        <v>0.88560000000000005</v>
      </c>
      <c r="F735">
        <v>964051.4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0.13777777777777975</v>
      </c>
      <c r="Q735">
        <f t="shared" si="1000"/>
        <v>132824.85955555746</v>
      </c>
      <c r="R735">
        <f t="shared" si="1001"/>
        <v>-19229505.715752169</v>
      </c>
      <c r="S735">
        <f t="shared" si="1002"/>
        <v>-192.29505715752168</v>
      </c>
      <c r="T735">
        <f t="shared" si="1003"/>
        <v>-0.19229505715752168</v>
      </c>
    </row>
    <row r="736" spans="1:20" x14ac:dyDescent="0.25">
      <c r="A736" s="5">
        <v>43857</v>
      </c>
      <c r="B736">
        <v>0.86970000000000003</v>
      </c>
      <c r="C736">
        <v>0.8861</v>
      </c>
      <c r="D736">
        <v>0.85960000000000003</v>
      </c>
      <c r="E736">
        <v>0.86799999999999999</v>
      </c>
      <c r="F736">
        <v>850339.95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-0.36603773584905863</v>
      </c>
      <c r="Q736">
        <f t="shared" si="1000"/>
        <v>-311256.5100000017</v>
      </c>
      <c r="R736">
        <f t="shared" si="1001"/>
        <v>-19362330.575307727</v>
      </c>
      <c r="S736">
        <f t="shared" si="1002"/>
        <v>-193.62330575307726</v>
      </c>
      <c r="T736">
        <f t="shared" si="1003"/>
        <v>-0.19362330575307726</v>
      </c>
    </row>
    <row r="737" spans="1:20" x14ac:dyDescent="0.25">
      <c r="A737" s="5">
        <v>43856</v>
      </c>
      <c r="B737">
        <v>0.8488</v>
      </c>
      <c r="C737">
        <v>0.89249999999999996</v>
      </c>
      <c r="D737">
        <v>0.84770000000000001</v>
      </c>
      <c r="E737">
        <v>0.87180000000000002</v>
      </c>
      <c r="F737">
        <v>894955.34</v>
      </c>
      <c r="G737">
        <v>0</v>
      </c>
      <c r="L737" t="s">
        <v>7</v>
      </c>
      <c r="M737" t="s">
        <v>7</v>
      </c>
      <c r="N737" t="s">
        <v>7</v>
      </c>
      <c r="P737">
        <f t="shared" si="999"/>
        <v>7.5892857142858774E-2</v>
      </c>
      <c r="Q737">
        <f t="shared" si="1000"/>
        <v>67920.717767858601</v>
      </c>
      <c r="R737">
        <f t="shared" si="1001"/>
        <v>-19051074.065307725</v>
      </c>
      <c r="S737">
        <f t="shared" si="1002"/>
        <v>-190.51074065307725</v>
      </c>
      <c r="T737">
        <f t="shared" si="1003"/>
        <v>-0.19051074065307724</v>
      </c>
    </row>
    <row r="738" spans="1:20" x14ac:dyDescent="0.25">
      <c r="A738" s="5">
        <v>43855</v>
      </c>
      <c r="B738">
        <v>0.85550000000000004</v>
      </c>
      <c r="C738">
        <v>0.86</v>
      </c>
      <c r="D738">
        <v>0.84350000000000003</v>
      </c>
      <c r="E738">
        <v>0.85119999999999996</v>
      </c>
      <c r="F738">
        <v>482509.01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-6.6666666666672952E-2</v>
      </c>
      <c r="Q738">
        <f t="shared" si="1000"/>
        <v>-32167.267333336367</v>
      </c>
      <c r="R738">
        <f t="shared" si="1001"/>
        <v>-19118994.783075582</v>
      </c>
      <c r="S738">
        <f t="shared" si="1002"/>
        <v>-191.18994783075581</v>
      </c>
      <c r="T738">
        <f t="shared" si="1003"/>
        <v>-0.19118994783075582</v>
      </c>
    </row>
    <row r="739" spans="1:20" x14ac:dyDescent="0.25">
      <c r="A739" s="5">
        <v>43854</v>
      </c>
      <c r="B739">
        <v>0.87260000000000004</v>
      </c>
      <c r="C739">
        <v>0.89100000000000001</v>
      </c>
      <c r="D739">
        <v>0.84</v>
      </c>
      <c r="E739">
        <v>0.85519999999999996</v>
      </c>
      <c r="F739">
        <v>1229260.3500000001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-0.40392156862745188</v>
      </c>
      <c r="Q739">
        <f t="shared" si="1000"/>
        <v>-496524.76882353052</v>
      </c>
      <c r="R739">
        <f t="shared" si="1001"/>
        <v>-19086827.515742246</v>
      </c>
      <c r="S739">
        <f t="shared" si="1002"/>
        <v>-190.86827515742246</v>
      </c>
      <c r="T739">
        <f t="shared" si="1003"/>
        <v>-0.19086827515742247</v>
      </c>
    </row>
    <row r="740" spans="1:20" x14ac:dyDescent="0.25">
      <c r="A740" s="5">
        <v>43853</v>
      </c>
      <c r="B740">
        <v>0.88619999999999999</v>
      </c>
      <c r="C740">
        <v>0.90410000000000001</v>
      </c>
      <c r="D740">
        <v>0.83760000000000001</v>
      </c>
      <c r="E740">
        <v>0.87260000000000004</v>
      </c>
      <c r="F740">
        <v>1386696.08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5.2631578947369299E-2</v>
      </c>
      <c r="Q740">
        <f t="shared" si="1000"/>
        <v>72984.004210527535</v>
      </c>
      <c r="R740">
        <f t="shared" si="1001"/>
        <v>-18590302.746918716</v>
      </c>
      <c r="S740">
        <f t="shared" si="1002"/>
        <v>-185.90302746918715</v>
      </c>
      <c r="T740">
        <f t="shared" si="1003"/>
        <v>-0.18590302746918716</v>
      </c>
    </row>
    <row r="741" spans="1:20" x14ac:dyDescent="0.25">
      <c r="A741" s="5">
        <v>43852</v>
      </c>
      <c r="B741">
        <v>0.87219999999999998</v>
      </c>
      <c r="C741">
        <v>0.89029999999999998</v>
      </c>
      <c r="D741">
        <v>0.85509999999999997</v>
      </c>
      <c r="E741">
        <v>0.88619999999999999</v>
      </c>
      <c r="F741">
        <v>500591.81</v>
      </c>
      <c r="G741">
        <v>0</v>
      </c>
      <c r="L741" t="s">
        <v>8</v>
      </c>
      <c r="M741" t="s">
        <v>7</v>
      </c>
      <c r="N741" t="s">
        <v>7</v>
      </c>
      <c r="P741">
        <f t="shared" si="999"/>
        <v>0.76704545454545503</v>
      </c>
      <c r="Q741">
        <f t="shared" si="1000"/>
        <v>383976.67244318203</v>
      </c>
      <c r="R741">
        <f t="shared" si="1001"/>
        <v>-18663286.751129244</v>
      </c>
      <c r="S741">
        <f t="shared" si="1002"/>
        <v>-186.63286751129243</v>
      </c>
      <c r="T741">
        <f t="shared" si="1003"/>
        <v>-0.18663286751129243</v>
      </c>
    </row>
    <row r="742" spans="1:20" x14ac:dyDescent="0.25">
      <c r="A742" s="5">
        <v>43851</v>
      </c>
      <c r="B742">
        <v>0.86750000000000005</v>
      </c>
      <c r="C742">
        <v>0.89339999999999997</v>
      </c>
      <c r="D742">
        <v>0.85950000000000004</v>
      </c>
      <c r="E742">
        <v>0.87229999999999996</v>
      </c>
      <c r="F742">
        <v>677582.96</v>
      </c>
      <c r="G742">
        <v>0</v>
      </c>
      <c r="L742" t="s">
        <v>8</v>
      </c>
      <c r="M742" t="s">
        <v>7</v>
      </c>
      <c r="N742" t="s">
        <v>7</v>
      </c>
      <c r="P742">
        <f t="shared" si="999"/>
        <v>-0.2448377581120974</v>
      </c>
      <c r="Q742">
        <f t="shared" si="1000"/>
        <v>-165897.89286135897</v>
      </c>
      <c r="R742">
        <f t="shared" si="1001"/>
        <v>-19047263.423572425</v>
      </c>
      <c r="S742">
        <f t="shared" si="1002"/>
        <v>-190.47263423572426</v>
      </c>
      <c r="T742">
        <f t="shared" si="1003"/>
        <v>-0.19047263423572425</v>
      </c>
    </row>
    <row r="743" spans="1:20" x14ac:dyDescent="0.25">
      <c r="A743" s="5">
        <v>43850</v>
      </c>
      <c r="B743">
        <v>0.88819999999999999</v>
      </c>
      <c r="C743">
        <v>0.90900000000000003</v>
      </c>
      <c r="D743">
        <v>0.85699999999999998</v>
      </c>
      <c r="E743">
        <v>0.86729999999999996</v>
      </c>
      <c r="F743">
        <v>872120.84</v>
      </c>
      <c r="G743">
        <v>0</v>
      </c>
      <c r="L743" t="s">
        <v>8</v>
      </c>
      <c r="M743" t="s">
        <v>7</v>
      </c>
      <c r="N743" t="s">
        <v>7</v>
      </c>
      <c r="P743">
        <f t="shared" si="999"/>
        <v>-0.60384615384615514</v>
      </c>
      <c r="Q743">
        <f t="shared" si="1000"/>
        <v>-526626.81492307805</v>
      </c>
      <c r="R743">
        <f t="shared" si="1001"/>
        <v>-18881365.530711066</v>
      </c>
      <c r="S743">
        <f t="shared" si="1002"/>
        <v>-188.81365530711065</v>
      </c>
      <c r="T743">
        <f t="shared" si="1003"/>
        <v>-0.18881365530711064</v>
      </c>
    </row>
    <row r="744" spans="1:20" x14ac:dyDescent="0.25">
      <c r="A744" s="5">
        <v>43849</v>
      </c>
      <c r="B744">
        <v>0.877</v>
      </c>
      <c r="C744">
        <v>0.9</v>
      </c>
      <c r="D744">
        <v>0.82499999999999996</v>
      </c>
      <c r="E744">
        <v>0.88890000000000002</v>
      </c>
      <c r="F744">
        <v>1197859.67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0.70400000000000029</v>
      </c>
      <c r="Q744">
        <f t="shared" si="1000"/>
        <v>843293.20768000034</v>
      </c>
      <c r="R744">
        <f t="shared" si="1001"/>
        <v>-18354738.715787988</v>
      </c>
      <c r="S744">
        <f t="shared" si="1002"/>
        <v>-183.54738715787988</v>
      </c>
      <c r="T744">
        <f t="shared" si="1003"/>
        <v>-0.18354738715787988</v>
      </c>
    </row>
    <row r="745" spans="1:20" x14ac:dyDescent="0.25">
      <c r="A745" s="5">
        <v>43848</v>
      </c>
      <c r="B745">
        <v>0.89849999999999997</v>
      </c>
      <c r="C745">
        <v>0.90759999999999996</v>
      </c>
      <c r="D745">
        <v>0.87549999999999994</v>
      </c>
      <c r="E745">
        <v>0.87829999999999997</v>
      </c>
      <c r="F745">
        <v>531074.9</v>
      </c>
      <c r="G745">
        <v>0</v>
      </c>
      <c r="L745" t="s">
        <v>7</v>
      </c>
      <c r="M745" t="s">
        <v>7</v>
      </c>
      <c r="N745" t="s">
        <v>7</v>
      </c>
      <c r="P745">
        <f t="shared" si="999"/>
        <v>-0.8255451713395624</v>
      </c>
      <c r="Q745">
        <f t="shared" si="1000"/>
        <v>-438426.319314641</v>
      </c>
      <c r="R745">
        <f t="shared" si="1001"/>
        <v>-19198031.92346799</v>
      </c>
      <c r="S745">
        <f t="shared" si="1002"/>
        <v>-191.98031923467991</v>
      </c>
      <c r="T745">
        <f t="shared" si="1003"/>
        <v>-0.1919803192346799</v>
      </c>
    </row>
    <row r="746" spans="1:20" x14ac:dyDescent="0.25">
      <c r="A746" s="5">
        <v>43847</v>
      </c>
      <c r="B746">
        <v>0.88090000000000002</v>
      </c>
      <c r="C746">
        <v>0.90869999999999995</v>
      </c>
      <c r="D746">
        <v>0.87139999999999995</v>
      </c>
      <c r="E746">
        <v>0.9</v>
      </c>
      <c r="F746">
        <v>1017318.13</v>
      </c>
      <c r="G746">
        <v>0</v>
      </c>
      <c r="L746" t="s">
        <v>7</v>
      </c>
      <c r="M746" t="s">
        <v>7</v>
      </c>
      <c r="N746" t="s">
        <v>7</v>
      </c>
      <c r="P746">
        <f t="shared" si="999"/>
        <v>0.53351206434316734</v>
      </c>
      <c r="Q746">
        <f t="shared" si="1000"/>
        <v>542751.49563003064</v>
      </c>
      <c r="R746">
        <f t="shared" si="1001"/>
        <v>-18759605.60415335</v>
      </c>
      <c r="S746">
        <f t="shared" si="1002"/>
        <v>-187.5960560415335</v>
      </c>
      <c r="T746">
        <f t="shared" si="1003"/>
        <v>-0.18759605604153351</v>
      </c>
    </row>
    <row r="747" spans="1:20" x14ac:dyDescent="0.25">
      <c r="A747" s="5">
        <v>43846</v>
      </c>
      <c r="B747">
        <v>0.89700000000000002</v>
      </c>
      <c r="C747">
        <v>0.89970000000000006</v>
      </c>
      <c r="D747">
        <v>0.8609</v>
      </c>
      <c r="E747">
        <v>0.88090000000000002</v>
      </c>
      <c r="F747">
        <v>732447.46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3.0927835051545803E-2</v>
      </c>
      <c r="Q747">
        <f t="shared" si="1000"/>
        <v>22653.014226803691</v>
      </c>
      <c r="R747">
        <f t="shared" si="1001"/>
        <v>-19302357.09978338</v>
      </c>
      <c r="S747">
        <f t="shared" si="1002"/>
        <v>-193.02357099783379</v>
      </c>
      <c r="T747">
        <f t="shared" si="1003"/>
        <v>-0.19302357099783379</v>
      </c>
    </row>
    <row r="748" spans="1:20" x14ac:dyDescent="0.25">
      <c r="A748" s="5">
        <v>43845</v>
      </c>
      <c r="B748">
        <v>0.86339999999999995</v>
      </c>
      <c r="C748">
        <v>0.92500000000000004</v>
      </c>
      <c r="D748">
        <v>0.85740000000000005</v>
      </c>
      <c r="E748">
        <v>0.89600000000000002</v>
      </c>
      <c r="F748">
        <v>1767351.71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0.14201183431952577</v>
      </c>
      <c r="Q748">
        <f t="shared" si="1000"/>
        <v>250984.85822485056</v>
      </c>
      <c r="R748">
        <f t="shared" si="1001"/>
        <v>-19325010.114010185</v>
      </c>
      <c r="S748">
        <f t="shared" si="1002"/>
        <v>-193.25010114010186</v>
      </c>
      <c r="T748">
        <f t="shared" si="1003"/>
        <v>-0.19325010114010185</v>
      </c>
    </row>
    <row r="749" spans="1:20" x14ac:dyDescent="0.25">
      <c r="A749" s="5">
        <v>43844</v>
      </c>
      <c r="B749">
        <v>0.86180000000000001</v>
      </c>
      <c r="C749">
        <v>0.87980000000000003</v>
      </c>
      <c r="D749">
        <v>0.84570000000000001</v>
      </c>
      <c r="E749">
        <v>0.86370000000000002</v>
      </c>
      <c r="F749">
        <v>1686676.53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5.5718475073314129E-2</v>
      </c>
      <c r="Q749">
        <f t="shared" si="1000"/>
        <v>93979.044193548965</v>
      </c>
      <c r="R749">
        <f t="shared" si="1001"/>
        <v>-19575994.972235035</v>
      </c>
      <c r="S749">
        <f t="shared" si="1002"/>
        <v>-195.75994972235034</v>
      </c>
      <c r="T749">
        <f t="shared" si="1003"/>
        <v>-0.19575994972235033</v>
      </c>
    </row>
    <row r="750" spans="1:20" x14ac:dyDescent="0.25">
      <c r="A750" s="5">
        <v>43843</v>
      </c>
      <c r="B750">
        <v>0.8448</v>
      </c>
      <c r="C750">
        <v>0.88529999999999998</v>
      </c>
      <c r="D750">
        <v>0.83350000000000002</v>
      </c>
      <c r="E750">
        <v>0.86</v>
      </c>
      <c r="F750">
        <v>1043654.23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2.3166023166022776E-2</v>
      </c>
      <c r="Q750">
        <f t="shared" si="1000"/>
        <v>24177.318069497662</v>
      </c>
      <c r="R750">
        <f t="shared" si="1001"/>
        <v>-19669974.016428582</v>
      </c>
      <c r="S750">
        <f t="shared" si="1002"/>
        <v>-196.69974016428583</v>
      </c>
      <c r="T750">
        <f t="shared" si="1003"/>
        <v>-0.19669974016428582</v>
      </c>
    </row>
    <row r="751" spans="1:20" x14ac:dyDescent="0.25">
      <c r="A751" s="5">
        <v>43842</v>
      </c>
      <c r="B751">
        <v>0.8589</v>
      </c>
      <c r="C751">
        <v>0.88180000000000003</v>
      </c>
      <c r="D751">
        <v>0.83530000000000004</v>
      </c>
      <c r="E751">
        <v>0.84470000000000001</v>
      </c>
      <c r="F751">
        <v>1057584.8700000001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-0.59569892473118424</v>
      </c>
      <c r="Q751">
        <f t="shared" si="1000"/>
        <v>-630002.16987096937</v>
      </c>
      <c r="R751">
        <f t="shared" si="1001"/>
        <v>-19694151.334498081</v>
      </c>
      <c r="S751">
        <f t="shared" si="1002"/>
        <v>-196.94151334498082</v>
      </c>
      <c r="T751">
        <f t="shared" si="1003"/>
        <v>-0.19694151334498081</v>
      </c>
    </row>
    <row r="752" spans="1:20" x14ac:dyDescent="0.25">
      <c r="A752" s="5">
        <v>43841</v>
      </c>
      <c r="B752">
        <v>0.8236</v>
      </c>
      <c r="C752">
        <v>0.89359999999999995</v>
      </c>
      <c r="D752">
        <v>0.80120000000000002</v>
      </c>
      <c r="E752">
        <v>0.85609999999999997</v>
      </c>
      <c r="F752">
        <v>2461820.89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0.18831168831168815</v>
      </c>
      <c r="Q752">
        <f t="shared" si="1000"/>
        <v>463589.64811688277</v>
      </c>
      <c r="R752">
        <f t="shared" si="1001"/>
        <v>-19064149.164627112</v>
      </c>
      <c r="S752">
        <f t="shared" si="1002"/>
        <v>-190.64149164627113</v>
      </c>
      <c r="T752">
        <f t="shared" si="1003"/>
        <v>-0.19064149164627114</v>
      </c>
    </row>
    <row r="753" spans="1:20" x14ac:dyDescent="0.25">
      <c r="A753" s="5">
        <v>43840</v>
      </c>
      <c r="B753">
        <v>0.82440000000000002</v>
      </c>
      <c r="C753">
        <v>0.83289999999999997</v>
      </c>
      <c r="D753">
        <v>0.80620000000000003</v>
      </c>
      <c r="E753">
        <v>0.82440000000000002</v>
      </c>
      <c r="F753">
        <v>739866.11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0.36329588014981506</v>
      </c>
      <c r="Q753">
        <f t="shared" si="1000"/>
        <v>268790.3096254699</v>
      </c>
      <c r="R753">
        <f t="shared" si="1001"/>
        <v>-19527738.812743995</v>
      </c>
      <c r="S753">
        <f t="shared" si="1002"/>
        <v>-195.27738812743996</v>
      </c>
      <c r="T753">
        <f t="shared" si="1003"/>
        <v>-0.19527738812743997</v>
      </c>
    </row>
    <row r="754" spans="1:20" x14ac:dyDescent="0.25">
      <c r="A754" s="5">
        <v>43839</v>
      </c>
      <c r="B754">
        <v>0.85299999999999998</v>
      </c>
      <c r="C754">
        <v>0.87290000000000001</v>
      </c>
      <c r="D754">
        <v>0.81230000000000002</v>
      </c>
      <c r="E754">
        <v>0.82310000000000005</v>
      </c>
      <c r="F754">
        <v>1126217.1599999999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-0.64356435643564247</v>
      </c>
      <c r="Q754">
        <f t="shared" si="1000"/>
        <v>-724793.22178217699</v>
      </c>
      <c r="R754">
        <f t="shared" si="1001"/>
        <v>-19796529.122369464</v>
      </c>
      <c r="S754">
        <f t="shared" si="1002"/>
        <v>-197.96529122369463</v>
      </c>
      <c r="T754">
        <f t="shared" si="1003"/>
        <v>-0.19796529122369463</v>
      </c>
    </row>
    <row r="755" spans="1:20" x14ac:dyDescent="0.25">
      <c r="A755" s="5">
        <v>43838</v>
      </c>
      <c r="B755">
        <v>0.88529999999999998</v>
      </c>
      <c r="C755">
        <v>0.90939999999999999</v>
      </c>
      <c r="D755">
        <v>0.8407</v>
      </c>
      <c r="E755">
        <v>0.85099999999999998</v>
      </c>
      <c r="F755">
        <v>1493833.22</v>
      </c>
      <c r="G755">
        <v>0</v>
      </c>
      <c r="L755" t="s">
        <v>7</v>
      </c>
      <c r="M755" t="s">
        <v>7</v>
      </c>
      <c r="N755" t="s">
        <v>8</v>
      </c>
      <c r="P755">
        <f t="shared" si="999"/>
        <v>-0.70014556040756981</v>
      </c>
      <c r="Q755">
        <f t="shared" si="1000"/>
        <v>-1045900.6969723445</v>
      </c>
      <c r="R755">
        <f t="shared" si="1001"/>
        <v>-19071735.900587287</v>
      </c>
      <c r="S755">
        <f t="shared" si="1002"/>
        <v>-190.71735900587288</v>
      </c>
      <c r="T755">
        <f t="shared" si="1003"/>
        <v>-0.19071735900587289</v>
      </c>
    </row>
    <row r="756" spans="1:20" x14ac:dyDescent="0.25">
      <c r="A756" s="5">
        <v>43837</v>
      </c>
      <c r="B756">
        <v>0.89500000000000002</v>
      </c>
      <c r="C756">
        <v>0.93400000000000005</v>
      </c>
      <c r="D756">
        <v>0.88200000000000001</v>
      </c>
      <c r="E756">
        <v>0.88529999999999998</v>
      </c>
      <c r="F756">
        <v>1914612.23</v>
      </c>
      <c r="G756">
        <v>0</v>
      </c>
      <c r="L756" t="s">
        <v>7</v>
      </c>
      <c r="M756" t="s">
        <v>7</v>
      </c>
      <c r="N756" t="s">
        <v>8</v>
      </c>
      <c r="P756">
        <f t="shared" si="999"/>
        <v>-0.87307692307692431</v>
      </c>
      <c r="Q756">
        <f t="shared" si="1000"/>
        <v>-1671603.7546538485</v>
      </c>
      <c r="R756">
        <f t="shared" si="1001"/>
        <v>-18025835.203614943</v>
      </c>
      <c r="S756">
        <f t="shared" si="1002"/>
        <v>-180.25835203614943</v>
      </c>
      <c r="T756">
        <f t="shared" si="1003"/>
        <v>-0.18025835203614943</v>
      </c>
    </row>
    <row r="757" spans="1:20" x14ac:dyDescent="0.25">
      <c r="A757" s="5">
        <v>43836</v>
      </c>
      <c r="B757">
        <v>0.88449999999999995</v>
      </c>
      <c r="C757">
        <v>0.94389999999999996</v>
      </c>
      <c r="D757">
        <v>0.88139999999999996</v>
      </c>
      <c r="E757">
        <v>0.89490000000000003</v>
      </c>
      <c r="F757">
        <v>2100553.19</v>
      </c>
      <c r="G757">
        <v>0</v>
      </c>
      <c r="L757" t="s">
        <v>8</v>
      </c>
      <c r="M757" t="s">
        <v>7</v>
      </c>
      <c r="N757" t="s">
        <v>8</v>
      </c>
      <c r="P757">
        <f t="shared" si="999"/>
        <v>-0.56799999999999784</v>
      </c>
      <c r="Q757">
        <f t="shared" si="1000"/>
        <v>-1193114.2119199955</v>
      </c>
      <c r="R757">
        <f t="shared" si="1001"/>
        <v>-16354231.448961094</v>
      </c>
      <c r="S757">
        <f t="shared" si="1002"/>
        <v>-163.54231448961093</v>
      </c>
      <c r="T757">
        <f t="shared" si="1003"/>
        <v>-0.16354231448961093</v>
      </c>
    </row>
    <row r="758" spans="1:20" x14ac:dyDescent="0.25">
      <c r="A758" s="5">
        <v>43835</v>
      </c>
      <c r="B758">
        <v>0.94299999999999995</v>
      </c>
      <c r="C758">
        <v>0.94789999999999996</v>
      </c>
      <c r="D758">
        <v>0.88300000000000001</v>
      </c>
      <c r="E758">
        <v>0.88719999999999999</v>
      </c>
      <c r="F758">
        <v>1691097.21</v>
      </c>
      <c r="G758">
        <v>0</v>
      </c>
      <c r="L758" t="s">
        <v>7</v>
      </c>
      <c r="M758" t="s">
        <v>7</v>
      </c>
      <c r="N758" t="s">
        <v>8</v>
      </c>
      <c r="P758">
        <f t="shared" si="999"/>
        <v>-0.87057010785824396</v>
      </c>
      <c r="Q758">
        <f t="shared" si="1000"/>
        <v>-1472218.6805084753</v>
      </c>
      <c r="R758">
        <f t="shared" si="1001"/>
        <v>-15161117.237041099</v>
      </c>
      <c r="S758">
        <f t="shared" si="1002"/>
        <v>-151.611172370411</v>
      </c>
      <c r="T758">
        <f t="shared" si="1003"/>
        <v>-0.151611172370411</v>
      </c>
    </row>
    <row r="759" spans="1:20" x14ac:dyDescent="0.25">
      <c r="A759" s="5">
        <v>43834</v>
      </c>
      <c r="B759">
        <v>0.95540000000000003</v>
      </c>
      <c r="C759">
        <v>0.97950000000000004</v>
      </c>
      <c r="D759">
        <v>0.92949999999999999</v>
      </c>
      <c r="E759">
        <v>0.94579999999999997</v>
      </c>
      <c r="F759">
        <v>1272347.74</v>
      </c>
      <c r="G759">
        <v>0</v>
      </c>
      <c r="L759" t="s">
        <v>7</v>
      </c>
      <c r="M759" t="s">
        <v>7</v>
      </c>
      <c r="N759" t="s">
        <v>8</v>
      </c>
      <c r="P759">
        <f t="shared" si="999"/>
        <v>-0.34800000000000131</v>
      </c>
      <c r="Q759">
        <f t="shared" si="1000"/>
        <v>-442777.01352000167</v>
      </c>
      <c r="R759">
        <f t="shared" si="1001"/>
        <v>-13688898.556532623</v>
      </c>
      <c r="S759">
        <f t="shared" si="1002"/>
        <v>-136.88898556532624</v>
      </c>
      <c r="T759">
        <f t="shared" si="1003"/>
        <v>-0.13688898556532625</v>
      </c>
    </row>
    <row r="760" spans="1:20" x14ac:dyDescent="0.25">
      <c r="A760" s="5">
        <v>43833</v>
      </c>
      <c r="B760">
        <v>0.9456</v>
      </c>
      <c r="C760">
        <v>1.0179</v>
      </c>
      <c r="D760">
        <v>0.91359999999999997</v>
      </c>
      <c r="E760">
        <v>0.9526</v>
      </c>
      <c r="F760">
        <v>2667597.67</v>
      </c>
      <c r="G760">
        <v>0</v>
      </c>
      <c r="L760" t="s">
        <v>7</v>
      </c>
      <c r="M760" t="s">
        <v>7</v>
      </c>
      <c r="N760" t="s">
        <v>8</v>
      </c>
      <c r="P760">
        <f t="shared" si="999"/>
        <v>-0.2521572387344197</v>
      </c>
      <c r="Q760">
        <f t="shared" si="1000"/>
        <v>-672654.06252157176</v>
      </c>
      <c r="R760">
        <f t="shared" si="1001"/>
        <v>-13246121.543012621</v>
      </c>
      <c r="S760">
        <f t="shared" si="1002"/>
        <v>-132.4612154301262</v>
      </c>
      <c r="T760">
        <f t="shared" si="1003"/>
        <v>-0.13246121543012621</v>
      </c>
    </row>
    <row r="761" spans="1:20" x14ac:dyDescent="0.25">
      <c r="A761" s="5">
        <v>43832</v>
      </c>
      <c r="B761">
        <v>1.0446</v>
      </c>
      <c r="C761">
        <v>1.0499000000000001</v>
      </c>
      <c r="D761">
        <v>0.94359999999999999</v>
      </c>
      <c r="E761">
        <v>0.94589999999999996</v>
      </c>
      <c r="F761">
        <v>2206856.86</v>
      </c>
      <c r="G761">
        <v>0</v>
      </c>
      <c r="L761" t="s">
        <v>7</v>
      </c>
      <c r="M761" t="s">
        <v>7</v>
      </c>
      <c r="N761" t="s">
        <v>8</v>
      </c>
      <c r="P761">
        <f t="shared" si="999"/>
        <v>-0.95672624647224902</v>
      </c>
      <c r="Q761">
        <f t="shared" si="1000"/>
        <v>-2111357.8801693334</v>
      </c>
      <c r="R761">
        <f t="shared" si="1001"/>
        <v>-12573467.48049105</v>
      </c>
      <c r="S761">
        <f t="shared" si="1002"/>
        <v>-125.7346748049105</v>
      </c>
      <c r="T761">
        <f t="shared" si="1003"/>
        <v>-0.12573467480491049</v>
      </c>
    </row>
    <row r="762" spans="1:20" x14ac:dyDescent="0.25">
      <c r="A762" s="5">
        <v>43831</v>
      </c>
      <c r="B762">
        <v>1.0084</v>
      </c>
      <c r="C762">
        <v>1.1075999999999999</v>
      </c>
      <c r="D762">
        <v>1.0002</v>
      </c>
      <c r="E762">
        <v>1.0446</v>
      </c>
      <c r="F762">
        <v>2142011.87</v>
      </c>
      <c r="G762">
        <v>0</v>
      </c>
      <c r="L762" t="s">
        <v>8</v>
      </c>
      <c r="M762" t="s">
        <v>8</v>
      </c>
      <c r="N762" t="s">
        <v>8</v>
      </c>
      <c r="P762">
        <f t="shared" si="999"/>
        <v>-0.17318435754189906</v>
      </c>
      <c r="Q762">
        <f t="shared" si="1000"/>
        <v>-370962.94955307181</v>
      </c>
      <c r="R762">
        <f t="shared" si="1001"/>
        <v>-10462109.600321716</v>
      </c>
      <c r="S762">
        <f t="shared" si="1002"/>
        <v>-104.62109600321716</v>
      </c>
      <c r="T762">
        <f t="shared" si="1003"/>
        <v>-0.10462109600321716</v>
      </c>
    </row>
    <row r="763" spans="1:20" x14ac:dyDescent="0.25">
      <c r="A763" s="5">
        <v>43830</v>
      </c>
      <c r="B763">
        <v>1.0326</v>
      </c>
      <c r="C763">
        <v>1.0819000000000001</v>
      </c>
      <c r="D763">
        <v>0.995</v>
      </c>
      <c r="E763">
        <v>1.0088999999999999</v>
      </c>
      <c r="F763">
        <v>2418368.39</v>
      </c>
      <c r="G763">
        <v>0</v>
      </c>
      <c r="L763" t="s">
        <v>7</v>
      </c>
      <c r="M763" t="s">
        <v>8</v>
      </c>
      <c r="N763" t="s">
        <v>8</v>
      </c>
      <c r="P763">
        <f t="shared" si="999"/>
        <v>-0.68009205983889764</v>
      </c>
      <c r="Q763">
        <f t="shared" si="1000"/>
        <v>-1644713.1398043786</v>
      </c>
      <c r="R763">
        <f t="shared" si="1001"/>
        <v>-10091146.650768643</v>
      </c>
      <c r="S763">
        <f t="shared" si="1002"/>
        <v>-100.91146650768643</v>
      </c>
      <c r="T763">
        <f t="shared" si="1003"/>
        <v>-0.10091146650768643</v>
      </c>
    </row>
    <row r="764" spans="1:20" x14ac:dyDescent="0.25">
      <c r="A764" s="5">
        <v>43829</v>
      </c>
      <c r="B764">
        <v>1.0001</v>
      </c>
      <c r="C764">
        <v>1.1084000000000001</v>
      </c>
      <c r="D764">
        <v>0.9677</v>
      </c>
      <c r="E764">
        <v>1.0324</v>
      </c>
      <c r="F764">
        <v>3521921.32</v>
      </c>
      <c r="G764">
        <v>0</v>
      </c>
      <c r="L764" t="s">
        <v>8</v>
      </c>
      <c r="M764" t="s">
        <v>8</v>
      </c>
      <c r="N764" t="s">
        <v>8</v>
      </c>
      <c r="P764">
        <f t="shared" si="999"/>
        <v>-8.031272210376747E-2</v>
      </c>
      <c r="Q764">
        <f t="shared" si="1000"/>
        <v>-282855.08824449388</v>
      </c>
      <c r="R764">
        <f t="shared" si="1001"/>
        <v>-8446433.5109642651</v>
      </c>
      <c r="S764">
        <f t="shared" si="1002"/>
        <v>-84.464335109642647</v>
      </c>
      <c r="T764">
        <f t="shared" si="1003"/>
        <v>-8.4464335109642644E-2</v>
      </c>
    </row>
    <row r="765" spans="1:20" x14ac:dyDescent="0.25">
      <c r="A765" s="5">
        <v>43828</v>
      </c>
      <c r="B765">
        <v>1.0391999999999999</v>
      </c>
      <c r="C765">
        <v>1.0548999999999999</v>
      </c>
      <c r="D765">
        <v>0.96299999999999997</v>
      </c>
      <c r="E765">
        <v>1.0001</v>
      </c>
      <c r="F765">
        <v>3201920.97</v>
      </c>
      <c r="G765">
        <v>0</v>
      </c>
      <c r="L765" t="s">
        <v>7</v>
      </c>
      <c r="M765" t="s">
        <v>8</v>
      </c>
      <c r="N765" t="s">
        <v>8</v>
      </c>
      <c r="P765">
        <f t="shared" si="999"/>
        <v>-0.19260065288356845</v>
      </c>
      <c r="Q765">
        <f t="shared" si="1000"/>
        <v>-616692.06930358883</v>
      </c>
      <c r="R765">
        <f t="shared" si="1001"/>
        <v>-8163578.422719771</v>
      </c>
      <c r="S765">
        <f t="shared" si="1002"/>
        <v>-81.635784227197703</v>
      </c>
      <c r="T765">
        <f t="shared" si="1003"/>
        <v>-8.1635784227197708E-2</v>
      </c>
    </row>
    <row r="766" spans="1:20" x14ac:dyDescent="0.25">
      <c r="A766" s="5">
        <v>43827</v>
      </c>
      <c r="B766">
        <v>0.89739999999999998</v>
      </c>
      <c r="C766">
        <v>1.0631999999999999</v>
      </c>
      <c r="D766">
        <v>0.88590000000000002</v>
      </c>
      <c r="E766">
        <v>1.0370999999999999</v>
      </c>
      <c r="F766">
        <v>5360666.04</v>
      </c>
      <c r="G766">
        <v>0</v>
      </c>
      <c r="L766" t="s">
        <v>8</v>
      </c>
      <c r="M766" t="s">
        <v>8</v>
      </c>
      <c r="N766" t="s">
        <v>8</v>
      </c>
      <c r="P766">
        <f t="shared" si="999"/>
        <v>0.70558375634517734</v>
      </c>
      <c r="Q766">
        <f t="shared" si="1000"/>
        <v>3782398.8810152267</v>
      </c>
      <c r="R766">
        <f t="shared" si="1001"/>
        <v>-7546886.3534161821</v>
      </c>
      <c r="S766">
        <f t="shared" si="1002"/>
        <v>-75.468863534161827</v>
      </c>
      <c r="T766">
        <f t="shared" si="1003"/>
        <v>-7.5468863534161823E-2</v>
      </c>
    </row>
    <row r="767" spans="1:20" x14ac:dyDescent="0.25">
      <c r="A767" s="5">
        <v>43826</v>
      </c>
      <c r="B767">
        <v>0.89029999999999998</v>
      </c>
      <c r="C767">
        <v>0.92430000000000001</v>
      </c>
      <c r="D767">
        <v>0.86709999999999998</v>
      </c>
      <c r="E767">
        <v>0.89980000000000004</v>
      </c>
      <c r="F767">
        <v>1864712.83</v>
      </c>
      <c r="G767">
        <v>0</v>
      </c>
      <c r="L767" t="s">
        <v>7</v>
      </c>
      <c r="M767" t="s">
        <v>8</v>
      </c>
      <c r="N767" t="s">
        <v>8</v>
      </c>
      <c r="P767">
        <f t="shared" ref="P767:P830" si="1004">IF(C767=D767,0,((E767-D767)-(C767-E767))/(C767-D767))</f>
        <v>0.14335664335664497</v>
      </c>
      <c r="Q767">
        <f t="shared" ref="Q767:Q830" si="1005">F767*P767</f>
        <v>267318.97213287017</v>
      </c>
      <c r="R767">
        <f t="shared" ref="R767:R830" si="1006">R768+Q767</f>
        <v>-11329285.234431408</v>
      </c>
      <c r="S767">
        <f t="shared" ref="S767:S830" si="1007">R767/100000</f>
        <v>-113.29285234431408</v>
      </c>
      <c r="T767">
        <f t="shared" ref="T767:T830" si="1008">S767/1000</f>
        <v>-0.11329285234431409</v>
      </c>
    </row>
    <row r="768" spans="1:20" x14ac:dyDescent="0.25">
      <c r="A768" s="5">
        <v>43825</v>
      </c>
      <c r="B768">
        <v>0.84989999999999999</v>
      </c>
      <c r="C768">
        <v>0.94189999999999996</v>
      </c>
      <c r="D768">
        <v>0.84019999999999995</v>
      </c>
      <c r="E768">
        <v>0.89059999999999995</v>
      </c>
      <c r="F768">
        <v>2248404.62</v>
      </c>
      <c r="G768">
        <v>0</v>
      </c>
      <c r="L768" t="s">
        <v>8</v>
      </c>
      <c r="M768" t="s">
        <v>8</v>
      </c>
      <c r="N768" t="s">
        <v>8</v>
      </c>
      <c r="P768">
        <f t="shared" si="1004"/>
        <v>-8.8495575221240099E-3</v>
      </c>
      <c r="Q768">
        <f t="shared" si="1005"/>
        <v>-19897.386017699377</v>
      </c>
      <c r="R768">
        <f t="shared" si="1006"/>
        <v>-11596604.206564279</v>
      </c>
      <c r="S768">
        <f t="shared" si="1007"/>
        <v>-115.9660420656428</v>
      </c>
      <c r="T768">
        <f t="shared" si="1008"/>
        <v>-0.1159660420656428</v>
      </c>
    </row>
    <row r="769" spans="1:20" x14ac:dyDescent="0.25">
      <c r="A769" s="5">
        <v>43824</v>
      </c>
      <c r="B769">
        <v>0.85509999999999997</v>
      </c>
      <c r="C769">
        <v>0.89980000000000004</v>
      </c>
      <c r="D769">
        <v>0.84</v>
      </c>
      <c r="E769">
        <v>0.85119999999999996</v>
      </c>
      <c r="F769">
        <v>1245488.8500000001</v>
      </c>
      <c r="G769">
        <v>0</v>
      </c>
      <c r="L769" t="s">
        <v>8</v>
      </c>
      <c r="M769" t="s">
        <v>8</v>
      </c>
      <c r="N769" t="s">
        <v>8</v>
      </c>
      <c r="P769">
        <f t="shared" si="1004"/>
        <v>-0.62541806020066981</v>
      </c>
      <c r="Q769">
        <f t="shared" si="1005"/>
        <v>-778951.22056856309</v>
      </c>
      <c r="R769">
        <f t="shared" si="1006"/>
        <v>-11576706.82054658</v>
      </c>
      <c r="S769">
        <f t="shared" si="1007"/>
        <v>-115.7670682054658</v>
      </c>
      <c r="T769">
        <f t="shared" si="1008"/>
        <v>-0.1157670682054658</v>
      </c>
    </row>
    <row r="770" spans="1:20" x14ac:dyDescent="0.25">
      <c r="A770" s="5">
        <v>43823</v>
      </c>
      <c r="B770">
        <v>0.86580000000000001</v>
      </c>
      <c r="C770">
        <v>0.95</v>
      </c>
      <c r="D770">
        <v>0.82609999999999995</v>
      </c>
      <c r="E770">
        <v>0.85470000000000002</v>
      </c>
      <c r="F770">
        <v>2460881.2999999998</v>
      </c>
      <c r="G770">
        <v>0</v>
      </c>
      <c r="L770" t="s">
        <v>7</v>
      </c>
      <c r="M770" t="s">
        <v>8</v>
      </c>
      <c r="N770" t="s">
        <v>8</v>
      </c>
      <c r="P770">
        <f t="shared" si="1004"/>
        <v>-0.53833736884584238</v>
      </c>
      <c r="Q770">
        <f t="shared" si="1005"/>
        <v>-1324784.364083936</v>
      </c>
      <c r="R770">
        <f t="shared" si="1006"/>
        <v>-10797755.599978017</v>
      </c>
      <c r="S770">
        <f t="shared" si="1007"/>
        <v>-107.97755599978017</v>
      </c>
      <c r="T770">
        <f t="shared" si="1008"/>
        <v>-0.10797755599978016</v>
      </c>
    </row>
    <row r="771" spans="1:20" x14ac:dyDescent="0.25">
      <c r="A771" s="5">
        <v>43822</v>
      </c>
      <c r="B771">
        <v>0.86170000000000002</v>
      </c>
      <c r="C771">
        <v>0.94979999999999998</v>
      </c>
      <c r="D771">
        <v>0.8579</v>
      </c>
      <c r="E771">
        <v>0.86439999999999995</v>
      </c>
      <c r="F771">
        <v>2395434.92</v>
      </c>
      <c r="G771">
        <v>0</v>
      </c>
      <c r="L771" t="s">
        <v>8</v>
      </c>
      <c r="M771" t="s">
        <v>8</v>
      </c>
      <c r="N771" t="s">
        <v>8</v>
      </c>
      <c r="P771">
        <f t="shared" si="1004"/>
        <v>-0.85854189336235143</v>
      </c>
      <c r="Q771">
        <f t="shared" si="1005"/>
        <v>-2056581.2316430928</v>
      </c>
      <c r="R771">
        <f t="shared" si="1006"/>
        <v>-9472971.2358940803</v>
      </c>
      <c r="S771">
        <f t="shared" si="1007"/>
        <v>-94.729712358940802</v>
      </c>
      <c r="T771">
        <f t="shared" si="1008"/>
        <v>-9.4729712358940801E-2</v>
      </c>
    </row>
    <row r="772" spans="1:20" x14ac:dyDescent="0.25">
      <c r="A772" s="5">
        <v>43821</v>
      </c>
      <c r="B772">
        <v>0.9103</v>
      </c>
      <c r="C772">
        <v>0.93969999999999998</v>
      </c>
      <c r="D772">
        <v>0.85819999999999996</v>
      </c>
      <c r="E772">
        <v>0.86409999999999998</v>
      </c>
      <c r="F772">
        <v>2821444.54</v>
      </c>
      <c r="G772">
        <v>0</v>
      </c>
      <c r="L772" t="s">
        <v>8</v>
      </c>
      <c r="M772" t="s">
        <v>8</v>
      </c>
      <c r="N772" t="s">
        <v>8</v>
      </c>
      <c r="P772">
        <f t="shared" si="1004"/>
        <v>-0.85521472392637998</v>
      </c>
      <c r="Q772">
        <f t="shared" si="1005"/>
        <v>-2412940.9133496922</v>
      </c>
      <c r="R772">
        <f t="shared" si="1006"/>
        <v>-7416390.0042509865</v>
      </c>
      <c r="S772">
        <f t="shared" si="1007"/>
        <v>-74.163900042509866</v>
      </c>
      <c r="T772">
        <f t="shared" si="1008"/>
        <v>-7.4163900042509862E-2</v>
      </c>
    </row>
    <row r="773" spans="1:20" x14ac:dyDescent="0.25">
      <c r="A773" s="5">
        <v>43820</v>
      </c>
      <c r="B773">
        <v>0.85760000000000003</v>
      </c>
      <c r="C773">
        <v>0.97389999999999999</v>
      </c>
      <c r="D773">
        <v>0.7823</v>
      </c>
      <c r="E773">
        <v>0.91520000000000001</v>
      </c>
      <c r="F773">
        <v>4756939.13</v>
      </c>
      <c r="G773">
        <v>0</v>
      </c>
      <c r="L773" t="s">
        <v>7</v>
      </c>
      <c r="M773" t="s">
        <v>7</v>
      </c>
      <c r="N773" t="s">
        <v>8</v>
      </c>
      <c r="P773">
        <f t="shared" si="1004"/>
        <v>0.38726513569937393</v>
      </c>
      <c r="Q773">
        <f t="shared" si="1005"/>
        <v>1842196.6776931118</v>
      </c>
      <c r="R773">
        <f t="shared" si="1006"/>
        <v>-5003449.0909012938</v>
      </c>
      <c r="S773">
        <f t="shared" si="1007"/>
        <v>-50.034490909012938</v>
      </c>
      <c r="T773">
        <f t="shared" si="1008"/>
        <v>-5.0034490909012935E-2</v>
      </c>
    </row>
    <row r="774" spans="1:20" x14ac:dyDescent="0.25">
      <c r="A774" s="5">
        <v>43819</v>
      </c>
      <c r="B774">
        <v>0.88580000000000003</v>
      </c>
      <c r="C774">
        <v>0.91720000000000002</v>
      </c>
      <c r="D774">
        <v>0.84240000000000004</v>
      </c>
      <c r="E774">
        <v>0.85740000000000005</v>
      </c>
      <c r="F774">
        <v>1664941.19</v>
      </c>
      <c r="G774">
        <v>0</v>
      </c>
      <c r="L774" t="s">
        <v>7</v>
      </c>
      <c r="M774" t="s">
        <v>8</v>
      </c>
      <c r="N774" t="s">
        <v>8</v>
      </c>
      <c r="P774">
        <f t="shared" si="1004"/>
        <v>-0.59893048128342197</v>
      </c>
      <c r="Q774">
        <f t="shared" si="1005"/>
        <v>-997184.02823529323</v>
      </c>
      <c r="R774">
        <f t="shared" si="1006"/>
        <v>-6845645.7685944056</v>
      </c>
      <c r="S774">
        <f t="shared" si="1007"/>
        <v>-68.456457685944059</v>
      </c>
      <c r="T774">
        <f t="shared" si="1008"/>
        <v>-6.8456457685944064E-2</v>
      </c>
    </row>
    <row r="775" spans="1:20" x14ac:dyDescent="0.25">
      <c r="A775" s="5">
        <v>43818</v>
      </c>
      <c r="B775">
        <v>0.86680000000000001</v>
      </c>
      <c r="C775">
        <v>0.95499999999999996</v>
      </c>
      <c r="D775">
        <v>0.84489999999999998</v>
      </c>
      <c r="E775">
        <v>0.88460000000000005</v>
      </c>
      <c r="F775">
        <v>4550295.5199999996</v>
      </c>
      <c r="G775">
        <v>0</v>
      </c>
      <c r="L775" t="s">
        <v>8</v>
      </c>
      <c r="M775" t="s">
        <v>8</v>
      </c>
      <c r="N775" t="s">
        <v>8</v>
      </c>
      <c r="P775">
        <f t="shared" si="1004"/>
        <v>-0.27883742052679245</v>
      </c>
      <c r="Q775">
        <f t="shared" si="1005"/>
        <v>-1268792.6654314196</v>
      </c>
      <c r="R775">
        <f t="shared" si="1006"/>
        <v>-5848461.7403591126</v>
      </c>
      <c r="S775">
        <f t="shared" si="1007"/>
        <v>-58.484617403591123</v>
      </c>
      <c r="T775">
        <f t="shared" si="1008"/>
        <v>-5.8484617403591121E-2</v>
      </c>
    </row>
    <row r="776" spans="1:20" x14ac:dyDescent="0.25">
      <c r="A776" s="5">
        <v>43817</v>
      </c>
      <c r="B776">
        <v>0.88580000000000003</v>
      </c>
      <c r="C776">
        <v>0.89770000000000005</v>
      </c>
      <c r="D776">
        <v>0.73340000000000005</v>
      </c>
      <c r="E776">
        <v>0.86660000000000004</v>
      </c>
      <c r="F776">
        <v>5730835.71</v>
      </c>
      <c r="G776">
        <v>0</v>
      </c>
      <c r="L776" t="s">
        <v>7</v>
      </c>
      <c r="M776" t="s">
        <v>7</v>
      </c>
      <c r="N776" t="s">
        <v>8</v>
      </c>
      <c r="P776">
        <f t="shared" si="1004"/>
        <v>0.62142422398052322</v>
      </c>
      <c r="Q776">
        <f t="shared" si="1005"/>
        <v>3561280.1338466206</v>
      </c>
      <c r="R776">
        <f t="shared" si="1006"/>
        <v>-4579669.0749276932</v>
      </c>
      <c r="S776">
        <f t="shared" si="1007"/>
        <v>-45.796690749276934</v>
      </c>
      <c r="T776">
        <f t="shared" si="1008"/>
        <v>-4.5796690749276933E-2</v>
      </c>
    </row>
    <row r="777" spans="1:20" x14ac:dyDescent="0.25">
      <c r="A777" s="5">
        <v>43816</v>
      </c>
      <c r="B777">
        <v>0.76700000000000002</v>
      </c>
      <c r="C777">
        <v>0.94</v>
      </c>
      <c r="D777">
        <v>0.76700000000000002</v>
      </c>
      <c r="E777">
        <v>0.88580000000000003</v>
      </c>
      <c r="F777">
        <v>7123296.79</v>
      </c>
      <c r="G777">
        <v>0</v>
      </c>
      <c r="L777" t="s">
        <v>8</v>
      </c>
      <c r="M777" t="s">
        <v>8</v>
      </c>
      <c r="N777" t="s">
        <v>8</v>
      </c>
      <c r="P777">
        <f t="shared" si="1004"/>
        <v>0.37341040462427821</v>
      </c>
      <c r="Q777">
        <f t="shared" si="1005"/>
        <v>2659913.1366127222</v>
      </c>
      <c r="R777">
        <f t="shared" si="1006"/>
        <v>-8140949.2087743133</v>
      </c>
      <c r="S777">
        <f t="shared" si="1007"/>
        <v>-81.409492087743132</v>
      </c>
      <c r="T777">
        <f t="shared" si="1008"/>
        <v>-8.1409492087743132E-2</v>
      </c>
    </row>
    <row r="778" spans="1:20" x14ac:dyDescent="0.25">
      <c r="A778" s="5">
        <v>43815</v>
      </c>
      <c r="B778">
        <v>0.72189999999999999</v>
      </c>
      <c r="C778">
        <v>0.87</v>
      </c>
      <c r="D778">
        <v>0.69040000000000001</v>
      </c>
      <c r="E778">
        <v>0.76759999999999995</v>
      </c>
      <c r="F778">
        <v>4424055.53</v>
      </c>
      <c r="G778">
        <v>0</v>
      </c>
      <c r="L778" t="s">
        <v>8</v>
      </c>
      <c r="M778" t="s">
        <v>8</v>
      </c>
      <c r="N778" t="s">
        <v>8</v>
      </c>
      <c r="P778">
        <f t="shared" si="1004"/>
        <v>-0.14031180400890933</v>
      </c>
      <c r="Q778">
        <f t="shared" si="1005"/>
        <v>-620747.21244989149</v>
      </c>
      <c r="R778">
        <f t="shared" si="1006"/>
        <v>-10800862.345387036</v>
      </c>
      <c r="S778">
        <f t="shared" si="1007"/>
        <v>-108.00862345387036</v>
      </c>
      <c r="T778">
        <f t="shared" si="1008"/>
        <v>-0.10800862345387036</v>
      </c>
    </row>
    <row r="779" spans="1:20" x14ac:dyDescent="0.25">
      <c r="A779" s="5">
        <v>43814</v>
      </c>
      <c r="B779">
        <v>0.67920000000000003</v>
      </c>
      <c r="C779">
        <v>0.72899999999999998</v>
      </c>
      <c r="D779">
        <v>0.64</v>
      </c>
      <c r="E779">
        <v>0.72109999999999996</v>
      </c>
      <c r="F779">
        <v>2266830.1800000002</v>
      </c>
      <c r="G779">
        <v>0</v>
      </c>
      <c r="L779" t="s">
        <v>8</v>
      </c>
      <c r="M779" t="s">
        <v>8</v>
      </c>
      <c r="N779" t="s">
        <v>8</v>
      </c>
      <c r="P779">
        <f t="shared" si="1004"/>
        <v>0.82247191011235909</v>
      </c>
      <c r="Q779">
        <f t="shared" si="1005"/>
        <v>1864404.1480449429</v>
      </c>
      <c r="R779">
        <f t="shared" si="1006"/>
        <v>-10180115.132937144</v>
      </c>
      <c r="S779">
        <f t="shared" si="1007"/>
        <v>-101.80115132937145</v>
      </c>
      <c r="T779">
        <f t="shared" si="1008"/>
        <v>-0.10180115132937145</v>
      </c>
    </row>
    <row r="780" spans="1:20" x14ac:dyDescent="0.25">
      <c r="A780" s="5">
        <v>43813</v>
      </c>
      <c r="B780">
        <v>0.62139999999999995</v>
      </c>
      <c r="C780">
        <v>0.69989999999999997</v>
      </c>
      <c r="D780">
        <v>0.60050000000000003</v>
      </c>
      <c r="E780">
        <v>0.67810000000000004</v>
      </c>
      <c r="F780">
        <v>2105342.29</v>
      </c>
      <c r="G780">
        <v>0</v>
      </c>
      <c r="L780" t="s">
        <v>7</v>
      </c>
      <c r="M780" t="s">
        <v>8</v>
      </c>
      <c r="N780" t="s">
        <v>8</v>
      </c>
      <c r="P780">
        <f t="shared" si="1004"/>
        <v>0.56136820925553432</v>
      </c>
      <c r="Q780">
        <f t="shared" si="1005"/>
        <v>1181872.231207246</v>
      </c>
      <c r="R780">
        <f t="shared" si="1006"/>
        <v>-12044519.280982088</v>
      </c>
      <c r="S780">
        <f t="shared" si="1007"/>
        <v>-120.44519280982088</v>
      </c>
      <c r="T780">
        <f t="shared" si="1008"/>
        <v>-0.12044519280982088</v>
      </c>
    </row>
    <row r="781" spans="1:20" x14ac:dyDescent="0.25">
      <c r="A781" s="5">
        <v>43812</v>
      </c>
      <c r="B781">
        <v>0.622</v>
      </c>
      <c r="C781">
        <v>0.69840000000000002</v>
      </c>
      <c r="D781">
        <v>0.58509999999999995</v>
      </c>
      <c r="E781">
        <v>0.62109999999999999</v>
      </c>
      <c r="F781">
        <v>2196907.9500000002</v>
      </c>
      <c r="G781">
        <v>0</v>
      </c>
      <c r="L781" t="s">
        <v>8</v>
      </c>
      <c r="M781" t="s">
        <v>8</v>
      </c>
      <c r="N781" t="s">
        <v>8</v>
      </c>
      <c r="P781">
        <f t="shared" si="1004"/>
        <v>-0.36451897616946144</v>
      </c>
      <c r="Q781">
        <f t="shared" si="1005"/>
        <v>-800814.63667255046</v>
      </c>
      <c r="R781">
        <f t="shared" si="1006"/>
        <v>-13226391.512189334</v>
      </c>
      <c r="S781">
        <f t="shared" si="1007"/>
        <v>-132.26391512189335</v>
      </c>
      <c r="T781">
        <f t="shared" si="1008"/>
        <v>-0.13226391512189334</v>
      </c>
    </row>
    <row r="782" spans="1:20" x14ac:dyDescent="0.25">
      <c r="A782" s="5">
        <v>43811</v>
      </c>
      <c r="B782">
        <v>0.58220000000000005</v>
      </c>
      <c r="C782">
        <v>0.66600000000000004</v>
      </c>
      <c r="D782">
        <v>0.57120000000000004</v>
      </c>
      <c r="E782">
        <v>0.62229999999999996</v>
      </c>
      <c r="F782">
        <v>2397765.5499999998</v>
      </c>
      <c r="G782">
        <v>0</v>
      </c>
      <c r="L782" t="s">
        <v>7</v>
      </c>
      <c r="M782" t="s">
        <v>8</v>
      </c>
      <c r="N782" t="s">
        <v>8</v>
      </c>
      <c r="P782">
        <f t="shared" si="1004"/>
        <v>7.8059071729956242E-2</v>
      </c>
      <c r="Q782">
        <f t="shared" si="1005"/>
        <v>187167.35305906797</v>
      </c>
      <c r="R782">
        <f t="shared" si="1006"/>
        <v>-12425576.875516783</v>
      </c>
      <c r="S782">
        <f t="shared" si="1007"/>
        <v>-124.25576875516784</v>
      </c>
      <c r="T782">
        <f t="shared" si="1008"/>
        <v>-0.12425576875516783</v>
      </c>
    </row>
    <row r="783" spans="1:20" x14ac:dyDescent="0.25">
      <c r="A783" s="5">
        <v>43810</v>
      </c>
      <c r="B783">
        <v>0.52810000000000001</v>
      </c>
      <c r="C783">
        <v>0.67100000000000004</v>
      </c>
      <c r="D783">
        <v>0.52669999999999995</v>
      </c>
      <c r="E783">
        <v>0.58179999999999998</v>
      </c>
      <c r="F783">
        <v>2781175.82</v>
      </c>
      <c r="G783">
        <v>0</v>
      </c>
      <c r="L783" t="s">
        <v>8</v>
      </c>
      <c r="M783" t="s">
        <v>8</v>
      </c>
      <c r="N783" t="s">
        <v>8</v>
      </c>
      <c r="P783">
        <f t="shared" si="1004"/>
        <v>-0.23631323631323628</v>
      </c>
      <c r="Q783">
        <f t="shared" si="1005"/>
        <v>-657228.65878031868</v>
      </c>
      <c r="R783">
        <f t="shared" si="1006"/>
        <v>-12612744.228575852</v>
      </c>
      <c r="S783">
        <f t="shared" si="1007"/>
        <v>-126.12744228575852</v>
      </c>
      <c r="T783">
        <f t="shared" si="1008"/>
        <v>-0.12612744228575851</v>
      </c>
    </row>
    <row r="784" spans="1:20" x14ac:dyDescent="0.25">
      <c r="A784" s="5">
        <v>43809</v>
      </c>
      <c r="B784">
        <v>0.56559999999999999</v>
      </c>
      <c r="C784">
        <v>0.56759999999999999</v>
      </c>
      <c r="D784">
        <v>0.51519999999999999</v>
      </c>
      <c r="E784">
        <v>0.52800000000000002</v>
      </c>
      <c r="F784">
        <v>438406.63</v>
      </c>
      <c r="G784">
        <v>0</v>
      </c>
      <c r="L784" t="s">
        <v>7</v>
      </c>
      <c r="M784" t="s">
        <v>7</v>
      </c>
      <c r="N784" t="s">
        <v>8</v>
      </c>
      <c r="P784">
        <f t="shared" si="1004"/>
        <v>-0.51145038167938806</v>
      </c>
      <c r="Q784">
        <f t="shared" si="1005"/>
        <v>-224223.23824427425</v>
      </c>
      <c r="R784">
        <f t="shared" si="1006"/>
        <v>-11955515.569795534</v>
      </c>
      <c r="S784">
        <f t="shared" si="1007"/>
        <v>-119.55515569795534</v>
      </c>
      <c r="T784">
        <f t="shared" si="1008"/>
        <v>-0.11955515569795534</v>
      </c>
    </row>
    <row r="785" spans="1:20" x14ac:dyDescent="0.25">
      <c r="A785" s="5">
        <v>43808</v>
      </c>
      <c r="B785">
        <v>0.58109999999999995</v>
      </c>
      <c r="C785">
        <v>0.58509999999999995</v>
      </c>
      <c r="D785">
        <v>0.55859999999999999</v>
      </c>
      <c r="E785">
        <v>0.56430000000000002</v>
      </c>
      <c r="F785">
        <v>290833.75</v>
      </c>
      <c r="G785">
        <v>0</v>
      </c>
      <c r="L785" t="s">
        <v>7</v>
      </c>
      <c r="M785" t="s">
        <v>8</v>
      </c>
      <c r="N785" t="s">
        <v>8</v>
      </c>
      <c r="P785">
        <f t="shared" si="1004"/>
        <v>-0.56981132075471352</v>
      </c>
      <c r="Q785">
        <f t="shared" si="1005"/>
        <v>-165720.36320754615</v>
      </c>
      <c r="R785">
        <f t="shared" si="1006"/>
        <v>-11731292.331551259</v>
      </c>
      <c r="S785">
        <f t="shared" si="1007"/>
        <v>-117.31292331551259</v>
      </c>
      <c r="T785">
        <f t="shared" si="1008"/>
        <v>-0.11731292331551259</v>
      </c>
    </row>
    <row r="786" spans="1:20" x14ac:dyDescent="0.25">
      <c r="A786" s="5">
        <v>43807</v>
      </c>
      <c r="B786">
        <v>0.57399999999999995</v>
      </c>
      <c r="C786">
        <v>0.59209999999999996</v>
      </c>
      <c r="D786">
        <v>0.56100000000000005</v>
      </c>
      <c r="E786">
        <v>0.58069999999999999</v>
      </c>
      <c r="F786">
        <v>153918.72</v>
      </c>
      <c r="G786">
        <v>0</v>
      </c>
      <c r="L786" t="s">
        <v>7</v>
      </c>
      <c r="M786" t="s">
        <v>8</v>
      </c>
      <c r="N786" t="s">
        <v>8</v>
      </c>
      <c r="P786">
        <f t="shared" si="1004"/>
        <v>0.26688102893890675</v>
      </c>
      <c r="Q786">
        <f t="shared" si="1005"/>
        <v>41077.986366559482</v>
      </c>
      <c r="R786">
        <f t="shared" si="1006"/>
        <v>-11565571.968343712</v>
      </c>
      <c r="S786">
        <f t="shared" si="1007"/>
        <v>-115.65571968343713</v>
      </c>
      <c r="T786">
        <f t="shared" si="1008"/>
        <v>-0.11565571968343713</v>
      </c>
    </row>
    <row r="787" spans="1:20" x14ac:dyDescent="0.25">
      <c r="A787" s="5">
        <v>43806</v>
      </c>
      <c r="B787">
        <v>0.5665</v>
      </c>
      <c r="C787">
        <v>0.58260000000000001</v>
      </c>
      <c r="D787">
        <v>0.56389999999999996</v>
      </c>
      <c r="E787">
        <v>0.57420000000000004</v>
      </c>
      <c r="F787">
        <v>151482.44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0.10160427807487266</v>
      </c>
      <c r="Q787">
        <f t="shared" si="1005"/>
        <v>15391.263957220213</v>
      </c>
      <c r="R787">
        <f t="shared" si="1006"/>
        <v>-11606649.954710271</v>
      </c>
      <c r="S787">
        <f t="shared" si="1007"/>
        <v>-116.06649954710271</v>
      </c>
      <c r="T787">
        <f t="shared" si="1008"/>
        <v>-0.11606649954710271</v>
      </c>
    </row>
    <row r="788" spans="1:20" x14ac:dyDescent="0.25">
      <c r="A788" s="5">
        <v>43805</v>
      </c>
      <c r="B788">
        <v>0.55740000000000001</v>
      </c>
      <c r="C788">
        <v>0.60199999999999998</v>
      </c>
      <c r="D788">
        <v>0.54879999999999995</v>
      </c>
      <c r="E788">
        <v>0.56640000000000001</v>
      </c>
      <c r="F788">
        <v>642722.94999999995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-0.33834586466165217</v>
      </c>
      <c r="Q788">
        <f t="shared" si="1005"/>
        <v>-217462.65225563783</v>
      </c>
      <c r="R788">
        <f t="shared" si="1006"/>
        <v>-11622041.218667492</v>
      </c>
      <c r="S788">
        <f t="shared" si="1007"/>
        <v>-116.22041218667492</v>
      </c>
      <c r="T788">
        <f t="shared" si="1008"/>
        <v>-0.11622041218667492</v>
      </c>
    </row>
    <row r="789" spans="1:20" x14ac:dyDescent="0.25">
      <c r="A789" s="5">
        <v>43804</v>
      </c>
      <c r="B789">
        <v>0.55669999999999997</v>
      </c>
      <c r="C789">
        <v>0.57540000000000002</v>
      </c>
      <c r="D789">
        <v>0.54920000000000002</v>
      </c>
      <c r="E789">
        <v>0.56000000000000005</v>
      </c>
      <c r="F789">
        <v>213975.36</v>
      </c>
      <c r="G789">
        <v>0</v>
      </c>
      <c r="L789" t="s">
        <v>7</v>
      </c>
      <c r="M789" t="s">
        <v>8</v>
      </c>
      <c r="N789" t="s">
        <v>8</v>
      </c>
      <c r="P789">
        <f t="shared" si="1004"/>
        <v>-0.17557251908396707</v>
      </c>
      <c r="Q789">
        <f t="shared" si="1005"/>
        <v>-37568.192977098719</v>
      </c>
      <c r="R789">
        <f t="shared" si="1006"/>
        <v>-11404578.566411855</v>
      </c>
      <c r="S789">
        <f t="shared" si="1007"/>
        <v>-114.04578566411854</v>
      </c>
      <c r="T789">
        <f t="shared" si="1008"/>
        <v>-0.11404578566411853</v>
      </c>
    </row>
    <row r="790" spans="1:20" x14ac:dyDescent="0.25">
      <c r="A790" s="5">
        <v>43803</v>
      </c>
      <c r="B790">
        <v>0.58150000000000002</v>
      </c>
      <c r="C790">
        <v>0.60370000000000001</v>
      </c>
      <c r="D790">
        <v>0.55169999999999997</v>
      </c>
      <c r="E790">
        <v>0.55669999999999997</v>
      </c>
      <c r="F790">
        <v>433092.85</v>
      </c>
      <c r="G790">
        <v>0</v>
      </c>
      <c r="L790" t="s">
        <v>7</v>
      </c>
      <c r="M790" t="s">
        <v>8</v>
      </c>
      <c r="N790" t="s">
        <v>8</v>
      </c>
      <c r="P790">
        <f t="shared" si="1004"/>
        <v>-0.80769230769230771</v>
      </c>
      <c r="Q790">
        <f t="shared" si="1005"/>
        <v>-349805.76346153847</v>
      </c>
      <c r="R790">
        <f t="shared" si="1006"/>
        <v>-11367010.373434756</v>
      </c>
      <c r="S790">
        <f t="shared" si="1007"/>
        <v>-113.67010373434756</v>
      </c>
      <c r="T790">
        <f t="shared" si="1008"/>
        <v>-0.11367010373434756</v>
      </c>
    </row>
    <row r="791" spans="1:20" x14ac:dyDescent="0.25">
      <c r="A791" s="5">
        <v>43802</v>
      </c>
      <c r="B791">
        <v>0.59399999999999997</v>
      </c>
      <c r="C791">
        <v>0.6008</v>
      </c>
      <c r="D791">
        <v>0.5756</v>
      </c>
      <c r="E791">
        <v>0.58220000000000005</v>
      </c>
      <c r="F791">
        <v>157672.63</v>
      </c>
      <c r="G791">
        <v>0</v>
      </c>
      <c r="L791" t="s">
        <v>7</v>
      </c>
      <c r="M791" t="s">
        <v>8</v>
      </c>
      <c r="N791" t="s">
        <v>8</v>
      </c>
      <c r="P791">
        <f t="shared" si="1004"/>
        <v>-0.47619047619047222</v>
      </c>
      <c r="Q791">
        <f t="shared" si="1005"/>
        <v>-75082.20476190414</v>
      </c>
      <c r="R791">
        <f t="shared" si="1006"/>
        <v>-11017204.609973218</v>
      </c>
      <c r="S791">
        <f t="shared" si="1007"/>
        <v>-110.17204609973219</v>
      </c>
      <c r="T791">
        <f t="shared" si="1008"/>
        <v>-0.11017204609973219</v>
      </c>
    </row>
    <row r="792" spans="1:20" x14ac:dyDescent="0.25">
      <c r="A792" s="5">
        <v>43801</v>
      </c>
      <c r="B792">
        <v>0.60950000000000004</v>
      </c>
      <c r="C792">
        <v>0.61260000000000003</v>
      </c>
      <c r="D792">
        <v>0.58550000000000002</v>
      </c>
      <c r="E792">
        <v>0.59119999999999995</v>
      </c>
      <c r="F792">
        <v>113966.33</v>
      </c>
      <c r="G792">
        <v>0</v>
      </c>
      <c r="L792" t="s">
        <v>7</v>
      </c>
      <c r="M792" t="s">
        <v>8</v>
      </c>
      <c r="N792" t="s">
        <v>8</v>
      </c>
      <c r="P792">
        <f t="shared" si="1004"/>
        <v>-0.57933579335793917</v>
      </c>
      <c r="Q792">
        <f t="shared" si="1005"/>
        <v>-66024.774206642702</v>
      </c>
      <c r="R792">
        <f t="shared" si="1006"/>
        <v>-10942122.405211315</v>
      </c>
      <c r="S792">
        <f t="shared" si="1007"/>
        <v>-109.42122405211315</v>
      </c>
      <c r="T792">
        <f t="shared" si="1008"/>
        <v>-0.10942122405211314</v>
      </c>
    </row>
    <row r="793" spans="1:20" x14ac:dyDescent="0.25">
      <c r="A793" s="5">
        <v>43800</v>
      </c>
      <c r="B793">
        <v>0.60289999999999999</v>
      </c>
      <c r="C793">
        <v>0.61199999999999999</v>
      </c>
      <c r="D793">
        <v>0.5766</v>
      </c>
      <c r="E793">
        <v>0.60940000000000005</v>
      </c>
      <c r="F793">
        <v>118980.97</v>
      </c>
      <c r="G793">
        <v>0</v>
      </c>
      <c r="L793" t="s">
        <v>7</v>
      </c>
      <c r="M793" t="s">
        <v>8</v>
      </c>
      <c r="N793" t="s">
        <v>8</v>
      </c>
      <c r="P793">
        <f t="shared" si="1004"/>
        <v>0.85310734463277194</v>
      </c>
      <c r="Q793">
        <f t="shared" si="1005"/>
        <v>101503.5393785315</v>
      </c>
      <c r="R793">
        <f t="shared" si="1006"/>
        <v>-10876097.631004672</v>
      </c>
      <c r="S793">
        <f t="shared" si="1007"/>
        <v>-108.76097631004673</v>
      </c>
      <c r="T793">
        <f t="shared" si="1008"/>
        <v>-0.10876097631004673</v>
      </c>
    </row>
    <row r="794" spans="1:20" x14ac:dyDescent="0.25">
      <c r="A794" s="5">
        <v>43799</v>
      </c>
      <c r="B794">
        <v>0.63019999999999998</v>
      </c>
      <c r="C794">
        <v>0.63749999999999996</v>
      </c>
      <c r="D794">
        <v>0.59789999999999999</v>
      </c>
      <c r="E794">
        <v>0.60499999999999998</v>
      </c>
      <c r="F794">
        <v>139563</v>
      </c>
      <c r="G794">
        <v>0</v>
      </c>
      <c r="L794" t="s">
        <v>8</v>
      </c>
      <c r="M794" t="s">
        <v>8</v>
      </c>
      <c r="N794" t="s">
        <v>8</v>
      </c>
      <c r="P794">
        <f t="shared" si="1004"/>
        <v>-0.64141414141414133</v>
      </c>
      <c r="Q794">
        <f t="shared" si="1005"/>
        <v>-89517.681818181809</v>
      </c>
      <c r="R794">
        <f t="shared" si="1006"/>
        <v>-10977601.170383204</v>
      </c>
      <c r="S794">
        <f t="shared" si="1007"/>
        <v>-109.77601170383204</v>
      </c>
      <c r="T794">
        <f t="shared" si="1008"/>
        <v>-0.10977601170383204</v>
      </c>
    </row>
    <row r="795" spans="1:20" x14ac:dyDescent="0.25">
      <c r="A795" s="5">
        <v>43798</v>
      </c>
      <c r="B795">
        <v>0.61080000000000001</v>
      </c>
      <c r="C795">
        <v>0.63519999999999999</v>
      </c>
      <c r="D795">
        <v>0.60640000000000005</v>
      </c>
      <c r="E795">
        <v>0.63029999999999997</v>
      </c>
      <c r="F795">
        <v>163946.81</v>
      </c>
      <c r="G795">
        <v>0</v>
      </c>
      <c r="L795" t="s">
        <v>8</v>
      </c>
      <c r="M795" t="s">
        <v>8</v>
      </c>
      <c r="N795" t="s">
        <v>8</v>
      </c>
      <c r="P795">
        <f t="shared" si="1004"/>
        <v>0.65972222222222043</v>
      </c>
      <c r="Q795">
        <f t="shared" si="1005"/>
        <v>108159.35381944415</v>
      </c>
      <c r="R795">
        <f t="shared" si="1006"/>
        <v>-10888083.488565022</v>
      </c>
      <c r="S795">
        <f t="shared" si="1007"/>
        <v>-108.88083488565022</v>
      </c>
      <c r="T795">
        <f t="shared" si="1008"/>
        <v>-0.10888083488565022</v>
      </c>
    </row>
    <row r="796" spans="1:20" x14ac:dyDescent="0.25">
      <c r="A796" s="5">
        <v>43797</v>
      </c>
      <c r="B796">
        <v>0.61119999999999997</v>
      </c>
      <c r="C796">
        <v>0.63339999999999996</v>
      </c>
      <c r="D796">
        <v>0.26</v>
      </c>
      <c r="E796">
        <v>0.61199999999999999</v>
      </c>
      <c r="F796">
        <v>620768.56000000006</v>
      </c>
      <c r="G796">
        <v>0</v>
      </c>
      <c r="L796" t="s">
        <v>7</v>
      </c>
      <c r="M796" t="s">
        <v>7</v>
      </c>
      <c r="N796" t="s">
        <v>7</v>
      </c>
      <c r="P796">
        <f t="shared" si="1004"/>
        <v>0.88537761114086777</v>
      </c>
      <c r="Q796">
        <f t="shared" si="1005"/>
        <v>549614.58472415654</v>
      </c>
      <c r="R796">
        <f t="shared" si="1006"/>
        <v>-10996242.842384467</v>
      </c>
      <c r="S796">
        <f t="shared" si="1007"/>
        <v>-109.96242842384467</v>
      </c>
      <c r="T796">
        <f t="shared" si="1008"/>
        <v>-0.10996242842384467</v>
      </c>
    </row>
    <row r="797" spans="1:20" x14ac:dyDescent="0.25">
      <c r="A797" s="5">
        <v>43796</v>
      </c>
      <c r="B797">
        <v>0.60389999999999999</v>
      </c>
      <c r="C797">
        <v>0.62829999999999997</v>
      </c>
      <c r="D797">
        <v>0.5675</v>
      </c>
      <c r="E797">
        <v>0.60970000000000002</v>
      </c>
      <c r="F797">
        <v>760394.37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0.38815789473684342</v>
      </c>
      <c r="Q797">
        <f t="shared" si="1005"/>
        <v>295153.07782894839</v>
      </c>
      <c r="R797">
        <f t="shared" si="1006"/>
        <v>-11545857.427108623</v>
      </c>
      <c r="S797">
        <f t="shared" si="1007"/>
        <v>-115.45857427108623</v>
      </c>
      <c r="T797">
        <f t="shared" si="1008"/>
        <v>-0.11545857427108623</v>
      </c>
    </row>
    <row r="798" spans="1:20" x14ac:dyDescent="0.25">
      <c r="A798" s="5">
        <v>43795</v>
      </c>
      <c r="B798">
        <v>0.58989999999999998</v>
      </c>
      <c r="C798">
        <v>0.60899999999999999</v>
      </c>
      <c r="D798">
        <v>0.58209999999999995</v>
      </c>
      <c r="E798">
        <v>0.60419999999999996</v>
      </c>
      <c r="F798">
        <v>177874.09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0.64312267657992417</v>
      </c>
      <c r="Q798">
        <f t="shared" si="1005"/>
        <v>114394.86085501833</v>
      </c>
      <c r="R798">
        <f t="shared" si="1006"/>
        <v>-11841010.504937572</v>
      </c>
      <c r="S798">
        <f t="shared" si="1007"/>
        <v>-118.41010504937573</v>
      </c>
      <c r="T798">
        <f t="shared" si="1008"/>
        <v>-0.11841010504937573</v>
      </c>
    </row>
    <row r="799" spans="1:20" x14ac:dyDescent="0.25">
      <c r="A799" s="5">
        <v>43794</v>
      </c>
      <c r="B799">
        <v>0.57399999999999995</v>
      </c>
      <c r="C799">
        <v>0.60340000000000005</v>
      </c>
      <c r="D799">
        <v>0.52810000000000001</v>
      </c>
      <c r="E799">
        <v>0.59199999999999997</v>
      </c>
      <c r="F799">
        <v>427026.71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0.6972111553784841</v>
      </c>
      <c r="Q799">
        <f t="shared" si="1005"/>
        <v>297727.78585657291</v>
      </c>
      <c r="R799">
        <f t="shared" si="1006"/>
        <v>-11955405.365792591</v>
      </c>
      <c r="S799">
        <f t="shared" si="1007"/>
        <v>-119.55405365792591</v>
      </c>
      <c r="T799">
        <f t="shared" si="1008"/>
        <v>-0.1195540536579259</v>
      </c>
    </row>
    <row r="800" spans="1:20" x14ac:dyDescent="0.25">
      <c r="A800" s="5">
        <v>43793</v>
      </c>
      <c r="B800">
        <v>0.62970000000000004</v>
      </c>
      <c r="C800">
        <v>0.63149999999999995</v>
      </c>
      <c r="D800">
        <v>0.57169999999999999</v>
      </c>
      <c r="E800">
        <v>0.57620000000000005</v>
      </c>
      <c r="F800">
        <v>258498.51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-0.8494983277591952</v>
      </c>
      <c r="Q800">
        <f t="shared" si="1005"/>
        <v>-219594.05197324359</v>
      </c>
      <c r="R800">
        <f t="shared" si="1006"/>
        <v>-12253133.151649164</v>
      </c>
      <c r="S800">
        <f t="shared" si="1007"/>
        <v>-122.53133151649165</v>
      </c>
      <c r="T800">
        <f t="shared" si="1008"/>
        <v>-0.12253133151649165</v>
      </c>
    </row>
    <row r="801" spans="1:20" x14ac:dyDescent="0.25">
      <c r="A801" s="5">
        <v>43792</v>
      </c>
      <c r="B801">
        <v>0.62729999999999997</v>
      </c>
      <c r="C801">
        <v>0.63519999999999999</v>
      </c>
      <c r="D801">
        <v>0.60350000000000004</v>
      </c>
      <c r="E801">
        <v>0.63170000000000004</v>
      </c>
      <c r="F801">
        <v>178067.89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0.77917981072555498</v>
      </c>
      <c r="Q801">
        <f t="shared" si="1005"/>
        <v>138746.90482649897</v>
      </c>
      <c r="R801">
        <f t="shared" si="1006"/>
        <v>-12033539.09967592</v>
      </c>
      <c r="S801">
        <f t="shared" si="1007"/>
        <v>-120.3353909967592</v>
      </c>
      <c r="T801">
        <f t="shared" si="1008"/>
        <v>-0.1203353909967592</v>
      </c>
    </row>
    <row r="802" spans="1:20" x14ac:dyDescent="0.25">
      <c r="A802" s="5">
        <v>43791</v>
      </c>
      <c r="B802">
        <v>0.65100000000000002</v>
      </c>
      <c r="C802">
        <v>0.68920000000000003</v>
      </c>
      <c r="D802">
        <v>0.57830000000000004</v>
      </c>
      <c r="E802">
        <v>0.62749999999999995</v>
      </c>
      <c r="F802">
        <v>450103.27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-0.112714156898108</v>
      </c>
      <c r="Q802">
        <f t="shared" si="1005"/>
        <v>-50733.010595131469</v>
      </c>
      <c r="R802">
        <f t="shared" si="1006"/>
        <v>-12172286.004502419</v>
      </c>
      <c r="S802">
        <f t="shared" si="1007"/>
        <v>-121.72286004502419</v>
      </c>
      <c r="T802">
        <f t="shared" si="1008"/>
        <v>-0.12172286004502419</v>
      </c>
    </row>
    <row r="803" spans="1:20" x14ac:dyDescent="0.25">
      <c r="A803" s="5">
        <v>43790</v>
      </c>
      <c r="B803">
        <v>0.70940000000000003</v>
      </c>
      <c r="C803">
        <v>0.72089999999999999</v>
      </c>
      <c r="D803">
        <v>0.63</v>
      </c>
      <c r="E803">
        <v>0.65100000000000002</v>
      </c>
      <c r="F803">
        <v>464116.13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-0.53795379537953747</v>
      </c>
      <c r="Q803">
        <f t="shared" si="1005"/>
        <v>-249673.03363036283</v>
      </c>
      <c r="R803">
        <f t="shared" si="1006"/>
        <v>-12121552.993907288</v>
      </c>
      <c r="S803">
        <f t="shared" si="1007"/>
        <v>-121.21552993907288</v>
      </c>
      <c r="T803">
        <f t="shared" si="1008"/>
        <v>-0.12121552993907288</v>
      </c>
    </row>
    <row r="804" spans="1:20" x14ac:dyDescent="0.25">
      <c r="A804" s="5">
        <v>43789</v>
      </c>
      <c r="B804">
        <v>0.72140000000000004</v>
      </c>
      <c r="C804">
        <v>0.72409999999999997</v>
      </c>
      <c r="D804">
        <v>0.70240000000000002</v>
      </c>
      <c r="E804">
        <v>0.70940000000000003</v>
      </c>
      <c r="F804">
        <v>107840.74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-0.35483870967741704</v>
      </c>
      <c r="Q804">
        <f t="shared" si="1005"/>
        <v>-38266.069032257816</v>
      </c>
      <c r="R804">
        <f t="shared" si="1006"/>
        <v>-11871879.960276924</v>
      </c>
      <c r="S804">
        <f t="shared" si="1007"/>
        <v>-118.71879960276924</v>
      </c>
      <c r="T804">
        <f t="shared" si="1008"/>
        <v>-0.11871879960276924</v>
      </c>
    </row>
    <row r="805" spans="1:20" x14ac:dyDescent="0.25">
      <c r="A805" s="5">
        <v>43788</v>
      </c>
      <c r="B805">
        <v>0.73</v>
      </c>
      <c r="C805">
        <v>0.73329999999999995</v>
      </c>
      <c r="D805">
        <v>0.7</v>
      </c>
      <c r="E805">
        <v>0.72140000000000004</v>
      </c>
      <c r="F805">
        <v>162364.24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0.28528528528529057</v>
      </c>
      <c r="Q805">
        <f t="shared" si="1005"/>
        <v>46320.128528529385</v>
      </c>
      <c r="R805">
        <f t="shared" si="1006"/>
        <v>-11833613.891244667</v>
      </c>
      <c r="S805">
        <f t="shared" si="1007"/>
        <v>-118.33613891244667</v>
      </c>
      <c r="T805">
        <f t="shared" si="1008"/>
        <v>-0.11833613891244667</v>
      </c>
    </row>
    <row r="806" spans="1:20" x14ac:dyDescent="0.25">
      <c r="A806" s="5">
        <v>43787</v>
      </c>
      <c r="B806">
        <v>0.76890000000000003</v>
      </c>
      <c r="C806">
        <v>0.78120000000000001</v>
      </c>
      <c r="D806">
        <v>0.70520000000000005</v>
      </c>
      <c r="E806">
        <v>0.72740000000000005</v>
      </c>
      <c r="F806">
        <v>262790.21000000002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-0.41578947368421026</v>
      </c>
      <c r="Q806">
        <f t="shared" si="1005"/>
        <v>-109265.4031052631</v>
      </c>
      <c r="R806">
        <f t="shared" si="1006"/>
        <v>-11879934.019773196</v>
      </c>
      <c r="S806">
        <f t="shared" si="1007"/>
        <v>-118.79934019773196</v>
      </c>
      <c r="T806">
        <f t="shared" si="1008"/>
        <v>-0.11879934019773196</v>
      </c>
    </row>
    <row r="807" spans="1:20" x14ac:dyDescent="0.25">
      <c r="A807" s="5">
        <v>43786</v>
      </c>
      <c r="B807">
        <v>0.77039999999999997</v>
      </c>
      <c r="C807">
        <v>0.77910000000000001</v>
      </c>
      <c r="D807">
        <v>0.76139999999999997</v>
      </c>
      <c r="E807">
        <v>0.76700000000000002</v>
      </c>
      <c r="F807">
        <v>85467.59</v>
      </c>
      <c r="G807">
        <v>0</v>
      </c>
      <c r="L807" t="s">
        <v>8</v>
      </c>
      <c r="M807" t="s">
        <v>7</v>
      </c>
      <c r="N807" t="s">
        <v>7</v>
      </c>
      <c r="P807">
        <f t="shared" si="1004"/>
        <v>-0.36723163841807527</v>
      </c>
      <c r="Q807">
        <f t="shared" si="1005"/>
        <v>-31386.403107344304</v>
      </c>
      <c r="R807">
        <f t="shared" si="1006"/>
        <v>-11770668.616667934</v>
      </c>
      <c r="S807">
        <f t="shared" si="1007"/>
        <v>-117.70668616667933</v>
      </c>
      <c r="T807">
        <f t="shared" si="1008"/>
        <v>-0.11770668616667933</v>
      </c>
    </row>
    <row r="808" spans="1:20" x14ac:dyDescent="0.25">
      <c r="A808" s="5">
        <v>43785</v>
      </c>
      <c r="B808">
        <v>0.76949999999999996</v>
      </c>
      <c r="C808">
        <v>0.77359999999999995</v>
      </c>
      <c r="D808">
        <v>0.75960000000000005</v>
      </c>
      <c r="E808">
        <v>0.7671</v>
      </c>
      <c r="F808">
        <v>115455.31</v>
      </c>
      <c r="G808">
        <v>0</v>
      </c>
      <c r="L808" t="s">
        <v>8</v>
      </c>
      <c r="M808" t="s">
        <v>7</v>
      </c>
      <c r="N808" t="s">
        <v>7</v>
      </c>
      <c r="P808">
        <f t="shared" si="1004"/>
        <v>7.1428571428571994E-2</v>
      </c>
      <c r="Q808">
        <f t="shared" si="1005"/>
        <v>8246.8078571429214</v>
      </c>
      <c r="R808">
        <f t="shared" si="1006"/>
        <v>-11739282.213560589</v>
      </c>
      <c r="S808">
        <f t="shared" si="1007"/>
        <v>-117.39282213560588</v>
      </c>
      <c r="T808">
        <f t="shared" si="1008"/>
        <v>-0.11739282213560588</v>
      </c>
    </row>
    <row r="809" spans="1:20" x14ac:dyDescent="0.25">
      <c r="A809" s="5">
        <v>43784</v>
      </c>
      <c r="B809">
        <v>0.77229999999999999</v>
      </c>
      <c r="C809">
        <v>0.80500000000000005</v>
      </c>
      <c r="D809">
        <v>0.76</v>
      </c>
      <c r="E809">
        <v>0.77080000000000004</v>
      </c>
      <c r="F809">
        <v>325139.76</v>
      </c>
      <c r="G809">
        <v>0</v>
      </c>
      <c r="L809" t="s">
        <v>8</v>
      </c>
      <c r="M809" t="s">
        <v>7</v>
      </c>
      <c r="N809" t="s">
        <v>7</v>
      </c>
      <c r="P809">
        <f t="shared" si="1004"/>
        <v>-0.51999999999999902</v>
      </c>
      <c r="Q809">
        <f t="shared" si="1005"/>
        <v>-169072.67519999968</v>
      </c>
      <c r="R809">
        <f t="shared" si="1006"/>
        <v>-11747529.021417731</v>
      </c>
      <c r="S809">
        <f t="shared" si="1007"/>
        <v>-117.47529021417732</v>
      </c>
      <c r="T809">
        <f t="shared" si="1008"/>
        <v>-0.11747529021417732</v>
      </c>
    </row>
    <row r="810" spans="1:20" x14ac:dyDescent="0.25">
      <c r="A810" s="5">
        <v>43783</v>
      </c>
      <c r="B810">
        <v>0.78900000000000003</v>
      </c>
      <c r="C810">
        <v>0.78979999999999995</v>
      </c>
      <c r="D810">
        <v>0.75749999999999995</v>
      </c>
      <c r="E810">
        <v>0.77229999999999999</v>
      </c>
      <c r="F810">
        <v>130373.86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-8.3591331269347521E-2</v>
      </c>
      <c r="Q810">
        <f t="shared" si="1005"/>
        <v>-10898.124520123536</v>
      </c>
      <c r="R810">
        <f t="shared" si="1006"/>
        <v>-11578456.346217731</v>
      </c>
      <c r="S810">
        <f t="shared" si="1007"/>
        <v>-115.78456346217732</v>
      </c>
      <c r="T810">
        <f t="shared" si="1008"/>
        <v>-0.11578456346217732</v>
      </c>
    </row>
    <row r="811" spans="1:20" x14ac:dyDescent="0.25">
      <c r="A811" s="5">
        <v>43782</v>
      </c>
      <c r="B811">
        <v>0.77600000000000002</v>
      </c>
      <c r="C811">
        <v>0.79479999999999995</v>
      </c>
      <c r="D811">
        <v>0.76649999999999996</v>
      </c>
      <c r="E811">
        <v>0.78900000000000003</v>
      </c>
      <c r="F811">
        <v>203196.78</v>
      </c>
      <c r="G811">
        <v>0</v>
      </c>
      <c r="L811" t="s">
        <v>8</v>
      </c>
      <c r="M811" t="s">
        <v>7</v>
      </c>
      <c r="N811" t="s">
        <v>7</v>
      </c>
      <c r="P811">
        <f t="shared" si="1004"/>
        <v>0.59010600706714356</v>
      </c>
      <c r="Q811">
        <f t="shared" si="1005"/>
        <v>119907.64049470081</v>
      </c>
      <c r="R811">
        <f t="shared" si="1006"/>
        <v>-11567558.221697608</v>
      </c>
      <c r="S811">
        <f t="shared" si="1007"/>
        <v>-115.67558221697608</v>
      </c>
      <c r="T811">
        <f t="shared" si="1008"/>
        <v>-0.11567558221697608</v>
      </c>
    </row>
    <row r="812" spans="1:20" x14ac:dyDescent="0.25">
      <c r="A812" s="5">
        <v>43781</v>
      </c>
      <c r="B812">
        <v>0.7823</v>
      </c>
      <c r="C812">
        <v>0.78580000000000005</v>
      </c>
      <c r="D812">
        <v>0.76300000000000001</v>
      </c>
      <c r="E812">
        <v>0.77500000000000002</v>
      </c>
      <c r="F812">
        <v>132458.25</v>
      </c>
      <c r="G812">
        <v>0</v>
      </c>
      <c r="L812" t="s">
        <v>8</v>
      </c>
      <c r="M812" t="s">
        <v>7</v>
      </c>
      <c r="N812" t="s">
        <v>7</v>
      </c>
      <c r="P812">
        <f t="shared" si="1004"/>
        <v>5.2631578947367398E-2</v>
      </c>
      <c r="Q812">
        <f t="shared" si="1005"/>
        <v>6971.4868421051278</v>
      </c>
      <c r="R812">
        <f t="shared" si="1006"/>
        <v>-11687465.862192309</v>
      </c>
      <c r="S812">
        <f t="shared" si="1007"/>
        <v>-116.87465862192309</v>
      </c>
      <c r="T812">
        <f t="shared" si="1008"/>
        <v>-0.11687465862192309</v>
      </c>
    </row>
    <row r="813" spans="1:20" x14ac:dyDescent="0.25">
      <c r="A813" s="5">
        <v>43780</v>
      </c>
      <c r="B813">
        <v>0.80100000000000005</v>
      </c>
      <c r="C813">
        <v>0.80159999999999998</v>
      </c>
      <c r="D813">
        <v>0.76580000000000004</v>
      </c>
      <c r="E813">
        <v>0.7823</v>
      </c>
      <c r="F813">
        <v>128666.3</v>
      </c>
      <c r="G813">
        <v>0</v>
      </c>
      <c r="L813" t="s">
        <v>8</v>
      </c>
      <c r="M813" t="s">
        <v>7</v>
      </c>
      <c r="N813" t="s">
        <v>7</v>
      </c>
      <c r="P813">
        <f t="shared" si="1004"/>
        <v>-7.8212290502794116E-2</v>
      </c>
      <c r="Q813">
        <f t="shared" si="1005"/>
        <v>-10063.286033519658</v>
      </c>
      <c r="R813">
        <f t="shared" si="1006"/>
        <v>-11694437.349034414</v>
      </c>
      <c r="S813">
        <f t="shared" si="1007"/>
        <v>-116.94437349034413</v>
      </c>
      <c r="T813">
        <f t="shared" si="1008"/>
        <v>-0.11694437349034413</v>
      </c>
    </row>
    <row r="814" spans="1:20" x14ac:dyDescent="0.25">
      <c r="A814" s="5">
        <v>43779</v>
      </c>
      <c r="B814">
        <v>0.76849999999999996</v>
      </c>
      <c r="C814">
        <v>0.80679999999999996</v>
      </c>
      <c r="D814">
        <v>0.76380000000000003</v>
      </c>
      <c r="E814">
        <v>0.79769999999999996</v>
      </c>
      <c r="F814">
        <v>257535.67</v>
      </c>
      <c r="G814">
        <v>0</v>
      </c>
      <c r="L814" t="s">
        <v>8</v>
      </c>
      <c r="M814" t="s">
        <v>7</v>
      </c>
      <c r="N814" t="s">
        <v>7</v>
      </c>
      <c r="P814">
        <f t="shared" si="1004"/>
        <v>0.57674418604651101</v>
      </c>
      <c r="Q814">
        <f t="shared" si="1005"/>
        <v>148532.20037209286</v>
      </c>
      <c r="R814">
        <f t="shared" si="1006"/>
        <v>-11684374.063000893</v>
      </c>
      <c r="S814">
        <f t="shared" si="1007"/>
        <v>-116.84374063000894</v>
      </c>
      <c r="T814">
        <f t="shared" si="1008"/>
        <v>-0.11684374063000894</v>
      </c>
    </row>
    <row r="815" spans="1:20" x14ac:dyDescent="0.25">
      <c r="A815" s="5">
        <v>43778</v>
      </c>
      <c r="B815">
        <v>0.77139999999999997</v>
      </c>
      <c r="C815">
        <v>0.77980000000000005</v>
      </c>
      <c r="D815">
        <v>0.7591</v>
      </c>
      <c r="E815">
        <v>0.77100000000000002</v>
      </c>
      <c r="F815">
        <v>277918.77</v>
      </c>
      <c r="G815">
        <v>0</v>
      </c>
      <c r="L815" t="s">
        <v>7</v>
      </c>
      <c r="M815" t="s">
        <v>7</v>
      </c>
      <c r="N815" t="s">
        <v>7</v>
      </c>
      <c r="P815">
        <f t="shared" si="1004"/>
        <v>0.14975845410627942</v>
      </c>
      <c r="Q815">
        <f t="shared" si="1005"/>
        <v>41620.685362318625</v>
      </c>
      <c r="R815">
        <f t="shared" si="1006"/>
        <v>-11832906.263372986</v>
      </c>
      <c r="S815">
        <f t="shared" si="1007"/>
        <v>-118.32906263372986</v>
      </c>
      <c r="T815">
        <f t="shared" si="1008"/>
        <v>-0.11832906263372986</v>
      </c>
    </row>
    <row r="816" spans="1:20" x14ac:dyDescent="0.25">
      <c r="A816" s="5">
        <v>43777</v>
      </c>
      <c r="B816">
        <v>0.80759999999999998</v>
      </c>
      <c r="C816">
        <v>0.81830000000000003</v>
      </c>
      <c r="D816">
        <v>0.746</v>
      </c>
      <c r="E816">
        <v>0.77370000000000005</v>
      </c>
      <c r="F816">
        <v>388404.49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-0.23374827109266816</v>
      </c>
      <c r="Q816">
        <f t="shared" si="1005"/>
        <v>-90788.878022129516</v>
      </c>
      <c r="R816">
        <f t="shared" si="1006"/>
        <v>-11874526.948735304</v>
      </c>
      <c r="S816">
        <f t="shared" si="1007"/>
        <v>-118.74526948735304</v>
      </c>
      <c r="T816">
        <f t="shared" si="1008"/>
        <v>-0.11874526948735305</v>
      </c>
    </row>
    <row r="817" spans="1:20" x14ac:dyDescent="0.25">
      <c r="A817" s="5">
        <v>43776</v>
      </c>
      <c r="B817">
        <v>0.81399999999999995</v>
      </c>
      <c r="C817">
        <v>0.83189999999999997</v>
      </c>
      <c r="D817">
        <v>0.7903</v>
      </c>
      <c r="E817">
        <v>0.80759999999999998</v>
      </c>
      <c r="F817">
        <v>291722.65000000002</v>
      </c>
      <c r="G817">
        <v>0</v>
      </c>
      <c r="L817" t="s">
        <v>8</v>
      </c>
      <c r="M817" t="s">
        <v>8</v>
      </c>
      <c r="N817" t="s">
        <v>7</v>
      </c>
      <c r="P817">
        <f t="shared" si="1004"/>
        <v>-0.16826923076923103</v>
      </c>
      <c r="Q817">
        <f t="shared" si="1005"/>
        <v>-49087.945913461619</v>
      </c>
      <c r="R817">
        <f t="shared" si="1006"/>
        <v>-11783738.070713175</v>
      </c>
      <c r="S817">
        <f t="shared" si="1007"/>
        <v>-117.83738070713176</v>
      </c>
      <c r="T817">
        <f t="shared" si="1008"/>
        <v>-0.11783738070713176</v>
      </c>
    </row>
    <row r="818" spans="1:20" x14ac:dyDescent="0.25">
      <c r="A818" s="5">
        <v>43775</v>
      </c>
      <c r="B818">
        <v>0.82599999999999996</v>
      </c>
      <c r="C818">
        <v>0.83250000000000002</v>
      </c>
      <c r="D818">
        <v>0.80559999999999998</v>
      </c>
      <c r="E818">
        <v>0.81379999999999997</v>
      </c>
      <c r="F818">
        <v>341368.4</v>
      </c>
      <c r="G818">
        <v>0</v>
      </c>
      <c r="L818" t="s">
        <v>8</v>
      </c>
      <c r="M818" t="s">
        <v>8</v>
      </c>
      <c r="N818" t="s">
        <v>7</v>
      </c>
      <c r="P818">
        <f t="shared" si="1004"/>
        <v>-0.39033457249070824</v>
      </c>
      <c r="Q818">
        <f t="shared" si="1005"/>
        <v>-133247.8884758371</v>
      </c>
      <c r="R818">
        <f t="shared" si="1006"/>
        <v>-11734650.124799713</v>
      </c>
      <c r="S818">
        <f t="shared" si="1007"/>
        <v>-117.34650124799714</v>
      </c>
      <c r="T818">
        <f t="shared" si="1008"/>
        <v>-0.11734650124799714</v>
      </c>
    </row>
    <row r="819" spans="1:20" x14ac:dyDescent="0.25">
      <c r="A819" s="5">
        <v>43774</v>
      </c>
      <c r="B819">
        <v>0.8085</v>
      </c>
      <c r="C819">
        <v>0.83989999999999998</v>
      </c>
      <c r="D819">
        <v>0.79179999999999995</v>
      </c>
      <c r="E819">
        <v>0.8256</v>
      </c>
      <c r="F819">
        <v>449478.13</v>
      </c>
      <c r="G819">
        <v>0</v>
      </c>
      <c r="L819" t="s">
        <v>8</v>
      </c>
      <c r="M819" t="s">
        <v>8</v>
      </c>
      <c r="N819" t="s">
        <v>7</v>
      </c>
      <c r="P819">
        <f t="shared" si="1004"/>
        <v>0.40540540540540665</v>
      </c>
      <c r="Q819">
        <f t="shared" si="1005"/>
        <v>182220.86351351408</v>
      </c>
      <c r="R819">
        <f t="shared" si="1006"/>
        <v>-11601402.236323876</v>
      </c>
      <c r="S819">
        <f t="shared" si="1007"/>
        <v>-116.01402236323877</v>
      </c>
      <c r="T819">
        <f t="shared" si="1008"/>
        <v>-0.11601402236323877</v>
      </c>
    </row>
    <row r="820" spans="1:20" x14ac:dyDescent="0.25">
      <c r="A820" s="5">
        <v>43773</v>
      </c>
      <c r="B820">
        <v>0.79320000000000002</v>
      </c>
      <c r="C820">
        <v>0.81759999999999999</v>
      </c>
      <c r="D820">
        <v>0.78720000000000001</v>
      </c>
      <c r="E820">
        <v>0.8085</v>
      </c>
      <c r="F820">
        <v>294342.48</v>
      </c>
      <c r="G820">
        <v>0</v>
      </c>
      <c r="L820" t="s">
        <v>7</v>
      </c>
      <c r="M820" t="s">
        <v>8</v>
      </c>
      <c r="N820" t="s">
        <v>7</v>
      </c>
      <c r="P820">
        <f t="shared" si="1004"/>
        <v>0.40131578947368407</v>
      </c>
      <c r="Q820">
        <f t="shared" si="1005"/>
        <v>118124.28473684206</v>
      </c>
      <c r="R820">
        <f t="shared" si="1006"/>
        <v>-11783623.099837391</v>
      </c>
      <c r="S820">
        <f t="shared" si="1007"/>
        <v>-117.83623099837391</v>
      </c>
      <c r="T820">
        <f t="shared" si="1008"/>
        <v>-0.11783623099837391</v>
      </c>
    </row>
    <row r="821" spans="1:20" x14ac:dyDescent="0.25">
      <c r="A821" s="5">
        <v>43772</v>
      </c>
      <c r="B821">
        <v>0.8024</v>
      </c>
      <c r="C821">
        <v>0.80720000000000003</v>
      </c>
      <c r="D821">
        <v>0.77869999999999995</v>
      </c>
      <c r="E821">
        <v>0.79320000000000002</v>
      </c>
      <c r="F821">
        <v>153211.35</v>
      </c>
      <c r="G821">
        <v>0</v>
      </c>
      <c r="L821" t="s">
        <v>7</v>
      </c>
      <c r="M821" t="s">
        <v>8</v>
      </c>
      <c r="N821" t="s">
        <v>7</v>
      </c>
      <c r="P821">
        <f t="shared" si="1004"/>
        <v>1.7543859649124721E-2</v>
      </c>
      <c r="Q821">
        <f t="shared" si="1005"/>
        <v>2687.9184210529252</v>
      </c>
      <c r="R821">
        <f t="shared" si="1006"/>
        <v>-11901747.384574233</v>
      </c>
      <c r="S821">
        <f t="shared" si="1007"/>
        <v>-119.01747384574233</v>
      </c>
      <c r="T821">
        <f t="shared" si="1008"/>
        <v>-0.11901747384574234</v>
      </c>
    </row>
    <row r="822" spans="1:20" x14ac:dyDescent="0.25">
      <c r="A822" s="5">
        <v>43771</v>
      </c>
      <c r="B822">
        <v>0.79200000000000004</v>
      </c>
      <c r="C822">
        <v>0.80410000000000004</v>
      </c>
      <c r="D822">
        <v>0.78949999999999998</v>
      </c>
      <c r="E822">
        <v>0.8</v>
      </c>
      <c r="F822">
        <v>183260.08</v>
      </c>
      <c r="G822">
        <v>0</v>
      </c>
      <c r="L822" t="s">
        <v>7</v>
      </c>
      <c r="M822" t="s">
        <v>8</v>
      </c>
      <c r="N822" t="s">
        <v>7</v>
      </c>
      <c r="P822">
        <f t="shared" si="1004"/>
        <v>0.43835616438356489</v>
      </c>
      <c r="Q822">
        <f t="shared" si="1005"/>
        <v>80333.185753425249</v>
      </c>
      <c r="R822">
        <f t="shared" si="1006"/>
        <v>-11904435.302995285</v>
      </c>
      <c r="S822">
        <f t="shared" si="1007"/>
        <v>-119.04435302995284</v>
      </c>
      <c r="T822">
        <f t="shared" si="1008"/>
        <v>-0.11904435302995285</v>
      </c>
    </row>
    <row r="823" spans="1:20" x14ac:dyDescent="0.25">
      <c r="A823" s="5">
        <v>43770</v>
      </c>
      <c r="B823">
        <v>0.77810000000000001</v>
      </c>
      <c r="C823">
        <v>0.79430000000000001</v>
      </c>
      <c r="D823">
        <v>0.76959999999999995</v>
      </c>
      <c r="E823">
        <v>0.79200000000000004</v>
      </c>
      <c r="F823">
        <v>148799.97</v>
      </c>
      <c r="G823">
        <v>0</v>
      </c>
      <c r="L823" t="s">
        <v>7</v>
      </c>
      <c r="M823" t="s">
        <v>8</v>
      </c>
      <c r="N823" t="s">
        <v>7</v>
      </c>
      <c r="P823">
        <f t="shared" si="1004"/>
        <v>0.81376518218623772</v>
      </c>
      <c r="Q823">
        <f t="shared" si="1005"/>
        <v>121088.23469635671</v>
      </c>
      <c r="R823">
        <f t="shared" si="1006"/>
        <v>-11984768.488748711</v>
      </c>
      <c r="S823">
        <f t="shared" si="1007"/>
        <v>-119.84768488748711</v>
      </c>
      <c r="T823">
        <f t="shared" si="1008"/>
        <v>-0.11984768488748711</v>
      </c>
    </row>
    <row r="824" spans="1:20" x14ac:dyDescent="0.25">
      <c r="A824" s="5">
        <v>43769</v>
      </c>
      <c r="B824">
        <v>0.78129999999999999</v>
      </c>
      <c r="C824">
        <v>0.79310000000000003</v>
      </c>
      <c r="D824">
        <v>0.76080000000000003</v>
      </c>
      <c r="E824">
        <v>0.78010000000000002</v>
      </c>
      <c r="F824">
        <v>313314.65000000002</v>
      </c>
      <c r="G824">
        <v>0</v>
      </c>
      <c r="L824" t="s">
        <v>7</v>
      </c>
      <c r="M824" t="s">
        <v>8</v>
      </c>
      <c r="N824" t="s">
        <v>7</v>
      </c>
      <c r="P824">
        <f t="shared" si="1004"/>
        <v>0.19504643962848214</v>
      </c>
      <c r="Q824">
        <f t="shared" si="1005"/>
        <v>61110.906965944014</v>
      </c>
      <c r="R824">
        <f t="shared" si="1006"/>
        <v>-12105856.723445067</v>
      </c>
      <c r="S824">
        <f t="shared" si="1007"/>
        <v>-121.05856723445068</v>
      </c>
      <c r="T824">
        <f t="shared" si="1008"/>
        <v>-0.12105856723445067</v>
      </c>
    </row>
    <row r="825" spans="1:20" x14ac:dyDescent="0.25">
      <c r="A825" s="5">
        <v>43768</v>
      </c>
      <c r="B825">
        <v>0.8236</v>
      </c>
      <c r="C825">
        <v>0.82569999999999999</v>
      </c>
      <c r="D825">
        <v>0.77059999999999995</v>
      </c>
      <c r="E825">
        <v>0.78129999999999999</v>
      </c>
      <c r="F825">
        <v>356445.18</v>
      </c>
      <c r="G825">
        <v>0</v>
      </c>
      <c r="L825" t="s">
        <v>7</v>
      </c>
      <c r="M825" t="s">
        <v>8</v>
      </c>
      <c r="N825" t="s">
        <v>7</v>
      </c>
      <c r="P825">
        <f t="shared" si="1004"/>
        <v>-0.61161524500907316</v>
      </c>
      <c r="Q825">
        <f t="shared" si="1005"/>
        <v>-218007.30609800317</v>
      </c>
      <c r="R825">
        <f t="shared" si="1006"/>
        <v>-12166967.630411012</v>
      </c>
      <c r="S825">
        <f t="shared" si="1007"/>
        <v>-121.66967630411013</v>
      </c>
      <c r="T825">
        <f t="shared" si="1008"/>
        <v>-0.12166967630411013</v>
      </c>
    </row>
    <row r="826" spans="1:20" x14ac:dyDescent="0.25">
      <c r="A826" s="5">
        <v>43767</v>
      </c>
      <c r="B826">
        <v>0.80579999999999996</v>
      </c>
      <c r="C826">
        <v>0.879</v>
      </c>
      <c r="D826">
        <v>0.80320000000000003</v>
      </c>
      <c r="E826">
        <v>0.8236</v>
      </c>
      <c r="F826">
        <v>1002397.48</v>
      </c>
      <c r="G826">
        <v>0</v>
      </c>
      <c r="L826" t="s">
        <v>8</v>
      </c>
      <c r="M826" t="s">
        <v>8</v>
      </c>
      <c r="N826" t="s">
        <v>7</v>
      </c>
      <c r="P826">
        <f t="shared" si="1004"/>
        <v>-0.46174142480211133</v>
      </c>
      <c r="Q826">
        <f t="shared" si="1005"/>
        <v>-462848.44063324592</v>
      </c>
      <c r="R826">
        <f t="shared" si="1006"/>
        <v>-11948960.324313009</v>
      </c>
      <c r="S826">
        <f t="shared" si="1007"/>
        <v>-119.48960324313009</v>
      </c>
      <c r="T826">
        <f t="shared" si="1008"/>
        <v>-0.11948960324313009</v>
      </c>
    </row>
    <row r="827" spans="1:20" x14ac:dyDescent="0.25">
      <c r="A827" s="5">
        <v>43766</v>
      </c>
      <c r="B827">
        <v>0.79590000000000005</v>
      </c>
      <c r="C827">
        <v>0.82809999999999995</v>
      </c>
      <c r="D827">
        <v>0.77590000000000003</v>
      </c>
      <c r="E827">
        <v>0.80579999999999996</v>
      </c>
      <c r="F827">
        <v>887365.73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0.14559386973179986</v>
      </c>
      <c r="Q827">
        <f t="shared" si="1005"/>
        <v>129195.01049808349</v>
      </c>
      <c r="R827">
        <f t="shared" si="1006"/>
        <v>-11486111.883679762</v>
      </c>
      <c r="S827">
        <f t="shared" si="1007"/>
        <v>-114.86111883679763</v>
      </c>
      <c r="T827">
        <f t="shared" si="1008"/>
        <v>-0.11486111883679763</v>
      </c>
    </row>
    <row r="828" spans="1:20" x14ac:dyDescent="0.25">
      <c r="A828" s="5">
        <v>43765</v>
      </c>
      <c r="B828">
        <v>0.75160000000000005</v>
      </c>
      <c r="C828">
        <v>0.82779999999999998</v>
      </c>
      <c r="D828">
        <v>0.73799999999999999</v>
      </c>
      <c r="E828">
        <v>0.79559999999999997</v>
      </c>
      <c r="F828">
        <v>469987.2</v>
      </c>
      <c r="G828">
        <v>0</v>
      </c>
      <c r="L828" t="s">
        <v>8</v>
      </c>
      <c r="M828" t="s">
        <v>8</v>
      </c>
      <c r="N828" t="s">
        <v>7</v>
      </c>
      <c r="P828">
        <f t="shared" si="1004"/>
        <v>0.28285077951002208</v>
      </c>
      <c r="Q828">
        <f t="shared" si="1005"/>
        <v>132936.24587973265</v>
      </c>
      <c r="R828">
        <f t="shared" si="1006"/>
        <v>-11615306.894177847</v>
      </c>
      <c r="S828">
        <f t="shared" si="1007"/>
        <v>-116.15306894177847</v>
      </c>
      <c r="T828">
        <f t="shared" si="1008"/>
        <v>-0.11615306894177847</v>
      </c>
    </row>
    <row r="829" spans="1:20" x14ac:dyDescent="0.25">
      <c r="A829" s="5">
        <v>43764</v>
      </c>
      <c r="B829">
        <v>0.77049999999999996</v>
      </c>
      <c r="C829">
        <v>0.81</v>
      </c>
      <c r="D829">
        <v>0.7258</v>
      </c>
      <c r="E829">
        <v>0.75129999999999997</v>
      </c>
      <c r="F829">
        <v>575177.06999999995</v>
      </c>
      <c r="G829">
        <v>0</v>
      </c>
      <c r="L829" t="s">
        <v>8</v>
      </c>
      <c r="M829" t="s">
        <v>7</v>
      </c>
      <c r="N829" t="s">
        <v>7</v>
      </c>
      <c r="P829">
        <f t="shared" si="1004"/>
        <v>-0.39429928741092751</v>
      </c>
      <c r="Q829">
        <f t="shared" si="1005"/>
        <v>-226791.90883610514</v>
      </c>
      <c r="R829">
        <f t="shared" si="1006"/>
        <v>-11748243.140057579</v>
      </c>
      <c r="S829">
        <f t="shared" si="1007"/>
        <v>-117.48243140057579</v>
      </c>
      <c r="T829">
        <f t="shared" si="1008"/>
        <v>-0.11748243140057579</v>
      </c>
    </row>
    <row r="830" spans="1:20" x14ac:dyDescent="0.25">
      <c r="A830" s="5">
        <v>43763</v>
      </c>
      <c r="B830">
        <v>0.71619999999999995</v>
      </c>
      <c r="C830">
        <v>0.77100000000000002</v>
      </c>
      <c r="D830">
        <v>0.70940000000000003</v>
      </c>
      <c r="E830">
        <v>0.77049999999999996</v>
      </c>
      <c r="F830">
        <v>518890.21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0.98376623376623196</v>
      </c>
      <c r="Q830">
        <f t="shared" si="1005"/>
        <v>510466.66762986919</v>
      </c>
      <c r="R830">
        <f t="shared" si="1006"/>
        <v>-11521451.231221473</v>
      </c>
      <c r="S830">
        <f t="shared" si="1007"/>
        <v>-115.21451231221472</v>
      </c>
      <c r="T830">
        <f t="shared" si="1008"/>
        <v>-0.11521451231221472</v>
      </c>
    </row>
    <row r="831" spans="1:20" x14ac:dyDescent="0.25">
      <c r="A831" s="5">
        <v>43762</v>
      </c>
      <c r="B831">
        <v>0.71450000000000002</v>
      </c>
      <c r="C831">
        <v>0.72270000000000001</v>
      </c>
      <c r="D831">
        <v>0.69420000000000004</v>
      </c>
      <c r="E831">
        <v>0.71899999999999997</v>
      </c>
      <c r="F831">
        <v>379517.31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0.74035087719297965</v>
      </c>
      <c r="Q831">
        <f t="shared" ref="Q831:Q894" si="1010">F831*P831</f>
        <v>280975.97336841997</v>
      </c>
      <c r="R831">
        <f t="shared" ref="R831:R894" si="1011">R832+Q831</f>
        <v>-12031917.898851342</v>
      </c>
      <c r="S831">
        <f t="shared" ref="S831:S894" si="1012">R831/100000</f>
        <v>-120.31917898851343</v>
      </c>
      <c r="T831">
        <f t="shared" ref="T831:T894" si="1013">S831/1000</f>
        <v>-0.12031917898851342</v>
      </c>
    </row>
    <row r="832" spans="1:20" x14ac:dyDescent="0.25">
      <c r="A832" s="5">
        <v>43761</v>
      </c>
      <c r="B832">
        <v>0.79159999999999997</v>
      </c>
      <c r="C832">
        <v>0.79300000000000004</v>
      </c>
      <c r="D832">
        <v>0.6905</v>
      </c>
      <c r="E832">
        <v>0.71870000000000001</v>
      </c>
      <c r="F832">
        <v>449354.04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-0.44975609756097573</v>
      </c>
      <c r="Q832">
        <f t="shared" si="1010"/>
        <v>-202099.71945365859</v>
      </c>
      <c r="R832">
        <f t="shared" si="1011"/>
        <v>-12312893.872219762</v>
      </c>
      <c r="S832">
        <f t="shared" si="1012"/>
        <v>-123.12893872219762</v>
      </c>
      <c r="T832">
        <f t="shared" si="1013"/>
        <v>-0.12312893872219761</v>
      </c>
    </row>
    <row r="833" spans="1:20" x14ac:dyDescent="0.25">
      <c r="A833" s="5">
        <v>43760</v>
      </c>
      <c r="B833">
        <v>0.81</v>
      </c>
      <c r="C833">
        <v>0.83109999999999995</v>
      </c>
      <c r="D833">
        <v>0.79159999999999997</v>
      </c>
      <c r="E833">
        <v>0.79600000000000004</v>
      </c>
      <c r="F833">
        <v>280446.32</v>
      </c>
      <c r="G833">
        <v>0</v>
      </c>
      <c r="L833" t="s">
        <v>7</v>
      </c>
      <c r="M833" t="s">
        <v>7</v>
      </c>
      <c r="N833" t="s">
        <v>7</v>
      </c>
      <c r="P833">
        <f t="shared" si="1009"/>
        <v>-0.77721518987341398</v>
      </c>
      <c r="Q833">
        <f t="shared" si="1010"/>
        <v>-217967.13984810023</v>
      </c>
      <c r="R833">
        <f t="shared" si="1011"/>
        <v>-12110794.152766103</v>
      </c>
      <c r="S833">
        <f t="shared" si="1012"/>
        <v>-121.10794152766103</v>
      </c>
      <c r="T833">
        <f t="shared" si="1013"/>
        <v>-0.12110794152766102</v>
      </c>
    </row>
    <row r="834" spans="1:20" x14ac:dyDescent="0.25">
      <c r="A834" s="5">
        <v>43759</v>
      </c>
      <c r="B834">
        <v>0.80820000000000003</v>
      </c>
      <c r="C834">
        <v>0.81979999999999997</v>
      </c>
      <c r="D834">
        <v>0.78879999999999995</v>
      </c>
      <c r="E834">
        <v>0.81</v>
      </c>
      <c r="F834">
        <v>188355.33</v>
      </c>
      <c r="G834">
        <v>0</v>
      </c>
      <c r="L834" t="s">
        <v>7</v>
      </c>
      <c r="M834" t="s">
        <v>7</v>
      </c>
      <c r="N834" t="s">
        <v>7</v>
      </c>
      <c r="P834">
        <f t="shared" si="1009"/>
        <v>0.36774193548387668</v>
      </c>
      <c r="Q834">
        <f t="shared" si="1010"/>
        <v>69266.153612904294</v>
      </c>
      <c r="R834">
        <f t="shared" si="1011"/>
        <v>-11892827.012918003</v>
      </c>
      <c r="S834">
        <f t="shared" si="1012"/>
        <v>-118.92827012918004</v>
      </c>
      <c r="T834">
        <f t="shared" si="1013"/>
        <v>-0.11892827012918003</v>
      </c>
    </row>
    <row r="835" spans="1:20" x14ac:dyDescent="0.25">
      <c r="A835" s="5">
        <v>43758</v>
      </c>
      <c r="B835">
        <v>0.79879999999999995</v>
      </c>
      <c r="C835">
        <v>0.81499999999999995</v>
      </c>
      <c r="D835">
        <v>0.78080000000000005</v>
      </c>
      <c r="E835">
        <v>0.81220000000000003</v>
      </c>
      <c r="F835">
        <v>261891.09</v>
      </c>
      <c r="G835">
        <v>0</v>
      </c>
      <c r="L835" t="s">
        <v>7</v>
      </c>
      <c r="M835" t="s">
        <v>7</v>
      </c>
      <c r="N835" t="s">
        <v>7</v>
      </c>
      <c r="P835">
        <f t="shared" si="1009"/>
        <v>0.83625730994152503</v>
      </c>
      <c r="Q835">
        <f t="shared" si="1010"/>
        <v>219008.33842105384</v>
      </c>
      <c r="R835">
        <f t="shared" si="1011"/>
        <v>-11962093.166530907</v>
      </c>
      <c r="S835">
        <f t="shared" si="1012"/>
        <v>-119.62093166530907</v>
      </c>
      <c r="T835">
        <f t="shared" si="1013"/>
        <v>-0.11962093166530907</v>
      </c>
    </row>
    <row r="836" spans="1:20" x14ac:dyDescent="0.25">
      <c r="A836" s="5">
        <v>43757</v>
      </c>
      <c r="B836">
        <v>0.80159999999999998</v>
      </c>
      <c r="C836">
        <v>0.81430000000000002</v>
      </c>
      <c r="D836">
        <v>0.78510000000000002</v>
      </c>
      <c r="E836">
        <v>0.79879999999999995</v>
      </c>
      <c r="F836">
        <v>152818.54999999999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-6.1643835616442967E-2</v>
      </c>
      <c r="Q836">
        <f t="shared" si="1010"/>
        <v>-9420.3215753431705</v>
      </c>
      <c r="R836">
        <f t="shared" si="1011"/>
        <v>-12181101.504951961</v>
      </c>
      <c r="S836">
        <f t="shared" si="1012"/>
        <v>-121.81101504951961</v>
      </c>
      <c r="T836">
        <f t="shared" si="1013"/>
        <v>-0.12181101504951961</v>
      </c>
    </row>
    <row r="837" spans="1:20" x14ac:dyDescent="0.25">
      <c r="A837" s="5">
        <v>43756</v>
      </c>
      <c r="B837">
        <v>0.83989999999999998</v>
      </c>
      <c r="C837">
        <v>0.84</v>
      </c>
      <c r="D837">
        <v>0.79520000000000002</v>
      </c>
      <c r="E837">
        <v>0.8044</v>
      </c>
      <c r="F837">
        <v>228609.44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-0.58928571428571441</v>
      </c>
      <c r="Q837">
        <f t="shared" si="1010"/>
        <v>-134716.27714285717</v>
      </c>
      <c r="R837">
        <f t="shared" si="1011"/>
        <v>-12171681.183376618</v>
      </c>
      <c r="S837">
        <f t="shared" si="1012"/>
        <v>-121.71681183376617</v>
      </c>
      <c r="T837">
        <f t="shared" si="1013"/>
        <v>-0.12171681183376618</v>
      </c>
    </row>
    <row r="838" spans="1:20" x14ac:dyDescent="0.25">
      <c r="A838" s="5">
        <v>43755</v>
      </c>
      <c r="B838">
        <v>0.81659999999999999</v>
      </c>
      <c r="C838">
        <v>0.84299999999999997</v>
      </c>
      <c r="D838">
        <v>0.81010000000000004</v>
      </c>
      <c r="E838">
        <v>0.83799999999999997</v>
      </c>
      <c r="F838">
        <v>188341.85</v>
      </c>
      <c r="G838">
        <v>0</v>
      </c>
      <c r="L838" t="s">
        <v>7</v>
      </c>
      <c r="M838" t="s">
        <v>7</v>
      </c>
      <c r="N838" t="s">
        <v>7</v>
      </c>
      <c r="P838">
        <f t="shared" si="1009"/>
        <v>0.69604863221884405</v>
      </c>
      <c r="Q838">
        <f t="shared" si="1010"/>
        <v>131095.08708206669</v>
      </c>
      <c r="R838">
        <f t="shared" si="1011"/>
        <v>-12036964.906233761</v>
      </c>
      <c r="S838">
        <f t="shared" si="1012"/>
        <v>-120.36964906233761</v>
      </c>
      <c r="T838">
        <f t="shared" si="1013"/>
        <v>-0.12036964906233762</v>
      </c>
    </row>
    <row r="839" spans="1:20" x14ac:dyDescent="0.25">
      <c r="A839" s="5">
        <v>43754</v>
      </c>
      <c r="B839">
        <v>0.85340000000000005</v>
      </c>
      <c r="C839">
        <v>0.85699999999999998</v>
      </c>
      <c r="D839">
        <v>0.79520000000000002</v>
      </c>
      <c r="E839">
        <v>0.81850000000000001</v>
      </c>
      <c r="F839">
        <v>378461.47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-0.2459546925566343</v>
      </c>
      <c r="Q839">
        <f t="shared" si="1010"/>
        <v>-93084.374498381861</v>
      </c>
      <c r="R839">
        <f t="shared" si="1011"/>
        <v>-12168059.993315829</v>
      </c>
      <c r="S839">
        <f t="shared" si="1012"/>
        <v>-121.68059993315829</v>
      </c>
      <c r="T839">
        <f t="shared" si="1013"/>
        <v>-0.12168059993315829</v>
      </c>
    </row>
    <row r="840" spans="1:20" x14ac:dyDescent="0.25">
      <c r="A840" s="5">
        <v>43753</v>
      </c>
      <c r="B840">
        <v>0.872</v>
      </c>
      <c r="C840">
        <v>0.89690000000000003</v>
      </c>
      <c r="D840">
        <v>0.85309999999999997</v>
      </c>
      <c r="E840">
        <v>0.85809999999999997</v>
      </c>
      <c r="F840">
        <v>643587</v>
      </c>
      <c r="G840">
        <v>0</v>
      </c>
      <c r="L840" t="s">
        <v>8</v>
      </c>
      <c r="M840" t="s">
        <v>8</v>
      </c>
      <c r="N840" t="s">
        <v>7</v>
      </c>
      <c r="P840">
        <f t="shared" si="1009"/>
        <v>-0.7716894977168951</v>
      </c>
      <c r="Q840">
        <f t="shared" si="1010"/>
        <v>-496649.32876712334</v>
      </c>
      <c r="R840">
        <f t="shared" si="1011"/>
        <v>-12074975.618817447</v>
      </c>
      <c r="S840">
        <f t="shared" si="1012"/>
        <v>-120.74975618817447</v>
      </c>
      <c r="T840">
        <f t="shared" si="1013"/>
        <v>-0.12074975618817448</v>
      </c>
    </row>
    <row r="841" spans="1:20" x14ac:dyDescent="0.25">
      <c r="A841" s="5">
        <v>43752</v>
      </c>
      <c r="B841">
        <v>0.83760000000000001</v>
      </c>
      <c r="C841">
        <v>0.88339999999999996</v>
      </c>
      <c r="D841">
        <v>0.83220000000000005</v>
      </c>
      <c r="E841">
        <v>0.872</v>
      </c>
      <c r="F841">
        <v>460595.82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0.55468750000000056</v>
      </c>
      <c r="Q841">
        <f t="shared" si="1010"/>
        <v>255486.74390625025</v>
      </c>
      <c r="R841">
        <f t="shared" si="1011"/>
        <v>-11578326.290050324</v>
      </c>
      <c r="S841">
        <f t="shared" si="1012"/>
        <v>-115.78326290050325</v>
      </c>
      <c r="T841">
        <f t="shared" si="1013"/>
        <v>-0.11578326290050324</v>
      </c>
    </row>
    <row r="842" spans="1:20" x14ac:dyDescent="0.25">
      <c r="A842" s="5">
        <v>43751</v>
      </c>
      <c r="B842">
        <v>0.8427</v>
      </c>
      <c r="C842">
        <v>0.8548</v>
      </c>
      <c r="D842">
        <v>0.83</v>
      </c>
      <c r="E842">
        <v>0.84099999999999997</v>
      </c>
      <c r="F842">
        <v>182581.72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-0.1129032258064524</v>
      </c>
      <c r="Q842">
        <f t="shared" si="1010"/>
        <v>-20614.065161290466</v>
      </c>
      <c r="R842">
        <f t="shared" si="1011"/>
        <v>-11833813.033956574</v>
      </c>
      <c r="S842">
        <f t="shared" si="1012"/>
        <v>-118.33813033956574</v>
      </c>
      <c r="T842">
        <f t="shared" si="1013"/>
        <v>-0.11833813033956574</v>
      </c>
    </row>
    <row r="843" spans="1:20" x14ac:dyDescent="0.25">
      <c r="A843" s="5">
        <v>43750</v>
      </c>
      <c r="B843">
        <v>0.84560000000000002</v>
      </c>
      <c r="C843">
        <v>0.86480000000000001</v>
      </c>
      <c r="D843">
        <v>0.84</v>
      </c>
      <c r="E843">
        <v>0.84640000000000004</v>
      </c>
      <c r="F843">
        <v>118177.04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-0.48387096774193056</v>
      </c>
      <c r="Q843">
        <f t="shared" si="1010"/>
        <v>-57182.438709676833</v>
      </c>
      <c r="R843">
        <f t="shared" si="1011"/>
        <v>-11813198.968795285</v>
      </c>
      <c r="S843">
        <f t="shared" si="1012"/>
        <v>-118.13198968795285</v>
      </c>
      <c r="T843">
        <f t="shared" si="1013"/>
        <v>-0.11813198968795285</v>
      </c>
    </row>
    <row r="844" spans="1:20" x14ac:dyDescent="0.25">
      <c r="A844" s="5">
        <v>43749</v>
      </c>
      <c r="B844">
        <v>0.89990000000000003</v>
      </c>
      <c r="C844">
        <v>0.90510000000000002</v>
      </c>
      <c r="D844">
        <v>0.84</v>
      </c>
      <c r="E844">
        <v>0.84550000000000003</v>
      </c>
      <c r="F844">
        <v>331620.46000000002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-0.83102918586789376</v>
      </c>
      <c r="Q844">
        <f t="shared" si="1010"/>
        <v>-275586.28089093644</v>
      </c>
      <c r="R844">
        <f t="shared" si="1011"/>
        <v>-11756016.530085608</v>
      </c>
      <c r="S844">
        <f t="shared" si="1012"/>
        <v>-117.56016530085608</v>
      </c>
      <c r="T844">
        <f t="shared" si="1013"/>
        <v>-0.11756016530085608</v>
      </c>
    </row>
    <row r="845" spans="1:20" x14ac:dyDescent="0.25">
      <c r="A845" s="5">
        <v>43748</v>
      </c>
      <c r="B845">
        <v>0.92959999999999998</v>
      </c>
      <c r="C845">
        <v>0.98360000000000003</v>
      </c>
      <c r="D845">
        <v>0.89090000000000003</v>
      </c>
      <c r="E845">
        <v>0.9</v>
      </c>
      <c r="F845">
        <v>560994.87</v>
      </c>
      <c r="G845">
        <v>0</v>
      </c>
      <c r="L845" t="s">
        <v>8</v>
      </c>
      <c r="M845" t="s">
        <v>8</v>
      </c>
      <c r="N845" t="s">
        <v>7</v>
      </c>
      <c r="P845">
        <f t="shared" si="1009"/>
        <v>-0.80366774541531827</v>
      </c>
      <c r="Q845">
        <f t="shared" si="1010"/>
        <v>-450853.48236245959</v>
      </c>
      <c r="R845">
        <f t="shared" si="1011"/>
        <v>-11480430.249194672</v>
      </c>
      <c r="S845">
        <f t="shared" si="1012"/>
        <v>-114.80430249194673</v>
      </c>
      <c r="T845">
        <f t="shared" si="1013"/>
        <v>-0.11480430249194673</v>
      </c>
    </row>
    <row r="846" spans="1:20" x14ac:dyDescent="0.25">
      <c r="A846" s="5">
        <v>43747</v>
      </c>
      <c r="B846">
        <v>0.90129999999999999</v>
      </c>
      <c r="C846">
        <v>0.95240000000000002</v>
      </c>
      <c r="D846">
        <v>0.89849999999999997</v>
      </c>
      <c r="E846">
        <v>0.92959999999999998</v>
      </c>
      <c r="F846">
        <v>342752.58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0.15398886827458191</v>
      </c>
      <c r="Q846">
        <f t="shared" si="1010"/>
        <v>52780.0818923931</v>
      </c>
      <c r="R846">
        <f t="shared" si="1011"/>
        <v>-11029576.766832212</v>
      </c>
      <c r="S846">
        <f t="shared" si="1012"/>
        <v>-110.29576766832211</v>
      </c>
      <c r="T846">
        <f t="shared" si="1013"/>
        <v>-0.11029576766832211</v>
      </c>
    </row>
    <row r="847" spans="1:20" x14ac:dyDescent="0.25">
      <c r="A847" s="5">
        <v>43746</v>
      </c>
      <c r="B847">
        <v>0.91180000000000005</v>
      </c>
      <c r="C847">
        <v>0.92979999999999996</v>
      </c>
      <c r="D847">
        <v>0.88759999999999994</v>
      </c>
      <c r="E847">
        <v>0.90329999999999999</v>
      </c>
      <c r="F847">
        <v>268313.03999999998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-0.25592417061611178</v>
      </c>
      <c r="Q847">
        <f t="shared" si="1010"/>
        <v>-68667.792227487618</v>
      </c>
      <c r="R847">
        <f t="shared" si="1011"/>
        <v>-11082356.848724606</v>
      </c>
      <c r="S847">
        <f t="shared" si="1012"/>
        <v>-110.82356848724605</v>
      </c>
      <c r="T847">
        <f t="shared" si="1013"/>
        <v>-0.11082356848724605</v>
      </c>
    </row>
    <row r="848" spans="1:20" x14ac:dyDescent="0.25">
      <c r="A848" s="5">
        <v>43745</v>
      </c>
      <c r="B848">
        <v>0.87170000000000003</v>
      </c>
      <c r="C848">
        <v>0.91900000000000004</v>
      </c>
      <c r="D848">
        <v>0.86750000000000005</v>
      </c>
      <c r="E848">
        <v>0.91510000000000002</v>
      </c>
      <c r="F848">
        <v>126052.21</v>
      </c>
      <c r="G848">
        <v>0</v>
      </c>
      <c r="L848" t="s">
        <v>7</v>
      </c>
      <c r="M848" t="s">
        <v>8</v>
      </c>
      <c r="N848" t="s">
        <v>7</v>
      </c>
      <c r="P848">
        <f t="shared" si="1009"/>
        <v>0.84854368932038771</v>
      </c>
      <c r="Q848">
        <f t="shared" si="1010"/>
        <v>106960.80732038827</v>
      </c>
      <c r="R848">
        <f t="shared" si="1011"/>
        <v>-11013689.056497118</v>
      </c>
      <c r="S848">
        <f t="shared" si="1012"/>
        <v>-110.13689056497118</v>
      </c>
      <c r="T848">
        <f t="shared" si="1013"/>
        <v>-0.11013689056497118</v>
      </c>
    </row>
    <row r="849" spans="1:20" x14ac:dyDescent="0.25">
      <c r="A849" s="5">
        <v>43744</v>
      </c>
      <c r="B849">
        <v>0.91910000000000003</v>
      </c>
      <c r="C849">
        <v>0.9325</v>
      </c>
      <c r="D849">
        <v>0.86770000000000003</v>
      </c>
      <c r="E849">
        <v>0.87129999999999996</v>
      </c>
      <c r="F849">
        <v>171339.02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-0.88888888888889084</v>
      </c>
      <c r="Q849">
        <f t="shared" si="1010"/>
        <v>-152301.35111111143</v>
      </c>
      <c r="R849">
        <f t="shared" si="1011"/>
        <v>-11120649.863817506</v>
      </c>
      <c r="S849">
        <f t="shared" si="1012"/>
        <v>-111.20649863817505</v>
      </c>
      <c r="T849">
        <f t="shared" si="1013"/>
        <v>-0.11120649863817506</v>
      </c>
    </row>
    <row r="850" spans="1:20" x14ac:dyDescent="0.25">
      <c r="A850" s="5">
        <v>43743</v>
      </c>
      <c r="B850">
        <v>0.88339999999999996</v>
      </c>
      <c r="C850">
        <v>0.93020000000000003</v>
      </c>
      <c r="D850">
        <v>0.86429999999999996</v>
      </c>
      <c r="E850">
        <v>0.91620000000000001</v>
      </c>
      <c r="F850">
        <v>160829.26999999999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0.57511380880121399</v>
      </c>
      <c r="Q850">
        <f t="shared" si="1010"/>
        <v>92495.134036418822</v>
      </c>
      <c r="R850">
        <f t="shared" si="1011"/>
        <v>-10968348.512706393</v>
      </c>
      <c r="S850">
        <f t="shared" si="1012"/>
        <v>-109.68348512706393</v>
      </c>
      <c r="T850">
        <f t="shared" si="1013"/>
        <v>-0.10968348512706393</v>
      </c>
    </row>
    <row r="851" spans="1:20" x14ac:dyDescent="0.25">
      <c r="A851" s="5">
        <v>43742</v>
      </c>
      <c r="B851">
        <v>0.84750000000000003</v>
      </c>
      <c r="C851">
        <v>0.90720000000000001</v>
      </c>
      <c r="D851">
        <v>0.83099999999999996</v>
      </c>
      <c r="E851">
        <v>0.88590000000000002</v>
      </c>
      <c r="F851">
        <v>258902.63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0.4409448818897645</v>
      </c>
      <c r="Q851">
        <f t="shared" si="1010"/>
        <v>114161.7896062994</v>
      </c>
      <c r="R851">
        <f t="shared" si="1011"/>
        <v>-11060843.646742811</v>
      </c>
      <c r="S851">
        <f t="shared" si="1012"/>
        <v>-110.60843646742812</v>
      </c>
      <c r="T851">
        <f t="shared" si="1013"/>
        <v>-0.11060843646742811</v>
      </c>
    </row>
    <row r="852" spans="1:20" x14ac:dyDescent="0.25">
      <c r="A852" s="5">
        <v>43741</v>
      </c>
      <c r="B852">
        <v>0.83209999999999995</v>
      </c>
      <c r="C852">
        <v>0.89080000000000004</v>
      </c>
      <c r="D852">
        <v>0.81720000000000004</v>
      </c>
      <c r="E852">
        <v>0.85089999999999999</v>
      </c>
      <c r="F852">
        <v>610955.80000000005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-8.4239130434783885E-2</v>
      </c>
      <c r="Q852">
        <f t="shared" si="1010"/>
        <v>-51466.385326087737</v>
      </c>
      <c r="R852">
        <f t="shared" si="1011"/>
        <v>-11175005.436349111</v>
      </c>
      <c r="S852">
        <f t="shared" si="1012"/>
        <v>-111.7500543634911</v>
      </c>
      <c r="T852">
        <f t="shared" si="1013"/>
        <v>-0.1117500543634911</v>
      </c>
    </row>
    <row r="853" spans="1:20" x14ac:dyDescent="0.25">
      <c r="A853" s="5">
        <v>43740</v>
      </c>
      <c r="B853">
        <v>0.82669999999999999</v>
      </c>
      <c r="C853">
        <v>0.83279999999999998</v>
      </c>
      <c r="D853">
        <v>0.81610000000000005</v>
      </c>
      <c r="E853">
        <v>0.83209999999999995</v>
      </c>
      <c r="F853">
        <v>78216.740000000005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0.91616766467065436</v>
      </c>
      <c r="Q853">
        <f t="shared" si="1010"/>
        <v>71659.64802395177</v>
      </c>
      <c r="R853">
        <f t="shared" si="1011"/>
        <v>-11123539.051023023</v>
      </c>
      <c r="S853">
        <f t="shared" si="1012"/>
        <v>-111.23539051023023</v>
      </c>
      <c r="T853">
        <f t="shared" si="1013"/>
        <v>-0.11123539051023024</v>
      </c>
    </row>
    <row r="854" spans="1:20" x14ac:dyDescent="0.25">
      <c r="A854" s="5">
        <v>43739</v>
      </c>
      <c r="B854">
        <v>0.84709999999999996</v>
      </c>
      <c r="C854">
        <v>0.87</v>
      </c>
      <c r="D854">
        <v>0.81740000000000002</v>
      </c>
      <c r="E854">
        <v>0.82669999999999999</v>
      </c>
      <c r="F854">
        <v>250871.86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-0.64638783269962063</v>
      </c>
      <c r="Q854">
        <f t="shared" si="1010"/>
        <v>-162160.51787072263</v>
      </c>
      <c r="R854">
        <f t="shared" si="1011"/>
        <v>-11195198.699046975</v>
      </c>
      <c r="S854">
        <f t="shared" si="1012"/>
        <v>-111.95198699046975</v>
      </c>
      <c r="T854">
        <f t="shared" si="1013"/>
        <v>-0.11195198699046975</v>
      </c>
    </row>
    <row r="855" spans="1:20" x14ac:dyDescent="0.25">
      <c r="A855" s="5">
        <v>43738</v>
      </c>
      <c r="B855">
        <v>0.81530000000000002</v>
      </c>
      <c r="C855">
        <v>0.86990000000000001</v>
      </c>
      <c r="D855">
        <v>0.78290000000000004</v>
      </c>
      <c r="E855">
        <v>0.84709999999999996</v>
      </c>
      <c r="F855">
        <v>523730.42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0.47586206896551608</v>
      </c>
      <c r="Q855">
        <f t="shared" si="1010"/>
        <v>249223.44124137869</v>
      </c>
      <c r="R855">
        <f t="shared" si="1011"/>
        <v>-11033038.181176253</v>
      </c>
      <c r="S855">
        <f t="shared" si="1012"/>
        <v>-110.33038181176252</v>
      </c>
      <c r="T855">
        <f t="shared" si="1013"/>
        <v>-0.11033038181176252</v>
      </c>
    </row>
    <row r="856" spans="1:20" x14ac:dyDescent="0.25">
      <c r="A856" s="5">
        <v>43737</v>
      </c>
      <c r="B856">
        <v>0.84160000000000001</v>
      </c>
      <c r="C856">
        <v>0.84499999999999997</v>
      </c>
      <c r="D856">
        <v>0.80559999999999998</v>
      </c>
      <c r="E856">
        <v>0.81530000000000002</v>
      </c>
      <c r="F856">
        <v>94022.38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-0.50761421319796729</v>
      </c>
      <c r="Q856">
        <f t="shared" si="1010"/>
        <v>-47727.0964467003</v>
      </c>
      <c r="R856">
        <f t="shared" si="1011"/>
        <v>-11282261.622417631</v>
      </c>
      <c r="S856">
        <f t="shared" si="1012"/>
        <v>-112.8226162241763</v>
      </c>
      <c r="T856">
        <f t="shared" si="1013"/>
        <v>-0.1128226162241763</v>
      </c>
    </row>
    <row r="857" spans="1:20" x14ac:dyDescent="0.25">
      <c r="A857" s="5">
        <v>43736</v>
      </c>
      <c r="B857">
        <v>0.83919999999999995</v>
      </c>
      <c r="C857">
        <v>0.86</v>
      </c>
      <c r="D857">
        <v>0.8276</v>
      </c>
      <c r="E857">
        <v>0.84550000000000003</v>
      </c>
      <c r="F857">
        <v>237344.24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0.10493827160494047</v>
      </c>
      <c r="Q857">
        <f t="shared" si="1010"/>
        <v>24906.494320988175</v>
      </c>
      <c r="R857">
        <f t="shared" si="1011"/>
        <v>-11234534.52597093</v>
      </c>
      <c r="S857">
        <f t="shared" si="1012"/>
        <v>-112.3453452597093</v>
      </c>
      <c r="T857">
        <f t="shared" si="1013"/>
        <v>-0.11234534525970931</v>
      </c>
    </row>
    <row r="858" spans="1:20" x14ac:dyDescent="0.25">
      <c r="A858" s="5">
        <v>43735</v>
      </c>
      <c r="B858">
        <v>0.83179999999999998</v>
      </c>
      <c r="C858">
        <v>0.86240000000000006</v>
      </c>
      <c r="D858">
        <v>0.80410000000000004</v>
      </c>
      <c r="E858">
        <v>0.83919999999999995</v>
      </c>
      <c r="F858">
        <v>176093.59</v>
      </c>
      <c r="G858">
        <v>0</v>
      </c>
      <c r="L858" t="s">
        <v>7</v>
      </c>
      <c r="M858" t="s">
        <v>7</v>
      </c>
      <c r="N858" t="s">
        <v>7</v>
      </c>
      <c r="P858">
        <f t="shared" si="1009"/>
        <v>0.20411663807889874</v>
      </c>
      <c r="Q858">
        <f t="shared" si="1010"/>
        <v>35943.631578043984</v>
      </c>
      <c r="R858">
        <f t="shared" si="1011"/>
        <v>-11259441.020291919</v>
      </c>
      <c r="S858">
        <f t="shared" si="1012"/>
        <v>-112.59441020291919</v>
      </c>
      <c r="T858">
        <f t="shared" si="1013"/>
        <v>-0.11259441020291919</v>
      </c>
    </row>
    <row r="859" spans="1:20" x14ac:dyDescent="0.25">
      <c r="A859" s="5">
        <v>43734</v>
      </c>
      <c r="B859">
        <v>0.86129999999999995</v>
      </c>
      <c r="C859">
        <v>0.88790000000000002</v>
      </c>
      <c r="D859">
        <v>0.76739999999999997</v>
      </c>
      <c r="E859">
        <v>0.83179999999999998</v>
      </c>
      <c r="F859">
        <v>344484.64</v>
      </c>
      <c r="G859">
        <v>0</v>
      </c>
      <c r="L859" t="s">
        <v>8</v>
      </c>
      <c r="M859" t="s">
        <v>7</v>
      </c>
      <c r="N859" t="s">
        <v>7</v>
      </c>
      <c r="P859">
        <f t="shared" si="1009"/>
        <v>6.8879668049792286E-2</v>
      </c>
      <c r="Q859">
        <f t="shared" si="1010"/>
        <v>23727.9876514522</v>
      </c>
      <c r="R859">
        <f t="shared" si="1011"/>
        <v>-11295384.651869962</v>
      </c>
      <c r="S859">
        <f t="shared" si="1012"/>
        <v>-112.95384651869962</v>
      </c>
      <c r="T859">
        <f t="shared" si="1013"/>
        <v>-0.11295384651869962</v>
      </c>
    </row>
    <row r="860" spans="1:20" x14ac:dyDescent="0.25">
      <c r="A860" s="5">
        <v>43733</v>
      </c>
      <c r="B860">
        <v>0.82989999999999997</v>
      </c>
      <c r="C860">
        <v>0.86990000000000001</v>
      </c>
      <c r="D860">
        <v>0.80610000000000004</v>
      </c>
      <c r="E860">
        <v>0.86119999999999997</v>
      </c>
      <c r="F860">
        <v>318130.25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0.72727272727272585</v>
      </c>
      <c r="Q860">
        <f t="shared" si="1010"/>
        <v>231367.45454545409</v>
      </c>
      <c r="R860">
        <f t="shared" si="1011"/>
        <v>-11319112.639521414</v>
      </c>
      <c r="S860">
        <f t="shared" si="1012"/>
        <v>-113.19112639521414</v>
      </c>
      <c r="T860">
        <f t="shared" si="1013"/>
        <v>-0.11319112639521414</v>
      </c>
    </row>
    <row r="861" spans="1:20" x14ac:dyDescent="0.25">
      <c r="A861" s="5">
        <v>43732</v>
      </c>
      <c r="B861">
        <v>1.0009999999999999</v>
      </c>
      <c r="C861">
        <v>1.0421</v>
      </c>
      <c r="D861">
        <v>0.77810000000000001</v>
      </c>
      <c r="E861">
        <v>0.82599999999999996</v>
      </c>
      <c r="F861">
        <v>637683.25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-0.63712121212121253</v>
      </c>
      <c r="Q861">
        <f t="shared" si="1010"/>
        <v>-406281.52518939419</v>
      </c>
      <c r="R861">
        <f t="shared" si="1011"/>
        <v>-11550480.094066868</v>
      </c>
      <c r="S861">
        <f t="shared" si="1012"/>
        <v>-115.50480094066867</v>
      </c>
      <c r="T861">
        <f t="shared" si="1013"/>
        <v>-0.11550480094066867</v>
      </c>
    </row>
    <row r="862" spans="1:20" x14ac:dyDescent="0.25">
      <c r="A862" s="5">
        <v>43731</v>
      </c>
      <c r="B862">
        <v>1.1022000000000001</v>
      </c>
      <c r="C862">
        <v>1.2159</v>
      </c>
      <c r="D862">
        <v>0.99039999999999995</v>
      </c>
      <c r="E862">
        <v>1.0008999999999999</v>
      </c>
      <c r="F862">
        <v>1789751.86</v>
      </c>
      <c r="G862">
        <v>0</v>
      </c>
      <c r="L862" t="s">
        <v>8</v>
      </c>
      <c r="M862" t="s">
        <v>8</v>
      </c>
      <c r="N862" t="s">
        <v>7</v>
      </c>
      <c r="P862">
        <f t="shared" si="1009"/>
        <v>-0.90687361419068779</v>
      </c>
      <c r="Q862">
        <f t="shared" si="1010"/>
        <v>-1623078.737782706</v>
      </c>
      <c r="R862">
        <f t="shared" si="1011"/>
        <v>-11144198.568877473</v>
      </c>
      <c r="S862">
        <f t="shared" si="1012"/>
        <v>-111.44198568877474</v>
      </c>
      <c r="T862">
        <f t="shared" si="1013"/>
        <v>-0.11144198568877474</v>
      </c>
    </row>
    <row r="863" spans="1:20" x14ac:dyDescent="0.25">
      <c r="A863" s="5">
        <v>43730</v>
      </c>
      <c r="B863">
        <v>1.0147999999999999</v>
      </c>
      <c r="C863">
        <v>1.1032</v>
      </c>
      <c r="D863">
        <v>0.97089999999999999</v>
      </c>
      <c r="E863">
        <v>1.1020000000000001</v>
      </c>
      <c r="F863">
        <v>728914.8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0.98185941043084102</v>
      </c>
      <c r="Q863">
        <f t="shared" si="1010"/>
        <v>715691.85578231444</v>
      </c>
      <c r="R863">
        <f t="shared" si="1011"/>
        <v>-9521119.8310947679</v>
      </c>
      <c r="S863">
        <f t="shared" si="1012"/>
        <v>-95.21119831094768</v>
      </c>
      <c r="T863">
        <f t="shared" si="1013"/>
        <v>-9.5211198310947681E-2</v>
      </c>
    </row>
    <row r="864" spans="1:20" x14ac:dyDescent="0.25">
      <c r="A864" s="5">
        <v>43729</v>
      </c>
      <c r="B864">
        <v>1.0456000000000001</v>
      </c>
      <c r="C864">
        <v>1.0557000000000001</v>
      </c>
      <c r="D864">
        <v>1.0122</v>
      </c>
      <c r="E864">
        <v>1.0138</v>
      </c>
      <c r="F864">
        <v>182865.44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-0.9264367816091934</v>
      </c>
      <c r="Q864">
        <f t="shared" si="1010"/>
        <v>-169413.26970114905</v>
      </c>
      <c r="R864">
        <f t="shared" si="1011"/>
        <v>-10236811.686877083</v>
      </c>
      <c r="S864">
        <f t="shared" si="1012"/>
        <v>-102.36811686877083</v>
      </c>
      <c r="T864">
        <f t="shared" si="1013"/>
        <v>-0.10236811686877083</v>
      </c>
    </row>
    <row r="865" spans="1:20" x14ac:dyDescent="0.25">
      <c r="A865" s="5">
        <v>43728</v>
      </c>
      <c r="B865">
        <v>1.0752999999999999</v>
      </c>
      <c r="C865">
        <v>1.0810999999999999</v>
      </c>
      <c r="D865">
        <v>1.0263</v>
      </c>
      <c r="E865">
        <v>1.0456000000000001</v>
      </c>
      <c r="F865">
        <v>167120.18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-0.29562043795620041</v>
      </c>
      <c r="Q865">
        <f t="shared" si="1010"/>
        <v>-49404.140802919042</v>
      </c>
      <c r="R865">
        <f t="shared" si="1011"/>
        <v>-10067398.417175934</v>
      </c>
      <c r="S865">
        <f t="shared" si="1012"/>
        <v>-100.67398417175934</v>
      </c>
      <c r="T865">
        <f t="shared" si="1013"/>
        <v>-0.10067398417175934</v>
      </c>
    </row>
    <row r="866" spans="1:20" x14ac:dyDescent="0.25">
      <c r="A866" s="5">
        <v>43727</v>
      </c>
      <c r="B866">
        <v>1.1505000000000001</v>
      </c>
      <c r="C866">
        <v>1.1505000000000001</v>
      </c>
      <c r="D866">
        <v>1.0398000000000001</v>
      </c>
      <c r="E866">
        <v>1.077</v>
      </c>
      <c r="F866">
        <v>383167.87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-0.32791327913279328</v>
      </c>
      <c r="Q866">
        <f t="shared" si="1010"/>
        <v>-125645.83271002784</v>
      </c>
      <c r="R866">
        <f t="shared" si="1011"/>
        <v>-10017994.276373014</v>
      </c>
      <c r="S866">
        <f t="shared" si="1012"/>
        <v>-100.17994276373014</v>
      </c>
      <c r="T866">
        <f t="shared" si="1013"/>
        <v>-0.10017994276373014</v>
      </c>
    </row>
    <row r="867" spans="1:20" x14ac:dyDescent="0.25">
      <c r="A867" s="5">
        <v>43726</v>
      </c>
      <c r="B867">
        <v>1.101</v>
      </c>
      <c r="C867">
        <v>1.2589999999999999</v>
      </c>
      <c r="D867">
        <v>1.1005</v>
      </c>
      <c r="E867">
        <v>1.1499999999999999</v>
      </c>
      <c r="F867">
        <v>368510.27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-0.37539432176656251</v>
      </c>
      <c r="Q867">
        <f t="shared" si="1010"/>
        <v>-138336.66287066284</v>
      </c>
      <c r="R867">
        <f t="shared" si="1011"/>
        <v>-9892348.4436629862</v>
      </c>
      <c r="S867">
        <f t="shared" si="1012"/>
        <v>-98.923484436629863</v>
      </c>
      <c r="T867">
        <f t="shared" si="1013"/>
        <v>-9.8923484436629863E-2</v>
      </c>
    </row>
    <row r="868" spans="1:20" x14ac:dyDescent="0.25">
      <c r="A868" s="5">
        <v>43725</v>
      </c>
      <c r="B868">
        <v>1.0592999999999999</v>
      </c>
      <c r="C868">
        <v>1.1160000000000001</v>
      </c>
      <c r="D868">
        <v>1.0358000000000001</v>
      </c>
      <c r="E868">
        <v>1.1002000000000001</v>
      </c>
      <c r="F868">
        <v>230411.9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0.60598503740648313</v>
      </c>
      <c r="Q868">
        <f t="shared" si="1010"/>
        <v>139626.16384039883</v>
      </c>
      <c r="R868">
        <f t="shared" si="1011"/>
        <v>-9754011.7807923239</v>
      </c>
      <c r="S868">
        <f t="shared" si="1012"/>
        <v>-97.540117807923238</v>
      </c>
      <c r="T868">
        <f t="shared" si="1013"/>
        <v>-9.7540117807923238E-2</v>
      </c>
    </row>
    <row r="869" spans="1:20" x14ac:dyDescent="0.25">
      <c r="A869" s="5">
        <v>43724</v>
      </c>
      <c r="B869">
        <v>1.0738000000000001</v>
      </c>
      <c r="C869">
        <v>1.0933999999999999</v>
      </c>
      <c r="D869">
        <v>1.0239</v>
      </c>
      <c r="E869">
        <v>1.0592999999999999</v>
      </c>
      <c r="F869">
        <v>250745.06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1.8705035971220991E-2</v>
      </c>
      <c r="Q869">
        <f t="shared" si="1010"/>
        <v>4690.1953669059658</v>
      </c>
      <c r="R869">
        <f t="shared" si="1011"/>
        <v>-9893637.9446327221</v>
      </c>
      <c r="S869">
        <f t="shared" si="1012"/>
        <v>-98.936379446327223</v>
      </c>
      <c r="T869">
        <f t="shared" si="1013"/>
        <v>-9.8936379446327216E-2</v>
      </c>
    </row>
    <row r="870" spans="1:20" x14ac:dyDescent="0.25">
      <c r="A870" s="5">
        <v>43723</v>
      </c>
      <c r="B870">
        <v>1.0269999999999999</v>
      </c>
      <c r="C870">
        <v>1.0828</v>
      </c>
      <c r="D870">
        <v>1.0235000000000001</v>
      </c>
      <c r="E870">
        <v>1.0738000000000001</v>
      </c>
      <c r="F870">
        <v>189118.83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0.69645868465430316</v>
      </c>
      <c r="Q870">
        <f t="shared" si="1010"/>
        <v>131713.45158516077</v>
      </c>
      <c r="R870">
        <f t="shared" si="1011"/>
        <v>-9898328.1399996281</v>
      </c>
      <c r="S870">
        <f t="shared" si="1012"/>
        <v>-98.983281399996287</v>
      </c>
      <c r="T870">
        <f t="shared" si="1013"/>
        <v>-9.8983281399996292E-2</v>
      </c>
    </row>
    <row r="871" spans="1:20" x14ac:dyDescent="0.25">
      <c r="A871" s="5">
        <v>43722</v>
      </c>
      <c r="B871">
        <v>1.0267999999999999</v>
      </c>
      <c r="C871">
        <v>1.0386</v>
      </c>
      <c r="D871">
        <v>1.0044999999999999</v>
      </c>
      <c r="E871">
        <v>1.0269999999999999</v>
      </c>
      <c r="F871">
        <v>157230.23000000001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0.31964809384163939</v>
      </c>
      <c r="Q871">
        <f t="shared" si="1010"/>
        <v>50258.343313782549</v>
      </c>
      <c r="R871">
        <f t="shared" si="1011"/>
        <v>-10030041.591584789</v>
      </c>
      <c r="S871">
        <f t="shared" si="1012"/>
        <v>-100.30041591584789</v>
      </c>
      <c r="T871">
        <f t="shared" si="1013"/>
        <v>-0.10030041591584789</v>
      </c>
    </row>
    <row r="872" spans="1:20" x14ac:dyDescent="0.25">
      <c r="A872" s="5">
        <v>43721</v>
      </c>
      <c r="B872">
        <v>1.0298</v>
      </c>
      <c r="C872">
        <v>1.0427999999999999</v>
      </c>
      <c r="D872">
        <v>1</v>
      </c>
      <c r="E872">
        <v>1.0345</v>
      </c>
      <c r="F872">
        <v>146942.53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0.61214953271028116</v>
      </c>
      <c r="Q872">
        <f t="shared" si="1010"/>
        <v>89950.801074766467</v>
      </c>
      <c r="R872">
        <f t="shared" si="1011"/>
        <v>-10080299.934898572</v>
      </c>
      <c r="S872">
        <f t="shared" si="1012"/>
        <v>-100.80299934898572</v>
      </c>
      <c r="T872">
        <f t="shared" si="1013"/>
        <v>-0.10080299934898572</v>
      </c>
    </row>
    <row r="873" spans="1:20" x14ac:dyDescent="0.25">
      <c r="A873" s="5">
        <v>43720</v>
      </c>
      <c r="B873">
        <v>1.0234000000000001</v>
      </c>
      <c r="C873">
        <v>1.0407999999999999</v>
      </c>
      <c r="D873">
        <v>0.99660000000000004</v>
      </c>
      <c r="E873">
        <v>1.0298</v>
      </c>
      <c r="F873">
        <v>319280.13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0.50226244343891757</v>
      </c>
      <c r="Q873">
        <f t="shared" si="1010"/>
        <v>160362.41823529525</v>
      </c>
      <c r="R873">
        <f t="shared" si="1011"/>
        <v>-10170250.735973338</v>
      </c>
      <c r="S873">
        <f t="shared" si="1012"/>
        <v>-101.70250735973337</v>
      </c>
      <c r="T873">
        <f t="shared" si="1013"/>
        <v>-0.10170250735973338</v>
      </c>
    </row>
    <row r="874" spans="1:20" x14ac:dyDescent="0.25">
      <c r="A874" s="5">
        <v>43719</v>
      </c>
      <c r="B874">
        <v>1.0370999999999999</v>
      </c>
      <c r="C874">
        <v>1.0526</v>
      </c>
      <c r="D874">
        <v>1.01</v>
      </c>
      <c r="E874">
        <v>1.0139</v>
      </c>
      <c r="F874">
        <v>95566.98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-0.81690140845070347</v>
      </c>
      <c r="Q874">
        <f t="shared" si="1010"/>
        <v>-78068.800563380209</v>
      </c>
      <c r="R874">
        <f t="shared" si="1011"/>
        <v>-10330613.154208632</v>
      </c>
      <c r="S874">
        <f t="shared" si="1012"/>
        <v>-103.30613154208632</v>
      </c>
      <c r="T874">
        <f t="shared" si="1013"/>
        <v>-0.10330613154208632</v>
      </c>
    </row>
    <row r="875" spans="1:20" x14ac:dyDescent="0.25">
      <c r="A875" s="5">
        <v>43718</v>
      </c>
      <c r="B875">
        <v>1.071</v>
      </c>
      <c r="C875">
        <v>1.0839000000000001</v>
      </c>
      <c r="D875">
        <v>1.0282</v>
      </c>
      <c r="E875">
        <v>1.0416000000000001</v>
      </c>
      <c r="F875">
        <v>133166.76999999999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-0.51885098743267299</v>
      </c>
      <c r="Q875">
        <f t="shared" si="1010"/>
        <v>-69093.710107719657</v>
      </c>
      <c r="R875">
        <f t="shared" si="1011"/>
        <v>-10252544.353645252</v>
      </c>
      <c r="S875">
        <f t="shared" si="1012"/>
        <v>-102.52544353645251</v>
      </c>
      <c r="T875">
        <f t="shared" si="1013"/>
        <v>-0.10252544353645252</v>
      </c>
    </row>
    <row r="876" spans="1:20" x14ac:dyDescent="0.25">
      <c r="A876" s="5">
        <v>43717</v>
      </c>
      <c r="B876">
        <v>1.0649999999999999</v>
      </c>
      <c r="C876">
        <v>1.1148</v>
      </c>
      <c r="D876">
        <v>1.0392999999999999</v>
      </c>
      <c r="E876">
        <v>1.0672999999999999</v>
      </c>
      <c r="F876">
        <v>200772.8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-0.25827814569536478</v>
      </c>
      <c r="Q876">
        <f t="shared" si="1010"/>
        <v>-51855.226490066329</v>
      </c>
      <c r="R876">
        <f t="shared" si="1011"/>
        <v>-10183450.643537533</v>
      </c>
      <c r="S876">
        <f t="shared" si="1012"/>
        <v>-101.83450643537533</v>
      </c>
      <c r="T876">
        <f t="shared" si="1013"/>
        <v>-0.10183450643537534</v>
      </c>
    </row>
    <row r="877" spans="1:20" x14ac:dyDescent="0.25">
      <c r="A877" s="5">
        <v>43716</v>
      </c>
      <c r="B877">
        <v>1.0705</v>
      </c>
      <c r="C877">
        <v>1.0795999999999999</v>
      </c>
      <c r="D877">
        <v>1.0443</v>
      </c>
      <c r="E877">
        <v>1.0653999999999999</v>
      </c>
      <c r="F877">
        <v>102161.08</v>
      </c>
      <c r="G877">
        <v>0</v>
      </c>
      <c r="L877" t="s">
        <v>7</v>
      </c>
      <c r="M877" t="s">
        <v>7</v>
      </c>
      <c r="N877" t="s">
        <v>7</v>
      </c>
      <c r="P877">
        <f t="shared" si="1009"/>
        <v>0.19546742209631524</v>
      </c>
      <c r="Q877">
        <f t="shared" si="1010"/>
        <v>19969.162946175427</v>
      </c>
      <c r="R877">
        <f t="shared" si="1011"/>
        <v>-10131595.417047467</v>
      </c>
      <c r="S877">
        <f t="shared" si="1012"/>
        <v>-101.31595417047467</v>
      </c>
      <c r="T877">
        <f t="shared" si="1013"/>
        <v>-0.10131595417047466</v>
      </c>
    </row>
    <row r="878" spans="1:20" x14ac:dyDescent="0.25">
      <c r="A878" s="5">
        <v>43715</v>
      </c>
      <c r="B878">
        <v>1.0498000000000001</v>
      </c>
      <c r="C878">
        <v>1.0827</v>
      </c>
      <c r="D878">
        <v>1.04</v>
      </c>
      <c r="E878">
        <v>1.0690999999999999</v>
      </c>
      <c r="F878">
        <v>92295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0.36299765807962203</v>
      </c>
      <c r="Q878">
        <f t="shared" si="1010"/>
        <v>33502.868852458712</v>
      </c>
      <c r="R878">
        <f t="shared" si="1011"/>
        <v>-10151564.579993643</v>
      </c>
      <c r="S878">
        <f t="shared" si="1012"/>
        <v>-101.51564579993642</v>
      </c>
      <c r="T878">
        <f t="shared" si="1013"/>
        <v>-0.10151564579993642</v>
      </c>
    </row>
    <row r="879" spans="1:20" x14ac:dyDescent="0.25">
      <c r="A879" s="5">
        <v>43714</v>
      </c>
      <c r="B879">
        <v>1.1145</v>
      </c>
      <c r="C879">
        <v>1.1193</v>
      </c>
      <c r="D879">
        <v>1.0327</v>
      </c>
      <c r="E879">
        <v>1.0498000000000001</v>
      </c>
      <c r="F879">
        <v>113031.01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-0.60508083140877333</v>
      </c>
      <c r="Q879">
        <f t="shared" si="1010"/>
        <v>-68392.897505773377</v>
      </c>
      <c r="R879">
        <f t="shared" si="1011"/>
        <v>-10185067.448846102</v>
      </c>
      <c r="S879">
        <f t="shared" si="1012"/>
        <v>-101.85067448846102</v>
      </c>
      <c r="T879">
        <f t="shared" si="1013"/>
        <v>-0.10185067448846102</v>
      </c>
    </row>
    <row r="880" spans="1:20" x14ac:dyDescent="0.25">
      <c r="A880" s="5">
        <v>43713</v>
      </c>
      <c r="B880">
        <v>1.1257999999999999</v>
      </c>
      <c r="C880">
        <v>1.1487000000000001</v>
      </c>
      <c r="D880">
        <v>1.0885</v>
      </c>
      <c r="E880">
        <v>1.1149</v>
      </c>
      <c r="F880">
        <v>90911.03</v>
      </c>
      <c r="G880">
        <v>0</v>
      </c>
      <c r="L880" t="s">
        <v>8</v>
      </c>
      <c r="M880" t="s">
        <v>7</v>
      </c>
      <c r="N880" t="s">
        <v>7</v>
      </c>
      <c r="P880">
        <f t="shared" si="1009"/>
        <v>-0.12292358803986826</v>
      </c>
      <c r="Q880">
        <f t="shared" si="1010"/>
        <v>-11175.110000000104</v>
      </c>
      <c r="R880">
        <f t="shared" si="1011"/>
        <v>-10116674.551340329</v>
      </c>
      <c r="S880">
        <f t="shared" si="1012"/>
        <v>-101.16674551340328</v>
      </c>
      <c r="T880">
        <f t="shared" si="1013"/>
        <v>-0.10116674551340328</v>
      </c>
    </row>
    <row r="881" spans="1:20" x14ac:dyDescent="0.25">
      <c r="A881" s="5">
        <v>43712</v>
      </c>
      <c r="B881">
        <v>1.1496</v>
      </c>
      <c r="C881">
        <v>1.1515</v>
      </c>
      <c r="D881">
        <v>1.1039000000000001</v>
      </c>
      <c r="E881">
        <v>1.1258999999999999</v>
      </c>
      <c r="F881">
        <v>144573.29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-7.5630252100846215E-2</v>
      </c>
      <c r="Q881">
        <f t="shared" si="1010"/>
        <v>-10934.11436974875</v>
      </c>
      <c r="R881">
        <f t="shared" si="1011"/>
        <v>-10105499.441340329</v>
      </c>
      <c r="S881">
        <f t="shared" si="1012"/>
        <v>-101.05499441340329</v>
      </c>
      <c r="T881">
        <f t="shared" si="1013"/>
        <v>-0.10105499441340329</v>
      </c>
    </row>
    <row r="882" spans="1:20" x14ac:dyDescent="0.25">
      <c r="A882" s="5">
        <v>43711</v>
      </c>
      <c r="B882">
        <v>1.1472</v>
      </c>
      <c r="C882">
        <v>1.1636</v>
      </c>
      <c r="D882">
        <v>1.1153</v>
      </c>
      <c r="E882">
        <v>1.1496</v>
      </c>
      <c r="F882">
        <v>156477.74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0.42028985507246336</v>
      </c>
      <c r="Q882">
        <f t="shared" si="1010"/>
        <v>65766.006666666595</v>
      </c>
      <c r="R882">
        <f t="shared" si="1011"/>
        <v>-10094565.326970581</v>
      </c>
      <c r="S882">
        <f t="shared" si="1012"/>
        <v>-100.94565326970582</v>
      </c>
      <c r="T882">
        <f t="shared" si="1013"/>
        <v>-0.10094565326970581</v>
      </c>
    </row>
    <row r="883" spans="1:20" x14ac:dyDescent="0.25">
      <c r="A883" s="5">
        <v>43710</v>
      </c>
      <c r="B883">
        <v>1.1092</v>
      </c>
      <c r="C883">
        <v>1.1485000000000001</v>
      </c>
      <c r="D883">
        <v>1.0872999999999999</v>
      </c>
      <c r="E883">
        <v>1.1474</v>
      </c>
      <c r="F883">
        <v>160103.22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0.96405228758169614</v>
      </c>
      <c r="Q883">
        <f t="shared" si="1010"/>
        <v>154347.87549019555</v>
      </c>
      <c r="R883">
        <f t="shared" si="1011"/>
        <v>-10160331.333637247</v>
      </c>
      <c r="S883">
        <f t="shared" si="1012"/>
        <v>-101.60331333637247</v>
      </c>
      <c r="T883">
        <f t="shared" si="1013"/>
        <v>-0.10160331333637247</v>
      </c>
    </row>
    <row r="884" spans="1:20" x14ac:dyDescent="0.25">
      <c r="A884" s="5">
        <v>43709</v>
      </c>
      <c r="B884">
        <v>1.1054999999999999</v>
      </c>
      <c r="C884">
        <v>1.1193</v>
      </c>
      <c r="D884">
        <v>1.0750999999999999</v>
      </c>
      <c r="E884">
        <v>1.111</v>
      </c>
      <c r="F884">
        <v>82885.98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0.62443438914027283</v>
      </c>
      <c r="Q884">
        <f t="shared" si="1010"/>
        <v>51756.85628959287</v>
      </c>
      <c r="R884">
        <f t="shared" si="1011"/>
        <v>-10314679.209127443</v>
      </c>
      <c r="S884">
        <f t="shared" si="1012"/>
        <v>-103.14679209127443</v>
      </c>
      <c r="T884">
        <f t="shared" si="1013"/>
        <v>-0.10314679209127443</v>
      </c>
    </row>
    <row r="885" spans="1:20" x14ac:dyDescent="0.25">
      <c r="A885" s="5">
        <v>43708</v>
      </c>
      <c r="B885">
        <v>1.1123000000000001</v>
      </c>
      <c r="C885">
        <v>1.1375999999999999</v>
      </c>
      <c r="D885">
        <v>1.0666</v>
      </c>
      <c r="E885">
        <v>1.1052</v>
      </c>
      <c r="F885">
        <v>135234.68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8.7323943661971659E-2</v>
      </c>
      <c r="Q885">
        <f t="shared" si="1010"/>
        <v>11809.225577464766</v>
      </c>
      <c r="R885">
        <f t="shared" si="1011"/>
        <v>-10366436.065417036</v>
      </c>
      <c r="S885">
        <f t="shared" si="1012"/>
        <v>-103.66436065417037</v>
      </c>
      <c r="T885">
        <f t="shared" si="1013"/>
        <v>-0.10366436065417037</v>
      </c>
    </row>
    <row r="886" spans="1:20" x14ac:dyDescent="0.25">
      <c r="A886" s="5">
        <v>43707</v>
      </c>
      <c r="B886">
        <v>1.1222000000000001</v>
      </c>
      <c r="C886">
        <v>1.1395999999999999</v>
      </c>
      <c r="D886">
        <v>1.1049</v>
      </c>
      <c r="E886">
        <v>1.119</v>
      </c>
      <c r="F886">
        <v>145887.29999999999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-0.1873198847262236</v>
      </c>
      <c r="Q886">
        <f t="shared" si="1010"/>
        <v>-27327.59221902</v>
      </c>
      <c r="R886">
        <f t="shared" si="1011"/>
        <v>-10378245.290994501</v>
      </c>
      <c r="S886">
        <f t="shared" si="1012"/>
        <v>-103.78245290994501</v>
      </c>
      <c r="T886">
        <f t="shared" si="1013"/>
        <v>-0.10378245290994501</v>
      </c>
    </row>
    <row r="887" spans="1:20" x14ac:dyDescent="0.25">
      <c r="A887" s="5">
        <v>43706</v>
      </c>
      <c r="B887">
        <v>1.173</v>
      </c>
      <c r="C887">
        <v>1.1755</v>
      </c>
      <c r="D887">
        <v>1.1023000000000001</v>
      </c>
      <c r="E887">
        <v>1.1213</v>
      </c>
      <c r="F887">
        <v>206356.28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-0.4808743169398928</v>
      </c>
      <c r="Q887">
        <f t="shared" si="1010"/>
        <v>-99231.43519125726</v>
      </c>
      <c r="R887">
        <f t="shared" si="1011"/>
        <v>-10350917.698775481</v>
      </c>
      <c r="S887">
        <f t="shared" si="1012"/>
        <v>-103.50917698775481</v>
      </c>
      <c r="T887">
        <f t="shared" si="1013"/>
        <v>-0.10350917698775482</v>
      </c>
    </row>
    <row r="888" spans="1:20" x14ac:dyDescent="0.25">
      <c r="A888" s="5">
        <v>43705</v>
      </c>
      <c r="B888">
        <v>1.2351000000000001</v>
      </c>
      <c r="C888">
        <v>1.25</v>
      </c>
      <c r="D888">
        <v>1.1331</v>
      </c>
      <c r="E888">
        <v>1.1689000000000001</v>
      </c>
      <c r="F888">
        <v>264727.84999999998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-0.38751069289991358</v>
      </c>
      <c r="Q888">
        <f t="shared" si="1010"/>
        <v>-102584.87258340437</v>
      </c>
      <c r="R888">
        <f t="shared" si="1011"/>
        <v>-10251686.263584225</v>
      </c>
      <c r="S888">
        <f t="shared" si="1012"/>
        <v>-102.51686263584224</v>
      </c>
      <c r="T888">
        <f t="shared" si="1013"/>
        <v>-0.10251686263584224</v>
      </c>
    </row>
    <row r="889" spans="1:20" x14ac:dyDescent="0.25">
      <c r="A889" s="5">
        <v>43704</v>
      </c>
      <c r="B889">
        <v>1.2597</v>
      </c>
      <c r="C889">
        <v>1.2871999999999999</v>
      </c>
      <c r="D889">
        <v>1.2177</v>
      </c>
      <c r="E889">
        <v>1.2421</v>
      </c>
      <c r="F889">
        <v>131202.69</v>
      </c>
      <c r="G889">
        <v>0</v>
      </c>
      <c r="L889" t="s">
        <v>7</v>
      </c>
      <c r="M889" t="s">
        <v>8</v>
      </c>
      <c r="N889" t="s">
        <v>7</v>
      </c>
      <c r="P889">
        <f t="shared" si="1009"/>
        <v>-0.29784172661870462</v>
      </c>
      <c r="Q889">
        <f t="shared" si="1010"/>
        <v>-39077.635726618653</v>
      </c>
      <c r="R889">
        <f t="shared" si="1011"/>
        <v>-10149101.39100082</v>
      </c>
      <c r="S889">
        <f t="shared" si="1012"/>
        <v>-101.49101391000821</v>
      </c>
      <c r="T889">
        <f t="shared" si="1013"/>
        <v>-0.10149101391000821</v>
      </c>
    </row>
    <row r="890" spans="1:20" x14ac:dyDescent="0.25">
      <c r="A890" s="5">
        <v>43703</v>
      </c>
      <c r="B890">
        <v>1.252</v>
      </c>
      <c r="C890">
        <v>1.3236000000000001</v>
      </c>
      <c r="D890">
        <v>1.2458</v>
      </c>
      <c r="E890">
        <v>1.2618</v>
      </c>
      <c r="F890">
        <v>182255.26</v>
      </c>
      <c r="G890">
        <v>0</v>
      </c>
      <c r="L890" t="s">
        <v>8</v>
      </c>
      <c r="M890" t="s">
        <v>8</v>
      </c>
      <c r="N890" t="s">
        <v>7</v>
      </c>
      <c r="P890">
        <f t="shared" si="1009"/>
        <v>-0.58868894601542432</v>
      </c>
      <c r="Q890">
        <f t="shared" si="1010"/>
        <v>-107291.65691516713</v>
      </c>
      <c r="R890">
        <f t="shared" si="1011"/>
        <v>-10110023.755274201</v>
      </c>
      <c r="S890">
        <f t="shared" si="1012"/>
        <v>-101.100237552742</v>
      </c>
      <c r="T890">
        <f t="shared" si="1013"/>
        <v>-0.101100237552742</v>
      </c>
    </row>
    <row r="891" spans="1:20" x14ac:dyDescent="0.25">
      <c r="A891" s="5">
        <v>43702</v>
      </c>
      <c r="B891">
        <v>1.3008</v>
      </c>
      <c r="C891">
        <v>1.3303</v>
      </c>
      <c r="D891">
        <v>1.2411000000000001</v>
      </c>
      <c r="E891">
        <v>1.2536</v>
      </c>
      <c r="F891">
        <v>202901.97</v>
      </c>
      <c r="G891">
        <v>0</v>
      </c>
      <c r="L891" t="s">
        <v>7</v>
      </c>
      <c r="M891" t="s">
        <v>8</v>
      </c>
      <c r="N891" t="s">
        <v>7</v>
      </c>
      <c r="P891">
        <f t="shared" si="1009"/>
        <v>-0.71973094170403673</v>
      </c>
      <c r="Q891">
        <f t="shared" si="1010"/>
        <v>-146034.82594170421</v>
      </c>
      <c r="R891">
        <f t="shared" si="1011"/>
        <v>-10002732.098359033</v>
      </c>
      <c r="S891">
        <f t="shared" si="1012"/>
        <v>-100.02732098359033</v>
      </c>
      <c r="T891">
        <f t="shared" si="1013"/>
        <v>-0.10002732098359032</v>
      </c>
    </row>
    <row r="892" spans="1:20" x14ac:dyDescent="0.25">
      <c r="A892" s="5">
        <v>43701</v>
      </c>
      <c r="B892">
        <v>1.3019000000000001</v>
      </c>
      <c r="C892">
        <v>1.355</v>
      </c>
      <c r="D892">
        <v>1.27</v>
      </c>
      <c r="E892">
        <v>1.2988</v>
      </c>
      <c r="F892">
        <v>426066.02</v>
      </c>
      <c r="G892">
        <v>0</v>
      </c>
      <c r="L892" t="s">
        <v>8</v>
      </c>
      <c r="M892" t="s">
        <v>8</v>
      </c>
      <c r="N892" t="s">
        <v>7</v>
      </c>
      <c r="P892">
        <f t="shared" si="1009"/>
        <v>-0.32235294117647179</v>
      </c>
      <c r="Q892">
        <f t="shared" si="1010"/>
        <v>-137343.63468235347</v>
      </c>
      <c r="R892">
        <f t="shared" si="1011"/>
        <v>-9856697.2724173293</v>
      </c>
      <c r="S892">
        <f t="shared" si="1012"/>
        <v>-98.566972724173297</v>
      </c>
      <c r="T892">
        <f t="shared" si="1013"/>
        <v>-9.8566972724173293E-2</v>
      </c>
    </row>
    <row r="893" spans="1:20" x14ac:dyDescent="0.25">
      <c r="A893" s="5">
        <v>43700</v>
      </c>
      <c r="B893">
        <v>1.2768999999999999</v>
      </c>
      <c r="C893">
        <v>1.3499000000000001</v>
      </c>
      <c r="D893">
        <v>1.1042000000000001</v>
      </c>
      <c r="E893">
        <v>1.3004</v>
      </c>
      <c r="F893">
        <v>431619.64</v>
      </c>
      <c r="G893">
        <v>0</v>
      </c>
      <c r="L893" t="s">
        <v>7</v>
      </c>
      <c r="M893" t="s">
        <v>8</v>
      </c>
      <c r="N893" t="s">
        <v>7</v>
      </c>
      <c r="P893">
        <f t="shared" si="1009"/>
        <v>0.59706959706959628</v>
      </c>
      <c r="Q893">
        <f t="shared" si="1010"/>
        <v>257706.96454212422</v>
      </c>
      <c r="R893">
        <f t="shared" si="1011"/>
        <v>-9719353.6377349757</v>
      </c>
      <c r="S893">
        <f t="shared" si="1012"/>
        <v>-97.193536377349758</v>
      </c>
      <c r="T893">
        <f t="shared" si="1013"/>
        <v>-9.719353637734976E-2</v>
      </c>
    </row>
    <row r="894" spans="1:20" x14ac:dyDescent="0.25">
      <c r="A894" s="5">
        <v>43699</v>
      </c>
      <c r="B894">
        <v>1.22</v>
      </c>
      <c r="C894">
        <v>1.3126</v>
      </c>
      <c r="D894">
        <v>1.1631</v>
      </c>
      <c r="E894">
        <v>1.2776000000000001</v>
      </c>
      <c r="F894">
        <v>445099.75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0.5317725752508371</v>
      </c>
      <c r="Q894">
        <f t="shared" si="1010"/>
        <v>236691.84030100377</v>
      </c>
      <c r="R894">
        <f t="shared" si="1011"/>
        <v>-9977060.6022771001</v>
      </c>
      <c r="S894">
        <f t="shared" si="1012"/>
        <v>-99.770606022771005</v>
      </c>
      <c r="T894">
        <f t="shared" si="1013"/>
        <v>-9.9770606022771005E-2</v>
      </c>
    </row>
    <row r="895" spans="1:20" x14ac:dyDescent="0.25">
      <c r="A895" s="5">
        <v>43698</v>
      </c>
      <c r="B895">
        <v>1.2405999999999999</v>
      </c>
      <c r="C895">
        <v>1.2427999999999999</v>
      </c>
      <c r="D895">
        <v>1.1735</v>
      </c>
      <c r="E895">
        <v>1.2178</v>
      </c>
      <c r="F895">
        <v>248506.46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0.27849927849928019</v>
      </c>
      <c r="Q895">
        <f t="shared" ref="Q895:Q958" si="1015">F895*P895</f>
        <v>69208.869812410223</v>
      </c>
      <c r="R895">
        <f t="shared" ref="R895:R958" si="1016">R896+Q895</f>
        <v>-10213752.442578103</v>
      </c>
      <c r="S895">
        <f t="shared" ref="S895:S958" si="1017">R895/100000</f>
        <v>-102.13752442578104</v>
      </c>
      <c r="T895">
        <f t="shared" ref="T895:T958" si="1018">S895/1000</f>
        <v>-0.10213752442578104</v>
      </c>
    </row>
    <row r="896" spans="1:20" x14ac:dyDescent="0.25">
      <c r="A896" s="5">
        <v>43697</v>
      </c>
      <c r="B896">
        <v>1.2585</v>
      </c>
      <c r="C896">
        <v>1.2848999999999999</v>
      </c>
      <c r="D896">
        <v>1.228</v>
      </c>
      <c r="E896">
        <v>1.2393000000000001</v>
      </c>
      <c r="F896">
        <v>196730.34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-0.6028119507908577</v>
      </c>
      <c r="Q896">
        <f t="shared" si="1015"/>
        <v>-118591.4000351487</v>
      </c>
      <c r="R896">
        <f t="shared" si="1016"/>
        <v>-10282961.312390514</v>
      </c>
      <c r="S896">
        <f t="shared" si="1017"/>
        <v>-102.82961312390513</v>
      </c>
      <c r="T896">
        <f t="shared" si="1018"/>
        <v>-0.10282961312390514</v>
      </c>
    </row>
    <row r="897" spans="1:20" x14ac:dyDescent="0.25">
      <c r="A897" s="5">
        <v>43696</v>
      </c>
      <c r="B897">
        <v>1.2596000000000001</v>
      </c>
      <c r="C897">
        <v>1.278</v>
      </c>
      <c r="D897">
        <v>1.2317</v>
      </c>
      <c r="E897">
        <v>1.2585</v>
      </c>
      <c r="F897">
        <v>122926.91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0.15766738660906826</v>
      </c>
      <c r="Q897">
        <f t="shared" si="1015"/>
        <v>19381.564643628139</v>
      </c>
      <c r="R897">
        <f t="shared" si="1016"/>
        <v>-10164369.912355365</v>
      </c>
      <c r="S897">
        <f t="shared" si="1017"/>
        <v>-101.64369912355365</v>
      </c>
      <c r="T897">
        <f t="shared" si="1018"/>
        <v>-0.10164369912355364</v>
      </c>
    </row>
    <row r="898" spans="1:20" x14ac:dyDescent="0.25">
      <c r="A898" s="5">
        <v>43695</v>
      </c>
      <c r="B898">
        <v>1.2016</v>
      </c>
      <c r="C898">
        <v>1.2705</v>
      </c>
      <c r="D898">
        <v>1.1902999999999999</v>
      </c>
      <c r="E898">
        <v>1.26</v>
      </c>
      <c r="F898">
        <v>140382.38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0.73815461346633549</v>
      </c>
      <c r="Q898">
        <f t="shared" si="1015"/>
        <v>103623.90144638423</v>
      </c>
      <c r="R898">
        <f t="shared" si="1016"/>
        <v>-10183751.476998994</v>
      </c>
      <c r="S898">
        <f t="shared" si="1017"/>
        <v>-101.83751476998994</v>
      </c>
      <c r="T898">
        <f t="shared" si="1018"/>
        <v>-0.10183751476998994</v>
      </c>
    </row>
    <row r="899" spans="1:20" x14ac:dyDescent="0.25">
      <c r="A899" s="5">
        <v>43694</v>
      </c>
      <c r="B899">
        <v>1.1960999999999999</v>
      </c>
      <c r="C899">
        <v>1.23</v>
      </c>
      <c r="D899">
        <v>1.1789000000000001</v>
      </c>
      <c r="E899">
        <v>1.2016</v>
      </c>
      <c r="F899">
        <v>93168.98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-0.11154598825831795</v>
      </c>
      <c r="Q899">
        <f t="shared" si="1015"/>
        <v>-10392.62594911946</v>
      </c>
      <c r="R899">
        <f t="shared" si="1016"/>
        <v>-10287375.378445378</v>
      </c>
      <c r="S899">
        <f t="shared" si="1017"/>
        <v>-102.87375378445378</v>
      </c>
      <c r="T899">
        <f t="shared" si="1018"/>
        <v>-0.10287375378445378</v>
      </c>
    </row>
    <row r="900" spans="1:20" x14ac:dyDescent="0.25">
      <c r="A900" s="5">
        <v>43693</v>
      </c>
      <c r="B900">
        <v>1.2081</v>
      </c>
      <c r="C900">
        <v>1.2212000000000001</v>
      </c>
      <c r="D900">
        <v>1.1566000000000001</v>
      </c>
      <c r="E900">
        <v>1.2022999999999999</v>
      </c>
      <c r="F900">
        <v>197411.37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0.41486068111454671</v>
      </c>
      <c r="Q900">
        <f t="shared" si="1015"/>
        <v>81898.215417955798</v>
      </c>
      <c r="R900">
        <f t="shared" si="1016"/>
        <v>-10276982.752496257</v>
      </c>
      <c r="S900">
        <f t="shared" si="1017"/>
        <v>-102.76982752496258</v>
      </c>
      <c r="T900">
        <f t="shared" si="1018"/>
        <v>-0.10276982752496258</v>
      </c>
    </row>
    <row r="901" spans="1:20" x14ac:dyDescent="0.25">
      <c r="A901" s="5">
        <v>43692</v>
      </c>
      <c r="B901">
        <v>1.2048000000000001</v>
      </c>
      <c r="C901">
        <v>1.2222</v>
      </c>
      <c r="D901">
        <v>1.1497999999999999</v>
      </c>
      <c r="E901">
        <v>1.2130000000000001</v>
      </c>
      <c r="F901">
        <v>151997.78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0.74585635359116376</v>
      </c>
      <c r="Q901">
        <f t="shared" si="1015"/>
        <v>113368.50994475192</v>
      </c>
      <c r="R901">
        <f t="shared" si="1016"/>
        <v>-10358880.967914212</v>
      </c>
      <c r="S901">
        <f t="shared" si="1017"/>
        <v>-103.58880967914213</v>
      </c>
      <c r="T901">
        <f t="shared" si="1018"/>
        <v>-0.10358880967914214</v>
      </c>
    </row>
    <row r="902" spans="1:20" x14ac:dyDescent="0.25">
      <c r="A902" s="5">
        <v>43691</v>
      </c>
      <c r="B902">
        <v>1.2867</v>
      </c>
      <c r="C902">
        <v>1.304</v>
      </c>
      <c r="D902">
        <v>1.1797</v>
      </c>
      <c r="E902">
        <v>1.2067000000000001</v>
      </c>
      <c r="F902">
        <v>371850.32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-0.56556717618664332</v>
      </c>
      <c r="Q902">
        <f t="shared" si="1015"/>
        <v>-210306.3354464997</v>
      </c>
      <c r="R902">
        <f t="shared" si="1016"/>
        <v>-10472249.477858964</v>
      </c>
      <c r="S902">
        <f t="shared" si="1017"/>
        <v>-104.72249477858965</v>
      </c>
      <c r="T902">
        <f t="shared" si="1018"/>
        <v>-0.10472249477858965</v>
      </c>
    </row>
    <row r="903" spans="1:20" x14ac:dyDescent="0.25">
      <c r="A903" s="5">
        <v>43690</v>
      </c>
      <c r="B903">
        <v>1.3156000000000001</v>
      </c>
      <c r="C903">
        <v>1.3156000000000001</v>
      </c>
      <c r="D903">
        <v>1.2710999999999999</v>
      </c>
      <c r="E903">
        <v>1.2838000000000001</v>
      </c>
      <c r="F903">
        <v>263840.45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-0.42921348314606306</v>
      </c>
      <c r="Q903">
        <f t="shared" si="1015"/>
        <v>-113243.87853932469</v>
      </c>
      <c r="R903">
        <f t="shared" si="1016"/>
        <v>-10261943.142412465</v>
      </c>
      <c r="S903">
        <f t="shared" si="1017"/>
        <v>-102.61943142412466</v>
      </c>
      <c r="T903">
        <f t="shared" si="1018"/>
        <v>-0.10261943142412465</v>
      </c>
    </row>
    <row r="904" spans="1:20" x14ac:dyDescent="0.25">
      <c r="A904" s="5">
        <v>43689</v>
      </c>
      <c r="B904">
        <v>1.3204</v>
      </c>
      <c r="C904">
        <v>1.3436999999999999</v>
      </c>
      <c r="D904">
        <v>1.2802</v>
      </c>
      <c r="E904">
        <v>1.3107</v>
      </c>
      <c r="F904">
        <v>319373.76</v>
      </c>
      <c r="G904">
        <v>0</v>
      </c>
      <c r="L904" t="s">
        <v>7</v>
      </c>
      <c r="M904" t="s">
        <v>7</v>
      </c>
      <c r="N904" t="s">
        <v>7</v>
      </c>
      <c r="P904">
        <f t="shared" si="1014"/>
        <v>-3.937007874015671E-2</v>
      </c>
      <c r="Q904">
        <f t="shared" si="1015"/>
        <v>-12573.770078739912</v>
      </c>
      <c r="R904">
        <f t="shared" si="1016"/>
        <v>-10148699.263873141</v>
      </c>
      <c r="S904">
        <f t="shared" si="1017"/>
        <v>-101.48699263873141</v>
      </c>
      <c r="T904">
        <f t="shared" si="1018"/>
        <v>-0.10148699263873141</v>
      </c>
    </row>
    <row r="905" spans="1:20" x14ac:dyDescent="0.25">
      <c r="A905" s="5">
        <v>43688</v>
      </c>
      <c r="B905">
        <v>1.3033999999999999</v>
      </c>
      <c r="C905">
        <v>1.3704000000000001</v>
      </c>
      <c r="D905">
        <v>1.3007</v>
      </c>
      <c r="E905">
        <v>1.3226</v>
      </c>
      <c r="F905">
        <v>192010.26</v>
      </c>
      <c r="G905">
        <v>0</v>
      </c>
      <c r="L905" t="s">
        <v>7</v>
      </c>
      <c r="M905" t="s">
        <v>7</v>
      </c>
      <c r="N905" t="s">
        <v>7</v>
      </c>
      <c r="P905">
        <f t="shared" si="1014"/>
        <v>-0.3715925394548063</v>
      </c>
      <c r="Q905">
        <f t="shared" si="1015"/>
        <v>-71349.580114777622</v>
      </c>
      <c r="R905">
        <f t="shared" si="1016"/>
        <v>-10136125.493794402</v>
      </c>
      <c r="S905">
        <f t="shared" si="1017"/>
        <v>-101.36125493794403</v>
      </c>
      <c r="T905">
        <f t="shared" si="1018"/>
        <v>-0.10136125493794403</v>
      </c>
    </row>
    <row r="906" spans="1:20" x14ac:dyDescent="0.25">
      <c r="A906" s="5">
        <v>43687</v>
      </c>
      <c r="B906">
        <v>1.2889999999999999</v>
      </c>
      <c r="C906">
        <v>1.3249</v>
      </c>
      <c r="D906">
        <v>1.2706999999999999</v>
      </c>
      <c r="E906">
        <v>1.304</v>
      </c>
      <c r="F906">
        <v>174199.42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0.2287822878228816</v>
      </c>
      <c r="Q906">
        <f t="shared" si="1015"/>
        <v>39853.741845019038</v>
      </c>
      <c r="R906">
        <f t="shared" si="1016"/>
        <v>-10064775.913679624</v>
      </c>
      <c r="S906">
        <f t="shared" si="1017"/>
        <v>-100.64775913679624</v>
      </c>
      <c r="T906">
        <f t="shared" si="1018"/>
        <v>-0.10064775913679624</v>
      </c>
    </row>
    <row r="907" spans="1:20" x14ac:dyDescent="0.25">
      <c r="A907" s="5">
        <v>43686</v>
      </c>
      <c r="B907">
        <v>1.3360000000000001</v>
      </c>
      <c r="C907">
        <v>1.3480000000000001</v>
      </c>
      <c r="D907">
        <v>1.2706</v>
      </c>
      <c r="E907">
        <v>1.2890999999999999</v>
      </c>
      <c r="F907">
        <v>173044.5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-0.52196382428940757</v>
      </c>
      <c r="Q907">
        <f t="shared" si="1015"/>
        <v>-90322.968992248396</v>
      </c>
      <c r="R907">
        <f t="shared" si="1016"/>
        <v>-10104629.655524643</v>
      </c>
      <c r="S907">
        <f t="shared" si="1017"/>
        <v>-101.04629655524643</v>
      </c>
      <c r="T907">
        <f t="shared" si="1018"/>
        <v>-0.10104629655524643</v>
      </c>
    </row>
    <row r="908" spans="1:20" x14ac:dyDescent="0.25">
      <c r="A908" s="5">
        <v>43685</v>
      </c>
      <c r="B908">
        <v>1.3624000000000001</v>
      </c>
      <c r="C908">
        <v>1.3816999999999999</v>
      </c>
      <c r="D908">
        <v>1.2944</v>
      </c>
      <c r="E908">
        <v>1.3391999999999999</v>
      </c>
      <c r="F908">
        <v>337596.11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2.6345933562428071E-2</v>
      </c>
      <c r="Q908">
        <f t="shared" si="1015"/>
        <v>8894.2846849941579</v>
      </c>
      <c r="R908">
        <f t="shared" si="1016"/>
        <v>-10014306.686532395</v>
      </c>
      <c r="S908">
        <f t="shared" si="1017"/>
        <v>-100.14306686532395</v>
      </c>
      <c r="T908">
        <f t="shared" si="1018"/>
        <v>-0.10014306686532394</v>
      </c>
    </row>
    <row r="909" spans="1:20" x14ac:dyDescent="0.25">
      <c r="A909" s="5">
        <v>43684</v>
      </c>
      <c r="B909">
        <v>1.3575999999999999</v>
      </c>
      <c r="C909">
        <v>1.3729</v>
      </c>
      <c r="D909">
        <v>1.3117000000000001</v>
      </c>
      <c r="E909">
        <v>1.3625</v>
      </c>
      <c r="F909">
        <v>326314.86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0.66013071895424913</v>
      </c>
      <c r="Q909">
        <f t="shared" si="1015"/>
        <v>215410.46313725514</v>
      </c>
      <c r="R909">
        <f t="shared" si="1016"/>
        <v>-10023200.971217388</v>
      </c>
      <c r="S909">
        <f t="shared" si="1017"/>
        <v>-100.23200971217388</v>
      </c>
      <c r="T909">
        <f t="shared" si="1018"/>
        <v>-0.10023200971217387</v>
      </c>
    </row>
    <row r="910" spans="1:20" x14ac:dyDescent="0.25">
      <c r="A910" s="5">
        <v>43683</v>
      </c>
      <c r="B910">
        <v>1.4093</v>
      </c>
      <c r="C910">
        <v>1.4306000000000001</v>
      </c>
      <c r="D910">
        <v>1.3312999999999999</v>
      </c>
      <c r="E910">
        <v>1.3584000000000001</v>
      </c>
      <c r="F910">
        <v>603364.24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-0.45417925478348281</v>
      </c>
      <c r="Q910">
        <f t="shared" si="1015"/>
        <v>-274035.52088620246</v>
      </c>
      <c r="R910">
        <f t="shared" si="1016"/>
        <v>-10238611.434354644</v>
      </c>
      <c r="S910">
        <f t="shared" si="1017"/>
        <v>-102.38611434354644</v>
      </c>
      <c r="T910">
        <f t="shared" si="1018"/>
        <v>-0.10238611434354644</v>
      </c>
    </row>
    <row r="911" spans="1:20" x14ac:dyDescent="0.25">
      <c r="A911" s="5">
        <v>43682</v>
      </c>
      <c r="B911">
        <v>1.3616999999999999</v>
      </c>
      <c r="C911">
        <v>1.4475</v>
      </c>
      <c r="D911">
        <v>1.35</v>
      </c>
      <c r="E911">
        <v>1.4137</v>
      </c>
      <c r="F911">
        <v>490067.74</v>
      </c>
      <c r="G911">
        <v>0</v>
      </c>
      <c r="L911" t="s">
        <v>8</v>
      </c>
      <c r="M911" t="s">
        <v>7</v>
      </c>
      <c r="N911" t="s">
        <v>7</v>
      </c>
      <c r="P911">
        <f t="shared" si="1014"/>
        <v>0.30666666666666503</v>
      </c>
      <c r="Q911">
        <f t="shared" si="1015"/>
        <v>150287.44026666586</v>
      </c>
      <c r="R911">
        <f t="shared" si="1016"/>
        <v>-9964575.913468441</v>
      </c>
      <c r="S911">
        <f t="shared" si="1017"/>
        <v>-99.645759134684411</v>
      </c>
      <c r="T911">
        <f t="shared" si="1018"/>
        <v>-9.9645759134684417E-2</v>
      </c>
    </row>
    <row r="912" spans="1:20" x14ac:dyDescent="0.25">
      <c r="A912" s="5">
        <v>43681</v>
      </c>
      <c r="B912">
        <v>1.3704000000000001</v>
      </c>
      <c r="C912">
        <v>1.3787</v>
      </c>
      <c r="D912">
        <v>1.3136000000000001</v>
      </c>
      <c r="E912">
        <v>1.3576999999999999</v>
      </c>
      <c r="F912">
        <v>178161.05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0.35483870967741471</v>
      </c>
      <c r="Q912">
        <f t="shared" si="1015"/>
        <v>63218.437096773363</v>
      </c>
      <c r="R912">
        <f t="shared" si="1016"/>
        <v>-10114863.353735106</v>
      </c>
      <c r="S912">
        <f t="shared" si="1017"/>
        <v>-101.14863353735106</v>
      </c>
      <c r="T912">
        <f t="shared" si="1018"/>
        <v>-0.10114863353735105</v>
      </c>
    </row>
    <row r="913" spans="1:20" x14ac:dyDescent="0.25">
      <c r="A913" s="5">
        <v>43680</v>
      </c>
      <c r="B913">
        <v>1.3501000000000001</v>
      </c>
      <c r="C913">
        <v>1.3872</v>
      </c>
      <c r="D913">
        <v>1.3431</v>
      </c>
      <c r="E913">
        <v>1.3698999999999999</v>
      </c>
      <c r="F913">
        <v>281298.62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0.21541950113378314</v>
      </c>
      <c r="Q913">
        <f t="shared" si="1015"/>
        <v>60597.208390021631</v>
      </c>
      <c r="R913">
        <f t="shared" si="1016"/>
        <v>-10178081.790831879</v>
      </c>
      <c r="S913">
        <f t="shared" si="1017"/>
        <v>-101.78081790831878</v>
      </c>
      <c r="T913">
        <f t="shared" si="1018"/>
        <v>-0.10178081790831878</v>
      </c>
    </row>
    <row r="914" spans="1:20" x14ac:dyDescent="0.25">
      <c r="A914" s="5">
        <v>43679</v>
      </c>
      <c r="B914">
        <v>1.3593</v>
      </c>
      <c r="C914">
        <v>1.3856999999999999</v>
      </c>
      <c r="D914">
        <v>1.3401000000000001</v>
      </c>
      <c r="E914">
        <v>1.353</v>
      </c>
      <c r="F914">
        <v>379715.51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-0.43421052631579166</v>
      </c>
      <c r="Q914">
        <f t="shared" si="1015"/>
        <v>-164876.47144736926</v>
      </c>
      <c r="R914">
        <f t="shared" si="1016"/>
        <v>-10238678.9992219</v>
      </c>
      <c r="S914">
        <f t="shared" si="1017"/>
        <v>-102.38678999221901</v>
      </c>
      <c r="T914">
        <f t="shared" si="1018"/>
        <v>-0.10238678999221901</v>
      </c>
    </row>
    <row r="915" spans="1:20" x14ac:dyDescent="0.25">
      <c r="A915" s="5">
        <v>43678</v>
      </c>
      <c r="B915">
        <v>1.3723000000000001</v>
      </c>
      <c r="C915">
        <v>1.3933</v>
      </c>
      <c r="D915">
        <v>1.3478000000000001</v>
      </c>
      <c r="E915">
        <v>1.3592</v>
      </c>
      <c r="F915">
        <v>275823.62</v>
      </c>
      <c r="G915">
        <v>0</v>
      </c>
      <c r="L915" t="s">
        <v>8</v>
      </c>
      <c r="M915" t="s">
        <v>7</v>
      </c>
      <c r="N915" t="s">
        <v>7</v>
      </c>
      <c r="P915">
        <f t="shared" si="1014"/>
        <v>-0.4989010989011039</v>
      </c>
      <c r="Q915">
        <f t="shared" si="1015"/>
        <v>-137608.70712088048</v>
      </c>
      <c r="R915">
        <f t="shared" si="1016"/>
        <v>-10073802.527774531</v>
      </c>
      <c r="S915">
        <f t="shared" si="1017"/>
        <v>-100.73802527774531</v>
      </c>
      <c r="T915">
        <f t="shared" si="1018"/>
        <v>-0.10073802527774531</v>
      </c>
    </row>
    <row r="916" spans="1:20" x14ac:dyDescent="0.25">
      <c r="A916" s="5">
        <v>43677</v>
      </c>
      <c r="B916">
        <v>1.3636999999999999</v>
      </c>
      <c r="C916">
        <v>1.411</v>
      </c>
      <c r="D916">
        <v>1.3609</v>
      </c>
      <c r="E916">
        <v>1.3720000000000001</v>
      </c>
      <c r="F916">
        <v>250515.04</v>
      </c>
      <c r="G916">
        <v>0</v>
      </c>
      <c r="L916" t="s">
        <v>8</v>
      </c>
      <c r="M916" t="s">
        <v>7</v>
      </c>
      <c r="N916" t="s">
        <v>7</v>
      </c>
      <c r="P916">
        <f t="shared" si="1014"/>
        <v>-0.55688622754490613</v>
      </c>
      <c r="Q916">
        <f t="shared" si="1015"/>
        <v>-139508.37556886126</v>
      </c>
      <c r="R916">
        <f t="shared" si="1016"/>
        <v>-9936193.8206536509</v>
      </c>
      <c r="S916">
        <f t="shared" si="1017"/>
        <v>-99.361938206536507</v>
      </c>
      <c r="T916">
        <f t="shared" si="1018"/>
        <v>-9.9361938206536507E-2</v>
      </c>
    </row>
    <row r="917" spans="1:20" x14ac:dyDescent="0.25">
      <c r="A917" s="5">
        <v>43676</v>
      </c>
      <c r="B917">
        <v>1.3734</v>
      </c>
      <c r="C917">
        <v>1.3875999999999999</v>
      </c>
      <c r="D917">
        <v>1.351</v>
      </c>
      <c r="E917">
        <v>1.3704000000000001</v>
      </c>
      <c r="F917">
        <v>202992.29</v>
      </c>
      <c r="G917">
        <v>0</v>
      </c>
      <c r="L917" t="s">
        <v>8</v>
      </c>
      <c r="M917" t="s">
        <v>7</v>
      </c>
      <c r="N917" t="s">
        <v>7</v>
      </c>
      <c r="P917">
        <f t="shared" si="1014"/>
        <v>6.0109289617491908E-2</v>
      </c>
      <c r="Q917">
        <f t="shared" si="1015"/>
        <v>12201.722349727906</v>
      </c>
      <c r="R917">
        <f t="shared" si="1016"/>
        <v>-9796685.4450847898</v>
      </c>
      <c r="S917">
        <f t="shared" si="1017"/>
        <v>-97.966854450847904</v>
      </c>
      <c r="T917">
        <f t="shared" si="1018"/>
        <v>-9.7966854450847907E-2</v>
      </c>
    </row>
    <row r="918" spans="1:20" x14ac:dyDescent="0.25">
      <c r="A918" s="5">
        <v>43675</v>
      </c>
      <c r="B918">
        <v>1.3523000000000001</v>
      </c>
      <c r="C918">
        <v>1.44</v>
      </c>
      <c r="D918">
        <v>1.343</v>
      </c>
      <c r="E918">
        <v>1.3816999999999999</v>
      </c>
      <c r="F918">
        <v>555255.85</v>
      </c>
      <c r="G918">
        <v>0</v>
      </c>
      <c r="L918" t="s">
        <v>8</v>
      </c>
      <c r="M918" t="s">
        <v>7</v>
      </c>
      <c r="N918" t="s">
        <v>7</v>
      </c>
      <c r="P918">
        <f t="shared" si="1014"/>
        <v>-0.20206185567010379</v>
      </c>
      <c r="Q918">
        <f t="shared" si="1015"/>
        <v>-112196.0274226808</v>
      </c>
      <c r="R918">
        <f t="shared" si="1016"/>
        <v>-9808887.1674345173</v>
      </c>
      <c r="S918">
        <f t="shared" si="1017"/>
        <v>-98.088871674345171</v>
      </c>
      <c r="T918">
        <f t="shared" si="1018"/>
        <v>-9.8088871674345171E-2</v>
      </c>
    </row>
    <row r="919" spans="1:20" x14ac:dyDescent="0.25">
      <c r="A919" s="5">
        <v>43674</v>
      </c>
      <c r="B919">
        <v>1.3539000000000001</v>
      </c>
      <c r="C919">
        <v>1.3628</v>
      </c>
      <c r="D919">
        <v>1.2845</v>
      </c>
      <c r="E919">
        <v>1.3528</v>
      </c>
      <c r="F919">
        <v>234727.49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0.74457215836526169</v>
      </c>
      <c r="Q919">
        <f t="shared" si="1015"/>
        <v>174771.55385696038</v>
      </c>
      <c r="R919">
        <f t="shared" si="1016"/>
        <v>-9696691.1400118358</v>
      </c>
      <c r="S919">
        <f t="shared" si="1017"/>
        <v>-96.966911400118363</v>
      </c>
      <c r="T919">
        <f t="shared" si="1018"/>
        <v>-9.6966911400118358E-2</v>
      </c>
    </row>
    <row r="920" spans="1:20" x14ac:dyDescent="0.25">
      <c r="A920" s="5">
        <v>43673</v>
      </c>
      <c r="B920">
        <v>1.4234</v>
      </c>
      <c r="C920">
        <v>1.45</v>
      </c>
      <c r="D920">
        <v>1.3216000000000001</v>
      </c>
      <c r="E920">
        <v>1.35</v>
      </c>
      <c r="F920">
        <v>255352.57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-0.55763239875389381</v>
      </c>
      <c r="Q920">
        <f t="shared" si="1015"/>
        <v>-142392.8661370716</v>
      </c>
      <c r="R920">
        <f t="shared" si="1016"/>
        <v>-9871462.6938687954</v>
      </c>
      <c r="S920">
        <f t="shared" si="1017"/>
        <v>-98.714626938687957</v>
      </c>
      <c r="T920">
        <f t="shared" si="1018"/>
        <v>-9.871462693868796E-2</v>
      </c>
    </row>
    <row r="921" spans="1:20" x14ac:dyDescent="0.25">
      <c r="A921" s="5">
        <v>43672</v>
      </c>
      <c r="B921">
        <v>1.4018999999999999</v>
      </c>
      <c r="C921">
        <v>1.4319999999999999</v>
      </c>
      <c r="D921">
        <v>1.3653</v>
      </c>
      <c r="E921">
        <v>1.4249000000000001</v>
      </c>
      <c r="F921">
        <v>189105.4</v>
      </c>
      <c r="G921">
        <v>0</v>
      </c>
      <c r="L921" t="s">
        <v>8</v>
      </c>
      <c r="M921" t="s">
        <v>7</v>
      </c>
      <c r="N921" t="s">
        <v>7</v>
      </c>
      <c r="P921">
        <f t="shared" si="1014"/>
        <v>0.78710644677661512</v>
      </c>
      <c r="Q921">
        <f t="shared" si="1015"/>
        <v>148846.0794602705</v>
      </c>
      <c r="R921">
        <f t="shared" si="1016"/>
        <v>-9729069.827731723</v>
      </c>
      <c r="S921">
        <f t="shared" si="1017"/>
        <v>-97.290698277317233</v>
      </c>
      <c r="T921">
        <f t="shared" si="1018"/>
        <v>-9.7290698277317234E-2</v>
      </c>
    </row>
    <row r="922" spans="1:20" x14ac:dyDescent="0.25">
      <c r="A922" s="5">
        <v>43671</v>
      </c>
      <c r="B922">
        <v>1.37</v>
      </c>
      <c r="C922">
        <v>1.4278999999999999</v>
      </c>
      <c r="D922">
        <v>1.3672</v>
      </c>
      <c r="E922">
        <v>1.4083000000000001</v>
      </c>
      <c r="F922">
        <v>331088.59999999998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0.35420098846787984</v>
      </c>
      <c r="Q922">
        <f t="shared" si="1015"/>
        <v>117271.90939044647</v>
      </c>
      <c r="R922">
        <f t="shared" si="1016"/>
        <v>-9877915.9071919937</v>
      </c>
      <c r="S922">
        <f t="shared" si="1017"/>
        <v>-98.779159071919935</v>
      </c>
      <c r="T922">
        <f t="shared" si="1018"/>
        <v>-9.8779159071919934E-2</v>
      </c>
    </row>
    <row r="923" spans="1:20" x14ac:dyDescent="0.25">
      <c r="A923" s="5">
        <v>43670</v>
      </c>
      <c r="B923">
        <v>1.3653</v>
      </c>
      <c r="C923">
        <v>1.4019999999999999</v>
      </c>
      <c r="D923">
        <v>1.2999000000000001</v>
      </c>
      <c r="E923">
        <v>1.3741000000000001</v>
      </c>
      <c r="F923">
        <v>355388.4</v>
      </c>
      <c r="G923">
        <v>0</v>
      </c>
      <c r="L923" t="s">
        <v>8</v>
      </c>
      <c r="M923" t="s">
        <v>7</v>
      </c>
      <c r="N923" t="s">
        <v>7</v>
      </c>
      <c r="P923">
        <f t="shared" si="1014"/>
        <v>0.45347698334966008</v>
      </c>
      <c r="Q923">
        <f t="shared" si="1015"/>
        <v>161160.45954946234</v>
      </c>
      <c r="R923">
        <f t="shared" si="1016"/>
        <v>-9995187.8165824395</v>
      </c>
      <c r="S923">
        <f t="shared" si="1017"/>
        <v>-99.951878165824397</v>
      </c>
      <c r="T923">
        <f t="shared" si="1018"/>
        <v>-9.995187816582439E-2</v>
      </c>
    </row>
    <row r="924" spans="1:20" x14ac:dyDescent="0.25">
      <c r="A924" s="5">
        <v>43669</v>
      </c>
      <c r="B924">
        <v>1.4279999999999999</v>
      </c>
      <c r="C924">
        <v>1.4436</v>
      </c>
      <c r="D924">
        <v>1.3120000000000001</v>
      </c>
      <c r="E924">
        <v>1.3658999999999999</v>
      </c>
      <c r="F924">
        <v>594764.47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-0.18085106382978933</v>
      </c>
      <c r="Q924">
        <f t="shared" si="1015"/>
        <v>-107563.78712766082</v>
      </c>
      <c r="R924">
        <f t="shared" si="1016"/>
        <v>-10156348.276131902</v>
      </c>
      <c r="S924">
        <f t="shared" si="1017"/>
        <v>-101.56348276131902</v>
      </c>
      <c r="T924">
        <f t="shared" si="1018"/>
        <v>-0.10156348276131902</v>
      </c>
    </row>
    <row r="925" spans="1:20" x14ac:dyDescent="0.25">
      <c r="A925" s="5">
        <v>43668</v>
      </c>
      <c r="B925">
        <v>1.4652000000000001</v>
      </c>
      <c r="C925">
        <v>1.476</v>
      </c>
      <c r="D925">
        <v>1.3958999999999999</v>
      </c>
      <c r="E925">
        <v>1.4279999999999999</v>
      </c>
      <c r="F925">
        <v>478653.45</v>
      </c>
      <c r="G925">
        <v>0</v>
      </c>
      <c r="L925" t="s">
        <v>7</v>
      </c>
      <c r="M925" t="s">
        <v>7</v>
      </c>
      <c r="N925" t="s">
        <v>7</v>
      </c>
      <c r="P925">
        <f t="shared" si="1014"/>
        <v>-0.19850187265917621</v>
      </c>
      <c r="Q925">
        <f t="shared" si="1015"/>
        <v>-95013.606179775365</v>
      </c>
      <c r="R925">
        <f t="shared" si="1016"/>
        <v>-10048784.489004241</v>
      </c>
      <c r="S925">
        <f t="shared" si="1017"/>
        <v>-100.48784489004241</v>
      </c>
      <c r="T925">
        <f t="shared" si="1018"/>
        <v>-0.10048784489004241</v>
      </c>
    </row>
    <row r="926" spans="1:20" x14ac:dyDescent="0.25">
      <c r="A926" s="5">
        <v>43667</v>
      </c>
      <c r="B926">
        <v>1.4890000000000001</v>
      </c>
      <c r="C926">
        <v>1.5019</v>
      </c>
      <c r="D926">
        <v>1.4171</v>
      </c>
      <c r="E926">
        <v>1.4651000000000001</v>
      </c>
      <c r="F926">
        <v>742259.61</v>
      </c>
      <c r="G926">
        <v>0</v>
      </c>
      <c r="L926" t="s">
        <v>7</v>
      </c>
      <c r="M926" t="s">
        <v>7</v>
      </c>
      <c r="N926" t="s">
        <v>7</v>
      </c>
      <c r="P926">
        <f t="shared" si="1014"/>
        <v>0.1320754716981144</v>
      </c>
      <c r="Q926">
        <f t="shared" si="1015"/>
        <v>98034.288113208429</v>
      </c>
      <c r="R926">
        <f t="shared" si="1016"/>
        <v>-9953770.8828244656</v>
      </c>
      <c r="S926">
        <f t="shared" si="1017"/>
        <v>-99.537708828244661</v>
      </c>
      <c r="T926">
        <f t="shared" si="1018"/>
        <v>-9.9537708828244656E-2</v>
      </c>
    </row>
    <row r="927" spans="1:20" x14ac:dyDescent="0.25">
      <c r="A927" s="5">
        <v>43666</v>
      </c>
      <c r="B927">
        <v>1.4628000000000001</v>
      </c>
      <c r="C927">
        <v>1.5329999999999999</v>
      </c>
      <c r="D927">
        <v>1.4440999999999999</v>
      </c>
      <c r="E927">
        <v>1.4890000000000001</v>
      </c>
      <c r="F927">
        <v>798240.26</v>
      </c>
      <c r="G927">
        <v>0</v>
      </c>
      <c r="L927" t="s">
        <v>8</v>
      </c>
      <c r="M927" t="s">
        <v>7</v>
      </c>
      <c r="N927" t="s">
        <v>7</v>
      </c>
      <c r="P927">
        <f t="shared" si="1014"/>
        <v>1.0123734533187234E-2</v>
      </c>
      <c r="Q927">
        <f t="shared" si="1015"/>
        <v>8081.1724859423566</v>
      </c>
      <c r="R927">
        <f t="shared" si="1016"/>
        <v>-10051805.170937674</v>
      </c>
      <c r="S927">
        <f t="shared" si="1017"/>
        <v>-100.51805170937673</v>
      </c>
      <c r="T927">
        <f t="shared" si="1018"/>
        <v>-0.10051805170937674</v>
      </c>
    </row>
    <row r="928" spans="1:20" x14ac:dyDescent="0.25">
      <c r="A928" s="5">
        <v>43665</v>
      </c>
      <c r="B928">
        <v>1.4910000000000001</v>
      </c>
      <c r="C928">
        <v>1.4982</v>
      </c>
      <c r="D928">
        <v>1.4211</v>
      </c>
      <c r="E928">
        <v>1.4608000000000001</v>
      </c>
      <c r="F928">
        <v>698573.52</v>
      </c>
      <c r="G928">
        <v>0</v>
      </c>
      <c r="L928" t="s">
        <v>7</v>
      </c>
      <c r="M928" t="s">
        <v>7</v>
      </c>
      <c r="N928" t="s">
        <v>7</v>
      </c>
      <c r="P928">
        <f t="shared" si="1014"/>
        <v>2.9831387808044001E-2</v>
      </c>
      <c r="Q928">
        <f t="shared" si="1015"/>
        <v>20839.417587550382</v>
      </c>
      <c r="R928">
        <f t="shared" si="1016"/>
        <v>-10059886.343423616</v>
      </c>
      <c r="S928">
        <f t="shared" si="1017"/>
        <v>-100.59886343423616</v>
      </c>
      <c r="T928">
        <f t="shared" si="1018"/>
        <v>-0.10059886343423617</v>
      </c>
    </row>
    <row r="929" spans="1:20" x14ac:dyDescent="0.25">
      <c r="A929" s="5">
        <v>43664</v>
      </c>
      <c r="B929">
        <v>1.4045000000000001</v>
      </c>
      <c r="C929">
        <v>1.5376000000000001</v>
      </c>
      <c r="D929">
        <v>1.3725000000000001</v>
      </c>
      <c r="E929">
        <v>1.4910000000000001</v>
      </c>
      <c r="F929">
        <v>1396330.9</v>
      </c>
      <c r="G929">
        <v>0</v>
      </c>
      <c r="L929" t="s">
        <v>8</v>
      </c>
      <c r="M929" t="s">
        <v>7</v>
      </c>
      <c r="N929" t="s">
        <v>7</v>
      </c>
      <c r="P929">
        <f t="shared" si="1014"/>
        <v>0.43549364021805004</v>
      </c>
      <c r="Q929">
        <f t="shared" si="1015"/>
        <v>608093.22658994596</v>
      </c>
      <c r="R929">
        <f t="shared" si="1016"/>
        <v>-10080725.761011166</v>
      </c>
      <c r="S929">
        <f t="shared" si="1017"/>
        <v>-100.80725761011166</v>
      </c>
      <c r="T929">
        <f t="shared" si="1018"/>
        <v>-0.10080725761011167</v>
      </c>
    </row>
    <row r="930" spans="1:20" x14ac:dyDescent="0.25">
      <c r="A930" s="5">
        <v>43663</v>
      </c>
      <c r="B930">
        <v>1.4398</v>
      </c>
      <c r="C930">
        <v>1.4579</v>
      </c>
      <c r="D930">
        <v>1.3423</v>
      </c>
      <c r="E930">
        <v>1.4039999999999999</v>
      </c>
      <c r="F930">
        <v>1533317.34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6.7474048442904944E-2</v>
      </c>
      <c r="Q930">
        <f t="shared" si="1015"/>
        <v>103459.12847750615</v>
      </c>
      <c r="R930">
        <f t="shared" si="1016"/>
        <v>-10688818.987601113</v>
      </c>
      <c r="S930">
        <f t="shared" si="1017"/>
        <v>-106.88818987601113</v>
      </c>
      <c r="T930">
        <f t="shared" si="1018"/>
        <v>-0.10688818987601112</v>
      </c>
    </row>
    <row r="931" spans="1:20" x14ac:dyDescent="0.25">
      <c r="A931" s="5">
        <v>43662</v>
      </c>
      <c r="B931">
        <v>1.4886999999999999</v>
      </c>
      <c r="C931">
        <v>1.66</v>
      </c>
      <c r="D931">
        <v>1.4319999999999999</v>
      </c>
      <c r="E931">
        <v>1.446</v>
      </c>
      <c r="F931">
        <v>2643209.2200000002</v>
      </c>
      <c r="G931">
        <v>0</v>
      </c>
      <c r="L931" t="s">
        <v>8</v>
      </c>
      <c r="M931" t="s">
        <v>8</v>
      </c>
      <c r="N931" t="s">
        <v>7</v>
      </c>
      <c r="P931">
        <f t="shared" si="1014"/>
        <v>-0.87719298245614019</v>
      </c>
      <c r="Q931">
        <f t="shared" si="1015"/>
        <v>-2318604.5789473681</v>
      </c>
      <c r="R931">
        <f t="shared" si="1016"/>
        <v>-10792278.116078619</v>
      </c>
      <c r="S931">
        <f t="shared" si="1017"/>
        <v>-107.92278116078619</v>
      </c>
      <c r="T931">
        <f t="shared" si="1018"/>
        <v>-0.10792278116078619</v>
      </c>
    </row>
    <row r="932" spans="1:20" x14ac:dyDescent="0.25">
      <c r="A932" s="5">
        <v>43661</v>
      </c>
      <c r="B932">
        <v>1.4767999999999999</v>
      </c>
      <c r="C932">
        <v>1.5918000000000001</v>
      </c>
      <c r="D932">
        <v>1.3</v>
      </c>
      <c r="E932">
        <v>1.4903</v>
      </c>
      <c r="F932">
        <v>1969873.2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0.30431802604523561</v>
      </c>
      <c r="Q932">
        <f t="shared" si="1015"/>
        <v>599467.92378341162</v>
      </c>
      <c r="R932">
        <f t="shared" si="1016"/>
        <v>-8473673.5371312499</v>
      </c>
      <c r="S932">
        <f t="shared" si="1017"/>
        <v>-84.736735371312506</v>
      </c>
      <c r="T932">
        <f t="shared" si="1018"/>
        <v>-8.4736735371312502E-2</v>
      </c>
    </row>
    <row r="933" spans="1:20" x14ac:dyDescent="0.25">
      <c r="A933" s="5">
        <v>43660</v>
      </c>
      <c r="B933">
        <v>1.5470999999999999</v>
      </c>
      <c r="C933">
        <v>1.7144999999999999</v>
      </c>
      <c r="D933">
        <v>1.45</v>
      </c>
      <c r="E933">
        <v>1.4767999999999999</v>
      </c>
      <c r="F933">
        <v>1136437.02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-0.79735349716446169</v>
      </c>
      <c r="Q933">
        <f t="shared" si="1015"/>
        <v>-906142.0322041593</v>
      </c>
      <c r="R933">
        <f t="shared" si="1016"/>
        <v>-9073141.4609146621</v>
      </c>
      <c r="S933">
        <f t="shared" si="1017"/>
        <v>-90.731414609146626</v>
      </c>
      <c r="T933">
        <f t="shared" si="1018"/>
        <v>-9.0731414609146632E-2</v>
      </c>
    </row>
    <row r="934" spans="1:20" x14ac:dyDescent="0.25">
      <c r="A934" s="5">
        <v>43659</v>
      </c>
      <c r="B934">
        <v>1.6212</v>
      </c>
      <c r="C934">
        <v>1.6433</v>
      </c>
      <c r="D934">
        <v>1.51</v>
      </c>
      <c r="E934">
        <v>1.5463</v>
      </c>
      <c r="F934">
        <v>485730.78</v>
      </c>
      <c r="G934">
        <v>0</v>
      </c>
      <c r="L934" t="s">
        <v>7</v>
      </c>
      <c r="M934" t="s">
        <v>8</v>
      </c>
      <c r="N934" t="s">
        <v>7</v>
      </c>
      <c r="P934">
        <f t="shared" si="1014"/>
        <v>-0.45536384096023996</v>
      </c>
      <c r="Q934">
        <f t="shared" si="1015"/>
        <v>-221184.23365341331</v>
      </c>
      <c r="R934">
        <f t="shared" si="1016"/>
        <v>-8166999.4287105035</v>
      </c>
      <c r="S934">
        <f t="shared" si="1017"/>
        <v>-81.669994287105041</v>
      </c>
      <c r="T934">
        <f t="shared" si="1018"/>
        <v>-8.1669994287105044E-2</v>
      </c>
    </row>
    <row r="935" spans="1:20" x14ac:dyDescent="0.25">
      <c r="A935" s="5">
        <v>43658</v>
      </c>
      <c r="B935">
        <v>1.4847999999999999</v>
      </c>
      <c r="C935">
        <v>1.7722</v>
      </c>
      <c r="D935">
        <v>1.4692000000000001</v>
      </c>
      <c r="E935">
        <v>1.6211</v>
      </c>
      <c r="F935">
        <v>1420788.46</v>
      </c>
      <c r="G935">
        <v>0</v>
      </c>
      <c r="L935" t="s">
        <v>8</v>
      </c>
      <c r="M935" t="s">
        <v>8</v>
      </c>
      <c r="N935" t="s">
        <v>7</v>
      </c>
      <c r="P935">
        <f t="shared" si="1014"/>
        <v>2.6402640264023502E-3</v>
      </c>
      <c r="Q935">
        <f t="shared" si="1015"/>
        <v>3751.2566600655941</v>
      </c>
      <c r="R935">
        <f t="shared" si="1016"/>
        <v>-7945815.1950570904</v>
      </c>
      <c r="S935">
        <f t="shared" si="1017"/>
        <v>-79.458151950570908</v>
      </c>
      <c r="T935">
        <f t="shared" si="1018"/>
        <v>-7.9458151950570904E-2</v>
      </c>
    </row>
    <row r="936" spans="1:20" x14ac:dyDescent="0.25">
      <c r="A936" s="5">
        <v>43657</v>
      </c>
      <c r="B936">
        <v>1.7099</v>
      </c>
      <c r="C936">
        <v>1.7108000000000001</v>
      </c>
      <c r="D936">
        <v>1.4568000000000001</v>
      </c>
      <c r="E936">
        <v>1.4892000000000001</v>
      </c>
      <c r="F936">
        <v>746714.99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-0.74488188976377967</v>
      </c>
      <c r="Q936">
        <f t="shared" si="1015"/>
        <v>-556214.47286614182</v>
      </c>
      <c r="R936">
        <f t="shared" si="1016"/>
        <v>-7949566.451717156</v>
      </c>
      <c r="S936">
        <f t="shared" si="1017"/>
        <v>-79.495664517171562</v>
      </c>
      <c r="T936">
        <f t="shared" si="1018"/>
        <v>-7.9495664517171563E-2</v>
      </c>
    </row>
    <row r="937" spans="1:20" x14ac:dyDescent="0.25">
      <c r="A937" s="5">
        <v>43656</v>
      </c>
      <c r="B937">
        <v>1.8169999999999999</v>
      </c>
      <c r="C937">
        <v>1.8444</v>
      </c>
      <c r="D937">
        <v>1.6656</v>
      </c>
      <c r="E937">
        <v>1.7116</v>
      </c>
      <c r="F937">
        <v>997611.73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-0.48545861297539122</v>
      </c>
      <c r="Q937">
        <f t="shared" si="1015"/>
        <v>-484299.20673378051</v>
      </c>
      <c r="R937">
        <f t="shared" si="1016"/>
        <v>-7393351.9788510138</v>
      </c>
      <c r="S937">
        <f t="shared" si="1017"/>
        <v>-73.933519788510139</v>
      </c>
      <c r="T937">
        <f t="shared" si="1018"/>
        <v>-7.3933519788510135E-2</v>
      </c>
    </row>
    <row r="938" spans="1:20" x14ac:dyDescent="0.25">
      <c r="A938" s="5">
        <v>43655</v>
      </c>
      <c r="B938">
        <v>1.8928</v>
      </c>
      <c r="C938">
        <v>1.9007000000000001</v>
      </c>
      <c r="D938">
        <v>1.7809999999999999</v>
      </c>
      <c r="E938">
        <v>1.8192999999999999</v>
      </c>
      <c r="F938">
        <v>973960.34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-0.36006683375104503</v>
      </c>
      <c r="Q938">
        <f t="shared" si="1015"/>
        <v>-350690.81582289131</v>
      </c>
      <c r="R938">
        <f t="shared" si="1016"/>
        <v>-6909052.7721172329</v>
      </c>
      <c r="S938">
        <f t="shared" si="1017"/>
        <v>-69.090527721172336</v>
      </c>
      <c r="T938">
        <f t="shared" si="1018"/>
        <v>-6.9090527721172329E-2</v>
      </c>
    </row>
    <row r="939" spans="1:20" x14ac:dyDescent="0.25">
      <c r="A939" s="5">
        <v>43654</v>
      </c>
      <c r="B939">
        <v>2.0506000000000002</v>
      </c>
      <c r="C939">
        <v>2.0663999999999998</v>
      </c>
      <c r="D939">
        <v>1.8674999999999999</v>
      </c>
      <c r="E939">
        <v>1.8877999999999999</v>
      </c>
      <c r="F939">
        <v>2718738.24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-0.79587732528909005</v>
      </c>
      <c r="Q939">
        <f t="shared" si="1015"/>
        <v>-2163782.1186123686</v>
      </c>
      <c r="R939">
        <f t="shared" si="1016"/>
        <v>-6558361.9562943419</v>
      </c>
      <c r="S939">
        <f t="shared" si="1017"/>
        <v>-65.583619562943426</v>
      </c>
      <c r="T939">
        <f t="shared" si="1018"/>
        <v>-6.5583619562943424E-2</v>
      </c>
    </row>
    <row r="940" spans="1:20" x14ac:dyDescent="0.25">
      <c r="A940" s="5">
        <v>43653</v>
      </c>
      <c r="B940">
        <v>1.9468000000000001</v>
      </c>
      <c r="C940">
        <v>2.2749999999999999</v>
      </c>
      <c r="D940">
        <v>1.9101999999999999</v>
      </c>
      <c r="E940">
        <v>2.0510999999999999</v>
      </c>
      <c r="F940">
        <v>4211284.55</v>
      </c>
      <c r="G940">
        <v>0</v>
      </c>
      <c r="L940" t="s">
        <v>8</v>
      </c>
      <c r="M940" t="s">
        <v>8</v>
      </c>
      <c r="N940" t="s">
        <v>7</v>
      </c>
      <c r="P940">
        <f t="shared" si="1014"/>
        <v>-0.22752192982456129</v>
      </c>
      <c r="Q940">
        <f t="shared" si="1015"/>
        <v>-958159.58785635908</v>
      </c>
      <c r="R940">
        <f t="shared" si="1016"/>
        <v>-4394579.8376819734</v>
      </c>
      <c r="S940">
        <f t="shared" si="1017"/>
        <v>-43.945798376819731</v>
      </c>
      <c r="T940">
        <f t="shared" si="1018"/>
        <v>-4.3945798376819729E-2</v>
      </c>
    </row>
    <row r="941" spans="1:20" x14ac:dyDescent="0.25">
      <c r="A941" s="5">
        <v>43652</v>
      </c>
      <c r="B941">
        <v>1.7850999999999999</v>
      </c>
      <c r="C941">
        <v>2.2000000000000002</v>
      </c>
      <c r="D941">
        <v>1.7689999999999999</v>
      </c>
      <c r="E941">
        <v>1.9468000000000001</v>
      </c>
      <c r="F941">
        <v>2581472.6800000002</v>
      </c>
      <c r="G941">
        <v>0</v>
      </c>
      <c r="L941" t="s">
        <v>8</v>
      </c>
      <c r="M941" t="s">
        <v>8</v>
      </c>
      <c r="N941" t="s">
        <v>7</v>
      </c>
      <c r="P941">
        <f t="shared" si="1014"/>
        <v>-0.17494199535962845</v>
      </c>
      <c r="Q941">
        <f t="shared" si="1015"/>
        <v>-451607.98160556768</v>
      </c>
      <c r="R941">
        <f t="shared" si="1016"/>
        <v>-3436420.2498256145</v>
      </c>
      <c r="S941">
        <f t="shared" si="1017"/>
        <v>-34.364202498256148</v>
      </c>
      <c r="T941">
        <f t="shared" si="1018"/>
        <v>-3.4364202498256148E-2</v>
      </c>
    </row>
    <row r="942" spans="1:20" x14ac:dyDescent="0.25">
      <c r="A942" s="5">
        <v>43651</v>
      </c>
      <c r="B942">
        <v>1.8185</v>
      </c>
      <c r="C942">
        <v>1.8542000000000001</v>
      </c>
      <c r="D942">
        <v>1.7665</v>
      </c>
      <c r="E942">
        <v>1.7886</v>
      </c>
      <c r="F942">
        <v>322979.90999999997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-0.49600912200684194</v>
      </c>
      <c r="Q942">
        <f t="shared" si="1015"/>
        <v>-160200.98158494881</v>
      </c>
      <c r="R942">
        <f t="shared" si="1016"/>
        <v>-2984812.268220047</v>
      </c>
      <c r="S942">
        <f t="shared" si="1017"/>
        <v>-29.848122682200469</v>
      </c>
      <c r="T942">
        <f t="shared" si="1018"/>
        <v>-2.9848122682200467E-2</v>
      </c>
    </row>
    <row r="943" spans="1:20" x14ac:dyDescent="0.25">
      <c r="A943" s="5">
        <v>43650</v>
      </c>
      <c r="B943">
        <v>1.9390000000000001</v>
      </c>
      <c r="C943">
        <v>1.9458</v>
      </c>
      <c r="D943">
        <v>1.8092999999999999</v>
      </c>
      <c r="E943">
        <v>1.8185</v>
      </c>
      <c r="F943">
        <v>277066.98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-0.86520146520146379</v>
      </c>
      <c r="Q943">
        <f t="shared" si="1015"/>
        <v>-239718.75705494464</v>
      </c>
      <c r="R943">
        <f t="shared" si="1016"/>
        <v>-2824611.286635098</v>
      </c>
      <c r="S943">
        <f t="shared" si="1017"/>
        <v>-28.24611286635098</v>
      </c>
      <c r="T943">
        <f t="shared" si="1018"/>
        <v>-2.8246112866350981E-2</v>
      </c>
    </row>
    <row r="944" spans="1:20" x14ac:dyDescent="0.25">
      <c r="A944" s="5">
        <v>43649</v>
      </c>
      <c r="B944">
        <v>1.8201000000000001</v>
      </c>
      <c r="C944">
        <v>1.956</v>
      </c>
      <c r="D944">
        <v>1.7936000000000001</v>
      </c>
      <c r="E944">
        <v>1.9483999999999999</v>
      </c>
      <c r="F944">
        <v>681500.94</v>
      </c>
      <c r="G944">
        <v>0</v>
      </c>
      <c r="L944" t="s">
        <v>8</v>
      </c>
      <c r="M944" t="s">
        <v>7</v>
      </c>
      <c r="N944" t="s">
        <v>7</v>
      </c>
      <c r="P944">
        <f t="shared" si="1014"/>
        <v>0.90640394088669884</v>
      </c>
      <c r="Q944">
        <f t="shared" si="1015"/>
        <v>617715.13773398963</v>
      </c>
      <c r="R944">
        <f t="shared" si="1016"/>
        <v>-2584892.5295801535</v>
      </c>
      <c r="S944">
        <f t="shared" si="1017"/>
        <v>-25.848925295801536</v>
      </c>
      <c r="T944">
        <f t="shared" si="1018"/>
        <v>-2.5848925295801534E-2</v>
      </c>
    </row>
    <row r="945" spans="1:20" x14ac:dyDescent="0.25">
      <c r="A945" s="5">
        <v>43648</v>
      </c>
      <c r="B945">
        <v>1.8749</v>
      </c>
      <c r="C945">
        <v>1.9227000000000001</v>
      </c>
      <c r="D945">
        <v>1.7055</v>
      </c>
      <c r="E945">
        <v>1.8232999999999999</v>
      </c>
      <c r="F945">
        <v>609021.98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8.4714548802945419E-2</v>
      </c>
      <c r="Q945">
        <f t="shared" si="1015"/>
        <v>51593.022246776447</v>
      </c>
      <c r="R945">
        <f t="shared" si="1016"/>
        <v>-3202607.6673141429</v>
      </c>
      <c r="S945">
        <f t="shared" si="1017"/>
        <v>-32.026076673141432</v>
      </c>
      <c r="T945">
        <f t="shared" si="1018"/>
        <v>-3.2026076673141432E-2</v>
      </c>
    </row>
    <row r="946" spans="1:20" x14ac:dyDescent="0.25">
      <c r="A946" s="5">
        <v>43647</v>
      </c>
      <c r="B946">
        <v>1.8309</v>
      </c>
      <c r="C946">
        <v>1.95</v>
      </c>
      <c r="D946">
        <v>1.7862</v>
      </c>
      <c r="E946">
        <v>1.8845000000000001</v>
      </c>
      <c r="F946">
        <v>569100.19999999995</v>
      </c>
      <c r="G946">
        <v>0</v>
      </c>
      <c r="L946" t="s">
        <v>8</v>
      </c>
      <c r="M946" t="s">
        <v>7</v>
      </c>
      <c r="N946" t="s">
        <v>7</v>
      </c>
      <c r="P946">
        <f t="shared" si="1014"/>
        <v>0.20024420024420131</v>
      </c>
      <c r="Q946">
        <f t="shared" si="1015"/>
        <v>113959.014407815</v>
      </c>
      <c r="R946">
        <f t="shared" si="1016"/>
        <v>-3254200.6895609195</v>
      </c>
      <c r="S946">
        <f t="shared" si="1017"/>
        <v>-32.542006895609198</v>
      </c>
      <c r="T946">
        <f t="shared" si="1018"/>
        <v>-3.2542006895609196E-2</v>
      </c>
    </row>
    <row r="947" spans="1:20" x14ac:dyDescent="0.25">
      <c r="A947" s="5">
        <v>43646</v>
      </c>
      <c r="B947">
        <v>1.9724999999999999</v>
      </c>
      <c r="C947">
        <v>1.98</v>
      </c>
      <c r="D947">
        <v>1.8069999999999999</v>
      </c>
      <c r="E947">
        <v>1.8208</v>
      </c>
      <c r="F947">
        <v>811722.05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-0.84046242774566438</v>
      </c>
      <c r="Q947">
        <f t="shared" si="1015"/>
        <v>-682221.88479768764</v>
      </c>
      <c r="R947">
        <f t="shared" si="1016"/>
        <v>-3368159.7039687345</v>
      </c>
      <c r="S947">
        <f t="shared" si="1017"/>
        <v>-33.681597039687347</v>
      </c>
      <c r="T947">
        <f t="shared" si="1018"/>
        <v>-3.3681597039687344E-2</v>
      </c>
    </row>
    <row r="948" spans="1:20" x14ac:dyDescent="0.25">
      <c r="A948" s="5">
        <v>43645</v>
      </c>
      <c r="B948">
        <v>2.0083000000000002</v>
      </c>
      <c r="C948">
        <v>2.0202</v>
      </c>
      <c r="D948">
        <v>1.865</v>
      </c>
      <c r="E948">
        <v>1.9655</v>
      </c>
      <c r="F948">
        <v>853291</v>
      </c>
      <c r="G948">
        <v>0</v>
      </c>
      <c r="L948" t="s">
        <v>7</v>
      </c>
      <c r="M948" t="s">
        <v>7</v>
      </c>
      <c r="N948" t="s">
        <v>7</v>
      </c>
      <c r="P948">
        <f t="shared" si="1014"/>
        <v>0.29510309278350555</v>
      </c>
      <c r="Q948">
        <f t="shared" si="1015"/>
        <v>251808.81314433023</v>
      </c>
      <c r="R948">
        <f t="shared" si="1016"/>
        <v>-2685937.8191710468</v>
      </c>
      <c r="S948">
        <f t="shared" si="1017"/>
        <v>-26.859378191710469</v>
      </c>
      <c r="T948">
        <f t="shared" si="1018"/>
        <v>-2.685937819171047E-2</v>
      </c>
    </row>
    <row r="949" spans="1:20" x14ac:dyDescent="0.25">
      <c r="A949" s="5">
        <v>43644</v>
      </c>
      <c r="B949">
        <v>1.8655999999999999</v>
      </c>
      <c r="C949">
        <v>2.0222000000000002</v>
      </c>
      <c r="D949">
        <v>1.84</v>
      </c>
      <c r="E949">
        <v>2.0076999999999998</v>
      </c>
      <c r="F949">
        <v>894708.27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0.84083424807902973</v>
      </c>
      <c r="Q949">
        <f t="shared" si="1015"/>
        <v>752301.35545553954</v>
      </c>
      <c r="R949">
        <f t="shared" si="1016"/>
        <v>-2937746.6323153772</v>
      </c>
      <c r="S949">
        <f t="shared" si="1017"/>
        <v>-29.377466323153772</v>
      </c>
      <c r="T949">
        <f t="shared" si="1018"/>
        <v>-2.9377466323153772E-2</v>
      </c>
    </row>
    <row r="950" spans="1:20" x14ac:dyDescent="0.25">
      <c r="A950" s="5">
        <v>43643</v>
      </c>
      <c r="B950">
        <v>2.1846000000000001</v>
      </c>
      <c r="C950">
        <v>2.1926000000000001</v>
      </c>
      <c r="D950">
        <v>1.8334999999999999</v>
      </c>
      <c r="E950">
        <v>1.8540000000000001</v>
      </c>
      <c r="F950">
        <v>1173335.56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-0.88582567529935852</v>
      </c>
      <c r="Q950">
        <f t="shared" si="1015"/>
        <v>-1039370.764789751</v>
      </c>
      <c r="R950">
        <f t="shared" si="1016"/>
        <v>-3690047.9877709169</v>
      </c>
      <c r="S950">
        <f t="shared" si="1017"/>
        <v>-36.900479877709166</v>
      </c>
      <c r="T950">
        <f t="shared" si="1018"/>
        <v>-3.6900479877709169E-2</v>
      </c>
    </row>
    <row r="951" spans="1:20" x14ac:dyDescent="0.25">
      <c r="A951" s="5">
        <v>43642</v>
      </c>
      <c r="B951">
        <v>2.3149999999999999</v>
      </c>
      <c r="C951">
        <v>2.3666</v>
      </c>
      <c r="D951">
        <v>1.9917</v>
      </c>
      <c r="E951">
        <v>2.1854</v>
      </c>
      <c r="F951">
        <v>1131088.94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3.3342224593224744E-2</v>
      </c>
      <c r="Q951">
        <f t="shared" si="1015"/>
        <v>37713.021472392502</v>
      </c>
      <c r="R951">
        <f t="shared" si="1016"/>
        <v>-2650677.2229811661</v>
      </c>
      <c r="S951">
        <f t="shared" si="1017"/>
        <v>-26.506772229811659</v>
      </c>
      <c r="T951">
        <f t="shared" si="1018"/>
        <v>-2.6506772229811661E-2</v>
      </c>
    </row>
    <row r="952" spans="1:20" x14ac:dyDescent="0.25">
      <c r="A952" s="5">
        <v>43641</v>
      </c>
      <c r="B952">
        <v>2.3662000000000001</v>
      </c>
      <c r="C952">
        <v>2.4028</v>
      </c>
      <c r="D952">
        <v>2.2854999999999999</v>
      </c>
      <c r="E952">
        <v>2.3048999999999999</v>
      </c>
      <c r="F952">
        <v>665050.12</v>
      </c>
      <c r="G952">
        <v>0</v>
      </c>
      <c r="L952" t="s">
        <v>7</v>
      </c>
      <c r="M952" t="s">
        <v>7</v>
      </c>
      <c r="N952" t="s">
        <v>7</v>
      </c>
      <c r="P952">
        <f t="shared" si="1014"/>
        <v>-0.66922421142369903</v>
      </c>
      <c r="Q952">
        <f t="shared" si="1015"/>
        <v>-445067.64211423643</v>
      </c>
      <c r="R952">
        <f t="shared" si="1016"/>
        <v>-2688390.2444535587</v>
      </c>
      <c r="S952">
        <f t="shared" si="1017"/>
        <v>-26.883902444535586</v>
      </c>
      <c r="T952">
        <f t="shared" si="1018"/>
        <v>-2.6883902444535587E-2</v>
      </c>
    </row>
    <row r="953" spans="1:20" x14ac:dyDescent="0.25">
      <c r="A953" s="5">
        <v>43640</v>
      </c>
      <c r="B953">
        <v>2.3702000000000001</v>
      </c>
      <c r="C953">
        <v>2.4224999999999999</v>
      </c>
      <c r="D953">
        <v>2.2999999999999998</v>
      </c>
      <c r="E953">
        <v>2.3652000000000002</v>
      </c>
      <c r="F953">
        <v>398014.94</v>
      </c>
      <c r="G953">
        <v>0</v>
      </c>
      <c r="L953" t="s">
        <v>7</v>
      </c>
      <c r="M953" t="s">
        <v>7</v>
      </c>
      <c r="N953" t="s">
        <v>7</v>
      </c>
      <c r="P953">
        <f t="shared" si="1014"/>
        <v>6.4489795918372908E-2</v>
      </c>
      <c r="Q953">
        <f t="shared" si="1015"/>
        <v>25667.902253063439</v>
      </c>
      <c r="R953">
        <f t="shared" si="1016"/>
        <v>-2243322.6023393222</v>
      </c>
      <c r="S953">
        <f t="shared" si="1017"/>
        <v>-22.433226023393221</v>
      </c>
      <c r="T953">
        <f t="shared" si="1018"/>
        <v>-2.2433226023393222E-2</v>
      </c>
    </row>
    <row r="954" spans="1:20" x14ac:dyDescent="0.25">
      <c r="A954" s="5">
        <v>43639</v>
      </c>
      <c r="B954">
        <v>2.4198</v>
      </c>
      <c r="C954">
        <v>2.4535999999999998</v>
      </c>
      <c r="D954">
        <v>2.351</v>
      </c>
      <c r="E954">
        <v>2.3635999999999999</v>
      </c>
      <c r="F954">
        <v>441370.22</v>
      </c>
      <c r="G954">
        <v>0</v>
      </c>
      <c r="L954" t="s">
        <v>8</v>
      </c>
      <c r="M954" t="s">
        <v>7</v>
      </c>
      <c r="N954" t="s">
        <v>7</v>
      </c>
      <c r="P954">
        <f t="shared" si="1014"/>
        <v>-0.75438596491228127</v>
      </c>
      <c r="Q954">
        <f t="shared" si="1015"/>
        <v>-332963.49929824582</v>
      </c>
      <c r="R954">
        <f t="shared" si="1016"/>
        <v>-2268990.5045923856</v>
      </c>
      <c r="S954">
        <f t="shared" si="1017"/>
        <v>-22.689905045923854</v>
      </c>
      <c r="T954">
        <f t="shared" si="1018"/>
        <v>-2.2689905045923855E-2</v>
      </c>
    </row>
    <row r="955" spans="1:20" x14ac:dyDescent="0.25">
      <c r="A955" s="5">
        <v>43638</v>
      </c>
      <c r="B955">
        <v>2.34</v>
      </c>
      <c r="C955">
        <v>2.4929000000000001</v>
      </c>
      <c r="D955">
        <v>2.3043</v>
      </c>
      <c r="E955">
        <v>2.41</v>
      </c>
      <c r="F955">
        <v>716404.57</v>
      </c>
      <c r="G955">
        <v>0</v>
      </c>
      <c r="L955" t="s">
        <v>8</v>
      </c>
      <c r="M955" t="s">
        <v>7</v>
      </c>
      <c r="N955" t="s">
        <v>7</v>
      </c>
      <c r="P955">
        <f t="shared" si="1014"/>
        <v>0.1208907741251333</v>
      </c>
      <c r="Q955">
        <f t="shared" si="1015"/>
        <v>86606.703054083235</v>
      </c>
      <c r="R955">
        <f t="shared" si="1016"/>
        <v>-1936027.00529414</v>
      </c>
      <c r="S955">
        <f t="shared" si="1017"/>
        <v>-19.360270052941399</v>
      </c>
      <c r="T955">
        <f t="shared" si="1018"/>
        <v>-1.93602700529414E-2</v>
      </c>
    </row>
    <row r="956" spans="1:20" x14ac:dyDescent="0.25">
      <c r="A956" s="5">
        <v>43637</v>
      </c>
      <c r="B956">
        <v>2.3713000000000002</v>
      </c>
      <c r="C956">
        <v>2.4333</v>
      </c>
      <c r="D956">
        <v>2.3159000000000001</v>
      </c>
      <c r="E956">
        <v>2.34</v>
      </c>
      <c r="F956">
        <v>440084.05</v>
      </c>
      <c r="G956">
        <v>0</v>
      </c>
      <c r="L956" t="s">
        <v>7</v>
      </c>
      <c r="M956" t="s">
        <v>7</v>
      </c>
      <c r="N956" t="s">
        <v>7</v>
      </c>
      <c r="P956">
        <f t="shared" si="1014"/>
        <v>-0.5894378194207871</v>
      </c>
      <c r="Q956">
        <f t="shared" si="1015"/>
        <v>-259402.18279386865</v>
      </c>
      <c r="R956">
        <f t="shared" si="1016"/>
        <v>-2022633.7083482232</v>
      </c>
      <c r="S956">
        <f t="shared" si="1017"/>
        <v>-20.226337083482232</v>
      </c>
      <c r="T956">
        <f t="shared" si="1018"/>
        <v>-2.0226337083482232E-2</v>
      </c>
    </row>
    <row r="957" spans="1:20" x14ac:dyDescent="0.25">
      <c r="A957" s="5">
        <v>43636</v>
      </c>
      <c r="B957">
        <v>2.4298999999999999</v>
      </c>
      <c r="C957">
        <v>2.4441000000000002</v>
      </c>
      <c r="D957">
        <v>2.3258999999999999</v>
      </c>
      <c r="E957">
        <v>2.3715999999999999</v>
      </c>
      <c r="F957">
        <v>278388.59000000003</v>
      </c>
      <c r="G957">
        <v>0</v>
      </c>
      <c r="L957" t="s">
        <v>7</v>
      </c>
      <c r="M957" t="s">
        <v>7</v>
      </c>
      <c r="N957" t="s">
        <v>7</v>
      </c>
      <c r="P957">
        <f t="shared" si="1014"/>
        <v>-0.22673434856176047</v>
      </c>
      <c r="Q957">
        <f t="shared" si="1015"/>
        <v>-63120.255600677032</v>
      </c>
      <c r="R957">
        <f t="shared" si="1016"/>
        <v>-1763231.5255543545</v>
      </c>
      <c r="S957">
        <f t="shared" si="1017"/>
        <v>-17.632315255543546</v>
      </c>
      <c r="T957">
        <f t="shared" si="1018"/>
        <v>-1.7632315255543547E-2</v>
      </c>
    </row>
    <row r="958" spans="1:20" x14ac:dyDescent="0.25">
      <c r="A958" s="5">
        <v>43635</v>
      </c>
      <c r="B958">
        <v>2.3877000000000002</v>
      </c>
      <c r="C958">
        <v>2.4336000000000002</v>
      </c>
      <c r="D958">
        <v>2.3555000000000001</v>
      </c>
      <c r="E958">
        <v>2.4335</v>
      </c>
      <c r="F958">
        <v>214604.03</v>
      </c>
      <c r="G958">
        <v>0</v>
      </c>
      <c r="L958" t="s">
        <v>7</v>
      </c>
      <c r="M958" t="s">
        <v>7</v>
      </c>
      <c r="N958" t="s">
        <v>7</v>
      </c>
      <c r="P958">
        <f t="shared" si="1014"/>
        <v>0.9974391805377667</v>
      </c>
      <c r="Q958">
        <f t="shared" si="1015"/>
        <v>214054.46782330229</v>
      </c>
      <c r="R958">
        <f t="shared" si="1016"/>
        <v>-1700111.2699536774</v>
      </c>
      <c r="S958">
        <f t="shared" si="1017"/>
        <v>-17.001112699536776</v>
      </c>
      <c r="T958">
        <f t="shared" si="1018"/>
        <v>-1.7001112699536775E-2</v>
      </c>
    </row>
    <row r="959" spans="1:20" x14ac:dyDescent="0.25">
      <c r="A959" s="5">
        <v>43634</v>
      </c>
      <c r="B959">
        <v>2.444</v>
      </c>
      <c r="C959">
        <v>2.444</v>
      </c>
      <c r="D959">
        <v>2.3454999999999999</v>
      </c>
      <c r="E959">
        <v>2.3877000000000002</v>
      </c>
      <c r="F959">
        <v>228794.42</v>
      </c>
      <c r="G959">
        <v>0</v>
      </c>
      <c r="L959" t="s">
        <v>7</v>
      </c>
      <c r="M959" t="s">
        <v>7</v>
      </c>
      <c r="N959" t="s">
        <v>7</v>
      </c>
      <c r="P959">
        <f t="shared" ref="P959:P1022" si="1019">IF(C959=D959,0,((E959-D959)-(C959-E959))/(C959-D959))</f>
        <v>-0.14314720812182288</v>
      </c>
      <c r="Q959">
        <f t="shared" ref="Q959:Q1022" si="1020">F959*P959</f>
        <v>-32751.282456851757</v>
      </c>
      <c r="R959">
        <f t="shared" ref="R959:R1022" si="1021">R960+Q959</f>
        <v>-1914165.7377769798</v>
      </c>
      <c r="S959">
        <f t="shared" ref="S959:S1022" si="1022">R959/100000</f>
        <v>-19.1416573777698</v>
      </c>
      <c r="T959">
        <f t="shared" ref="T959:T1022" si="1023">S959/1000</f>
        <v>-1.9141657377769801E-2</v>
      </c>
    </row>
    <row r="960" spans="1:20" x14ac:dyDescent="0.25">
      <c r="A960" s="5">
        <v>43633</v>
      </c>
      <c r="B960">
        <v>2.4243000000000001</v>
      </c>
      <c r="C960">
        <v>2.5188999999999999</v>
      </c>
      <c r="D960">
        <v>2.4089</v>
      </c>
      <c r="E960">
        <v>2.4413999999999998</v>
      </c>
      <c r="F960">
        <v>281260.2</v>
      </c>
      <c r="G960">
        <v>0</v>
      </c>
      <c r="L960" t="s">
        <v>8</v>
      </c>
      <c r="M960" t="s">
        <v>7</v>
      </c>
      <c r="N960" t="s">
        <v>7</v>
      </c>
      <c r="P960">
        <f t="shared" si="1019"/>
        <v>-0.40909090909091295</v>
      </c>
      <c r="Q960">
        <f t="shared" si="1020"/>
        <v>-115060.990909092</v>
      </c>
      <c r="R960">
        <f t="shared" si="1021"/>
        <v>-1881414.455320128</v>
      </c>
      <c r="S960">
        <f t="shared" si="1022"/>
        <v>-18.814144553201281</v>
      </c>
      <c r="T960">
        <f t="shared" si="1023"/>
        <v>-1.8814144553201281E-2</v>
      </c>
    </row>
    <row r="961" spans="1:20" x14ac:dyDescent="0.25">
      <c r="A961" s="5">
        <v>43632</v>
      </c>
      <c r="B961">
        <v>2.4117999999999999</v>
      </c>
      <c r="C961">
        <v>2.5750000000000002</v>
      </c>
      <c r="D961">
        <v>2.33</v>
      </c>
      <c r="E961">
        <v>2.4249000000000001</v>
      </c>
      <c r="F961">
        <v>910397.83</v>
      </c>
      <c r="G961">
        <v>0</v>
      </c>
      <c r="L961" t="s">
        <v>8</v>
      </c>
      <c r="M961" t="s">
        <v>7</v>
      </c>
      <c r="N961" t="s">
        <v>7</v>
      </c>
      <c r="P961">
        <f t="shared" si="1019"/>
        <v>-0.22530612244898005</v>
      </c>
      <c r="Q961">
        <f t="shared" si="1020"/>
        <v>-205118.20496326571</v>
      </c>
      <c r="R961">
        <f t="shared" si="1021"/>
        <v>-1766353.4644110361</v>
      </c>
      <c r="S961">
        <f t="shared" si="1022"/>
        <v>-17.66353464411036</v>
      </c>
      <c r="T961">
        <f t="shared" si="1023"/>
        <v>-1.766353464411036E-2</v>
      </c>
    </row>
    <row r="962" spans="1:20" x14ac:dyDescent="0.25">
      <c r="A962" s="5">
        <v>43631</v>
      </c>
      <c r="B962">
        <v>2.3748</v>
      </c>
      <c r="C962">
        <v>2.4373999999999998</v>
      </c>
      <c r="D962">
        <v>2.3325</v>
      </c>
      <c r="E962">
        <v>2.4138999999999999</v>
      </c>
      <c r="F962">
        <v>219361.12</v>
      </c>
      <c r="G962">
        <v>0</v>
      </c>
      <c r="L962" t="s">
        <v>7</v>
      </c>
      <c r="M962" t="s">
        <v>7</v>
      </c>
      <c r="N962" t="s">
        <v>7</v>
      </c>
      <c r="P962">
        <f t="shared" si="1019"/>
        <v>0.55195424213536881</v>
      </c>
      <c r="Q962">
        <f t="shared" si="1020"/>
        <v>121077.30074356569</v>
      </c>
      <c r="R962">
        <f t="shared" si="1021"/>
        <v>-1561235.2594477704</v>
      </c>
      <c r="S962">
        <f t="shared" si="1022"/>
        <v>-15.612352594477704</v>
      </c>
      <c r="T962">
        <f t="shared" si="1023"/>
        <v>-1.5612352594477704E-2</v>
      </c>
    </row>
    <row r="963" spans="1:20" x14ac:dyDescent="0.25">
      <c r="A963" s="5">
        <v>43630</v>
      </c>
      <c r="B963">
        <v>2.4826000000000001</v>
      </c>
      <c r="C963">
        <v>2.4990000000000001</v>
      </c>
      <c r="D963">
        <v>2.2578999999999998</v>
      </c>
      <c r="E963">
        <v>2.3767999999999998</v>
      </c>
      <c r="F963">
        <v>604669.04</v>
      </c>
      <c r="G963">
        <v>0</v>
      </c>
      <c r="L963" t="s">
        <v>7</v>
      </c>
      <c r="M963" t="s">
        <v>7</v>
      </c>
      <c r="N963" t="s">
        <v>7</v>
      </c>
      <c r="P963">
        <f t="shared" si="1019"/>
        <v>-1.3687266694318948E-2</v>
      </c>
      <c r="Q963">
        <f t="shared" si="1020"/>
        <v>-8276.2664122778115</v>
      </c>
      <c r="R963">
        <f t="shared" si="1021"/>
        <v>-1682312.5601913361</v>
      </c>
      <c r="S963">
        <f t="shared" si="1022"/>
        <v>-16.823125601913361</v>
      </c>
      <c r="T963">
        <f t="shared" si="1023"/>
        <v>-1.6823125601913361E-2</v>
      </c>
    </row>
    <row r="964" spans="1:20" x14ac:dyDescent="0.25">
      <c r="A964" s="5">
        <v>43629</v>
      </c>
      <c r="B964">
        <v>2.4411</v>
      </c>
      <c r="C964">
        <v>2.5045999999999999</v>
      </c>
      <c r="D964">
        <v>2.4192999999999998</v>
      </c>
      <c r="E964">
        <v>2.4725999999999999</v>
      </c>
      <c r="F964">
        <v>402689.07</v>
      </c>
      <c r="G964">
        <v>0</v>
      </c>
      <c r="L964" t="s">
        <v>8</v>
      </c>
      <c r="M964" t="s">
        <v>7</v>
      </c>
      <c r="N964" t="s">
        <v>7</v>
      </c>
      <c r="P964">
        <f t="shared" si="1019"/>
        <v>0.24970691676436177</v>
      </c>
      <c r="Q964">
        <f t="shared" si="1020"/>
        <v>100554.24608440825</v>
      </c>
      <c r="R964">
        <f t="shared" si="1021"/>
        <v>-1674036.2937790584</v>
      </c>
      <c r="S964">
        <f t="shared" si="1022"/>
        <v>-16.740362937790582</v>
      </c>
      <c r="T964">
        <f t="shared" si="1023"/>
        <v>-1.6740362937790583E-2</v>
      </c>
    </row>
    <row r="965" spans="1:20" x14ac:dyDescent="0.25">
      <c r="A965" s="5">
        <v>43628</v>
      </c>
      <c r="B965">
        <v>2.3772000000000002</v>
      </c>
      <c r="C965">
        <v>2.4550000000000001</v>
      </c>
      <c r="D965">
        <v>2.3365999999999998</v>
      </c>
      <c r="E965">
        <v>2.4361000000000002</v>
      </c>
      <c r="F965">
        <v>322560.23</v>
      </c>
      <c r="G965">
        <v>0</v>
      </c>
      <c r="L965" t="s">
        <v>8</v>
      </c>
      <c r="M965" t="s">
        <v>7</v>
      </c>
      <c r="N965" t="s">
        <v>7</v>
      </c>
      <c r="P965">
        <f t="shared" si="1019"/>
        <v>0.68074324324324542</v>
      </c>
      <c r="Q965">
        <f t="shared" si="1020"/>
        <v>219580.69711148718</v>
      </c>
      <c r="R965">
        <f t="shared" si="1021"/>
        <v>-1774590.5398634665</v>
      </c>
      <c r="S965">
        <f t="shared" si="1022"/>
        <v>-17.745905398634665</v>
      </c>
      <c r="T965">
        <f t="shared" si="1023"/>
        <v>-1.7745905398634666E-2</v>
      </c>
    </row>
    <row r="966" spans="1:20" x14ac:dyDescent="0.25">
      <c r="A966" s="5">
        <v>43627</v>
      </c>
      <c r="B966">
        <v>2.371</v>
      </c>
      <c r="C966">
        <v>2.4068999999999998</v>
      </c>
      <c r="D966">
        <v>2.3025000000000002</v>
      </c>
      <c r="E966">
        <v>2.3773</v>
      </c>
      <c r="F966">
        <v>534127.14</v>
      </c>
      <c r="G966">
        <v>0</v>
      </c>
      <c r="L966" t="s">
        <v>8</v>
      </c>
      <c r="M966" t="s">
        <v>7</v>
      </c>
      <c r="N966" t="s">
        <v>7</v>
      </c>
      <c r="P966">
        <f t="shared" si="1019"/>
        <v>0.43295019157088199</v>
      </c>
      <c r="Q966">
        <f t="shared" si="1020"/>
        <v>231250.4475862073</v>
      </c>
      <c r="R966">
        <f t="shared" si="1021"/>
        <v>-1994171.2369749537</v>
      </c>
      <c r="S966">
        <f t="shared" si="1022"/>
        <v>-19.941712369749538</v>
      </c>
      <c r="T966">
        <f t="shared" si="1023"/>
        <v>-1.9941712369749537E-2</v>
      </c>
    </row>
    <row r="967" spans="1:20" x14ac:dyDescent="0.25">
      <c r="A967" s="5">
        <v>43626</v>
      </c>
      <c r="B967">
        <v>2.2751000000000001</v>
      </c>
      <c r="C967">
        <v>2.38</v>
      </c>
      <c r="D967">
        <v>2.23</v>
      </c>
      <c r="E967">
        <v>2.371</v>
      </c>
      <c r="F967">
        <v>347151.04</v>
      </c>
      <c r="G967">
        <v>0</v>
      </c>
      <c r="L967" t="s">
        <v>7</v>
      </c>
      <c r="M967" t="s">
        <v>7</v>
      </c>
      <c r="N967" t="s">
        <v>7</v>
      </c>
      <c r="P967">
        <f t="shared" si="1019"/>
        <v>0.88000000000000134</v>
      </c>
      <c r="Q967">
        <f t="shared" si="1020"/>
        <v>305492.91520000045</v>
      </c>
      <c r="R967">
        <f t="shared" si="1021"/>
        <v>-2225421.6845611609</v>
      </c>
      <c r="S967">
        <f t="shared" si="1022"/>
        <v>-22.254216845611609</v>
      </c>
      <c r="T967">
        <f t="shared" si="1023"/>
        <v>-2.2254216845611609E-2</v>
      </c>
    </row>
    <row r="968" spans="1:20" x14ac:dyDescent="0.25">
      <c r="A968" s="5">
        <v>43625</v>
      </c>
      <c r="B968">
        <v>2.3603999999999998</v>
      </c>
      <c r="C968">
        <v>2.4171</v>
      </c>
      <c r="D968">
        <v>2.2302</v>
      </c>
      <c r="E968">
        <v>2.2734999999999999</v>
      </c>
      <c r="F968">
        <v>284244.47999999998</v>
      </c>
      <c r="G968">
        <v>0</v>
      </c>
      <c r="L968" t="s">
        <v>7</v>
      </c>
      <c r="M968" t="s">
        <v>7</v>
      </c>
      <c r="N968" t="s">
        <v>7</v>
      </c>
      <c r="P968">
        <f t="shared" si="1019"/>
        <v>-0.53665061530230196</v>
      </c>
      <c r="Q968">
        <f t="shared" si="1020"/>
        <v>-152539.97508828287</v>
      </c>
      <c r="R968">
        <f t="shared" si="1021"/>
        <v>-2530914.5997611615</v>
      </c>
      <c r="S968">
        <f t="shared" si="1022"/>
        <v>-25.309145997611616</v>
      </c>
      <c r="T968">
        <f t="shared" si="1023"/>
        <v>-2.5309145997611616E-2</v>
      </c>
    </row>
    <row r="969" spans="1:20" x14ac:dyDescent="0.25">
      <c r="A969" s="5">
        <v>43624</v>
      </c>
      <c r="B969">
        <v>2.3601000000000001</v>
      </c>
      <c r="C969">
        <v>2.4114</v>
      </c>
      <c r="D969">
        <v>2.3088000000000002</v>
      </c>
      <c r="E969">
        <v>2.3637999999999999</v>
      </c>
      <c r="F969">
        <v>290431.15000000002</v>
      </c>
      <c r="G969">
        <v>0</v>
      </c>
      <c r="L969" t="s">
        <v>8</v>
      </c>
      <c r="M969" t="s">
        <v>7</v>
      </c>
      <c r="N969" t="s">
        <v>7</v>
      </c>
      <c r="P969">
        <f t="shared" si="1019"/>
        <v>7.2124756335279178E-2</v>
      </c>
      <c r="Q969">
        <f t="shared" si="1020"/>
        <v>20947.275925924918</v>
      </c>
      <c r="R969">
        <f t="shared" si="1021"/>
        <v>-2378374.6246728785</v>
      </c>
      <c r="S969">
        <f t="shared" si="1022"/>
        <v>-23.783746246728786</v>
      </c>
      <c r="T969">
        <f t="shared" si="1023"/>
        <v>-2.3783746246728785E-2</v>
      </c>
    </row>
    <row r="970" spans="1:20" x14ac:dyDescent="0.25">
      <c r="A970" s="5">
        <v>43623</v>
      </c>
      <c r="B970">
        <v>2.2999000000000001</v>
      </c>
      <c r="C970">
        <v>2.4182000000000001</v>
      </c>
      <c r="D970">
        <v>2.2622</v>
      </c>
      <c r="E970">
        <v>2.3700999999999999</v>
      </c>
      <c r="F970">
        <v>707665.14</v>
      </c>
      <c r="G970">
        <v>0</v>
      </c>
      <c r="L970" t="s">
        <v>8</v>
      </c>
      <c r="M970" t="s">
        <v>7</v>
      </c>
      <c r="N970" t="s">
        <v>7</v>
      </c>
      <c r="P970">
        <f t="shared" si="1019"/>
        <v>0.38333333333333064</v>
      </c>
      <c r="Q970">
        <f t="shared" si="1020"/>
        <v>271271.63699999813</v>
      </c>
      <c r="R970">
        <f t="shared" si="1021"/>
        <v>-2399321.9005988035</v>
      </c>
      <c r="S970">
        <f t="shared" si="1022"/>
        <v>-23.993219005988035</v>
      </c>
      <c r="T970">
        <f t="shared" si="1023"/>
        <v>-2.3993219005988036E-2</v>
      </c>
    </row>
    <row r="971" spans="1:20" x14ac:dyDescent="0.25">
      <c r="A971" s="5">
        <v>43622</v>
      </c>
      <c r="B971">
        <v>2.2957999999999998</v>
      </c>
      <c r="C971">
        <v>2.3485</v>
      </c>
      <c r="D971">
        <v>2.1909999999999998</v>
      </c>
      <c r="E971">
        <v>2.2993000000000001</v>
      </c>
      <c r="F971">
        <v>359785.1</v>
      </c>
      <c r="G971">
        <v>0</v>
      </c>
      <c r="L971" t="s">
        <v>7</v>
      </c>
      <c r="M971" t="s">
        <v>7</v>
      </c>
      <c r="N971" t="s">
        <v>7</v>
      </c>
      <c r="P971">
        <f t="shared" si="1019"/>
        <v>0.37523809523809715</v>
      </c>
      <c r="Q971">
        <f t="shared" si="1020"/>
        <v>135005.07561904829</v>
      </c>
      <c r="R971">
        <f t="shared" si="1021"/>
        <v>-2670593.5375988018</v>
      </c>
      <c r="S971">
        <f t="shared" si="1022"/>
        <v>-26.705935375988016</v>
      </c>
      <c r="T971">
        <f t="shared" si="1023"/>
        <v>-2.6705935375988015E-2</v>
      </c>
    </row>
    <row r="972" spans="1:20" x14ac:dyDescent="0.25">
      <c r="A972" s="5">
        <v>43621</v>
      </c>
      <c r="B972">
        <v>2.3174000000000001</v>
      </c>
      <c r="C972">
        <v>2.3660000000000001</v>
      </c>
      <c r="D972">
        <v>2.2464</v>
      </c>
      <c r="E972">
        <v>2.3065000000000002</v>
      </c>
      <c r="F972">
        <v>408103.67999999999</v>
      </c>
      <c r="G972">
        <v>0</v>
      </c>
      <c r="L972" t="s">
        <v>7</v>
      </c>
      <c r="M972" t="s">
        <v>7</v>
      </c>
      <c r="N972" t="s">
        <v>7</v>
      </c>
      <c r="P972">
        <f t="shared" si="1019"/>
        <v>5.0167224080299106E-3</v>
      </c>
      <c r="Q972">
        <f t="shared" si="1020"/>
        <v>2047.3428762554681</v>
      </c>
      <c r="R972">
        <f t="shared" si="1021"/>
        <v>-2805598.6132178502</v>
      </c>
      <c r="S972">
        <f t="shared" si="1022"/>
        <v>-28.055986132178504</v>
      </c>
      <c r="T972">
        <f t="shared" si="1023"/>
        <v>-2.8055986132178502E-2</v>
      </c>
    </row>
    <row r="973" spans="1:20" x14ac:dyDescent="0.25">
      <c r="A973" s="5">
        <v>43620</v>
      </c>
      <c r="B973">
        <v>2.4114</v>
      </c>
      <c r="C973">
        <v>2.4268000000000001</v>
      </c>
      <c r="D973">
        <v>2.2401</v>
      </c>
      <c r="E973">
        <v>2.3174000000000001</v>
      </c>
      <c r="F973">
        <v>734841.77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-0.17193358328869726</v>
      </c>
      <c r="Q973">
        <f t="shared" si="1020"/>
        <v>-126343.97866630871</v>
      </c>
      <c r="R973">
        <f t="shared" si="1021"/>
        <v>-2807645.9560941057</v>
      </c>
      <c r="S973">
        <f t="shared" si="1022"/>
        <v>-28.076459560941057</v>
      </c>
      <c r="T973">
        <f t="shared" si="1023"/>
        <v>-2.8076459560941056E-2</v>
      </c>
    </row>
    <row r="974" spans="1:20" x14ac:dyDescent="0.25">
      <c r="A974" s="5">
        <v>43619</v>
      </c>
      <c r="B974">
        <v>2.6545999999999998</v>
      </c>
      <c r="C974">
        <v>2.6623000000000001</v>
      </c>
      <c r="D974">
        <v>2.4123999999999999</v>
      </c>
      <c r="E974">
        <v>2.4169</v>
      </c>
      <c r="F974">
        <v>828994.84</v>
      </c>
      <c r="G974">
        <v>0</v>
      </c>
      <c r="L974" t="s">
        <v>7</v>
      </c>
      <c r="M974" t="s">
        <v>7</v>
      </c>
      <c r="N974" t="s">
        <v>7</v>
      </c>
      <c r="P974">
        <f t="shared" si="1019"/>
        <v>-0.9639855942376937</v>
      </c>
      <c r="Q974">
        <f t="shared" si="1020"/>
        <v>-799139.08345738181</v>
      </c>
      <c r="R974">
        <f t="shared" si="1021"/>
        <v>-2681301.9774277969</v>
      </c>
      <c r="S974">
        <f t="shared" si="1022"/>
        <v>-26.813019774277969</v>
      </c>
      <c r="T974">
        <f t="shared" si="1023"/>
        <v>-2.6813019774277969E-2</v>
      </c>
    </row>
    <row r="975" spans="1:20" x14ac:dyDescent="0.25">
      <c r="A975" s="5">
        <v>43618</v>
      </c>
      <c r="B975">
        <v>2.6073</v>
      </c>
      <c r="C975">
        <v>2.6829000000000001</v>
      </c>
      <c r="D975">
        <v>2.5642999999999998</v>
      </c>
      <c r="E975">
        <v>2.6545999999999998</v>
      </c>
      <c r="F975">
        <v>563820.68000000005</v>
      </c>
      <c r="G975">
        <v>0</v>
      </c>
      <c r="L975" t="s">
        <v>8</v>
      </c>
      <c r="M975" t="s">
        <v>7</v>
      </c>
      <c r="N975" t="s">
        <v>7</v>
      </c>
      <c r="P975">
        <f t="shared" si="1019"/>
        <v>0.52276559865092498</v>
      </c>
      <c r="Q975">
        <f t="shared" si="1020"/>
        <v>294746.05531197164</v>
      </c>
      <c r="R975">
        <f t="shared" si="1021"/>
        <v>-1882162.8939704152</v>
      </c>
      <c r="S975">
        <f t="shared" si="1022"/>
        <v>-18.821628939704151</v>
      </c>
      <c r="T975">
        <f t="shared" si="1023"/>
        <v>-1.8821628939704151E-2</v>
      </c>
    </row>
    <row r="976" spans="1:20" x14ac:dyDescent="0.25">
      <c r="A976" s="5">
        <v>43617</v>
      </c>
      <c r="B976">
        <v>2.6432000000000002</v>
      </c>
      <c r="C976">
        <v>2.6840000000000002</v>
      </c>
      <c r="D976">
        <v>2.5716999999999999</v>
      </c>
      <c r="E976">
        <v>2.6044</v>
      </c>
      <c r="F976">
        <v>326519.38</v>
      </c>
      <c r="G976">
        <v>0</v>
      </c>
      <c r="L976" t="s">
        <v>8</v>
      </c>
      <c r="M976" t="s">
        <v>7</v>
      </c>
      <c r="N976" t="s">
        <v>7</v>
      </c>
      <c r="P976">
        <f t="shared" si="1019"/>
        <v>-0.41763134461264312</v>
      </c>
      <c r="Q976">
        <f t="shared" si="1020"/>
        <v>-136364.72771148657</v>
      </c>
      <c r="R976">
        <f t="shared" si="1021"/>
        <v>-2176908.9492823868</v>
      </c>
      <c r="S976">
        <f t="shared" si="1022"/>
        <v>-21.769089492823866</v>
      </c>
      <c r="T976">
        <f t="shared" si="1023"/>
        <v>-2.1769089492823867E-2</v>
      </c>
    </row>
    <row r="977" spans="1:20" x14ac:dyDescent="0.25">
      <c r="A977" s="5">
        <v>43616</v>
      </c>
      <c r="B977">
        <v>2.5444</v>
      </c>
      <c r="C977">
        <v>2.6482999999999999</v>
      </c>
      <c r="D977">
        <v>2.5001000000000002</v>
      </c>
      <c r="E977">
        <v>2.6385000000000001</v>
      </c>
      <c r="F977">
        <v>390179.74</v>
      </c>
      <c r="G977">
        <v>0</v>
      </c>
      <c r="L977" t="s">
        <v>8</v>
      </c>
      <c r="M977" t="s">
        <v>7</v>
      </c>
      <c r="N977" t="s">
        <v>7</v>
      </c>
      <c r="P977">
        <f t="shared" si="1019"/>
        <v>0.86774628879892268</v>
      </c>
      <c r="Q977">
        <f t="shared" si="1020"/>
        <v>338577.02134952857</v>
      </c>
      <c r="R977">
        <f t="shared" si="1021"/>
        <v>-2040544.2215709004</v>
      </c>
      <c r="S977">
        <f t="shared" si="1022"/>
        <v>-20.405442215709005</v>
      </c>
      <c r="T977">
        <f t="shared" si="1023"/>
        <v>-2.0405442215709006E-2</v>
      </c>
    </row>
    <row r="978" spans="1:20" x14ac:dyDescent="0.25">
      <c r="A978" s="5">
        <v>43615</v>
      </c>
      <c r="B978">
        <v>2.6688000000000001</v>
      </c>
      <c r="C978">
        <v>2.76</v>
      </c>
      <c r="D978">
        <v>2.4512999999999998</v>
      </c>
      <c r="E978">
        <v>2.5428000000000002</v>
      </c>
      <c r="F978">
        <v>1148612.1499999999</v>
      </c>
      <c r="G978">
        <v>0</v>
      </c>
      <c r="L978" t="s">
        <v>7</v>
      </c>
      <c r="M978" t="s">
        <v>7</v>
      </c>
      <c r="N978" t="s">
        <v>7</v>
      </c>
      <c r="P978">
        <f t="shared" si="1019"/>
        <v>-0.40719144800777218</v>
      </c>
      <c r="Q978">
        <f t="shared" si="1020"/>
        <v>-467705.04455782037</v>
      </c>
      <c r="R978">
        <f t="shared" si="1021"/>
        <v>-2379121.242920429</v>
      </c>
      <c r="S978">
        <f t="shared" si="1022"/>
        <v>-23.79121242920429</v>
      </c>
      <c r="T978">
        <f t="shared" si="1023"/>
        <v>-2.3791212429204289E-2</v>
      </c>
    </row>
    <row r="979" spans="1:20" x14ac:dyDescent="0.25">
      <c r="A979" s="5">
        <v>43614</v>
      </c>
      <c r="B979">
        <v>2.7481</v>
      </c>
      <c r="C979">
        <v>2.7637999999999998</v>
      </c>
      <c r="D979">
        <v>2.63</v>
      </c>
      <c r="E979">
        <v>2.6688000000000001</v>
      </c>
      <c r="F979">
        <v>386997.8</v>
      </c>
      <c r="G979">
        <v>0</v>
      </c>
      <c r="L979" t="s">
        <v>7</v>
      </c>
      <c r="M979" t="s">
        <v>7</v>
      </c>
      <c r="N979" t="s">
        <v>7</v>
      </c>
      <c r="P979">
        <f t="shared" si="1019"/>
        <v>-0.42002989536621538</v>
      </c>
      <c r="Q979">
        <f t="shared" si="1020"/>
        <v>-162550.64544095553</v>
      </c>
      <c r="R979">
        <f t="shared" si="1021"/>
        <v>-1911416.1983626084</v>
      </c>
      <c r="S979">
        <f t="shared" si="1022"/>
        <v>-19.114161983626083</v>
      </c>
      <c r="T979">
        <f t="shared" si="1023"/>
        <v>-1.9114161983626084E-2</v>
      </c>
    </row>
    <row r="980" spans="1:20" x14ac:dyDescent="0.25">
      <c r="A980" s="5">
        <v>43613</v>
      </c>
      <c r="B980">
        <v>2.7153999999999998</v>
      </c>
      <c r="C980">
        <v>2.8708</v>
      </c>
      <c r="D980">
        <v>2.7</v>
      </c>
      <c r="E980">
        <v>2.7559</v>
      </c>
      <c r="F980">
        <v>699789.22</v>
      </c>
      <c r="G980">
        <v>0</v>
      </c>
      <c r="L980" t="s">
        <v>8</v>
      </c>
      <c r="M980" t="s">
        <v>7</v>
      </c>
      <c r="N980" t="s">
        <v>7</v>
      </c>
      <c r="P980">
        <f t="shared" si="1019"/>
        <v>-0.34543325526932211</v>
      </c>
      <c r="Q980">
        <f t="shared" si="1020"/>
        <v>-241730.46826697979</v>
      </c>
      <c r="R980">
        <f t="shared" si="1021"/>
        <v>-1748865.5529216528</v>
      </c>
      <c r="S980">
        <f t="shared" si="1022"/>
        <v>-17.488655529216526</v>
      </c>
      <c r="T980">
        <f t="shared" si="1023"/>
        <v>-1.7488655529216527E-2</v>
      </c>
    </row>
    <row r="981" spans="1:20" x14ac:dyDescent="0.25">
      <c r="A981" s="5">
        <v>43612</v>
      </c>
      <c r="B981">
        <v>2.6844999999999999</v>
      </c>
      <c r="C981">
        <v>2.7841</v>
      </c>
      <c r="D981">
        <v>2.6600999999999999</v>
      </c>
      <c r="E981">
        <v>2.7265000000000001</v>
      </c>
      <c r="F981">
        <v>826636.54</v>
      </c>
      <c r="G981">
        <v>0</v>
      </c>
      <c r="L981" t="s">
        <v>8</v>
      </c>
      <c r="M981" t="s">
        <v>7</v>
      </c>
      <c r="N981" t="s">
        <v>7</v>
      </c>
      <c r="P981">
        <f t="shared" si="1019"/>
        <v>7.0967741935486731E-2</v>
      </c>
      <c r="Q981">
        <f t="shared" si="1020"/>
        <v>58664.528645163657</v>
      </c>
      <c r="R981">
        <f t="shared" si="1021"/>
        <v>-1507135.084654673</v>
      </c>
      <c r="S981">
        <f t="shared" si="1022"/>
        <v>-15.07135084654673</v>
      </c>
      <c r="T981">
        <f t="shared" si="1023"/>
        <v>-1.5071350846546731E-2</v>
      </c>
    </row>
    <row r="982" spans="1:20" x14ac:dyDescent="0.25">
      <c r="A982" s="5">
        <v>43611</v>
      </c>
      <c r="B982">
        <v>2.7161</v>
      </c>
      <c r="C982">
        <v>2.77</v>
      </c>
      <c r="D982">
        <v>2.5649999999999999</v>
      </c>
      <c r="E982">
        <v>2.6789999999999998</v>
      </c>
      <c r="F982">
        <v>653761.05000000005</v>
      </c>
      <c r="G982">
        <v>0</v>
      </c>
      <c r="L982" t="s">
        <v>7</v>
      </c>
      <c r="M982" t="s">
        <v>7</v>
      </c>
      <c r="N982" t="s">
        <v>7</v>
      </c>
      <c r="P982">
        <f t="shared" si="1019"/>
        <v>0.11219512195121795</v>
      </c>
      <c r="Q982">
        <f t="shared" si="1020"/>
        <v>73348.800731706302</v>
      </c>
      <c r="R982">
        <f t="shared" si="1021"/>
        <v>-1565799.6132998366</v>
      </c>
      <c r="S982">
        <f t="shared" si="1022"/>
        <v>-15.657996132998367</v>
      </c>
      <c r="T982">
        <f t="shared" si="1023"/>
        <v>-1.5657996132998366E-2</v>
      </c>
    </row>
    <row r="983" spans="1:20" x14ac:dyDescent="0.25">
      <c r="A983" s="5">
        <v>43610</v>
      </c>
      <c r="B983">
        <v>2.6732999999999998</v>
      </c>
      <c r="C983">
        <v>2.7677</v>
      </c>
      <c r="D983">
        <v>2.6118000000000001</v>
      </c>
      <c r="E983">
        <v>2.7170000000000001</v>
      </c>
      <c r="F983">
        <v>1043926.34</v>
      </c>
      <c r="G983">
        <v>0</v>
      </c>
      <c r="L983" t="s">
        <v>7</v>
      </c>
      <c r="M983" t="s">
        <v>7</v>
      </c>
      <c r="N983" t="s">
        <v>8</v>
      </c>
      <c r="P983">
        <f t="shared" si="1019"/>
        <v>0.34958306606799244</v>
      </c>
      <c r="Q983">
        <f t="shared" si="1020"/>
        <v>364938.9706863375</v>
      </c>
      <c r="R983">
        <f t="shared" si="1021"/>
        <v>-1639148.4140315428</v>
      </c>
      <c r="S983">
        <f t="shared" si="1022"/>
        <v>-16.391484140315427</v>
      </c>
      <c r="T983">
        <f t="shared" si="1023"/>
        <v>-1.6391484140315427E-2</v>
      </c>
    </row>
    <row r="984" spans="1:20" x14ac:dyDescent="0.25">
      <c r="A984" s="5">
        <v>43609</v>
      </c>
      <c r="B984">
        <v>3.28</v>
      </c>
      <c r="C984">
        <v>3.5497999999999998</v>
      </c>
      <c r="D984">
        <v>2.6604999999999999</v>
      </c>
      <c r="E984">
        <v>2.6732999999999998</v>
      </c>
      <c r="F984">
        <v>2907411.14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-0.9712133138423481</v>
      </c>
      <c r="Q984">
        <f t="shared" si="1020"/>
        <v>-2823716.4079815592</v>
      </c>
      <c r="R984">
        <f t="shared" si="1021"/>
        <v>-2004087.3847178803</v>
      </c>
      <c r="S984">
        <f t="shared" si="1022"/>
        <v>-20.040873847178801</v>
      </c>
      <c r="T984">
        <f t="shared" si="1023"/>
        <v>-2.00408738471788E-2</v>
      </c>
    </row>
    <row r="985" spans="1:20" x14ac:dyDescent="0.25">
      <c r="A985" s="5">
        <v>43608</v>
      </c>
      <c r="B985">
        <v>2.3588</v>
      </c>
      <c r="C985">
        <v>3.28</v>
      </c>
      <c r="D985">
        <v>2.3104</v>
      </c>
      <c r="E985">
        <v>3.28</v>
      </c>
      <c r="F985">
        <v>2387801.38</v>
      </c>
      <c r="G985">
        <v>0</v>
      </c>
      <c r="L985" t="s">
        <v>8</v>
      </c>
      <c r="M985" t="s">
        <v>8</v>
      </c>
      <c r="N985" t="s">
        <v>8</v>
      </c>
      <c r="P985">
        <f t="shared" si="1019"/>
        <v>1</v>
      </c>
      <c r="Q985">
        <f t="shared" si="1020"/>
        <v>2387801.38</v>
      </c>
      <c r="R985">
        <f t="shared" si="1021"/>
        <v>819629.02326367889</v>
      </c>
      <c r="S985">
        <f t="shared" si="1022"/>
        <v>8.1962902326367892</v>
      </c>
      <c r="T985">
        <f t="shared" si="1023"/>
        <v>8.1962902326367885E-3</v>
      </c>
    </row>
    <row r="986" spans="1:20" x14ac:dyDescent="0.25">
      <c r="A986" s="5">
        <v>43607</v>
      </c>
      <c r="B986">
        <v>2.4613999999999998</v>
      </c>
      <c r="C986">
        <v>2.5339999999999998</v>
      </c>
      <c r="D986">
        <v>2.31</v>
      </c>
      <c r="E986">
        <v>2.3588</v>
      </c>
      <c r="F986">
        <v>861468.76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-0.56428571428571417</v>
      </c>
      <c r="Q986">
        <f t="shared" si="1020"/>
        <v>-486114.51457142847</v>
      </c>
      <c r="R986">
        <f t="shared" si="1021"/>
        <v>-1568172.356736321</v>
      </c>
      <c r="S986">
        <f t="shared" si="1022"/>
        <v>-15.68172356736321</v>
      </c>
      <c r="T986">
        <f t="shared" si="1023"/>
        <v>-1.568172356736321E-2</v>
      </c>
    </row>
    <row r="987" spans="1:20" x14ac:dyDescent="0.25">
      <c r="A987" s="5">
        <v>43606</v>
      </c>
      <c r="B987">
        <v>2.4483000000000001</v>
      </c>
      <c r="C987">
        <v>2.5629</v>
      </c>
      <c r="D987">
        <v>2.37</v>
      </c>
      <c r="E987">
        <v>2.4716</v>
      </c>
      <c r="F987">
        <v>847222.88</v>
      </c>
      <c r="G987">
        <v>0</v>
      </c>
      <c r="L987" t="s">
        <v>8</v>
      </c>
      <c r="M987" t="s">
        <v>7</v>
      </c>
      <c r="N987" t="s">
        <v>8</v>
      </c>
      <c r="P987">
        <f t="shared" si="1019"/>
        <v>5.3395541731466996E-2</v>
      </c>
      <c r="Q987">
        <f t="shared" si="1020"/>
        <v>45237.924644893654</v>
      </c>
      <c r="R987">
        <f t="shared" si="1021"/>
        <v>-1082057.8421648925</v>
      </c>
      <c r="S987">
        <f t="shared" si="1022"/>
        <v>-10.820578421648925</v>
      </c>
      <c r="T987">
        <f t="shared" si="1023"/>
        <v>-1.0820578421648925E-2</v>
      </c>
    </row>
    <row r="988" spans="1:20" x14ac:dyDescent="0.25">
      <c r="A988" s="5">
        <v>43605</v>
      </c>
      <c r="B988">
        <v>2.5491000000000001</v>
      </c>
      <c r="C988">
        <v>2.5491000000000001</v>
      </c>
      <c r="D988">
        <v>2.3201999999999998</v>
      </c>
      <c r="E988">
        <v>2.4392999999999998</v>
      </c>
      <c r="F988">
        <v>649104.07999999996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4.0629095674965615E-2</v>
      </c>
      <c r="Q988">
        <f t="shared" si="1020"/>
        <v>26372.511769330533</v>
      </c>
      <c r="R988">
        <f t="shared" si="1021"/>
        <v>-1127295.7668097862</v>
      </c>
      <c r="S988">
        <f t="shared" si="1022"/>
        <v>-11.272957668097861</v>
      </c>
      <c r="T988">
        <f t="shared" si="1023"/>
        <v>-1.1272957668097862E-2</v>
      </c>
    </row>
    <row r="989" spans="1:20" x14ac:dyDescent="0.25">
      <c r="A989" s="5">
        <v>43604</v>
      </c>
      <c r="B989">
        <v>2.3935</v>
      </c>
      <c r="C989">
        <v>2.5901999999999998</v>
      </c>
      <c r="D989">
        <v>2.3799000000000001</v>
      </c>
      <c r="E989">
        <v>2.5318000000000001</v>
      </c>
      <c r="F989">
        <v>668142.97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0.44460294816928325</v>
      </c>
      <c r="Q989">
        <f t="shared" si="1020"/>
        <v>297058.33426058094</v>
      </c>
      <c r="R989">
        <f t="shared" si="1021"/>
        <v>-1153668.2785791168</v>
      </c>
      <c r="S989">
        <f t="shared" si="1022"/>
        <v>-11.536682785791168</v>
      </c>
      <c r="T989">
        <f t="shared" si="1023"/>
        <v>-1.1536682785791168E-2</v>
      </c>
    </row>
    <row r="990" spans="1:20" x14ac:dyDescent="0.25">
      <c r="A990" s="5">
        <v>43603</v>
      </c>
      <c r="B990">
        <v>2.4127000000000001</v>
      </c>
      <c r="C990">
        <v>2.4363000000000001</v>
      </c>
      <c r="D990">
        <v>2.2850000000000001</v>
      </c>
      <c r="E990">
        <v>2.3813</v>
      </c>
      <c r="F990">
        <v>438562.68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0.27296761401189473</v>
      </c>
      <c r="Q990">
        <f t="shared" si="1020"/>
        <v>119713.40835426211</v>
      </c>
      <c r="R990">
        <f t="shared" si="1021"/>
        <v>-1450726.6128396979</v>
      </c>
      <c r="S990">
        <f t="shared" si="1022"/>
        <v>-14.507266128396978</v>
      </c>
      <c r="T990">
        <f t="shared" si="1023"/>
        <v>-1.4507266128396978E-2</v>
      </c>
    </row>
    <row r="991" spans="1:20" x14ac:dyDescent="0.25">
      <c r="A991" s="5">
        <v>43602</v>
      </c>
      <c r="B991">
        <v>2.5186000000000002</v>
      </c>
      <c r="C991">
        <v>2.5396999999999998</v>
      </c>
      <c r="D991">
        <v>2.1911999999999998</v>
      </c>
      <c r="E991">
        <v>2.4135</v>
      </c>
      <c r="F991">
        <v>609153.91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0.27575322812051734</v>
      </c>
      <c r="Q991">
        <f t="shared" si="1020"/>
        <v>167976.15710473509</v>
      </c>
      <c r="R991">
        <f t="shared" si="1021"/>
        <v>-1570440.02119396</v>
      </c>
      <c r="S991">
        <f t="shared" si="1022"/>
        <v>-15.7044002119396</v>
      </c>
      <c r="T991">
        <f t="shared" si="1023"/>
        <v>-1.5704400211939598E-2</v>
      </c>
    </row>
    <row r="992" spans="1:20" x14ac:dyDescent="0.25">
      <c r="A992" s="5">
        <v>43601</v>
      </c>
      <c r="B992">
        <v>2.5813000000000001</v>
      </c>
      <c r="C992">
        <v>2.7553999999999998</v>
      </c>
      <c r="D992">
        <v>2.4289999999999998</v>
      </c>
      <c r="E992">
        <v>2.5188000000000001</v>
      </c>
      <c r="F992">
        <v>1159623.42</v>
      </c>
      <c r="G992">
        <v>0</v>
      </c>
      <c r="L992" t="s">
        <v>7</v>
      </c>
      <c r="M992" t="s">
        <v>8</v>
      </c>
      <c r="N992" t="s">
        <v>8</v>
      </c>
      <c r="P992">
        <f t="shared" si="1019"/>
        <v>-0.44975490196078238</v>
      </c>
      <c r="Q992">
        <f t="shared" si="1020"/>
        <v>-521546.31757352717</v>
      </c>
      <c r="R992">
        <f t="shared" si="1021"/>
        <v>-1738416.178298695</v>
      </c>
      <c r="S992">
        <f t="shared" si="1022"/>
        <v>-17.384161782986951</v>
      </c>
      <c r="T992">
        <f t="shared" si="1023"/>
        <v>-1.7384161782986952E-2</v>
      </c>
    </row>
    <row r="993" spans="1:20" x14ac:dyDescent="0.25">
      <c r="A993" s="5">
        <v>43600</v>
      </c>
      <c r="B993">
        <v>2.3552</v>
      </c>
      <c r="C993">
        <v>2.7545000000000002</v>
      </c>
      <c r="D993">
        <v>2.3551000000000002</v>
      </c>
      <c r="E993">
        <v>2.5693000000000001</v>
      </c>
      <c r="F993">
        <v>1219028.79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7.2608913370054873E-2</v>
      </c>
      <c r="Q993">
        <f t="shared" si="1020"/>
        <v>88512.355808712819</v>
      </c>
      <c r="R993">
        <f t="shared" si="1021"/>
        <v>-1216869.8607251679</v>
      </c>
      <c r="S993">
        <f t="shared" si="1022"/>
        <v>-12.168698607251679</v>
      </c>
      <c r="T993">
        <f t="shared" si="1023"/>
        <v>-1.216869860725168E-2</v>
      </c>
    </row>
    <row r="994" spans="1:20" x14ac:dyDescent="0.25">
      <c r="A994" s="5">
        <v>43599</v>
      </c>
      <c r="B994">
        <v>2.3656999999999999</v>
      </c>
      <c r="C994">
        <v>2.4434999999999998</v>
      </c>
      <c r="D994">
        <v>2.2683</v>
      </c>
      <c r="E994">
        <v>2.3559000000000001</v>
      </c>
      <c r="F994">
        <v>800517.82</v>
      </c>
      <c r="G994">
        <v>0</v>
      </c>
      <c r="L994" t="s">
        <v>7</v>
      </c>
      <c r="M994" t="s">
        <v>8</v>
      </c>
      <c r="N994" t="s">
        <v>7</v>
      </c>
      <c r="P994">
        <f t="shared" si="1019"/>
        <v>2.5347557639843784E-15</v>
      </c>
      <c r="Q994">
        <f t="shared" si="1020"/>
        <v>2.0291171584172088E-9</v>
      </c>
      <c r="R994">
        <f t="shared" si="1021"/>
        <v>-1305382.2165338807</v>
      </c>
      <c r="S994">
        <f t="shared" si="1022"/>
        <v>-13.053822165338806</v>
      </c>
      <c r="T994">
        <f t="shared" si="1023"/>
        <v>-1.3053822165338807E-2</v>
      </c>
    </row>
    <row r="995" spans="1:20" x14ac:dyDescent="0.25">
      <c r="A995" s="5">
        <v>43598</v>
      </c>
      <c r="B995">
        <v>2.4085000000000001</v>
      </c>
      <c r="C995">
        <v>2.5118999999999998</v>
      </c>
      <c r="D995">
        <v>2.3006000000000002</v>
      </c>
      <c r="E995">
        <v>2.3626</v>
      </c>
      <c r="F995">
        <v>872438.57</v>
      </c>
      <c r="G995">
        <v>0</v>
      </c>
      <c r="L995" t="s">
        <v>7</v>
      </c>
      <c r="M995" t="s">
        <v>8</v>
      </c>
      <c r="N995" t="s">
        <v>7</v>
      </c>
      <c r="P995">
        <f t="shared" si="1019"/>
        <v>-0.41315664931377233</v>
      </c>
      <c r="Q995">
        <f t="shared" si="1020"/>
        <v>-360453.79631329898</v>
      </c>
      <c r="R995">
        <f t="shared" si="1021"/>
        <v>-1305382.2165338828</v>
      </c>
      <c r="S995">
        <f t="shared" si="1022"/>
        <v>-13.053822165338827</v>
      </c>
      <c r="T995">
        <f t="shared" si="1023"/>
        <v>-1.3053822165338827E-2</v>
      </c>
    </row>
    <row r="996" spans="1:20" x14ac:dyDescent="0.25">
      <c r="A996" s="5">
        <v>43597</v>
      </c>
      <c r="B996">
        <v>2.4297</v>
      </c>
      <c r="C996">
        <v>2.5727000000000002</v>
      </c>
      <c r="D996">
        <v>2.3069999999999999</v>
      </c>
      <c r="E996">
        <v>2.4256000000000002</v>
      </c>
      <c r="F996">
        <v>557403.80000000005</v>
      </c>
      <c r="G996">
        <v>0</v>
      </c>
      <c r="L996" t="s">
        <v>8</v>
      </c>
      <c r="M996" t="s">
        <v>8</v>
      </c>
      <c r="N996" t="s">
        <v>7</v>
      </c>
      <c r="P996">
        <f t="shared" si="1019"/>
        <v>-0.10726383138878329</v>
      </c>
      <c r="Q996">
        <f t="shared" si="1020"/>
        <v>-59789.26721866709</v>
      </c>
      <c r="R996">
        <f t="shared" si="1021"/>
        <v>-944928.42022058379</v>
      </c>
      <c r="S996">
        <f t="shared" si="1022"/>
        <v>-9.4492842022058383</v>
      </c>
      <c r="T996">
        <f t="shared" si="1023"/>
        <v>-9.4492842022058376E-3</v>
      </c>
    </row>
    <row r="997" spans="1:20" x14ac:dyDescent="0.25">
      <c r="A997" s="5">
        <v>43596</v>
      </c>
      <c r="B997">
        <v>2.2673000000000001</v>
      </c>
      <c r="C997">
        <v>2.5099</v>
      </c>
      <c r="D997">
        <v>2.2578999999999998</v>
      </c>
      <c r="E997">
        <v>2.4239999999999999</v>
      </c>
      <c r="F997">
        <v>920781.08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0.31825396825396818</v>
      </c>
      <c r="Q997">
        <f t="shared" si="1020"/>
        <v>293042.23260317452</v>
      </c>
      <c r="R997">
        <f t="shared" si="1021"/>
        <v>-885139.15300191671</v>
      </c>
      <c r="S997">
        <f t="shared" si="1022"/>
        <v>-8.8513915300191677</v>
      </c>
      <c r="T997">
        <f t="shared" si="1023"/>
        <v>-8.8513915300191676E-3</v>
      </c>
    </row>
    <row r="998" spans="1:20" x14ac:dyDescent="0.25">
      <c r="A998" s="5">
        <v>43595</v>
      </c>
      <c r="B998">
        <v>2.343</v>
      </c>
      <c r="C998">
        <v>2.3854000000000002</v>
      </c>
      <c r="D998">
        <v>2.2113</v>
      </c>
      <c r="E998">
        <v>2.2664</v>
      </c>
      <c r="F998">
        <v>196269.27</v>
      </c>
      <c r="G998">
        <v>0</v>
      </c>
      <c r="L998" t="s">
        <v>7</v>
      </c>
      <c r="M998" t="s">
        <v>8</v>
      </c>
      <c r="N998" t="s">
        <v>7</v>
      </c>
      <c r="P998">
        <f t="shared" si="1019"/>
        <v>-0.36703044227455622</v>
      </c>
      <c r="Q998">
        <f t="shared" si="1020"/>
        <v>-72036.796973004282</v>
      </c>
      <c r="R998">
        <f t="shared" si="1021"/>
        <v>-1178181.3856050912</v>
      </c>
      <c r="S998">
        <f t="shared" si="1022"/>
        <v>-11.781813856050912</v>
      </c>
      <c r="T998">
        <f t="shared" si="1023"/>
        <v>-1.1781813856050911E-2</v>
      </c>
    </row>
    <row r="999" spans="1:20" x14ac:dyDescent="0.25">
      <c r="A999" s="5">
        <v>43594</v>
      </c>
      <c r="B999">
        <v>2.2132999999999998</v>
      </c>
      <c r="C999">
        <v>2.4483000000000001</v>
      </c>
      <c r="D999">
        <v>2.1233</v>
      </c>
      <c r="E999">
        <v>2.3414999999999999</v>
      </c>
      <c r="F999">
        <v>333284.39</v>
      </c>
      <c r="G999">
        <v>0</v>
      </c>
      <c r="L999" t="s">
        <v>8</v>
      </c>
      <c r="M999" t="s">
        <v>8</v>
      </c>
      <c r="N999" t="s">
        <v>7</v>
      </c>
      <c r="P999">
        <f t="shared" si="1019"/>
        <v>0.34276923076922972</v>
      </c>
      <c r="Q999">
        <f t="shared" si="1020"/>
        <v>114239.63398769197</v>
      </c>
      <c r="R999">
        <f t="shared" si="1021"/>
        <v>-1106144.588632087</v>
      </c>
      <c r="S999">
        <f t="shared" si="1022"/>
        <v>-11.06144588632087</v>
      </c>
      <c r="T999">
        <f t="shared" si="1023"/>
        <v>-1.106144588632087E-2</v>
      </c>
    </row>
    <row r="1000" spans="1:20" x14ac:dyDescent="0.25">
      <c r="A1000" s="5">
        <v>43593</v>
      </c>
      <c r="B1000">
        <v>2.0874999999999999</v>
      </c>
      <c r="C1000">
        <v>2.2587000000000002</v>
      </c>
      <c r="D1000">
        <v>2.0415999999999999</v>
      </c>
      <c r="E1000">
        <v>2.2193000000000001</v>
      </c>
      <c r="F1000">
        <v>533924.02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0.63703362505757666</v>
      </c>
      <c r="Q1000">
        <f t="shared" si="1020"/>
        <v>340127.55396591406</v>
      </c>
      <c r="R1000">
        <f t="shared" si="1021"/>
        <v>-1220384.2226197789</v>
      </c>
      <c r="S1000">
        <f t="shared" si="1022"/>
        <v>-12.203842226197789</v>
      </c>
      <c r="T1000">
        <f t="shared" si="1023"/>
        <v>-1.2203842226197789E-2</v>
      </c>
    </row>
    <row r="1001" spans="1:20" x14ac:dyDescent="0.25">
      <c r="A1001" s="5">
        <v>43592</v>
      </c>
      <c r="B1001">
        <v>2.1456</v>
      </c>
      <c r="C1001">
        <v>2.4763000000000002</v>
      </c>
      <c r="D1001">
        <v>2.0825</v>
      </c>
      <c r="E1001">
        <v>2.0825</v>
      </c>
      <c r="F1001">
        <v>861006.42</v>
      </c>
      <c r="G1001">
        <v>0</v>
      </c>
      <c r="L1001" t="s">
        <v>8</v>
      </c>
      <c r="M1001" t="s">
        <v>8</v>
      </c>
      <c r="N1001" t="s">
        <v>7</v>
      </c>
      <c r="P1001">
        <f t="shared" si="1019"/>
        <v>-1</v>
      </c>
      <c r="Q1001">
        <f t="shared" si="1020"/>
        <v>-861006.42</v>
      </c>
      <c r="R1001">
        <f t="shared" si="1021"/>
        <v>-1560511.776585693</v>
      </c>
      <c r="S1001">
        <f t="shared" si="1022"/>
        <v>-15.60511776585693</v>
      </c>
      <c r="T1001">
        <f t="shared" si="1023"/>
        <v>-1.560511776585693E-2</v>
      </c>
    </row>
    <row r="1002" spans="1:20" x14ac:dyDescent="0.25">
      <c r="A1002" s="5">
        <v>43591</v>
      </c>
      <c r="B1002">
        <v>2.0857000000000001</v>
      </c>
      <c r="C1002">
        <v>2.2130999999999998</v>
      </c>
      <c r="D1002">
        <v>2.0306000000000002</v>
      </c>
      <c r="E1002">
        <v>2.1467000000000001</v>
      </c>
      <c r="F1002">
        <v>115328.39</v>
      </c>
      <c r="G1002">
        <v>0</v>
      </c>
      <c r="L1002" t="s">
        <v>8</v>
      </c>
      <c r="M1002" t="s">
        <v>8</v>
      </c>
      <c r="N1002" t="s">
        <v>7</v>
      </c>
      <c r="P1002">
        <f t="shared" si="1019"/>
        <v>0.27232876712328857</v>
      </c>
      <c r="Q1002">
        <f t="shared" si="1020"/>
        <v>31407.238263013802</v>
      </c>
      <c r="R1002">
        <f t="shared" si="1021"/>
        <v>-699505.35658569296</v>
      </c>
      <c r="S1002">
        <f t="shared" si="1022"/>
        <v>-6.9950535658569297</v>
      </c>
      <c r="T1002">
        <f t="shared" si="1023"/>
        <v>-6.9950535658569301E-3</v>
      </c>
    </row>
    <row r="1003" spans="1:20" x14ac:dyDescent="0.25">
      <c r="A1003" s="5">
        <v>43590</v>
      </c>
      <c r="B1003">
        <v>2.1501000000000001</v>
      </c>
      <c r="C1003">
        <v>2.1501000000000001</v>
      </c>
      <c r="D1003">
        <v>2.0177</v>
      </c>
      <c r="E1003">
        <v>2.0846</v>
      </c>
      <c r="F1003">
        <v>89128</v>
      </c>
      <c r="G1003">
        <v>0</v>
      </c>
      <c r="L1003" t="s">
        <v>7</v>
      </c>
      <c r="M1003" t="s">
        <v>8</v>
      </c>
      <c r="N1003" t="s">
        <v>7</v>
      </c>
      <c r="P1003">
        <f t="shared" si="1019"/>
        <v>1.0574018126887047E-2</v>
      </c>
      <c r="Q1003">
        <f t="shared" si="1020"/>
        <v>942.44108761318876</v>
      </c>
      <c r="R1003">
        <f t="shared" si="1021"/>
        <v>-730912.59484870674</v>
      </c>
      <c r="S1003">
        <f t="shared" si="1022"/>
        <v>-7.3091259484870674</v>
      </c>
      <c r="T1003">
        <f t="shared" si="1023"/>
        <v>-7.3091259484870672E-3</v>
      </c>
    </row>
    <row r="1004" spans="1:20" x14ac:dyDescent="0.25">
      <c r="A1004" s="5">
        <v>43589</v>
      </c>
      <c r="B1004">
        <v>2.2235</v>
      </c>
      <c r="C1004">
        <v>2.2624</v>
      </c>
      <c r="D1004">
        <v>2.08</v>
      </c>
      <c r="E1004">
        <v>2.1501000000000001</v>
      </c>
      <c r="F1004">
        <v>136007.97</v>
      </c>
      <c r="G1004">
        <v>0</v>
      </c>
      <c r="L1004" t="s">
        <v>7</v>
      </c>
      <c r="M1004" t="s">
        <v>8</v>
      </c>
      <c r="N1004" t="s">
        <v>7</v>
      </c>
      <c r="P1004">
        <f t="shared" si="1019"/>
        <v>-0.23135964912280602</v>
      </c>
      <c r="Q1004">
        <f t="shared" si="1020"/>
        <v>-31466.756217105129</v>
      </c>
      <c r="R1004">
        <f t="shared" si="1021"/>
        <v>-731855.03593631997</v>
      </c>
      <c r="S1004">
        <f t="shared" si="1022"/>
        <v>-7.3185503593631998</v>
      </c>
      <c r="T1004">
        <f t="shared" si="1023"/>
        <v>-7.3185503593631998E-3</v>
      </c>
    </row>
    <row r="1005" spans="1:20" x14ac:dyDescent="0.25">
      <c r="A1005" s="5">
        <v>43588</v>
      </c>
      <c r="B1005">
        <v>2.1587000000000001</v>
      </c>
      <c r="C1005">
        <v>2.2364000000000002</v>
      </c>
      <c r="D1005">
        <v>2.1387999999999998</v>
      </c>
      <c r="E1005">
        <v>2.2235</v>
      </c>
      <c r="F1005">
        <v>207840.24</v>
      </c>
      <c r="G1005">
        <v>0</v>
      </c>
      <c r="L1005" t="s">
        <v>7</v>
      </c>
      <c r="M1005" t="s">
        <v>8</v>
      </c>
      <c r="N1005" t="s">
        <v>7</v>
      </c>
      <c r="P1005">
        <f t="shared" si="1019"/>
        <v>0.73565573770491621</v>
      </c>
      <c r="Q1005">
        <f t="shared" si="1020"/>
        <v>152898.86508196683</v>
      </c>
      <c r="R1005">
        <f t="shared" si="1021"/>
        <v>-700388.27971921489</v>
      </c>
      <c r="S1005">
        <f t="shared" si="1022"/>
        <v>-7.0038827971921487</v>
      </c>
      <c r="T1005">
        <f t="shared" si="1023"/>
        <v>-7.0038827971921486E-3</v>
      </c>
    </row>
    <row r="1006" spans="1:20" x14ac:dyDescent="0.25">
      <c r="A1006" s="5">
        <v>43587</v>
      </c>
      <c r="B1006">
        <v>2.14</v>
      </c>
      <c r="C1006">
        <v>2.1808000000000001</v>
      </c>
      <c r="D1006">
        <v>2.1217999999999999</v>
      </c>
      <c r="E1006">
        <v>2.1629</v>
      </c>
      <c r="F1006">
        <v>111266.2</v>
      </c>
      <c r="G1006">
        <v>0</v>
      </c>
      <c r="L1006" t="s">
        <v>7</v>
      </c>
      <c r="M1006" t="s">
        <v>8</v>
      </c>
      <c r="N1006" t="s">
        <v>7</v>
      </c>
      <c r="P1006">
        <f t="shared" si="1019"/>
        <v>0.39322033898305159</v>
      </c>
      <c r="Q1006">
        <f t="shared" si="1020"/>
        <v>43752.13288135601</v>
      </c>
      <c r="R1006">
        <f t="shared" si="1021"/>
        <v>-853287.14480118174</v>
      </c>
      <c r="S1006">
        <f t="shared" si="1022"/>
        <v>-8.532871448011818</v>
      </c>
      <c r="T1006">
        <f t="shared" si="1023"/>
        <v>-8.5328714480118178E-3</v>
      </c>
    </row>
    <row r="1007" spans="1:20" x14ac:dyDescent="0.25">
      <c r="A1007" s="5">
        <v>43586</v>
      </c>
      <c r="B1007">
        <v>2.2528999999999999</v>
      </c>
      <c r="C1007">
        <v>2.2782</v>
      </c>
      <c r="D1007">
        <v>2.1274000000000002</v>
      </c>
      <c r="E1007">
        <v>2.1526000000000001</v>
      </c>
      <c r="F1007">
        <v>109626.37</v>
      </c>
      <c r="G1007">
        <v>0</v>
      </c>
      <c r="L1007" t="s">
        <v>7</v>
      </c>
      <c r="M1007" t="s">
        <v>8</v>
      </c>
      <c r="N1007" t="s">
        <v>7</v>
      </c>
      <c r="P1007">
        <f t="shared" si="1019"/>
        <v>-0.66578249336870132</v>
      </c>
      <c r="Q1007">
        <f t="shared" si="1020"/>
        <v>-72987.31795755979</v>
      </c>
      <c r="R1007">
        <f t="shared" si="1021"/>
        <v>-897039.2776825378</v>
      </c>
      <c r="S1007">
        <f t="shared" si="1022"/>
        <v>-8.9703927768253777</v>
      </c>
      <c r="T1007">
        <f t="shared" si="1023"/>
        <v>-8.9703927768253772E-3</v>
      </c>
    </row>
    <row r="1008" spans="1:20" x14ac:dyDescent="0.25">
      <c r="A1008" s="5">
        <v>43585</v>
      </c>
      <c r="B1008">
        <v>1.9834000000000001</v>
      </c>
      <c r="C1008">
        <v>2.3098999999999998</v>
      </c>
      <c r="D1008">
        <v>1.9670000000000001</v>
      </c>
      <c r="E1008">
        <v>2.2526999999999999</v>
      </c>
      <c r="F1008">
        <v>282116.21000000002</v>
      </c>
      <c r="G1008">
        <v>0</v>
      </c>
      <c r="L1008" t="s">
        <v>8</v>
      </c>
      <c r="M1008" t="s">
        <v>8</v>
      </c>
      <c r="N1008" t="s">
        <v>7</v>
      </c>
      <c r="P1008">
        <f t="shared" si="1019"/>
        <v>0.66637503645377683</v>
      </c>
      <c r="Q1008">
        <f t="shared" si="1020"/>
        <v>187995.19972295137</v>
      </c>
      <c r="R1008">
        <f t="shared" si="1021"/>
        <v>-824051.95972497796</v>
      </c>
      <c r="S1008">
        <f t="shared" si="1022"/>
        <v>-8.2405195972497793</v>
      </c>
      <c r="T1008">
        <f t="shared" si="1023"/>
        <v>-8.2405195972497791E-3</v>
      </c>
    </row>
    <row r="1009" spans="1:20" x14ac:dyDescent="0.25">
      <c r="A1009" s="5">
        <v>43584</v>
      </c>
      <c r="B1009">
        <v>2.0899000000000001</v>
      </c>
      <c r="C1009">
        <v>2.1263000000000001</v>
      </c>
      <c r="D1009">
        <v>1.9363999999999999</v>
      </c>
      <c r="E1009">
        <v>1.9912000000000001</v>
      </c>
      <c r="F1009">
        <v>155625.57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-0.42285413375460634</v>
      </c>
      <c r="Q1009">
        <f t="shared" si="1020"/>
        <v>-65806.915592416859</v>
      </c>
      <c r="R1009">
        <f t="shared" si="1021"/>
        <v>-1012047.1594479294</v>
      </c>
      <c r="S1009">
        <f t="shared" si="1022"/>
        <v>-10.120471594479293</v>
      </c>
      <c r="T1009">
        <f t="shared" si="1023"/>
        <v>-1.0120471594479293E-2</v>
      </c>
    </row>
    <row r="1010" spans="1:20" x14ac:dyDescent="0.25">
      <c r="A1010" s="5">
        <v>43583</v>
      </c>
      <c r="B1010">
        <v>2.1695000000000002</v>
      </c>
      <c r="C1010">
        <v>2.1972999999999998</v>
      </c>
      <c r="D1010">
        <v>2.0749</v>
      </c>
      <c r="E1010">
        <v>2.0941999999999998</v>
      </c>
      <c r="F1010">
        <v>136169.37</v>
      </c>
      <c r="G1010">
        <v>0</v>
      </c>
      <c r="L1010" t="s">
        <v>7</v>
      </c>
      <c r="M1010" t="s">
        <v>7</v>
      </c>
      <c r="N1010" t="s">
        <v>7</v>
      </c>
      <c r="P1010">
        <f t="shared" si="1019"/>
        <v>-0.68464052287581867</v>
      </c>
      <c r="Q1010">
        <f t="shared" si="1020"/>
        <v>-93227.068676470808</v>
      </c>
      <c r="R1010">
        <f t="shared" si="1021"/>
        <v>-946240.24385551247</v>
      </c>
      <c r="S1010">
        <f t="shared" si="1022"/>
        <v>-9.4624024385551255</v>
      </c>
      <c r="T1010">
        <f t="shared" si="1023"/>
        <v>-9.4624024385551262E-3</v>
      </c>
    </row>
    <row r="1011" spans="1:20" x14ac:dyDescent="0.25">
      <c r="A1011" s="5">
        <v>43582</v>
      </c>
      <c r="B1011">
        <v>2.2157</v>
      </c>
      <c r="C1011">
        <v>2.2286999999999999</v>
      </c>
      <c r="D1011">
        <v>2.11</v>
      </c>
      <c r="E1011">
        <v>2.1695000000000002</v>
      </c>
      <c r="F1011">
        <v>138766.26999999999</v>
      </c>
      <c r="G1011">
        <v>0</v>
      </c>
      <c r="L1011" t="s">
        <v>7</v>
      </c>
      <c r="M1011" t="s">
        <v>7</v>
      </c>
      <c r="N1011" t="s">
        <v>7</v>
      </c>
      <c r="P1011">
        <f t="shared" si="1019"/>
        <v>2.527379949457734E-3</v>
      </c>
      <c r="Q1011">
        <f t="shared" si="1020"/>
        <v>350.71508845903821</v>
      </c>
      <c r="R1011">
        <f t="shared" si="1021"/>
        <v>-853013.17517904169</v>
      </c>
      <c r="S1011">
        <f t="shared" si="1022"/>
        <v>-8.5301317517904174</v>
      </c>
      <c r="T1011">
        <f t="shared" si="1023"/>
        <v>-8.5301317517904179E-3</v>
      </c>
    </row>
    <row r="1012" spans="1:20" x14ac:dyDescent="0.25">
      <c r="A1012" s="5">
        <v>43581</v>
      </c>
      <c r="B1012">
        <v>2.2000000000000002</v>
      </c>
      <c r="C1012">
        <v>2.2789000000000001</v>
      </c>
      <c r="D1012">
        <v>2.1227</v>
      </c>
      <c r="E1012">
        <v>2.2050999999999998</v>
      </c>
      <c r="F1012">
        <v>151281.57999999999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5.5057618437896867E-2</v>
      </c>
      <c r="Q1012">
        <f t="shared" si="1020"/>
        <v>8329.203508322169</v>
      </c>
      <c r="R1012">
        <f t="shared" si="1021"/>
        <v>-853363.89026750077</v>
      </c>
      <c r="S1012">
        <f t="shared" si="1022"/>
        <v>-8.5336389026750084</v>
      </c>
      <c r="T1012">
        <f t="shared" si="1023"/>
        <v>-8.533638902675009E-3</v>
      </c>
    </row>
    <row r="1013" spans="1:20" x14ac:dyDescent="0.25">
      <c r="A1013" s="5">
        <v>43580</v>
      </c>
      <c r="B1013">
        <v>2.3702000000000001</v>
      </c>
      <c r="C1013">
        <v>2.4312999999999998</v>
      </c>
      <c r="D1013">
        <v>2.1810999999999998</v>
      </c>
      <c r="E1013">
        <v>2.2033</v>
      </c>
      <c r="F1013">
        <v>154234.82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-0.82254196642685673</v>
      </c>
      <c r="Q1013">
        <f t="shared" si="1020"/>
        <v>-126864.6121342923</v>
      </c>
      <c r="R1013">
        <f t="shared" si="1021"/>
        <v>-861693.0937758229</v>
      </c>
      <c r="S1013">
        <f t="shared" si="1022"/>
        <v>-8.6169309377582284</v>
      </c>
      <c r="T1013">
        <f t="shared" si="1023"/>
        <v>-8.6169309377582288E-3</v>
      </c>
    </row>
    <row r="1014" spans="1:20" x14ac:dyDescent="0.25">
      <c r="A1014" s="5">
        <v>43579</v>
      </c>
      <c r="B1014">
        <v>2.5809000000000002</v>
      </c>
      <c r="C1014">
        <v>2.6244999999999998</v>
      </c>
      <c r="D1014">
        <v>2.2968999999999999</v>
      </c>
      <c r="E1014">
        <v>2.3666</v>
      </c>
      <c r="F1014">
        <v>361036.93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-0.57448107448107377</v>
      </c>
      <c r="Q1014">
        <f t="shared" si="1020"/>
        <v>-207408.88347374822</v>
      </c>
      <c r="R1014">
        <f t="shared" si="1021"/>
        <v>-734828.48164153064</v>
      </c>
      <c r="S1014">
        <f t="shared" si="1022"/>
        <v>-7.3482848164153065</v>
      </c>
      <c r="T1014">
        <f t="shared" si="1023"/>
        <v>-7.3482848164153061E-3</v>
      </c>
    </row>
    <row r="1015" spans="1:20" x14ac:dyDescent="0.25">
      <c r="A1015" s="5">
        <v>43578</v>
      </c>
      <c r="B1015">
        <v>2.6160999999999999</v>
      </c>
      <c r="C1015">
        <v>2.6724999999999999</v>
      </c>
      <c r="D1015">
        <v>2.57</v>
      </c>
      <c r="E1015">
        <v>2.5855000000000001</v>
      </c>
      <c r="F1015">
        <v>236392.95999999999</v>
      </c>
      <c r="G1015">
        <v>0</v>
      </c>
      <c r="L1015" t="s">
        <v>7</v>
      </c>
      <c r="M1015" t="s">
        <v>7</v>
      </c>
      <c r="N1015" t="s">
        <v>8</v>
      </c>
      <c r="P1015">
        <f t="shared" si="1019"/>
        <v>-0.6975609756097505</v>
      </c>
      <c r="Q1015">
        <f t="shared" si="1020"/>
        <v>-164898.50380487673</v>
      </c>
      <c r="R1015">
        <f t="shared" si="1021"/>
        <v>-527419.59816778242</v>
      </c>
      <c r="S1015">
        <f t="shared" si="1022"/>
        <v>-5.2741959816778241</v>
      </c>
      <c r="T1015">
        <f t="shared" si="1023"/>
        <v>-5.2741959816778239E-3</v>
      </c>
    </row>
    <row r="1016" spans="1:20" x14ac:dyDescent="0.25">
      <c r="A1016" s="5">
        <v>43577</v>
      </c>
      <c r="B1016">
        <v>2.5893000000000002</v>
      </c>
      <c r="C1016">
        <v>2.6395</v>
      </c>
      <c r="D1016">
        <v>2.5318999999999998</v>
      </c>
      <c r="E1016">
        <v>2.6135000000000002</v>
      </c>
      <c r="F1016">
        <v>397105.72</v>
      </c>
      <c r="G1016">
        <v>0</v>
      </c>
      <c r="L1016" t="s">
        <v>7</v>
      </c>
      <c r="M1016" t="s">
        <v>7</v>
      </c>
      <c r="N1016" t="s">
        <v>8</v>
      </c>
      <c r="P1016">
        <f t="shared" si="1019"/>
        <v>0.51672862453532031</v>
      </c>
      <c r="Q1016">
        <f t="shared" si="1020"/>
        <v>205195.89249070804</v>
      </c>
      <c r="R1016">
        <f t="shared" si="1021"/>
        <v>-362521.09436290571</v>
      </c>
      <c r="S1016">
        <f t="shared" si="1022"/>
        <v>-3.6252109436290572</v>
      </c>
      <c r="T1016">
        <f t="shared" si="1023"/>
        <v>-3.6252109436290571E-3</v>
      </c>
    </row>
    <row r="1017" spans="1:20" x14ac:dyDescent="0.25">
      <c r="A1017" s="5">
        <v>43576</v>
      </c>
      <c r="B1017">
        <v>2.6495000000000002</v>
      </c>
      <c r="C1017">
        <v>2.6627999999999998</v>
      </c>
      <c r="D1017">
        <v>2.5108999999999999</v>
      </c>
      <c r="E1017">
        <v>2.5893000000000002</v>
      </c>
      <c r="F1017">
        <v>655494.18000000005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3.2258064516132806E-2</v>
      </c>
      <c r="Q1017">
        <f t="shared" si="1020"/>
        <v>21144.973548389571</v>
      </c>
      <c r="R1017">
        <f t="shared" si="1021"/>
        <v>-567716.98685361375</v>
      </c>
      <c r="S1017">
        <f t="shared" si="1022"/>
        <v>-5.6771698685361374</v>
      </c>
      <c r="T1017">
        <f t="shared" si="1023"/>
        <v>-5.6771698685361372E-3</v>
      </c>
    </row>
    <row r="1018" spans="1:20" x14ac:dyDescent="0.25">
      <c r="A1018" s="5">
        <v>43575</v>
      </c>
      <c r="B1018">
        <v>2.6560999999999999</v>
      </c>
      <c r="C1018">
        <v>2.6943000000000001</v>
      </c>
      <c r="D1018">
        <v>2.6139000000000001</v>
      </c>
      <c r="E1018">
        <v>2.6492</v>
      </c>
      <c r="F1018">
        <v>244319.24</v>
      </c>
      <c r="G1018">
        <v>0</v>
      </c>
      <c r="L1018" t="s">
        <v>7</v>
      </c>
      <c r="M1018" t="s">
        <v>7</v>
      </c>
      <c r="N1018" t="s">
        <v>8</v>
      </c>
      <c r="P1018">
        <f t="shared" si="1019"/>
        <v>-0.1218905472636847</v>
      </c>
      <c r="Q1018">
        <f t="shared" si="1020"/>
        <v>-29780.205870647525</v>
      </c>
      <c r="R1018">
        <f t="shared" si="1021"/>
        <v>-588861.96040200337</v>
      </c>
      <c r="S1018">
        <f t="shared" si="1022"/>
        <v>-5.8886196040200334</v>
      </c>
      <c r="T1018">
        <f t="shared" si="1023"/>
        <v>-5.8886196040200331E-3</v>
      </c>
    </row>
    <row r="1019" spans="1:20" x14ac:dyDescent="0.25">
      <c r="A1019" s="5">
        <v>43574</v>
      </c>
      <c r="B1019">
        <v>2.6880999999999999</v>
      </c>
      <c r="C1019">
        <v>2.6888999999999998</v>
      </c>
      <c r="D1019">
        <v>2.63</v>
      </c>
      <c r="E1019">
        <v>2.6560000000000001</v>
      </c>
      <c r="F1019">
        <v>231271.93</v>
      </c>
      <c r="G1019">
        <v>0</v>
      </c>
      <c r="L1019" t="s">
        <v>7</v>
      </c>
      <c r="M1019" t="s">
        <v>7</v>
      </c>
      <c r="N1019" t="s">
        <v>8</v>
      </c>
      <c r="P1019">
        <f t="shared" si="1019"/>
        <v>-0.11714770797961745</v>
      </c>
      <c r="Q1019">
        <f t="shared" si="1020"/>
        <v>-27092.976519522526</v>
      </c>
      <c r="R1019">
        <f t="shared" si="1021"/>
        <v>-559081.75453135581</v>
      </c>
      <c r="S1019">
        <f t="shared" si="1022"/>
        <v>-5.5908175453135582</v>
      </c>
      <c r="T1019">
        <f t="shared" si="1023"/>
        <v>-5.5908175453135579E-3</v>
      </c>
    </row>
    <row r="1020" spans="1:20" x14ac:dyDescent="0.25">
      <c r="A1020" s="5">
        <v>43573</v>
      </c>
      <c r="B1020">
        <v>2.6497999999999999</v>
      </c>
      <c r="C1020">
        <v>2.73</v>
      </c>
      <c r="D1020">
        <v>2.6486999999999998</v>
      </c>
      <c r="E1020">
        <v>2.6890000000000001</v>
      </c>
      <c r="F1020">
        <v>224653.04</v>
      </c>
      <c r="G1020">
        <v>0</v>
      </c>
      <c r="L1020" t="s">
        <v>7</v>
      </c>
      <c r="M1020" t="s">
        <v>7</v>
      </c>
      <c r="N1020" t="s">
        <v>8</v>
      </c>
      <c r="P1020">
        <f t="shared" si="1019"/>
        <v>-8.6100861008573133E-3</v>
      </c>
      <c r="Q1020">
        <f t="shared" si="1020"/>
        <v>-1934.2820172193422</v>
      </c>
      <c r="R1020">
        <f t="shared" si="1021"/>
        <v>-531988.77801183332</v>
      </c>
      <c r="S1020">
        <f t="shared" si="1022"/>
        <v>-5.3198877801183331</v>
      </c>
      <c r="T1020">
        <f t="shared" si="1023"/>
        <v>-5.3198877801183334E-3</v>
      </c>
    </row>
    <row r="1021" spans="1:20" x14ac:dyDescent="0.25">
      <c r="A1021" s="5">
        <v>43572</v>
      </c>
      <c r="B1021">
        <v>2.6781999999999999</v>
      </c>
      <c r="C1021">
        <v>2.6999</v>
      </c>
      <c r="D1021">
        <v>2.61</v>
      </c>
      <c r="E1021">
        <v>2.6556000000000002</v>
      </c>
      <c r="F1021">
        <v>293208.24</v>
      </c>
      <c r="G1021">
        <v>0</v>
      </c>
      <c r="L1021" t="s">
        <v>7</v>
      </c>
      <c r="M1021" t="s">
        <v>7</v>
      </c>
      <c r="N1021" t="s">
        <v>8</v>
      </c>
      <c r="P1021">
        <f t="shared" si="1019"/>
        <v>1.4460511679649851E-2</v>
      </c>
      <c r="Q1021">
        <f t="shared" si="1020"/>
        <v>4239.9411790895765</v>
      </c>
      <c r="R1021">
        <f t="shared" si="1021"/>
        <v>-530054.49599461397</v>
      </c>
      <c r="S1021">
        <f t="shared" si="1022"/>
        <v>-5.3005449599461398</v>
      </c>
      <c r="T1021">
        <f t="shared" si="1023"/>
        <v>-5.3005449599461399E-3</v>
      </c>
    </row>
    <row r="1022" spans="1:20" x14ac:dyDescent="0.25">
      <c r="A1022" s="5">
        <v>43571</v>
      </c>
      <c r="B1022">
        <v>2.6099000000000001</v>
      </c>
      <c r="C1022">
        <v>2.6916000000000002</v>
      </c>
      <c r="D1022">
        <v>2.59</v>
      </c>
      <c r="E1022">
        <v>2.6709999999999998</v>
      </c>
      <c r="F1022">
        <v>208048.25</v>
      </c>
      <c r="G1022">
        <v>0</v>
      </c>
      <c r="L1022" t="s">
        <v>7</v>
      </c>
      <c r="M1022" t="s">
        <v>7</v>
      </c>
      <c r="N1022" t="s">
        <v>8</v>
      </c>
      <c r="P1022">
        <f t="shared" si="1019"/>
        <v>0.59448818897637157</v>
      </c>
      <c r="Q1022">
        <f t="shared" si="1020"/>
        <v>123682.2273622034</v>
      </c>
      <c r="R1022">
        <f t="shared" si="1021"/>
        <v>-534294.43717370357</v>
      </c>
      <c r="S1022">
        <f t="shared" si="1022"/>
        <v>-5.342944371737036</v>
      </c>
      <c r="T1022">
        <f t="shared" si="1023"/>
        <v>-5.3429443717370358E-3</v>
      </c>
    </row>
    <row r="1023" spans="1:20" x14ac:dyDescent="0.25">
      <c r="A1023" s="5">
        <v>43570</v>
      </c>
      <c r="B1023">
        <v>2.7578</v>
      </c>
      <c r="C1023">
        <v>2.8001</v>
      </c>
      <c r="D1023">
        <v>2.58</v>
      </c>
      <c r="E1023">
        <v>2.6150000000000002</v>
      </c>
      <c r="F1023">
        <v>317861.90000000002</v>
      </c>
      <c r="G1023">
        <v>0</v>
      </c>
      <c r="L1023" t="s">
        <v>7</v>
      </c>
      <c r="M1023" t="s">
        <v>7</v>
      </c>
      <c r="N1023" t="s">
        <v>8</v>
      </c>
      <c r="P1023">
        <f t="shared" ref="P1023:P1086" si="1024">IF(C1023=D1023,0,((E1023-D1023)-(C1023-E1023))/(C1023-D1023))</f>
        <v>-0.68196274420717717</v>
      </c>
      <c r="Q1023">
        <f t="shared" ref="Q1023:Q1086" si="1025">F1023*P1023</f>
        <v>-216769.97360290735</v>
      </c>
      <c r="R1023">
        <f t="shared" ref="R1023:R1086" si="1026">R1024+Q1023</f>
        <v>-657976.66453590698</v>
      </c>
      <c r="S1023">
        <f t="shared" ref="S1023:S1086" si="1027">R1023/100000</f>
        <v>-6.5797666453590695</v>
      </c>
      <c r="T1023">
        <f t="shared" ref="T1023:T1086" si="1028">S1023/1000</f>
        <v>-6.5797666453590699E-3</v>
      </c>
    </row>
    <row r="1024" spans="1:20" x14ac:dyDescent="0.25">
      <c r="A1024" s="5">
        <v>43569</v>
      </c>
      <c r="B1024">
        <v>2.6427999999999998</v>
      </c>
      <c r="C1024">
        <v>2.8086000000000002</v>
      </c>
      <c r="D1024">
        <v>2.61</v>
      </c>
      <c r="E1024">
        <v>2.7566000000000002</v>
      </c>
      <c r="F1024">
        <v>395014.83</v>
      </c>
      <c r="G1024">
        <v>0</v>
      </c>
      <c r="L1024" t="s">
        <v>8</v>
      </c>
      <c r="M1024" t="s">
        <v>7</v>
      </c>
      <c r="N1024" t="s">
        <v>8</v>
      </c>
      <c r="P1024">
        <f t="shared" si="1024"/>
        <v>0.47633434038267919</v>
      </c>
      <c r="Q1024">
        <f t="shared" si="1025"/>
        <v>188159.12848942616</v>
      </c>
      <c r="R1024">
        <f t="shared" si="1026"/>
        <v>-441206.69093299966</v>
      </c>
      <c r="S1024">
        <f t="shared" si="1027"/>
        <v>-4.4120669093299965</v>
      </c>
      <c r="T1024">
        <f t="shared" si="1028"/>
        <v>-4.4120669093299968E-3</v>
      </c>
    </row>
    <row r="1025" spans="1:20" x14ac:dyDescent="0.25">
      <c r="A1025" s="5">
        <v>43568</v>
      </c>
      <c r="B1025">
        <v>2.641</v>
      </c>
      <c r="C1025">
        <v>2.6852999999999998</v>
      </c>
      <c r="D1025">
        <v>2.5884</v>
      </c>
      <c r="E1025">
        <v>2.6410999999999998</v>
      </c>
      <c r="F1025">
        <v>257643.24</v>
      </c>
      <c r="G1025">
        <v>0</v>
      </c>
      <c r="L1025" t="s">
        <v>7</v>
      </c>
      <c r="M1025" t="s">
        <v>7</v>
      </c>
      <c r="N1025" t="s">
        <v>8</v>
      </c>
      <c r="P1025">
        <f t="shared" si="1024"/>
        <v>8.7719298245611463E-2</v>
      </c>
      <c r="Q1025">
        <f t="shared" si="1025"/>
        <v>22600.284210525653</v>
      </c>
      <c r="R1025">
        <f t="shared" si="1026"/>
        <v>-629365.81942242582</v>
      </c>
      <c r="S1025">
        <f t="shared" si="1027"/>
        <v>-6.2936581942242578</v>
      </c>
      <c r="T1025">
        <f t="shared" si="1028"/>
        <v>-6.2936581942242579E-3</v>
      </c>
    </row>
    <row r="1026" spans="1:20" x14ac:dyDescent="0.25">
      <c r="A1026" s="5">
        <v>43567</v>
      </c>
      <c r="B1026">
        <v>2.6354000000000002</v>
      </c>
      <c r="C1026">
        <v>2.9</v>
      </c>
      <c r="D1026">
        <v>2.5082</v>
      </c>
      <c r="E1026">
        <v>2.6425000000000001</v>
      </c>
      <c r="F1026">
        <v>1307218.55</v>
      </c>
      <c r="G1026">
        <v>0</v>
      </c>
      <c r="L1026" t="s">
        <v>7</v>
      </c>
      <c r="M1026" t="s">
        <v>7</v>
      </c>
      <c r="N1026" t="s">
        <v>8</v>
      </c>
      <c r="P1026">
        <f t="shared" si="1024"/>
        <v>-0.31444614599285292</v>
      </c>
      <c r="Q1026">
        <f t="shared" si="1025"/>
        <v>-411049.83501786552</v>
      </c>
      <c r="R1026">
        <f t="shared" si="1026"/>
        <v>-651966.1036329515</v>
      </c>
      <c r="S1026">
        <f t="shared" si="1027"/>
        <v>-6.5196610363295147</v>
      </c>
      <c r="T1026">
        <f t="shared" si="1028"/>
        <v>-6.5196610363295144E-3</v>
      </c>
    </row>
    <row r="1027" spans="1:20" x14ac:dyDescent="0.25">
      <c r="A1027" s="5">
        <v>43566</v>
      </c>
      <c r="B1027">
        <v>2.7825000000000002</v>
      </c>
      <c r="C1027">
        <v>3.11</v>
      </c>
      <c r="D1027">
        <v>2.4529000000000001</v>
      </c>
      <c r="E1027">
        <v>2.6353</v>
      </c>
      <c r="F1027">
        <v>2131063.7999999998</v>
      </c>
      <c r="G1027">
        <v>0</v>
      </c>
      <c r="L1027" t="s">
        <v>8</v>
      </c>
      <c r="M1027" t="s">
        <v>7</v>
      </c>
      <c r="N1027" t="s">
        <v>8</v>
      </c>
      <c r="P1027">
        <f t="shared" si="1024"/>
        <v>-0.4448333586973065</v>
      </c>
      <c r="Q1027">
        <f t="shared" si="1025"/>
        <v>-947968.26775224495</v>
      </c>
      <c r="R1027">
        <f t="shared" si="1026"/>
        <v>-240916.26861508598</v>
      </c>
      <c r="S1027">
        <f t="shared" si="1027"/>
        <v>-2.4091626861508599</v>
      </c>
      <c r="T1027">
        <f t="shared" si="1028"/>
        <v>-2.4091626861508599E-3</v>
      </c>
    </row>
    <row r="1028" spans="1:20" x14ac:dyDescent="0.25">
      <c r="A1028" s="5">
        <v>43565</v>
      </c>
      <c r="B1028">
        <v>2.7833000000000001</v>
      </c>
      <c r="C1028">
        <v>2.9479000000000002</v>
      </c>
      <c r="D1028">
        <v>2.7170999999999998</v>
      </c>
      <c r="E1028">
        <v>2.7787999999999999</v>
      </c>
      <c r="F1028">
        <v>774745.11</v>
      </c>
      <c r="G1028">
        <v>0</v>
      </c>
      <c r="L1028" t="s">
        <v>8</v>
      </c>
      <c r="M1028" t="s">
        <v>7</v>
      </c>
      <c r="N1028" t="s">
        <v>8</v>
      </c>
      <c r="P1028">
        <f t="shared" si="1024"/>
        <v>-0.46533795493934144</v>
      </c>
      <c r="Q1028">
        <f t="shared" si="1025"/>
        <v>-360518.30508665513</v>
      </c>
      <c r="R1028">
        <f t="shared" si="1026"/>
        <v>707051.99913715897</v>
      </c>
      <c r="S1028">
        <f t="shared" si="1027"/>
        <v>7.0705199913715902</v>
      </c>
      <c r="T1028">
        <f t="shared" si="1028"/>
        <v>7.0705199913715898E-3</v>
      </c>
    </row>
    <row r="1029" spans="1:20" x14ac:dyDescent="0.25">
      <c r="A1029" s="5">
        <v>43564</v>
      </c>
      <c r="B1029">
        <v>2.8460999999999999</v>
      </c>
      <c r="C1029">
        <v>2.9666999999999999</v>
      </c>
      <c r="D1029">
        <v>2.5868000000000002</v>
      </c>
      <c r="E1029">
        <v>2.7930000000000001</v>
      </c>
      <c r="F1029">
        <v>1269203.3</v>
      </c>
      <c r="G1029">
        <v>0</v>
      </c>
      <c r="L1029" t="s">
        <v>7</v>
      </c>
      <c r="M1029" t="s">
        <v>7</v>
      </c>
      <c r="N1029" t="s">
        <v>8</v>
      </c>
      <c r="P1029">
        <f t="shared" si="1024"/>
        <v>8.5548828639116142E-2</v>
      </c>
      <c r="Q1029">
        <f t="shared" si="1025"/>
        <v>108578.85561990071</v>
      </c>
      <c r="R1029">
        <f t="shared" si="1026"/>
        <v>1067570.304223814</v>
      </c>
      <c r="S1029">
        <f t="shared" si="1027"/>
        <v>10.67570304223814</v>
      </c>
      <c r="T1029">
        <f t="shared" si="1028"/>
        <v>1.067570304223814E-2</v>
      </c>
    </row>
    <row r="1030" spans="1:20" x14ac:dyDescent="0.25">
      <c r="A1030" s="5">
        <v>43563</v>
      </c>
      <c r="B1030">
        <v>2.9479000000000002</v>
      </c>
      <c r="C1030">
        <v>3.0156000000000001</v>
      </c>
      <c r="D1030">
        <v>2.8125</v>
      </c>
      <c r="E1030">
        <v>2.8349000000000002</v>
      </c>
      <c r="F1030">
        <v>301738.90000000002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-0.77941900541604936</v>
      </c>
      <c r="Q1030">
        <f t="shared" si="1025"/>
        <v>-235181.0333333328</v>
      </c>
      <c r="R1030">
        <f t="shared" si="1026"/>
        <v>958991.44860391342</v>
      </c>
      <c r="S1030">
        <f t="shared" si="1027"/>
        <v>9.5899144860391345</v>
      </c>
      <c r="T1030">
        <f t="shared" si="1028"/>
        <v>9.589914486039134E-3</v>
      </c>
    </row>
    <row r="1031" spans="1:20" x14ac:dyDescent="0.25">
      <c r="A1031" s="5">
        <v>43562</v>
      </c>
      <c r="B1031">
        <v>2.9986999999999999</v>
      </c>
      <c r="C1031">
        <v>3.1699000000000002</v>
      </c>
      <c r="D1031">
        <v>2.9064000000000001</v>
      </c>
      <c r="E1031">
        <v>2.9577</v>
      </c>
      <c r="F1031">
        <v>388206.34</v>
      </c>
      <c r="G1031">
        <v>0</v>
      </c>
      <c r="L1031" t="s">
        <v>8</v>
      </c>
      <c r="M1031" t="s">
        <v>8</v>
      </c>
      <c r="N1031" t="s">
        <v>8</v>
      </c>
      <c r="P1031">
        <f t="shared" si="1024"/>
        <v>-0.61062618595825513</v>
      </c>
      <c r="Q1031">
        <f t="shared" si="1025"/>
        <v>-237048.95675901364</v>
      </c>
      <c r="R1031">
        <f t="shared" si="1026"/>
        <v>1194172.4819372462</v>
      </c>
      <c r="S1031">
        <f t="shared" si="1027"/>
        <v>11.941724819372462</v>
      </c>
      <c r="T1031">
        <f t="shared" si="1028"/>
        <v>1.1941724819372461E-2</v>
      </c>
    </row>
    <row r="1032" spans="1:20" x14ac:dyDescent="0.25">
      <c r="A1032" s="5">
        <v>43561</v>
      </c>
      <c r="B1032">
        <v>2.8847</v>
      </c>
      <c r="C1032">
        <v>2.9986999999999999</v>
      </c>
      <c r="D1032">
        <v>2.8479000000000001</v>
      </c>
      <c r="E1032">
        <v>2.9986999999999999</v>
      </c>
      <c r="F1032">
        <v>311419.33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1</v>
      </c>
      <c r="Q1032">
        <f t="shared" si="1025"/>
        <v>311419.33</v>
      </c>
      <c r="R1032">
        <f t="shared" si="1026"/>
        <v>1431221.4386962599</v>
      </c>
      <c r="S1032">
        <f t="shared" si="1027"/>
        <v>14.312214386962598</v>
      </c>
      <c r="T1032">
        <f t="shared" si="1028"/>
        <v>1.4312214386962598E-2</v>
      </c>
    </row>
    <row r="1033" spans="1:20" x14ac:dyDescent="0.25">
      <c r="A1033" s="5">
        <v>43560</v>
      </c>
      <c r="B1033">
        <v>2.7919999999999998</v>
      </c>
      <c r="C1033">
        <v>2.9058000000000002</v>
      </c>
      <c r="D1033">
        <v>2.7848999999999999</v>
      </c>
      <c r="E1033">
        <v>2.8761999999999999</v>
      </c>
      <c r="F1033">
        <v>165834.26999999999</v>
      </c>
      <c r="G1033">
        <v>0</v>
      </c>
      <c r="L1033" t="s">
        <v>7</v>
      </c>
      <c r="M1033" t="s">
        <v>8</v>
      </c>
      <c r="N1033" t="s">
        <v>8</v>
      </c>
      <c r="P1033">
        <f t="shared" si="1024"/>
        <v>0.51033912324234509</v>
      </c>
      <c r="Q1033">
        <f t="shared" si="1025"/>
        <v>84631.715955334323</v>
      </c>
      <c r="R1033">
        <f t="shared" si="1026"/>
        <v>1119802.1086962598</v>
      </c>
      <c r="S1033">
        <f t="shared" si="1027"/>
        <v>11.198021086962598</v>
      </c>
      <c r="T1033">
        <f t="shared" si="1028"/>
        <v>1.1198021086962598E-2</v>
      </c>
    </row>
    <row r="1034" spans="1:20" x14ac:dyDescent="0.25">
      <c r="A1034" s="5">
        <v>43559</v>
      </c>
      <c r="B1034">
        <v>2.8835000000000002</v>
      </c>
      <c r="C1034">
        <v>2.9209999999999998</v>
      </c>
      <c r="D1034">
        <v>2.7</v>
      </c>
      <c r="E1034">
        <v>2.7919999999999998</v>
      </c>
      <c r="F1034">
        <v>291175.23</v>
      </c>
      <c r="G1034">
        <v>0</v>
      </c>
      <c r="L1034" t="s">
        <v>7</v>
      </c>
      <c r="M1034" t="s">
        <v>8</v>
      </c>
      <c r="N1034" t="s">
        <v>8</v>
      </c>
      <c r="P1034">
        <f t="shared" si="1024"/>
        <v>-0.16742081447963994</v>
      </c>
      <c r="Q1034">
        <f t="shared" si="1025"/>
        <v>-48748.794162896484</v>
      </c>
      <c r="R1034">
        <f t="shared" si="1026"/>
        <v>1035170.3927409255</v>
      </c>
      <c r="S1034">
        <f t="shared" si="1027"/>
        <v>10.351703927409256</v>
      </c>
      <c r="T1034">
        <f t="shared" si="1028"/>
        <v>1.0351703927409256E-2</v>
      </c>
    </row>
    <row r="1035" spans="1:20" x14ac:dyDescent="0.25">
      <c r="A1035" s="5">
        <v>43558</v>
      </c>
      <c r="B1035">
        <v>3.0773999999999999</v>
      </c>
      <c r="C1035">
        <v>3.2</v>
      </c>
      <c r="D1035">
        <v>2.7667000000000002</v>
      </c>
      <c r="E1035">
        <v>2.8835999999999999</v>
      </c>
      <c r="F1035">
        <v>555741.56000000006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-0.46042003231017875</v>
      </c>
      <c r="Q1035">
        <f t="shared" si="1025"/>
        <v>-255874.54701130916</v>
      </c>
      <c r="R1035">
        <f t="shared" si="1026"/>
        <v>1083919.186903822</v>
      </c>
      <c r="S1035">
        <f t="shared" si="1027"/>
        <v>10.839191869038221</v>
      </c>
      <c r="T1035">
        <f t="shared" si="1028"/>
        <v>1.0839191869038221E-2</v>
      </c>
    </row>
    <row r="1036" spans="1:20" x14ac:dyDescent="0.25">
      <c r="A1036" s="5">
        <v>43557</v>
      </c>
      <c r="B1036">
        <v>2.8973</v>
      </c>
      <c r="C1036">
        <v>3.1128999999999998</v>
      </c>
      <c r="D1036">
        <v>2.8020999999999998</v>
      </c>
      <c r="E1036">
        <v>3.0964</v>
      </c>
      <c r="F1036">
        <v>573432.46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0.89382239382239548</v>
      </c>
      <c r="Q1036">
        <f t="shared" si="1025"/>
        <v>512546.774092665</v>
      </c>
      <c r="R1036">
        <f t="shared" si="1026"/>
        <v>1339793.7339151311</v>
      </c>
      <c r="S1036">
        <f t="shared" si="1027"/>
        <v>13.39793733915131</v>
      </c>
      <c r="T1036">
        <f t="shared" si="1028"/>
        <v>1.339793733915131E-2</v>
      </c>
    </row>
    <row r="1037" spans="1:20" x14ac:dyDescent="0.25">
      <c r="A1037" s="5">
        <v>43556</v>
      </c>
      <c r="B1037">
        <v>2.7837000000000001</v>
      </c>
      <c r="C1037">
        <v>2.9459</v>
      </c>
      <c r="D1037">
        <v>2.7742</v>
      </c>
      <c r="E1037">
        <v>2.8982000000000001</v>
      </c>
      <c r="F1037">
        <v>156963.87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0.44437973209085774</v>
      </c>
      <c r="Q1037">
        <f t="shared" si="1025"/>
        <v>69751.562498544226</v>
      </c>
      <c r="R1037">
        <f t="shared" si="1026"/>
        <v>827246.95982246601</v>
      </c>
      <c r="S1037">
        <f t="shared" si="1027"/>
        <v>8.2724695982246601</v>
      </c>
      <c r="T1037">
        <f t="shared" si="1028"/>
        <v>8.2724695982246601E-3</v>
      </c>
    </row>
    <row r="1038" spans="1:20" x14ac:dyDescent="0.25">
      <c r="A1038" s="5">
        <v>43555</v>
      </c>
      <c r="B1038">
        <v>2.7948</v>
      </c>
      <c r="C1038">
        <v>2.84</v>
      </c>
      <c r="D1038">
        <v>2.7412999999999998</v>
      </c>
      <c r="E1038">
        <v>2.7837000000000001</v>
      </c>
      <c r="F1038">
        <v>84204.35</v>
      </c>
      <c r="G1038">
        <v>0</v>
      </c>
      <c r="L1038" t="s">
        <v>8</v>
      </c>
      <c r="M1038" t="s">
        <v>7</v>
      </c>
      <c r="N1038" t="s">
        <v>8</v>
      </c>
      <c r="P1038">
        <f t="shared" si="1024"/>
        <v>-0.14083080040526422</v>
      </c>
      <c r="Q1038">
        <f t="shared" si="1025"/>
        <v>-11858.56600810501</v>
      </c>
      <c r="R1038">
        <f t="shared" si="1026"/>
        <v>757495.39732392179</v>
      </c>
      <c r="S1038">
        <f t="shared" si="1027"/>
        <v>7.5749539732392179</v>
      </c>
      <c r="T1038">
        <f t="shared" si="1028"/>
        <v>7.5749539732392181E-3</v>
      </c>
    </row>
    <row r="1039" spans="1:20" x14ac:dyDescent="0.25">
      <c r="A1039" s="5">
        <v>43554</v>
      </c>
      <c r="B1039">
        <v>2.8382000000000001</v>
      </c>
      <c r="C1039">
        <v>2.86</v>
      </c>
      <c r="D1039">
        <v>2.7602000000000002</v>
      </c>
      <c r="E1039">
        <v>2.7856000000000001</v>
      </c>
      <c r="F1039">
        <v>105889.16</v>
      </c>
      <c r="G1039">
        <v>0</v>
      </c>
      <c r="L1039" t="s">
        <v>8</v>
      </c>
      <c r="M1039" t="s">
        <v>7</v>
      </c>
      <c r="N1039" t="s">
        <v>8</v>
      </c>
      <c r="P1039">
        <f t="shared" si="1024"/>
        <v>-0.4909819639278567</v>
      </c>
      <c r="Q1039">
        <f t="shared" si="1025"/>
        <v>-51989.667735471048</v>
      </c>
      <c r="R1039">
        <f t="shared" si="1026"/>
        <v>769353.96333202685</v>
      </c>
      <c r="S1039">
        <f t="shared" si="1027"/>
        <v>7.6935396333202686</v>
      </c>
      <c r="T1039">
        <f t="shared" si="1028"/>
        <v>7.6935396333202687E-3</v>
      </c>
    </row>
    <row r="1040" spans="1:20" x14ac:dyDescent="0.25">
      <c r="A1040" s="5">
        <v>43553</v>
      </c>
      <c r="B1040">
        <v>2.7593999999999999</v>
      </c>
      <c r="C1040">
        <v>2.8626999999999998</v>
      </c>
      <c r="D1040">
        <v>2.7553999999999998</v>
      </c>
      <c r="E1040">
        <v>2.8372999999999999</v>
      </c>
      <c r="F1040">
        <v>159485.45000000001</v>
      </c>
      <c r="G1040">
        <v>0</v>
      </c>
      <c r="L1040" t="s">
        <v>8</v>
      </c>
      <c r="M1040" t="s">
        <v>7</v>
      </c>
      <c r="N1040" t="s">
        <v>8</v>
      </c>
      <c r="P1040">
        <f t="shared" si="1024"/>
        <v>0.52656104380242541</v>
      </c>
      <c r="Q1040">
        <f t="shared" si="1025"/>
        <v>83978.825023299534</v>
      </c>
      <c r="R1040">
        <f t="shared" si="1026"/>
        <v>821343.63106749789</v>
      </c>
      <c r="S1040">
        <f t="shared" si="1027"/>
        <v>8.2134363106749788</v>
      </c>
      <c r="T1040">
        <f t="shared" si="1028"/>
        <v>8.2134363106749781E-3</v>
      </c>
    </row>
    <row r="1041" spans="1:20" x14ac:dyDescent="0.25">
      <c r="A1041" s="5">
        <v>43552</v>
      </c>
      <c r="B1041">
        <v>2.7462</v>
      </c>
      <c r="C1041">
        <v>2.7732999999999999</v>
      </c>
      <c r="D1041">
        <v>2.73</v>
      </c>
      <c r="E1041">
        <v>2.7593999999999999</v>
      </c>
      <c r="F1041">
        <v>79682.259999999995</v>
      </c>
      <c r="G1041">
        <v>0</v>
      </c>
      <c r="L1041" t="s">
        <v>7</v>
      </c>
      <c r="M1041" t="s">
        <v>7</v>
      </c>
      <c r="N1041" t="s">
        <v>8</v>
      </c>
      <c r="P1041">
        <f t="shared" si="1024"/>
        <v>0.35796766743648695</v>
      </c>
      <c r="Q1041">
        <f t="shared" si="1025"/>
        <v>28523.672748267683</v>
      </c>
      <c r="R1041">
        <f t="shared" si="1026"/>
        <v>737364.80604419834</v>
      </c>
      <c r="S1041">
        <f t="shared" si="1027"/>
        <v>7.3736480604419832</v>
      </c>
      <c r="T1041">
        <f t="shared" si="1028"/>
        <v>7.373648060441983E-3</v>
      </c>
    </row>
    <row r="1042" spans="1:20" x14ac:dyDescent="0.25">
      <c r="A1042" s="5">
        <v>43551</v>
      </c>
      <c r="B1042">
        <v>2.6879</v>
      </c>
      <c r="C1042">
        <v>2.7696000000000001</v>
      </c>
      <c r="D1042">
        <v>2.6716000000000002</v>
      </c>
      <c r="E1042">
        <v>2.7463000000000002</v>
      </c>
      <c r="F1042">
        <v>135635.98000000001</v>
      </c>
      <c r="G1042">
        <v>0</v>
      </c>
      <c r="L1042" t="s">
        <v>7</v>
      </c>
      <c r="M1042" t="s">
        <v>7</v>
      </c>
      <c r="N1042" t="s">
        <v>8</v>
      </c>
      <c r="P1042">
        <f t="shared" si="1024"/>
        <v>0.52448979591836919</v>
      </c>
      <c r="Q1042">
        <f t="shared" si="1025"/>
        <v>71139.687469388009</v>
      </c>
      <c r="R1042">
        <f t="shared" si="1026"/>
        <v>708841.13329593069</v>
      </c>
      <c r="S1042">
        <f t="shared" si="1027"/>
        <v>7.088411332959307</v>
      </c>
      <c r="T1042">
        <f t="shared" si="1028"/>
        <v>7.088411332959307E-3</v>
      </c>
    </row>
    <row r="1043" spans="1:20" x14ac:dyDescent="0.25">
      <c r="A1043" s="5">
        <v>43550</v>
      </c>
      <c r="B1043">
        <v>2.6985999999999999</v>
      </c>
      <c r="C1043">
        <v>2.78</v>
      </c>
      <c r="D1043">
        <v>2.6217000000000001</v>
      </c>
      <c r="E1043">
        <v>2.6903999999999999</v>
      </c>
      <c r="F1043">
        <v>136796.75</v>
      </c>
      <c r="G1043">
        <v>0</v>
      </c>
      <c r="L1043" t="s">
        <v>7</v>
      </c>
      <c r="M1043" t="s">
        <v>7</v>
      </c>
      <c r="N1043" t="s">
        <v>8</v>
      </c>
      <c r="P1043">
        <f t="shared" si="1024"/>
        <v>-0.13202779532533282</v>
      </c>
      <c r="Q1043">
        <f t="shared" si="1025"/>
        <v>-18060.973310170721</v>
      </c>
      <c r="R1043">
        <f t="shared" si="1026"/>
        <v>637701.44582654268</v>
      </c>
      <c r="S1043">
        <f t="shared" si="1027"/>
        <v>6.3770144582654265</v>
      </c>
      <c r="T1043">
        <f t="shared" si="1028"/>
        <v>6.3770144582654268E-3</v>
      </c>
    </row>
    <row r="1044" spans="1:20" x14ac:dyDescent="0.25">
      <c r="A1044" s="5">
        <v>43549</v>
      </c>
      <c r="B1044">
        <v>2.7435999999999998</v>
      </c>
      <c r="C1044">
        <v>2.7786</v>
      </c>
      <c r="D1044">
        <v>2.6415000000000002</v>
      </c>
      <c r="E1044">
        <v>2.6867000000000001</v>
      </c>
      <c r="F1044">
        <v>112092.32</v>
      </c>
      <c r="G1044">
        <v>0</v>
      </c>
      <c r="L1044" t="s">
        <v>7</v>
      </c>
      <c r="M1044" t="s">
        <v>7</v>
      </c>
      <c r="N1044" t="s">
        <v>8</v>
      </c>
      <c r="P1044">
        <f t="shared" si="1024"/>
        <v>-0.34062727935813303</v>
      </c>
      <c r="Q1044">
        <f t="shared" si="1025"/>
        <v>-38181.701998541241</v>
      </c>
      <c r="R1044">
        <f t="shared" si="1026"/>
        <v>655762.41913671338</v>
      </c>
      <c r="S1044">
        <f t="shared" si="1027"/>
        <v>6.5576241913671334</v>
      </c>
      <c r="T1044">
        <f t="shared" si="1028"/>
        <v>6.5576241913671337E-3</v>
      </c>
    </row>
    <row r="1045" spans="1:20" x14ac:dyDescent="0.25">
      <c r="A1045" s="5">
        <v>43548</v>
      </c>
      <c r="B1045">
        <v>2.7877000000000001</v>
      </c>
      <c r="C1045">
        <v>2.7913000000000001</v>
      </c>
      <c r="D1045">
        <v>2.7105000000000001</v>
      </c>
      <c r="E1045">
        <v>2.7435999999999998</v>
      </c>
      <c r="F1045">
        <v>55785.47</v>
      </c>
      <c r="G1045">
        <v>0</v>
      </c>
      <c r="L1045" t="s">
        <v>8</v>
      </c>
      <c r="M1045" t="s">
        <v>7</v>
      </c>
      <c r="N1045" t="s">
        <v>8</v>
      </c>
      <c r="P1045">
        <f t="shared" si="1024"/>
        <v>-0.18069306930693832</v>
      </c>
      <c r="Q1045">
        <f t="shared" si="1025"/>
        <v>-10080.047797030129</v>
      </c>
      <c r="R1045">
        <f t="shared" si="1026"/>
        <v>693944.12113525462</v>
      </c>
      <c r="S1045">
        <f t="shared" si="1027"/>
        <v>6.9394412113525465</v>
      </c>
      <c r="T1045">
        <f t="shared" si="1028"/>
        <v>6.9394412113525468E-3</v>
      </c>
    </row>
    <row r="1046" spans="1:20" x14ac:dyDescent="0.25">
      <c r="A1046" s="5">
        <v>43547</v>
      </c>
      <c r="B1046">
        <v>2.7544</v>
      </c>
      <c r="C1046">
        <v>2.798</v>
      </c>
      <c r="D1046">
        <v>2.7515000000000001</v>
      </c>
      <c r="E1046">
        <v>2.7949999999999999</v>
      </c>
      <c r="F1046">
        <v>63929.62</v>
      </c>
      <c r="G1046">
        <v>0</v>
      </c>
      <c r="L1046" t="s">
        <v>8</v>
      </c>
      <c r="M1046" t="s">
        <v>7</v>
      </c>
      <c r="N1046" t="s">
        <v>8</v>
      </c>
      <c r="P1046">
        <f t="shared" si="1024"/>
        <v>0.87096774193547899</v>
      </c>
      <c r="Q1046">
        <f t="shared" si="1025"/>
        <v>55680.636774193241</v>
      </c>
      <c r="R1046">
        <f t="shared" si="1026"/>
        <v>704024.16893228469</v>
      </c>
      <c r="S1046">
        <f t="shared" si="1027"/>
        <v>7.0402416893228468</v>
      </c>
      <c r="T1046">
        <f t="shared" si="1028"/>
        <v>7.0402416893228471E-3</v>
      </c>
    </row>
    <row r="1047" spans="1:20" x14ac:dyDescent="0.25">
      <c r="A1047" s="5">
        <v>43546</v>
      </c>
      <c r="B1047">
        <v>2.7280000000000002</v>
      </c>
      <c r="C1047">
        <v>2.7677</v>
      </c>
      <c r="D1047">
        <v>2.7094999999999998</v>
      </c>
      <c r="E1047">
        <v>2.7517999999999998</v>
      </c>
      <c r="F1047">
        <v>85511.28</v>
      </c>
      <c r="G1047">
        <v>0</v>
      </c>
      <c r="L1047" t="s">
        <v>8</v>
      </c>
      <c r="M1047" t="s">
        <v>7</v>
      </c>
      <c r="N1047" t="s">
        <v>8</v>
      </c>
      <c r="P1047">
        <f t="shared" si="1024"/>
        <v>0.45360824742267425</v>
      </c>
      <c r="Q1047">
        <f t="shared" si="1025"/>
        <v>38788.621855669575</v>
      </c>
      <c r="R1047">
        <f t="shared" si="1026"/>
        <v>648343.53215809143</v>
      </c>
      <c r="S1047">
        <f t="shared" si="1027"/>
        <v>6.483435321580914</v>
      </c>
      <c r="T1047">
        <f t="shared" si="1028"/>
        <v>6.4834353215809139E-3</v>
      </c>
    </row>
    <row r="1048" spans="1:20" x14ac:dyDescent="0.25">
      <c r="A1048" s="5">
        <v>43545</v>
      </c>
      <c r="B1048">
        <v>2.7824</v>
      </c>
      <c r="C1048">
        <v>2.8656999999999999</v>
      </c>
      <c r="D1048">
        <v>2.6532</v>
      </c>
      <c r="E1048">
        <v>2.7280000000000002</v>
      </c>
      <c r="F1048">
        <v>205960.37</v>
      </c>
      <c r="G1048">
        <v>0</v>
      </c>
      <c r="L1048" t="s">
        <v>8</v>
      </c>
      <c r="M1048" t="s">
        <v>7</v>
      </c>
      <c r="N1048" t="s">
        <v>8</v>
      </c>
      <c r="P1048">
        <f t="shared" si="1024"/>
        <v>-0.29599999999999782</v>
      </c>
      <c r="Q1048">
        <f t="shared" si="1025"/>
        <v>-60964.269519999551</v>
      </c>
      <c r="R1048">
        <f t="shared" si="1026"/>
        <v>609554.91030242189</v>
      </c>
      <c r="S1048">
        <f t="shared" si="1027"/>
        <v>6.0955491030242186</v>
      </c>
      <c r="T1048">
        <f t="shared" si="1028"/>
        <v>6.0955491030242189E-3</v>
      </c>
    </row>
    <row r="1049" spans="1:20" x14ac:dyDescent="0.25">
      <c r="A1049" s="5">
        <v>43544</v>
      </c>
      <c r="B1049">
        <v>2.7427000000000001</v>
      </c>
      <c r="C1049">
        <v>2.8290000000000002</v>
      </c>
      <c r="D1049">
        <v>2.7004999999999999</v>
      </c>
      <c r="E1049">
        <v>2.7944</v>
      </c>
      <c r="F1049">
        <v>137495.4</v>
      </c>
      <c r="G1049">
        <v>0</v>
      </c>
      <c r="L1049" t="s">
        <v>8</v>
      </c>
      <c r="M1049" t="s">
        <v>7</v>
      </c>
      <c r="N1049" t="s">
        <v>8</v>
      </c>
      <c r="P1049">
        <f t="shared" si="1024"/>
        <v>0.46147859922178819</v>
      </c>
      <c r="Q1049">
        <f t="shared" si="1025"/>
        <v>63451.184591439451</v>
      </c>
      <c r="R1049">
        <f t="shared" si="1026"/>
        <v>670519.1798224214</v>
      </c>
      <c r="S1049">
        <f t="shared" si="1027"/>
        <v>6.705191798224214</v>
      </c>
      <c r="T1049">
        <f t="shared" si="1028"/>
        <v>6.7051917982242143E-3</v>
      </c>
    </row>
    <row r="1050" spans="1:20" x14ac:dyDescent="0.25">
      <c r="A1050" s="5">
        <v>43543</v>
      </c>
      <c r="B1050">
        <v>2.7403</v>
      </c>
      <c r="C1050">
        <v>2.7612999999999999</v>
      </c>
      <c r="D1050">
        <v>2.7121</v>
      </c>
      <c r="E1050">
        <v>2.7387000000000001</v>
      </c>
      <c r="F1050">
        <v>78434.600000000006</v>
      </c>
      <c r="G1050">
        <v>0</v>
      </c>
      <c r="L1050" t="s">
        <v>8</v>
      </c>
      <c r="M1050" t="s">
        <v>7</v>
      </c>
      <c r="N1050" t="s">
        <v>8</v>
      </c>
      <c r="P1050">
        <f t="shared" si="1024"/>
        <v>8.1300813008139322E-2</v>
      </c>
      <c r="Q1050">
        <f t="shared" si="1025"/>
        <v>6376.7967479682047</v>
      </c>
      <c r="R1050">
        <f t="shared" si="1026"/>
        <v>607067.99523098196</v>
      </c>
      <c r="S1050">
        <f t="shared" si="1027"/>
        <v>6.0706799523098196</v>
      </c>
      <c r="T1050">
        <f t="shared" si="1028"/>
        <v>6.0706799523098194E-3</v>
      </c>
    </row>
    <row r="1051" spans="1:20" x14ac:dyDescent="0.25">
      <c r="A1051" s="5">
        <v>43542</v>
      </c>
      <c r="B1051">
        <v>2.7332999999999998</v>
      </c>
      <c r="C1051">
        <v>2.7778</v>
      </c>
      <c r="D1051">
        <v>2.7002999999999999</v>
      </c>
      <c r="E1051">
        <v>2.7437</v>
      </c>
      <c r="F1051">
        <v>125586.12</v>
      </c>
      <c r="G1051">
        <v>0</v>
      </c>
      <c r="L1051" t="s">
        <v>8</v>
      </c>
      <c r="M1051" t="s">
        <v>7</v>
      </c>
      <c r="N1051" t="s">
        <v>8</v>
      </c>
      <c r="P1051">
        <f t="shared" si="1024"/>
        <v>0.12000000000000091</v>
      </c>
      <c r="Q1051">
        <f t="shared" si="1025"/>
        <v>15070.334400000114</v>
      </c>
      <c r="R1051">
        <f t="shared" si="1026"/>
        <v>600691.19848301378</v>
      </c>
      <c r="S1051">
        <f t="shared" si="1027"/>
        <v>6.006911984830138</v>
      </c>
      <c r="T1051">
        <f t="shared" si="1028"/>
        <v>6.0069119848301378E-3</v>
      </c>
    </row>
    <row r="1052" spans="1:20" x14ac:dyDescent="0.25">
      <c r="A1052" s="5">
        <v>43541</v>
      </c>
      <c r="B1052">
        <v>2.7841999999999998</v>
      </c>
      <c r="C1052">
        <v>2.7949000000000002</v>
      </c>
      <c r="D1052">
        <v>2.7090000000000001</v>
      </c>
      <c r="E1052">
        <v>2.7351000000000001</v>
      </c>
      <c r="F1052">
        <v>122237.75999999999</v>
      </c>
      <c r="G1052">
        <v>0</v>
      </c>
      <c r="L1052" t="s">
        <v>8</v>
      </c>
      <c r="M1052" t="s">
        <v>7</v>
      </c>
      <c r="N1052" t="s">
        <v>8</v>
      </c>
      <c r="P1052">
        <f t="shared" si="1024"/>
        <v>-0.39231664726426113</v>
      </c>
      <c r="Q1052">
        <f t="shared" si="1025"/>
        <v>-47955.908172293406</v>
      </c>
      <c r="R1052">
        <f t="shared" si="1026"/>
        <v>585620.86408301361</v>
      </c>
      <c r="S1052">
        <f t="shared" si="1027"/>
        <v>5.8562086408301361</v>
      </c>
      <c r="T1052">
        <f t="shared" si="1028"/>
        <v>5.8562086408301363E-3</v>
      </c>
    </row>
    <row r="1053" spans="1:20" x14ac:dyDescent="0.25">
      <c r="A1053" s="5">
        <v>43540</v>
      </c>
      <c r="B1053">
        <v>2.7759999999999998</v>
      </c>
      <c r="C1053">
        <v>2.8153999999999999</v>
      </c>
      <c r="D1053">
        <v>2.7351999999999999</v>
      </c>
      <c r="E1053">
        <v>2.7843</v>
      </c>
      <c r="F1053">
        <v>123525.21</v>
      </c>
      <c r="G1053">
        <v>0</v>
      </c>
      <c r="L1053" t="s">
        <v>8</v>
      </c>
      <c r="M1053" t="s">
        <v>7</v>
      </c>
      <c r="N1053" t="s">
        <v>8</v>
      </c>
      <c r="P1053">
        <f t="shared" si="1024"/>
        <v>0.22443890274314499</v>
      </c>
      <c r="Q1053">
        <f t="shared" si="1025"/>
        <v>27723.862593516562</v>
      </c>
      <c r="R1053">
        <f t="shared" si="1026"/>
        <v>633576.77225530706</v>
      </c>
      <c r="S1053">
        <f t="shared" si="1027"/>
        <v>6.3357677225530704</v>
      </c>
      <c r="T1053">
        <f t="shared" si="1028"/>
        <v>6.3357677225530703E-3</v>
      </c>
    </row>
    <row r="1054" spans="1:20" x14ac:dyDescent="0.25">
      <c r="A1054" s="5">
        <v>43539</v>
      </c>
      <c r="B1054">
        <v>2.7286000000000001</v>
      </c>
      <c r="C1054">
        <v>2.8448000000000002</v>
      </c>
      <c r="D1054">
        <v>2.6890000000000001</v>
      </c>
      <c r="E1054">
        <v>2.7759</v>
      </c>
      <c r="F1054">
        <v>148326.73000000001</v>
      </c>
      <c r="G1054">
        <v>0</v>
      </c>
      <c r="L1054" t="s">
        <v>8</v>
      </c>
      <c r="M1054" t="s">
        <v>7</v>
      </c>
      <c r="N1054" t="s">
        <v>8</v>
      </c>
      <c r="P1054">
        <f t="shared" si="1024"/>
        <v>0.11553273427470973</v>
      </c>
      <c r="Q1054">
        <f t="shared" si="1025"/>
        <v>17136.592682926617</v>
      </c>
      <c r="R1054">
        <f t="shared" si="1026"/>
        <v>605852.90966179047</v>
      </c>
      <c r="S1054">
        <f t="shared" si="1027"/>
        <v>6.0585290966179048</v>
      </c>
      <c r="T1054">
        <f t="shared" si="1028"/>
        <v>6.0585290966179046E-3</v>
      </c>
    </row>
    <row r="1055" spans="1:20" x14ac:dyDescent="0.25">
      <c r="A1055" s="5">
        <v>43538</v>
      </c>
      <c r="B1055">
        <v>2.6802000000000001</v>
      </c>
      <c r="C1055">
        <v>2.7688999999999999</v>
      </c>
      <c r="D1055">
        <v>2.66</v>
      </c>
      <c r="E1055">
        <v>2.72</v>
      </c>
      <c r="F1055">
        <v>125819.73</v>
      </c>
      <c r="G1055">
        <v>0</v>
      </c>
      <c r="L1055" t="s">
        <v>8</v>
      </c>
      <c r="M1055" t="s">
        <v>7</v>
      </c>
      <c r="N1055" t="s">
        <v>8</v>
      </c>
      <c r="P1055">
        <f t="shared" si="1024"/>
        <v>0.10192837465565065</v>
      </c>
      <c r="Q1055">
        <f t="shared" si="1025"/>
        <v>12824.600578512807</v>
      </c>
      <c r="R1055">
        <f t="shared" si="1026"/>
        <v>588716.31697886391</v>
      </c>
      <c r="S1055">
        <f t="shared" si="1027"/>
        <v>5.8871631697886393</v>
      </c>
      <c r="T1055">
        <f t="shared" si="1028"/>
        <v>5.8871631697886397E-3</v>
      </c>
    </row>
    <row r="1056" spans="1:20" x14ac:dyDescent="0.25">
      <c r="A1056" s="5">
        <v>43537</v>
      </c>
      <c r="B1056">
        <v>2.7883</v>
      </c>
      <c r="C1056">
        <v>2.85</v>
      </c>
      <c r="D1056">
        <v>2.6520999999999999</v>
      </c>
      <c r="E1056">
        <v>2.6802000000000001</v>
      </c>
      <c r="F1056">
        <v>150031.62</v>
      </c>
      <c r="G1056">
        <v>0</v>
      </c>
      <c r="L1056" t="s">
        <v>8</v>
      </c>
      <c r="M1056" t="s">
        <v>7</v>
      </c>
      <c r="N1056" t="s">
        <v>8</v>
      </c>
      <c r="P1056">
        <f t="shared" si="1024"/>
        <v>-0.71601819100555619</v>
      </c>
      <c r="Q1056">
        <f t="shared" si="1025"/>
        <v>-107425.36914603302</v>
      </c>
      <c r="R1056">
        <f t="shared" si="1026"/>
        <v>575891.71640035114</v>
      </c>
      <c r="S1056">
        <f t="shared" si="1027"/>
        <v>5.7589171640035115</v>
      </c>
      <c r="T1056">
        <f t="shared" si="1028"/>
        <v>5.7589171640035118E-3</v>
      </c>
    </row>
    <row r="1057" spans="1:20" x14ac:dyDescent="0.25">
      <c r="A1057" s="5">
        <v>43536</v>
      </c>
      <c r="B1057">
        <v>2.6345000000000001</v>
      </c>
      <c r="C1057">
        <v>2.8109000000000002</v>
      </c>
      <c r="D1057">
        <v>2.5947</v>
      </c>
      <c r="E1057">
        <v>2.7810000000000001</v>
      </c>
      <c r="F1057">
        <v>183556.61</v>
      </c>
      <c r="G1057">
        <v>0</v>
      </c>
      <c r="L1057" t="s">
        <v>8</v>
      </c>
      <c r="M1057" t="s">
        <v>7</v>
      </c>
      <c r="N1057" t="s">
        <v>8</v>
      </c>
      <c r="P1057">
        <f t="shared" si="1024"/>
        <v>0.72340425531914876</v>
      </c>
      <c r="Q1057">
        <f t="shared" si="1025"/>
        <v>132785.63276595742</v>
      </c>
      <c r="R1057">
        <f t="shared" si="1026"/>
        <v>683317.0855463841</v>
      </c>
      <c r="S1057">
        <f t="shared" si="1027"/>
        <v>6.8331708554638411</v>
      </c>
      <c r="T1057">
        <f t="shared" si="1028"/>
        <v>6.8331708554638408E-3</v>
      </c>
    </row>
    <row r="1058" spans="1:20" x14ac:dyDescent="0.25">
      <c r="A1058" s="5">
        <v>43535</v>
      </c>
      <c r="B1058">
        <v>2.7372000000000001</v>
      </c>
      <c r="C1058">
        <v>2.7854999999999999</v>
      </c>
      <c r="D1058">
        <v>2.6019000000000001</v>
      </c>
      <c r="E1058">
        <v>2.6337999999999999</v>
      </c>
      <c r="F1058">
        <v>148813.29</v>
      </c>
      <c r="G1058">
        <v>0</v>
      </c>
      <c r="L1058" t="s">
        <v>7</v>
      </c>
      <c r="M1058" t="s">
        <v>7</v>
      </c>
      <c r="N1058" t="s">
        <v>8</v>
      </c>
      <c r="P1058">
        <f t="shared" si="1024"/>
        <v>-0.65250544662309518</v>
      </c>
      <c r="Q1058">
        <f t="shared" si="1025"/>
        <v>-97101.482254902192</v>
      </c>
      <c r="R1058">
        <f t="shared" si="1026"/>
        <v>550531.45278042671</v>
      </c>
      <c r="S1058">
        <f t="shared" si="1027"/>
        <v>5.5053145278042672</v>
      </c>
      <c r="T1058">
        <f t="shared" si="1028"/>
        <v>5.5053145278042672E-3</v>
      </c>
    </row>
    <row r="1059" spans="1:20" x14ac:dyDescent="0.25">
      <c r="A1059" s="5">
        <v>43534</v>
      </c>
      <c r="B1059">
        <v>2.72</v>
      </c>
      <c r="C1059">
        <v>2.7921</v>
      </c>
      <c r="D1059">
        <v>2.67</v>
      </c>
      <c r="E1059">
        <v>2.7303999999999999</v>
      </c>
      <c r="F1059">
        <v>167263.41</v>
      </c>
      <c r="G1059">
        <v>0</v>
      </c>
      <c r="L1059" t="s">
        <v>7</v>
      </c>
      <c r="M1059" t="s">
        <v>7</v>
      </c>
      <c r="N1059" t="s">
        <v>8</v>
      </c>
      <c r="P1059">
        <f t="shared" si="1024"/>
        <v>-1.0647010647011285E-2</v>
      </c>
      <c r="Q1059">
        <f t="shared" si="1025"/>
        <v>-1780.8553071254139</v>
      </c>
      <c r="R1059">
        <f t="shared" si="1026"/>
        <v>647632.93503532885</v>
      </c>
      <c r="S1059">
        <f t="shared" si="1027"/>
        <v>6.4763293503532884</v>
      </c>
      <c r="T1059">
        <f t="shared" si="1028"/>
        <v>6.4763293503532883E-3</v>
      </c>
    </row>
    <row r="1060" spans="1:20" x14ac:dyDescent="0.25">
      <c r="A1060" s="5">
        <v>43533</v>
      </c>
      <c r="B1060">
        <v>2.6560999999999999</v>
      </c>
      <c r="C1060">
        <v>2.7898000000000001</v>
      </c>
      <c r="D1060">
        <v>2.6251000000000002</v>
      </c>
      <c r="E1060">
        <v>2.7212999999999998</v>
      </c>
      <c r="F1060">
        <v>259840.33</v>
      </c>
      <c r="G1060">
        <v>0</v>
      </c>
      <c r="L1060" t="s">
        <v>7</v>
      </c>
      <c r="M1060" t="s">
        <v>7</v>
      </c>
      <c r="N1060" t="s">
        <v>8</v>
      </c>
      <c r="P1060">
        <f t="shared" si="1024"/>
        <v>0.16818457802064005</v>
      </c>
      <c r="Q1060">
        <f t="shared" si="1025"/>
        <v>43701.136253793855</v>
      </c>
      <c r="R1060">
        <f t="shared" si="1026"/>
        <v>649413.79034245422</v>
      </c>
      <c r="S1060">
        <f t="shared" si="1027"/>
        <v>6.4941379034245426</v>
      </c>
      <c r="T1060">
        <f t="shared" si="1028"/>
        <v>6.4941379034245423E-3</v>
      </c>
    </row>
    <row r="1061" spans="1:20" x14ac:dyDescent="0.25">
      <c r="A1061" s="5">
        <v>43532</v>
      </c>
      <c r="B1061">
        <v>2.5644999999999998</v>
      </c>
      <c r="C1061">
        <v>2.8254999999999999</v>
      </c>
      <c r="D1061">
        <v>2.5318999999999998</v>
      </c>
      <c r="E1061">
        <v>2.6469999999999998</v>
      </c>
      <c r="F1061">
        <v>610406.53</v>
      </c>
      <c r="G1061">
        <v>0</v>
      </c>
      <c r="L1061" t="s">
        <v>8</v>
      </c>
      <c r="M1061" t="s">
        <v>7</v>
      </c>
      <c r="N1061" t="s">
        <v>8</v>
      </c>
      <c r="P1061">
        <f t="shared" si="1024"/>
        <v>-0.21594005449591316</v>
      </c>
      <c r="Q1061">
        <f t="shared" si="1025"/>
        <v>-131811.21935286126</v>
      </c>
      <c r="R1061">
        <f t="shared" si="1026"/>
        <v>605712.65408866038</v>
      </c>
      <c r="S1061">
        <f t="shared" si="1027"/>
        <v>6.0571265408866042</v>
      </c>
      <c r="T1061">
        <f t="shared" si="1028"/>
        <v>6.0571265408866041E-3</v>
      </c>
    </row>
    <row r="1062" spans="1:20" x14ac:dyDescent="0.25">
      <c r="A1062" s="5">
        <v>43531</v>
      </c>
      <c r="B1062">
        <v>2.5539000000000001</v>
      </c>
      <c r="C1062">
        <v>2.6017000000000001</v>
      </c>
      <c r="D1062">
        <v>2.5230000000000001</v>
      </c>
      <c r="E1062">
        <v>2.5659000000000001</v>
      </c>
      <c r="F1062">
        <v>176443</v>
      </c>
      <c r="G1062">
        <v>0</v>
      </c>
      <c r="L1062" t="s">
        <v>7</v>
      </c>
      <c r="M1062" t="s">
        <v>7</v>
      </c>
      <c r="N1062" t="s">
        <v>8</v>
      </c>
      <c r="P1062">
        <f t="shared" si="1024"/>
        <v>9.0216010165182783E-2</v>
      </c>
      <c r="Q1062">
        <f t="shared" si="1025"/>
        <v>15917.983481575346</v>
      </c>
      <c r="R1062">
        <f t="shared" si="1026"/>
        <v>737523.87344152166</v>
      </c>
      <c r="S1062">
        <f t="shared" si="1027"/>
        <v>7.375238734415217</v>
      </c>
      <c r="T1062">
        <f t="shared" si="1028"/>
        <v>7.3752387344152171E-3</v>
      </c>
    </row>
    <row r="1063" spans="1:20" x14ac:dyDescent="0.25">
      <c r="A1063" s="5">
        <v>43530</v>
      </c>
      <c r="B1063">
        <v>2.6230000000000002</v>
      </c>
      <c r="C1063">
        <v>2.6503000000000001</v>
      </c>
      <c r="D1063">
        <v>2.5341999999999998</v>
      </c>
      <c r="E1063">
        <v>2.5489000000000002</v>
      </c>
      <c r="F1063">
        <v>162047.63</v>
      </c>
      <c r="G1063">
        <v>0</v>
      </c>
      <c r="L1063" t="s">
        <v>7</v>
      </c>
      <c r="M1063" t="s">
        <v>7</v>
      </c>
      <c r="N1063" t="s">
        <v>8</v>
      </c>
      <c r="P1063">
        <f t="shared" si="1024"/>
        <v>-0.74677002583978747</v>
      </c>
      <c r="Q1063">
        <f t="shared" si="1025"/>
        <v>-121012.31284237633</v>
      </c>
      <c r="R1063">
        <f t="shared" si="1026"/>
        <v>721605.88995994627</v>
      </c>
      <c r="S1063">
        <f t="shared" si="1027"/>
        <v>7.2160588995994628</v>
      </c>
      <c r="T1063">
        <f t="shared" si="1028"/>
        <v>7.2160588995994627E-3</v>
      </c>
    </row>
    <row r="1064" spans="1:20" x14ac:dyDescent="0.25">
      <c r="A1064" s="5">
        <v>43529</v>
      </c>
      <c r="B1064">
        <v>2.5878000000000001</v>
      </c>
      <c r="C1064">
        <v>2.6539999999999999</v>
      </c>
      <c r="D1064">
        <v>2.5169999999999999</v>
      </c>
      <c r="E1064">
        <v>2.6230000000000002</v>
      </c>
      <c r="F1064">
        <v>117470.56</v>
      </c>
      <c r="G1064">
        <v>0</v>
      </c>
      <c r="L1064" t="s">
        <v>7</v>
      </c>
      <c r="M1064" t="s">
        <v>7</v>
      </c>
      <c r="N1064" t="s">
        <v>8</v>
      </c>
      <c r="P1064">
        <f t="shared" si="1024"/>
        <v>0.5474452554744571</v>
      </c>
      <c r="Q1064">
        <f t="shared" si="1025"/>
        <v>64308.700729927543</v>
      </c>
      <c r="R1064">
        <f t="shared" si="1026"/>
        <v>842618.20280232257</v>
      </c>
      <c r="S1064">
        <f t="shared" si="1027"/>
        <v>8.4261820280232254</v>
      </c>
      <c r="T1064">
        <f t="shared" si="1028"/>
        <v>8.4261820280232252E-3</v>
      </c>
    </row>
    <row r="1065" spans="1:20" x14ac:dyDescent="0.25">
      <c r="A1065" s="5">
        <v>43528</v>
      </c>
      <c r="B1065">
        <v>2.6482999999999999</v>
      </c>
      <c r="C1065">
        <v>2.6682000000000001</v>
      </c>
      <c r="D1065">
        <v>2.5049999999999999</v>
      </c>
      <c r="E1065">
        <v>2.5857999999999999</v>
      </c>
      <c r="F1065">
        <v>95495.86</v>
      </c>
      <c r="G1065">
        <v>0</v>
      </c>
      <c r="L1065" t="s">
        <v>7</v>
      </c>
      <c r="M1065" t="s">
        <v>7</v>
      </c>
      <c r="N1065" t="s">
        <v>8</v>
      </c>
      <c r="P1065">
        <f t="shared" si="1024"/>
        <v>-9.803921568629078E-3</v>
      </c>
      <c r="Q1065">
        <f t="shared" si="1025"/>
        <v>-936.23392156878288</v>
      </c>
      <c r="R1065">
        <f t="shared" si="1026"/>
        <v>778309.50207239506</v>
      </c>
      <c r="S1065">
        <f t="shared" si="1027"/>
        <v>7.7830950207239509</v>
      </c>
      <c r="T1065">
        <f t="shared" si="1028"/>
        <v>7.7830950207239506E-3</v>
      </c>
    </row>
    <row r="1066" spans="1:20" x14ac:dyDescent="0.25">
      <c r="A1066" s="5">
        <v>43527</v>
      </c>
      <c r="B1066">
        <v>2.6591999999999998</v>
      </c>
      <c r="C1066">
        <v>2.6694</v>
      </c>
      <c r="D1066">
        <v>2.6143000000000001</v>
      </c>
      <c r="E1066">
        <v>2.6520000000000001</v>
      </c>
      <c r="F1066">
        <v>65083.29</v>
      </c>
      <c r="G1066">
        <v>0</v>
      </c>
      <c r="L1066" t="s">
        <v>7</v>
      </c>
      <c r="M1066" t="s">
        <v>8</v>
      </c>
      <c r="N1066" t="s">
        <v>8</v>
      </c>
      <c r="P1066">
        <f t="shared" si="1024"/>
        <v>0.3684210526315832</v>
      </c>
      <c r="Q1066">
        <f t="shared" si="1025"/>
        <v>23978.054210526592</v>
      </c>
      <c r="R1066">
        <f t="shared" si="1026"/>
        <v>779245.7359939639</v>
      </c>
      <c r="S1066">
        <f t="shared" si="1027"/>
        <v>7.7924573599396387</v>
      </c>
      <c r="T1066">
        <f t="shared" si="1028"/>
        <v>7.7924573599396389E-3</v>
      </c>
    </row>
    <row r="1067" spans="1:20" x14ac:dyDescent="0.25">
      <c r="A1067" s="5">
        <v>43526</v>
      </c>
      <c r="B1067">
        <v>2.6949000000000001</v>
      </c>
      <c r="C1067">
        <v>2.7122999999999999</v>
      </c>
      <c r="D1067">
        <v>2.6309999999999998</v>
      </c>
      <c r="E1067">
        <v>2.6606000000000001</v>
      </c>
      <c r="F1067">
        <v>63182.559999999998</v>
      </c>
      <c r="G1067">
        <v>0</v>
      </c>
      <c r="L1067" t="s">
        <v>7</v>
      </c>
      <c r="M1067" t="s">
        <v>8</v>
      </c>
      <c r="N1067" t="s">
        <v>8</v>
      </c>
      <c r="P1067">
        <f t="shared" si="1024"/>
        <v>-0.27183271832717742</v>
      </c>
      <c r="Q1067">
        <f t="shared" si="1025"/>
        <v>-17175.087035669985</v>
      </c>
      <c r="R1067">
        <f t="shared" si="1026"/>
        <v>755267.68178343726</v>
      </c>
      <c r="S1067">
        <f t="shared" si="1027"/>
        <v>7.5526768178343726</v>
      </c>
      <c r="T1067">
        <f t="shared" si="1028"/>
        <v>7.5526768178343726E-3</v>
      </c>
    </row>
    <row r="1068" spans="1:20" x14ac:dyDescent="0.25">
      <c r="A1068" s="5">
        <v>43525</v>
      </c>
      <c r="B1068">
        <v>2.6465000000000001</v>
      </c>
      <c r="C1068">
        <v>2.74</v>
      </c>
      <c r="D1068">
        <v>2.6305000000000001</v>
      </c>
      <c r="E1068">
        <v>2.6815000000000002</v>
      </c>
      <c r="F1068">
        <v>102303.16</v>
      </c>
      <c r="G1068">
        <v>0</v>
      </c>
      <c r="L1068" t="s">
        <v>7</v>
      </c>
      <c r="M1068" t="s">
        <v>8</v>
      </c>
      <c r="N1068" t="s">
        <v>8</v>
      </c>
      <c r="P1068">
        <f t="shared" si="1024"/>
        <v>-6.8493150684929949E-2</v>
      </c>
      <c r="Q1068">
        <f t="shared" si="1025"/>
        <v>-7007.0657534244983</v>
      </c>
      <c r="R1068">
        <f t="shared" si="1026"/>
        <v>772442.76881910721</v>
      </c>
      <c r="S1068">
        <f t="shared" si="1027"/>
        <v>7.7244276881910725</v>
      </c>
      <c r="T1068">
        <f t="shared" si="1028"/>
        <v>7.7244276881910726E-3</v>
      </c>
    </row>
    <row r="1069" spans="1:20" x14ac:dyDescent="0.25">
      <c r="A1069" s="5">
        <v>43524</v>
      </c>
      <c r="B1069">
        <v>2.645</v>
      </c>
      <c r="C1069">
        <v>2.7273000000000001</v>
      </c>
      <c r="D1069">
        <v>2.6086</v>
      </c>
      <c r="E1069">
        <v>2.6495000000000002</v>
      </c>
      <c r="F1069">
        <v>234356.11</v>
      </c>
      <c r="G1069">
        <v>0</v>
      </c>
      <c r="L1069" t="s">
        <v>7</v>
      </c>
      <c r="M1069" t="s">
        <v>8</v>
      </c>
      <c r="N1069" t="s">
        <v>8</v>
      </c>
      <c r="P1069">
        <f t="shared" si="1024"/>
        <v>-0.31086773378264282</v>
      </c>
      <c r="Q1069">
        <f t="shared" si="1025"/>
        <v>-72853.75281381575</v>
      </c>
      <c r="R1069">
        <f t="shared" si="1026"/>
        <v>779449.83457253175</v>
      </c>
      <c r="S1069">
        <f t="shared" si="1027"/>
        <v>7.7944983457253176</v>
      </c>
      <c r="T1069">
        <f t="shared" si="1028"/>
        <v>7.7944983457253177E-3</v>
      </c>
    </row>
    <row r="1070" spans="1:20" x14ac:dyDescent="0.25">
      <c r="A1070" s="5">
        <v>43523</v>
      </c>
      <c r="B1070">
        <v>2.6427999999999998</v>
      </c>
      <c r="C1070">
        <v>2.7</v>
      </c>
      <c r="D1070">
        <v>2.5506000000000002</v>
      </c>
      <c r="E1070">
        <v>2.6473</v>
      </c>
      <c r="F1070">
        <v>170216.16</v>
      </c>
      <c r="G1070">
        <v>0</v>
      </c>
      <c r="L1070" t="s">
        <v>7</v>
      </c>
      <c r="M1070" t="s">
        <v>8</v>
      </c>
      <c r="N1070" t="s">
        <v>8</v>
      </c>
      <c r="P1070">
        <f t="shared" si="1024"/>
        <v>0.29451137884872558</v>
      </c>
      <c r="Q1070">
        <f t="shared" si="1025"/>
        <v>50130.595983935287</v>
      </c>
      <c r="R1070">
        <f t="shared" si="1026"/>
        <v>852303.58738634747</v>
      </c>
      <c r="S1070">
        <f t="shared" si="1027"/>
        <v>8.5230358738634742</v>
      </c>
      <c r="T1070">
        <f t="shared" si="1028"/>
        <v>8.5230358738634746E-3</v>
      </c>
    </row>
    <row r="1071" spans="1:20" x14ac:dyDescent="0.25">
      <c r="A1071" s="5">
        <v>43522</v>
      </c>
      <c r="B1071">
        <v>2.6756000000000002</v>
      </c>
      <c r="C1071">
        <v>2.7002999999999999</v>
      </c>
      <c r="D1071">
        <v>2.6158999999999999</v>
      </c>
      <c r="E1071">
        <v>2.6435</v>
      </c>
      <c r="F1071">
        <v>98978.33</v>
      </c>
      <c r="G1071">
        <v>0</v>
      </c>
      <c r="L1071" t="s">
        <v>8</v>
      </c>
      <c r="M1071" t="s">
        <v>8</v>
      </c>
      <c r="N1071" t="s">
        <v>8</v>
      </c>
      <c r="P1071">
        <f t="shared" si="1024"/>
        <v>-0.34597156398104123</v>
      </c>
      <c r="Q1071">
        <f t="shared" si="1025"/>
        <v>-34243.687630331617</v>
      </c>
      <c r="R1071">
        <f t="shared" si="1026"/>
        <v>802172.99140241218</v>
      </c>
      <c r="S1071">
        <f t="shared" si="1027"/>
        <v>8.0217299140241209</v>
      </c>
      <c r="T1071">
        <f t="shared" si="1028"/>
        <v>8.0217299140241203E-3</v>
      </c>
    </row>
    <row r="1072" spans="1:20" x14ac:dyDescent="0.25">
      <c r="A1072" s="5">
        <v>43521</v>
      </c>
      <c r="B1072">
        <v>2.6463000000000001</v>
      </c>
      <c r="C1072">
        <v>2.75</v>
      </c>
      <c r="D1072">
        <v>2.6025</v>
      </c>
      <c r="E1072">
        <v>2.6793999999999998</v>
      </c>
      <c r="F1072">
        <v>180258.48</v>
      </c>
      <c r="G1072">
        <v>0</v>
      </c>
      <c r="L1072" t="s">
        <v>8</v>
      </c>
      <c r="M1072" t="s">
        <v>8</v>
      </c>
      <c r="N1072" t="s">
        <v>8</v>
      </c>
      <c r="P1072">
        <f t="shared" si="1024"/>
        <v>4.2711864406776476E-2</v>
      </c>
      <c r="Q1072">
        <f t="shared" si="1025"/>
        <v>7699.1757559316293</v>
      </c>
      <c r="R1072">
        <f t="shared" si="1026"/>
        <v>836416.67903274379</v>
      </c>
      <c r="S1072">
        <f t="shared" si="1027"/>
        <v>8.3641667903274382</v>
      </c>
      <c r="T1072">
        <f t="shared" si="1028"/>
        <v>8.3641667903274382E-3</v>
      </c>
    </row>
    <row r="1073" spans="1:20" x14ac:dyDescent="0.25">
      <c r="A1073" s="5">
        <v>43520</v>
      </c>
      <c r="B1073">
        <v>2.8894000000000002</v>
      </c>
      <c r="C1073">
        <v>2.9363999999999999</v>
      </c>
      <c r="D1073">
        <v>2.5499999999999998</v>
      </c>
      <c r="E1073">
        <v>2.637</v>
      </c>
      <c r="F1073">
        <v>402202.51</v>
      </c>
      <c r="G1073">
        <v>0</v>
      </c>
      <c r="L1073" t="s">
        <v>7</v>
      </c>
      <c r="M1073" t="s">
        <v>8</v>
      </c>
      <c r="N1073" t="s">
        <v>8</v>
      </c>
      <c r="P1073">
        <f t="shared" si="1024"/>
        <v>-0.54968944099378791</v>
      </c>
      <c r="Q1073">
        <f t="shared" si="1025"/>
        <v>-221086.47288819839</v>
      </c>
      <c r="R1073">
        <f t="shared" si="1026"/>
        <v>828717.50327681215</v>
      </c>
      <c r="S1073">
        <f t="shared" si="1027"/>
        <v>8.287175032768122</v>
      </c>
      <c r="T1073">
        <f t="shared" si="1028"/>
        <v>8.2871750327681223E-3</v>
      </c>
    </row>
    <row r="1074" spans="1:20" x14ac:dyDescent="0.25">
      <c r="A1074" s="5">
        <v>43519</v>
      </c>
      <c r="B1074">
        <v>2.8961000000000001</v>
      </c>
      <c r="C1074">
        <v>2.93</v>
      </c>
      <c r="D1074">
        <v>2.7904</v>
      </c>
      <c r="E1074">
        <v>2.8894000000000002</v>
      </c>
      <c r="F1074">
        <v>249027.4</v>
      </c>
      <c r="G1074">
        <v>0</v>
      </c>
      <c r="L1074" t="s">
        <v>8</v>
      </c>
      <c r="M1074" t="s">
        <v>8</v>
      </c>
      <c r="N1074" t="s">
        <v>8</v>
      </c>
      <c r="P1074">
        <f t="shared" si="1024"/>
        <v>0.41833810888252265</v>
      </c>
      <c r="Q1074">
        <f t="shared" si="1025"/>
        <v>104177.65157593152</v>
      </c>
      <c r="R1074">
        <f t="shared" si="1026"/>
        <v>1049803.9761650106</v>
      </c>
      <c r="S1074">
        <f t="shared" si="1027"/>
        <v>10.498039761650105</v>
      </c>
      <c r="T1074">
        <f t="shared" si="1028"/>
        <v>1.0498039761650105E-2</v>
      </c>
    </row>
    <row r="1075" spans="1:20" x14ac:dyDescent="0.25">
      <c r="A1075" s="5">
        <v>43518</v>
      </c>
      <c r="B1075">
        <v>2.8573</v>
      </c>
      <c r="C1075">
        <v>2.91</v>
      </c>
      <c r="D1075">
        <v>2.8081</v>
      </c>
      <c r="E1075">
        <v>2.9022000000000001</v>
      </c>
      <c r="F1075">
        <v>192626.9</v>
      </c>
      <c r="G1075">
        <v>0</v>
      </c>
      <c r="L1075" t="s">
        <v>7</v>
      </c>
      <c r="M1075" t="s">
        <v>8</v>
      </c>
      <c r="N1075" t="s">
        <v>8</v>
      </c>
      <c r="P1075">
        <f t="shared" si="1024"/>
        <v>0.84690873405299272</v>
      </c>
      <c r="Q1075">
        <f t="shared" si="1025"/>
        <v>163137.40402355243</v>
      </c>
      <c r="R1075">
        <f t="shared" si="1026"/>
        <v>945626.32458907913</v>
      </c>
      <c r="S1075">
        <f t="shared" si="1027"/>
        <v>9.456263245890792</v>
      </c>
      <c r="T1075">
        <f t="shared" si="1028"/>
        <v>9.4562632458907916E-3</v>
      </c>
    </row>
    <row r="1076" spans="1:20" x14ac:dyDescent="0.25">
      <c r="A1076" s="5">
        <v>43517</v>
      </c>
      <c r="B1076">
        <v>2.7848999999999999</v>
      </c>
      <c r="C1076">
        <v>2.8671000000000002</v>
      </c>
      <c r="D1076">
        <v>2.7391999999999999</v>
      </c>
      <c r="E1076">
        <v>2.8509000000000002</v>
      </c>
      <c r="F1076">
        <v>274491.53999999998</v>
      </c>
      <c r="G1076">
        <v>0</v>
      </c>
      <c r="L1076" t="s">
        <v>7</v>
      </c>
      <c r="M1076" t="s">
        <v>8</v>
      </c>
      <c r="N1076" t="s">
        <v>8</v>
      </c>
      <c r="P1076">
        <f t="shared" si="1024"/>
        <v>0.74667709147771777</v>
      </c>
      <c r="Q1076">
        <f t="shared" si="1025"/>
        <v>204956.5447224396</v>
      </c>
      <c r="R1076">
        <f t="shared" si="1026"/>
        <v>782488.9205655267</v>
      </c>
      <c r="S1076">
        <f t="shared" si="1027"/>
        <v>7.8248892056552668</v>
      </c>
      <c r="T1076">
        <f t="shared" si="1028"/>
        <v>7.8248892056552669E-3</v>
      </c>
    </row>
    <row r="1077" spans="1:20" x14ac:dyDescent="0.25">
      <c r="A1077" s="5">
        <v>43516</v>
      </c>
      <c r="B1077">
        <v>2.782</v>
      </c>
      <c r="C1077">
        <v>2.82</v>
      </c>
      <c r="D1077">
        <v>2.7349999999999999</v>
      </c>
      <c r="E1077">
        <v>2.7848999999999999</v>
      </c>
      <c r="F1077">
        <v>173102.83</v>
      </c>
      <c r="G1077">
        <v>0</v>
      </c>
      <c r="L1077" t="s">
        <v>7</v>
      </c>
      <c r="M1077" t="s">
        <v>8</v>
      </c>
      <c r="N1077" t="s">
        <v>8</v>
      </c>
      <c r="P1077">
        <f t="shared" si="1024"/>
        <v>0.17411764705882532</v>
      </c>
      <c r="Q1077">
        <f t="shared" si="1025"/>
        <v>30140.257458823839</v>
      </c>
      <c r="R1077">
        <f t="shared" si="1026"/>
        <v>577532.37584308709</v>
      </c>
      <c r="S1077">
        <f t="shared" si="1027"/>
        <v>5.7753237584308712</v>
      </c>
      <c r="T1077">
        <f t="shared" si="1028"/>
        <v>5.7753237584308708E-3</v>
      </c>
    </row>
    <row r="1078" spans="1:20" x14ac:dyDescent="0.25">
      <c r="A1078" s="5">
        <v>43515</v>
      </c>
      <c r="B1078">
        <v>2.74</v>
      </c>
      <c r="C1078">
        <v>2.93</v>
      </c>
      <c r="D1078">
        <v>2.7012</v>
      </c>
      <c r="E1078">
        <v>2.7862</v>
      </c>
      <c r="F1078">
        <v>455390.39</v>
      </c>
      <c r="G1078">
        <v>0</v>
      </c>
      <c r="L1078" t="s">
        <v>8</v>
      </c>
      <c r="M1078" t="s">
        <v>8</v>
      </c>
      <c r="N1078" t="s">
        <v>8</v>
      </c>
      <c r="P1078">
        <f t="shared" si="1024"/>
        <v>-0.2569930069930077</v>
      </c>
      <c r="Q1078">
        <f t="shared" si="1025"/>
        <v>-117032.14568181851</v>
      </c>
      <c r="R1078">
        <f t="shared" si="1026"/>
        <v>547392.11838426325</v>
      </c>
      <c r="S1078">
        <f t="shared" si="1027"/>
        <v>5.4739211838426325</v>
      </c>
      <c r="T1078">
        <f t="shared" si="1028"/>
        <v>5.4739211838426326E-3</v>
      </c>
    </row>
    <row r="1079" spans="1:20" x14ac:dyDescent="0.25">
      <c r="A1079" s="5">
        <v>43514</v>
      </c>
      <c r="B1079">
        <v>2.6095000000000002</v>
      </c>
      <c r="C1079">
        <v>2.7867999999999999</v>
      </c>
      <c r="D1079">
        <v>2.6093999999999999</v>
      </c>
      <c r="E1079">
        <v>2.74</v>
      </c>
      <c r="F1079">
        <v>361072.29</v>
      </c>
      <c r="G1079">
        <v>0</v>
      </c>
      <c r="L1079" t="s">
        <v>8</v>
      </c>
      <c r="M1079" t="s">
        <v>7</v>
      </c>
      <c r="N1079" t="s">
        <v>8</v>
      </c>
      <c r="P1079">
        <f t="shared" si="1024"/>
        <v>0.47237880496054419</v>
      </c>
      <c r="Q1079">
        <f t="shared" si="1025"/>
        <v>170562.89685456705</v>
      </c>
      <c r="R1079">
        <f t="shared" si="1026"/>
        <v>664424.26406608173</v>
      </c>
      <c r="S1079">
        <f t="shared" si="1027"/>
        <v>6.644242640660817</v>
      </c>
      <c r="T1079">
        <f t="shared" si="1028"/>
        <v>6.6442426406608168E-3</v>
      </c>
    </row>
    <row r="1080" spans="1:20" x14ac:dyDescent="0.25">
      <c r="A1080" s="5">
        <v>43513</v>
      </c>
      <c r="B1080">
        <v>2.6080999999999999</v>
      </c>
      <c r="C1080">
        <v>2.6596000000000002</v>
      </c>
      <c r="D1080">
        <v>2.5501</v>
      </c>
      <c r="E1080">
        <v>2.6093999999999999</v>
      </c>
      <c r="F1080">
        <v>150858.31</v>
      </c>
      <c r="G1080">
        <v>0</v>
      </c>
      <c r="L1080" t="s">
        <v>7</v>
      </c>
      <c r="M1080" t="s">
        <v>7</v>
      </c>
      <c r="N1080" t="s">
        <v>8</v>
      </c>
      <c r="P1080">
        <f t="shared" si="1024"/>
        <v>8.3105022831047037E-2</v>
      </c>
      <c r="Q1080">
        <f t="shared" si="1025"/>
        <v>12537.083296803172</v>
      </c>
      <c r="R1080">
        <f t="shared" si="1026"/>
        <v>493861.36721151473</v>
      </c>
      <c r="S1080">
        <f t="shared" si="1027"/>
        <v>4.9386136721151477</v>
      </c>
      <c r="T1080">
        <f t="shared" si="1028"/>
        <v>4.9386136721151479E-3</v>
      </c>
    </row>
    <row r="1081" spans="1:20" x14ac:dyDescent="0.25">
      <c r="A1081" s="5">
        <v>43512</v>
      </c>
      <c r="B1081">
        <v>2.6461999999999999</v>
      </c>
      <c r="C1081">
        <v>2.6798999999999999</v>
      </c>
      <c r="D1081">
        <v>2.605</v>
      </c>
      <c r="E1081">
        <v>2.6080999999999999</v>
      </c>
      <c r="F1081">
        <v>105260.74</v>
      </c>
      <c r="G1081">
        <v>0</v>
      </c>
      <c r="L1081" t="s">
        <v>7</v>
      </c>
      <c r="M1081" t="s">
        <v>7</v>
      </c>
      <c r="N1081" t="s">
        <v>8</v>
      </c>
      <c r="P1081">
        <f t="shared" si="1024"/>
        <v>-0.91722296395193903</v>
      </c>
      <c r="Q1081">
        <f t="shared" si="1025"/>
        <v>-96547.567930574427</v>
      </c>
      <c r="R1081">
        <f t="shared" si="1026"/>
        <v>481324.28391471156</v>
      </c>
      <c r="S1081">
        <f t="shared" si="1027"/>
        <v>4.8132428391471151</v>
      </c>
      <c r="T1081">
        <f t="shared" si="1028"/>
        <v>4.8132428391471152E-3</v>
      </c>
    </row>
    <row r="1082" spans="1:20" x14ac:dyDescent="0.25">
      <c r="A1082" s="5">
        <v>43511</v>
      </c>
      <c r="B1082">
        <v>2.6364000000000001</v>
      </c>
      <c r="C1082">
        <v>2.7</v>
      </c>
      <c r="D1082">
        <v>2.6313</v>
      </c>
      <c r="E1082">
        <v>2.6564999999999999</v>
      </c>
      <c r="F1082">
        <v>123475.7</v>
      </c>
      <c r="G1082">
        <v>0</v>
      </c>
      <c r="L1082" t="s">
        <v>7</v>
      </c>
      <c r="M1082" t="s">
        <v>7</v>
      </c>
      <c r="N1082" t="s">
        <v>8</v>
      </c>
      <c r="P1082">
        <f t="shared" si="1024"/>
        <v>-0.26637554585153378</v>
      </c>
      <c r="Q1082">
        <f t="shared" si="1025"/>
        <v>-32890.906986900227</v>
      </c>
      <c r="R1082">
        <f t="shared" si="1026"/>
        <v>577871.85184528597</v>
      </c>
      <c r="S1082">
        <f t="shared" si="1027"/>
        <v>5.7787185184528598</v>
      </c>
      <c r="T1082">
        <f t="shared" si="1028"/>
        <v>5.77871851845286E-3</v>
      </c>
    </row>
    <row r="1083" spans="1:20" x14ac:dyDescent="0.25">
      <c r="A1083" s="5">
        <v>43510</v>
      </c>
      <c r="B1083">
        <v>2.7315999999999998</v>
      </c>
      <c r="C1083">
        <v>2.7587999999999999</v>
      </c>
      <c r="D1083">
        <v>2.6312000000000002</v>
      </c>
      <c r="E1083">
        <v>2.6419000000000001</v>
      </c>
      <c r="F1083">
        <v>176689.8</v>
      </c>
      <c r="G1083">
        <v>0</v>
      </c>
      <c r="L1083" t="s">
        <v>7</v>
      </c>
      <c r="M1083" t="s">
        <v>7</v>
      </c>
      <c r="N1083" t="s">
        <v>8</v>
      </c>
      <c r="P1083">
        <f t="shared" si="1024"/>
        <v>-0.83228840125391923</v>
      </c>
      <c r="Q1083">
        <f t="shared" si="1025"/>
        <v>-147056.87115987472</v>
      </c>
      <c r="R1083">
        <f t="shared" si="1026"/>
        <v>610762.75883218623</v>
      </c>
      <c r="S1083">
        <f t="shared" si="1027"/>
        <v>6.1076275883218623</v>
      </c>
      <c r="T1083">
        <f t="shared" si="1028"/>
        <v>6.1076275883218626E-3</v>
      </c>
    </row>
    <row r="1084" spans="1:20" x14ac:dyDescent="0.25">
      <c r="A1084" s="5">
        <v>43509</v>
      </c>
      <c r="B1084">
        <v>2.8454000000000002</v>
      </c>
      <c r="C1084">
        <v>2.8694999999999999</v>
      </c>
      <c r="D1084">
        <v>2.7229999999999999</v>
      </c>
      <c r="E1084">
        <v>2.7317</v>
      </c>
      <c r="F1084">
        <v>179514.63</v>
      </c>
      <c r="G1084">
        <v>0</v>
      </c>
      <c r="L1084" t="s">
        <v>7</v>
      </c>
      <c r="M1084" t="s">
        <v>7</v>
      </c>
      <c r="N1084" t="s">
        <v>8</v>
      </c>
      <c r="P1084">
        <f t="shared" si="1024"/>
        <v>-0.88122866894197749</v>
      </c>
      <c r="Q1084">
        <f t="shared" si="1025"/>
        <v>-158193.43845051157</v>
      </c>
      <c r="R1084">
        <f t="shared" si="1026"/>
        <v>757819.62999206095</v>
      </c>
      <c r="S1084">
        <f t="shared" si="1027"/>
        <v>7.5781962999206094</v>
      </c>
      <c r="T1084">
        <f t="shared" si="1028"/>
        <v>7.5781962999206098E-3</v>
      </c>
    </row>
    <row r="1085" spans="1:20" x14ac:dyDescent="0.25">
      <c r="A1085" s="5">
        <v>43508</v>
      </c>
      <c r="B1085">
        <v>2.87</v>
      </c>
      <c r="C1085">
        <v>2.9157999999999999</v>
      </c>
      <c r="D1085">
        <v>2.7206999999999999</v>
      </c>
      <c r="E1085">
        <v>2.8492000000000002</v>
      </c>
      <c r="F1085">
        <v>476142.71</v>
      </c>
      <c r="G1085">
        <v>0</v>
      </c>
      <c r="L1085" t="s">
        <v>7</v>
      </c>
      <c r="M1085" t="s">
        <v>7</v>
      </c>
      <c r="N1085" t="s">
        <v>8</v>
      </c>
      <c r="P1085">
        <f t="shared" si="1024"/>
        <v>0.31727319323424136</v>
      </c>
      <c r="Q1085">
        <f t="shared" si="1025"/>
        <v>151067.31803690534</v>
      </c>
      <c r="R1085">
        <f t="shared" si="1026"/>
        <v>916013.06844257249</v>
      </c>
      <c r="S1085">
        <f t="shared" si="1027"/>
        <v>9.1601306844257255</v>
      </c>
      <c r="T1085">
        <f t="shared" si="1028"/>
        <v>9.1601306844257251E-3</v>
      </c>
    </row>
    <row r="1086" spans="1:20" x14ac:dyDescent="0.25">
      <c r="A1086" s="5">
        <v>43507</v>
      </c>
      <c r="B1086">
        <v>2.72</v>
      </c>
      <c r="C1086">
        <v>2.9152999999999998</v>
      </c>
      <c r="D1086">
        <v>2.6345000000000001</v>
      </c>
      <c r="E1086">
        <v>2.8725999999999998</v>
      </c>
      <c r="F1086">
        <v>475068.15999999997</v>
      </c>
      <c r="G1086">
        <v>0</v>
      </c>
      <c r="L1086" t="s">
        <v>8</v>
      </c>
      <c r="M1086" t="s">
        <v>7</v>
      </c>
      <c r="N1086" t="s">
        <v>8</v>
      </c>
      <c r="P1086">
        <f t="shared" si="1024"/>
        <v>0.69586894586894588</v>
      </c>
      <c r="Q1086">
        <f t="shared" si="1025"/>
        <v>330585.17971509969</v>
      </c>
      <c r="R1086">
        <f t="shared" si="1026"/>
        <v>764945.75040566712</v>
      </c>
      <c r="S1086">
        <f t="shared" si="1027"/>
        <v>7.649457504056671</v>
      </c>
      <c r="T1086">
        <f t="shared" si="1028"/>
        <v>7.6494575040566707E-3</v>
      </c>
    </row>
    <row r="1087" spans="1:20" x14ac:dyDescent="0.25">
      <c r="A1087" s="5">
        <v>43506</v>
      </c>
      <c r="B1087">
        <v>2.6017999999999999</v>
      </c>
      <c r="C1087">
        <v>2.75</v>
      </c>
      <c r="D1087">
        <v>2.5720000000000001</v>
      </c>
      <c r="E1087">
        <v>2.72</v>
      </c>
      <c r="F1087">
        <v>421981.05</v>
      </c>
      <c r="G1087">
        <v>0</v>
      </c>
      <c r="L1087" t="s">
        <v>8</v>
      </c>
      <c r="M1087" t="s">
        <v>7</v>
      </c>
      <c r="N1087" t="s">
        <v>8</v>
      </c>
      <c r="P1087">
        <f t="shared" ref="P1087:P1110" si="1029">IF(C1087=D1087,0,((E1087-D1087)-(C1087-E1087))/(C1087-D1087))</f>
        <v>0.6629213483146088</v>
      </c>
      <c r="Q1087">
        <f t="shared" ref="Q1087:Q1110" si="1030">F1087*P1087</f>
        <v>279740.24662921432</v>
      </c>
      <c r="R1087">
        <f t="shared" ref="R1087:R1110" si="1031">R1088+Q1087</f>
        <v>434360.57069056743</v>
      </c>
      <c r="S1087">
        <f t="shared" ref="S1087:S1110" si="1032">R1087/100000</f>
        <v>4.3436057069056746</v>
      </c>
      <c r="T1087">
        <f t="shared" ref="T1087:T1110" si="1033">S1087/1000</f>
        <v>4.343605706905675E-3</v>
      </c>
    </row>
    <row r="1088" spans="1:20" x14ac:dyDescent="0.25">
      <c r="A1088" s="5">
        <v>43505</v>
      </c>
      <c r="B1088">
        <v>2.6593</v>
      </c>
      <c r="C1088">
        <v>2.665</v>
      </c>
      <c r="D1088">
        <v>2.5539000000000001</v>
      </c>
      <c r="E1088">
        <v>2.6</v>
      </c>
      <c r="F1088">
        <v>269215.76</v>
      </c>
      <c r="G1088">
        <v>0</v>
      </c>
      <c r="L1088" t="s">
        <v>8</v>
      </c>
      <c r="M1088" t="s">
        <v>7</v>
      </c>
      <c r="N1088" t="s">
        <v>8</v>
      </c>
      <c r="P1088">
        <f t="shared" si="1029"/>
        <v>-0.17011701170116941</v>
      </c>
      <c r="Q1088">
        <f t="shared" si="1030"/>
        <v>-45798.180594059217</v>
      </c>
      <c r="R1088">
        <f t="shared" si="1031"/>
        <v>154620.32406135311</v>
      </c>
      <c r="S1088">
        <f t="shared" si="1032"/>
        <v>1.5462032406135311</v>
      </c>
      <c r="T1088">
        <f t="shared" si="1033"/>
        <v>1.5462032406135312E-3</v>
      </c>
    </row>
    <row r="1089" spans="1:20" x14ac:dyDescent="0.25">
      <c r="A1089" s="5">
        <v>43504</v>
      </c>
      <c r="B1089">
        <v>2.4864999999999999</v>
      </c>
      <c r="C1089">
        <v>2.6876000000000002</v>
      </c>
      <c r="D1089">
        <v>2.4500999999999999</v>
      </c>
      <c r="E1089">
        <v>2.6465000000000001</v>
      </c>
      <c r="F1089">
        <v>502060.29</v>
      </c>
      <c r="G1089">
        <v>0</v>
      </c>
      <c r="L1089" t="s">
        <v>8</v>
      </c>
      <c r="M1089" t="s">
        <v>7</v>
      </c>
      <c r="N1089" t="s">
        <v>8</v>
      </c>
      <c r="P1089">
        <f t="shared" si="1029"/>
        <v>0.65389473684210453</v>
      </c>
      <c r="Q1089">
        <f t="shared" si="1030"/>
        <v>328294.58120842068</v>
      </c>
      <c r="R1089">
        <f t="shared" si="1031"/>
        <v>200418.50465541231</v>
      </c>
      <c r="S1089">
        <f t="shared" si="1032"/>
        <v>2.0041850465541233</v>
      </c>
      <c r="T1089">
        <f t="shared" si="1033"/>
        <v>2.0041850465541233E-3</v>
      </c>
    </row>
    <row r="1090" spans="1:20" x14ac:dyDescent="0.25">
      <c r="A1090" s="5">
        <v>43503</v>
      </c>
      <c r="B1090">
        <v>2.504</v>
      </c>
      <c r="C1090">
        <v>2.6192000000000002</v>
      </c>
      <c r="D1090">
        <v>2.4689000000000001</v>
      </c>
      <c r="E1090">
        <v>2.4885000000000002</v>
      </c>
      <c r="F1090">
        <v>307286.49</v>
      </c>
      <c r="G1090">
        <v>0</v>
      </c>
      <c r="L1090" t="s">
        <v>7</v>
      </c>
      <c r="M1090" t="s">
        <v>7</v>
      </c>
      <c r="N1090" t="s">
        <v>8</v>
      </c>
      <c r="P1090">
        <f t="shared" si="1029"/>
        <v>-0.73918829008649301</v>
      </c>
      <c r="Q1090">
        <f t="shared" si="1030"/>
        <v>-227142.57510978021</v>
      </c>
      <c r="R1090">
        <f t="shared" si="1031"/>
        <v>-127876.07655300837</v>
      </c>
      <c r="S1090">
        <f t="shared" si="1032"/>
        <v>-1.2787607655300837</v>
      </c>
      <c r="T1090">
        <f t="shared" si="1033"/>
        <v>-1.2787607655300836E-3</v>
      </c>
    </row>
    <row r="1091" spans="1:20" x14ac:dyDescent="0.25">
      <c r="A1091" s="5">
        <v>43502</v>
      </c>
      <c r="B1091">
        <v>2.6661000000000001</v>
      </c>
      <c r="C1091">
        <v>2.6779999999999999</v>
      </c>
      <c r="D1091">
        <v>2.5</v>
      </c>
      <c r="E1091">
        <v>2.504</v>
      </c>
      <c r="F1091">
        <v>372775.15</v>
      </c>
      <c r="G1091">
        <v>0</v>
      </c>
      <c r="L1091" t="s">
        <v>7</v>
      </c>
      <c r="M1091" t="s">
        <v>7</v>
      </c>
      <c r="N1091" t="s">
        <v>8</v>
      </c>
      <c r="P1091">
        <f t="shared" si="1029"/>
        <v>-0.95505617977528079</v>
      </c>
      <c r="Q1091">
        <f t="shared" si="1030"/>
        <v>-356021.21067415731</v>
      </c>
      <c r="R1091">
        <f t="shared" si="1031"/>
        <v>99266.49855677184</v>
      </c>
      <c r="S1091">
        <f t="shared" si="1032"/>
        <v>0.99266498556771843</v>
      </c>
      <c r="T1091">
        <f t="shared" si="1033"/>
        <v>9.9266498556771846E-4</v>
      </c>
    </row>
    <row r="1092" spans="1:20" x14ac:dyDescent="0.25">
      <c r="A1092" s="5">
        <v>43501</v>
      </c>
      <c r="B1092">
        <v>2.7252999999999998</v>
      </c>
      <c r="C1092">
        <v>2.7850000000000001</v>
      </c>
      <c r="D1092">
        <v>2.6191</v>
      </c>
      <c r="E1092">
        <v>2.6661999999999999</v>
      </c>
      <c r="F1092">
        <v>455506.99</v>
      </c>
      <c r="G1092">
        <v>0</v>
      </c>
      <c r="L1092" t="s">
        <v>7</v>
      </c>
      <c r="M1092" t="s">
        <v>8</v>
      </c>
      <c r="N1092" t="s">
        <v>8</v>
      </c>
      <c r="P1092">
        <f t="shared" si="1029"/>
        <v>-0.43218806509945901</v>
      </c>
      <c r="Q1092">
        <f t="shared" si="1030"/>
        <v>-196864.68464737863</v>
      </c>
      <c r="R1092">
        <f t="shared" si="1031"/>
        <v>455287.70923092915</v>
      </c>
      <c r="S1092">
        <f t="shared" si="1032"/>
        <v>4.5528770923092914</v>
      </c>
      <c r="T1092">
        <f t="shared" si="1033"/>
        <v>4.5528770923092916E-3</v>
      </c>
    </row>
    <row r="1093" spans="1:20" x14ac:dyDescent="0.25">
      <c r="A1093" s="5">
        <v>43500</v>
      </c>
      <c r="B1093">
        <v>2.8184</v>
      </c>
      <c r="C1093">
        <v>2.87</v>
      </c>
      <c r="D1093">
        <v>2.702</v>
      </c>
      <c r="E1093">
        <v>2.7277</v>
      </c>
      <c r="F1093">
        <v>357521.22</v>
      </c>
      <c r="G1093">
        <v>0</v>
      </c>
      <c r="L1093" t="s">
        <v>8</v>
      </c>
      <c r="M1093" t="s">
        <v>8</v>
      </c>
      <c r="N1093" t="s">
        <v>8</v>
      </c>
      <c r="P1093">
        <f t="shared" si="1029"/>
        <v>-0.69404761904761869</v>
      </c>
      <c r="Q1093">
        <f t="shared" si="1030"/>
        <v>-248136.75149999987</v>
      </c>
      <c r="R1093">
        <f t="shared" si="1031"/>
        <v>652152.39387830778</v>
      </c>
      <c r="S1093">
        <f t="shared" si="1032"/>
        <v>6.5215239387830781</v>
      </c>
      <c r="T1093">
        <f t="shared" si="1033"/>
        <v>6.5215239387830777E-3</v>
      </c>
    </row>
    <row r="1094" spans="1:20" x14ac:dyDescent="0.25">
      <c r="A1094" s="5">
        <v>43499</v>
      </c>
      <c r="B1094">
        <v>2.7151000000000001</v>
      </c>
      <c r="C1094">
        <v>2.9070999999999998</v>
      </c>
      <c r="D1094">
        <v>2.6553</v>
      </c>
      <c r="E1094">
        <v>2.8210999999999999</v>
      </c>
      <c r="F1094">
        <v>608219.23</v>
      </c>
      <c r="G1094">
        <v>0</v>
      </c>
      <c r="L1094" t="s">
        <v>8</v>
      </c>
      <c r="M1094" t="s">
        <v>8</v>
      </c>
      <c r="N1094" t="s">
        <v>8</v>
      </c>
      <c r="P1094">
        <f t="shared" si="1029"/>
        <v>0.31691818903892038</v>
      </c>
      <c r="Q1094">
        <f t="shared" si="1030"/>
        <v>192755.7369102466</v>
      </c>
      <c r="R1094">
        <f t="shared" si="1031"/>
        <v>900289.14537830767</v>
      </c>
      <c r="S1094">
        <f t="shared" si="1032"/>
        <v>9.0028914537830769</v>
      </c>
      <c r="T1094">
        <f t="shared" si="1033"/>
        <v>9.0028914537830761E-3</v>
      </c>
    </row>
    <row r="1095" spans="1:20" x14ac:dyDescent="0.25">
      <c r="A1095" s="5">
        <v>43498</v>
      </c>
      <c r="B1095">
        <v>2.7176</v>
      </c>
      <c r="C1095">
        <v>2.7450000000000001</v>
      </c>
      <c r="D1095">
        <v>2.6949999999999998</v>
      </c>
      <c r="E1095">
        <v>2.7138</v>
      </c>
      <c r="F1095">
        <v>134925.43</v>
      </c>
      <c r="G1095">
        <v>0</v>
      </c>
      <c r="L1095" t="s">
        <v>7</v>
      </c>
      <c r="M1095" t="s">
        <v>8</v>
      </c>
      <c r="N1095" t="s">
        <v>8</v>
      </c>
      <c r="P1095">
        <f t="shared" si="1029"/>
        <v>-0.247999999999998</v>
      </c>
      <c r="Q1095">
        <f t="shared" si="1030"/>
        <v>-33461.50663999973</v>
      </c>
      <c r="R1095">
        <f t="shared" si="1031"/>
        <v>707533.40846806113</v>
      </c>
      <c r="S1095">
        <f t="shared" si="1032"/>
        <v>7.0753340846806116</v>
      </c>
      <c r="T1095">
        <f t="shared" si="1033"/>
        <v>7.0753340846806114E-3</v>
      </c>
    </row>
    <row r="1096" spans="1:20" x14ac:dyDescent="0.25">
      <c r="A1096" s="5">
        <v>43497</v>
      </c>
      <c r="B1096">
        <v>2.7768000000000002</v>
      </c>
      <c r="C1096">
        <v>2.7789999999999999</v>
      </c>
      <c r="D1096">
        <v>2.6482999999999999</v>
      </c>
      <c r="E1096">
        <v>2.7134999999999998</v>
      </c>
      <c r="F1096">
        <v>277130.19</v>
      </c>
      <c r="G1096">
        <v>0</v>
      </c>
      <c r="L1096" t="s">
        <v>7</v>
      </c>
      <c r="M1096" t="s">
        <v>8</v>
      </c>
      <c r="N1096" t="s">
        <v>8</v>
      </c>
      <c r="P1096">
        <f t="shared" si="1029"/>
        <v>-2.2953328232608182E-3</v>
      </c>
      <c r="Q1096">
        <f t="shared" si="1030"/>
        <v>-636.10602142350695</v>
      </c>
      <c r="R1096">
        <f t="shared" si="1031"/>
        <v>740994.91510806081</v>
      </c>
      <c r="S1096">
        <f t="shared" si="1032"/>
        <v>7.4099491510806077</v>
      </c>
      <c r="T1096">
        <f t="shared" si="1033"/>
        <v>7.409949151080608E-3</v>
      </c>
    </row>
    <row r="1097" spans="1:20" x14ac:dyDescent="0.25">
      <c r="A1097" s="5">
        <v>43496</v>
      </c>
      <c r="B1097">
        <v>2.8782999999999999</v>
      </c>
      <c r="C1097">
        <v>2.9060999999999999</v>
      </c>
      <c r="D1097">
        <v>2.7511000000000001</v>
      </c>
      <c r="E1097">
        <v>2.7730000000000001</v>
      </c>
      <c r="F1097">
        <v>365639.15</v>
      </c>
      <c r="G1097">
        <v>0</v>
      </c>
      <c r="L1097" t="s">
        <v>7</v>
      </c>
      <c r="M1097" t="s">
        <v>8</v>
      </c>
      <c r="N1097" t="s">
        <v>8</v>
      </c>
      <c r="P1097">
        <f t="shared" si="1029"/>
        <v>-0.71741935483870889</v>
      </c>
      <c r="Q1097">
        <f t="shared" si="1030"/>
        <v>-262316.60309677391</v>
      </c>
      <c r="R1097">
        <f t="shared" si="1031"/>
        <v>741631.02112948429</v>
      </c>
      <c r="S1097">
        <f t="shared" si="1032"/>
        <v>7.4163102112948431</v>
      </c>
      <c r="T1097">
        <f t="shared" si="1033"/>
        <v>7.4163102112948433E-3</v>
      </c>
    </row>
    <row r="1098" spans="1:20" x14ac:dyDescent="0.25">
      <c r="A1098" s="5">
        <v>43495</v>
      </c>
      <c r="B1098">
        <v>2.9478</v>
      </c>
      <c r="C1098">
        <v>3.0550000000000002</v>
      </c>
      <c r="D1098">
        <v>2.7079</v>
      </c>
      <c r="E1098">
        <v>2.8729</v>
      </c>
      <c r="F1098">
        <v>1486687.83</v>
      </c>
      <c r="G1098">
        <v>0</v>
      </c>
      <c r="L1098" t="s">
        <v>7</v>
      </c>
      <c r="M1098" t="s">
        <v>8</v>
      </c>
      <c r="N1098" t="s">
        <v>8</v>
      </c>
      <c r="P1098">
        <f t="shared" si="1029"/>
        <v>-4.9265341400173163E-2</v>
      </c>
      <c r="Q1098">
        <f t="shared" si="1030"/>
        <v>-73242.183500432599</v>
      </c>
      <c r="R1098">
        <f t="shared" si="1031"/>
        <v>1003947.6242262581</v>
      </c>
      <c r="S1098">
        <f t="shared" si="1032"/>
        <v>10.039476242262582</v>
      </c>
      <c r="T1098">
        <f t="shared" si="1033"/>
        <v>1.0039476242262582E-2</v>
      </c>
    </row>
    <row r="1099" spans="1:20" x14ac:dyDescent="0.25">
      <c r="A1099" s="5">
        <v>43494</v>
      </c>
      <c r="B1099">
        <v>2.879</v>
      </c>
      <c r="C1099">
        <v>3.0463</v>
      </c>
      <c r="D1099">
        <v>2.7614000000000001</v>
      </c>
      <c r="E1099">
        <v>2.9478</v>
      </c>
      <c r="F1099">
        <v>1478807.29</v>
      </c>
      <c r="G1099">
        <v>0</v>
      </c>
      <c r="L1099" t="s">
        <v>8</v>
      </c>
      <c r="M1099" t="s">
        <v>8</v>
      </c>
      <c r="N1099" t="s">
        <v>8</v>
      </c>
      <c r="P1099">
        <f t="shared" si="1029"/>
        <v>0.30852930852930815</v>
      </c>
      <c r="Q1099">
        <f t="shared" si="1030"/>
        <v>456255.39063180011</v>
      </c>
      <c r="R1099">
        <f t="shared" si="1031"/>
        <v>1077189.8077266908</v>
      </c>
      <c r="S1099">
        <f t="shared" si="1032"/>
        <v>10.771898077266908</v>
      </c>
      <c r="T1099">
        <f t="shared" si="1033"/>
        <v>1.0771898077266908E-2</v>
      </c>
    </row>
    <row r="1100" spans="1:20" x14ac:dyDescent="0.25">
      <c r="A1100" s="5">
        <v>43493</v>
      </c>
      <c r="B1100">
        <v>2.6728999999999998</v>
      </c>
      <c r="C1100">
        <v>2.9199000000000002</v>
      </c>
      <c r="D1100">
        <v>2.4849999999999999</v>
      </c>
      <c r="E1100">
        <v>2.879</v>
      </c>
      <c r="F1100">
        <v>1272020.4099999999</v>
      </c>
      <c r="G1100">
        <v>0</v>
      </c>
      <c r="L1100" t="s">
        <v>7</v>
      </c>
      <c r="M1100" t="s">
        <v>7</v>
      </c>
      <c r="N1100" t="s">
        <v>8</v>
      </c>
      <c r="P1100">
        <f t="shared" si="1029"/>
        <v>0.81191078408829553</v>
      </c>
      <c r="Q1100">
        <f t="shared" si="1030"/>
        <v>1032767.0884594151</v>
      </c>
      <c r="R1100">
        <f t="shared" si="1031"/>
        <v>620934.41709489073</v>
      </c>
      <c r="S1100">
        <f t="shared" si="1032"/>
        <v>6.2093441709489072</v>
      </c>
      <c r="T1100">
        <f t="shared" si="1033"/>
        <v>6.2093441709489073E-3</v>
      </c>
    </row>
    <row r="1101" spans="1:20" x14ac:dyDescent="0.25">
      <c r="A1101" s="5">
        <v>43492</v>
      </c>
      <c r="B1101">
        <v>2.6713</v>
      </c>
      <c r="C1101">
        <v>2.9399000000000002</v>
      </c>
      <c r="D1101">
        <v>2.6</v>
      </c>
      <c r="E1101">
        <v>2.6726000000000001</v>
      </c>
      <c r="F1101">
        <v>559958.05000000005</v>
      </c>
      <c r="G1101">
        <v>0</v>
      </c>
      <c r="L1101" t="s">
        <v>7</v>
      </c>
      <c r="M1101" t="s">
        <v>7</v>
      </c>
      <c r="N1101" t="s">
        <v>8</v>
      </c>
      <c r="P1101">
        <f t="shared" si="1029"/>
        <v>-0.5728155339805826</v>
      </c>
      <c r="Q1101">
        <f t="shared" si="1030"/>
        <v>-320752.66941747582</v>
      </c>
      <c r="R1101">
        <f t="shared" si="1031"/>
        <v>-411832.6713645244</v>
      </c>
      <c r="S1101">
        <f t="shared" si="1032"/>
        <v>-4.1183267136452439</v>
      </c>
      <c r="T1101">
        <f t="shared" si="1033"/>
        <v>-4.1183267136452439E-3</v>
      </c>
    </row>
    <row r="1102" spans="1:20" x14ac:dyDescent="0.25">
      <c r="A1102" s="5">
        <v>43491</v>
      </c>
      <c r="B1102">
        <v>2.78</v>
      </c>
      <c r="C1102">
        <v>2.8237000000000001</v>
      </c>
      <c r="D1102">
        <v>2.6516000000000002</v>
      </c>
      <c r="E1102">
        <v>2.677</v>
      </c>
      <c r="F1102">
        <v>188896.03</v>
      </c>
      <c r="G1102">
        <v>0</v>
      </c>
      <c r="L1102" t="s">
        <v>7</v>
      </c>
      <c r="M1102" t="s">
        <v>7</v>
      </c>
      <c r="N1102" t="s">
        <v>8</v>
      </c>
      <c r="P1102">
        <f t="shared" si="1029"/>
        <v>-0.70482277745496946</v>
      </c>
      <c r="Q1102">
        <f t="shared" si="1030"/>
        <v>-133138.22451481724</v>
      </c>
      <c r="R1102">
        <f t="shared" si="1031"/>
        <v>-91080.001947048557</v>
      </c>
      <c r="S1102">
        <f t="shared" si="1032"/>
        <v>-0.91080001947048561</v>
      </c>
      <c r="T1102">
        <f t="shared" si="1033"/>
        <v>-9.1080001947048557E-4</v>
      </c>
    </row>
    <row r="1103" spans="1:20" x14ac:dyDescent="0.25">
      <c r="A1103" s="5">
        <v>43490</v>
      </c>
      <c r="B1103">
        <v>2.7189000000000001</v>
      </c>
      <c r="C1103">
        <v>2.9199000000000002</v>
      </c>
      <c r="D1103">
        <v>2.7</v>
      </c>
      <c r="E1103">
        <v>2.7791999999999999</v>
      </c>
      <c r="F1103">
        <v>427197.21</v>
      </c>
      <c r="G1103">
        <v>0</v>
      </c>
      <c r="L1103" t="s">
        <v>8</v>
      </c>
      <c r="M1103" t="s">
        <v>7</v>
      </c>
      <c r="N1103" t="s">
        <v>8</v>
      </c>
      <c r="P1103">
        <f t="shared" si="1029"/>
        <v>-0.27967257844475013</v>
      </c>
      <c r="Q1103">
        <f t="shared" si="1030"/>
        <v>-119475.3452251034</v>
      </c>
      <c r="R1103">
        <f t="shared" si="1031"/>
        <v>42058.22256776868</v>
      </c>
      <c r="S1103">
        <f t="shared" si="1032"/>
        <v>0.42058222567768683</v>
      </c>
      <c r="T1103">
        <f t="shared" si="1033"/>
        <v>4.2058222567768684E-4</v>
      </c>
    </row>
    <row r="1104" spans="1:20" x14ac:dyDescent="0.25">
      <c r="A1104" s="5">
        <v>43489</v>
      </c>
      <c r="B1104">
        <v>3.0238999999999998</v>
      </c>
      <c r="C1104">
        <v>3.0910000000000002</v>
      </c>
      <c r="D1104">
        <v>2.5979999999999999</v>
      </c>
      <c r="E1104">
        <v>2.7189000000000001</v>
      </c>
      <c r="F1104">
        <v>843825.01</v>
      </c>
      <c r="G1104">
        <v>0</v>
      </c>
      <c r="L1104" t="s">
        <v>7</v>
      </c>
      <c r="M1104" t="s">
        <v>7</v>
      </c>
      <c r="N1104" t="s">
        <v>8</v>
      </c>
      <c r="P1104">
        <f t="shared" si="1029"/>
        <v>-0.50953346855983717</v>
      </c>
      <c r="Q1104">
        <f t="shared" si="1030"/>
        <v>-429957.08420283929</v>
      </c>
      <c r="R1104">
        <f t="shared" si="1031"/>
        <v>161533.56779287208</v>
      </c>
      <c r="S1104">
        <f t="shared" si="1032"/>
        <v>1.6153356779287209</v>
      </c>
      <c r="T1104">
        <f t="shared" si="1033"/>
        <v>1.6153356779287208E-3</v>
      </c>
    </row>
    <row r="1105" spans="1:20" x14ac:dyDescent="0.25">
      <c r="A1105" s="5">
        <v>43488</v>
      </c>
      <c r="B1105">
        <v>2.7694000000000001</v>
      </c>
      <c r="C1105">
        <v>3.2120000000000002</v>
      </c>
      <c r="D1105">
        <v>2.7115</v>
      </c>
      <c r="E1105">
        <v>3.0268999999999999</v>
      </c>
      <c r="F1105">
        <v>1216900</v>
      </c>
      <c r="G1105">
        <v>0</v>
      </c>
      <c r="L1105" t="s">
        <v>8</v>
      </c>
      <c r="M1105" t="s">
        <v>8</v>
      </c>
      <c r="N1105" t="s">
        <v>8</v>
      </c>
      <c r="P1105">
        <f t="shared" si="1029"/>
        <v>0.26033966033965955</v>
      </c>
      <c r="Q1105">
        <f t="shared" si="1030"/>
        <v>316807.33266733174</v>
      </c>
      <c r="R1105">
        <f t="shared" si="1031"/>
        <v>591490.65199571138</v>
      </c>
      <c r="S1105">
        <f t="shared" si="1032"/>
        <v>5.914906519957114</v>
      </c>
      <c r="T1105">
        <f t="shared" si="1033"/>
        <v>5.914906519957114E-3</v>
      </c>
    </row>
    <row r="1106" spans="1:20" x14ac:dyDescent="0.25">
      <c r="A1106" s="5">
        <v>43487</v>
      </c>
      <c r="B1106">
        <v>2.5099999999999998</v>
      </c>
      <c r="C1106">
        <v>2.81</v>
      </c>
      <c r="D1106">
        <v>2.3746999999999998</v>
      </c>
      <c r="E1106">
        <v>2.7684000000000002</v>
      </c>
      <c r="F1106">
        <v>331847.14</v>
      </c>
      <c r="G1106">
        <v>0</v>
      </c>
      <c r="L1106" t="s">
        <v>7</v>
      </c>
      <c r="M1106" t="s">
        <v>8</v>
      </c>
      <c r="N1106" t="s">
        <v>8</v>
      </c>
      <c r="P1106">
        <f t="shared" si="1029"/>
        <v>0.80886744773719355</v>
      </c>
      <c r="Q1106">
        <f t="shared" si="1030"/>
        <v>268420.34917068714</v>
      </c>
      <c r="R1106">
        <f t="shared" si="1031"/>
        <v>274683.31932837964</v>
      </c>
      <c r="S1106">
        <f t="shared" si="1032"/>
        <v>2.7468331932837966</v>
      </c>
      <c r="T1106">
        <f t="shared" si="1033"/>
        <v>2.7468331932837967E-3</v>
      </c>
    </row>
    <row r="1107" spans="1:20" x14ac:dyDescent="0.25">
      <c r="A1107" s="5">
        <v>43486</v>
      </c>
      <c r="B1107">
        <v>2.5070999999999999</v>
      </c>
      <c r="C1107">
        <v>2.58</v>
      </c>
      <c r="D1107">
        <v>2.4544999999999999</v>
      </c>
      <c r="E1107">
        <v>2.5001000000000002</v>
      </c>
      <c r="F1107">
        <v>66461.350000000006</v>
      </c>
      <c r="G1107">
        <v>0</v>
      </c>
      <c r="L1107" t="s">
        <v>7</v>
      </c>
      <c r="M1107" t="s">
        <v>8</v>
      </c>
      <c r="N1107" t="s">
        <v>8</v>
      </c>
      <c r="P1107">
        <f t="shared" si="1029"/>
        <v>-0.27330677290836258</v>
      </c>
      <c r="Q1107">
        <f t="shared" si="1030"/>
        <v>-18164.337091633206</v>
      </c>
      <c r="R1107">
        <f t="shared" si="1031"/>
        <v>6262.9701576925072</v>
      </c>
      <c r="S1107">
        <f t="shared" si="1032"/>
        <v>6.2629701576925073E-2</v>
      </c>
      <c r="T1107">
        <f t="shared" si="1033"/>
        <v>6.2629701576925068E-5</v>
      </c>
    </row>
    <row r="1108" spans="1:20" x14ac:dyDescent="0.25">
      <c r="A1108" s="5">
        <v>43485</v>
      </c>
      <c r="B1108">
        <v>2.5539000000000001</v>
      </c>
      <c r="C1108">
        <v>2.6084999999999998</v>
      </c>
      <c r="D1108">
        <v>2.42</v>
      </c>
      <c r="E1108">
        <v>2.5070999999999999</v>
      </c>
      <c r="F1108">
        <v>85585.78</v>
      </c>
      <c r="G1108">
        <v>0</v>
      </c>
      <c r="L1108" t="s">
        <v>7</v>
      </c>
      <c r="M1108" t="s">
        <v>8</v>
      </c>
      <c r="N1108" t="s">
        <v>8</v>
      </c>
      <c r="P1108">
        <f t="shared" si="1029"/>
        <v>-7.5862068965517171E-2</v>
      </c>
      <c r="Q1108">
        <f t="shared" si="1030"/>
        <v>-6492.7143448275801</v>
      </c>
      <c r="R1108">
        <f t="shared" si="1031"/>
        <v>24427.307249325713</v>
      </c>
      <c r="S1108">
        <f t="shared" si="1032"/>
        <v>0.24427307249325714</v>
      </c>
      <c r="T1108">
        <f t="shared" si="1033"/>
        <v>2.4427307249325715E-4</v>
      </c>
    </row>
    <row r="1109" spans="1:20" x14ac:dyDescent="0.25">
      <c r="A1109" s="5">
        <v>43484</v>
      </c>
      <c r="B1109">
        <v>2.5299999999999998</v>
      </c>
      <c r="C1109">
        <v>2.64</v>
      </c>
      <c r="D1109">
        <v>2.5041000000000002</v>
      </c>
      <c r="E1109">
        <v>2.5718000000000001</v>
      </c>
      <c r="F1109">
        <v>99970.3</v>
      </c>
      <c r="G1109">
        <v>0</v>
      </c>
      <c r="L1109" t="s">
        <v>8</v>
      </c>
      <c r="M1109" t="s">
        <v>8</v>
      </c>
      <c r="N1109" t="s">
        <v>8</v>
      </c>
      <c r="P1109">
        <f t="shared" si="1029"/>
        <v>-3.6791758646075594E-3</v>
      </c>
      <c r="Q1109">
        <f t="shared" si="1030"/>
        <v>-367.80831493757711</v>
      </c>
      <c r="R1109">
        <f t="shared" si="1031"/>
        <v>30920.021594153292</v>
      </c>
      <c r="S1109">
        <f t="shared" si="1032"/>
        <v>0.30920021594153291</v>
      </c>
      <c r="T1109">
        <f t="shared" si="1033"/>
        <v>3.0920021594153292E-4</v>
      </c>
    </row>
    <row r="1110" spans="1:20" x14ac:dyDescent="0.25">
      <c r="A1110" s="5">
        <v>43483</v>
      </c>
      <c r="B1110">
        <v>2.77</v>
      </c>
      <c r="C1110">
        <v>2.77</v>
      </c>
      <c r="D1110">
        <v>2</v>
      </c>
      <c r="E1110">
        <v>2.5234999999999999</v>
      </c>
      <c r="F1110">
        <v>86973.39</v>
      </c>
      <c r="G1110">
        <v>0</v>
      </c>
      <c r="P1110">
        <f t="shared" si="1029"/>
        <v>0.3597402597402593</v>
      </c>
      <c r="Q1110">
        <f t="shared" si="1030"/>
        <v>31287.829909090869</v>
      </c>
      <c r="R1110">
        <f t="shared" si="1031"/>
        <v>31287.829909090869</v>
      </c>
      <c r="S1110">
        <f t="shared" si="1032"/>
        <v>0.3128782990909087</v>
      </c>
      <c r="T1110">
        <f t="shared" si="1033"/>
        <v>3.1287829909090872E-4</v>
      </c>
    </row>
    <row r="1111" spans="1:20" x14ac:dyDescent="0.25">
      <c r="A1111" s="5"/>
      <c r="C1111"/>
      <c r="D1111"/>
    </row>
    <row r="1112" spans="1:20" x14ac:dyDescent="0.25">
      <c r="A1112" s="5"/>
      <c r="C1112"/>
      <c r="D1112"/>
    </row>
    <row r="1113" spans="1:20" x14ac:dyDescent="0.25">
      <c r="A1113" s="5"/>
      <c r="C1113"/>
      <c r="D1113"/>
    </row>
    <row r="1114" spans="1:20" x14ac:dyDescent="0.25">
      <c r="A1114" s="5"/>
      <c r="C1114"/>
      <c r="D1114"/>
    </row>
    <row r="1115" spans="1:20" x14ac:dyDescent="0.25">
      <c r="A1115" s="5"/>
      <c r="C1115"/>
      <c r="D1115"/>
    </row>
    <row r="1116" spans="1:20" x14ac:dyDescent="0.25">
      <c r="A1116" s="5"/>
      <c r="C1116"/>
      <c r="D1116"/>
    </row>
    <row r="1117" spans="1:20" x14ac:dyDescent="0.25">
      <c r="A1117" s="5"/>
      <c r="C1117"/>
      <c r="D1117"/>
    </row>
    <row r="1118" spans="1:20" x14ac:dyDescent="0.25">
      <c r="A1118" s="5"/>
      <c r="C1118"/>
      <c r="D1118"/>
    </row>
    <row r="1119" spans="1:20" x14ac:dyDescent="0.25">
      <c r="A1119" s="5"/>
      <c r="C1119"/>
      <c r="D1119"/>
    </row>
    <row r="1120" spans="1:20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SD472" sqref="SD47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$A$471</v>
      </c>
      <c r="D111" s="1" t="str">
        <f>ADDRESS(C121-1,D121,1,1)</f>
        <v>$SD$471</v>
      </c>
      <c r="E111"/>
    </row>
    <row r="112" spans="1:5" x14ac:dyDescent="0.25">
      <c r="A112" s="7">
        <v>12164.144957890772</v>
      </c>
      <c r="C112" s="1" t="str">
        <f>ADDRESS(C121,1,1,1)</f>
        <v>$A$472</v>
      </c>
      <c r="D112" s="1" t="str">
        <f>ADDRESS(C121,D121-1,1,1)</f>
        <v>$SC$472</v>
      </c>
      <c r="E112"/>
    </row>
    <row r="113" spans="1:5" x14ac:dyDescent="0.25">
      <c r="A113" s="7">
        <v>11925.63231165762</v>
      </c>
      <c r="C113" s="1" t="str">
        <f>ADDRESS(C121+1,1,1,1)</f>
        <v>$A$473</v>
      </c>
      <c r="D113" s="1" t="str">
        <f>ADDRESS(C121-1,D121+1,1,1)</f>
        <v>$SE$471</v>
      </c>
    </row>
    <row r="114" spans="1:5" x14ac:dyDescent="0.25">
      <c r="A114" s="7">
        <v>11691.796383978059</v>
      </c>
      <c r="C114" s="1" t="str">
        <f>ADDRESS(C121,D121,1,1)</f>
        <v>$SD$472</v>
      </c>
      <c r="D114" s="1" t="str">
        <f>ADDRESS(C121+1,D121+1,1,1)</f>
        <v>$SE$473</v>
      </c>
    </row>
    <row r="115" spans="1:5" x14ac:dyDescent="0.25">
      <c r="A115" s="7">
        <v>11462.545474488292</v>
      </c>
      <c r="C115" s="1" t="str">
        <f>ADDRESS(C121+1,D121,1,1)</f>
        <v>$SD$473</v>
      </c>
    </row>
    <row r="116" spans="1:5" x14ac:dyDescent="0.25">
      <c r="A116" s="7">
        <v>11237.789680870874</v>
      </c>
      <c r="C116" s="1">
        <f>C117-1</f>
        <v>471</v>
      </c>
    </row>
    <row r="117" spans="1:5" x14ac:dyDescent="0.25">
      <c r="A117" s="7">
        <v>11017.440863598895</v>
      </c>
      <c r="C117" s="1">
        <f>C121</f>
        <v>472</v>
      </c>
      <c r="D117" s="1">
        <f>D121</f>
        <v>498</v>
      </c>
    </row>
    <row r="118" spans="1:5" x14ac:dyDescent="0.25">
      <c r="A118" s="7">
        <v>10801.412611371465</v>
      </c>
      <c r="C118" s="1">
        <f>C117+1</f>
        <v>473</v>
      </c>
      <c r="D118" s="1">
        <f>D117+1</f>
        <v>499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472</v>
      </c>
      <c r="D121" s="19">
        <v>498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R472</v>
      </c>
      <c r="D123" s="1" t="str">
        <f>"C"&amp;D121</f>
        <v>C498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9.7503398329186464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376" x14ac:dyDescent="0.25">
      <c r="A385" s="7">
        <v>54.605287232808607</v>
      </c>
      <c r="B385"/>
      <c r="C385"/>
      <c r="D385"/>
      <c r="E385"/>
    </row>
    <row r="386" spans="1:376" x14ac:dyDescent="0.25">
      <c r="A386" s="7">
        <v>53.534595326282947</v>
      </c>
      <c r="B386"/>
      <c r="C386"/>
      <c r="D386"/>
      <c r="E386"/>
    </row>
    <row r="387" spans="1:376" x14ac:dyDescent="0.25">
      <c r="A387" s="7">
        <v>52.484897378708773</v>
      </c>
      <c r="B387"/>
      <c r="C387"/>
      <c r="D387"/>
      <c r="E387"/>
    </row>
    <row r="388" spans="1:376" x14ac:dyDescent="0.25">
      <c r="A388" s="7">
        <v>51.455781743832127</v>
      </c>
      <c r="B388"/>
      <c r="C388"/>
      <c r="D388"/>
      <c r="E388"/>
    </row>
    <row r="389" spans="1:376" x14ac:dyDescent="0.25">
      <c r="A389" s="7">
        <v>50.446844846894244</v>
      </c>
      <c r="B389"/>
      <c r="C389"/>
      <c r="D389"/>
      <c r="E389"/>
    </row>
    <row r="390" spans="1:376" x14ac:dyDescent="0.25">
      <c r="A390" s="7">
        <v>49.457691026366902</v>
      </c>
      <c r="B390"/>
      <c r="C390"/>
      <c r="D390"/>
      <c r="E390"/>
    </row>
    <row r="391" spans="1:376" x14ac:dyDescent="0.25">
      <c r="A391" s="7">
        <v>48.487932378791079</v>
      </c>
      <c r="B391"/>
      <c r="C391"/>
      <c r="D391"/>
      <c r="E391"/>
    </row>
    <row r="392" spans="1:376" x14ac:dyDescent="0.25">
      <c r="A392" s="7">
        <v>47.537188606657921</v>
      </c>
      <c r="B392"/>
      <c r="C392"/>
      <c r="D392"/>
      <c r="E392"/>
    </row>
    <row r="393" spans="1:376" x14ac:dyDescent="0.25">
      <c r="A393" s="7">
        <v>46.605086869272469</v>
      </c>
      <c r="B393"/>
      <c r="C393"/>
      <c r="D393"/>
      <c r="E393"/>
    </row>
    <row r="394" spans="1:376" x14ac:dyDescent="0.25">
      <c r="A394" s="7">
        <v>45.691261636541633</v>
      </c>
      <c r="B394"/>
      <c r="C394"/>
      <c r="D394"/>
      <c r="E394"/>
    </row>
    <row r="395" spans="1:376" x14ac:dyDescent="0.25">
      <c r="A395" s="7">
        <v>44.795354545629053</v>
      </c>
      <c r="B395"/>
      <c r="C395"/>
      <c r="D395"/>
      <c r="E395"/>
    </row>
    <row r="396" spans="1:376" x14ac:dyDescent="0.25">
      <c r="A396" s="7">
        <v>43.917014260420636</v>
      </c>
      <c r="B396"/>
      <c r="C396"/>
      <c r="D396"/>
      <c r="E396"/>
    </row>
    <row r="397" spans="1:376" x14ac:dyDescent="0.25">
      <c r="A397" s="7">
        <v>43.055896333745721</v>
      </c>
      <c r="B397"/>
      <c r="C397"/>
      <c r="D397"/>
      <c r="E397"/>
    </row>
    <row r="398" spans="1:376" x14ac:dyDescent="0.25">
      <c r="A398" s="7">
        <v>42.211663072299729</v>
      </c>
      <c r="B398"/>
      <c r="C398"/>
      <c r="D398"/>
      <c r="E398"/>
    </row>
    <row r="399" spans="1:376" x14ac:dyDescent="0.25">
      <c r="A399" s="7">
        <v>41.383983404215421</v>
      </c>
      <c r="B399"/>
      <c r="C399"/>
      <c r="D399"/>
      <c r="E399"/>
      <c r="NK399" s="27" t="s">
        <v>8</v>
      </c>
    </row>
    <row r="400" spans="1:376" x14ac:dyDescent="0.25">
      <c r="A400" s="7">
        <v>40.572532749230803</v>
      </c>
      <c r="B400"/>
      <c r="C400"/>
      <c r="D400"/>
      <c r="E400"/>
      <c r="NK400" s="27" t="s">
        <v>8</v>
      </c>
      <c r="NL400" s="27" t="s">
        <v>7</v>
      </c>
    </row>
    <row r="401" spans="1:466" x14ac:dyDescent="0.25">
      <c r="A401" s="7">
        <v>39.776992891402749</v>
      </c>
      <c r="B401"/>
      <c r="C401"/>
      <c r="D401"/>
      <c r="E401"/>
      <c r="NK401" s="27" t="s">
        <v>8</v>
      </c>
      <c r="NL401" s="27" t="s">
        <v>7</v>
      </c>
    </row>
    <row r="402" spans="1:466" x14ac:dyDescent="0.25">
      <c r="A402" s="7">
        <v>38.997051854316418</v>
      </c>
      <c r="B402"/>
      <c r="C402"/>
      <c r="D402"/>
      <c r="E402"/>
      <c r="NK402" s="27" t="s">
        <v>8</v>
      </c>
      <c r="NL402" s="27" t="s">
        <v>7</v>
      </c>
    </row>
    <row r="403" spans="1:466" x14ac:dyDescent="0.25">
      <c r="A403" s="7">
        <v>38.232403778741585</v>
      </c>
      <c r="B403"/>
      <c r="C403"/>
      <c r="D403"/>
      <c r="E403"/>
      <c r="NK403" s="27" t="s">
        <v>8</v>
      </c>
      <c r="NL403" s="27" t="s">
        <v>7</v>
      </c>
      <c r="NO403" s="27" t="s">
        <v>8</v>
      </c>
    </row>
    <row r="404" spans="1:466" x14ac:dyDescent="0.25">
      <c r="A404" s="7">
        <v>37.48274880268783</v>
      </c>
      <c r="B404"/>
      <c r="C404"/>
      <c r="D404"/>
      <c r="E404"/>
      <c r="NK404" s="27" t="s">
        <v>8</v>
      </c>
      <c r="NL404" s="27" t="s">
        <v>7</v>
      </c>
      <c r="NO404" s="27" t="s">
        <v>8</v>
      </c>
      <c r="NP404" s="27" t="s">
        <v>7</v>
      </c>
    </row>
    <row r="405" spans="1:466" x14ac:dyDescent="0.25">
      <c r="A405" s="7">
        <v>36.747792943811596</v>
      </c>
      <c r="B405"/>
      <c r="C405"/>
      <c r="D405"/>
      <c r="E405"/>
      <c r="NK405" s="27" t="s">
        <v>8</v>
      </c>
      <c r="NL405" s="27" t="s">
        <v>7</v>
      </c>
      <c r="NO405" s="27" t="s">
        <v>8</v>
      </c>
      <c r="NP405" s="27" t="s">
        <v>7</v>
      </c>
    </row>
    <row r="406" spans="1:466" x14ac:dyDescent="0.25">
      <c r="A406" s="7">
        <v>36.027247984129012</v>
      </c>
      <c r="B406"/>
      <c r="C406"/>
      <c r="D406"/>
      <c r="E406"/>
      <c r="NK406" s="27" t="s">
        <v>8</v>
      </c>
      <c r="NL406" s="27" t="s">
        <v>7</v>
      </c>
      <c r="NO406" s="27" t="s">
        <v>8</v>
      </c>
      <c r="NP406" s="27" t="s">
        <v>7</v>
      </c>
    </row>
    <row r="407" spans="1:466" x14ac:dyDescent="0.25">
      <c r="A407" s="7">
        <v>35.320831356989224</v>
      </c>
      <c r="B407"/>
      <c r="C407"/>
      <c r="D407"/>
      <c r="E407"/>
      <c r="NK407" s="27" t="s">
        <v>8</v>
      </c>
      <c r="NL407" s="27" t="s">
        <v>7</v>
      </c>
      <c r="NM407" s="27" t="s">
        <v>8</v>
      </c>
      <c r="NO407" s="27" t="s">
        <v>8</v>
      </c>
      <c r="NP407" s="27" t="s">
        <v>7</v>
      </c>
      <c r="NQ407" s="27" t="s">
        <v>8</v>
      </c>
    </row>
    <row r="408" spans="1:466" x14ac:dyDescent="0.25">
      <c r="A408" s="7">
        <v>34.628266036263945</v>
      </c>
      <c r="B408"/>
      <c r="C408"/>
      <c r="D408"/>
      <c r="E408"/>
      <c r="NK408" s="27" t="s">
        <v>8</v>
      </c>
      <c r="NL408" s="27" t="s">
        <v>7</v>
      </c>
      <c r="NM408" s="27" t="s">
        <v>8</v>
      </c>
      <c r="NN408" s="27" t="s">
        <v>7</v>
      </c>
      <c r="NO408" s="27" t="s">
        <v>8</v>
      </c>
      <c r="NP408" s="27" t="s">
        <v>7</v>
      </c>
      <c r="NQ408" s="27" t="s">
        <v>8</v>
      </c>
      <c r="NR408" s="27" t="s">
        <v>7</v>
      </c>
      <c r="QC408" s="27" t="s">
        <v>8</v>
      </c>
      <c r="QQ408" s="27" t="s">
        <v>8</v>
      </c>
    </row>
    <row r="409" spans="1:466" x14ac:dyDescent="0.25">
      <c r="A409" s="7">
        <v>33.949280427709752</v>
      </c>
      <c r="B409"/>
      <c r="C409"/>
      <c r="D409"/>
      <c r="E409"/>
      <c r="NK409" s="27" t="s">
        <v>8</v>
      </c>
      <c r="NL409" s="27" t="s">
        <v>7</v>
      </c>
      <c r="NM409" s="27" t="s">
        <v>8</v>
      </c>
      <c r="NN409" s="27" t="s">
        <v>7</v>
      </c>
      <c r="NO409" s="27" t="s">
        <v>8</v>
      </c>
      <c r="NP409" s="27" t="s">
        <v>7</v>
      </c>
      <c r="NQ409" s="27" t="s">
        <v>8</v>
      </c>
      <c r="NR409" s="27" t="s">
        <v>7</v>
      </c>
      <c r="QC409" s="27" t="s">
        <v>8</v>
      </c>
      <c r="QD409" s="27" t="s">
        <v>7</v>
      </c>
      <c r="QQ409" s="27" t="s">
        <v>8</v>
      </c>
      <c r="QR409" s="27" t="s">
        <v>7</v>
      </c>
    </row>
    <row r="410" spans="1:466" x14ac:dyDescent="0.25">
      <c r="A410" s="7">
        <v>33.28360826246054</v>
      </c>
      <c r="B410"/>
      <c r="C410"/>
      <c r="D410"/>
      <c r="E410"/>
      <c r="NK410" s="27" t="s">
        <v>8</v>
      </c>
      <c r="NL410" s="27" t="s">
        <v>7</v>
      </c>
      <c r="NM410" s="27" t="s">
        <v>8</v>
      </c>
      <c r="NN410" s="27" t="s">
        <v>7</v>
      </c>
      <c r="NO410" s="27" t="s">
        <v>8</v>
      </c>
      <c r="NP410" s="27" t="s">
        <v>7</v>
      </c>
      <c r="NQ410" s="27" t="s">
        <v>8</v>
      </c>
      <c r="NR410" s="27" t="s">
        <v>7</v>
      </c>
      <c r="QC410" s="27" t="s">
        <v>8</v>
      </c>
      <c r="QD410" s="27" t="s">
        <v>7</v>
      </c>
      <c r="QE410" s="27" t="s">
        <v>8</v>
      </c>
      <c r="QG410" s="27" t="s">
        <v>8</v>
      </c>
      <c r="QQ410" s="27" t="s">
        <v>8</v>
      </c>
      <c r="QR410" s="27" t="s">
        <v>7</v>
      </c>
    </row>
    <row r="411" spans="1:466" x14ac:dyDescent="0.25">
      <c r="A411" s="7">
        <v>32.630988492608374</v>
      </c>
      <c r="B411"/>
      <c r="C411"/>
      <c r="D411"/>
      <c r="E411"/>
      <c r="NK411" s="27" t="s">
        <v>8</v>
      </c>
      <c r="NL411" s="27" t="s">
        <v>7</v>
      </c>
      <c r="NM411" s="27" t="s">
        <v>8</v>
      </c>
      <c r="NN411" s="27" t="s">
        <v>7</v>
      </c>
      <c r="NO411" s="27" t="s">
        <v>8</v>
      </c>
      <c r="NP411" s="27" t="s">
        <v>7</v>
      </c>
      <c r="NQ411" s="27" t="s">
        <v>8</v>
      </c>
      <c r="NR411" s="27" t="s">
        <v>7</v>
      </c>
      <c r="QC411" s="27" t="s">
        <v>8</v>
      </c>
      <c r="QD411" s="27" t="s">
        <v>7</v>
      </c>
      <c r="QE411" s="27" t="s">
        <v>8</v>
      </c>
      <c r="QF411" s="27" t="s">
        <v>7</v>
      </c>
      <c r="QG411" s="27" t="s">
        <v>8</v>
      </c>
      <c r="QH411" s="27" t="s">
        <v>7</v>
      </c>
      <c r="QQ411" s="27" t="s">
        <v>8</v>
      </c>
      <c r="QR411" s="27" t="s">
        <v>7</v>
      </c>
    </row>
    <row r="412" spans="1:466" x14ac:dyDescent="0.25">
      <c r="A412" s="7">
        <v>31.99116518883174</v>
      </c>
      <c r="B412"/>
      <c r="C412"/>
      <c r="D412"/>
      <c r="E412"/>
      <c r="NK412" s="27" t="s">
        <v>8</v>
      </c>
      <c r="NL412" s="27" t="s">
        <v>7</v>
      </c>
      <c r="NN412" s="27" t="s">
        <v>7</v>
      </c>
      <c r="NO412" s="27" t="s">
        <v>8</v>
      </c>
      <c r="NP412" s="27" t="s">
        <v>7</v>
      </c>
      <c r="NQ412" s="27" t="s">
        <v>8</v>
      </c>
      <c r="NR412" s="27" t="s">
        <v>7</v>
      </c>
      <c r="QC412" s="27" t="s">
        <v>8</v>
      </c>
      <c r="QD412" s="27" t="s">
        <v>7</v>
      </c>
      <c r="QE412" s="27" t="s">
        <v>8</v>
      </c>
      <c r="QF412" s="27" t="s">
        <v>7</v>
      </c>
      <c r="QG412" s="27" t="s">
        <v>8</v>
      </c>
      <c r="QH412" s="27" t="s">
        <v>7</v>
      </c>
      <c r="QQ412" s="27" t="s">
        <v>8</v>
      </c>
      <c r="QR412" s="27" t="s">
        <v>7</v>
      </c>
      <c r="QW412" s="27" t="s">
        <v>8</v>
      </c>
    </row>
    <row r="413" spans="1:466" x14ac:dyDescent="0.25">
      <c r="A413" s="7">
        <v>31.363887440031117</v>
      </c>
      <c r="B413"/>
      <c r="C413"/>
      <c r="D413"/>
      <c r="E413"/>
      <c r="NK413" s="27" t="s">
        <v>8</v>
      </c>
      <c r="NN413" s="27" t="s">
        <v>7</v>
      </c>
      <c r="NO413" s="27" t="s">
        <v>8</v>
      </c>
      <c r="NP413" s="27" t="s">
        <v>7</v>
      </c>
      <c r="NQ413" s="27" t="s">
        <v>8</v>
      </c>
      <c r="NR413" s="27" t="s">
        <v>7</v>
      </c>
      <c r="QA413" s="27" t="s">
        <v>8</v>
      </c>
      <c r="QC413" s="27" t="s">
        <v>8</v>
      </c>
      <c r="QD413" s="27" t="s">
        <v>7</v>
      </c>
      <c r="QE413" s="27" t="s">
        <v>8</v>
      </c>
      <c r="QF413" s="27" t="s">
        <v>7</v>
      </c>
      <c r="QG413" s="27" t="s">
        <v>8</v>
      </c>
      <c r="QH413" s="27" t="s">
        <v>7</v>
      </c>
      <c r="QQ413" s="27" t="s">
        <v>8</v>
      </c>
      <c r="QR413" s="27" t="s">
        <v>7</v>
      </c>
      <c r="QW413" s="27" t="s">
        <v>8</v>
      </c>
      <c r="QX413" s="27" t="s">
        <v>7</v>
      </c>
    </row>
    <row r="414" spans="1:466" x14ac:dyDescent="0.25">
      <c r="A414" s="7">
        <v>30.748909254932467</v>
      </c>
      <c r="B414"/>
      <c r="C414"/>
      <c r="D414"/>
      <c r="E414"/>
      <c r="NK414" s="27" t="s">
        <v>8</v>
      </c>
      <c r="NN414" s="27" t="s">
        <v>7</v>
      </c>
      <c r="NO414" s="27" t="s">
        <v>8</v>
      </c>
      <c r="NP414" s="27" t="s">
        <v>7</v>
      </c>
      <c r="NQ414" s="27" t="s">
        <v>8</v>
      </c>
      <c r="NR414" s="27" t="s">
        <v>7</v>
      </c>
      <c r="PY414" s="27" t="s">
        <v>8</v>
      </c>
      <c r="QA414" s="27" t="s">
        <v>8</v>
      </c>
      <c r="QB414" s="27" t="s">
        <v>7</v>
      </c>
      <c r="QC414" s="27" t="s">
        <v>8</v>
      </c>
      <c r="QD414" s="27" t="s">
        <v>7</v>
      </c>
      <c r="QE414" s="27" t="s">
        <v>8</v>
      </c>
      <c r="QF414" s="27" t="s">
        <v>7</v>
      </c>
      <c r="QG414" s="27" t="s">
        <v>8</v>
      </c>
      <c r="QH414" s="27" t="s">
        <v>7</v>
      </c>
      <c r="QQ414" s="27" t="s">
        <v>8</v>
      </c>
      <c r="QR414" s="27" t="s">
        <v>7</v>
      </c>
      <c r="QS414" s="27" t="s">
        <v>8</v>
      </c>
      <c r="QW414" s="27" t="s">
        <v>8</v>
      </c>
      <c r="QX414" s="27" t="s">
        <v>7</v>
      </c>
    </row>
    <row r="415" spans="1:466" x14ac:dyDescent="0.25">
      <c r="A415" s="7">
        <v>30.145989465620065</v>
      </c>
      <c r="B415"/>
      <c r="C415"/>
      <c r="D415"/>
      <c r="E415"/>
      <c r="NK415" s="27" t="s">
        <v>8</v>
      </c>
      <c r="NN415" s="27" t="s">
        <v>7</v>
      </c>
      <c r="NO415" s="27" t="s">
        <v>8</v>
      </c>
      <c r="NP415" s="27" t="s">
        <v>7</v>
      </c>
      <c r="NQ415" s="27" t="s">
        <v>8</v>
      </c>
      <c r="NR415" s="27" t="s">
        <v>7</v>
      </c>
      <c r="PY415" s="27" t="s">
        <v>8</v>
      </c>
      <c r="PZ415" s="27" t="s">
        <v>7</v>
      </c>
      <c r="QA415" s="27" t="s">
        <v>8</v>
      </c>
      <c r="QB415" s="27" t="s">
        <v>7</v>
      </c>
      <c r="QC415" s="27" t="s">
        <v>8</v>
      </c>
      <c r="QD415" s="27" t="s">
        <v>7</v>
      </c>
      <c r="QE415" s="27" t="s">
        <v>8</v>
      </c>
      <c r="QF415" s="27" t="s">
        <v>7</v>
      </c>
      <c r="QG415" s="27" t="s">
        <v>8</v>
      </c>
      <c r="QH415" s="27" t="s">
        <v>7</v>
      </c>
      <c r="QQ415" s="27" t="s">
        <v>8</v>
      </c>
      <c r="QR415" s="27" t="s">
        <v>7</v>
      </c>
      <c r="QS415" s="27" t="s">
        <v>8</v>
      </c>
      <c r="QT415" s="27" t="s">
        <v>7</v>
      </c>
      <c r="QU415" s="27" t="s">
        <v>8</v>
      </c>
      <c r="QW415" s="27" t="s">
        <v>8</v>
      </c>
      <c r="QX415" s="27" t="s">
        <v>7</v>
      </c>
    </row>
    <row r="416" spans="1:466" x14ac:dyDescent="0.25">
      <c r="A416" s="7">
        <v>29.55489163296085</v>
      </c>
      <c r="B416"/>
      <c r="C416"/>
      <c r="D416"/>
      <c r="E416"/>
      <c r="NK416" s="27" t="s">
        <v>8</v>
      </c>
      <c r="NN416" s="27" t="s">
        <v>7</v>
      </c>
      <c r="NO416" s="27" t="s">
        <v>8</v>
      </c>
      <c r="NP416" s="27" t="s">
        <v>7</v>
      </c>
      <c r="NR416" s="27" t="s">
        <v>7</v>
      </c>
      <c r="PY416" s="27" t="s">
        <v>8</v>
      </c>
      <c r="PZ416" s="27" t="s">
        <v>7</v>
      </c>
      <c r="QA416" s="27" t="s">
        <v>8</v>
      </c>
      <c r="QB416" s="27" t="s">
        <v>7</v>
      </c>
      <c r="QC416" s="27" t="s">
        <v>8</v>
      </c>
      <c r="QD416" s="27" t="s">
        <v>7</v>
      </c>
      <c r="QE416" s="27" t="s">
        <v>8</v>
      </c>
      <c r="QF416" s="27" t="s">
        <v>7</v>
      </c>
      <c r="QG416" s="27" t="s">
        <v>8</v>
      </c>
      <c r="QH416" s="27" t="s">
        <v>7</v>
      </c>
      <c r="QQ416" s="27" t="s">
        <v>8</v>
      </c>
      <c r="QR416" s="27" t="s">
        <v>7</v>
      </c>
      <c r="QS416" s="27" t="s">
        <v>8</v>
      </c>
      <c r="QT416" s="27" t="s">
        <v>7</v>
      </c>
      <c r="QU416" s="27" t="s">
        <v>8</v>
      </c>
      <c r="QV416" s="27" t="s">
        <v>7</v>
      </c>
      <c r="QW416" s="27" t="s">
        <v>8</v>
      </c>
      <c r="QX416" s="27" t="s">
        <v>7</v>
      </c>
    </row>
    <row r="417" spans="1:477" x14ac:dyDescent="0.25">
      <c r="A417" s="7">
        <v>28.975383953883185</v>
      </c>
      <c r="B417"/>
      <c r="C417"/>
      <c r="D417"/>
      <c r="E417"/>
      <c r="NK417" s="27" t="s">
        <v>8</v>
      </c>
      <c r="NN417" s="27" t="s">
        <v>7</v>
      </c>
      <c r="NO417" s="27" t="s">
        <v>8</v>
      </c>
      <c r="NR417" s="27" t="s">
        <v>7</v>
      </c>
      <c r="NS417" s="27" t="s">
        <v>8</v>
      </c>
      <c r="PW417" s="27" t="s">
        <v>8</v>
      </c>
      <c r="PY417" s="27" t="s">
        <v>8</v>
      </c>
      <c r="PZ417" s="27" t="s">
        <v>7</v>
      </c>
      <c r="QA417" s="27" t="s">
        <v>8</v>
      </c>
      <c r="QB417" s="27" t="s">
        <v>7</v>
      </c>
      <c r="QC417" s="27" t="s">
        <v>8</v>
      </c>
      <c r="QD417" s="27" t="s">
        <v>7</v>
      </c>
      <c r="QE417" s="27" t="s">
        <v>8</v>
      </c>
      <c r="QF417" s="27" t="s">
        <v>7</v>
      </c>
      <c r="QG417" s="27" t="s">
        <v>8</v>
      </c>
      <c r="QH417" s="27" t="s">
        <v>7</v>
      </c>
      <c r="QO417" s="27" t="s">
        <v>8</v>
      </c>
      <c r="QQ417" s="27" t="s">
        <v>8</v>
      </c>
      <c r="QR417" s="27" t="s">
        <v>7</v>
      </c>
      <c r="QS417" s="27" t="s">
        <v>8</v>
      </c>
      <c r="QT417" s="27" t="s">
        <v>7</v>
      </c>
      <c r="QU417" s="27" t="s">
        <v>8</v>
      </c>
      <c r="QV417" s="27" t="s">
        <v>7</v>
      </c>
      <c r="QW417" s="27" t="s">
        <v>8</v>
      </c>
      <c r="QX417" s="27" t="s">
        <v>7</v>
      </c>
    </row>
    <row r="418" spans="1:477" x14ac:dyDescent="0.25">
      <c r="A418" s="7">
        <v>28.407239170473709</v>
      </c>
      <c r="B418"/>
      <c r="C418"/>
      <c r="D418"/>
      <c r="E418"/>
      <c r="NK418" s="27" t="s">
        <v>8</v>
      </c>
      <c r="NN418" s="27" t="s">
        <v>7</v>
      </c>
      <c r="NO418" s="27" t="s">
        <v>8</v>
      </c>
      <c r="NR418" s="27" t="s">
        <v>7</v>
      </c>
      <c r="NS418" s="27" t="s">
        <v>8</v>
      </c>
      <c r="NT418" s="27" t="s">
        <v>7</v>
      </c>
      <c r="PW418" s="27" t="s">
        <v>8</v>
      </c>
      <c r="PX418" s="27" t="s">
        <v>7</v>
      </c>
      <c r="PY418" s="27" t="s">
        <v>8</v>
      </c>
      <c r="PZ418" s="27" t="s">
        <v>7</v>
      </c>
      <c r="QB418" s="27" t="s">
        <v>7</v>
      </c>
      <c r="QC418" s="27" t="s">
        <v>8</v>
      </c>
      <c r="QD418" s="27" t="s">
        <v>7</v>
      </c>
      <c r="QF418" s="27" t="s">
        <v>7</v>
      </c>
      <c r="QH418" s="27" t="s">
        <v>7</v>
      </c>
      <c r="QM418" s="27" t="s">
        <v>8</v>
      </c>
      <c r="QO418" s="27" t="s">
        <v>8</v>
      </c>
      <c r="QP418" s="27" t="s">
        <v>7</v>
      </c>
      <c r="QQ418" s="27" t="s">
        <v>8</v>
      </c>
      <c r="QR418" s="27" t="s">
        <v>7</v>
      </c>
      <c r="QS418" s="27" t="s">
        <v>8</v>
      </c>
      <c r="QT418" s="27" t="s">
        <v>7</v>
      </c>
      <c r="QU418" s="27" t="s">
        <v>8</v>
      </c>
      <c r="QV418" s="27" t="s">
        <v>7</v>
      </c>
      <c r="QW418" s="27" t="s">
        <v>8</v>
      </c>
      <c r="QX418" s="27" t="s">
        <v>7</v>
      </c>
    </row>
    <row r="419" spans="1:477" x14ac:dyDescent="0.25">
      <c r="A419" s="7">
        <v>27.850234480856578</v>
      </c>
      <c r="B419"/>
      <c r="C419"/>
      <c r="D419"/>
      <c r="E419"/>
      <c r="NK419" s="27" t="s">
        <v>8</v>
      </c>
      <c r="NN419" s="27" t="s">
        <v>7</v>
      </c>
      <c r="NO419" s="27" t="s">
        <v>8</v>
      </c>
      <c r="NR419" s="27" t="s">
        <v>7</v>
      </c>
      <c r="NS419" s="27" t="s">
        <v>8</v>
      </c>
      <c r="NT419" s="27" t="s">
        <v>7</v>
      </c>
      <c r="NU419" s="27" t="s">
        <v>8</v>
      </c>
      <c r="PW419" s="27" t="s">
        <v>8</v>
      </c>
      <c r="PX419" s="27" t="s">
        <v>7</v>
      </c>
      <c r="PY419" s="27" t="s">
        <v>8</v>
      </c>
      <c r="QB419" s="27" t="s">
        <v>7</v>
      </c>
      <c r="QC419" s="27" t="s">
        <v>8</v>
      </c>
      <c r="QH419" s="27" t="s">
        <v>7</v>
      </c>
      <c r="QM419" s="27" t="s">
        <v>8</v>
      </c>
      <c r="QN419" s="27" t="s">
        <v>7</v>
      </c>
      <c r="QO419" s="27" t="s">
        <v>8</v>
      </c>
      <c r="QP419" s="27" t="s">
        <v>7</v>
      </c>
      <c r="QQ419" s="27" t="s">
        <v>8</v>
      </c>
      <c r="QR419" s="27" t="s">
        <v>7</v>
      </c>
      <c r="QT419" s="27" t="s">
        <v>7</v>
      </c>
      <c r="QV419" s="27" t="s">
        <v>7</v>
      </c>
      <c r="QW419" s="27" t="s">
        <v>8</v>
      </c>
      <c r="QX419" s="27" t="s">
        <v>7</v>
      </c>
    </row>
    <row r="420" spans="1:477" x14ac:dyDescent="0.25">
      <c r="A420" s="7">
        <v>27.304151451820175</v>
      </c>
      <c r="B420"/>
      <c r="C420"/>
      <c r="D420"/>
      <c r="E420"/>
      <c r="NK420" s="27" t="s">
        <v>8</v>
      </c>
      <c r="NN420" s="27" t="s">
        <v>7</v>
      </c>
      <c r="NR420" s="27" t="s">
        <v>7</v>
      </c>
      <c r="NS420" s="27" t="s">
        <v>8</v>
      </c>
      <c r="NT420" s="27" t="s">
        <v>7</v>
      </c>
      <c r="NU420" s="27" t="s">
        <v>8</v>
      </c>
      <c r="NV420" s="27" t="s">
        <v>7</v>
      </c>
      <c r="PO420" s="27" t="s">
        <v>8</v>
      </c>
      <c r="PQ420" s="27" t="s">
        <v>8</v>
      </c>
      <c r="PW420" s="27" t="s">
        <v>8</v>
      </c>
      <c r="PX420" s="27" t="s">
        <v>7</v>
      </c>
      <c r="PY420" s="27" t="s">
        <v>8</v>
      </c>
      <c r="QB420" s="27" t="s">
        <v>7</v>
      </c>
      <c r="QC420" s="27" t="s">
        <v>8</v>
      </c>
      <c r="QH420" s="27" t="s">
        <v>7</v>
      </c>
      <c r="QI420" s="27" t="s">
        <v>8</v>
      </c>
      <c r="QM420" s="27" t="s">
        <v>8</v>
      </c>
      <c r="QN420" s="27" t="s">
        <v>7</v>
      </c>
      <c r="QO420" s="27" t="s">
        <v>8</v>
      </c>
      <c r="QP420" s="27" t="s">
        <v>7</v>
      </c>
      <c r="QQ420" s="27" t="s">
        <v>8</v>
      </c>
      <c r="QV420" s="27" t="s">
        <v>7</v>
      </c>
      <c r="QX420" s="27" t="s">
        <v>7</v>
      </c>
    </row>
    <row r="421" spans="1:477" x14ac:dyDescent="0.25">
      <c r="A421" s="7">
        <v>26.768775933157034</v>
      </c>
      <c r="B421"/>
      <c r="C421"/>
      <c r="D421"/>
      <c r="E421"/>
      <c r="NK421" s="27" t="s">
        <v>8</v>
      </c>
      <c r="NR421" s="27" t="s">
        <v>7</v>
      </c>
      <c r="NS421" s="27" t="s">
        <v>8</v>
      </c>
      <c r="NT421" s="27" t="s">
        <v>7</v>
      </c>
      <c r="NU421" s="27" t="s">
        <v>8</v>
      </c>
      <c r="NV421" s="27" t="s">
        <v>7</v>
      </c>
      <c r="PO421" s="27" t="s">
        <v>8</v>
      </c>
      <c r="PP421" s="27" t="s">
        <v>7</v>
      </c>
      <c r="PQ421" s="27" t="s">
        <v>8</v>
      </c>
      <c r="PR421" s="27" t="s">
        <v>7</v>
      </c>
      <c r="PU421" s="27" t="s">
        <v>8</v>
      </c>
      <c r="PW421" s="27" t="s">
        <v>8</v>
      </c>
      <c r="PX421" s="27" t="s">
        <v>7</v>
      </c>
      <c r="PY421" s="27" t="s">
        <v>8</v>
      </c>
      <c r="QB421" s="27" t="s">
        <v>7</v>
      </c>
      <c r="QC421" s="27" t="s">
        <v>8</v>
      </c>
      <c r="QH421" s="27" t="s">
        <v>7</v>
      </c>
      <c r="QI421" s="27" t="s">
        <v>8</v>
      </c>
      <c r="QJ421" s="27" t="s">
        <v>7</v>
      </c>
      <c r="QM421" s="27" t="s">
        <v>8</v>
      </c>
      <c r="QN421" s="27" t="s">
        <v>7</v>
      </c>
      <c r="QO421" s="27" t="s">
        <v>8</v>
      </c>
      <c r="QP421" s="27" t="s">
        <v>7</v>
      </c>
      <c r="QQ421" s="27" t="s">
        <v>8</v>
      </c>
      <c r="QX421" s="27" t="s">
        <v>7</v>
      </c>
    </row>
    <row r="422" spans="1:477" x14ac:dyDescent="0.25">
      <c r="A422" s="7">
        <v>26.243897973683367</v>
      </c>
      <c r="B422"/>
      <c r="C422"/>
      <c r="D422"/>
      <c r="E422"/>
      <c r="NK422" s="27" t="s">
        <v>8</v>
      </c>
      <c r="NR422" s="27" t="s">
        <v>7</v>
      </c>
      <c r="NT422" s="27" t="s">
        <v>7</v>
      </c>
      <c r="NU422" s="27" t="s">
        <v>8</v>
      </c>
      <c r="NV422" s="27" t="s">
        <v>7</v>
      </c>
      <c r="PO422" s="27" t="s">
        <v>8</v>
      </c>
      <c r="PP422" s="27" t="s">
        <v>7</v>
      </c>
      <c r="PQ422" s="27" t="s">
        <v>8</v>
      </c>
      <c r="PR422" s="27" t="s">
        <v>7</v>
      </c>
      <c r="PU422" s="27" t="s">
        <v>8</v>
      </c>
      <c r="PV422" s="27" t="s">
        <v>7</v>
      </c>
      <c r="PW422" s="27" t="s">
        <v>8</v>
      </c>
      <c r="PX422" s="27" t="s">
        <v>7</v>
      </c>
      <c r="PY422" s="27" t="s">
        <v>8</v>
      </c>
      <c r="QB422" s="27" t="s">
        <v>7</v>
      </c>
      <c r="QC422" s="27" t="s">
        <v>8</v>
      </c>
      <c r="QH422" s="27" t="s">
        <v>7</v>
      </c>
      <c r="QI422" s="27" t="s">
        <v>8</v>
      </c>
      <c r="QJ422" s="27" t="s">
        <v>7</v>
      </c>
      <c r="QM422" s="27" t="s">
        <v>8</v>
      </c>
      <c r="QN422" s="27" t="s">
        <v>7</v>
      </c>
      <c r="QO422" s="27" t="s">
        <v>8</v>
      </c>
      <c r="QP422" s="27" t="s">
        <v>7</v>
      </c>
      <c r="QX422" s="27" t="s">
        <v>7</v>
      </c>
      <c r="QY422" s="27" t="s">
        <v>8</v>
      </c>
    </row>
    <row r="423" spans="1:477" x14ac:dyDescent="0.25">
      <c r="A423" s="7">
        <v>25.729311738905263</v>
      </c>
      <c r="B423"/>
      <c r="C423"/>
      <c r="D423"/>
      <c r="E423"/>
      <c r="NK423" s="27" t="s">
        <v>8</v>
      </c>
      <c r="NT423" s="27" t="s">
        <v>7</v>
      </c>
      <c r="NU423" s="27" t="s">
        <v>8</v>
      </c>
      <c r="NV423" s="27" t="s">
        <v>7</v>
      </c>
      <c r="PO423" s="27" t="s">
        <v>8</v>
      </c>
      <c r="PP423" s="27" t="s">
        <v>7</v>
      </c>
      <c r="PQ423" s="27" t="s">
        <v>8</v>
      </c>
      <c r="PR423" s="27" t="s">
        <v>7</v>
      </c>
      <c r="PU423" s="27" t="s">
        <v>8</v>
      </c>
      <c r="PV423" s="27" t="s">
        <v>7</v>
      </c>
      <c r="PW423" s="27" t="s">
        <v>8</v>
      </c>
      <c r="PX423" s="27" t="s">
        <v>7</v>
      </c>
      <c r="QB423" s="27" t="s">
        <v>7</v>
      </c>
      <c r="QC423" s="27" t="s">
        <v>8</v>
      </c>
      <c r="QH423" s="27" t="s">
        <v>7</v>
      </c>
      <c r="QI423" s="27" t="s">
        <v>8</v>
      </c>
      <c r="QJ423" s="27" t="s">
        <v>7</v>
      </c>
      <c r="QK423" s="27" t="s">
        <v>8</v>
      </c>
      <c r="QM423" s="27" t="s">
        <v>8</v>
      </c>
      <c r="QN423" s="27" t="s">
        <v>7</v>
      </c>
      <c r="QX423" s="27" t="s">
        <v>7</v>
      </c>
      <c r="QY423" s="27" t="s">
        <v>8</v>
      </c>
      <c r="QZ423" s="27" t="s">
        <v>7</v>
      </c>
    </row>
    <row r="424" spans="1:477" x14ac:dyDescent="0.25">
      <c r="A424" s="7">
        <v>25.224815430299277</v>
      </c>
      <c r="B424"/>
      <c r="C424"/>
      <c r="D424"/>
      <c r="E424"/>
      <c r="NK424" s="27" t="s">
        <v>8</v>
      </c>
      <c r="NT424" s="27" t="s">
        <v>7</v>
      </c>
      <c r="NU424" s="27" t="s">
        <v>8</v>
      </c>
      <c r="NV424" s="27" t="s">
        <v>7</v>
      </c>
      <c r="PO424" s="27" t="s">
        <v>8</v>
      </c>
      <c r="PP424" s="27" t="s">
        <v>7</v>
      </c>
      <c r="PQ424" s="27" t="s">
        <v>8</v>
      </c>
      <c r="PR424" s="27" t="s">
        <v>7</v>
      </c>
      <c r="PS424" s="27" t="s">
        <v>8</v>
      </c>
      <c r="PU424" s="27" t="s">
        <v>8</v>
      </c>
      <c r="PV424" s="27" t="s">
        <v>7</v>
      </c>
      <c r="PW424" s="27" t="s">
        <v>8</v>
      </c>
      <c r="QB424" s="27" t="s">
        <v>7</v>
      </c>
      <c r="QC424" s="27" t="s">
        <v>8</v>
      </c>
      <c r="QH424" s="27" t="s">
        <v>7</v>
      </c>
      <c r="QI424" s="27" t="s">
        <v>8</v>
      </c>
      <c r="QJ424" s="27" t="s">
        <v>7</v>
      </c>
      <c r="QK424" s="27" t="s">
        <v>8</v>
      </c>
      <c r="QL424" s="27" t="s">
        <v>7</v>
      </c>
      <c r="QM424" s="27" t="s">
        <v>8</v>
      </c>
      <c r="QX424" s="27" t="s">
        <v>7</v>
      </c>
      <c r="QY424" s="27" t="s">
        <v>8</v>
      </c>
      <c r="QZ424" s="27" t="s">
        <v>7</v>
      </c>
    </row>
    <row r="425" spans="1:477" x14ac:dyDescent="0.25">
      <c r="A425" s="7">
        <v>24.73021120617576</v>
      </c>
      <c r="B425"/>
      <c r="C425"/>
      <c r="D425"/>
      <c r="E425"/>
      <c r="NK425" s="27" t="s">
        <v>8</v>
      </c>
      <c r="NT425" s="27" t="s">
        <v>7</v>
      </c>
      <c r="NU425" s="27" t="s">
        <v>8</v>
      </c>
      <c r="NV425" s="27" t="s">
        <v>7</v>
      </c>
      <c r="PO425" s="27" t="s">
        <v>8</v>
      </c>
      <c r="PP425" s="27" t="s">
        <v>7</v>
      </c>
      <c r="PQ425" s="27" t="s">
        <v>8</v>
      </c>
      <c r="PR425" s="27" t="s">
        <v>7</v>
      </c>
      <c r="PS425" s="27" t="s">
        <v>8</v>
      </c>
      <c r="PT425" s="27" t="s">
        <v>7</v>
      </c>
      <c r="PU425" s="27" t="s">
        <v>8</v>
      </c>
      <c r="PV425" s="27" t="s">
        <v>7</v>
      </c>
      <c r="QB425" s="27" t="s">
        <v>7</v>
      </c>
      <c r="QC425" s="27" t="s">
        <v>8</v>
      </c>
      <c r="QH425" s="27" t="s">
        <v>7</v>
      </c>
      <c r="QI425" s="27" t="s">
        <v>8</v>
      </c>
      <c r="QJ425" s="27" t="s">
        <v>7</v>
      </c>
      <c r="QK425" s="27" t="s">
        <v>8</v>
      </c>
      <c r="QL425" s="27" t="s">
        <v>7</v>
      </c>
      <c r="QM425" s="27" t="s">
        <v>8</v>
      </c>
      <c r="QX425" s="27" t="s">
        <v>7</v>
      </c>
      <c r="QZ425" s="27" t="s">
        <v>7</v>
      </c>
    </row>
    <row r="426" spans="1:477" x14ac:dyDescent="0.25">
      <c r="A426" s="7">
        <v>24.24530510409388</v>
      </c>
      <c r="B426"/>
      <c r="C426"/>
      <c r="D426"/>
      <c r="E426"/>
      <c r="NI426" s="27" t="s">
        <v>8</v>
      </c>
      <c r="NK426" s="27" t="s">
        <v>8</v>
      </c>
      <c r="NT426" s="27" t="s">
        <v>7</v>
      </c>
      <c r="NU426" s="27" t="s">
        <v>8</v>
      </c>
      <c r="NV426" s="27" t="s">
        <v>7</v>
      </c>
      <c r="PO426" s="27" t="s">
        <v>8</v>
      </c>
      <c r="PP426" s="27" t="s">
        <v>7</v>
      </c>
      <c r="PQ426" s="27" t="s">
        <v>8</v>
      </c>
      <c r="PR426" s="27" t="s">
        <v>7</v>
      </c>
      <c r="PS426" s="27" t="s">
        <v>8</v>
      </c>
      <c r="PT426" s="27" t="s">
        <v>7</v>
      </c>
      <c r="PU426" s="27" t="s">
        <v>8</v>
      </c>
      <c r="QB426" s="27" t="s">
        <v>7</v>
      </c>
      <c r="QC426" s="27" t="s">
        <v>8</v>
      </c>
      <c r="QH426" s="27" t="s">
        <v>7</v>
      </c>
      <c r="QI426" s="27" t="s">
        <v>8</v>
      </c>
      <c r="QJ426" s="27" t="s">
        <v>7</v>
      </c>
      <c r="QK426" s="27" t="s">
        <v>8</v>
      </c>
      <c r="QL426" s="27" t="s">
        <v>7</v>
      </c>
      <c r="QM426" s="27" t="s">
        <v>8</v>
      </c>
      <c r="QZ426" s="27" t="s">
        <v>7</v>
      </c>
      <c r="RA426" s="27" t="s">
        <v>8</v>
      </c>
      <c r="RC426" s="27" t="s">
        <v>8</v>
      </c>
    </row>
    <row r="427" spans="1:477" x14ac:dyDescent="0.25">
      <c r="A427" s="7">
        <v>23.769906964797922</v>
      </c>
      <c r="B427"/>
      <c r="C427"/>
      <c r="D427"/>
      <c r="E427"/>
      <c r="NI427" s="27" t="s">
        <v>8</v>
      </c>
      <c r="NJ427" s="27" t="s">
        <v>7</v>
      </c>
      <c r="NK427" s="27" t="s">
        <v>8</v>
      </c>
      <c r="NT427" s="27" t="s">
        <v>7</v>
      </c>
      <c r="NU427" s="27" t="s">
        <v>8</v>
      </c>
      <c r="NV427" s="27" t="s">
        <v>7</v>
      </c>
      <c r="PO427" s="27" t="s">
        <v>8</v>
      </c>
      <c r="PP427" s="27" t="s">
        <v>7</v>
      </c>
      <c r="PQ427" s="27" t="s">
        <v>8</v>
      </c>
      <c r="PR427" s="27" t="s">
        <v>7</v>
      </c>
      <c r="PS427" s="27" t="s">
        <v>8</v>
      </c>
      <c r="PT427" s="27" t="s">
        <v>7</v>
      </c>
      <c r="PU427" s="27" t="s">
        <v>8</v>
      </c>
      <c r="QB427" s="27" t="s">
        <v>7</v>
      </c>
      <c r="QC427" s="27" t="s">
        <v>8</v>
      </c>
      <c r="QH427" s="27" t="s">
        <v>7</v>
      </c>
      <c r="QI427" s="27" t="s">
        <v>8</v>
      </c>
      <c r="QJ427" s="27" t="s">
        <v>7</v>
      </c>
      <c r="QK427" s="27" t="s">
        <v>8</v>
      </c>
      <c r="QL427" s="27" t="s">
        <v>7</v>
      </c>
      <c r="QM427" s="27" t="s">
        <v>8</v>
      </c>
      <c r="QZ427" s="27" t="s">
        <v>7</v>
      </c>
      <c r="RA427" s="27" t="s">
        <v>8</v>
      </c>
      <c r="RB427" s="27" t="s">
        <v>7</v>
      </c>
      <c r="RC427" s="27" t="s">
        <v>8</v>
      </c>
      <c r="RD427" s="27" t="s">
        <v>7</v>
      </c>
    </row>
    <row r="428" spans="1:477" x14ac:dyDescent="0.25">
      <c r="A428" s="7">
        <v>23.303830357645023</v>
      </c>
      <c r="B428"/>
      <c r="C428"/>
      <c r="D428"/>
      <c r="E428"/>
      <c r="NI428" s="27" t="s">
        <v>8</v>
      </c>
      <c r="NJ428" s="27" t="s">
        <v>7</v>
      </c>
      <c r="NK428" s="27" t="s">
        <v>8</v>
      </c>
      <c r="NT428" s="27" t="s">
        <v>7</v>
      </c>
      <c r="NU428" s="27" t="s">
        <v>8</v>
      </c>
      <c r="NV428" s="27" t="s">
        <v>7</v>
      </c>
      <c r="PO428" s="27" t="s">
        <v>8</v>
      </c>
      <c r="PP428" s="27" t="s">
        <v>7</v>
      </c>
      <c r="PQ428" s="27" t="s">
        <v>8</v>
      </c>
      <c r="PR428" s="27" t="s">
        <v>7</v>
      </c>
      <c r="PS428" s="27" t="s">
        <v>8</v>
      </c>
      <c r="PT428" s="27" t="s">
        <v>7</v>
      </c>
      <c r="PU428" s="27" t="s">
        <v>8</v>
      </c>
      <c r="QB428" s="27" t="s">
        <v>7</v>
      </c>
      <c r="QC428" s="27" t="s">
        <v>8</v>
      </c>
      <c r="QH428" s="27" t="s">
        <v>7</v>
      </c>
      <c r="QI428" s="27" t="s">
        <v>8</v>
      </c>
      <c r="QJ428" s="27" t="s">
        <v>7</v>
      </c>
      <c r="QK428" s="27" t="s">
        <v>8</v>
      </c>
      <c r="QL428" s="27" t="s">
        <v>7</v>
      </c>
      <c r="QM428" s="27" t="s">
        <v>8</v>
      </c>
      <c r="QZ428" s="27" t="s">
        <v>7</v>
      </c>
      <c r="RA428" s="27" t="s">
        <v>8</v>
      </c>
      <c r="RB428" s="27" t="s">
        <v>7</v>
      </c>
      <c r="RC428" s="27" t="s">
        <v>8</v>
      </c>
      <c r="RD428" s="27" t="s">
        <v>7</v>
      </c>
      <c r="RG428" s="27" t="s">
        <v>8</v>
      </c>
    </row>
    <row r="429" spans="1:477" x14ac:dyDescent="0.25">
      <c r="A429" s="7">
        <v>22.84689250749512</v>
      </c>
      <c r="B429"/>
      <c r="C429"/>
      <c r="D429"/>
      <c r="E429"/>
      <c r="NI429" s="27" t="s">
        <v>8</v>
      </c>
      <c r="NJ429" s="27" t="s">
        <v>7</v>
      </c>
      <c r="NK429" s="27" t="s">
        <v>8</v>
      </c>
      <c r="NT429" s="27" t="s">
        <v>7</v>
      </c>
      <c r="NU429" s="27" t="s">
        <v>8</v>
      </c>
      <c r="NV429" s="27" t="s">
        <v>7</v>
      </c>
      <c r="PO429" s="27" t="s">
        <v>8</v>
      </c>
      <c r="PP429" s="27" t="s">
        <v>7</v>
      </c>
      <c r="PQ429" s="27" t="s">
        <v>8</v>
      </c>
      <c r="PR429" s="27" t="s">
        <v>7</v>
      </c>
      <c r="PT429" s="27" t="s">
        <v>7</v>
      </c>
      <c r="PU429" s="27" t="s">
        <v>8</v>
      </c>
      <c r="QB429" s="27" t="s">
        <v>7</v>
      </c>
      <c r="QC429" s="27" t="s">
        <v>8</v>
      </c>
      <c r="QH429" s="27" t="s">
        <v>7</v>
      </c>
      <c r="QI429" s="27" t="s">
        <v>8</v>
      </c>
      <c r="QJ429" s="27" t="s">
        <v>7</v>
      </c>
      <c r="QK429" s="27" t="s">
        <v>8</v>
      </c>
      <c r="QL429" s="27" t="s">
        <v>7</v>
      </c>
      <c r="QZ429" s="27" t="s">
        <v>7</v>
      </c>
      <c r="RA429" s="27" t="s">
        <v>8</v>
      </c>
      <c r="RB429" s="27" t="s">
        <v>7</v>
      </c>
      <c r="RC429" s="27" t="s">
        <v>8</v>
      </c>
      <c r="RD429" s="27" t="s">
        <v>7</v>
      </c>
      <c r="RG429" s="27" t="s">
        <v>8</v>
      </c>
      <c r="RH429" s="27" t="s">
        <v>7</v>
      </c>
    </row>
    <row r="430" spans="1:477" x14ac:dyDescent="0.25">
      <c r="A430" s="7">
        <v>22.398914223034431</v>
      </c>
      <c r="B430"/>
      <c r="C430"/>
      <c r="D430"/>
      <c r="E430"/>
      <c r="NI430" s="27" t="s">
        <v>8</v>
      </c>
      <c r="NJ430" s="27" t="s">
        <v>7</v>
      </c>
      <c r="NK430" s="27" t="s">
        <v>8</v>
      </c>
      <c r="NT430" s="27" t="s">
        <v>7</v>
      </c>
      <c r="NU430" s="27" t="s">
        <v>8</v>
      </c>
      <c r="NV430" s="27" t="s">
        <v>7</v>
      </c>
      <c r="PO430" s="27" t="s">
        <v>8</v>
      </c>
      <c r="PP430" s="27" t="s">
        <v>7</v>
      </c>
      <c r="PQ430" s="27" t="s">
        <v>8</v>
      </c>
      <c r="PT430" s="27" t="s">
        <v>7</v>
      </c>
      <c r="QB430" s="27" t="s">
        <v>7</v>
      </c>
      <c r="QC430" s="27" t="s">
        <v>8</v>
      </c>
      <c r="QH430" s="27" t="s">
        <v>7</v>
      </c>
      <c r="QI430" s="27" t="s">
        <v>8</v>
      </c>
      <c r="QJ430" s="27" t="s">
        <v>7</v>
      </c>
      <c r="QZ430" s="27" t="s">
        <v>7</v>
      </c>
      <c r="RB430" s="27" t="s">
        <v>7</v>
      </c>
      <c r="RC430" s="27" t="s">
        <v>8</v>
      </c>
      <c r="RD430" s="27" t="s">
        <v>7</v>
      </c>
      <c r="RG430" s="27" t="s">
        <v>8</v>
      </c>
      <c r="RH430" s="27" t="s">
        <v>7</v>
      </c>
    </row>
    <row r="431" spans="1:477" x14ac:dyDescent="0.25">
      <c r="A431" s="7">
        <v>21.959719826504344</v>
      </c>
      <c r="B431"/>
      <c r="C431"/>
      <c r="D431"/>
      <c r="E431"/>
      <c r="NI431" s="27" t="s">
        <v>8</v>
      </c>
      <c r="NJ431" s="27" t="s">
        <v>7</v>
      </c>
      <c r="NK431" s="27" t="s">
        <v>8</v>
      </c>
      <c r="NT431" s="27" t="s">
        <v>7</v>
      </c>
      <c r="NU431" s="27" t="s">
        <v>8</v>
      </c>
      <c r="NV431" s="27" t="s">
        <v>7</v>
      </c>
      <c r="PO431" s="27" t="s">
        <v>8</v>
      </c>
      <c r="PP431" s="27" t="s">
        <v>7</v>
      </c>
      <c r="PQ431" s="27" t="s">
        <v>8</v>
      </c>
      <c r="QB431" s="27" t="s">
        <v>7</v>
      </c>
      <c r="QC431" s="27" t="s">
        <v>8</v>
      </c>
      <c r="QH431" s="27" t="s">
        <v>7</v>
      </c>
      <c r="QI431" s="27" t="s">
        <v>8</v>
      </c>
      <c r="RB431" s="27" t="s">
        <v>7</v>
      </c>
      <c r="RC431" s="27" t="s">
        <v>8</v>
      </c>
      <c r="RD431" s="27" t="s">
        <v>7</v>
      </c>
      <c r="RE431" s="27" t="s">
        <v>8</v>
      </c>
      <c r="RG431" s="27" t="s">
        <v>8</v>
      </c>
      <c r="RH431" s="27" t="s">
        <v>7</v>
      </c>
    </row>
    <row r="432" spans="1:477" x14ac:dyDescent="0.25">
      <c r="A432" s="7">
        <v>21.52913708480818</v>
      </c>
      <c r="B432"/>
      <c r="C432"/>
      <c r="D432"/>
      <c r="E432"/>
      <c r="NG432" s="27" t="s">
        <v>8</v>
      </c>
      <c r="NI432" s="27" t="s">
        <v>8</v>
      </c>
      <c r="NJ432" s="27" t="s">
        <v>7</v>
      </c>
      <c r="NT432" s="27" t="s">
        <v>7</v>
      </c>
      <c r="NU432" s="27" t="s">
        <v>8</v>
      </c>
      <c r="NV432" s="27" t="s">
        <v>7</v>
      </c>
      <c r="PO432" s="27" t="s">
        <v>8</v>
      </c>
      <c r="PP432" s="27" t="s">
        <v>7</v>
      </c>
      <c r="QB432" s="27" t="s">
        <v>7</v>
      </c>
      <c r="QH432" s="27" t="s">
        <v>7</v>
      </c>
      <c r="QI432" s="27" t="s">
        <v>8</v>
      </c>
      <c r="RB432" s="27" t="s">
        <v>7</v>
      </c>
      <c r="RC432" s="27" t="s">
        <v>8</v>
      </c>
      <c r="RD432" s="27" t="s">
        <v>7</v>
      </c>
      <c r="RE432" s="27" t="s">
        <v>8</v>
      </c>
      <c r="RF432" s="27" t="s">
        <v>7</v>
      </c>
      <c r="RG432" s="27" t="s">
        <v>8</v>
      </c>
      <c r="RH432" s="27" t="s">
        <v>7</v>
      </c>
      <c r="RI432" s="27" t="s">
        <v>8</v>
      </c>
    </row>
    <row r="433" spans="1:488" x14ac:dyDescent="0.25">
      <c r="A433" s="7">
        <v>21.106997141968804</v>
      </c>
      <c r="B433"/>
      <c r="C433"/>
      <c r="D433"/>
      <c r="E433"/>
      <c r="NG433" s="27" t="s">
        <v>8</v>
      </c>
      <c r="NH433" s="27" t="s">
        <v>7</v>
      </c>
      <c r="NI433" s="27" t="s">
        <v>8</v>
      </c>
      <c r="NT433" s="27" t="s">
        <v>7</v>
      </c>
      <c r="NU433" s="27" t="s">
        <v>8</v>
      </c>
      <c r="NV433" s="27" t="s">
        <v>7</v>
      </c>
      <c r="PO433" s="27" t="s">
        <v>8</v>
      </c>
      <c r="QH433" s="27" t="s">
        <v>7</v>
      </c>
      <c r="RB433" s="27" t="s">
        <v>7</v>
      </c>
      <c r="RC433" s="27" t="s">
        <v>8</v>
      </c>
      <c r="RD433" s="27" t="s">
        <v>7</v>
      </c>
      <c r="RE433" s="27" t="s">
        <v>8</v>
      </c>
      <c r="RF433" s="27" t="s">
        <v>7</v>
      </c>
      <c r="RG433" s="27" t="s">
        <v>8</v>
      </c>
      <c r="RH433" s="27" t="s">
        <v>7</v>
      </c>
      <c r="RI433" s="27" t="s">
        <v>8</v>
      </c>
      <c r="RJ433" s="27" t="s">
        <v>7</v>
      </c>
    </row>
    <row r="434" spans="1:488" x14ac:dyDescent="0.25">
      <c r="A434" s="7">
        <v>20.693134452910591</v>
      </c>
      <c r="B434"/>
      <c r="C434"/>
      <c r="D434"/>
      <c r="E434"/>
      <c r="NG434" s="27" t="s">
        <v>8</v>
      </c>
      <c r="NH434" s="27" t="s">
        <v>7</v>
      </c>
      <c r="NI434" s="27" t="s">
        <v>8</v>
      </c>
      <c r="NT434" s="27" t="s">
        <v>7</v>
      </c>
      <c r="NU434" s="27" t="s">
        <v>8</v>
      </c>
      <c r="NV434" s="27" t="s">
        <v>7</v>
      </c>
      <c r="PO434" s="27" t="s">
        <v>8</v>
      </c>
      <c r="RB434" s="27" t="s">
        <v>7</v>
      </c>
      <c r="RC434" s="27" t="s">
        <v>8</v>
      </c>
      <c r="RD434" s="27" t="s">
        <v>7</v>
      </c>
      <c r="RF434" s="27" t="s">
        <v>7</v>
      </c>
      <c r="RG434" s="27" t="s">
        <v>8</v>
      </c>
      <c r="RH434" s="27" t="s">
        <v>7</v>
      </c>
      <c r="RI434" s="27" t="s">
        <v>8</v>
      </c>
      <c r="RJ434" s="27" t="s">
        <v>7</v>
      </c>
    </row>
    <row r="435" spans="1:488" x14ac:dyDescent="0.25">
      <c r="A435" s="7">
        <v>20.287386718539796</v>
      </c>
      <c r="B435"/>
      <c r="C435"/>
      <c r="D435"/>
      <c r="E435"/>
      <c r="MU435" s="27" t="s">
        <v>8</v>
      </c>
      <c r="NG435" s="27" t="s">
        <v>8</v>
      </c>
      <c r="NH435" s="27" t="s">
        <v>7</v>
      </c>
      <c r="NI435" s="27" t="s">
        <v>8</v>
      </c>
      <c r="NT435" s="27" t="s">
        <v>7</v>
      </c>
      <c r="NU435" s="27" t="s">
        <v>8</v>
      </c>
      <c r="NV435" s="27" t="s">
        <v>7</v>
      </c>
      <c r="PO435" s="27" t="s">
        <v>8</v>
      </c>
      <c r="RB435" s="27" t="s">
        <v>7</v>
      </c>
      <c r="RC435" s="27" t="s">
        <v>8</v>
      </c>
      <c r="RF435" s="27" t="s">
        <v>7</v>
      </c>
      <c r="RG435" s="27" t="s">
        <v>8</v>
      </c>
      <c r="RH435" s="27" t="s">
        <v>7</v>
      </c>
      <c r="RI435" s="27" t="s">
        <v>8</v>
      </c>
      <c r="RJ435" s="27" t="s">
        <v>7</v>
      </c>
    </row>
    <row r="436" spans="1:488" x14ac:dyDescent="0.25">
      <c r="A436" s="7">
        <v>19.889594822097838</v>
      </c>
      <c r="B436"/>
      <c r="C436"/>
      <c r="D436"/>
      <c r="E436"/>
      <c r="MU436" s="27" t="s">
        <v>8</v>
      </c>
      <c r="MV436" s="27" t="s">
        <v>7</v>
      </c>
      <c r="NG436" s="27" t="s">
        <v>8</v>
      </c>
      <c r="NH436" s="27" t="s">
        <v>7</v>
      </c>
      <c r="NI436" s="27" t="s">
        <v>8</v>
      </c>
      <c r="NT436" s="27" t="s">
        <v>7</v>
      </c>
      <c r="NU436" s="27" t="s">
        <v>8</v>
      </c>
      <c r="NV436" s="27" t="s">
        <v>7</v>
      </c>
      <c r="PO436" s="27" t="s">
        <v>8</v>
      </c>
      <c r="RB436" s="27" t="s">
        <v>7</v>
      </c>
      <c r="RF436" s="27" t="s">
        <v>7</v>
      </c>
      <c r="RG436" s="27" t="s">
        <v>8</v>
      </c>
      <c r="RH436" s="27" t="s">
        <v>7</v>
      </c>
      <c r="RI436" s="27" t="s">
        <v>8</v>
      </c>
      <c r="RJ436" s="27" t="s">
        <v>7</v>
      </c>
      <c r="RM436" s="27" t="s">
        <v>8</v>
      </c>
    </row>
    <row r="437" spans="1:488" x14ac:dyDescent="0.25">
      <c r="A437" s="7">
        <v>19.499602766762585</v>
      </c>
      <c r="B437"/>
      <c r="C437"/>
      <c r="D437"/>
      <c r="E437"/>
      <c r="MU437" s="27" t="s">
        <v>8</v>
      </c>
      <c r="MV437" s="27" t="s">
        <v>7</v>
      </c>
      <c r="NG437" s="27" t="s">
        <v>8</v>
      </c>
      <c r="NH437" s="27" t="s">
        <v>7</v>
      </c>
      <c r="NI437" s="27" t="s">
        <v>8</v>
      </c>
      <c r="NT437" s="27" t="s">
        <v>7</v>
      </c>
      <c r="NU437" s="27" t="s">
        <v>8</v>
      </c>
      <c r="NV437" s="27" t="s">
        <v>7</v>
      </c>
      <c r="PO437" s="27" t="s">
        <v>8</v>
      </c>
      <c r="RF437" s="27" t="s">
        <v>7</v>
      </c>
      <c r="RG437" s="27" t="s">
        <v>8</v>
      </c>
      <c r="RH437" s="27" t="s">
        <v>7</v>
      </c>
      <c r="RI437" s="27" t="s">
        <v>8</v>
      </c>
      <c r="RJ437" s="27" t="s">
        <v>7</v>
      </c>
      <c r="RM437" s="27" t="s">
        <v>8</v>
      </c>
      <c r="RN437" s="27" t="s">
        <v>7</v>
      </c>
    </row>
    <row r="438" spans="1:488" x14ac:dyDescent="0.25">
      <c r="A438" s="7">
        <v>19.117257614473122</v>
      </c>
      <c r="B438"/>
      <c r="C438"/>
      <c r="D438"/>
      <c r="E438"/>
      <c r="MU438" s="27" t="s">
        <v>8</v>
      </c>
      <c r="MV438" s="27" t="s">
        <v>7</v>
      </c>
      <c r="NG438" s="27" t="s">
        <v>8</v>
      </c>
      <c r="NH438" s="27" t="s">
        <v>7</v>
      </c>
      <c r="NI438" s="27" t="s">
        <v>8</v>
      </c>
      <c r="NT438" s="27" t="s">
        <v>7</v>
      </c>
      <c r="NU438" s="27" t="s">
        <v>8</v>
      </c>
      <c r="NV438" s="27" t="s">
        <v>7</v>
      </c>
      <c r="PO438" s="27" t="s">
        <v>8</v>
      </c>
      <c r="RF438" s="27" t="s">
        <v>7</v>
      </c>
      <c r="RG438" s="27" t="s">
        <v>8</v>
      </c>
      <c r="RH438" s="27" t="s">
        <v>7</v>
      </c>
      <c r="RI438" s="27" t="s">
        <v>8</v>
      </c>
      <c r="RJ438" s="27" t="s">
        <v>7</v>
      </c>
      <c r="RM438" s="27" t="s">
        <v>8</v>
      </c>
      <c r="RN438" s="27" t="s">
        <v>7</v>
      </c>
    </row>
    <row r="439" spans="1:488" x14ac:dyDescent="0.25">
      <c r="A439" s="7">
        <v>18.74240942595404</v>
      </c>
      <c r="B439"/>
      <c r="C439"/>
      <c r="D439"/>
      <c r="E439"/>
      <c r="MU439" s="27" t="s">
        <v>8</v>
      </c>
      <c r="MV439" s="27" t="s">
        <v>7</v>
      </c>
      <c r="NG439" s="27" t="s">
        <v>8</v>
      </c>
      <c r="NH439" s="27" t="s">
        <v>7</v>
      </c>
      <c r="NI439" s="27" t="s">
        <v>8</v>
      </c>
      <c r="NT439" s="27" t="s">
        <v>7</v>
      </c>
      <c r="NU439" s="27" t="s">
        <v>8</v>
      </c>
      <c r="NV439" s="27" t="s">
        <v>7</v>
      </c>
      <c r="OI439" s="27" t="s">
        <v>8</v>
      </c>
      <c r="PO439" s="27" t="s">
        <v>8</v>
      </c>
      <c r="RF439" s="27" t="s">
        <v>7</v>
      </c>
      <c r="RG439" s="27" t="s">
        <v>8</v>
      </c>
      <c r="RH439" s="27" t="s">
        <v>7</v>
      </c>
      <c r="RI439" s="27" t="s">
        <v>8</v>
      </c>
      <c r="RJ439" s="27" t="s">
        <v>7</v>
      </c>
      <c r="RM439" s="27" t="s">
        <v>8</v>
      </c>
      <c r="RN439" s="27" t="s">
        <v>7</v>
      </c>
    </row>
    <row r="440" spans="1:488" x14ac:dyDescent="0.25">
      <c r="A440" s="7">
        <v>18.374911201915726</v>
      </c>
      <c r="B440"/>
      <c r="C440"/>
      <c r="D440"/>
      <c r="E440"/>
      <c r="MU440" s="27" t="s">
        <v>8</v>
      </c>
      <c r="MV440" s="27" t="s">
        <v>7</v>
      </c>
      <c r="NG440" s="27" t="s">
        <v>8</v>
      </c>
      <c r="NH440" s="27" t="s">
        <v>7</v>
      </c>
      <c r="NI440" s="27" t="s">
        <v>8</v>
      </c>
      <c r="NT440" s="27" t="s">
        <v>7</v>
      </c>
      <c r="NU440" s="27" t="s">
        <v>8</v>
      </c>
      <c r="NV440" s="27" t="s">
        <v>7</v>
      </c>
      <c r="OI440" s="27" t="s">
        <v>8</v>
      </c>
      <c r="OJ440" s="27" t="s">
        <v>7</v>
      </c>
      <c r="OK440" s="27" t="s">
        <v>8</v>
      </c>
      <c r="PO440" s="27" t="s">
        <v>8</v>
      </c>
      <c r="RF440" s="27" t="s">
        <v>7</v>
      </c>
      <c r="RH440" s="27" t="s">
        <v>7</v>
      </c>
      <c r="RI440" s="27" t="s">
        <v>8</v>
      </c>
      <c r="RJ440" s="27" t="s">
        <v>7</v>
      </c>
      <c r="RM440" s="27" t="s">
        <v>8</v>
      </c>
      <c r="RN440" s="27" t="s">
        <v>7</v>
      </c>
    </row>
    <row r="441" spans="1:488" x14ac:dyDescent="0.25">
      <c r="A441" s="7">
        <v>18.014618825407574</v>
      </c>
      <c r="B441"/>
      <c r="C441"/>
      <c r="D441"/>
      <c r="E441"/>
      <c r="MU441" s="27" t="s">
        <v>8</v>
      </c>
      <c r="MV441" s="27" t="s">
        <v>7</v>
      </c>
      <c r="NG441" s="27" t="s">
        <v>8</v>
      </c>
      <c r="NH441" s="27" t="s">
        <v>7</v>
      </c>
      <c r="NT441" s="27" t="s">
        <v>7</v>
      </c>
      <c r="NU441" s="27" t="s">
        <v>8</v>
      </c>
      <c r="NV441" s="27" t="s">
        <v>7</v>
      </c>
      <c r="OI441" s="27" t="s">
        <v>8</v>
      </c>
      <c r="OJ441" s="27" t="s">
        <v>7</v>
      </c>
      <c r="OK441" s="27" t="s">
        <v>8</v>
      </c>
      <c r="OL441" s="27" t="s">
        <v>7</v>
      </c>
      <c r="PO441" s="27" t="s">
        <v>8</v>
      </c>
      <c r="RH441" s="27" t="s">
        <v>7</v>
      </c>
      <c r="RI441" s="27" t="s">
        <v>8</v>
      </c>
      <c r="RJ441" s="27" t="s">
        <v>7</v>
      </c>
      <c r="RM441" s="27" t="s">
        <v>8</v>
      </c>
      <c r="RN441" s="27" t="s">
        <v>7</v>
      </c>
    </row>
    <row r="442" spans="1:488" x14ac:dyDescent="0.25">
      <c r="A442" s="7">
        <v>17.661391005301542</v>
      </c>
      <c r="B442"/>
      <c r="C442"/>
      <c r="D442"/>
      <c r="E442"/>
      <c r="MU442" s="27" t="s">
        <v>8</v>
      </c>
      <c r="MV442" s="27" t="s">
        <v>7</v>
      </c>
      <c r="NG442" s="27" t="s">
        <v>8</v>
      </c>
      <c r="NT442" s="27" t="s">
        <v>7</v>
      </c>
      <c r="NU442" s="27" t="s">
        <v>8</v>
      </c>
      <c r="NV442" s="27" t="s">
        <v>7</v>
      </c>
      <c r="NW442" s="27" t="s">
        <v>8</v>
      </c>
      <c r="OI442" s="27" t="s">
        <v>8</v>
      </c>
      <c r="OJ442" s="27" t="s">
        <v>7</v>
      </c>
      <c r="OK442" s="27" t="s">
        <v>8</v>
      </c>
      <c r="OL442" s="27" t="s">
        <v>7</v>
      </c>
      <c r="OQ442" s="27" t="s">
        <v>8</v>
      </c>
      <c r="OS442" s="27" t="s">
        <v>8</v>
      </c>
      <c r="PO442" s="27" t="s">
        <v>8</v>
      </c>
      <c r="RH442" s="27" t="s">
        <v>7</v>
      </c>
      <c r="RI442" s="27" t="s">
        <v>8</v>
      </c>
      <c r="RJ442" s="27" t="s">
        <v>7</v>
      </c>
      <c r="RM442" s="27" t="s">
        <v>8</v>
      </c>
      <c r="RN442" s="27" t="s">
        <v>7</v>
      </c>
    </row>
    <row r="443" spans="1:488" x14ac:dyDescent="0.25">
      <c r="A443" s="7">
        <v>17.315089220883866</v>
      </c>
      <c r="B443"/>
      <c r="C443"/>
      <c r="D443"/>
      <c r="E443"/>
      <c r="MU443" s="27" t="s">
        <v>8</v>
      </c>
      <c r="MV443" s="27" t="s">
        <v>7</v>
      </c>
      <c r="NG443" s="27" t="s">
        <v>8</v>
      </c>
      <c r="NT443" s="27" t="s">
        <v>7</v>
      </c>
      <c r="NU443" s="27" t="s">
        <v>8</v>
      </c>
      <c r="NV443" s="27" t="s">
        <v>7</v>
      </c>
      <c r="NW443" s="27" t="s">
        <v>8</v>
      </c>
      <c r="NX443" s="27" t="s">
        <v>7</v>
      </c>
      <c r="NY443" s="27" t="s">
        <v>8</v>
      </c>
      <c r="OI443" s="27" t="s">
        <v>8</v>
      </c>
      <c r="OJ443" s="27" t="s">
        <v>7</v>
      </c>
      <c r="OK443" s="27" t="s">
        <v>8</v>
      </c>
      <c r="OL443" s="27" t="s">
        <v>7</v>
      </c>
      <c r="OQ443" s="27" t="s">
        <v>8</v>
      </c>
      <c r="OR443" s="27" t="s">
        <v>7</v>
      </c>
      <c r="OS443" s="27" t="s">
        <v>8</v>
      </c>
      <c r="OT443" s="27" t="s">
        <v>7</v>
      </c>
      <c r="OU443" s="27" t="s">
        <v>8</v>
      </c>
      <c r="PM443" s="27" t="s">
        <v>8</v>
      </c>
      <c r="PO443" s="27" t="s">
        <v>8</v>
      </c>
      <c r="RH443" s="27" t="s">
        <v>7</v>
      </c>
      <c r="RI443" s="27" t="s">
        <v>8</v>
      </c>
      <c r="RJ443" s="27" t="s">
        <v>7</v>
      </c>
      <c r="RM443" s="27" t="s">
        <v>8</v>
      </c>
      <c r="RN443" s="27" t="s">
        <v>7</v>
      </c>
    </row>
    <row r="444" spans="1:488" x14ac:dyDescent="0.25">
      <c r="A444" s="7">
        <v>16.975577667533202</v>
      </c>
      <c r="B444"/>
      <c r="C444"/>
      <c r="D444"/>
      <c r="E444"/>
      <c r="MU444" s="27" t="s">
        <v>8</v>
      </c>
      <c r="MV444" s="27" t="s">
        <v>7</v>
      </c>
      <c r="MY444" s="27" t="s">
        <v>8</v>
      </c>
      <c r="NG444" s="27" t="s">
        <v>8</v>
      </c>
      <c r="NT444" s="27" t="s">
        <v>7</v>
      </c>
      <c r="NU444" s="27" t="s">
        <v>8</v>
      </c>
      <c r="NV444" s="27" t="s">
        <v>7</v>
      </c>
      <c r="NW444" s="27" t="s">
        <v>8</v>
      </c>
      <c r="NX444" s="27" t="s">
        <v>7</v>
      </c>
      <c r="NY444" s="27" t="s">
        <v>8</v>
      </c>
      <c r="NZ444" s="27" t="s">
        <v>7</v>
      </c>
      <c r="OI444" s="27" t="s">
        <v>8</v>
      </c>
      <c r="OJ444" s="27" t="s">
        <v>7</v>
      </c>
      <c r="OK444" s="27" t="s">
        <v>8</v>
      </c>
      <c r="OL444" s="27" t="s">
        <v>7</v>
      </c>
      <c r="OQ444" s="27" t="s">
        <v>8</v>
      </c>
      <c r="OR444" s="27" t="s">
        <v>7</v>
      </c>
      <c r="OS444" s="27" t="s">
        <v>8</v>
      </c>
      <c r="OT444" s="27" t="s">
        <v>7</v>
      </c>
      <c r="OU444" s="27" t="s">
        <v>8</v>
      </c>
      <c r="OV444" s="27" t="s">
        <v>7</v>
      </c>
      <c r="PI444" s="27" t="s">
        <v>8</v>
      </c>
      <c r="PK444" s="27" t="s">
        <v>8</v>
      </c>
      <c r="PM444" s="27" t="s">
        <v>8</v>
      </c>
      <c r="PN444" s="27" t="s">
        <v>7</v>
      </c>
      <c r="PO444" s="27" t="s">
        <v>8</v>
      </c>
      <c r="RH444" s="27" t="s">
        <v>7</v>
      </c>
      <c r="RI444" s="27" t="s">
        <v>8</v>
      </c>
      <c r="RJ444" s="27" t="s">
        <v>7</v>
      </c>
      <c r="RK444" s="27" t="s">
        <v>8</v>
      </c>
      <c r="RM444" s="27" t="s">
        <v>8</v>
      </c>
      <c r="RN444" s="27" t="s">
        <v>7</v>
      </c>
      <c r="RQ444" s="27" t="s">
        <v>8</v>
      </c>
    </row>
    <row r="445" spans="1:488" x14ac:dyDescent="0.25">
      <c r="A445" s="7">
        <v>16.642723203463923</v>
      </c>
      <c r="B445"/>
      <c r="C445"/>
      <c r="D445"/>
      <c r="E445"/>
      <c r="MU445" s="27" t="s">
        <v>8</v>
      </c>
      <c r="MV445" s="27" t="s">
        <v>7</v>
      </c>
      <c r="MY445" s="27" t="s">
        <v>8</v>
      </c>
      <c r="MZ445" s="27" t="s">
        <v>7</v>
      </c>
      <c r="NA445" s="27" t="s">
        <v>8</v>
      </c>
      <c r="NG445" s="27" t="s">
        <v>8</v>
      </c>
      <c r="NT445" s="27" t="s">
        <v>7</v>
      </c>
      <c r="NU445" s="27" t="s">
        <v>8</v>
      </c>
      <c r="NV445" s="27" t="s">
        <v>7</v>
      </c>
      <c r="NW445" s="27" t="s">
        <v>8</v>
      </c>
      <c r="NX445" s="27" t="s">
        <v>7</v>
      </c>
      <c r="NY445" s="27" t="s">
        <v>8</v>
      </c>
      <c r="NZ445" s="27" t="s">
        <v>7</v>
      </c>
      <c r="OE445" s="27" t="s">
        <v>8</v>
      </c>
      <c r="OI445" s="27" t="s">
        <v>8</v>
      </c>
      <c r="OJ445" s="27" t="s">
        <v>7</v>
      </c>
      <c r="OK445" s="27" t="s">
        <v>8</v>
      </c>
      <c r="OL445" s="27" t="s">
        <v>7</v>
      </c>
      <c r="OQ445" s="27" t="s">
        <v>8</v>
      </c>
      <c r="OR445" s="27" t="s">
        <v>7</v>
      </c>
      <c r="OS445" s="27" t="s">
        <v>8</v>
      </c>
      <c r="OT445" s="27" t="s">
        <v>7</v>
      </c>
      <c r="OU445" s="27" t="s">
        <v>8</v>
      </c>
      <c r="OV445" s="27" t="s">
        <v>7</v>
      </c>
      <c r="PI445" s="27" t="s">
        <v>8</v>
      </c>
      <c r="PJ445" s="27" t="s">
        <v>7</v>
      </c>
      <c r="PK445" s="27" t="s">
        <v>8</v>
      </c>
      <c r="PL445" s="27" t="s">
        <v>7</v>
      </c>
      <c r="PM445" s="27" t="s">
        <v>8</v>
      </c>
      <c r="PN445" s="27" t="s">
        <v>7</v>
      </c>
      <c r="PO445" s="27" t="s">
        <v>8</v>
      </c>
      <c r="RH445" s="27" t="s">
        <v>7</v>
      </c>
      <c r="RI445" s="27" t="s">
        <v>8</v>
      </c>
      <c r="RJ445" s="27" t="s">
        <v>7</v>
      </c>
      <c r="RK445" s="27" t="s">
        <v>8</v>
      </c>
      <c r="RL445" s="27" t="s">
        <v>7</v>
      </c>
      <c r="RM445" s="27" t="s">
        <v>8</v>
      </c>
      <c r="RN445" s="27" t="s">
        <v>7</v>
      </c>
      <c r="RO445" s="27" t="s">
        <v>8</v>
      </c>
      <c r="RQ445" s="27" t="s">
        <v>8</v>
      </c>
      <c r="RR445" s="27" t="s">
        <v>7</v>
      </c>
    </row>
    <row r="446" spans="1:488" x14ac:dyDescent="0.25">
      <c r="A446" s="7">
        <v>16.316395297513651</v>
      </c>
      <c r="B446"/>
      <c r="C446"/>
      <c r="D446"/>
      <c r="E446"/>
      <c r="MU446" s="27" t="s">
        <v>8</v>
      </c>
      <c r="MV446" s="27" t="s">
        <v>7</v>
      </c>
      <c r="MY446" s="27" t="s">
        <v>8</v>
      </c>
      <c r="MZ446" s="27" t="s">
        <v>7</v>
      </c>
      <c r="NA446" s="27" t="s">
        <v>8</v>
      </c>
      <c r="NB446" s="27" t="s">
        <v>7</v>
      </c>
      <c r="NG446" s="27" t="s">
        <v>8</v>
      </c>
      <c r="NT446" s="27" t="s">
        <v>7</v>
      </c>
      <c r="NU446" s="27" t="s">
        <v>8</v>
      </c>
      <c r="NV446" s="27" t="s">
        <v>7</v>
      </c>
      <c r="NW446" s="27" t="s">
        <v>8</v>
      </c>
      <c r="NX446" s="27" t="s">
        <v>7</v>
      </c>
      <c r="NY446" s="27" t="s">
        <v>8</v>
      </c>
      <c r="NZ446" s="27" t="s">
        <v>7</v>
      </c>
      <c r="OE446" s="27" t="s">
        <v>8</v>
      </c>
      <c r="OF446" s="27" t="s">
        <v>7</v>
      </c>
      <c r="OI446" s="27" t="s">
        <v>8</v>
      </c>
      <c r="OJ446" s="27" t="s">
        <v>7</v>
      </c>
      <c r="OK446" s="27" t="s">
        <v>8</v>
      </c>
      <c r="OL446" s="27" t="s">
        <v>7</v>
      </c>
      <c r="OQ446" s="27" t="s">
        <v>8</v>
      </c>
      <c r="OR446" s="27" t="s">
        <v>7</v>
      </c>
      <c r="OS446" s="27" t="s">
        <v>8</v>
      </c>
      <c r="OT446" s="27" t="s">
        <v>7</v>
      </c>
      <c r="OU446" s="27" t="s">
        <v>8</v>
      </c>
      <c r="OV446" s="27" t="s">
        <v>7</v>
      </c>
      <c r="PG446" s="27" t="s">
        <v>8</v>
      </c>
      <c r="PI446" s="27" t="s">
        <v>8</v>
      </c>
      <c r="PJ446" s="27" t="s">
        <v>7</v>
      </c>
      <c r="PK446" s="27" t="s">
        <v>8</v>
      </c>
      <c r="PL446" s="27" t="s">
        <v>7</v>
      </c>
      <c r="PM446" s="27" t="s">
        <v>8</v>
      </c>
      <c r="PN446" s="27" t="s">
        <v>7</v>
      </c>
      <c r="PO446" s="27" t="s">
        <v>8</v>
      </c>
      <c r="RH446" s="27" t="s">
        <v>7</v>
      </c>
      <c r="RI446" s="27" t="s">
        <v>8</v>
      </c>
      <c r="RJ446" s="27" t="s">
        <v>7</v>
      </c>
      <c r="RK446" s="27" t="s">
        <v>8</v>
      </c>
      <c r="RL446" s="27" t="s">
        <v>7</v>
      </c>
      <c r="RM446" s="27" t="s">
        <v>8</v>
      </c>
      <c r="RN446" s="27" t="s">
        <v>7</v>
      </c>
      <c r="RO446" s="27" t="s">
        <v>8</v>
      </c>
      <c r="RP446" s="27" t="s">
        <v>7</v>
      </c>
      <c r="RQ446" s="27" t="s">
        <v>8</v>
      </c>
      <c r="RR446" s="27" t="s">
        <v>7</v>
      </c>
      <c r="RS446" s="27" t="s">
        <v>8</v>
      </c>
    </row>
    <row r="447" spans="1:488" x14ac:dyDescent="0.25">
      <c r="A447" s="7">
        <v>15.996465977954561</v>
      </c>
      <c r="B447"/>
      <c r="C447"/>
      <c r="D447"/>
      <c r="E447"/>
      <c r="MU447" s="27" t="s">
        <v>8</v>
      </c>
      <c r="MV447" s="27" t="s">
        <v>7</v>
      </c>
      <c r="MW447" s="27" t="s">
        <v>8</v>
      </c>
      <c r="MY447" s="27" t="s">
        <v>8</v>
      </c>
      <c r="MZ447" s="27" t="s">
        <v>7</v>
      </c>
      <c r="NA447" s="27" t="s">
        <v>8</v>
      </c>
      <c r="NB447" s="27" t="s">
        <v>7</v>
      </c>
      <c r="NC447" s="27" t="s">
        <v>8</v>
      </c>
      <c r="NG447" s="27" t="s">
        <v>8</v>
      </c>
      <c r="NT447" s="27" t="s">
        <v>7</v>
      </c>
      <c r="NU447" s="27" t="s">
        <v>8</v>
      </c>
      <c r="NV447" s="27" t="s">
        <v>7</v>
      </c>
      <c r="NW447" s="27" t="s">
        <v>8</v>
      </c>
      <c r="NX447" s="27" t="s">
        <v>7</v>
      </c>
      <c r="NY447" s="27" t="s">
        <v>8</v>
      </c>
      <c r="NZ447" s="27" t="s">
        <v>7</v>
      </c>
      <c r="OE447" s="27" t="s">
        <v>8</v>
      </c>
      <c r="OF447" s="27" t="s">
        <v>7</v>
      </c>
      <c r="OI447" s="27" t="s">
        <v>8</v>
      </c>
      <c r="OJ447" s="27" t="s">
        <v>7</v>
      </c>
      <c r="OK447" s="27" t="s">
        <v>8</v>
      </c>
      <c r="OL447" s="27" t="s">
        <v>7</v>
      </c>
      <c r="OQ447" s="27" t="s">
        <v>8</v>
      </c>
      <c r="OR447" s="27" t="s">
        <v>7</v>
      </c>
      <c r="OS447" s="27" t="s">
        <v>8</v>
      </c>
      <c r="OT447" s="27" t="s">
        <v>7</v>
      </c>
      <c r="OV447" s="27" t="s">
        <v>7</v>
      </c>
      <c r="PE447" s="27" t="s">
        <v>8</v>
      </c>
      <c r="PG447" s="27" t="s">
        <v>8</v>
      </c>
      <c r="PH447" s="27" t="s">
        <v>7</v>
      </c>
      <c r="PI447" s="27" t="s">
        <v>8</v>
      </c>
      <c r="PJ447" s="27" t="s">
        <v>7</v>
      </c>
      <c r="PK447" s="27" t="s">
        <v>8</v>
      </c>
      <c r="PL447" s="27" t="s">
        <v>7</v>
      </c>
      <c r="PM447" s="27" t="s">
        <v>8</v>
      </c>
      <c r="PN447" s="27" t="s">
        <v>7</v>
      </c>
      <c r="RH447" s="27" t="s">
        <v>7</v>
      </c>
      <c r="RI447" s="27" t="s">
        <v>8</v>
      </c>
      <c r="RJ447" s="27" t="s">
        <v>7</v>
      </c>
      <c r="RK447" s="27" t="s">
        <v>8</v>
      </c>
      <c r="RL447" s="27" t="s">
        <v>7</v>
      </c>
      <c r="RM447" s="27" t="s">
        <v>8</v>
      </c>
      <c r="RN447" s="27" t="s">
        <v>7</v>
      </c>
      <c r="RO447" s="27" t="s">
        <v>8</v>
      </c>
      <c r="RP447" s="27" t="s">
        <v>7</v>
      </c>
      <c r="RQ447" s="27" t="s">
        <v>8</v>
      </c>
      <c r="RR447" s="27" t="s">
        <v>7</v>
      </c>
      <c r="RS447" s="27" t="s">
        <v>8</v>
      </c>
      <c r="RT447" s="27" t="s">
        <v>7</v>
      </c>
    </row>
    <row r="448" spans="1:488" x14ac:dyDescent="0.25">
      <c r="A448" s="7">
        <v>15.682809782308393</v>
      </c>
      <c r="B448"/>
      <c r="C448"/>
      <c r="D448"/>
      <c r="E448"/>
      <c r="MU448" s="27" t="s">
        <v>8</v>
      </c>
      <c r="MV448" s="27" t="s">
        <v>7</v>
      </c>
      <c r="MW448" s="27" t="s">
        <v>8</v>
      </c>
      <c r="MX448" s="27" t="s">
        <v>7</v>
      </c>
      <c r="MY448" s="27" t="s">
        <v>8</v>
      </c>
      <c r="MZ448" s="27" t="s">
        <v>7</v>
      </c>
      <c r="NA448" s="27" t="s">
        <v>8</v>
      </c>
      <c r="NB448" s="27" t="s">
        <v>7</v>
      </c>
      <c r="NC448" s="27" t="s">
        <v>8</v>
      </c>
      <c r="ND448" s="27" t="s">
        <v>7</v>
      </c>
      <c r="NG448" s="27" t="s">
        <v>8</v>
      </c>
      <c r="NT448" s="27" t="s">
        <v>7</v>
      </c>
      <c r="NU448" s="27" t="s">
        <v>8</v>
      </c>
      <c r="NV448" s="27" t="s">
        <v>7</v>
      </c>
      <c r="NW448" s="27" t="s">
        <v>8</v>
      </c>
      <c r="NX448" s="27" t="s">
        <v>7</v>
      </c>
      <c r="NY448" s="27" t="s">
        <v>8</v>
      </c>
      <c r="NZ448" s="27" t="s">
        <v>7</v>
      </c>
      <c r="OC448" s="27" t="s">
        <v>8</v>
      </c>
      <c r="OE448" s="27" t="s">
        <v>8</v>
      </c>
      <c r="OF448" s="27" t="s">
        <v>7</v>
      </c>
      <c r="OI448" s="27" t="s">
        <v>8</v>
      </c>
      <c r="OJ448" s="27" t="s">
        <v>7</v>
      </c>
      <c r="OL448" s="27" t="s">
        <v>7</v>
      </c>
      <c r="OQ448" s="27" t="s">
        <v>8</v>
      </c>
      <c r="OR448" s="27" t="s">
        <v>7</v>
      </c>
      <c r="OS448" s="27" t="s">
        <v>8</v>
      </c>
      <c r="OV448" s="27" t="s">
        <v>7</v>
      </c>
      <c r="PE448" s="27" t="s">
        <v>8</v>
      </c>
      <c r="PF448" s="27" t="s">
        <v>7</v>
      </c>
      <c r="PG448" s="27" t="s">
        <v>8</v>
      </c>
      <c r="PH448" s="27" t="s">
        <v>7</v>
      </c>
      <c r="PI448" s="27" t="s">
        <v>8</v>
      </c>
      <c r="PJ448" s="27" t="s">
        <v>7</v>
      </c>
      <c r="PK448" s="27" t="s">
        <v>8</v>
      </c>
      <c r="PL448" s="27" t="s">
        <v>7</v>
      </c>
      <c r="RH448" s="27" t="s">
        <v>7</v>
      </c>
      <c r="RI448" s="27" t="s">
        <v>8</v>
      </c>
      <c r="RJ448" s="27" t="s">
        <v>7</v>
      </c>
      <c r="RK448" s="27" t="s">
        <v>8</v>
      </c>
      <c r="RL448" s="27" t="s">
        <v>7</v>
      </c>
      <c r="RM448" s="27" t="s">
        <v>8</v>
      </c>
      <c r="RN448" s="27" t="s">
        <v>7</v>
      </c>
      <c r="RO448" s="27" t="s">
        <v>8</v>
      </c>
      <c r="RP448" s="27" t="s">
        <v>7</v>
      </c>
      <c r="RR448" s="27" t="s">
        <v>7</v>
      </c>
      <c r="RS448" s="27" t="s">
        <v>8</v>
      </c>
      <c r="RT448" s="27" t="s">
        <v>7</v>
      </c>
    </row>
    <row r="449" spans="1:498" x14ac:dyDescent="0.25">
      <c r="A449" s="7">
        <v>15.375303708145482</v>
      </c>
      <c r="B449"/>
      <c r="C449"/>
      <c r="D449"/>
      <c r="E449"/>
      <c r="MU449" s="27" t="s">
        <v>8</v>
      </c>
      <c r="MV449" s="27" t="s">
        <v>7</v>
      </c>
      <c r="MW449" s="27" t="s">
        <v>8</v>
      </c>
      <c r="MX449" s="27" t="s">
        <v>7</v>
      </c>
      <c r="MY449" s="27" t="s">
        <v>8</v>
      </c>
      <c r="MZ449" s="27" t="s">
        <v>7</v>
      </c>
      <c r="NB449" s="27" t="s">
        <v>7</v>
      </c>
      <c r="NC449" s="27" t="s">
        <v>8</v>
      </c>
      <c r="ND449" s="27" t="s">
        <v>7</v>
      </c>
      <c r="NG449" s="27" t="s">
        <v>8</v>
      </c>
      <c r="NT449" s="27" t="s">
        <v>7</v>
      </c>
      <c r="NU449" s="27" t="s">
        <v>8</v>
      </c>
      <c r="NV449" s="27" t="s">
        <v>7</v>
      </c>
      <c r="NW449" s="27" t="s">
        <v>8</v>
      </c>
      <c r="NX449" s="27" t="s">
        <v>7</v>
      </c>
      <c r="NY449" s="27" t="s">
        <v>8</v>
      </c>
      <c r="NZ449" s="27" t="s">
        <v>7</v>
      </c>
      <c r="OC449" s="27" t="s">
        <v>8</v>
      </c>
      <c r="OD449" s="27" t="s">
        <v>7</v>
      </c>
      <c r="OE449" s="27" t="s">
        <v>8</v>
      </c>
      <c r="OF449" s="27" t="s">
        <v>7</v>
      </c>
      <c r="OG449" s="27" t="s">
        <v>8</v>
      </c>
      <c r="OI449" s="27" t="s">
        <v>8</v>
      </c>
      <c r="OL449" s="27" t="s">
        <v>7</v>
      </c>
      <c r="OQ449" s="27" t="s">
        <v>8</v>
      </c>
      <c r="OR449" s="27" t="s">
        <v>7</v>
      </c>
      <c r="OS449" s="27" t="s">
        <v>8</v>
      </c>
      <c r="OV449" s="27" t="s">
        <v>7</v>
      </c>
      <c r="PE449" s="27" t="s">
        <v>8</v>
      </c>
      <c r="PF449" s="27" t="s">
        <v>7</v>
      </c>
      <c r="PG449" s="27" t="s">
        <v>8</v>
      </c>
      <c r="PH449" s="27" t="s">
        <v>7</v>
      </c>
      <c r="PI449" s="27" t="s">
        <v>8</v>
      </c>
      <c r="PJ449" s="27" t="s">
        <v>7</v>
      </c>
      <c r="RH449" s="27" t="s">
        <v>7</v>
      </c>
      <c r="RI449" s="27" t="s">
        <v>8</v>
      </c>
      <c r="RJ449" s="27" t="s">
        <v>7</v>
      </c>
      <c r="RL449" s="27" t="s">
        <v>7</v>
      </c>
      <c r="RM449" s="27" t="s">
        <v>8</v>
      </c>
      <c r="RN449" s="27" t="s">
        <v>7</v>
      </c>
      <c r="RO449" s="27" t="s">
        <v>8</v>
      </c>
      <c r="RR449" s="27" t="s">
        <v>7</v>
      </c>
      <c r="RS449" s="27" t="s">
        <v>8</v>
      </c>
      <c r="RT449" s="27" t="s">
        <v>7</v>
      </c>
    </row>
    <row r="450" spans="1:498" x14ac:dyDescent="0.25">
      <c r="A450" s="7">
        <v>15.073827164848511</v>
      </c>
      <c r="B450"/>
      <c r="C450"/>
      <c r="D450"/>
      <c r="E450"/>
      <c r="MU450" s="27" t="s">
        <v>8</v>
      </c>
      <c r="MV450" s="27" t="s">
        <v>7</v>
      </c>
      <c r="MW450" s="27" t="s">
        <v>8</v>
      </c>
      <c r="MX450" s="27" t="s">
        <v>7</v>
      </c>
      <c r="MY450" s="27" t="s">
        <v>8</v>
      </c>
      <c r="NB450" s="27" t="s">
        <v>7</v>
      </c>
      <c r="NC450" s="27" t="s">
        <v>8</v>
      </c>
      <c r="ND450" s="27" t="s">
        <v>7</v>
      </c>
      <c r="NG450" s="27" t="s">
        <v>8</v>
      </c>
      <c r="NT450" s="27" t="s">
        <v>7</v>
      </c>
      <c r="NU450" s="27" t="s">
        <v>8</v>
      </c>
      <c r="NV450" s="27" t="s">
        <v>7</v>
      </c>
      <c r="NW450" s="27" t="s">
        <v>8</v>
      </c>
      <c r="NX450" s="27" t="s">
        <v>7</v>
      </c>
      <c r="NY450" s="27" t="s">
        <v>8</v>
      </c>
      <c r="NZ450" s="27" t="s">
        <v>7</v>
      </c>
      <c r="OC450" s="27" t="s">
        <v>8</v>
      </c>
      <c r="OD450" s="27" t="s">
        <v>7</v>
      </c>
      <c r="OE450" s="27" t="s">
        <v>8</v>
      </c>
      <c r="OF450" s="27" t="s">
        <v>7</v>
      </c>
      <c r="OG450" s="27" t="s">
        <v>8</v>
      </c>
      <c r="OH450" s="27" t="s">
        <v>7</v>
      </c>
      <c r="OI450" s="27" t="s">
        <v>8</v>
      </c>
      <c r="OL450" s="27" t="s">
        <v>7</v>
      </c>
      <c r="OQ450" s="27" t="s">
        <v>8</v>
      </c>
      <c r="OR450" s="27" t="s">
        <v>7</v>
      </c>
      <c r="OV450" s="27" t="s">
        <v>7</v>
      </c>
      <c r="OW450" s="27" t="s">
        <v>8</v>
      </c>
      <c r="PE450" s="27" t="s">
        <v>8</v>
      </c>
      <c r="PF450" s="27" t="s">
        <v>7</v>
      </c>
      <c r="PG450" s="27" t="s">
        <v>8</v>
      </c>
      <c r="PH450" s="27" t="s">
        <v>7</v>
      </c>
      <c r="PI450" s="27" t="s">
        <v>8</v>
      </c>
      <c r="RH450" s="27" t="s">
        <v>7</v>
      </c>
      <c r="RL450" s="27" t="s">
        <v>7</v>
      </c>
      <c r="RM450" s="27" t="s">
        <v>8</v>
      </c>
      <c r="RN450" s="27" t="s">
        <v>7</v>
      </c>
      <c r="RR450" s="27" t="s">
        <v>7</v>
      </c>
      <c r="RS450" s="27" t="s">
        <v>8</v>
      </c>
      <c r="RT450" s="27" t="s">
        <v>7</v>
      </c>
    </row>
    <row r="451" spans="1:498" x14ac:dyDescent="0.25">
      <c r="A451" s="7">
        <v>14.77826192632207</v>
      </c>
      <c r="B451"/>
      <c r="C451"/>
      <c r="D451"/>
      <c r="E451"/>
      <c r="MU451" s="27" t="s">
        <v>8</v>
      </c>
      <c r="MV451" s="27" t="s">
        <v>7</v>
      </c>
      <c r="MX451" s="27" t="s">
        <v>7</v>
      </c>
      <c r="NB451" s="27" t="s">
        <v>7</v>
      </c>
      <c r="NC451" s="27" t="s">
        <v>8</v>
      </c>
      <c r="ND451" s="27" t="s">
        <v>7</v>
      </c>
      <c r="NG451" s="27" t="s">
        <v>8</v>
      </c>
      <c r="NT451" s="27" t="s">
        <v>7</v>
      </c>
      <c r="NU451" s="27" t="s">
        <v>8</v>
      </c>
      <c r="NV451" s="27" t="s">
        <v>7</v>
      </c>
      <c r="NW451" s="27" t="s">
        <v>8</v>
      </c>
      <c r="NX451" s="27" t="s">
        <v>7</v>
      </c>
      <c r="NY451" s="27" t="s">
        <v>8</v>
      </c>
      <c r="NZ451" s="27" t="s">
        <v>7</v>
      </c>
      <c r="OC451" s="27" t="s">
        <v>8</v>
      </c>
      <c r="OD451" s="27" t="s">
        <v>7</v>
      </c>
      <c r="OE451" s="27" t="s">
        <v>8</v>
      </c>
      <c r="OF451" s="27" t="s">
        <v>7</v>
      </c>
      <c r="OG451" s="27" t="s">
        <v>8</v>
      </c>
      <c r="OH451" s="27" t="s">
        <v>7</v>
      </c>
      <c r="OI451" s="27" t="s">
        <v>8</v>
      </c>
      <c r="OL451" s="27" t="s">
        <v>7</v>
      </c>
      <c r="OQ451" s="27" t="s">
        <v>8</v>
      </c>
      <c r="OV451" s="27" t="s">
        <v>7</v>
      </c>
      <c r="OW451" s="27" t="s">
        <v>8</v>
      </c>
      <c r="OX451" s="27" t="s">
        <v>7</v>
      </c>
      <c r="PC451" s="27" t="s">
        <v>8</v>
      </c>
      <c r="PE451" s="27" t="s">
        <v>8</v>
      </c>
      <c r="PF451" s="27" t="s">
        <v>7</v>
      </c>
      <c r="PH451" s="27" t="s">
        <v>7</v>
      </c>
      <c r="PI451" s="27" t="s">
        <v>8</v>
      </c>
      <c r="RL451" s="27" t="s">
        <v>7</v>
      </c>
      <c r="RM451" s="27" t="s">
        <v>8</v>
      </c>
      <c r="RR451" s="27" t="s">
        <v>7</v>
      </c>
      <c r="RS451" s="27" t="s">
        <v>8</v>
      </c>
      <c r="RT451" s="27" t="s">
        <v>7</v>
      </c>
      <c r="RW451" s="27" t="s">
        <v>8</v>
      </c>
      <c r="RY451" s="27" t="s">
        <v>8</v>
      </c>
    </row>
    <row r="452" spans="1:498" x14ac:dyDescent="0.25">
      <c r="A452" s="7">
        <v>14.488492084629481</v>
      </c>
      <c r="B452"/>
      <c r="C452"/>
      <c r="D452"/>
      <c r="E452"/>
      <c r="MU452" s="27" t="s">
        <v>8</v>
      </c>
      <c r="NB452" s="27" t="s">
        <v>7</v>
      </c>
      <c r="NC452" s="27" t="s">
        <v>8</v>
      </c>
      <c r="ND452" s="27" t="s">
        <v>7</v>
      </c>
      <c r="NE452" s="27" t="s">
        <v>8</v>
      </c>
      <c r="NG452" s="27" t="s">
        <v>8</v>
      </c>
      <c r="NT452" s="27" t="s">
        <v>7</v>
      </c>
      <c r="NU452" s="27" t="s">
        <v>8</v>
      </c>
      <c r="NV452" s="27" t="s">
        <v>7</v>
      </c>
      <c r="NW452" s="27" t="s">
        <v>8</v>
      </c>
      <c r="NX452" s="27" t="s">
        <v>7</v>
      </c>
      <c r="NY452" s="27" t="s">
        <v>8</v>
      </c>
      <c r="NZ452" s="27" t="s">
        <v>7</v>
      </c>
      <c r="OC452" s="27" t="s">
        <v>8</v>
      </c>
      <c r="OD452" s="27" t="s">
        <v>7</v>
      </c>
      <c r="OE452" s="27" t="s">
        <v>8</v>
      </c>
      <c r="OF452" s="27" t="s">
        <v>7</v>
      </c>
      <c r="OG452" s="27" t="s">
        <v>8</v>
      </c>
      <c r="OH452" s="27" t="s">
        <v>7</v>
      </c>
      <c r="OI452" s="27" t="s">
        <v>8</v>
      </c>
      <c r="OL452" s="27" t="s">
        <v>7</v>
      </c>
      <c r="OQ452" s="27" t="s">
        <v>8</v>
      </c>
      <c r="OV452" s="27" t="s">
        <v>7</v>
      </c>
      <c r="OW452" s="27" t="s">
        <v>8</v>
      </c>
      <c r="OX452" s="27" t="s">
        <v>7</v>
      </c>
      <c r="PC452" s="27" t="s">
        <v>8</v>
      </c>
      <c r="PD452" s="27" t="s">
        <v>7</v>
      </c>
      <c r="PE452" s="27" t="s">
        <v>8</v>
      </c>
      <c r="PH452" s="27" t="s">
        <v>7</v>
      </c>
      <c r="RL452" s="27" t="s">
        <v>7</v>
      </c>
      <c r="RM452" s="27" t="s">
        <v>8</v>
      </c>
      <c r="RR452" s="27" t="s">
        <v>7</v>
      </c>
      <c r="RS452" s="27" t="s">
        <v>8</v>
      </c>
      <c r="RT452" s="27" t="s">
        <v>7</v>
      </c>
      <c r="RW452" s="27" t="s">
        <v>8</v>
      </c>
      <c r="RX452" s="27" t="s">
        <v>7</v>
      </c>
      <c r="RY452" s="27" t="s">
        <v>8</v>
      </c>
      <c r="RZ452" s="27" t="s">
        <v>7</v>
      </c>
    </row>
    <row r="453" spans="1:498" x14ac:dyDescent="0.25">
      <c r="A453" s="7">
        <v>14.204404004538707</v>
      </c>
      <c r="B453"/>
      <c r="C453"/>
      <c r="D453"/>
      <c r="E453"/>
      <c r="MS453" s="27" t="s">
        <v>8</v>
      </c>
      <c r="MU453" s="27" t="s">
        <v>8</v>
      </c>
      <c r="NB453" s="27" t="s">
        <v>7</v>
      </c>
      <c r="NC453" s="27" t="s">
        <v>8</v>
      </c>
      <c r="ND453" s="27" t="s">
        <v>7</v>
      </c>
      <c r="NE453" s="27" t="s">
        <v>8</v>
      </c>
      <c r="NF453" s="27" t="s">
        <v>7</v>
      </c>
      <c r="NG453" s="27" t="s">
        <v>8</v>
      </c>
      <c r="NT453" s="27" t="s">
        <v>7</v>
      </c>
      <c r="NU453" s="27" t="s">
        <v>8</v>
      </c>
      <c r="NV453" s="27" t="s">
        <v>7</v>
      </c>
      <c r="NW453" s="27" t="s">
        <v>8</v>
      </c>
      <c r="NX453" s="27" t="s">
        <v>7</v>
      </c>
      <c r="NY453" s="27" t="s">
        <v>8</v>
      </c>
      <c r="NZ453" s="27" t="s">
        <v>7</v>
      </c>
      <c r="OC453" s="27" t="s">
        <v>8</v>
      </c>
      <c r="OD453" s="27" t="s">
        <v>7</v>
      </c>
      <c r="OE453" s="27" t="s">
        <v>8</v>
      </c>
      <c r="OF453" s="27" t="s">
        <v>7</v>
      </c>
      <c r="OG453" s="27" t="s">
        <v>8</v>
      </c>
      <c r="OH453" s="27" t="s">
        <v>7</v>
      </c>
      <c r="OI453" s="27" t="s">
        <v>8</v>
      </c>
      <c r="OL453" s="27" t="s">
        <v>7</v>
      </c>
      <c r="OO453" s="27" t="s">
        <v>8</v>
      </c>
      <c r="OQ453" s="27" t="s">
        <v>8</v>
      </c>
      <c r="OV453" s="27" t="s">
        <v>7</v>
      </c>
      <c r="OX453" s="27" t="s">
        <v>7</v>
      </c>
      <c r="OY453" s="27" t="s">
        <v>8</v>
      </c>
      <c r="PC453" s="27" t="s">
        <v>8</v>
      </c>
      <c r="PD453" s="27" t="s">
        <v>7</v>
      </c>
      <c r="PE453" s="27" t="s">
        <v>8</v>
      </c>
      <c r="RL453" s="27" t="s">
        <v>7</v>
      </c>
      <c r="RR453" s="27" t="s">
        <v>7</v>
      </c>
      <c r="RS453" s="27" t="s">
        <v>8</v>
      </c>
      <c r="RT453" s="27" t="s">
        <v>7</v>
      </c>
      <c r="RU453" s="27" t="s">
        <v>8</v>
      </c>
      <c r="RW453" s="27" t="s">
        <v>8</v>
      </c>
      <c r="RX453" s="27" t="s">
        <v>7</v>
      </c>
      <c r="RY453" s="27" t="s">
        <v>8</v>
      </c>
      <c r="RZ453" s="27" t="s">
        <v>7</v>
      </c>
    </row>
    <row r="454" spans="1:498" x14ac:dyDescent="0.25">
      <c r="A454" s="7">
        <v>13.925886278959517</v>
      </c>
      <c r="B454"/>
      <c r="C454"/>
      <c r="D454"/>
      <c r="E454"/>
      <c r="LS454" s="27" t="s">
        <v>8</v>
      </c>
      <c r="MS454" s="27" t="s">
        <v>8</v>
      </c>
      <c r="MT454" s="27" t="s">
        <v>7</v>
      </c>
      <c r="MU454" s="27" t="s">
        <v>8</v>
      </c>
      <c r="NB454" s="27" t="s">
        <v>7</v>
      </c>
      <c r="NC454" s="27" t="s">
        <v>8</v>
      </c>
      <c r="ND454" s="27" t="s">
        <v>7</v>
      </c>
      <c r="NE454" s="27" t="s">
        <v>8</v>
      </c>
      <c r="NF454" s="27" t="s">
        <v>7</v>
      </c>
      <c r="NG454" s="27" t="s">
        <v>8</v>
      </c>
      <c r="NT454" s="27" t="s">
        <v>7</v>
      </c>
      <c r="NV454" s="27" t="s">
        <v>7</v>
      </c>
      <c r="NW454" s="27" t="s">
        <v>8</v>
      </c>
      <c r="NX454" s="27" t="s">
        <v>7</v>
      </c>
      <c r="NZ454" s="27" t="s">
        <v>7</v>
      </c>
      <c r="OA454" s="27" t="s">
        <v>8</v>
      </c>
      <c r="OC454" s="27" t="s">
        <v>8</v>
      </c>
      <c r="OD454" s="27" t="s">
        <v>7</v>
      </c>
      <c r="OE454" s="27" t="s">
        <v>8</v>
      </c>
      <c r="OF454" s="27" t="s">
        <v>7</v>
      </c>
      <c r="OG454" s="27" t="s">
        <v>8</v>
      </c>
      <c r="OH454" s="27" t="s">
        <v>7</v>
      </c>
      <c r="OI454" s="27" t="s">
        <v>8</v>
      </c>
      <c r="OL454" s="27" t="s">
        <v>7</v>
      </c>
      <c r="OO454" s="27" t="s">
        <v>8</v>
      </c>
      <c r="OP454" s="27" t="s">
        <v>7</v>
      </c>
      <c r="OQ454" s="27" t="s">
        <v>8</v>
      </c>
      <c r="OX454" s="27" t="s">
        <v>7</v>
      </c>
      <c r="OY454" s="27" t="s">
        <v>8</v>
      </c>
      <c r="OZ454" s="27" t="s">
        <v>7</v>
      </c>
      <c r="PC454" s="27" t="s">
        <v>8</v>
      </c>
      <c r="PD454" s="27" t="s">
        <v>7</v>
      </c>
      <c r="RR454" s="27" t="s">
        <v>7</v>
      </c>
      <c r="RS454" s="27" t="s">
        <v>8</v>
      </c>
      <c r="RT454" s="27" t="s">
        <v>7</v>
      </c>
      <c r="RU454" s="27" t="s">
        <v>8</v>
      </c>
      <c r="RV454" s="27" t="s">
        <v>7</v>
      </c>
      <c r="RW454" s="27" t="s">
        <v>8</v>
      </c>
      <c r="RX454" s="27" t="s">
        <v>7</v>
      </c>
      <c r="RZ454" s="27" t="s">
        <v>7</v>
      </c>
    </row>
    <row r="455" spans="1:498" x14ac:dyDescent="0.25">
      <c r="A455" s="7">
        <v>13.652829685254428</v>
      </c>
      <c r="B455"/>
      <c r="C455"/>
      <c r="D455"/>
      <c r="E455"/>
      <c r="LS455" s="27" t="s">
        <v>8</v>
      </c>
      <c r="LT455" s="27" t="s">
        <v>7</v>
      </c>
      <c r="MQ455" s="27" t="s">
        <v>8</v>
      </c>
      <c r="MS455" s="27" t="s">
        <v>8</v>
      </c>
      <c r="MT455" s="27" t="s">
        <v>7</v>
      </c>
      <c r="MU455" s="27" t="s">
        <v>8</v>
      </c>
      <c r="NB455" s="27" t="s">
        <v>7</v>
      </c>
      <c r="NC455" s="27" t="s">
        <v>8</v>
      </c>
      <c r="ND455" s="27" t="s">
        <v>7</v>
      </c>
      <c r="NE455" s="27" t="s">
        <v>8</v>
      </c>
      <c r="NF455" s="27" t="s">
        <v>7</v>
      </c>
      <c r="NG455" s="27" t="s">
        <v>8</v>
      </c>
      <c r="NV455" s="27" t="s">
        <v>7</v>
      </c>
      <c r="NW455" s="27" t="s">
        <v>8</v>
      </c>
      <c r="NZ455" s="27" t="s">
        <v>7</v>
      </c>
      <c r="OA455" s="27" t="s">
        <v>8</v>
      </c>
      <c r="OB455" s="27" t="s">
        <v>7</v>
      </c>
      <c r="OC455" s="27" t="s">
        <v>8</v>
      </c>
      <c r="OD455" s="27" t="s">
        <v>7</v>
      </c>
      <c r="OE455" s="27" t="s">
        <v>8</v>
      </c>
      <c r="OF455" s="27" t="s">
        <v>7</v>
      </c>
      <c r="OG455" s="27" t="s">
        <v>8</v>
      </c>
      <c r="OH455" s="27" t="s">
        <v>7</v>
      </c>
      <c r="OI455" s="27" t="s">
        <v>8</v>
      </c>
      <c r="OL455" s="27" t="s">
        <v>7</v>
      </c>
      <c r="OM455" s="27" t="s">
        <v>8</v>
      </c>
      <c r="OO455" s="27" t="s">
        <v>8</v>
      </c>
      <c r="OP455" s="27" t="s">
        <v>7</v>
      </c>
      <c r="OQ455" s="27" t="s">
        <v>8</v>
      </c>
      <c r="OX455" s="27" t="s">
        <v>7</v>
      </c>
      <c r="OY455" s="27" t="s">
        <v>8</v>
      </c>
      <c r="OZ455" s="27" t="s">
        <v>7</v>
      </c>
      <c r="PA455" s="27" t="s">
        <v>8</v>
      </c>
      <c r="PC455" s="27" t="s">
        <v>8</v>
      </c>
      <c r="RR455" s="27" t="s">
        <v>7</v>
      </c>
      <c r="RT455" s="27" t="s">
        <v>7</v>
      </c>
      <c r="RU455" s="27" t="s">
        <v>8</v>
      </c>
      <c r="RV455" s="27" t="s">
        <v>7</v>
      </c>
      <c r="RW455" s="27" t="s">
        <v>8</v>
      </c>
      <c r="RZ455" s="27" t="s">
        <v>7</v>
      </c>
    </row>
    <row r="456" spans="1:498" x14ac:dyDescent="0.25">
      <c r="A456" s="7">
        <v>13.385127142406303</v>
      </c>
      <c r="B456"/>
      <c r="C456"/>
      <c r="D456"/>
      <c r="E456"/>
      <c r="LQ456" s="27" t="s">
        <v>8</v>
      </c>
      <c r="LS456" s="27" t="s">
        <v>8</v>
      </c>
      <c r="LT456" s="27" t="s">
        <v>7</v>
      </c>
      <c r="MK456" s="27" t="s">
        <v>8</v>
      </c>
      <c r="MQ456" s="27" t="s">
        <v>8</v>
      </c>
      <c r="MR456" s="27" t="s">
        <v>7</v>
      </c>
      <c r="MS456" s="27" t="s">
        <v>8</v>
      </c>
      <c r="MT456" s="27" t="s">
        <v>7</v>
      </c>
      <c r="MU456" s="27" t="s">
        <v>8</v>
      </c>
      <c r="NB456" s="27" t="s">
        <v>7</v>
      </c>
      <c r="NC456" s="27" t="s">
        <v>8</v>
      </c>
      <c r="ND456" s="27" t="s">
        <v>7</v>
      </c>
      <c r="NE456" s="27" t="s">
        <v>8</v>
      </c>
      <c r="NF456" s="27" t="s">
        <v>7</v>
      </c>
      <c r="NG456" s="27" t="s">
        <v>8</v>
      </c>
      <c r="NV456" s="27" t="s">
        <v>7</v>
      </c>
      <c r="NW456" s="27" t="s">
        <v>8</v>
      </c>
      <c r="NZ456" s="27" t="s">
        <v>7</v>
      </c>
      <c r="OA456" s="27" t="s">
        <v>8</v>
      </c>
      <c r="OB456" s="27" t="s">
        <v>7</v>
      </c>
      <c r="OC456" s="27" t="s">
        <v>8</v>
      </c>
      <c r="OD456" s="27" t="s">
        <v>7</v>
      </c>
      <c r="OE456" s="27" t="s">
        <v>8</v>
      </c>
      <c r="OF456" s="27" t="s">
        <v>7</v>
      </c>
      <c r="OG456" s="27" t="s">
        <v>8</v>
      </c>
      <c r="OH456" s="27" t="s">
        <v>7</v>
      </c>
      <c r="OL456" s="27" t="s">
        <v>7</v>
      </c>
      <c r="OM456" s="27" t="s">
        <v>8</v>
      </c>
      <c r="ON456" s="27" t="s">
        <v>7</v>
      </c>
      <c r="OO456" s="27" t="s">
        <v>8</v>
      </c>
      <c r="OP456" s="27" t="s">
        <v>7</v>
      </c>
      <c r="OQ456" s="27" t="s">
        <v>8</v>
      </c>
      <c r="OX456" s="27" t="s">
        <v>7</v>
      </c>
      <c r="OY456" s="27" t="s">
        <v>8</v>
      </c>
      <c r="OZ456" s="27" t="s">
        <v>7</v>
      </c>
      <c r="PA456" s="27" t="s">
        <v>8</v>
      </c>
      <c r="PB456" s="27" t="s">
        <v>7</v>
      </c>
      <c r="PC456" s="27" t="s">
        <v>8</v>
      </c>
      <c r="RT456" s="27" t="s">
        <v>7</v>
      </c>
      <c r="RU456" s="27" t="s">
        <v>8</v>
      </c>
      <c r="RV456" s="27" t="s">
        <v>7</v>
      </c>
      <c r="RW456" s="27" t="s">
        <v>8</v>
      </c>
      <c r="RZ456" s="27" t="s">
        <v>7</v>
      </c>
    </row>
    <row r="457" spans="1:498" x14ac:dyDescent="0.25">
      <c r="A457" s="7">
        <v>13.122673669025787</v>
      </c>
      <c r="B457"/>
      <c r="C457"/>
      <c r="D457"/>
      <c r="E457"/>
      <c r="LQ457" s="27" t="s">
        <v>8</v>
      </c>
      <c r="LR457" s="27" t="s">
        <v>7</v>
      </c>
      <c r="LS457" s="27" t="s">
        <v>8</v>
      </c>
      <c r="LT457" s="27" t="s">
        <v>7</v>
      </c>
      <c r="MK457" s="27" t="s">
        <v>8</v>
      </c>
      <c r="ML457" s="27" t="s">
        <v>7</v>
      </c>
      <c r="MM457" s="27" t="s">
        <v>8</v>
      </c>
      <c r="MQ457" s="27" t="s">
        <v>8</v>
      </c>
      <c r="MR457" s="27" t="s">
        <v>7</v>
      </c>
      <c r="MS457" s="27" t="s">
        <v>8</v>
      </c>
      <c r="MT457" s="27" t="s">
        <v>7</v>
      </c>
      <c r="MU457" s="27" t="s">
        <v>8</v>
      </c>
      <c r="NB457" s="27" t="s">
        <v>7</v>
      </c>
      <c r="NC457" s="27" t="s">
        <v>8</v>
      </c>
      <c r="ND457" s="27" t="s">
        <v>7</v>
      </c>
      <c r="NE457" s="27" t="s">
        <v>8</v>
      </c>
      <c r="NF457" s="27" t="s">
        <v>7</v>
      </c>
      <c r="NG457" s="27" t="s">
        <v>8</v>
      </c>
      <c r="NV457" s="27" t="s">
        <v>7</v>
      </c>
      <c r="NW457" s="27" t="s">
        <v>8</v>
      </c>
      <c r="NZ457" s="27" t="s">
        <v>7</v>
      </c>
      <c r="OA457" s="27" t="s">
        <v>8</v>
      </c>
      <c r="OB457" s="27" t="s">
        <v>7</v>
      </c>
      <c r="OC457" s="27" t="s">
        <v>8</v>
      </c>
      <c r="OD457" s="27" t="s">
        <v>7</v>
      </c>
      <c r="OF457" s="27" t="s">
        <v>7</v>
      </c>
      <c r="OG457" s="27" t="s">
        <v>8</v>
      </c>
      <c r="OL457" s="27" t="s">
        <v>7</v>
      </c>
      <c r="OM457" s="27" t="s">
        <v>8</v>
      </c>
      <c r="ON457" s="27" t="s">
        <v>7</v>
      </c>
      <c r="OO457" s="27" t="s">
        <v>8</v>
      </c>
      <c r="OP457" s="27" t="s">
        <v>7</v>
      </c>
      <c r="OQ457" s="27" t="s">
        <v>8</v>
      </c>
      <c r="OX457" s="27" t="s">
        <v>7</v>
      </c>
      <c r="OY457" s="27" t="s">
        <v>8</v>
      </c>
      <c r="OZ457" s="27" t="s">
        <v>7</v>
      </c>
      <c r="PA457" s="27" t="s">
        <v>8</v>
      </c>
      <c r="PB457" s="27" t="s">
        <v>7</v>
      </c>
      <c r="PC457" s="27" t="s">
        <v>8</v>
      </c>
      <c r="RT457" s="27" t="s">
        <v>7</v>
      </c>
      <c r="RV457" s="27" t="s">
        <v>7</v>
      </c>
      <c r="RW457" s="27" t="s">
        <v>8</v>
      </c>
      <c r="RZ457" s="27" t="s">
        <v>7</v>
      </c>
    </row>
    <row r="458" spans="1:498" x14ac:dyDescent="0.25">
      <c r="A458" s="7">
        <v>12.865366342182144</v>
      </c>
      <c r="B458"/>
      <c r="C458"/>
      <c r="D458"/>
      <c r="E458"/>
      <c r="LQ458" s="27" t="s">
        <v>8</v>
      </c>
      <c r="LR458" s="27" t="s">
        <v>7</v>
      </c>
      <c r="LS458" s="27" t="s">
        <v>8</v>
      </c>
      <c r="LT458" s="27" t="s">
        <v>7</v>
      </c>
      <c r="LU458" s="27" t="s">
        <v>8</v>
      </c>
      <c r="MK458" s="27" t="s">
        <v>8</v>
      </c>
      <c r="ML458" s="27" t="s">
        <v>7</v>
      </c>
      <c r="MM458" s="27" t="s">
        <v>8</v>
      </c>
      <c r="MN458" s="27" t="s">
        <v>7</v>
      </c>
      <c r="MO458" s="27" t="s">
        <v>8</v>
      </c>
      <c r="MQ458" s="27" t="s">
        <v>8</v>
      </c>
      <c r="MR458" s="27" t="s">
        <v>7</v>
      </c>
      <c r="MS458" s="27" t="s">
        <v>8</v>
      </c>
      <c r="MT458" s="27" t="s">
        <v>7</v>
      </c>
      <c r="MU458" s="27" t="s">
        <v>8</v>
      </c>
      <c r="NB458" s="27" t="s">
        <v>7</v>
      </c>
      <c r="NC458" s="27" t="s">
        <v>8</v>
      </c>
      <c r="ND458" s="27" t="s">
        <v>7</v>
      </c>
      <c r="NE458" s="27" t="s">
        <v>8</v>
      </c>
      <c r="NF458" s="27" t="s">
        <v>7</v>
      </c>
      <c r="NG458" s="27" t="s">
        <v>8</v>
      </c>
      <c r="NV458" s="27" t="s">
        <v>7</v>
      </c>
      <c r="NW458" s="27" t="s">
        <v>8</v>
      </c>
      <c r="NZ458" s="27" t="s">
        <v>7</v>
      </c>
      <c r="OA458" s="27" t="s">
        <v>8</v>
      </c>
      <c r="OB458" s="27" t="s">
        <v>7</v>
      </c>
      <c r="OF458" s="27" t="s">
        <v>7</v>
      </c>
      <c r="OL458" s="27" t="s">
        <v>7</v>
      </c>
      <c r="OM458" s="27" t="s">
        <v>8</v>
      </c>
      <c r="ON458" s="27" t="s">
        <v>7</v>
      </c>
      <c r="OO458" s="27" t="s">
        <v>8</v>
      </c>
      <c r="OP458" s="27" t="s">
        <v>7</v>
      </c>
      <c r="OX458" s="27" t="s">
        <v>7</v>
      </c>
      <c r="OZ458" s="27" t="s">
        <v>7</v>
      </c>
      <c r="PB458" s="18" t="s">
        <v>7</v>
      </c>
      <c r="PC458" s="27" t="s">
        <v>8</v>
      </c>
      <c r="RV458" s="27" t="s">
        <v>7</v>
      </c>
      <c r="RZ458" s="27" t="s">
        <v>7</v>
      </c>
    </row>
    <row r="459" spans="1:498" x14ac:dyDescent="0.25">
      <c r="A459" s="7">
        <v>12.613104257041318</v>
      </c>
      <c r="B459"/>
      <c r="C459"/>
      <c r="D459"/>
      <c r="E459"/>
      <c r="LQ459" s="27" t="s">
        <v>8</v>
      </c>
      <c r="LR459" s="27" t="s">
        <v>7</v>
      </c>
      <c r="LS459" s="27" t="s">
        <v>8</v>
      </c>
      <c r="LT459" s="27" t="s">
        <v>7</v>
      </c>
      <c r="LU459" s="27" t="s">
        <v>8</v>
      </c>
      <c r="LV459" s="27" t="s">
        <v>7</v>
      </c>
      <c r="MK459" s="27" t="s">
        <v>8</v>
      </c>
      <c r="ML459" s="27" t="s">
        <v>7</v>
      </c>
      <c r="MM459" s="27" t="s">
        <v>8</v>
      </c>
      <c r="MN459" s="27" t="s">
        <v>7</v>
      </c>
      <c r="MO459" s="27" t="s">
        <v>8</v>
      </c>
      <c r="MP459" s="27" t="s">
        <v>7</v>
      </c>
      <c r="MQ459" s="27" t="s">
        <v>8</v>
      </c>
      <c r="MR459" s="27" t="s">
        <v>7</v>
      </c>
      <c r="MS459" s="27" t="s">
        <v>8</v>
      </c>
      <c r="MT459" s="27" t="s">
        <v>7</v>
      </c>
      <c r="MU459" s="27" t="s">
        <v>8</v>
      </c>
      <c r="NB459" s="27" t="s">
        <v>7</v>
      </c>
      <c r="NC459" s="27" t="s">
        <v>8</v>
      </c>
      <c r="ND459" s="27" t="s">
        <v>7</v>
      </c>
      <c r="NE459" s="27" t="s">
        <v>8</v>
      </c>
      <c r="NF459" s="27" t="s">
        <v>7</v>
      </c>
      <c r="NG459" s="27" t="s">
        <v>8</v>
      </c>
      <c r="NV459" s="27" t="s">
        <v>7</v>
      </c>
      <c r="NW459" s="27" t="s">
        <v>8</v>
      </c>
      <c r="NZ459" s="27" t="s">
        <v>7</v>
      </c>
      <c r="OA459" s="27" t="s">
        <v>8</v>
      </c>
      <c r="OL459" s="27" t="s">
        <v>7</v>
      </c>
      <c r="OM459" s="27" t="s">
        <v>8</v>
      </c>
      <c r="ON459" s="27" t="s">
        <v>7</v>
      </c>
      <c r="PB459" s="27" t="s">
        <v>7</v>
      </c>
      <c r="PC459" s="27" t="s">
        <v>8</v>
      </c>
      <c r="RZ459" s="27" t="s">
        <v>7</v>
      </c>
    </row>
    <row r="460" spans="1:498" x14ac:dyDescent="0.25">
      <c r="A460" s="7">
        <v>12.36578848729541</v>
      </c>
      <c r="B460"/>
      <c r="C460"/>
      <c r="D460"/>
      <c r="E460"/>
      <c r="LQ460" s="27" t="s">
        <v>8</v>
      </c>
      <c r="LR460" s="27" t="s">
        <v>7</v>
      </c>
      <c r="LS460" s="27" t="s">
        <v>8</v>
      </c>
      <c r="LT460" s="27" t="s">
        <v>7</v>
      </c>
      <c r="LU460" s="27" t="s">
        <v>8</v>
      </c>
      <c r="LV460" s="27" t="s">
        <v>7</v>
      </c>
      <c r="MK460" s="27" t="s">
        <v>8</v>
      </c>
      <c r="ML460" s="27" t="s">
        <v>7</v>
      </c>
      <c r="MM460" s="27" t="s">
        <v>8</v>
      </c>
      <c r="MN460" s="27" t="s">
        <v>7</v>
      </c>
      <c r="MO460" s="27" t="s">
        <v>8</v>
      </c>
      <c r="MP460" s="27" t="s">
        <v>7</v>
      </c>
      <c r="MQ460" s="27" t="s">
        <v>8</v>
      </c>
      <c r="MR460" s="27" t="s">
        <v>7</v>
      </c>
      <c r="MS460" s="27" t="s">
        <v>8</v>
      </c>
      <c r="MT460" s="27" t="s">
        <v>7</v>
      </c>
      <c r="MU460" s="27" t="s">
        <v>8</v>
      </c>
      <c r="NB460" s="27" t="s">
        <v>7</v>
      </c>
      <c r="NC460" s="27" t="s">
        <v>8</v>
      </c>
      <c r="ND460" s="27" t="s">
        <v>7</v>
      </c>
      <c r="NE460" s="27" t="s">
        <v>8</v>
      </c>
      <c r="NF460" s="27" t="s">
        <v>7</v>
      </c>
      <c r="NV460" s="27" t="s">
        <v>7</v>
      </c>
      <c r="NW460" s="27" t="s">
        <v>8</v>
      </c>
      <c r="NZ460" s="27" t="s">
        <v>7</v>
      </c>
      <c r="OA460" s="27" t="s">
        <v>8</v>
      </c>
      <c r="OL460" s="27" t="s">
        <v>7</v>
      </c>
      <c r="OM460" s="27" t="s">
        <v>8</v>
      </c>
      <c r="PB460" s="27" t="s">
        <v>7</v>
      </c>
      <c r="PC460" s="27" t="s">
        <v>8</v>
      </c>
      <c r="RZ460" s="27" t="s">
        <v>7</v>
      </c>
    </row>
    <row r="461" spans="1:498" x14ac:dyDescent="0.25">
      <c r="A461" s="7">
        <v>12.123322046368049</v>
      </c>
      <c r="B461"/>
      <c r="C461"/>
      <c r="D461"/>
      <c r="E461"/>
      <c r="LQ461" s="27" t="s">
        <v>8</v>
      </c>
      <c r="LR461" s="27" t="s">
        <v>7</v>
      </c>
      <c r="LS461" s="27" t="s">
        <v>8</v>
      </c>
      <c r="LT461" s="27" t="s">
        <v>7</v>
      </c>
      <c r="LU461" s="27" t="s">
        <v>8</v>
      </c>
      <c r="LV461" s="27" t="s">
        <v>7</v>
      </c>
      <c r="MK461" s="27" t="s">
        <v>8</v>
      </c>
      <c r="ML461" s="27" t="s">
        <v>7</v>
      </c>
      <c r="MM461" s="27" t="s">
        <v>8</v>
      </c>
      <c r="MN461" s="27" t="s">
        <v>7</v>
      </c>
      <c r="MO461" s="27" t="s">
        <v>8</v>
      </c>
      <c r="MP461" s="27" t="s">
        <v>7</v>
      </c>
      <c r="MQ461" s="27" t="s">
        <v>8</v>
      </c>
      <c r="MR461" s="27" t="s">
        <v>7</v>
      </c>
      <c r="MS461" s="27" t="s">
        <v>8</v>
      </c>
      <c r="MT461" s="27" t="s">
        <v>7</v>
      </c>
      <c r="NB461" s="27" t="s">
        <v>7</v>
      </c>
      <c r="NC461" s="27" t="s">
        <v>8</v>
      </c>
      <c r="ND461" s="27" t="s">
        <v>7</v>
      </c>
      <c r="NE461" s="27" t="s">
        <v>8</v>
      </c>
      <c r="NV461" s="27" t="s">
        <v>7</v>
      </c>
      <c r="NW461" s="27" t="s">
        <v>8</v>
      </c>
      <c r="NZ461" s="27" t="s">
        <v>7</v>
      </c>
      <c r="OL461" s="27" t="s">
        <v>7</v>
      </c>
      <c r="OM461" s="27" t="s">
        <v>8</v>
      </c>
      <c r="PB461" s="27" t="s">
        <v>7</v>
      </c>
      <c r="PC461" s="27" t="s">
        <v>8</v>
      </c>
      <c r="RZ461" s="27" t="s">
        <v>7</v>
      </c>
    </row>
    <row r="462" spans="1:498" x14ac:dyDescent="0.25">
      <c r="A462" s="7">
        <v>11.88560984938044</v>
      </c>
      <c r="B462"/>
      <c r="C462"/>
      <c r="D462"/>
      <c r="E462"/>
      <c r="LQ462" s="27" t="s">
        <v>8</v>
      </c>
      <c r="LR462" s="27" t="s">
        <v>7</v>
      </c>
      <c r="LS462" s="27" t="s">
        <v>8</v>
      </c>
      <c r="LT462" s="27" t="s">
        <v>7</v>
      </c>
      <c r="LU462" s="27" t="s">
        <v>8</v>
      </c>
      <c r="LV462" s="27" t="s">
        <v>7</v>
      </c>
      <c r="MK462" s="27" t="s">
        <v>8</v>
      </c>
      <c r="ML462" s="27" t="s">
        <v>7</v>
      </c>
      <c r="MM462" s="27" t="s">
        <v>8</v>
      </c>
      <c r="MN462" s="27" t="s">
        <v>7</v>
      </c>
      <c r="MO462" s="27" t="s">
        <v>8</v>
      </c>
      <c r="MP462" s="27" t="s">
        <v>7</v>
      </c>
      <c r="MQ462" s="27" t="s">
        <v>8</v>
      </c>
      <c r="MR462" s="27" t="s">
        <v>7</v>
      </c>
      <c r="MS462" s="27" t="s">
        <v>8</v>
      </c>
      <c r="NB462" s="27" t="s">
        <v>7</v>
      </c>
      <c r="ND462" s="27" t="s">
        <v>7</v>
      </c>
      <c r="NE462" s="27" t="s">
        <v>8</v>
      </c>
      <c r="NV462" s="27" t="s">
        <v>7</v>
      </c>
      <c r="OL462" s="27" t="s">
        <v>7</v>
      </c>
      <c r="OM462" s="27" t="s">
        <v>8</v>
      </c>
      <c r="PB462" s="27" t="s">
        <v>7</v>
      </c>
      <c r="PC462" s="27" t="s">
        <v>8</v>
      </c>
      <c r="RZ462" s="27" t="s">
        <v>7</v>
      </c>
      <c r="SC462" s="27" t="s">
        <v>8</v>
      </c>
    </row>
    <row r="463" spans="1:498" x14ac:dyDescent="0.25">
      <c r="A463" s="7">
        <v>11.652558675863176</v>
      </c>
      <c r="B463"/>
      <c r="C463"/>
      <c r="D463"/>
      <c r="E463"/>
      <c r="LQ463" s="27" t="s">
        <v>8</v>
      </c>
      <c r="LR463" s="27" t="s">
        <v>7</v>
      </c>
      <c r="LS463" s="27" t="s">
        <v>8</v>
      </c>
      <c r="LT463" s="27" t="s">
        <v>7</v>
      </c>
      <c r="LV463" s="27" t="s">
        <v>7</v>
      </c>
      <c r="MK463" s="27" t="s">
        <v>8</v>
      </c>
      <c r="ML463" s="27" t="s">
        <v>7</v>
      </c>
      <c r="MM463" s="27" t="s">
        <v>8</v>
      </c>
      <c r="MN463" s="27" t="s">
        <v>7</v>
      </c>
      <c r="MP463" s="27" t="s">
        <v>7</v>
      </c>
      <c r="MQ463" s="27" t="s">
        <v>8</v>
      </c>
      <c r="MR463" s="27" t="s">
        <v>7</v>
      </c>
      <c r="MS463" s="27" t="s">
        <v>8</v>
      </c>
      <c r="ND463" s="27" t="s">
        <v>7</v>
      </c>
      <c r="NE463" s="27" t="s">
        <v>8</v>
      </c>
      <c r="OL463" s="27" t="s">
        <v>7</v>
      </c>
      <c r="OM463" s="27" t="s">
        <v>8</v>
      </c>
      <c r="PB463" s="27" t="s">
        <v>7</v>
      </c>
      <c r="RZ463" s="27" t="s">
        <v>7</v>
      </c>
      <c r="SC463" s="27" t="s">
        <v>8</v>
      </c>
      <c r="SD463" s="27" t="s">
        <v>7</v>
      </c>
    </row>
    <row r="464" spans="1:498" x14ac:dyDescent="0.25">
      <c r="A464" s="7">
        <v>11.424077133199193</v>
      </c>
      <c r="B464"/>
      <c r="C464"/>
      <c r="D464"/>
      <c r="E464"/>
      <c r="LQ464" s="27" t="s">
        <v>8</v>
      </c>
      <c r="LR464" s="27" t="s">
        <v>7</v>
      </c>
      <c r="LS464" s="27" t="s">
        <v>8</v>
      </c>
      <c r="LV464" s="27" t="s">
        <v>7</v>
      </c>
      <c r="LW464" s="27" t="s">
        <v>8</v>
      </c>
      <c r="MK464" s="27" t="s">
        <v>8</v>
      </c>
      <c r="ML464" s="27" t="s">
        <v>7</v>
      </c>
      <c r="MM464" s="27" t="s">
        <v>8</v>
      </c>
      <c r="MP464" s="27" t="s">
        <v>7</v>
      </c>
      <c r="MR464" s="27" t="s">
        <v>7</v>
      </c>
      <c r="ND464" s="27" t="s">
        <v>7</v>
      </c>
      <c r="NE464" s="27" t="s">
        <v>8</v>
      </c>
      <c r="OL464" s="27" t="s">
        <v>7</v>
      </c>
      <c r="RZ464" s="27" t="s">
        <v>7</v>
      </c>
      <c r="SC464" s="27" t="s">
        <v>8</v>
      </c>
      <c r="SD464" s="27" t="s">
        <v>7</v>
      </c>
    </row>
    <row r="465" spans="1:498" x14ac:dyDescent="0.25">
      <c r="A465" s="7">
        <v>11.200075620783522</v>
      </c>
      <c r="B465"/>
      <c r="C465"/>
      <c r="D465"/>
      <c r="E465"/>
      <c r="LM465" s="27" t="s">
        <v>8</v>
      </c>
      <c r="LO465" s="27" t="s">
        <v>8</v>
      </c>
      <c r="LQ465" s="27" t="s">
        <v>8</v>
      </c>
      <c r="LR465" s="27" t="s">
        <v>7</v>
      </c>
      <c r="LS465" s="27" t="s">
        <v>8</v>
      </c>
      <c r="LV465" s="27" t="s">
        <v>7</v>
      </c>
      <c r="LW465" s="27" t="s">
        <v>8</v>
      </c>
      <c r="LX465" s="27" t="s">
        <v>7</v>
      </c>
      <c r="MK465" s="27" t="s">
        <v>8</v>
      </c>
      <c r="ML465" s="27" t="s">
        <v>7</v>
      </c>
      <c r="MM465" s="27" t="s">
        <v>8</v>
      </c>
      <c r="ND465" s="27" t="s">
        <v>7</v>
      </c>
      <c r="RZ465" s="27" t="s">
        <v>7</v>
      </c>
      <c r="SC465" s="27" t="s">
        <v>8</v>
      </c>
      <c r="SD465" s="27" t="s">
        <v>7</v>
      </c>
    </row>
    <row r="466" spans="1:498" x14ac:dyDescent="0.25">
      <c r="A466" s="7">
        <v>10.980466294885806</v>
      </c>
      <c r="B466"/>
      <c r="C466"/>
      <c r="D466"/>
      <c r="E466"/>
      <c r="LM466" s="27" t="s">
        <v>8</v>
      </c>
      <c r="LN466" s="27" t="s">
        <v>7</v>
      </c>
      <c r="LO466" s="27" t="s">
        <v>8</v>
      </c>
      <c r="LP466" s="27" t="s">
        <v>7</v>
      </c>
      <c r="LQ466" s="27" t="s">
        <v>8</v>
      </c>
      <c r="LR466" s="27" t="s">
        <v>7</v>
      </c>
      <c r="LS466" s="27" t="s">
        <v>8</v>
      </c>
      <c r="LV466" s="27" t="s">
        <v>7</v>
      </c>
      <c r="LW466" s="27" t="s">
        <v>8</v>
      </c>
      <c r="LX466" s="27" t="s">
        <v>7</v>
      </c>
      <c r="MK466" s="27" t="s">
        <v>8</v>
      </c>
      <c r="ML466" s="27" t="s">
        <v>7</v>
      </c>
      <c r="MM466" s="27" t="s">
        <v>8</v>
      </c>
      <c r="RZ466" s="27" t="s">
        <v>7</v>
      </c>
      <c r="SC466" s="27" t="s">
        <v>8</v>
      </c>
      <c r="SD466" s="27" t="s">
        <v>7</v>
      </c>
    </row>
    <row r="467" spans="1:498" x14ac:dyDescent="0.25">
      <c r="A467" s="7">
        <v>10.765163034201771</v>
      </c>
      <c r="B467"/>
      <c r="C467"/>
      <c r="D467"/>
      <c r="E467"/>
      <c r="LM467" s="27" t="s">
        <v>8</v>
      </c>
      <c r="LN467" s="27" t="s">
        <v>7</v>
      </c>
      <c r="LO467" s="27" t="s">
        <v>8</v>
      </c>
      <c r="LP467" s="27" t="s">
        <v>7</v>
      </c>
      <c r="LQ467" s="27" t="s">
        <v>8</v>
      </c>
      <c r="LR467" s="27" t="s">
        <v>7</v>
      </c>
      <c r="LS467" s="27" t="s">
        <v>8</v>
      </c>
      <c r="LV467" s="27" t="s">
        <v>7</v>
      </c>
      <c r="LW467" s="27" t="s">
        <v>8</v>
      </c>
      <c r="LX467" s="27" t="s">
        <v>7</v>
      </c>
      <c r="ME467" s="27" t="s">
        <v>8</v>
      </c>
      <c r="MI467" s="27" t="s">
        <v>8</v>
      </c>
      <c r="MK467" s="27" t="s">
        <v>8</v>
      </c>
      <c r="ML467" s="27" t="s">
        <v>7</v>
      </c>
      <c r="MM467" s="27" t="s">
        <v>8</v>
      </c>
      <c r="RZ467" s="27" t="s">
        <v>7</v>
      </c>
      <c r="SC467" s="27" t="s">
        <v>8</v>
      </c>
      <c r="SD467" s="27" t="s">
        <v>7</v>
      </c>
    </row>
    <row r="468" spans="1:498" x14ac:dyDescent="0.25">
      <c r="A468" s="7">
        <v>10.554081406080169</v>
      </c>
      <c r="B468"/>
      <c r="C468"/>
      <c r="D468"/>
      <c r="E468"/>
      <c r="LM468" s="27" t="s">
        <v>8</v>
      </c>
      <c r="LN468" s="27" t="s">
        <v>7</v>
      </c>
      <c r="LO468" s="27" t="s">
        <v>8</v>
      </c>
      <c r="LP468" s="27" t="s">
        <v>7</v>
      </c>
      <c r="LQ468" s="27" t="s">
        <v>8</v>
      </c>
      <c r="LR468" s="27" t="s">
        <v>7</v>
      </c>
      <c r="LS468" s="27" t="s">
        <v>8</v>
      </c>
      <c r="LV468" s="27" t="s">
        <v>7</v>
      </c>
      <c r="LW468" s="27" t="s">
        <v>8</v>
      </c>
      <c r="LX468" s="27" t="s">
        <v>7</v>
      </c>
      <c r="ME468" s="27" t="s">
        <v>8</v>
      </c>
      <c r="MF468" s="27" t="s">
        <v>7</v>
      </c>
      <c r="MI468" s="27" t="s">
        <v>8</v>
      </c>
      <c r="MJ468" s="27" t="s">
        <v>7</v>
      </c>
      <c r="MK468" s="27" t="s">
        <v>8</v>
      </c>
      <c r="ML468" s="27" t="s">
        <v>7</v>
      </c>
      <c r="MM468" s="27" t="s">
        <v>8</v>
      </c>
      <c r="RZ468" s="27" t="s">
        <v>7</v>
      </c>
      <c r="SC468" s="27" t="s">
        <v>8</v>
      </c>
      <c r="SD468" s="27" t="s">
        <v>7</v>
      </c>
    </row>
    <row r="469" spans="1:498" x14ac:dyDescent="0.25">
      <c r="A469" s="7">
        <v>10.34713863341193</v>
      </c>
      <c r="B469"/>
      <c r="C469"/>
      <c r="D469"/>
      <c r="E469"/>
      <c r="LM469" s="27" t="s">
        <v>8</v>
      </c>
      <c r="LN469" s="27" t="s">
        <v>7</v>
      </c>
      <c r="LO469" s="27" t="s">
        <v>8</v>
      </c>
      <c r="LP469" s="27" t="s">
        <v>7</v>
      </c>
      <c r="LQ469" s="27" t="s">
        <v>8</v>
      </c>
      <c r="LR469" s="27" t="s">
        <v>7</v>
      </c>
      <c r="LS469" s="27" t="s">
        <v>8</v>
      </c>
      <c r="LV469" s="27" t="s">
        <v>7</v>
      </c>
      <c r="LW469" s="27" t="s">
        <v>8</v>
      </c>
      <c r="LX469" s="27" t="s">
        <v>7</v>
      </c>
      <c r="MC469" s="27" t="s">
        <v>8</v>
      </c>
      <c r="ME469" s="27" t="s">
        <v>8</v>
      </c>
      <c r="MF469" s="27" t="s">
        <v>7</v>
      </c>
      <c r="MI469" s="27" t="s">
        <v>8</v>
      </c>
      <c r="MJ469" s="27" t="s">
        <v>7</v>
      </c>
      <c r="MK469" s="27" t="s">
        <v>8</v>
      </c>
      <c r="ML469" s="27" t="s">
        <v>7</v>
      </c>
      <c r="RZ469" s="27" t="s">
        <v>7</v>
      </c>
      <c r="SC469" s="27" t="s">
        <v>8</v>
      </c>
      <c r="SD469" s="27" t="s">
        <v>7</v>
      </c>
    </row>
    <row r="470" spans="1:498" x14ac:dyDescent="0.25">
      <c r="A470" s="7">
        <v>10.14425356216856</v>
      </c>
      <c r="B470"/>
      <c r="C470"/>
      <c r="D470"/>
      <c r="E470"/>
      <c r="LM470" s="27" t="s">
        <v>8</v>
      </c>
      <c r="LN470" s="27" t="s">
        <v>7</v>
      </c>
      <c r="LO470" s="27" t="s">
        <v>8</v>
      </c>
      <c r="LP470" s="27" t="s">
        <v>7</v>
      </c>
      <c r="LQ470" s="27" t="s">
        <v>8</v>
      </c>
      <c r="LR470" s="27" t="s">
        <v>7</v>
      </c>
      <c r="LS470" s="27" t="s">
        <v>8</v>
      </c>
      <c r="LV470" s="27" t="s">
        <v>7</v>
      </c>
      <c r="LW470" s="27" t="s">
        <v>8</v>
      </c>
      <c r="LX470" s="27" t="s">
        <v>7</v>
      </c>
      <c r="MC470" s="27" t="s">
        <v>8</v>
      </c>
      <c r="MD470" s="27" t="s">
        <v>7</v>
      </c>
      <c r="ME470" s="27" t="s">
        <v>8</v>
      </c>
      <c r="MF470" s="27" t="s">
        <v>7</v>
      </c>
      <c r="MG470" s="27" t="s">
        <v>8</v>
      </c>
      <c r="MI470" s="27" t="s">
        <v>8</v>
      </c>
      <c r="MJ470" s="27" t="s">
        <v>7</v>
      </c>
      <c r="MK470" s="27" t="s">
        <v>8</v>
      </c>
      <c r="RZ470" s="27" t="s">
        <v>7</v>
      </c>
      <c r="SC470" s="27" t="s">
        <v>8</v>
      </c>
      <c r="SD470" s="27" t="s">
        <v>7</v>
      </c>
    </row>
    <row r="471" spans="1:498" x14ac:dyDescent="0.25">
      <c r="A471" s="7">
        <v>9.9453466295770188</v>
      </c>
      <c r="B471"/>
      <c r="C471"/>
      <c r="D471"/>
      <c r="E471"/>
      <c r="LM471" s="27" t="s">
        <v>8</v>
      </c>
      <c r="LN471" s="27" t="s">
        <v>7</v>
      </c>
      <c r="LO471" s="27" t="s">
        <v>8</v>
      </c>
      <c r="LP471" s="27" t="s">
        <v>7</v>
      </c>
      <c r="LR471" s="27" t="s">
        <v>7</v>
      </c>
      <c r="LS471" s="27" t="s">
        <v>8</v>
      </c>
      <c r="LV471" s="27" t="s">
        <v>7</v>
      </c>
      <c r="LW471" s="27" t="s">
        <v>8</v>
      </c>
      <c r="LX471" s="27" t="s">
        <v>7</v>
      </c>
      <c r="LY471" s="27" t="s">
        <v>8</v>
      </c>
      <c r="MA471" s="27" t="s">
        <v>8</v>
      </c>
      <c r="MC471" s="27" t="s">
        <v>8</v>
      </c>
      <c r="MD471" s="27" t="s">
        <v>7</v>
      </c>
      <c r="ME471" s="27" t="s">
        <v>8</v>
      </c>
      <c r="MF471" s="27" t="s">
        <v>7</v>
      </c>
      <c r="MG471" s="27" t="s">
        <v>8</v>
      </c>
      <c r="MH471" s="27" t="s">
        <v>7</v>
      </c>
      <c r="MI471" s="27" t="s">
        <v>8</v>
      </c>
      <c r="MJ471" s="27" t="s">
        <v>7</v>
      </c>
      <c r="MK471" s="27" t="s">
        <v>8</v>
      </c>
      <c r="RZ471" s="27" t="s">
        <v>7</v>
      </c>
      <c r="SC471" s="27" t="s">
        <v>8</v>
      </c>
      <c r="SD471" s="27" t="s">
        <v>7</v>
      </c>
    </row>
    <row r="472" spans="1:498" x14ac:dyDescent="0.25">
      <c r="A472" s="7">
        <v>9.7503398329186464</v>
      </c>
      <c r="B472"/>
      <c r="C472"/>
      <c r="D472"/>
      <c r="E472"/>
      <c r="LM472" s="27" t="s">
        <v>8</v>
      </c>
      <c r="LN472" s="27" t="s">
        <v>7</v>
      </c>
      <c r="LO472" s="27" t="s">
        <v>8</v>
      </c>
      <c r="LR472" s="27" t="s">
        <v>7</v>
      </c>
      <c r="LS472" s="27" t="s">
        <v>8</v>
      </c>
      <c r="LV472" s="27" t="s">
        <v>7</v>
      </c>
      <c r="LW472" s="27" t="s">
        <v>8</v>
      </c>
      <c r="LX472" s="27" t="s">
        <v>7</v>
      </c>
      <c r="LY472" s="27" t="s">
        <v>8</v>
      </c>
      <c r="LZ472" s="27" t="s">
        <v>7</v>
      </c>
      <c r="MA472" s="27" t="s">
        <v>8</v>
      </c>
      <c r="MB472" s="27" t="s">
        <v>7</v>
      </c>
      <c r="MC472" s="27" t="s">
        <v>8</v>
      </c>
      <c r="MD472" s="27" t="s">
        <v>7</v>
      </c>
      <c r="MF472" s="27" t="s">
        <v>7</v>
      </c>
      <c r="MG472" s="27" t="s">
        <v>8</v>
      </c>
      <c r="MH472" s="27" t="s">
        <v>7</v>
      </c>
      <c r="MI472" s="27" t="s">
        <v>8</v>
      </c>
      <c r="MJ472" s="27" t="s">
        <v>7</v>
      </c>
      <c r="RZ472" s="27" t="s">
        <v>7</v>
      </c>
      <c r="SC472" s="27" t="s">
        <v>8</v>
      </c>
      <c r="SD472" s="27" t="s">
        <v>7</v>
      </c>
    </row>
    <row r="473" spans="1:498" x14ac:dyDescent="0.25">
      <c r="A473" s="7">
        <v>9.5591566989398498</v>
      </c>
      <c r="B473"/>
      <c r="C473"/>
      <c r="D473"/>
      <c r="E473"/>
      <c r="LM473" s="27" t="s">
        <v>8</v>
      </c>
      <c r="LN473" s="27" t="s">
        <v>7</v>
      </c>
      <c r="LO473" s="27" t="s">
        <v>8</v>
      </c>
      <c r="LR473" s="27" t="s">
        <v>7</v>
      </c>
      <c r="LS473" s="27" t="s">
        <v>8</v>
      </c>
      <c r="LV473" s="27" t="s">
        <v>7</v>
      </c>
      <c r="LW473" s="27" t="s">
        <v>8</v>
      </c>
      <c r="LX473" s="27" t="s">
        <v>7</v>
      </c>
      <c r="LY473" s="27" t="s">
        <v>8</v>
      </c>
      <c r="LZ473" s="27" t="s">
        <v>7</v>
      </c>
      <c r="MA473" s="27" t="s">
        <v>8</v>
      </c>
      <c r="MB473" s="27" t="s">
        <v>7</v>
      </c>
      <c r="MC473" s="27" t="s">
        <v>8</v>
      </c>
      <c r="MF473" s="27" t="s">
        <v>7</v>
      </c>
      <c r="MH473" s="27" t="s">
        <v>7</v>
      </c>
      <c r="MI473" s="27" t="s">
        <v>8</v>
      </c>
      <c r="RZ473" s="27" t="s">
        <v>7</v>
      </c>
      <c r="SC473" s="27" t="s">
        <v>8</v>
      </c>
    </row>
    <row r="474" spans="1:498" x14ac:dyDescent="0.25">
      <c r="A474" s="7">
        <v>9.3717222538625968</v>
      </c>
      <c r="B474"/>
      <c r="C474"/>
      <c r="D474"/>
      <c r="E474"/>
      <c r="LM474" s="27" t="s">
        <v>8</v>
      </c>
      <c r="LN474" s="27" t="s">
        <v>7</v>
      </c>
      <c r="LO474" s="27" t="s">
        <v>8</v>
      </c>
      <c r="LR474" s="27" t="s">
        <v>7</v>
      </c>
      <c r="LV474" s="27" t="s">
        <v>7</v>
      </c>
      <c r="LW474" s="27" t="s">
        <v>8</v>
      </c>
      <c r="LX474" s="27" t="s">
        <v>7</v>
      </c>
      <c r="LY474" s="27" t="s">
        <v>8</v>
      </c>
      <c r="LZ474" s="27" t="s">
        <v>7</v>
      </c>
      <c r="MA474" s="27" t="s">
        <v>8</v>
      </c>
      <c r="MB474" s="27" t="s">
        <v>7</v>
      </c>
      <c r="MC474" s="27" t="s">
        <v>8</v>
      </c>
      <c r="MH474" s="27" t="s">
        <v>7</v>
      </c>
      <c r="RZ474" s="27" t="s">
        <v>7</v>
      </c>
      <c r="SA474" s="27" t="s">
        <v>8</v>
      </c>
      <c r="SC474" s="27" t="s">
        <v>8</v>
      </c>
    </row>
    <row r="475" spans="1:498" x14ac:dyDescent="0.25">
      <c r="A475" s="7">
        <v>9.1879629939829375</v>
      </c>
      <c r="B475"/>
      <c r="C475"/>
      <c r="D475"/>
      <c r="E475"/>
      <c r="KG475" s="27" t="s">
        <v>8</v>
      </c>
      <c r="LM475" s="27" t="s">
        <v>8</v>
      </c>
      <c r="LN475" s="27" t="s">
        <v>7</v>
      </c>
      <c r="LO475" s="27" t="s">
        <v>8</v>
      </c>
      <c r="LV475" s="27" t="s">
        <v>7</v>
      </c>
      <c r="LW475" s="27" t="s">
        <v>8</v>
      </c>
      <c r="LX475" s="27" t="s">
        <v>7</v>
      </c>
      <c r="LY475" s="27" t="s">
        <v>8</v>
      </c>
      <c r="LZ475" s="27" t="s">
        <v>7</v>
      </c>
      <c r="MA475" s="27" t="s">
        <v>8</v>
      </c>
      <c r="MB475" s="27" t="s">
        <v>7</v>
      </c>
      <c r="MC475" s="27" t="s">
        <v>8</v>
      </c>
      <c r="RZ475" s="27" t="s">
        <v>7</v>
      </c>
      <c r="SA475" s="27" t="s">
        <v>8</v>
      </c>
      <c r="SB475" s="27" t="s">
        <v>7</v>
      </c>
      <c r="SC475" s="27" t="s">
        <v>8</v>
      </c>
    </row>
    <row r="476" spans="1:498" x14ac:dyDescent="0.25">
      <c r="A476" s="7">
        <v>9.0078068568460168</v>
      </c>
      <c r="B476"/>
      <c r="C476"/>
      <c r="D476"/>
      <c r="E476"/>
      <c r="KG476" s="27" t="s">
        <v>8</v>
      </c>
      <c r="KH476" s="27" t="s">
        <v>7</v>
      </c>
      <c r="LM476" s="27" t="s">
        <v>8</v>
      </c>
      <c r="LN476" s="27" t="s">
        <v>7</v>
      </c>
      <c r="LV476" s="27" t="s">
        <v>7</v>
      </c>
      <c r="LW476" s="27" t="s">
        <v>8</v>
      </c>
      <c r="LX476" s="27" t="s">
        <v>7</v>
      </c>
      <c r="LZ476" s="27" t="s">
        <v>7</v>
      </c>
      <c r="MA476" s="27" t="s">
        <v>8</v>
      </c>
      <c r="MB476" s="27" t="s">
        <v>7</v>
      </c>
      <c r="RZ476" s="27" t="s">
        <v>7</v>
      </c>
      <c r="SA476" s="27" t="s">
        <v>8</v>
      </c>
      <c r="SB476" s="27" t="s">
        <v>7</v>
      </c>
      <c r="SC476" s="27" t="s">
        <v>8</v>
      </c>
    </row>
    <row r="477" spans="1:498" x14ac:dyDescent="0.25">
      <c r="A477" s="7">
        <v>8.8311831929862912</v>
      </c>
      <c r="B477"/>
      <c r="C477"/>
      <c r="D477"/>
      <c r="E477"/>
      <c r="KG477" s="27" t="s">
        <v>8</v>
      </c>
      <c r="KH477" s="27" t="s">
        <v>7</v>
      </c>
      <c r="KK477" s="27" t="s">
        <v>8</v>
      </c>
      <c r="KM477" s="27" t="s">
        <v>8</v>
      </c>
      <c r="LK477" s="27" t="s">
        <v>8</v>
      </c>
      <c r="LM477" s="27" t="s">
        <v>8</v>
      </c>
      <c r="LV477" s="27" t="s">
        <v>7</v>
      </c>
      <c r="LW477" s="27" t="s">
        <v>8</v>
      </c>
      <c r="LZ477" s="27" t="s">
        <v>7</v>
      </c>
      <c r="MA477" s="27" t="s">
        <v>8</v>
      </c>
      <c r="RZ477" s="27" t="s">
        <v>7</v>
      </c>
      <c r="SA477" s="27" t="s">
        <v>8</v>
      </c>
      <c r="SB477" s="27" t="s">
        <v>7</v>
      </c>
      <c r="SC477" s="27" t="s">
        <v>8</v>
      </c>
    </row>
    <row r="478" spans="1:498" x14ac:dyDescent="0.25">
      <c r="A478" s="7">
        <v>8.6580227382218542</v>
      </c>
      <c r="B478"/>
      <c r="C478"/>
      <c r="D478"/>
      <c r="E478"/>
      <c r="JY478" s="27" t="s">
        <v>8</v>
      </c>
      <c r="KG478" s="27" t="s">
        <v>8</v>
      </c>
      <c r="KH478" s="27" t="s">
        <v>7</v>
      </c>
      <c r="KI478" s="27" t="s">
        <v>8</v>
      </c>
      <c r="KK478" s="27" t="s">
        <v>8</v>
      </c>
      <c r="KL478" s="27" t="s">
        <v>7</v>
      </c>
      <c r="KM478" s="27" t="s">
        <v>8</v>
      </c>
      <c r="KN478" s="27" t="s">
        <v>7</v>
      </c>
      <c r="LK478" s="27" t="s">
        <v>8</v>
      </c>
      <c r="LL478" s="27" t="s">
        <v>7</v>
      </c>
      <c r="LM478" s="27" t="s">
        <v>8</v>
      </c>
      <c r="LV478" s="27" t="s">
        <v>7</v>
      </c>
      <c r="LW478" s="27" t="s">
        <v>8</v>
      </c>
      <c r="LZ478" s="27" t="s">
        <v>7</v>
      </c>
      <c r="MA478" s="27" t="s">
        <v>8</v>
      </c>
      <c r="RZ478" s="27" t="s">
        <v>7</v>
      </c>
      <c r="SA478" s="27" t="s">
        <v>8</v>
      </c>
      <c r="SB478" s="27" t="s">
        <v>7</v>
      </c>
      <c r="SC478" s="27" t="s">
        <v>8</v>
      </c>
    </row>
    <row r="479" spans="1:498" x14ac:dyDescent="0.25">
      <c r="A479" s="7">
        <v>8.4882575864920131</v>
      </c>
      <c r="B479"/>
      <c r="C479"/>
      <c r="D479"/>
      <c r="E479"/>
      <c r="JY479" s="27" t="s">
        <v>8</v>
      </c>
      <c r="JZ479" s="27" t="s">
        <v>7</v>
      </c>
      <c r="KG479" s="27" t="s">
        <v>8</v>
      </c>
      <c r="KH479" s="27" t="s">
        <v>7</v>
      </c>
      <c r="KI479" s="27" t="s">
        <v>8</v>
      </c>
      <c r="KJ479" s="27" t="s">
        <v>7</v>
      </c>
      <c r="KK479" s="27" t="s">
        <v>8</v>
      </c>
      <c r="KL479" s="27" t="s">
        <v>7</v>
      </c>
      <c r="KM479" s="27" t="s">
        <v>8</v>
      </c>
      <c r="KN479" s="27" t="s">
        <v>7</v>
      </c>
      <c r="LK479" s="27" t="s">
        <v>8</v>
      </c>
      <c r="LL479" s="27" t="s">
        <v>7</v>
      </c>
      <c r="LM479" s="27" t="s">
        <v>8</v>
      </c>
      <c r="LV479" s="27" t="s">
        <v>7</v>
      </c>
      <c r="LW479" s="27" t="s">
        <v>8</v>
      </c>
      <c r="LZ479" s="27" t="s">
        <v>7</v>
      </c>
      <c r="RZ479" s="27" t="s">
        <v>7</v>
      </c>
      <c r="SA479" s="27" t="s">
        <v>8</v>
      </c>
      <c r="SB479" s="27" t="s">
        <v>7</v>
      </c>
      <c r="SC479" s="27" t="s">
        <v>8</v>
      </c>
    </row>
    <row r="480" spans="1:498" x14ac:dyDescent="0.25">
      <c r="A480" s="7">
        <v>8.3218211632274635</v>
      </c>
      <c r="B480"/>
      <c r="C480"/>
      <c r="D480"/>
      <c r="E480"/>
      <c r="JY480" s="27" t="s">
        <v>8</v>
      </c>
      <c r="JZ480" s="27" t="s">
        <v>7</v>
      </c>
      <c r="KG480" s="27" t="s">
        <v>8</v>
      </c>
      <c r="KH480" s="27" t="s">
        <v>7</v>
      </c>
      <c r="KI480" s="27" t="s">
        <v>8</v>
      </c>
      <c r="KJ480" s="27" t="s">
        <v>7</v>
      </c>
      <c r="KK480" s="27" t="s">
        <v>8</v>
      </c>
      <c r="KL480" s="27" t="s">
        <v>7</v>
      </c>
      <c r="KN480" s="27" t="s">
        <v>7</v>
      </c>
      <c r="LK480" s="27" t="s">
        <v>8</v>
      </c>
      <c r="LL480" s="27" t="s">
        <v>7</v>
      </c>
      <c r="LM480" s="27" t="s">
        <v>8</v>
      </c>
      <c r="LV480" s="27" t="s">
        <v>7</v>
      </c>
      <c r="LW480" s="27" t="s">
        <v>8</v>
      </c>
      <c r="RZ480" s="27" t="s">
        <v>7</v>
      </c>
      <c r="SA480" s="27" t="s">
        <v>8</v>
      </c>
      <c r="SB480" s="27" t="s">
        <v>7</v>
      </c>
      <c r="SC480" s="27" t="s">
        <v>8</v>
      </c>
    </row>
    <row r="481" spans="1:497" x14ac:dyDescent="0.25">
      <c r="A481" s="7">
        <v>8.1586481992426112</v>
      </c>
      <c r="B481"/>
      <c r="C481"/>
      <c r="D481"/>
      <c r="E481"/>
      <c r="JY481" s="27" t="s">
        <v>8</v>
      </c>
      <c r="JZ481" s="27" t="s">
        <v>7</v>
      </c>
      <c r="KG481" s="27" t="s">
        <v>8</v>
      </c>
      <c r="KH481" s="27" t="s">
        <v>7</v>
      </c>
      <c r="KI481" s="27" t="s">
        <v>8</v>
      </c>
      <c r="KJ481" s="27" t="s">
        <v>7</v>
      </c>
      <c r="KK481" s="27" t="s">
        <v>8</v>
      </c>
      <c r="KN481" s="27" t="s">
        <v>7</v>
      </c>
      <c r="LE481" s="27" t="s">
        <v>8</v>
      </c>
      <c r="LK481" s="27" t="s">
        <v>8</v>
      </c>
      <c r="LL481" s="27" t="s">
        <v>7</v>
      </c>
      <c r="LM481" s="27" t="s">
        <v>8</v>
      </c>
      <c r="LV481" s="27" t="s">
        <v>7</v>
      </c>
      <c r="LW481" s="27" t="s">
        <v>8</v>
      </c>
      <c r="RZ481" s="27" t="s">
        <v>7</v>
      </c>
      <c r="SA481" s="27" t="s">
        <v>8</v>
      </c>
      <c r="SB481" s="27" t="s">
        <v>7</v>
      </c>
      <c r="SC481" s="27" t="s">
        <v>8</v>
      </c>
    </row>
    <row r="482" spans="1:497" x14ac:dyDescent="0.25">
      <c r="A482" s="7">
        <v>7.9986747051398144</v>
      </c>
      <c r="B482"/>
      <c r="C482"/>
      <c r="D482"/>
      <c r="E482"/>
      <c r="JY482" s="27" t="s">
        <v>8</v>
      </c>
      <c r="JZ482" s="27" t="s">
        <v>7</v>
      </c>
      <c r="KG482" s="27" t="s">
        <v>8</v>
      </c>
      <c r="KH482" s="27" t="s">
        <v>7</v>
      </c>
      <c r="KI482" s="27" t="s">
        <v>8</v>
      </c>
      <c r="KJ482" s="27" t="s">
        <v>7</v>
      </c>
      <c r="KK482" s="27" t="s">
        <v>8</v>
      </c>
      <c r="KN482" s="27" t="s">
        <v>7</v>
      </c>
      <c r="KO482" s="27" t="s">
        <v>8</v>
      </c>
      <c r="LE482" s="27" t="s">
        <v>8</v>
      </c>
      <c r="LF482" s="27" t="s">
        <v>7</v>
      </c>
      <c r="LK482" s="27" t="s">
        <v>8</v>
      </c>
      <c r="LL482" s="27" t="s">
        <v>7</v>
      </c>
      <c r="LM482" s="27" t="s">
        <v>8</v>
      </c>
      <c r="LV482" s="27" t="s">
        <v>7</v>
      </c>
      <c r="LW482" s="27" t="s">
        <v>8</v>
      </c>
      <c r="RZ482" s="27" t="s">
        <v>7</v>
      </c>
      <c r="SB482" s="27" t="s">
        <v>7</v>
      </c>
      <c r="SC482" s="27" t="s">
        <v>8</v>
      </c>
    </row>
    <row r="483" spans="1:497" x14ac:dyDescent="0.25">
      <c r="A483" s="7">
        <v>7.8418379462155041</v>
      </c>
      <c r="B483"/>
      <c r="C483"/>
      <c r="D483"/>
      <c r="E483"/>
      <c r="JY483" s="27" t="s">
        <v>8</v>
      </c>
      <c r="JZ483" s="27" t="s">
        <v>7</v>
      </c>
      <c r="KG483" s="27" t="s">
        <v>8</v>
      </c>
      <c r="KH483" s="27" t="s">
        <v>7</v>
      </c>
      <c r="KI483" s="27" t="s">
        <v>8</v>
      </c>
      <c r="KJ483" s="27" t="s">
        <v>7</v>
      </c>
      <c r="KK483" s="27" t="s">
        <v>8</v>
      </c>
      <c r="KN483" s="27" t="s">
        <v>7</v>
      </c>
      <c r="KO483" s="27" t="s">
        <v>8</v>
      </c>
      <c r="KP483" s="27" t="s">
        <v>7</v>
      </c>
      <c r="LE483" s="27" t="s">
        <v>8</v>
      </c>
      <c r="LF483" s="27" t="s">
        <v>7</v>
      </c>
      <c r="LK483" s="27" t="s">
        <v>8</v>
      </c>
      <c r="LL483" s="27" t="s">
        <v>7</v>
      </c>
      <c r="LM483" s="27" t="s">
        <v>8</v>
      </c>
      <c r="LV483" s="27" t="s">
        <v>7</v>
      </c>
      <c r="SB483" s="27" t="s">
        <v>7</v>
      </c>
      <c r="SC483" s="27" t="s">
        <v>8</v>
      </c>
    </row>
    <row r="484" spans="1:497" x14ac:dyDescent="0.25">
      <c r="A484" s="7">
        <v>7.688076417858337</v>
      </c>
      <c r="B484"/>
      <c r="C484"/>
      <c r="D484"/>
      <c r="E484"/>
      <c r="JY484" s="27" t="s">
        <v>8</v>
      </c>
      <c r="JZ484" s="27" t="s">
        <v>7</v>
      </c>
      <c r="KG484" s="27" t="s">
        <v>8</v>
      </c>
      <c r="KH484" s="27" t="s">
        <v>7</v>
      </c>
      <c r="KI484" s="27" t="s">
        <v>8</v>
      </c>
      <c r="KJ484" s="27" t="s">
        <v>7</v>
      </c>
      <c r="KN484" s="27" t="s">
        <v>7</v>
      </c>
      <c r="KO484" s="27" t="s">
        <v>8</v>
      </c>
      <c r="KP484" s="27" t="s">
        <v>7</v>
      </c>
      <c r="LE484" s="27" t="s">
        <v>8</v>
      </c>
      <c r="LF484" s="27" t="s">
        <v>7</v>
      </c>
      <c r="LK484" s="27" t="s">
        <v>8</v>
      </c>
      <c r="LL484" s="27" t="s">
        <v>7</v>
      </c>
      <c r="SB484" s="27" t="s">
        <v>7</v>
      </c>
    </row>
    <row r="485" spans="1:497" x14ac:dyDescent="0.25">
      <c r="A485" s="7">
        <v>7.5373298214297417</v>
      </c>
      <c r="B485"/>
      <c r="C485"/>
      <c r="D485"/>
      <c r="E485"/>
      <c r="JY485" s="27" t="s">
        <v>8</v>
      </c>
      <c r="JZ485" s="27" t="s">
        <v>7</v>
      </c>
      <c r="KE485" s="27" t="s">
        <v>8</v>
      </c>
      <c r="KG485" s="27" t="s">
        <v>8</v>
      </c>
      <c r="KH485" s="27" t="s">
        <v>7</v>
      </c>
      <c r="KI485" s="27" t="s">
        <v>8</v>
      </c>
      <c r="KN485" s="27" t="s">
        <v>7</v>
      </c>
      <c r="KP485" s="27" t="s">
        <v>7</v>
      </c>
      <c r="KQ485" s="27" t="s">
        <v>8</v>
      </c>
      <c r="KU485" s="27" t="s">
        <v>8</v>
      </c>
      <c r="LE485" s="27" t="s">
        <v>8</v>
      </c>
      <c r="LF485" s="27" t="s">
        <v>7</v>
      </c>
      <c r="LK485" s="27" t="s">
        <v>8</v>
      </c>
    </row>
    <row r="486" spans="1:497" x14ac:dyDescent="0.25">
      <c r="A486" s="7">
        <v>7.389539040617394</v>
      </c>
      <c r="B486"/>
      <c r="C486"/>
      <c r="D486"/>
      <c r="E486"/>
      <c r="JY486" s="27" t="s">
        <v>8</v>
      </c>
      <c r="JZ486" s="27" t="s">
        <v>7</v>
      </c>
      <c r="KE486" s="27" t="s">
        <v>8</v>
      </c>
      <c r="KF486" s="27" t="s">
        <v>7</v>
      </c>
      <c r="KG486" s="27" t="s">
        <v>8</v>
      </c>
      <c r="KH486" s="27" t="s">
        <v>7</v>
      </c>
      <c r="KI486" s="27" t="s">
        <v>8</v>
      </c>
      <c r="KP486" s="27" t="s">
        <v>7</v>
      </c>
      <c r="KQ486" s="27" t="s">
        <v>8</v>
      </c>
      <c r="KR486" s="27" t="s">
        <v>7</v>
      </c>
      <c r="KU486" s="27" t="s">
        <v>8</v>
      </c>
      <c r="KV486" s="27" t="s">
        <v>7</v>
      </c>
      <c r="LE486" s="27" t="s">
        <v>8</v>
      </c>
      <c r="LF486" s="27" t="s">
        <v>7</v>
      </c>
      <c r="LG486" s="27" t="s">
        <v>8</v>
      </c>
      <c r="LK486" s="27" t="s">
        <v>8</v>
      </c>
    </row>
    <row r="487" spans="1:497" x14ac:dyDescent="0.25">
      <c r="A487" s="7">
        <v>7.2446461182523469</v>
      </c>
      <c r="B487"/>
      <c r="C487"/>
      <c r="D487"/>
      <c r="E487"/>
      <c r="JY487" s="27" t="s">
        <v>8</v>
      </c>
      <c r="JZ487" s="27" t="s">
        <v>7</v>
      </c>
      <c r="KC487" s="27" t="s">
        <v>8</v>
      </c>
      <c r="KE487" s="27" t="s">
        <v>8</v>
      </c>
      <c r="KF487" s="27" t="s">
        <v>7</v>
      </c>
      <c r="KG487" s="27" t="s">
        <v>8</v>
      </c>
      <c r="KH487" s="27" t="s">
        <v>7</v>
      </c>
      <c r="KP487" s="27" t="s">
        <v>7</v>
      </c>
      <c r="KQ487" s="27" t="s">
        <v>8</v>
      </c>
      <c r="KR487" s="27" t="s">
        <v>7</v>
      </c>
      <c r="KS487" s="27" t="s">
        <v>8</v>
      </c>
      <c r="KU487" s="27" t="s">
        <v>8</v>
      </c>
      <c r="KV487" s="27" t="s">
        <v>7</v>
      </c>
      <c r="LE487" s="27" t="s">
        <v>8</v>
      </c>
      <c r="LF487" s="27" t="s">
        <v>7</v>
      </c>
      <c r="LG487" s="27" t="s">
        <v>8</v>
      </c>
      <c r="LH487" s="27" t="s">
        <v>7</v>
      </c>
      <c r="LK487" s="27" t="s">
        <v>8</v>
      </c>
    </row>
    <row r="488" spans="1:497" x14ac:dyDescent="0.25">
      <c r="A488" s="7">
        <v>7.1025942335807324</v>
      </c>
      <c r="B488"/>
      <c r="C488"/>
      <c r="D488"/>
      <c r="E488"/>
      <c r="JW488" s="27" t="s">
        <v>8</v>
      </c>
      <c r="JY488" s="27" t="s">
        <v>8</v>
      </c>
      <c r="JZ488" s="27" t="s">
        <v>7</v>
      </c>
      <c r="KC488" s="27" t="s">
        <v>8</v>
      </c>
      <c r="KD488" s="27" t="s">
        <v>7</v>
      </c>
      <c r="KE488" s="27" t="s">
        <v>8</v>
      </c>
      <c r="KF488" s="27" t="s">
        <v>7</v>
      </c>
      <c r="KG488" s="27" t="s">
        <v>8</v>
      </c>
      <c r="KP488" s="27" t="s">
        <v>7</v>
      </c>
      <c r="KQ488" s="27" t="s">
        <v>8</v>
      </c>
      <c r="KR488" s="27" t="s">
        <v>7</v>
      </c>
      <c r="KS488" s="27" t="s">
        <v>8</v>
      </c>
      <c r="KT488" s="27" t="s">
        <v>7</v>
      </c>
      <c r="KU488" s="27" t="s">
        <v>8</v>
      </c>
      <c r="KV488" s="27" t="s">
        <v>7</v>
      </c>
      <c r="LE488" s="27" t="s">
        <v>8</v>
      </c>
      <c r="LF488" s="27" t="s">
        <v>7</v>
      </c>
      <c r="LG488" s="27" t="s">
        <v>8</v>
      </c>
      <c r="LH488" s="27" t="s">
        <v>7</v>
      </c>
      <c r="LK488" s="27" t="s">
        <v>8</v>
      </c>
    </row>
    <row r="489" spans="1:497" x14ac:dyDescent="0.25">
      <c r="A489" s="7">
        <v>6.9633276799811101</v>
      </c>
      <c r="B489"/>
      <c r="C489"/>
      <c r="D489"/>
      <c r="E489"/>
      <c r="JW489" s="27" t="s">
        <v>8</v>
      </c>
      <c r="JX489" s="27" t="s">
        <v>7</v>
      </c>
      <c r="JY489" s="27" t="s">
        <v>8</v>
      </c>
      <c r="JZ489" s="27" t="s">
        <v>7</v>
      </c>
      <c r="KC489" s="27" t="s">
        <v>8</v>
      </c>
      <c r="KD489" s="27" t="s">
        <v>7</v>
      </c>
      <c r="KE489" s="27" t="s">
        <v>8</v>
      </c>
      <c r="KF489" s="27" t="s">
        <v>7</v>
      </c>
      <c r="KP489" s="27" t="s">
        <v>7</v>
      </c>
      <c r="KQ489" s="27" t="s">
        <v>8</v>
      </c>
      <c r="KR489" s="27" t="s">
        <v>7</v>
      </c>
      <c r="KS489" s="27" t="s">
        <v>8</v>
      </c>
      <c r="KT489" s="27" t="s">
        <v>7</v>
      </c>
      <c r="KU489" s="27" t="s">
        <v>8</v>
      </c>
      <c r="KV489" s="27" t="s">
        <v>7</v>
      </c>
      <c r="KY489" s="27" t="s">
        <v>8</v>
      </c>
      <c r="LE489" s="27" t="s">
        <v>8</v>
      </c>
      <c r="LF489" s="27" t="s">
        <v>7</v>
      </c>
      <c r="LG489" s="27" t="s">
        <v>8</v>
      </c>
      <c r="LH489" s="27" t="s">
        <v>7</v>
      </c>
      <c r="LI489" s="27" t="s">
        <v>8</v>
      </c>
      <c r="LK489" s="27" t="s">
        <v>8</v>
      </c>
    </row>
    <row r="490" spans="1:497" x14ac:dyDescent="0.25">
      <c r="A490" s="7">
        <v>6.8267918431187349</v>
      </c>
      <c r="B490"/>
      <c r="C490"/>
      <c r="D490"/>
      <c r="E490"/>
      <c r="JW490" s="27" t="s">
        <v>8</v>
      </c>
      <c r="JX490" s="27" t="s">
        <v>7</v>
      </c>
      <c r="JY490" s="27" t="s">
        <v>8</v>
      </c>
      <c r="JZ490" s="27" t="s">
        <v>7</v>
      </c>
      <c r="KA490" s="27" t="s">
        <v>8</v>
      </c>
      <c r="KC490" s="27" t="s">
        <v>8</v>
      </c>
      <c r="KD490" s="27" t="s">
        <v>7</v>
      </c>
      <c r="KE490" s="27" t="s">
        <v>8</v>
      </c>
      <c r="KP490" s="27" t="s">
        <v>7</v>
      </c>
      <c r="KQ490" s="27" t="s">
        <v>8</v>
      </c>
      <c r="KR490" s="27" t="s">
        <v>7</v>
      </c>
      <c r="KS490" s="27" t="s">
        <v>8</v>
      </c>
      <c r="KT490" s="27" t="s">
        <v>7</v>
      </c>
      <c r="KU490" s="27" t="s">
        <v>8</v>
      </c>
      <c r="KV490" s="27" t="s">
        <v>7</v>
      </c>
      <c r="KY490" s="27" t="s">
        <v>8</v>
      </c>
      <c r="KZ490" s="27" t="s">
        <v>7</v>
      </c>
      <c r="LC490" s="27" t="s">
        <v>8</v>
      </c>
      <c r="LE490" s="27" t="s">
        <v>8</v>
      </c>
      <c r="LF490" s="27" t="s">
        <v>7</v>
      </c>
      <c r="LG490" s="27" t="s">
        <v>8</v>
      </c>
      <c r="LH490" s="27" t="s">
        <v>7</v>
      </c>
      <c r="LI490" s="27" t="s">
        <v>8</v>
      </c>
      <c r="LJ490" s="27" t="s">
        <v>7</v>
      </c>
      <c r="LK490" s="27" t="s">
        <v>8</v>
      </c>
    </row>
    <row r="491" spans="1:497" x14ac:dyDescent="0.25">
      <c r="A491" s="7">
        <v>6.692933179528171</v>
      </c>
      <c r="B491"/>
      <c r="C491"/>
      <c r="D491"/>
      <c r="E491"/>
      <c r="JW491" s="27" t="s">
        <v>8</v>
      </c>
      <c r="JX491" s="27" t="s">
        <v>7</v>
      </c>
      <c r="JY491" s="27" t="s">
        <v>8</v>
      </c>
      <c r="JZ491" s="27" t="s">
        <v>7</v>
      </c>
      <c r="KA491" s="27" t="s">
        <v>8</v>
      </c>
      <c r="KB491" s="27" t="s">
        <v>7</v>
      </c>
      <c r="KC491" s="27" t="s">
        <v>8</v>
      </c>
      <c r="KD491" s="27" t="s">
        <v>7</v>
      </c>
      <c r="KE491" s="27" t="s">
        <v>8</v>
      </c>
      <c r="KP491" s="27" t="s">
        <v>7</v>
      </c>
      <c r="KQ491" s="27" t="s">
        <v>8</v>
      </c>
      <c r="KR491" s="27" t="s">
        <v>7</v>
      </c>
      <c r="KS491" s="27" t="s">
        <v>8</v>
      </c>
      <c r="KT491" s="27" t="s">
        <v>7</v>
      </c>
      <c r="KU491" s="27" t="s">
        <v>8</v>
      </c>
      <c r="KV491" s="27" t="s">
        <v>7</v>
      </c>
      <c r="KY491" s="27" t="s">
        <v>8</v>
      </c>
      <c r="KZ491" s="27" t="s">
        <v>7</v>
      </c>
      <c r="LC491" s="27" t="s">
        <v>8</v>
      </c>
      <c r="LD491" s="27" t="s">
        <v>7</v>
      </c>
      <c r="LE491" s="27" t="s">
        <v>8</v>
      </c>
      <c r="LF491" s="27" t="s">
        <v>7</v>
      </c>
      <c r="LG491" s="27" t="s">
        <v>8</v>
      </c>
      <c r="LH491" s="27" t="s">
        <v>7</v>
      </c>
      <c r="LI491" s="27" t="s">
        <v>8</v>
      </c>
      <c r="LJ491" s="27" t="s">
        <v>7</v>
      </c>
      <c r="LK491" s="27" t="s">
        <v>8</v>
      </c>
    </row>
    <row r="492" spans="1:497" x14ac:dyDescent="0.25">
      <c r="A492" s="7">
        <v>6.5616991956158541</v>
      </c>
      <c r="B492"/>
      <c r="C492"/>
      <c r="D492"/>
      <c r="E492"/>
      <c r="JW492" s="27" t="s">
        <v>8</v>
      </c>
      <c r="JX492" s="27" t="s">
        <v>7</v>
      </c>
      <c r="JY492" s="27" t="s">
        <v>8</v>
      </c>
      <c r="JZ492" s="27" t="s">
        <v>7</v>
      </c>
      <c r="KA492" s="27" t="s">
        <v>8</v>
      </c>
      <c r="KB492" s="27" t="s">
        <v>7</v>
      </c>
      <c r="KC492" s="27" t="s">
        <v>8</v>
      </c>
      <c r="KD492" s="27" t="s">
        <v>7</v>
      </c>
      <c r="KE492" s="27" t="s">
        <v>8</v>
      </c>
      <c r="KP492" s="27" t="s">
        <v>7</v>
      </c>
      <c r="KR492" s="27" t="s">
        <v>7</v>
      </c>
      <c r="KS492" s="27" t="s">
        <v>8</v>
      </c>
      <c r="KT492" s="27" t="s">
        <v>7</v>
      </c>
      <c r="KU492" s="27" t="s">
        <v>8</v>
      </c>
      <c r="KV492" s="27" t="s">
        <v>7</v>
      </c>
      <c r="KW492" s="27" t="s">
        <v>8</v>
      </c>
      <c r="KY492" s="27" t="s">
        <v>8</v>
      </c>
      <c r="KZ492" s="27" t="s">
        <v>7</v>
      </c>
      <c r="LA492" s="27" t="s">
        <v>8</v>
      </c>
      <c r="LC492" s="27" t="s">
        <v>8</v>
      </c>
      <c r="LD492" s="27" t="s">
        <v>7</v>
      </c>
      <c r="LE492" s="27" t="s">
        <v>8</v>
      </c>
      <c r="LF492" s="27" t="s">
        <v>7</v>
      </c>
      <c r="LG492" s="27" t="s">
        <v>8</v>
      </c>
      <c r="LH492" s="27" t="s">
        <v>7</v>
      </c>
      <c r="LI492" s="27" t="s">
        <v>8</v>
      </c>
      <c r="LJ492" s="27" t="s">
        <v>7</v>
      </c>
      <c r="LK492" s="27" t="s">
        <v>8</v>
      </c>
    </row>
    <row r="493" spans="1:497" x14ac:dyDescent="0.25">
      <c r="A493" s="7">
        <v>6.4330384270743668</v>
      </c>
      <c r="B493"/>
      <c r="C493"/>
      <c r="D493"/>
      <c r="E493"/>
      <c r="JW493" s="27" t="s">
        <v>8</v>
      </c>
      <c r="JX493" s="27" t="s">
        <v>7</v>
      </c>
      <c r="JY493" s="27" t="s">
        <v>8</v>
      </c>
      <c r="JZ493" s="27" t="s">
        <v>7</v>
      </c>
      <c r="KA493" s="27" t="s">
        <v>8</v>
      </c>
      <c r="KB493" s="27" t="s">
        <v>7</v>
      </c>
      <c r="KC493" s="27" t="s">
        <v>8</v>
      </c>
      <c r="KD493" s="27" t="s">
        <v>7</v>
      </c>
      <c r="KE493" s="27" t="s">
        <v>8</v>
      </c>
      <c r="KR493" s="27" t="s">
        <v>7</v>
      </c>
      <c r="KS493" s="27" t="s">
        <v>8</v>
      </c>
      <c r="KT493" s="27" t="s">
        <v>7</v>
      </c>
      <c r="KU493" s="27" t="s">
        <v>8</v>
      </c>
      <c r="KV493" s="27" t="s">
        <v>7</v>
      </c>
      <c r="KW493" s="27" t="s">
        <v>8</v>
      </c>
      <c r="KX493" s="27" t="s">
        <v>7</v>
      </c>
      <c r="KY493" s="27" t="s">
        <v>8</v>
      </c>
      <c r="KZ493" s="27" t="s">
        <v>7</v>
      </c>
      <c r="LA493" s="27" t="s">
        <v>8</v>
      </c>
      <c r="LB493" s="27" t="s">
        <v>7</v>
      </c>
      <c r="LC493" s="27" t="s">
        <v>8</v>
      </c>
      <c r="LD493" s="27" t="s">
        <v>7</v>
      </c>
      <c r="LE493" s="27" t="s">
        <v>8</v>
      </c>
      <c r="LF493" s="27" t="s">
        <v>7</v>
      </c>
      <c r="LG493" s="27" t="s">
        <v>8</v>
      </c>
      <c r="LH493" s="27" t="s">
        <v>7</v>
      </c>
      <c r="LI493" s="27" t="s">
        <v>8</v>
      </c>
      <c r="LJ493" s="27" t="s">
        <v>7</v>
      </c>
    </row>
    <row r="494" spans="1:497" x14ac:dyDescent="0.25">
      <c r="A494" s="7">
        <v>6.3069004187003594</v>
      </c>
      <c r="B494"/>
      <c r="C494"/>
      <c r="D494"/>
      <c r="E494"/>
      <c r="JW494" s="27" t="s">
        <v>8</v>
      </c>
      <c r="JX494" s="27" t="s">
        <v>7</v>
      </c>
      <c r="JY494" s="27" t="s">
        <v>8</v>
      </c>
      <c r="JZ494" s="27" t="s">
        <v>7</v>
      </c>
      <c r="KA494" s="27" t="s">
        <v>8</v>
      </c>
      <c r="KB494" s="27" t="s">
        <v>7</v>
      </c>
      <c r="KD494" s="27" t="s">
        <v>7</v>
      </c>
      <c r="KR494" s="27" t="s">
        <v>7</v>
      </c>
      <c r="KS494" s="27" t="s">
        <v>8</v>
      </c>
      <c r="KT494" s="27" t="s">
        <v>7</v>
      </c>
      <c r="KU494" s="27" t="s">
        <v>8</v>
      </c>
      <c r="KV494" s="27" t="s">
        <v>7</v>
      </c>
      <c r="KW494" s="27" t="s">
        <v>8</v>
      </c>
      <c r="KX494" s="27" t="s">
        <v>7</v>
      </c>
      <c r="KY494" s="27" t="s">
        <v>8</v>
      </c>
      <c r="KZ494" s="27" t="s">
        <v>7</v>
      </c>
      <c r="LA494" s="27" t="s">
        <v>8</v>
      </c>
      <c r="LB494" s="27" t="s">
        <v>7</v>
      </c>
      <c r="LC494" s="27" t="s">
        <v>8</v>
      </c>
      <c r="LD494" s="27" t="s">
        <v>7</v>
      </c>
      <c r="LE494" s="27" t="s">
        <v>8</v>
      </c>
      <c r="LF494" s="27" t="s">
        <v>7</v>
      </c>
      <c r="LG494" s="27" t="s">
        <v>8</v>
      </c>
      <c r="LH494" s="27" t="s">
        <v>7</v>
      </c>
      <c r="LI494" s="27" t="s">
        <v>8</v>
      </c>
    </row>
    <row r="495" spans="1:497" x14ac:dyDescent="0.25">
      <c r="A495" s="7">
        <v>6.1832357046081956</v>
      </c>
      <c r="B495"/>
      <c r="C495"/>
      <c r="D495"/>
      <c r="E495"/>
      <c r="JW495" s="27" t="s">
        <v>8</v>
      </c>
      <c r="JX495" s="27" t="s">
        <v>7</v>
      </c>
      <c r="JY495" s="27" t="s">
        <v>8</v>
      </c>
      <c r="JZ495" s="27" t="s">
        <v>7</v>
      </c>
      <c r="KA495" s="27" t="s">
        <v>8</v>
      </c>
      <c r="KR495" s="27" t="s">
        <v>7</v>
      </c>
      <c r="KS495" s="27" t="s">
        <v>8</v>
      </c>
      <c r="KT495" s="27" t="s">
        <v>7</v>
      </c>
      <c r="KU495" s="27" t="s">
        <v>8</v>
      </c>
      <c r="KV495" s="27" t="s">
        <v>7</v>
      </c>
      <c r="KW495" s="27" t="s">
        <v>8</v>
      </c>
      <c r="KX495" s="27" t="s">
        <v>7</v>
      </c>
      <c r="KY495" s="27" t="s">
        <v>8</v>
      </c>
      <c r="KZ495" s="27" t="s">
        <v>7</v>
      </c>
      <c r="LA495" s="27" t="s">
        <v>8</v>
      </c>
      <c r="LB495" s="27" t="s">
        <v>7</v>
      </c>
      <c r="LC495" s="27" t="s">
        <v>8</v>
      </c>
      <c r="LD495" s="27" t="s">
        <v>7</v>
      </c>
      <c r="LE495" s="27" t="s">
        <v>8</v>
      </c>
      <c r="LF495" s="27" t="s">
        <v>7</v>
      </c>
      <c r="LG495" s="27" t="s">
        <v>8</v>
      </c>
      <c r="LH495" s="27" t="s">
        <v>7</v>
      </c>
      <c r="LI495" s="27" t="s">
        <v>8</v>
      </c>
    </row>
    <row r="496" spans="1:497" x14ac:dyDescent="0.25">
      <c r="A496" s="7">
        <v>6.0619957888315641</v>
      </c>
      <c r="B496"/>
      <c r="C496"/>
      <c r="D496"/>
      <c r="E496"/>
      <c r="JW496" s="27" t="s">
        <v>8</v>
      </c>
      <c r="JX496" s="27" t="s">
        <v>7</v>
      </c>
      <c r="JY496" s="27" t="s">
        <v>8</v>
      </c>
      <c r="JZ496" s="27" t="s">
        <v>7</v>
      </c>
      <c r="KA496" s="27" t="s">
        <v>8</v>
      </c>
      <c r="KR496" s="27" t="s">
        <v>7</v>
      </c>
      <c r="KS496" s="27" t="s">
        <v>8</v>
      </c>
      <c r="KT496" s="27" t="s">
        <v>7</v>
      </c>
      <c r="KV496" s="27" t="s">
        <v>7</v>
      </c>
      <c r="KW496" s="27" t="s">
        <v>8</v>
      </c>
      <c r="KX496" s="27" t="s">
        <v>7</v>
      </c>
      <c r="KY496" s="27" t="s">
        <v>8</v>
      </c>
      <c r="KZ496" s="27" t="s">
        <v>7</v>
      </c>
      <c r="LA496" s="27" t="s">
        <v>8</v>
      </c>
      <c r="LB496" s="27" t="s">
        <v>7</v>
      </c>
      <c r="LC496" s="27" t="s">
        <v>8</v>
      </c>
      <c r="LD496" s="27" t="s">
        <v>7</v>
      </c>
      <c r="LE496" s="27" t="s">
        <v>8</v>
      </c>
      <c r="LF496" s="27" t="s">
        <v>7</v>
      </c>
      <c r="LG496" s="27" t="s">
        <v>8</v>
      </c>
      <c r="LH496" s="27" t="s">
        <v>7</v>
      </c>
      <c r="LI496" s="27" t="s">
        <v>8</v>
      </c>
    </row>
    <row r="497" spans="1:320" x14ac:dyDescent="0.25">
      <c r="A497" s="7">
        <v>5.9431331263054545</v>
      </c>
      <c r="B497"/>
      <c r="C497"/>
      <c r="D497"/>
      <c r="E497"/>
      <c r="JW497" s="27" t="s">
        <v>8</v>
      </c>
      <c r="JX497" s="27" t="s">
        <v>7</v>
      </c>
      <c r="JY497" s="27" t="s">
        <v>8</v>
      </c>
      <c r="JZ497" s="27" t="s">
        <v>7</v>
      </c>
      <c r="KA497" s="27" t="s">
        <v>8</v>
      </c>
      <c r="KR497" s="27" t="s">
        <v>7</v>
      </c>
      <c r="KS497" s="27" t="s">
        <v>8</v>
      </c>
      <c r="KV497" s="27" t="s">
        <v>7</v>
      </c>
      <c r="KW497" s="27" t="s">
        <v>8</v>
      </c>
      <c r="KX497" s="27" t="s">
        <v>7</v>
      </c>
      <c r="KY497" s="27" t="s">
        <v>8</v>
      </c>
      <c r="KZ497" s="27" t="s">
        <v>7</v>
      </c>
      <c r="LA497" s="27" t="s">
        <v>8</v>
      </c>
      <c r="LB497" s="27" t="s">
        <v>7</v>
      </c>
      <c r="LC497" s="27" t="s">
        <v>8</v>
      </c>
      <c r="LD497" s="27" t="s">
        <v>7</v>
      </c>
      <c r="LF497" s="27" t="s">
        <v>7</v>
      </c>
      <c r="LG497" s="27" t="s">
        <v>8</v>
      </c>
      <c r="LH497" s="27" t="s">
        <v>7</v>
      </c>
    </row>
    <row r="498" spans="1:320" x14ac:dyDescent="0.25">
      <c r="A498" s="7">
        <v>5.8266011042210337</v>
      </c>
      <c r="B498"/>
      <c r="C498"/>
      <c r="D498"/>
      <c r="E498"/>
      <c r="JW498" s="27" t="s">
        <v>8</v>
      </c>
      <c r="JX498" s="27" t="s">
        <v>7</v>
      </c>
      <c r="JZ498" s="27" t="s">
        <v>7</v>
      </c>
      <c r="KA498" s="27" t="s">
        <v>8</v>
      </c>
      <c r="KR498" s="27" t="s">
        <v>7</v>
      </c>
      <c r="KS498" s="27" t="s">
        <v>8</v>
      </c>
      <c r="KV498" s="27" t="s">
        <v>7</v>
      </c>
      <c r="KW498" s="27" t="s">
        <v>8</v>
      </c>
      <c r="KX498" s="27" t="s">
        <v>7</v>
      </c>
      <c r="KY498" s="27" t="s">
        <v>8</v>
      </c>
      <c r="KZ498" s="27" t="s">
        <v>7</v>
      </c>
      <c r="LA498" s="27" t="s">
        <v>8</v>
      </c>
      <c r="LB498" s="27" t="s">
        <v>7</v>
      </c>
      <c r="LF498" s="27" t="s">
        <v>7</v>
      </c>
      <c r="LG498" s="27" t="s">
        <v>8</v>
      </c>
    </row>
    <row r="499" spans="1:320" x14ac:dyDescent="0.25">
      <c r="A499" s="7">
        <v>5.7123540237461112</v>
      </c>
      <c r="B499"/>
      <c r="C499"/>
      <c r="D499"/>
      <c r="E499"/>
      <c r="JW499" s="27" t="s">
        <v>8</v>
      </c>
      <c r="JZ499" s="27" t="s">
        <v>7</v>
      </c>
      <c r="KA499" s="27" t="s">
        <v>8</v>
      </c>
      <c r="KR499" s="27" t="s">
        <v>7</v>
      </c>
      <c r="KS499" s="27" t="s">
        <v>8</v>
      </c>
      <c r="KV499" s="27" t="s">
        <v>7</v>
      </c>
      <c r="KW499" s="27" t="s">
        <v>8</v>
      </c>
      <c r="KX499" s="27" t="s">
        <v>7</v>
      </c>
      <c r="KY499" s="27" t="s">
        <v>8</v>
      </c>
      <c r="KZ499" s="27" t="s">
        <v>7</v>
      </c>
      <c r="LA499" s="27" t="s">
        <v>8</v>
      </c>
      <c r="LF499" s="27" t="s">
        <v>7</v>
      </c>
      <c r="LG499" s="27" t="s">
        <v>8</v>
      </c>
    </row>
    <row r="500" spans="1:320" x14ac:dyDescent="0.25">
      <c r="A500" s="7">
        <v>5.6003470821040304</v>
      </c>
      <c r="B500"/>
      <c r="C500"/>
      <c r="D500"/>
      <c r="E500"/>
      <c r="JW500" s="27" t="s">
        <v>8</v>
      </c>
      <c r="JZ500" s="27" t="s">
        <v>7</v>
      </c>
      <c r="KR500" s="27" t="s">
        <v>7</v>
      </c>
      <c r="KS500" s="27" t="s">
        <v>8</v>
      </c>
      <c r="KV500" s="27" t="s">
        <v>7</v>
      </c>
      <c r="KW500" s="27" t="s">
        <v>8</v>
      </c>
      <c r="KX500" s="27" t="s">
        <v>7</v>
      </c>
      <c r="KY500" s="27" t="s">
        <v>8</v>
      </c>
      <c r="KZ500" s="27" t="s">
        <v>7</v>
      </c>
      <c r="LA500" s="27" t="s">
        <v>8</v>
      </c>
      <c r="LF500" s="27" t="s">
        <v>7</v>
      </c>
      <c r="LG500" s="27" t="s">
        <v>8</v>
      </c>
    </row>
    <row r="501" spans="1:320" x14ac:dyDescent="0.25">
      <c r="A501" s="7">
        <v>5.4905363550039512</v>
      </c>
      <c r="B501"/>
      <c r="C501"/>
      <c r="D501"/>
      <c r="E501"/>
      <c r="JW501" s="27" t="s">
        <v>8</v>
      </c>
      <c r="KR501" s="27" t="s">
        <v>7</v>
      </c>
      <c r="KV501" s="27" t="s">
        <v>7</v>
      </c>
      <c r="KW501" s="27" t="s">
        <v>8</v>
      </c>
      <c r="KX501" s="27" t="s">
        <v>7</v>
      </c>
      <c r="KY501" s="27" t="s">
        <v>8</v>
      </c>
      <c r="KZ501" s="27" t="s">
        <v>7</v>
      </c>
      <c r="LA501" s="27" t="s">
        <v>8</v>
      </c>
      <c r="LF501" s="27" t="s">
        <v>7</v>
      </c>
    </row>
    <row r="502" spans="1:320" x14ac:dyDescent="0.25">
      <c r="A502" s="7">
        <v>5.3828787794156385</v>
      </c>
      <c r="B502"/>
      <c r="C502"/>
      <c r="D502"/>
      <c r="E502"/>
      <c r="JW502" s="27" t="s">
        <v>8</v>
      </c>
      <c r="KV502" s="27" t="s">
        <v>7</v>
      </c>
      <c r="KW502" s="27" t="s">
        <v>8</v>
      </c>
      <c r="KX502" s="27" t="s">
        <v>7</v>
      </c>
      <c r="KY502" s="27" t="s">
        <v>8</v>
      </c>
      <c r="KZ502" s="27" t="s">
        <v>7</v>
      </c>
      <c r="LA502" s="27" t="s">
        <v>8</v>
      </c>
    </row>
    <row r="503" spans="1:320" x14ac:dyDescent="0.25">
      <c r="A503" s="7">
        <v>5.2773321366819985</v>
      </c>
      <c r="B503"/>
      <c r="C503"/>
      <c r="D503"/>
      <c r="E503"/>
      <c r="JU503" s="27" t="s">
        <v>8</v>
      </c>
      <c r="JW503" s="27" t="s">
        <v>8</v>
      </c>
      <c r="KV503" s="27" t="s">
        <v>7</v>
      </c>
      <c r="KW503" s="27" t="s">
        <v>8</v>
      </c>
      <c r="KX503" s="27" t="s">
        <v>7</v>
      </c>
      <c r="KY503" s="27" t="s">
        <v>8</v>
      </c>
      <c r="KZ503" s="27" t="s">
        <v>7</v>
      </c>
      <c r="LA503" s="27" t="s">
        <v>8</v>
      </c>
    </row>
    <row r="504" spans="1:320" x14ac:dyDescent="0.25">
      <c r="A504" s="7">
        <v>5.1738550359627435</v>
      </c>
      <c r="B504"/>
      <c r="C504"/>
      <c r="D504"/>
      <c r="E504"/>
      <c r="JU504" s="27" t="s">
        <v>8</v>
      </c>
      <c r="JV504" s="27" t="s">
        <v>7</v>
      </c>
      <c r="JW504" s="27" t="s">
        <v>8</v>
      </c>
      <c r="KV504" s="27" t="s">
        <v>7</v>
      </c>
      <c r="KW504" s="27" t="s">
        <v>8</v>
      </c>
      <c r="KX504" s="27" t="s">
        <v>7</v>
      </c>
      <c r="KZ504" s="27" t="s">
        <v>7</v>
      </c>
      <c r="LA504" s="27" t="s">
        <v>8</v>
      </c>
    </row>
    <row r="505" spans="1:320" x14ac:dyDescent="0.25">
      <c r="A505" s="7">
        <v>5.07240689800269</v>
      </c>
      <c r="B505"/>
      <c r="C505"/>
      <c r="D505"/>
      <c r="E505"/>
      <c r="JU505" s="27" t="s">
        <v>8</v>
      </c>
      <c r="JV505" s="27" t="s">
        <v>7</v>
      </c>
      <c r="JW505" s="27" t="s">
        <v>8</v>
      </c>
      <c r="KV505" s="27" t="s">
        <v>7</v>
      </c>
      <c r="KW505" s="27" t="s">
        <v>8</v>
      </c>
      <c r="KZ505" s="27" t="s">
        <v>7</v>
      </c>
      <c r="LA505" s="27" t="s">
        <v>8</v>
      </c>
    </row>
    <row r="506" spans="1:320" x14ac:dyDescent="0.25">
      <c r="A506" s="7">
        <v>4.9729479392183231</v>
      </c>
      <c r="B506"/>
      <c r="C506"/>
      <c r="D506"/>
      <c r="E506"/>
      <c r="JU506" s="27" t="s">
        <v>8</v>
      </c>
      <c r="JV506" s="27" t="s">
        <v>7</v>
      </c>
      <c r="JW506" s="27" t="s">
        <v>8</v>
      </c>
      <c r="KV506" s="27" t="s">
        <v>7</v>
      </c>
      <c r="KW506" s="27" t="s">
        <v>8</v>
      </c>
      <c r="KZ506" s="27" t="s">
        <v>7</v>
      </c>
    </row>
    <row r="507" spans="1:320" x14ac:dyDescent="0.25">
      <c r="A507" s="7">
        <v>4.8754391560963954</v>
      </c>
      <c r="B507"/>
      <c r="C507"/>
      <c r="D507"/>
      <c r="E507"/>
      <c r="JU507" s="27" t="s">
        <v>8</v>
      </c>
      <c r="JV507" s="27" t="s">
        <v>7</v>
      </c>
      <c r="JW507" s="27" t="s">
        <v>8</v>
      </c>
      <c r="KV507" s="27" t="s">
        <v>7</v>
      </c>
    </row>
    <row r="508" spans="1:320" x14ac:dyDescent="0.25">
      <c r="A508" s="7">
        <v>4.7798423098984264</v>
      </c>
      <c r="B508"/>
      <c r="C508"/>
      <c r="D508"/>
      <c r="E508"/>
      <c r="HY508" s="27" t="s">
        <v>8</v>
      </c>
      <c r="JU508" s="27" t="s">
        <v>8</v>
      </c>
      <c r="JV508" s="27" t="s">
        <v>7</v>
      </c>
      <c r="JW508" s="27" t="s">
        <v>8</v>
      </c>
    </row>
    <row r="509" spans="1:320" x14ac:dyDescent="0.25">
      <c r="A509" s="7">
        <v>4.6861199116651235</v>
      </c>
      <c r="B509"/>
      <c r="C509"/>
      <c r="D509"/>
      <c r="E509"/>
      <c r="HY509" s="27" t="s">
        <v>8</v>
      </c>
      <c r="HZ509" s="27" t="s">
        <v>7</v>
      </c>
      <c r="JU509" s="27" t="s">
        <v>8</v>
      </c>
      <c r="JV509" s="27" t="s">
        <v>7</v>
      </c>
      <c r="JW509" s="27" t="s">
        <v>8</v>
      </c>
    </row>
    <row r="510" spans="1:320" x14ac:dyDescent="0.25">
      <c r="A510" s="7">
        <v>4.5942352075148269</v>
      </c>
      <c r="B510"/>
      <c r="C510"/>
      <c r="D510"/>
      <c r="E510"/>
      <c r="HY510" s="27" t="s">
        <v>8</v>
      </c>
      <c r="HZ510" s="27" t="s">
        <v>7</v>
      </c>
      <c r="JU510" s="27" t="s">
        <v>8</v>
      </c>
      <c r="JV510" s="27" t="s">
        <v>7</v>
      </c>
    </row>
    <row r="511" spans="1:320" x14ac:dyDescent="0.25">
      <c r="A511" s="7">
        <v>4.5041521642302227</v>
      </c>
      <c r="B511"/>
      <c r="C511"/>
      <c r="D511"/>
      <c r="E511"/>
      <c r="HY511" s="27" t="s">
        <v>8</v>
      </c>
      <c r="HZ511" s="27" t="s">
        <v>7</v>
      </c>
      <c r="IA511" s="27" t="s">
        <v>8</v>
      </c>
      <c r="JU511" s="27" t="s">
        <v>8</v>
      </c>
    </row>
    <row r="512" spans="1:320" x14ac:dyDescent="0.25">
      <c r="A512" s="7">
        <v>4.4158354551276693</v>
      </c>
      <c r="B512"/>
      <c r="C512"/>
      <c r="D512"/>
      <c r="E512"/>
      <c r="HY512" s="27" t="s">
        <v>8</v>
      </c>
      <c r="HZ512" s="27" t="s">
        <v>7</v>
      </c>
      <c r="IA512" s="27" t="s">
        <v>8</v>
      </c>
      <c r="IB512" s="27" t="s">
        <v>7</v>
      </c>
      <c r="JU512" s="27" t="s">
        <v>8</v>
      </c>
    </row>
    <row r="513" spans="1:281" x14ac:dyDescent="0.25">
      <c r="A513" s="7">
        <v>4.3292504462035977</v>
      </c>
      <c r="B513"/>
      <c r="C513"/>
      <c r="D513"/>
      <c r="E513"/>
      <c r="HY513" s="27" t="s">
        <v>8</v>
      </c>
      <c r="HZ513" s="27" t="s">
        <v>7</v>
      </c>
      <c r="IA513" s="27" t="s">
        <v>8</v>
      </c>
      <c r="IB513" s="27" t="s">
        <v>7</v>
      </c>
      <c r="JU513" s="27" t="s">
        <v>8</v>
      </c>
    </row>
    <row r="514" spans="1:281" x14ac:dyDescent="0.25">
      <c r="A514" s="7">
        <v>4.2443631825525463</v>
      </c>
      <c r="B514"/>
      <c r="C514"/>
      <c r="D514"/>
      <c r="E514"/>
      <c r="HY514" s="27" t="s">
        <v>8</v>
      </c>
      <c r="HZ514" s="27" t="s">
        <v>7</v>
      </c>
      <c r="IA514" s="27" t="s">
        <v>8</v>
      </c>
      <c r="IB514" s="27" t="s">
        <v>7</v>
      </c>
      <c r="JU514" s="27" t="s">
        <v>8</v>
      </c>
    </row>
    <row r="515" spans="1:281" x14ac:dyDescent="0.25">
      <c r="A515" s="7">
        <v>4.1611403750515157</v>
      </c>
      <c r="B515"/>
      <c r="C515"/>
      <c r="D515"/>
      <c r="E515"/>
      <c r="HY515" s="27" t="s">
        <v>8</v>
      </c>
      <c r="HZ515" s="27" t="s">
        <v>7</v>
      </c>
      <c r="IA515" s="27" t="s">
        <v>8</v>
      </c>
      <c r="IB515" s="27" t="s">
        <v>7</v>
      </c>
      <c r="JU515" s="27" t="s">
        <v>8</v>
      </c>
    </row>
    <row r="516" spans="1:281" x14ac:dyDescent="0.25">
      <c r="A516" s="7">
        <v>4.0795493873054074</v>
      </c>
      <c r="B516"/>
      <c r="C516"/>
      <c r="D516"/>
      <c r="E516"/>
      <c r="HW516" s="27" t="s">
        <v>8</v>
      </c>
      <c r="HY516" s="27" t="s">
        <v>8</v>
      </c>
      <c r="HZ516" s="27" t="s">
        <v>7</v>
      </c>
      <c r="IA516" s="27" t="s">
        <v>8</v>
      </c>
      <c r="IB516" s="27" t="s">
        <v>7</v>
      </c>
      <c r="JU516" s="27" t="s">
        <v>8</v>
      </c>
    </row>
    <row r="517" spans="1:281" x14ac:dyDescent="0.25">
      <c r="A517" s="7">
        <v>3.9995582228484383</v>
      </c>
      <c r="B517"/>
      <c r="C517"/>
      <c r="D517"/>
      <c r="E517"/>
      <c r="HW517" s="27" t="s">
        <v>8</v>
      </c>
      <c r="HX517" s="27" t="s">
        <v>7</v>
      </c>
      <c r="HY517" s="27" t="s">
        <v>8</v>
      </c>
      <c r="HZ517" s="27" t="s">
        <v>7</v>
      </c>
      <c r="IA517" s="27" t="s">
        <v>8</v>
      </c>
      <c r="IB517" s="27" t="s">
        <v>7</v>
      </c>
      <c r="JU517" s="27" t="s">
        <v>8</v>
      </c>
    </row>
    <row r="518" spans="1:281" x14ac:dyDescent="0.25">
      <c r="A518" s="7">
        <v>3.9211355125965079</v>
      </c>
      <c r="B518"/>
      <c r="C518"/>
      <c r="D518"/>
      <c r="E518"/>
      <c r="HW518" s="27" t="s">
        <v>8</v>
      </c>
      <c r="HX518" s="27" t="s">
        <v>7</v>
      </c>
      <c r="HY518" s="27" t="s">
        <v>8</v>
      </c>
      <c r="HZ518" s="27" t="s">
        <v>7</v>
      </c>
      <c r="IA518" s="27" t="s">
        <v>8</v>
      </c>
      <c r="IB518" s="27" t="s">
        <v>7</v>
      </c>
      <c r="JS518" s="27" t="s">
        <v>8</v>
      </c>
      <c r="JU518" s="27" t="s">
        <v>8</v>
      </c>
    </row>
    <row r="519" spans="1:281" x14ac:dyDescent="0.25">
      <c r="A519" s="7">
        <v>3.844250502545596</v>
      </c>
      <c r="B519"/>
      <c r="C519"/>
      <c r="D519"/>
      <c r="E519"/>
      <c r="HW519" s="27" t="s">
        <v>8</v>
      </c>
      <c r="HX519" s="27" t="s">
        <v>7</v>
      </c>
      <c r="HY519" s="27" t="s">
        <v>8</v>
      </c>
      <c r="HZ519" s="27" t="s">
        <v>7</v>
      </c>
      <c r="IA519" s="27" t="s">
        <v>8</v>
      </c>
      <c r="IB519" s="27" t="s">
        <v>7</v>
      </c>
      <c r="II519" s="27" t="s">
        <v>8</v>
      </c>
      <c r="JS519" s="27" t="s">
        <v>8</v>
      </c>
      <c r="JT519" s="27" t="s">
        <v>7</v>
      </c>
      <c r="JU519" s="27" t="s">
        <v>8</v>
      </c>
    </row>
    <row r="520" spans="1:281" x14ac:dyDescent="0.25">
      <c r="A520" s="7">
        <v>3.7688730417113687</v>
      </c>
      <c r="B520"/>
      <c r="C520"/>
      <c r="D520"/>
      <c r="E520"/>
      <c r="HW520" s="27" t="s">
        <v>8</v>
      </c>
      <c r="HX520" s="27" t="s">
        <v>7</v>
      </c>
      <c r="HY520" s="27" t="s">
        <v>8</v>
      </c>
      <c r="HZ520" s="27" t="s">
        <v>7</v>
      </c>
      <c r="IA520" s="27" t="s">
        <v>8</v>
      </c>
      <c r="IB520" s="27" t="s">
        <v>7</v>
      </c>
      <c r="IC520" s="27" t="s">
        <v>8</v>
      </c>
      <c r="II520" s="27" t="s">
        <v>8</v>
      </c>
      <c r="IJ520" s="27" t="s">
        <v>7</v>
      </c>
      <c r="JS520" s="27" t="s">
        <v>8</v>
      </c>
      <c r="JT520" s="27" t="s">
        <v>7</v>
      </c>
      <c r="JU520" s="27" t="s">
        <v>8</v>
      </c>
    </row>
    <row r="521" spans="1:281" x14ac:dyDescent="0.25">
      <c r="A521" s="7">
        <v>3.6949735703052635</v>
      </c>
      <c r="B521"/>
      <c r="C521"/>
      <c r="D521"/>
      <c r="E521"/>
      <c r="HW521" s="27" t="s">
        <v>8</v>
      </c>
      <c r="HX521" s="27" t="s">
        <v>7</v>
      </c>
      <c r="HY521" s="27" t="s">
        <v>8</v>
      </c>
      <c r="HZ521" s="27" t="s">
        <v>7</v>
      </c>
      <c r="IA521" s="27" t="s">
        <v>8</v>
      </c>
      <c r="IB521" s="27" t="s">
        <v>7</v>
      </c>
      <c r="IC521" s="27" t="s">
        <v>8</v>
      </c>
      <c r="ID521" s="27" t="s">
        <v>7</v>
      </c>
      <c r="II521" s="27" t="s">
        <v>8</v>
      </c>
      <c r="IJ521" s="27" t="s">
        <v>7</v>
      </c>
      <c r="JQ521" s="27" t="s">
        <v>8</v>
      </c>
      <c r="JS521" s="27" t="s">
        <v>8</v>
      </c>
      <c r="JT521" s="27" t="s">
        <v>7</v>
      </c>
    </row>
    <row r="522" spans="1:281" x14ac:dyDescent="0.25">
      <c r="A522" s="7">
        <v>3.6225231081424152</v>
      </c>
      <c r="B522"/>
      <c r="C522"/>
      <c r="D522"/>
      <c r="E522"/>
      <c r="HW522" s="27" t="s">
        <v>8</v>
      </c>
      <c r="HX522" s="27" t="s">
        <v>7</v>
      </c>
      <c r="HY522" s="27" t="s">
        <v>8</v>
      </c>
      <c r="HZ522" s="27" t="s">
        <v>7</v>
      </c>
      <c r="IA522" s="27" t="s">
        <v>8</v>
      </c>
      <c r="IB522" s="27" t="s">
        <v>7</v>
      </c>
      <c r="IC522" s="27" t="s">
        <v>8</v>
      </c>
      <c r="ID522" s="27" t="s">
        <v>7</v>
      </c>
      <c r="II522" s="27" t="s">
        <v>8</v>
      </c>
      <c r="IJ522" s="27" t="s">
        <v>7</v>
      </c>
      <c r="JQ522" s="27" t="s">
        <v>8</v>
      </c>
      <c r="JR522" s="27" t="s">
        <v>7</v>
      </c>
      <c r="JS522" s="27" t="s">
        <v>8</v>
      </c>
    </row>
    <row r="523" spans="1:281" x14ac:dyDescent="0.25">
      <c r="A523" s="7">
        <v>3.5514932432768775</v>
      </c>
      <c r="B523"/>
      <c r="C523"/>
      <c r="D523"/>
      <c r="E523"/>
      <c r="HW523" s="27" t="s">
        <v>8</v>
      </c>
      <c r="HX523" s="27" t="s">
        <v>7</v>
      </c>
      <c r="HY523" s="27" t="s">
        <v>8</v>
      </c>
      <c r="HZ523" s="27" t="s">
        <v>7</v>
      </c>
      <c r="IB523" s="27" t="s">
        <v>7</v>
      </c>
      <c r="IC523" s="27" t="s">
        <v>8</v>
      </c>
      <c r="ID523" s="27" t="s">
        <v>7</v>
      </c>
      <c r="IG523" s="27" t="s">
        <v>8</v>
      </c>
      <c r="II523" s="27" t="s">
        <v>8</v>
      </c>
      <c r="IJ523" s="27" t="s">
        <v>7</v>
      </c>
      <c r="JM523" s="27" t="s">
        <v>8</v>
      </c>
      <c r="JQ523" s="27" t="s">
        <v>8</v>
      </c>
      <c r="JR523" s="27" t="s">
        <v>7</v>
      </c>
      <c r="JS523" s="27" t="s">
        <v>8</v>
      </c>
    </row>
    <row r="524" spans="1:281" x14ac:dyDescent="0.25">
      <c r="A524" s="7">
        <v>3.4818561208596837</v>
      </c>
      <c r="B524"/>
      <c r="C524"/>
      <c r="D524"/>
      <c r="E524"/>
      <c r="AW524" s="27" t="s">
        <v>8</v>
      </c>
      <c r="HW524" s="27" t="s">
        <v>8</v>
      </c>
      <c r="HX524" s="27" t="s">
        <v>7</v>
      </c>
      <c r="HY524" s="27" t="s">
        <v>8</v>
      </c>
      <c r="IB524" s="27" t="s">
        <v>7</v>
      </c>
      <c r="IC524" s="27" t="s">
        <v>8</v>
      </c>
      <c r="ID524" s="27" t="s">
        <v>7</v>
      </c>
      <c r="IG524" s="27" t="s">
        <v>8</v>
      </c>
      <c r="IH524" s="27" t="s">
        <v>7</v>
      </c>
      <c r="II524" s="27" t="s">
        <v>8</v>
      </c>
      <c r="IJ524" s="27" t="s">
        <v>7</v>
      </c>
      <c r="JM524" s="27" t="s">
        <v>8</v>
      </c>
      <c r="JN524" s="27" t="s">
        <v>7</v>
      </c>
      <c r="JO524" s="27" t="s">
        <v>8</v>
      </c>
      <c r="JQ524" s="27" t="s">
        <v>8</v>
      </c>
      <c r="JR524" s="27" t="s">
        <v>7</v>
      </c>
    </row>
    <row r="525" spans="1:281" x14ac:dyDescent="0.25">
      <c r="A525" s="7">
        <v>3.4135844322153761</v>
      </c>
      <c r="B525"/>
      <c r="C525"/>
      <c r="D525"/>
      <c r="E525"/>
      <c r="AW525" s="27" t="s">
        <v>8</v>
      </c>
      <c r="AX525" s="27" t="s">
        <v>7</v>
      </c>
      <c r="HW525" s="27" t="s">
        <v>8</v>
      </c>
      <c r="HX525" s="27" t="s">
        <v>7</v>
      </c>
      <c r="HY525" s="27" t="s">
        <v>8</v>
      </c>
      <c r="IB525" s="27" t="s">
        <v>7</v>
      </c>
      <c r="IC525" s="27" t="s">
        <v>8</v>
      </c>
      <c r="ID525" s="27" t="s">
        <v>7</v>
      </c>
      <c r="IG525" s="27" t="s">
        <v>8</v>
      </c>
      <c r="IH525" s="27" t="s">
        <v>7</v>
      </c>
      <c r="II525" s="27" t="s">
        <v>8</v>
      </c>
      <c r="IJ525" s="27" t="s">
        <v>7</v>
      </c>
      <c r="JM525" s="27" t="s">
        <v>8</v>
      </c>
      <c r="JN525" s="27" t="s">
        <v>7</v>
      </c>
      <c r="JO525" s="27" t="s">
        <v>8</v>
      </c>
      <c r="JP525" s="27" t="s">
        <v>7</v>
      </c>
      <c r="JQ525" s="27" t="s">
        <v>8</v>
      </c>
    </row>
    <row r="526" spans="1:281" x14ac:dyDescent="0.25">
      <c r="A526" s="7">
        <v>3.3466514041327216</v>
      </c>
      <c r="B526"/>
      <c r="C526"/>
      <c r="D526"/>
      <c r="E526"/>
      <c r="AW526" s="27" t="s">
        <v>8</v>
      </c>
      <c r="AX526" s="27" t="s">
        <v>7</v>
      </c>
      <c r="HW526" s="27" t="s">
        <v>8</v>
      </c>
      <c r="HX526" s="27" t="s">
        <v>7</v>
      </c>
      <c r="HY526" s="27" t="s">
        <v>8</v>
      </c>
      <c r="IB526" s="27" t="s">
        <v>7</v>
      </c>
      <c r="IC526" s="27" t="s">
        <v>8</v>
      </c>
      <c r="ID526" s="27" t="s">
        <v>7</v>
      </c>
      <c r="IE526" s="27" t="s">
        <v>8</v>
      </c>
      <c r="IG526" s="27" t="s">
        <v>8</v>
      </c>
      <c r="IH526" s="27" t="s">
        <v>7</v>
      </c>
      <c r="IJ526" s="27" t="s">
        <v>7</v>
      </c>
      <c r="JI526" s="27" t="s">
        <v>8</v>
      </c>
      <c r="JM526" s="27" t="s">
        <v>8</v>
      </c>
      <c r="JN526" s="27" t="s">
        <v>7</v>
      </c>
      <c r="JO526" s="27" t="s">
        <v>8</v>
      </c>
      <c r="JP526" s="27" t="s">
        <v>7</v>
      </c>
      <c r="JQ526" s="27" t="s">
        <v>8</v>
      </c>
    </row>
    <row r="527" spans="1:281" x14ac:dyDescent="0.25">
      <c r="A527" s="7">
        <v>3.2810307883654133</v>
      </c>
      <c r="B527"/>
      <c r="C527"/>
      <c r="D527"/>
      <c r="E527"/>
      <c r="AW527" s="27" t="s">
        <v>8</v>
      </c>
      <c r="AX527" s="27" t="s">
        <v>7</v>
      </c>
      <c r="HW527" s="27" t="s">
        <v>8</v>
      </c>
      <c r="HX527" s="27" t="s">
        <v>7</v>
      </c>
      <c r="HY527" s="27" t="s">
        <v>8</v>
      </c>
      <c r="IB527" s="27" t="s">
        <v>7</v>
      </c>
      <c r="IC527" s="27" t="s">
        <v>8</v>
      </c>
      <c r="ID527" s="27" t="s">
        <v>7</v>
      </c>
      <c r="IE527" s="27" t="s">
        <v>8</v>
      </c>
      <c r="IF527" s="27" t="s">
        <v>7</v>
      </c>
      <c r="IG527" s="27" t="s">
        <v>8</v>
      </c>
      <c r="IJ527" s="27" t="s">
        <v>7</v>
      </c>
      <c r="JI527" s="27" t="s">
        <v>8</v>
      </c>
      <c r="JJ527" s="27" t="s">
        <v>7</v>
      </c>
      <c r="JK527" s="27" t="s">
        <v>8</v>
      </c>
      <c r="JM527" s="27" t="s">
        <v>8</v>
      </c>
      <c r="JN527" s="27" t="s">
        <v>7</v>
      </c>
      <c r="JO527" s="27" t="s">
        <v>8</v>
      </c>
      <c r="JP527" s="27" t="s">
        <v>7</v>
      </c>
      <c r="JQ527" s="27" t="s">
        <v>8</v>
      </c>
    </row>
    <row r="528" spans="1:281" x14ac:dyDescent="0.25">
      <c r="A528" s="7">
        <v>3.2166968513386403</v>
      </c>
      <c r="B528"/>
      <c r="C528"/>
      <c r="D528"/>
      <c r="E528"/>
      <c r="AW528" s="27" t="s">
        <v>8</v>
      </c>
      <c r="AX528" s="27" t="s">
        <v>7</v>
      </c>
      <c r="HW528" s="27" t="s">
        <v>8</v>
      </c>
      <c r="HX528" s="27" t="s">
        <v>7</v>
      </c>
      <c r="IB528" s="27" t="s">
        <v>7</v>
      </c>
      <c r="IC528" s="27" t="s">
        <v>8</v>
      </c>
      <c r="ID528" s="27" t="s">
        <v>7</v>
      </c>
      <c r="IE528" s="27" t="s">
        <v>8</v>
      </c>
      <c r="IF528" s="27" t="s">
        <v>7</v>
      </c>
      <c r="IG528" s="27" t="s">
        <v>8</v>
      </c>
      <c r="IJ528" s="27" t="s">
        <v>7</v>
      </c>
      <c r="JI528" s="27" t="s">
        <v>8</v>
      </c>
      <c r="JJ528" s="27" t="s">
        <v>7</v>
      </c>
      <c r="JK528" s="27" t="s">
        <v>8</v>
      </c>
      <c r="JL528" s="27" t="s">
        <v>7</v>
      </c>
      <c r="JM528" s="27" t="s">
        <v>8</v>
      </c>
      <c r="JN528" s="27" t="s">
        <v>7</v>
      </c>
      <c r="JO528" s="27" t="s">
        <v>8</v>
      </c>
      <c r="JP528" s="27" t="s">
        <v>7</v>
      </c>
      <c r="JQ528" s="27" t="s">
        <v>8</v>
      </c>
    </row>
    <row r="529" spans="1:277" x14ac:dyDescent="0.25">
      <c r="A529" s="7">
        <v>3.1536243640574906</v>
      </c>
      <c r="B529"/>
      <c r="C529"/>
      <c r="D529"/>
      <c r="E529"/>
      <c r="G529" s="27" t="s">
        <v>8</v>
      </c>
      <c r="AA529" s="27" t="s">
        <v>8</v>
      </c>
      <c r="AC529" s="27" t="s">
        <v>8</v>
      </c>
      <c r="AW529" s="27" t="s">
        <v>8</v>
      </c>
      <c r="AX529" s="27" t="s">
        <v>7</v>
      </c>
      <c r="HW529" s="27" t="s">
        <v>8</v>
      </c>
      <c r="IB529" s="27" t="s">
        <v>7</v>
      </c>
      <c r="IC529" s="27" t="s">
        <v>8</v>
      </c>
      <c r="ID529" s="27" t="s">
        <v>7</v>
      </c>
      <c r="IE529" s="27" t="s">
        <v>8</v>
      </c>
      <c r="IF529" s="27" t="s">
        <v>7</v>
      </c>
      <c r="IG529" s="27" t="s">
        <v>8</v>
      </c>
      <c r="IJ529" s="27" t="s">
        <v>7</v>
      </c>
      <c r="JI529" s="27" t="s">
        <v>8</v>
      </c>
      <c r="JJ529" s="27" t="s">
        <v>7</v>
      </c>
      <c r="JK529" s="27" t="s">
        <v>8</v>
      </c>
      <c r="JL529" s="27" t="s">
        <v>7</v>
      </c>
      <c r="JM529" s="27" t="s">
        <v>8</v>
      </c>
      <c r="JN529" s="27" t="s">
        <v>7</v>
      </c>
      <c r="JO529" s="27" t="s">
        <v>8</v>
      </c>
      <c r="JP529" s="27" t="s">
        <v>7</v>
      </c>
      <c r="JQ529" s="27" t="s">
        <v>8</v>
      </c>
    </row>
    <row r="530" spans="1:277" x14ac:dyDescent="0.25">
      <c r="A530" s="7">
        <v>3.0917885922132262</v>
      </c>
      <c r="B530"/>
      <c r="C530"/>
      <c r="D530"/>
      <c r="E530"/>
      <c r="G530" s="27" t="s">
        <v>8</v>
      </c>
      <c r="H530" s="27" t="s">
        <v>7</v>
      </c>
      <c r="AA530" s="27" t="s">
        <v>8</v>
      </c>
      <c r="AB530" s="27" t="s">
        <v>7</v>
      </c>
      <c r="AC530" s="27" t="s">
        <v>8</v>
      </c>
      <c r="AD530" s="27" t="s">
        <v>7</v>
      </c>
      <c r="AE530" s="27" t="s">
        <v>8</v>
      </c>
      <c r="AW530" s="27" t="s">
        <v>8</v>
      </c>
      <c r="AX530" s="27" t="s">
        <v>7</v>
      </c>
      <c r="HW530" s="27" t="s">
        <v>8</v>
      </c>
      <c r="IB530" s="27" t="s">
        <v>7</v>
      </c>
      <c r="IC530" s="27" t="s">
        <v>8</v>
      </c>
      <c r="ID530" s="27" t="s">
        <v>7</v>
      </c>
      <c r="IF530" s="27" t="s">
        <v>7</v>
      </c>
      <c r="IG530" s="27" t="s">
        <v>8</v>
      </c>
      <c r="IJ530" s="27" t="s">
        <v>7</v>
      </c>
      <c r="IS530" s="27" t="s">
        <v>8</v>
      </c>
      <c r="JI530" s="27" t="s">
        <v>8</v>
      </c>
      <c r="JJ530" s="27" t="s">
        <v>7</v>
      </c>
      <c r="JK530" s="27" t="s">
        <v>8</v>
      </c>
      <c r="JL530" s="27" t="s">
        <v>7</v>
      </c>
      <c r="JM530" s="27" t="s">
        <v>8</v>
      </c>
      <c r="JN530" s="27" t="s">
        <v>7</v>
      </c>
      <c r="JO530" s="27" t="s">
        <v>8</v>
      </c>
      <c r="JP530" s="27" t="s">
        <v>7</v>
      </c>
    </row>
    <row r="531" spans="1:277" x14ac:dyDescent="0.25">
      <c r="A531" s="7">
        <v>3.0311652864835552</v>
      </c>
      <c r="B531"/>
      <c r="C531"/>
      <c r="D531"/>
      <c r="E531"/>
      <c r="G531" s="27" t="s">
        <v>8</v>
      </c>
      <c r="H531" s="27" t="s">
        <v>7</v>
      </c>
      <c r="K531" s="27" t="s">
        <v>8</v>
      </c>
      <c r="AA531" s="27" t="s">
        <v>8</v>
      </c>
      <c r="AB531" s="27" t="s">
        <v>7</v>
      </c>
      <c r="AC531" s="27" t="s">
        <v>8</v>
      </c>
      <c r="AD531" s="27" t="s">
        <v>7</v>
      </c>
      <c r="AE531" s="27" t="s">
        <v>8</v>
      </c>
      <c r="AF531" s="27" t="s">
        <v>7</v>
      </c>
      <c r="AW531" s="27" t="s">
        <v>8</v>
      </c>
      <c r="AX531" s="27" t="s">
        <v>7</v>
      </c>
      <c r="HW531" s="27" t="s">
        <v>8</v>
      </c>
      <c r="IB531" s="27" t="s">
        <v>7</v>
      </c>
      <c r="IC531" s="27" t="s">
        <v>8</v>
      </c>
      <c r="IF531" s="27" t="s">
        <v>7</v>
      </c>
      <c r="IG531" s="27" t="s">
        <v>8</v>
      </c>
      <c r="IJ531" s="27" t="s">
        <v>7</v>
      </c>
      <c r="IS531" s="27" t="s">
        <v>8</v>
      </c>
      <c r="IT531" s="27" t="s">
        <v>7</v>
      </c>
      <c r="JI531" s="27" t="s">
        <v>8</v>
      </c>
      <c r="JJ531" s="27" t="s">
        <v>7</v>
      </c>
      <c r="JK531" s="27" t="s">
        <v>8</v>
      </c>
      <c r="JL531" s="27" t="s">
        <v>7</v>
      </c>
      <c r="JM531" s="27" t="s">
        <v>8</v>
      </c>
      <c r="JN531" s="27" t="s">
        <v>7</v>
      </c>
      <c r="JO531" s="27" t="s">
        <v>8</v>
      </c>
    </row>
    <row r="532" spans="1:277" x14ac:dyDescent="0.25">
      <c r="A532" s="7">
        <v>2.9717306730230932</v>
      </c>
      <c r="B532"/>
      <c r="C532"/>
      <c r="D532"/>
      <c r="E532"/>
      <c r="G532" s="27" t="s">
        <v>8</v>
      </c>
      <c r="H532" s="27" t="s">
        <v>7</v>
      </c>
      <c r="K532" s="27" t="s">
        <v>8</v>
      </c>
      <c r="L532" s="27" t="s">
        <v>7</v>
      </c>
      <c r="AA532" s="27" t="s">
        <v>8</v>
      </c>
      <c r="AB532" s="27" t="s">
        <v>7</v>
      </c>
      <c r="AC532" s="27" t="s">
        <v>8</v>
      </c>
      <c r="AD532" s="27" t="s">
        <v>7</v>
      </c>
      <c r="AE532" s="27" t="s">
        <v>8</v>
      </c>
      <c r="AF532" s="27" t="s">
        <v>7</v>
      </c>
      <c r="AW532" s="27" t="s">
        <v>8</v>
      </c>
      <c r="AX532" s="27" t="s">
        <v>7</v>
      </c>
      <c r="HW532" s="27" t="s">
        <v>8</v>
      </c>
      <c r="IB532" s="27" t="s">
        <v>7</v>
      </c>
      <c r="IC532" s="27" t="s">
        <v>8</v>
      </c>
      <c r="IF532" s="27" t="s">
        <v>7</v>
      </c>
      <c r="IJ532" s="27" t="s">
        <v>7</v>
      </c>
      <c r="IS532" s="27" t="s">
        <v>8</v>
      </c>
      <c r="IT532" s="27" t="s">
        <v>7</v>
      </c>
      <c r="JI532" s="27" t="s">
        <v>8</v>
      </c>
      <c r="JJ532" s="27" t="s">
        <v>7</v>
      </c>
      <c r="JK532" s="27" t="s">
        <v>8</v>
      </c>
      <c r="JL532" s="27" t="s">
        <v>7</v>
      </c>
      <c r="JM532" s="27" t="s">
        <v>8</v>
      </c>
      <c r="JN532" s="27" t="s">
        <v>7</v>
      </c>
    </row>
    <row r="533" spans="1:277" x14ac:dyDescent="0.25">
      <c r="A533" s="7">
        <v>2.9134614441402875</v>
      </c>
      <c r="B533"/>
      <c r="C533"/>
      <c r="D533"/>
      <c r="E533"/>
      <c r="G533" s="27" t="s">
        <v>8</v>
      </c>
      <c r="H533" s="27" t="s">
        <v>7</v>
      </c>
      <c r="I533" s="27" t="s">
        <v>8</v>
      </c>
      <c r="K533" s="27" t="s">
        <v>8</v>
      </c>
      <c r="L533" s="27" t="s">
        <v>7</v>
      </c>
      <c r="O533" s="27" t="s">
        <v>8</v>
      </c>
      <c r="Q533" s="27" t="s">
        <v>8</v>
      </c>
      <c r="S533" s="27" t="s">
        <v>8</v>
      </c>
      <c r="AA533" s="27" t="s">
        <v>8</v>
      </c>
      <c r="AB533" s="27" t="s">
        <v>7</v>
      </c>
      <c r="AC533" s="27" t="s">
        <v>8</v>
      </c>
      <c r="AD533" s="27" t="s">
        <v>7</v>
      </c>
      <c r="AE533" s="27" t="s">
        <v>8</v>
      </c>
      <c r="AF533" s="27" t="s">
        <v>7</v>
      </c>
      <c r="AW533" s="27" t="s">
        <v>8</v>
      </c>
      <c r="AX533" s="27" t="s">
        <v>7</v>
      </c>
      <c r="HW533" s="27" t="s">
        <v>8</v>
      </c>
      <c r="IB533" s="27" t="s">
        <v>7</v>
      </c>
      <c r="IJ533" s="27" t="s">
        <v>7</v>
      </c>
      <c r="IS533" s="27" t="s">
        <v>8</v>
      </c>
      <c r="IT533" s="27" t="s">
        <v>7</v>
      </c>
      <c r="JI533" s="27" t="s">
        <v>8</v>
      </c>
      <c r="JJ533" s="27" t="s">
        <v>7</v>
      </c>
      <c r="JL533" s="27" t="s">
        <v>7</v>
      </c>
      <c r="JM533" s="27" t="s">
        <v>8</v>
      </c>
    </row>
    <row r="534" spans="1:277" x14ac:dyDescent="0.25">
      <c r="A534" s="7">
        <v>2.8563347491571447</v>
      </c>
      <c r="B534"/>
      <c r="C534"/>
      <c r="D534"/>
      <c r="E534"/>
      <c r="G534" s="27" t="s">
        <v>8</v>
      </c>
      <c r="H534" s="27" t="s">
        <v>7</v>
      </c>
      <c r="I534" s="27" t="s">
        <v>8</v>
      </c>
      <c r="J534" s="27" t="s">
        <v>7</v>
      </c>
      <c r="K534" s="27" t="s">
        <v>8</v>
      </c>
      <c r="L534" s="27" t="s">
        <v>7</v>
      </c>
      <c r="M534" s="27" t="s">
        <v>8</v>
      </c>
      <c r="O534" s="27" t="s">
        <v>8</v>
      </c>
      <c r="P534" s="27" t="s">
        <v>7</v>
      </c>
      <c r="Q534" s="27" t="s">
        <v>8</v>
      </c>
      <c r="R534" s="27" t="s">
        <v>7</v>
      </c>
      <c r="S534" s="27" t="s">
        <v>8</v>
      </c>
      <c r="T534" s="27" t="s">
        <v>7</v>
      </c>
      <c r="Y534" s="27" t="s">
        <v>8</v>
      </c>
      <c r="AA534" s="27" t="s">
        <v>8</v>
      </c>
      <c r="AB534" s="27" t="s">
        <v>7</v>
      </c>
      <c r="AC534" s="27" t="s">
        <v>8</v>
      </c>
      <c r="AD534" s="27" t="s">
        <v>7</v>
      </c>
      <c r="AE534" s="27" t="s">
        <v>8</v>
      </c>
      <c r="AF534" s="27" t="s">
        <v>7</v>
      </c>
      <c r="AW534" s="27" t="s">
        <v>8</v>
      </c>
      <c r="AX534" s="27" t="s">
        <v>7</v>
      </c>
      <c r="AY534" s="27" t="s">
        <v>8</v>
      </c>
      <c r="HW534" s="27" t="s">
        <v>8</v>
      </c>
      <c r="IJ534" s="27" t="s">
        <v>7</v>
      </c>
      <c r="IS534" s="27" t="s">
        <v>8</v>
      </c>
      <c r="IT534" s="27" t="s">
        <v>7</v>
      </c>
      <c r="JI534" s="27" t="s">
        <v>8</v>
      </c>
      <c r="JL534" s="27" t="s">
        <v>7</v>
      </c>
    </row>
    <row r="535" spans="1:277" x14ac:dyDescent="0.25">
      <c r="A535" s="7">
        <v>2.8003281854481812</v>
      </c>
      <c r="B535"/>
      <c r="C535"/>
      <c r="D535"/>
      <c r="E535"/>
      <c r="G535" s="27" t="s">
        <v>8</v>
      </c>
      <c r="H535" s="27" t="s">
        <v>7</v>
      </c>
      <c r="I535" s="27" t="s">
        <v>8</v>
      </c>
      <c r="J535" s="27" t="s">
        <v>7</v>
      </c>
      <c r="K535" s="27" t="s">
        <v>8</v>
      </c>
      <c r="L535" s="27" t="s">
        <v>7</v>
      </c>
      <c r="M535" s="27" t="s">
        <v>8</v>
      </c>
      <c r="N535" s="27" t="s">
        <v>7</v>
      </c>
      <c r="O535" s="27" t="s">
        <v>8</v>
      </c>
      <c r="P535" s="27" t="s">
        <v>7</v>
      </c>
      <c r="Q535" s="27" t="s">
        <v>8</v>
      </c>
      <c r="R535" s="27" t="s">
        <v>7</v>
      </c>
      <c r="S535" s="27" t="s">
        <v>8</v>
      </c>
      <c r="T535" s="27" t="s">
        <v>7</v>
      </c>
      <c r="W535" s="27" t="s">
        <v>8</v>
      </c>
      <c r="Y535" s="27" t="s">
        <v>8</v>
      </c>
      <c r="Z535" s="27" t="s">
        <v>7</v>
      </c>
      <c r="AA535" s="27" t="s">
        <v>8</v>
      </c>
      <c r="AB535" s="27" t="s">
        <v>7</v>
      </c>
      <c r="AC535" s="27" t="s">
        <v>8</v>
      </c>
      <c r="AD535" s="27" t="s">
        <v>7</v>
      </c>
      <c r="AE535" s="27" t="s">
        <v>8</v>
      </c>
      <c r="AF535" s="27" t="s">
        <v>7</v>
      </c>
      <c r="AG535" s="27" t="s">
        <v>8</v>
      </c>
      <c r="AW535" s="27" t="s">
        <v>8</v>
      </c>
      <c r="AX535" s="27" t="s">
        <v>7</v>
      </c>
      <c r="AY535" s="27" t="s">
        <v>8</v>
      </c>
      <c r="AZ535" s="27" t="s">
        <v>7</v>
      </c>
      <c r="HW535" s="27" t="s">
        <v>8</v>
      </c>
      <c r="IJ535" s="27" t="s">
        <v>7</v>
      </c>
      <c r="IK535" s="27" t="s">
        <v>8</v>
      </c>
      <c r="IS535" s="27" t="s">
        <v>8</v>
      </c>
      <c r="IT535" s="27" t="s">
        <v>7</v>
      </c>
      <c r="JI535" s="27" t="s">
        <v>8</v>
      </c>
    </row>
    <row r="536" spans="1:277" x14ac:dyDescent="0.25">
      <c r="A536" s="7">
        <v>2.7454197896550796</v>
      </c>
      <c r="B536"/>
      <c r="C536"/>
      <c r="D536"/>
      <c r="E536"/>
      <c r="G536" s="27" t="s">
        <v>8</v>
      </c>
      <c r="H536" s="27" t="s">
        <v>7</v>
      </c>
      <c r="I536" s="27" t="s">
        <v>8</v>
      </c>
      <c r="J536" s="27" t="s">
        <v>7</v>
      </c>
      <c r="K536" s="27" t="s">
        <v>8</v>
      </c>
      <c r="L536" s="27" t="s">
        <v>7</v>
      </c>
      <c r="M536" s="27" t="s">
        <v>8</v>
      </c>
      <c r="N536" s="27" t="s">
        <v>7</v>
      </c>
      <c r="O536" s="27" t="s">
        <v>8</v>
      </c>
      <c r="P536" s="27" t="s">
        <v>7</v>
      </c>
      <c r="Q536" s="27" t="s">
        <v>8</v>
      </c>
      <c r="R536" s="27" t="s">
        <v>7</v>
      </c>
      <c r="T536" s="27" t="s">
        <v>7</v>
      </c>
      <c r="U536" s="27" t="s">
        <v>8</v>
      </c>
      <c r="W536" s="27" t="s">
        <v>8</v>
      </c>
      <c r="X536" s="27" t="s">
        <v>7</v>
      </c>
      <c r="Y536" s="27" t="s">
        <v>8</v>
      </c>
      <c r="Z536" s="27" t="s">
        <v>7</v>
      </c>
      <c r="AA536" s="27" t="s">
        <v>8</v>
      </c>
      <c r="AB536" s="27" t="s">
        <v>7</v>
      </c>
      <c r="AD536" s="27" t="s">
        <v>7</v>
      </c>
      <c r="AE536" s="27" t="s">
        <v>8</v>
      </c>
      <c r="AF536" s="27" t="s">
        <v>7</v>
      </c>
      <c r="AG536" s="27" t="s">
        <v>8</v>
      </c>
      <c r="AH536" s="27" t="s">
        <v>7</v>
      </c>
      <c r="AQ536" s="27" t="s">
        <v>8</v>
      </c>
      <c r="AW536" s="27" t="s">
        <v>8</v>
      </c>
      <c r="AX536" s="27" t="s">
        <v>7</v>
      </c>
      <c r="AY536" s="27" t="s">
        <v>8</v>
      </c>
      <c r="AZ536" s="27" t="s">
        <v>7</v>
      </c>
      <c r="HW536" s="27" t="s">
        <v>8</v>
      </c>
      <c r="IJ536" s="27" t="s">
        <v>7</v>
      </c>
      <c r="IK536" s="27" t="s">
        <v>8</v>
      </c>
      <c r="IL536" s="27" t="s">
        <v>7</v>
      </c>
      <c r="IS536" s="27" t="s">
        <v>8</v>
      </c>
      <c r="IT536" s="27" t="s">
        <v>7</v>
      </c>
      <c r="JC536" s="27" t="s">
        <v>8</v>
      </c>
      <c r="JI536" s="27" t="s">
        <v>8</v>
      </c>
    </row>
    <row r="537" spans="1:277" x14ac:dyDescent="0.25">
      <c r="A537" s="7">
        <v>2.6915880290736074</v>
      </c>
      <c r="B537"/>
      <c r="C537"/>
      <c r="D537"/>
      <c r="E537"/>
      <c r="G537" s="27" t="s">
        <v>8</v>
      </c>
      <c r="H537" s="27" t="s">
        <v>7</v>
      </c>
      <c r="I537" s="27" t="s">
        <v>8</v>
      </c>
      <c r="J537" s="27" t="s">
        <v>7</v>
      </c>
      <c r="K537" s="27" t="s">
        <v>8</v>
      </c>
      <c r="L537" s="27" t="s">
        <v>7</v>
      </c>
      <c r="N537" s="27" t="s">
        <v>7</v>
      </c>
      <c r="O537" s="27" t="s">
        <v>8</v>
      </c>
      <c r="P537" s="27" t="s">
        <v>7</v>
      </c>
      <c r="Q537" s="27" t="s">
        <v>8</v>
      </c>
      <c r="T537" s="27" t="s">
        <v>7</v>
      </c>
      <c r="U537" s="27" t="s">
        <v>8</v>
      </c>
      <c r="V537" s="27" t="s">
        <v>7</v>
      </c>
      <c r="W537" s="27" t="s">
        <v>8</v>
      </c>
      <c r="X537" s="27" t="s">
        <v>7</v>
      </c>
      <c r="Y537" s="27" t="s">
        <v>8</v>
      </c>
      <c r="Z537" s="27" t="s">
        <v>7</v>
      </c>
      <c r="AA537" s="27" t="s">
        <v>8</v>
      </c>
      <c r="AD537" s="27" t="s">
        <v>7</v>
      </c>
      <c r="AE537" s="27" t="s">
        <v>8</v>
      </c>
      <c r="AF537" s="27" t="s">
        <v>7</v>
      </c>
      <c r="AG537" s="27" t="s">
        <v>8</v>
      </c>
      <c r="AH537" s="27" t="s">
        <v>7</v>
      </c>
      <c r="AQ537" s="27" t="s">
        <v>8</v>
      </c>
      <c r="AR537" s="27" t="s">
        <v>7</v>
      </c>
      <c r="AW537" s="27" t="s">
        <v>8</v>
      </c>
      <c r="AX537" s="27" t="s">
        <v>7</v>
      </c>
      <c r="AY537" s="27" t="s">
        <v>8</v>
      </c>
      <c r="AZ537" s="27" t="s">
        <v>7</v>
      </c>
      <c r="HW537" s="27" t="s">
        <v>8</v>
      </c>
      <c r="IJ537" s="27" t="s">
        <v>7</v>
      </c>
      <c r="IK537" s="27" t="s">
        <v>8</v>
      </c>
      <c r="IL537" s="27" t="s">
        <v>7</v>
      </c>
      <c r="IS537" s="27" t="s">
        <v>8</v>
      </c>
      <c r="IT537" s="27" t="s">
        <v>7</v>
      </c>
      <c r="JC537" s="27" t="s">
        <v>8</v>
      </c>
      <c r="JD537" s="27" t="s">
        <v>7</v>
      </c>
      <c r="JI537" s="27" t="s">
        <v>8</v>
      </c>
    </row>
    <row r="538" spans="1:277" x14ac:dyDescent="0.25">
      <c r="A538" s="7">
        <v>2.6388117932094191</v>
      </c>
      <c r="B538"/>
      <c r="C538"/>
      <c r="D538"/>
      <c r="E538" t="s">
        <v>8</v>
      </c>
      <c r="G538" s="27" t="s">
        <v>8</v>
      </c>
      <c r="H538" s="27" t="s">
        <v>7</v>
      </c>
      <c r="J538" s="27" t="s">
        <v>7</v>
      </c>
      <c r="K538" s="27" t="s">
        <v>8</v>
      </c>
      <c r="N538" s="27" t="s">
        <v>7</v>
      </c>
      <c r="O538" s="27" t="s">
        <v>8</v>
      </c>
      <c r="P538" s="27" t="s">
        <v>7</v>
      </c>
      <c r="Q538" s="27" t="s">
        <v>8</v>
      </c>
      <c r="T538" s="27" t="s">
        <v>7</v>
      </c>
      <c r="U538" s="27" t="s">
        <v>8</v>
      </c>
      <c r="V538" s="27" t="s">
        <v>7</v>
      </c>
      <c r="W538" s="27" t="s">
        <v>8</v>
      </c>
      <c r="X538" s="27" t="s">
        <v>7</v>
      </c>
      <c r="Z538" s="27" t="s">
        <v>7</v>
      </c>
      <c r="AD538" s="27" t="s">
        <v>7</v>
      </c>
      <c r="AE538" s="27" t="s">
        <v>8</v>
      </c>
      <c r="AF538" s="27" t="s">
        <v>7</v>
      </c>
      <c r="AG538" s="27" t="s">
        <v>8</v>
      </c>
      <c r="AH538" s="27" t="s">
        <v>7</v>
      </c>
      <c r="AQ538" s="27" t="s">
        <v>8</v>
      </c>
      <c r="AR538" s="27" t="s">
        <v>7</v>
      </c>
      <c r="AW538" s="27" t="s">
        <v>8</v>
      </c>
      <c r="AX538" s="27" t="s">
        <v>7</v>
      </c>
      <c r="AY538" s="27" t="s">
        <v>8</v>
      </c>
      <c r="AZ538" s="27" t="s">
        <v>7</v>
      </c>
      <c r="BA538" s="27" t="s">
        <v>8</v>
      </c>
      <c r="HW538" s="27" t="s">
        <v>8</v>
      </c>
      <c r="IJ538" s="27" t="s">
        <v>7</v>
      </c>
      <c r="IK538" s="27" t="s">
        <v>8</v>
      </c>
      <c r="IL538" s="27" t="s">
        <v>7</v>
      </c>
      <c r="IS538" s="27" t="s">
        <v>8</v>
      </c>
      <c r="IT538" s="27" t="s">
        <v>7</v>
      </c>
      <c r="IU538" s="27" t="s">
        <v>8</v>
      </c>
      <c r="JC538" s="27" t="s">
        <v>8</v>
      </c>
      <c r="JD538" s="27" t="s">
        <v>7</v>
      </c>
      <c r="JI538" s="27" t="s">
        <v>8</v>
      </c>
    </row>
    <row r="539" spans="1:277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G539" s="27" t="s">
        <v>8</v>
      </c>
      <c r="J539" s="27" t="s">
        <v>7</v>
      </c>
      <c r="K539" s="27" t="s">
        <v>8</v>
      </c>
      <c r="N539" s="27" t="s">
        <v>7</v>
      </c>
      <c r="O539" s="27" t="s">
        <v>8</v>
      </c>
      <c r="P539" s="27" t="s">
        <v>7</v>
      </c>
      <c r="T539" s="27" t="s">
        <v>7</v>
      </c>
      <c r="V539" s="27" t="s">
        <v>7</v>
      </c>
      <c r="W539" s="27" t="s">
        <v>8</v>
      </c>
      <c r="AD539" s="27" t="s">
        <v>7</v>
      </c>
      <c r="AF539" s="27" t="s">
        <v>7</v>
      </c>
      <c r="AG539" s="27" t="s">
        <v>8</v>
      </c>
      <c r="AH539" s="27" t="s">
        <v>7</v>
      </c>
      <c r="AQ539" s="27" t="s">
        <v>8</v>
      </c>
      <c r="AR539" s="27" t="s">
        <v>7</v>
      </c>
      <c r="AS539" s="27" t="s">
        <v>8</v>
      </c>
      <c r="AW539" s="27" t="s">
        <v>8</v>
      </c>
      <c r="AX539" s="27" t="s">
        <v>7</v>
      </c>
      <c r="AZ539" s="27" t="s">
        <v>7</v>
      </c>
      <c r="BA539" s="27" t="s">
        <v>8</v>
      </c>
      <c r="BB539" s="27" t="s">
        <v>7</v>
      </c>
      <c r="HW539" s="27" t="s">
        <v>8</v>
      </c>
      <c r="IJ539" s="27" t="s">
        <v>7</v>
      </c>
      <c r="IK539" s="27" t="s">
        <v>8</v>
      </c>
      <c r="IL539" s="27" t="s">
        <v>7</v>
      </c>
      <c r="IS539" s="27" t="s">
        <v>8</v>
      </c>
      <c r="IT539" s="27" t="s">
        <v>7</v>
      </c>
      <c r="IU539" s="27" t="s">
        <v>8</v>
      </c>
      <c r="IV539" s="27" t="s">
        <v>7</v>
      </c>
      <c r="IW539" s="27" t="s">
        <v>8</v>
      </c>
      <c r="IY539" s="27" t="s">
        <v>8</v>
      </c>
      <c r="JC539" s="27" t="s">
        <v>8</v>
      </c>
      <c r="JD539" s="27" t="s">
        <v>7</v>
      </c>
      <c r="JG539" s="27" t="s">
        <v>8</v>
      </c>
      <c r="JI539" s="27" t="s">
        <v>8</v>
      </c>
    </row>
    <row r="540" spans="1:277" x14ac:dyDescent="0.25">
      <c r="A540" s="7">
        <v>2.53634351519552</v>
      </c>
      <c r="B540"/>
      <c r="C540"/>
      <c r="D540"/>
      <c r="E540" t="s">
        <v>8</v>
      </c>
      <c r="F540" s="27" t="s">
        <v>7</v>
      </c>
      <c r="G540" s="27" t="s">
        <v>8</v>
      </c>
      <c r="J540" s="27" t="s">
        <v>7</v>
      </c>
      <c r="K540" s="27" t="s">
        <v>8</v>
      </c>
      <c r="N540" s="27" t="s">
        <v>7</v>
      </c>
      <c r="O540" s="27" t="s">
        <v>8</v>
      </c>
      <c r="V540" s="27" t="s">
        <v>7</v>
      </c>
      <c r="AF540" s="27" t="s">
        <v>7</v>
      </c>
      <c r="AH540" s="27" t="s">
        <v>7</v>
      </c>
      <c r="AO540" s="27" t="s">
        <v>8</v>
      </c>
      <c r="AQ540" s="27" t="s">
        <v>8</v>
      </c>
      <c r="AR540" s="27" t="s">
        <v>7</v>
      </c>
      <c r="AS540" s="27" t="s">
        <v>8</v>
      </c>
      <c r="AT540" s="27" t="s">
        <v>7</v>
      </c>
      <c r="AU540" s="27" t="s">
        <v>8</v>
      </c>
      <c r="AW540" s="27" t="s">
        <v>8</v>
      </c>
      <c r="AZ540" s="27" t="s">
        <v>7</v>
      </c>
      <c r="BA540" s="27" t="s">
        <v>8</v>
      </c>
      <c r="BB540" s="27" t="s">
        <v>7</v>
      </c>
      <c r="BG540" s="27" t="s">
        <v>8</v>
      </c>
      <c r="HW540" s="27" t="s">
        <v>8</v>
      </c>
      <c r="IJ540" s="27" t="s">
        <v>7</v>
      </c>
      <c r="IK540" s="27" t="s">
        <v>8</v>
      </c>
      <c r="IL540" s="27" t="s">
        <v>7</v>
      </c>
      <c r="IQ540" s="27" t="s">
        <v>8</v>
      </c>
      <c r="IS540" s="27" t="s">
        <v>8</v>
      </c>
      <c r="IT540" s="27" t="s">
        <v>7</v>
      </c>
      <c r="IU540" s="27" t="s">
        <v>8</v>
      </c>
      <c r="IV540" s="27" t="s">
        <v>7</v>
      </c>
      <c r="IW540" s="27" t="s">
        <v>8</v>
      </c>
      <c r="IX540" s="27" t="s">
        <v>7</v>
      </c>
      <c r="IY540" s="27" t="s">
        <v>8</v>
      </c>
      <c r="IZ540" s="27" t="s">
        <v>7</v>
      </c>
      <c r="JA540" s="27" t="s">
        <v>8</v>
      </c>
      <c r="JC540" s="27" t="s">
        <v>8</v>
      </c>
      <c r="JD540" s="27" t="s">
        <v>7</v>
      </c>
      <c r="JG540" s="27" t="s">
        <v>8</v>
      </c>
      <c r="JH540" s="27" t="s">
        <v>7</v>
      </c>
      <c r="JI540" s="27" t="s">
        <v>8</v>
      </c>
    </row>
    <row r="541" spans="1:277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G541" s="27" t="s">
        <v>8</v>
      </c>
      <c r="J541" s="27" t="s">
        <v>7</v>
      </c>
      <c r="N541" s="27" t="s">
        <v>7</v>
      </c>
      <c r="AH541" s="27" t="s">
        <v>7</v>
      </c>
      <c r="AO541" s="27" t="s">
        <v>8</v>
      </c>
      <c r="AP541" s="27" t="s">
        <v>7</v>
      </c>
      <c r="AQ541" s="27" t="s">
        <v>8</v>
      </c>
      <c r="AR541" s="27" t="s">
        <v>7</v>
      </c>
      <c r="AS541" s="27" t="s">
        <v>8</v>
      </c>
      <c r="AT541" s="27" t="s">
        <v>7</v>
      </c>
      <c r="AU541" s="27" t="s">
        <v>8</v>
      </c>
      <c r="AV541" s="27" t="s">
        <v>7</v>
      </c>
      <c r="AW541" s="27" t="s">
        <v>8</v>
      </c>
      <c r="AZ541" s="27" t="s">
        <v>7</v>
      </c>
      <c r="BB541" s="27" t="s">
        <v>7</v>
      </c>
      <c r="BE541" s="27" t="s">
        <v>8</v>
      </c>
      <c r="BG541" s="27" t="s">
        <v>8</v>
      </c>
      <c r="BH541" s="27" t="s">
        <v>7</v>
      </c>
      <c r="BI541" s="27" t="s">
        <v>8</v>
      </c>
      <c r="HW541" s="27" t="s">
        <v>8</v>
      </c>
      <c r="IJ541" s="27" t="s">
        <v>7</v>
      </c>
      <c r="IK541" s="27" t="s">
        <v>8</v>
      </c>
      <c r="IL541" s="27" t="s">
        <v>7</v>
      </c>
      <c r="IM541" s="27" t="s">
        <v>8</v>
      </c>
      <c r="IO541" s="27" t="s">
        <v>8</v>
      </c>
      <c r="IQ541" s="27" t="s">
        <v>8</v>
      </c>
      <c r="IR541" s="27" t="s">
        <v>7</v>
      </c>
      <c r="IS541" s="27" t="s">
        <v>8</v>
      </c>
      <c r="IT541" s="27" t="s">
        <v>7</v>
      </c>
      <c r="IU541" s="27" t="s">
        <v>8</v>
      </c>
      <c r="IV541" s="27" t="s">
        <v>7</v>
      </c>
      <c r="IW541" s="27" t="s">
        <v>8</v>
      </c>
      <c r="IX541" s="27" t="s">
        <v>7</v>
      </c>
      <c r="IY541" s="27" t="s">
        <v>8</v>
      </c>
      <c r="IZ541" s="27" t="s">
        <v>7</v>
      </c>
      <c r="JA541" s="27" t="s">
        <v>8</v>
      </c>
      <c r="JB541" s="27" t="s">
        <v>7</v>
      </c>
      <c r="JC541" s="27" t="s">
        <v>8</v>
      </c>
      <c r="JD541" s="27" t="s">
        <v>7</v>
      </c>
      <c r="JE541" s="27" t="s">
        <v>8</v>
      </c>
      <c r="JG541" s="27" t="s">
        <v>8</v>
      </c>
      <c r="JH541" s="27" t="s">
        <v>7</v>
      </c>
      <c r="JI541" s="27" t="s">
        <v>8</v>
      </c>
    </row>
    <row r="542" spans="1:277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G542" s="27" t="s">
        <v>8</v>
      </c>
      <c r="AH542" s="27" t="s">
        <v>7</v>
      </c>
      <c r="AK542" s="27" t="s">
        <v>8</v>
      </c>
      <c r="AM542" s="27" t="s">
        <v>8</v>
      </c>
      <c r="AO542" s="27" t="s">
        <v>8</v>
      </c>
      <c r="AP542" s="27" t="s">
        <v>7</v>
      </c>
      <c r="AQ542" s="27" t="s">
        <v>8</v>
      </c>
      <c r="AR542" s="27" t="s">
        <v>7</v>
      </c>
      <c r="AS542" s="27" t="s">
        <v>8</v>
      </c>
      <c r="AT542" s="27" t="s">
        <v>7</v>
      </c>
      <c r="AU542" s="27" t="s">
        <v>8</v>
      </c>
      <c r="AV542" s="27" t="s">
        <v>7</v>
      </c>
      <c r="AW542" s="27" t="s">
        <v>8</v>
      </c>
      <c r="BB542" s="27" t="s">
        <v>7</v>
      </c>
      <c r="BE542" s="27" t="s">
        <v>8</v>
      </c>
      <c r="BF542" s="27" t="s">
        <v>7</v>
      </c>
      <c r="BG542" s="27" t="s">
        <v>8</v>
      </c>
      <c r="BH542" s="27" t="s">
        <v>7</v>
      </c>
      <c r="BI542" s="27" t="s">
        <v>8</v>
      </c>
      <c r="BJ542" s="27" t="s">
        <v>7</v>
      </c>
      <c r="HW542" s="27" t="s">
        <v>8</v>
      </c>
      <c r="IJ542" s="27" t="s">
        <v>7</v>
      </c>
      <c r="IK542" s="27" t="s">
        <v>8</v>
      </c>
      <c r="IL542" s="27" t="s">
        <v>7</v>
      </c>
      <c r="IM542" s="27" t="s">
        <v>8</v>
      </c>
      <c r="IN542" s="27" t="s">
        <v>7</v>
      </c>
      <c r="IO542" s="27" t="s">
        <v>8</v>
      </c>
      <c r="IP542" s="27" t="s">
        <v>7</v>
      </c>
      <c r="IQ542" s="27" t="s">
        <v>8</v>
      </c>
      <c r="IR542" s="27" t="s">
        <v>7</v>
      </c>
      <c r="IS542" s="27" t="s">
        <v>8</v>
      </c>
      <c r="IT542" s="27" t="s">
        <v>7</v>
      </c>
      <c r="IU542" s="27" t="s">
        <v>8</v>
      </c>
      <c r="IV542" s="27" t="s">
        <v>7</v>
      </c>
      <c r="IW542" s="27" t="s">
        <v>8</v>
      </c>
      <c r="IX542" s="27" t="s">
        <v>7</v>
      </c>
      <c r="IY542" s="27" t="s">
        <v>8</v>
      </c>
      <c r="IZ542" s="27" t="s">
        <v>7</v>
      </c>
      <c r="JA542" s="27" t="s">
        <v>8</v>
      </c>
      <c r="JB542" s="27" t="s">
        <v>7</v>
      </c>
      <c r="JC542" s="27" t="s">
        <v>8</v>
      </c>
      <c r="JD542" s="27" t="s">
        <v>7</v>
      </c>
      <c r="JE542" s="27" t="s">
        <v>8</v>
      </c>
      <c r="JF542" s="27" t="s">
        <v>7</v>
      </c>
      <c r="JG542" s="27" t="s">
        <v>8</v>
      </c>
      <c r="JH542" s="27" t="s">
        <v>7</v>
      </c>
    </row>
    <row r="543" spans="1:277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AH543" s="27" t="s">
        <v>7</v>
      </c>
      <c r="AK543" s="27" t="s">
        <v>8</v>
      </c>
      <c r="AL543" s="27" t="s">
        <v>7</v>
      </c>
      <c r="AM543" s="27" t="s">
        <v>8</v>
      </c>
      <c r="AN543" s="27" t="s">
        <v>7</v>
      </c>
      <c r="AO543" s="27" t="s">
        <v>8</v>
      </c>
      <c r="AP543" s="27" t="s">
        <v>7</v>
      </c>
      <c r="AQ543" s="27" t="s">
        <v>8</v>
      </c>
      <c r="AR543" s="27" t="s">
        <v>7</v>
      </c>
      <c r="AS543" s="27" t="s">
        <v>8</v>
      </c>
      <c r="AT543" s="27" t="s">
        <v>7</v>
      </c>
      <c r="AU543" s="27" t="s">
        <v>8</v>
      </c>
      <c r="AV543" s="27" t="s">
        <v>7</v>
      </c>
      <c r="AW543" s="27" t="s">
        <v>8</v>
      </c>
      <c r="BB543" s="27" t="s">
        <v>7</v>
      </c>
      <c r="BC543" s="27" t="s">
        <v>8</v>
      </c>
      <c r="BE543" s="27" t="s">
        <v>8</v>
      </c>
      <c r="BF543" s="27" t="s">
        <v>7</v>
      </c>
      <c r="BG543" s="27" t="s">
        <v>8</v>
      </c>
      <c r="BH543" s="27" t="s">
        <v>7</v>
      </c>
      <c r="BI543" s="27" t="s">
        <v>8</v>
      </c>
      <c r="BJ543" s="27" t="s">
        <v>7</v>
      </c>
      <c r="HW543" s="27" t="s">
        <v>8</v>
      </c>
      <c r="IJ543" s="27" t="s">
        <v>7</v>
      </c>
      <c r="IK543" s="27" t="s">
        <v>8</v>
      </c>
      <c r="IL543" s="27" t="s">
        <v>7</v>
      </c>
      <c r="IM543" s="27" t="s">
        <v>8</v>
      </c>
      <c r="IN543" s="27" t="s">
        <v>7</v>
      </c>
      <c r="IO543" s="27" t="s">
        <v>8</v>
      </c>
      <c r="IP543" s="27" t="s">
        <v>7</v>
      </c>
      <c r="IQ543" s="27" t="s">
        <v>8</v>
      </c>
      <c r="IR543" s="27" t="s">
        <v>7</v>
      </c>
      <c r="IT543" s="27" t="s">
        <v>7</v>
      </c>
      <c r="IU543" s="27" t="s">
        <v>8</v>
      </c>
      <c r="IV543" s="27" t="s">
        <v>7</v>
      </c>
      <c r="IX543" s="27" t="s">
        <v>7</v>
      </c>
      <c r="IY543" s="27" t="s">
        <v>8</v>
      </c>
      <c r="IZ543" s="27" t="s">
        <v>7</v>
      </c>
      <c r="JA543" s="27" t="s">
        <v>8</v>
      </c>
      <c r="JB543" s="27" t="s">
        <v>7</v>
      </c>
      <c r="JD543" s="27" t="s">
        <v>7</v>
      </c>
      <c r="JE543" s="27" t="s">
        <v>8</v>
      </c>
      <c r="JF543" s="27" t="s">
        <v>7</v>
      </c>
      <c r="JG543" s="27" t="s">
        <v>8</v>
      </c>
    </row>
    <row r="544" spans="1:277" x14ac:dyDescent="0.25">
      <c r="A544" s="7">
        <v>2.343189355345392</v>
      </c>
      <c r="B544"/>
      <c r="C544"/>
      <c r="D544"/>
      <c r="E544" t="s">
        <v>8</v>
      </c>
      <c r="AH544" s="27" t="s">
        <v>7</v>
      </c>
      <c r="AK544" s="27" t="s">
        <v>8</v>
      </c>
      <c r="AL544" s="27" t="s">
        <v>7</v>
      </c>
      <c r="AM544" s="27" t="s">
        <v>8</v>
      </c>
      <c r="AN544" s="27" t="s">
        <v>7</v>
      </c>
      <c r="AO544" s="27" t="s">
        <v>8</v>
      </c>
      <c r="AP544" s="27" t="s">
        <v>7</v>
      </c>
      <c r="AQ544" s="27" t="s">
        <v>8</v>
      </c>
      <c r="AR544" s="27" t="s">
        <v>7</v>
      </c>
      <c r="AS544" s="27" t="s">
        <v>8</v>
      </c>
      <c r="AT544" s="27" t="s">
        <v>7</v>
      </c>
      <c r="AV544" s="27" t="s">
        <v>7</v>
      </c>
      <c r="BB544" s="27" t="s">
        <v>7</v>
      </c>
      <c r="BC544" s="27" t="s">
        <v>8</v>
      </c>
      <c r="BD544" s="27" t="s">
        <v>7</v>
      </c>
      <c r="BE544" s="27" t="s">
        <v>8</v>
      </c>
      <c r="BF544" s="27" t="s">
        <v>7</v>
      </c>
      <c r="BG544" s="27" t="s">
        <v>8</v>
      </c>
      <c r="BH544" s="27" t="s">
        <v>7</v>
      </c>
      <c r="BJ544" s="27" t="s">
        <v>7</v>
      </c>
      <c r="HW544" s="27" t="s">
        <v>8</v>
      </c>
      <c r="IJ544" s="27" t="s">
        <v>7</v>
      </c>
      <c r="IK544" s="27" t="s">
        <v>8</v>
      </c>
      <c r="IL544" s="27" t="s">
        <v>7</v>
      </c>
      <c r="IM544" s="27" t="s">
        <v>8</v>
      </c>
      <c r="IN544" s="27" t="s">
        <v>7</v>
      </c>
      <c r="IO544" s="27" t="s">
        <v>8</v>
      </c>
      <c r="IP544" s="27" t="s">
        <v>7</v>
      </c>
      <c r="IQ544" s="27" t="s">
        <v>8</v>
      </c>
      <c r="IT544" s="27" t="s">
        <v>7</v>
      </c>
      <c r="IX544" s="27" t="s">
        <v>7</v>
      </c>
      <c r="IY544" s="27" t="s">
        <v>8</v>
      </c>
      <c r="IZ544" s="27" t="s">
        <v>7</v>
      </c>
      <c r="JA544" s="27" t="s">
        <v>8</v>
      </c>
      <c r="JD544" s="27" t="s">
        <v>7</v>
      </c>
      <c r="JE544" s="27" t="s">
        <v>8</v>
      </c>
      <c r="JF544" s="27" t="s">
        <v>7</v>
      </c>
      <c r="JG544" s="27" t="s">
        <v>8</v>
      </c>
    </row>
    <row r="545" spans="1:267" x14ac:dyDescent="0.25">
      <c r="A545" s="7">
        <v>2.2972444660248938</v>
      </c>
      <c r="B545"/>
      <c r="C545"/>
      <c r="D545"/>
      <c r="E545" t="s">
        <v>8</v>
      </c>
      <c r="AH545" s="27" t="s">
        <v>7</v>
      </c>
      <c r="AI545" s="27" t="s">
        <v>8</v>
      </c>
      <c r="AK545" s="27" t="s">
        <v>8</v>
      </c>
      <c r="AL545" s="27" t="s">
        <v>7</v>
      </c>
      <c r="AM545" s="27" t="s">
        <v>8</v>
      </c>
      <c r="AN545" s="27" t="s">
        <v>7</v>
      </c>
      <c r="AO545" s="27" t="s">
        <v>8</v>
      </c>
      <c r="AP545" s="27" t="s">
        <v>7</v>
      </c>
      <c r="AR545" s="27" t="s">
        <v>7</v>
      </c>
      <c r="AS545" s="27" t="s">
        <v>8</v>
      </c>
      <c r="BB545" s="27" t="s">
        <v>7</v>
      </c>
      <c r="BC545" s="27" t="s">
        <v>8</v>
      </c>
      <c r="BD545" s="27" t="s">
        <v>7</v>
      </c>
      <c r="BE545" s="27" t="s">
        <v>8</v>
      </c>
      <c r="BF545" s="27" t="s">
        <v>7</v>
      </c>
      <c r="BJ545" s="27" t="s">
        <v>7</v>
      </c>
      <c r="HW545" s="27" t="s">
        <v>8</v>
      </c>
      <c r="IJ545" s="27" t="s">
        <v>7</v>
      </c>
      <c r="IL545" s="27" t="s">
        <v>7</v>
      </c>
      <c r="IM545" s="27" t="s">
        <v>8</v>
      </c>
      <c r="IN545" s="27" t="s">
        <v>7</v>
      </c>
      <c r="IO545" s="27" t="s">
        <v>8</v>
      </c>
      <c r="IP545" s="27" t="s">
        <v>7</v>
      </c>
      <c r="IX545" s="27" t="s">
        <v>7</v>
      </c>
      <c r="IY545" s="27" t="s">
        <v>8</v>
      </c>
      <c r="IZ545" s="27" t="s">
        <v>7</v>
      </c>
      <c r="JA545" s="27" t="s">
        <v>8</v>
      </c>
      <c r="JD545" s="27" t="s">
        <v>7</v>
      </c>
      <c r="JF545" s="27" t="s">
        <v>7</v>
      </c>
      <c r="JG545" s="27" t="s">
        <v>8</v>
      </c>
    </row>
    <row r="546" spans="1:267" x14ac:dyDescent="0.25">
      <c r="A546" s="7">
        <v>2.252200456887151</v>
      </c>
      <c r="B546"/>
      <c r="C546"/>
      <c r="D546"/>
      <c r="E546" t="s">
        <v>8</v>
      </c>
      <c r="AH546" s="27" t="s">
        <v>7</v>
      </c>
      <c r="AI546" s="27" t="s">
        <v>8</v>
      </c>
      <c r="AJ546" s="27" t="s">
        <v>7</v>
      </c>
      <c r="AK546" s="27" t="s">
        <v>8</v>
      </c>
      <c r="AL546" s="27" t="s">
        <v>7</v>
      </c>
      <c r="AM546" s="27" t="s">
        <v>8</v>
      </c>
      <c r="AN546" s="27" t="s">
        <v>7</v>
      </c>
      <c r="AR546" s="27" t="s">
        <v>7</v>
      </c>
      <c r="AS546" s="27" t="s">
        <v>8</v>
      </c>
      <c r="BB546" s="27" t="s">
        <v>7</v>
      </c>
      <c r="BC546" s="27" t="s">
        <v>8</v>
      </c>
      <c r="BD546" s="27" t="s">
        <v>7</v>
      </c>
      <c r="BJ546" s="27" t="s">
        <v>7</v>
      </c>
      <c r="BQ546" s="27" t="s">
        <v>8</v>
      </c>
      <c r="HW546" s="27" t="s">
        <v>8</v>
      </c>
      <c r="IL546" s="27" t="s">
        <v>7</v>
      </c>
      <c r="IM546" s="27" t="s">
        <v>8</v>
      </c>
      <c r="IN546" s="27" t="s">
        <v>7</v>
      </c>
      <c r="IX546" s="27" t="s">
        <v>7</v>
      </c>
      <c r="IY546" s="27" t="s">
        <v>8</v>
      </c>
      <c r="IZ546" s="27" t="s">
        <v>7</v>
      </c>
      <c r="JA546" s="27" t="s">
        <v>8</v>
      </c>
      <c r="JF546" s="27" t="s">
        <v>7</v>
      </c>
      <c r="JG546" s="27" t="s">
        <v>8</v>
      </c>
    </row>
    <row r="547" spans="1:267" x14ac:dyDescent="0.25">
      <c r="A547" s="7">
        <v>2.208039663614854</v>
      </c>
      <c r="B547"/>
      <c r="C547"/>
      <c r="D547"/>
      <c r="E547" t="s">
        <v>8</v>
      </c>
      <c r="AH547" s="27" t="s">
        <v>7</v>
      </c>
      <c r="AI547" s="27" t="s">
        <v>8</v>
      </c>
      <c r="AJ547" s="27" t="s">
        <v>7</v>
      </c>
      <c r="AK547" s="27" t="s">
        <v>8</v>
      </c>
      <c r="AL547" s="27" t="s">
        <v>7</v>
      </c>
      <c r="AM547" s="27" t="s">
        <v>8</v>
      </c>
      <c r="AR547" s="27" t="s">
        <v>7</v>
      </c>
      <c r="BB547" s="27" t="s">
        <v>7</v>
      </c>
      <c r="BJ547" s="27" t="s">
        <v>7</v>
      </c>
      <c r="BQ547" s="27" t="s">
        <v>8</v>
      </c>
      <c r="BR547" s="27" t="s">
        <v>7</v>
      </c>
      <c r="HW547" s="27" t="s">
        <v>8</v>
      </c>
      <c r="IL547" s="27" t="s">
        <v>7</v>
      </c>
      <c r="IM547" s="27" t="s">
        <v>8</v>
      </c>
      <c r="IX547" s="27" t="s">
        <v>7</v>
      </c>
      <c r="IY547" s="27" t="s">
        <v>8</v>
      </c>
      <c r="IZ547" s="27" t="s">
        <v>7</v>
      </c>
      <c r="JA547" s="27" t="s">
        <v>8</v>
      </c>
      <c r="JF547" s="27" t="s">
        <v>7</v>
      </c>
      <c r="JG547" s="27" t="s">
        <v>8</v>
      </c>
    </row>
    <row r="548" spans="1:267" x14ac:dyDescent="0.25">
      <c r="A548" s="7">
        <v>2.1647447682498568</v>
      </c>
      <c r="B548"/>
      <c r="C548"/>
      <c r="D548"/>
      <c r="E548" t="s">
        <v>8</v>
      </c>
      <c r="AH548" s="27" t="s">
        <v>7</v>
      </c>
      <c r="AI548" s="27" t="s">
        <v>8</v>
      </c>
      <c r="AJ548" s="27" t="s">
        <v>7</v>
      </c>
      <c r="AK548" s="27" t="s">
        <v>8</v>
      </c>
      <c r="AL548" s="27" t="s">
        <v>7</v>
      </c>
      <c r="AM548" s="27" t="s">
        <v>8</v>
      </c>
      <c r="BJ548" s="27" t="s">
        <v>7</v>
      </c>
      <c r="BQ548" s="27" t="s">
        <v>8</v>
      </c>
      <c r="BR548" s="27" t="s">
        <v>7</v>
      </c>
      <c r="HW548" s="27" t="s">
        <v>8</v>
      </c>
      <c r="IL548" s="27" t="s">
        <v>7</v>
      </c>
      <c r="IM548" s="27" t="s">
        <v>8</v>
      </c>
      <c r="IX548" s="27" t="s">
        <v>7</v>
      </c>
      <c r="IY548" s="27" t="s">
        <v>8</v>
      </c>
      <c r="IZ548" s="27" t="s">
        <v>7</v>
      </c>
      <c r="JF548" s="27" t="s">
        <v>7</v>
      </c>
      <c r="JG548" s="27" t="s">
        <v>8</v>
      </c>
    </row>
    <row r="549" spans="1:267" x14ac:dyDescent="0.25">
      <c r="A549" s="7">
        <v>2.1222987924018204</v>
      </c>
      <c r="B549"/>
      <c r="C549"/>
      <c r="D549"/>
      <c r="E549" t="s">
        <v>8</v>
      </c>
      <c r="AH549" s="27" t="s">
        <v>7</v>
      </c>
      <c r="AI549" s="27" t="s">
        <v>8</v>
      </c>
      <c r="AJ549" s="27" t="s">
        <v>7</v>
      </c>
      <c r="AK549" s="27" t="s">
        <v>8</v>
      </c>
      <c r="AL549" s="27" t="s">
        <v>7</v>
      </c>
      <c r="AM549" s="27" t="s">
        <v>8</v>
      </c>
      <c r="BJ549" s="27" t="s">
        <v>7</v>
      </c>
      <c r="BQ549" s="27" t="s">
        <v>8</v>
      </c>
      <c r="BR549" s="27" t="s">
        <v>7</v>
      </c>
      <c r="HW549" s="27" t="s">
        <v>8</v>
      </c>
      <c r="IL549" s="27" t="s">
        <v>7</v>
      </c>
      <c r="IX549" s="27" t="s">
        <v>7</v>
      </c>
      <c r="JF549" s="27" t="s">
        <v>7</v>
      </c>
      <c r="JG549" s="27" t="s">
        <v>8</v>
      </c>
    </row>
    <row r="550" spans="1:267" x14ac:dyDescent="0.25">
      <c r="A550" s="7">
        <v>2.0806850905900198</v>
      </c>
      <c r="B550"/>
      <c r="C550"/>
      <c r="D550"/>
      <c r="E550" t="s">
        <v>8</v>
      </c>
      <c r="AH550" s="27" t="s">
        <v>7</v>
      </c>
      <c r="AI550" s="27" t="s">
        <v>8</v>
      </c>
      <c r="AJ550" s="27" t="s">
        <v>7</v>
      </c>
      <c r="AK550" s="27" t="s">
        <v>8</v>
      </c>
      <c r="AL550" s="27" t="s">
        <v>7</v>
      </c>
      <c r="BJ550" s="27" t="s">
        <v>7</v>
      </c>
      <c r="BQ550" s="27" t="s">
        <v>8</v>
      </c>
      <c r="BR550" s="27" t="s">
        <v>7</v>
      </c>
      <c r="HU550" s="27" t="s">
        <v>8</v>
      </c>
      <c r="HW550" s="27" t="s">
        <v>8</v>
      </c>
      <c r="JF550" s="27" t="s">
        <v>7</v>
      </c>
    </row>
    <row r="551" spans="1:267" x14ac:dyDescent="0.25">
      <c r="A551" s="7">
        <v>2.0398873437157055</v>
      </c>
      <c r="B551"/>
      <c r="C551"/>
      <c r="D551"/>
      <c r="E551" t="s">
        <v>8</v>
      </c>
      <c r="AH551" s="27" t="s">
        <v>7</v>
      </c>
      <c r="AI551" s="27" t="s">
        <v>8</v>
      </c>
      <c r="AJ551" s="27" t="s">
        <v>7</v>
      </c>
      <c r="BJ551" s="27" t="s">
        <v>7</v>
      </c>
      <c r="BQ551" s="27" t="s">
        <v>8</v>
      </c>
      <c r="BR551" s="27" t="s">
        <v>7</v>
      </c>
      <c r="HU551" s="27" t="s">
        <v>8</v>
      </c>
      <c r="HV551" s="27" t="s">
        <v>7</v>
      </c>
      <c r="HW551" s="27" t="s">
        <v>8</v>
      </c>
    </row>
    <row r="552" spans="1:267" x14ac:dyDescent="0.25">
      <c r="A552" s="7">
        <v>1.9998895526624565</v>
      </c>
      <c r="B552"/>
      <c r="C552"/>
      <c r="D552"/>
      <c r="E552" t="s">
        <v>8</v>
      </c>
      <c r="AH552" s="27" t="s">
        <v>7</v>
      </c>
      <c r="AI552" s="27" t="s">
        <v>8</v>
      </c>
      <c r="BJ552" s="27" t="s">
        <v>7</v>
      </c>
      <c r="BK552" s="27" t="s">
        <v>8</v>
      </c>
      <c r="BQ552" s="27" t="s">
        <v>8</v>
      </c>
      <c r="BR552" s="27" t="s">
        <v>7</v>
      </c>
      <c r="HU552" s="27" t="s">
        <v>8</v>
      </c>
      <c r="HV552" s="27" t="s">
        <v>7</v>
      </c>
      <c r="HW552" s="27" t="s">
        <v>8</v>
      </c>
    </row>
    <row r="553" spans="1:267" x14ac:dyDescent="0.25">
      <c r="A553" s="7">
        <v>1.9606760320220162</v>
      </c>
      <c r="B553"/>
      <c r="C553"/>
      <c r="D553"/>
      <c r="E553" t="s">
        <v>8</v>
      </c>
      <c r="AH553" s="27" t="s">
        <v>7</v>
      </c>
      <c r="BJ553" s="27" t="s">
        <v>7</v>
      </c>
      <c r="BK553" s="27" t="s">
        <v>8</v>
      </c>
      <c r="BL553" s="27" t="s">
        <v>7</v>
      </c>
      <c r="BQ553" s="27" t="s">
        <v>8</v>
      </c>
      <c r="BR553" s="27" t="s">
        <v>7</v>
      </c>
      <c r="HS553" s="27" t="s">
        <v>8</v>
      </c>
      <c r="HU553" s="27" t="s">
        <v>8</v>
      </c>
      <c r="HV553" s="27" t="s">
        <v>7</v>
      </c>
      <c r="HW553" s="27" t="s">
        <v>8</v>
      </c>
    </row>
    <row r="554" spans="1:267" x14ac:dyDescent="0.25">
      <c r="A554" s="7">
        <v>1.9222314039431532</v>
      </c>
      <c r="B554"/>
      <c r="C554"/>
      <c r="D554"/>
      <c r="E554" t="s">
        <v>8</v>
      </c>
      <c r="BJ554" s="27" t="s">
        <v>7</v>
      </c>
      <c r="BK554" s="27" t="s">
        <v>8</v>
      </c>
      <c r="BL554" s="27" t="s">
        <v>7</v>
      </c>
      <c r="BM554" s="27" t="s">
        <v>8</v>
      </c>
      <c r="BO554" s="27" t="s">
        <v>8</v>
      </c>
      <c r="BQ554" s="27" t="s">
        <v>8</v>
      </c>
      <c r="BR554" s="27" t="s">
        <v>7</v>
      </c>
      <c r="HS554" s="27" t="s">
        <v>8</v>
      </c>
      <c r="HT554" s="27" t="s">
        <v>7</v>
      </c>
      <c r="HU554" s="27" t="s">
        <v>8</v>
      </c>
      <c r="HV554" s="27" t="s">
        <v>7</v>
      </c>
      <c r="HW554" s="27" t="s">
        <v>8</v>
      </c>
    </row>
    <row r="555" spans="1:267" x14ac:dyDescent="0.25">
      <c r="A555" s="7">
        <v>1.8845405921011305</v>
      </c>
      <c r="B555"/>
      <c r="C555"/>
      <c r="D555"/>
      <c r="E555" t="s">
        <v>8</v>
      </c>
      <c r="BJ555" s="27" t="s">
        <v>7</v>
      </c>
      <c r="BK555" s="27" t="s">
        <v>8</v>
      </c>
      <c r="BL555" s="27" t="s">
        <v>7</v>
      </c>
      <c r="BM555" s="27" t="s">
        <v>8</v>
      </c>
      <c r="BN555" s="27" t="s">
        <v>7</v>
      </c>
      <c r="BO555" s="27" t="s">
        <v>8</v>
      </c>
      <c r="BP555" s="27" t="s">
        <v>7</v>
      </c>
      <c r="BQ555" s="27" t="s">
        <v>8</v>
      </c>
      <c r="BR555" s="27" t="s">
        <v>7</v>
      </c>
      <c r="HS555" s="27" t="s">
        <v>8</v>
      </c>
      <c r="HT555" s="27" t="s">
        <v>7</v>
      </c>
      <c r="HU555" s="27" t="s">
        <v>8</v>
      </c>
      <c r="HV555" s="27" t="s">
        <v>7</v>
      </c>
      <c r="HW555" s="27" t="s">
        <v>8</v>
      </c>
    </row>
    <row r="556" spans="1:267" x14ac:dyDescent="0.25">
      <c r="A556" s="7">
        <v>1.8475888157854219</v>
      </c>
      <c r="B556"/>
      <c r="C556"/>
      <c r="D556"/>
      <c r="E556" t="s">
        <v>8</v>
      </c>
      <c r="BJ556" s="27" t="s">
        <v>7</v>
      </c>
      <c r="BL556" s="27" t="s">
        <v>7</v>
      </c>
      <c r="BM556" s="27" t="s">
        <v>8</v>
      </c>
      <c r="BN556" s="27" t="s">
        <v>7</v>
      </c>
      <c r="BO556" s="27" t="s">
        <v>8</v>
      </c>
      <c r="BP556" s="27" t="s">
        <v>7</v>
      </c>
      <c r="BQ556" s="27" t="s">
        <v>8</v>
      </c>
      <c r="BR556" s="27" t="s">
        <v>7</v>
      </c>
      <c r="HS556" s="27" t="s">
        <v>8</v>
      </c>
      <c r="HT556" s="27" t="s">
        <v>7</v>
      </c>
      <c r="HU556" s="27" t="s">
        <v>8</v>
      </c>
      <c r="HV556" s="27" t="s">
        <v>7</v>
      </c>
      <c r="HW556" s="27" t="s">
        <v>8</v>
      </c>
    </row>
    <row r="557" spans="1:267" x14ac:dyDescent="0.25">
      <c r="A557" s="7">
        <v>1.8113615841033548</v>
      </c>
      <c r="B557"/>
      <c r="C557"/>
      <c r="D557"/>
      <c r="E557" t="s">
        <v>8</v>
      </c>
      <c r="BL557" s="27" t="s">
        <v>7</v>
      </c>
      <c r="BN557" s="27" t="s">
        <v>7</v>
      </c>
      <c r="BO557" s="27" t="s">
        <v>8</v>
      </c>
      <c r="BP557" s="27" t="s">
        <v>7</v>
      </c>
      <c r="BQ557" s="27" t="s">
        <v>8</v>
      </c>
      <c r="BR557" s="27" t="s">
        <v>7</v>
      </c>
      <c r="HS557" s="27" t="s">
        <v>8</v>
      </c>
      <c r="HT557" s="27" t="s">
        <v>7</v>
      </c>
      <c r="HV557" s="27" t="s">
        <v>7</v>
      </c>
    </row>
    <row r="558" spans="1:267" x14ac:dyDescent="0.25">
      <c r="A558" s="7">
        <v>1.7758446902974065</v>
      </c>
      <c r="B558"/>
      <c r="C558"/>
      <c r="D558"/>
      <c r="E558" t="s">
        <v>8</v>
      </c>
      <c r="BN558" s="27" t="s">
        <v>7</v>
      </c>
      <c r="BO558" s="27" t="s">
        <v>8</v>
      </c>
      <c r="BP558" s="27" t="s">
        <v>7</v>
      </c>
      <c r="BR558" s="27" t="s">
        <v>7</v>
      </c>
      <c r="HG558" s="27" t="s">
        <v>8</v>
      </c>
      <c r="HQ558" s="27" t="s">
        <v>8</v>
      </c>
      <c r="HS558" s="27" t="s">
        <v>8</v>
      </c>
    </row>
    <row r="559" spans="1:267" x14ac:dyDescent="0.25">
      <c r="A559" s="7">
        <v>1.7410242061739281</v>
      </c>
      <c r="B559"/>
      <c r="C559"/>
      <c r="D559"/>
      <c r="E559" t="s">
        <v>8</v>
      </c>
      <c r="BN559" s="27" t="s">
        <v>7</v>
      </c>
      <c r="BO559" s="27" t="s">
        <v>8</v>
      </c>
      <c r="BR559" s="27" t="s">
        <v>7</v>
      </c>
      <c r="BS559" s="27" t="s">
        <v>8</v>
      </c>
      <c r="HG559" s="27" t="s">
        <v>8</v>
      </c>
      <c r="HH559" s="27" t="s">
        <v>7</v>
      </c>
      <c r="HI559" s="27" t="s">
        <v>8</v>
      </c>
      <c r="HQ559" s="27" t="s">
        <v>8</v>
      </c>
      <c r="HR559" s="27" t="s">
        <v>7</v>
      </c>
      <c r="HS559" s="27" t="s">
        <v>8</v>
      </c>
    </row>
    <row r="560" spans="1:267" x14ac:dyDescent="0.25">
      <c r="A560" s="7">
        <v>1.7068864766411058</v>
      </c>
      <c r="B560"/>
      <c r="C560"/>
      <c r="D560"/>
      <c r="E560" t="s">
        <v>8</v>
      </c>
      <c r="BN560" s="27" t="s">
        <v>7</v>
      </c>
      <c r="BR560" s="27" t="s">
        <v>7</v>
      </c>
      <c r="BS560" s="27" t="s">
        <v>8</v>
      </c>
      <c r="BT560" s="27" t="s">
        <v>7</v>
      </c>
      <c r="FA560" s="27" t="s">
        <v>8</v>
      </c>
      <c r="HG560" s="27" t="s">
        <v>8</v>
      </c>
      <c r="HH560" s="27" t="s">
        <v>7</v>
      </c>
      <c r="HI560" s="27" t="s">
        <v>8</v>
      </c>
      <c r="HJ560" s="27" t="s">
        <v>7</v>
      </c>
      <c r="HO560" s="27" t="s">
        <v>8</v>
      </c>
      <c r="HQ560" s="27" t="s">
        <v>8</v>
      </c>
      <c r="HR560" s="27" t="s">
        <v>7</v>
      </c>
      <c r="HS560" s="27" t="s">
        <v>8</v>
      </c>
    </row>
    <row r="561" spans="1:226" x14ac:dyDescent="0.25">
      <c r="A561" s="7">
        <v>1.6734181143540252</v>
      </c>
      <c r="B561"/>
      <c r="C561"/>
      <c r="D561"/>
      <c r="E561" t="s">
        <v>8</v>
      </c>
      <c r="BR561" s="27" t="s">
        <v>7</v>
      </c>
      <c r="BS561" s="27" t="s">
        <v>8</v>
      </c>
      <c r="BT561" s="27" t="s">
        <v>7</v>
      </c>
      <c r="FA561" s="27" t="s">
        <v>8</v>
      </c>
      <c r="FB561" s="27" t="s">
        <v>7</v>
      </c>
      <c r="HG561" s="27" t="s">
        <v>8</v>
      </c>
      <c r="HH561" s="27" t="s">
        <v>7</v>
      </c>
      <c r="HI561" s="27" t="s">
        <v>8</v>
      </c>
      <c r="HJ561" s="27" t="s">
        <v>7</v>
      </c>
      <c r="HK561" s="27" t="s">
        <v>8</v>
      </c>
      <c r="HO561" s="27" t="s">
        <v>8</v>
      </c>
      <c r="HP561" s="27" t="s">
        <v>7</v>
      </c>
      <c r="HQ561" s="27" t="s">
        <v>8</v>
      </c>
      <c r="HR561" s="27" t="s">
        <v>7</v>
      </c>
    </row>
    <row r="562" spans="1:226" x14ac:dyDescent="0.25">
      <c r="A562" s="7">
        <v>1.6406059944647307</v>
      </c>
      <c r="B562"/>
      <c r="C562"/>
      <c r="D562"/>
      <c r="E562" t="s">
        <v>8</v>
      </c>
      <c r="BR562" s="27" t="s">
        <v>7</v>
      </c>
      <c r="BS562" s="27" t="s">
        <v>8</v>
      </c>
      <c r="BT562" s="27" t="s">
        <v>7</v>
      </c>
      <c r="BU562" s="27" t="s">
        <v>8</v>
      </c>
      <c r="FA562" s="27" t="s">
        <v>8</v>
      </c>
      <c r="FB562" s="27" t="s">
        <v>7</v>
      </c>
      <c r="HG562" s="27" t="s">
        <v>8</v>
      </c>
      <c r="HH562" s="27" t="s">
        <v>7</v>
      </c>
      <c r="HI562" s="27" t="s">
        <v>8</v>
      </c>
      <c r="HJ562" s="27" t="s">
        <v>7</v>
      </c>
      <c r="HK562" s="27" t="s">
        <v>8</v>
      </c>
      <c r="HL562" s="27" t="s">
        <v>7</v>
      </c>
      <c r="HO562" s="27" t="s">
        <v>8</v>
      </c>
      <c r="HP562" s="27" t="s">
        <v>7</v>
      </c>
      <c r="HQ562" s="27" t="s">
        <v>8</v>
      </c>
    </row>
    <row r="563" spans="1:226" x14ac:dyDescent="0.25">
      <c r="A563" s="7">
        <v>1.6084372494752261</v>
      </c>
      <c r="B563"/>
      <c r="C563"/>
      <c r="D563"/>
      <c r="E563" t="s">
        <v>8</v>
      </c>
      <c r="BR563" s="27" t="s">
        <v>7</v>
      </c>
      <c r="BS563" s="27" t="s">
        <v>8</v>
      </c>
      <c r="BT563" s="27" t="s">
        <v>7</v>
      </c>
      <c r="BU563" s="27" t="s">
        <v>8</v>
      </c>
      <c r="BV563" s="27" t="s">
        <v>7</v>
      </c>
      <c r="FA563" s="27" t="s">
        <v>8</v>
      </c>
      <c r="FB563" s="27" t="s">
        <v>7</v>
      </c>
      <c r="HE563" s="27" t="s">
        <v>8</v>
      </c>
      <c r="HG563" s="27" t="s">
        <v>8</v>
      </c>
      <c r="HH563" s="27" t="s">
        <v>7</v>
      </c>
      <c r="HI563" s="27" t="s">
        <v>8</v>
      </c>
      <c r="HJ563" s="27" t="s">
        <v>7</v>
      </c>
      <c r="HK563" s="27" t="s">
        <v>8</v>
      </c>
      <c r="HL563" s="27" t="s">
        <v>7</v>
      </c>
      <c r="HM563" s="27" t="s">
        <v>8</v>
      </c>
      <c r="HO563" s="27" t="s">
        <v>8</v>
      </c>
      <c r="HP563" s="27" t="s">
        <v>7</v>
      </c>
    </row>
    <row r="564" spans="1:226" x14ac:dyDescent="0.25">
      <c r="A564" s="7">
        <v>1.5768992641913981</v>
      </c>
      <c r="B564"/>
      <c r="C564"/>
      <c r="D564"/>
      <c r="E564" t="s">
        <v>8</v>
      </c>
      <c r="BR564" s="27" t="s">
        <v>7</v>
      </c>
      <c r="BS564" s="27" t="s">
        <v>8</v>
      </c>
      <c r="BT564" s="27" t="s">
        <v>7</v>
      </c>
      <c r="BU564" s="27" t="s">
        <v>8</v>
      </c>
      <c r="BV564" s="27" t="s">
        <v>7</v>
      </c>
      <c r="FA564" s="27" t="s">
        <v>8</v>
      </c>
      <c r="FB564" s="27" t="s">
        <v>7</v>
      </c>
      <c r="HE564" s="27" t="s">
        <v>8</v>
      </c>
      <c r="HF564" s="27" t="s">
        <v>7</v>
      </c>
      <c r="HG564" s="27" t="s">
        <v>8</v>
      </c>
      <c r="HH564" s="27" t="s">
        <v>7</v>
      </c>
      <c r="HI564" s="27" t="s">
        <v>8</v>
      </c>
      <c r="HJ564" s="27" t="s">
        <v>7</v>
      </c>
      <c r="HK564" s="27" t="s">
        <v>8</v>
      </c>
      <c r="HL564" s="27" t="s">
        <v>7</v>
      </c>
      <c r="HM564" s="27" t="s">
        <v>8</v>
      </c>
      <c r="HN564" s="27" t="s">
        <v>7</v>
      </c>
      <c r="HO564" s="27" t="s">
        <v>8</v>
      </c>
    </row>
    <row r="565" spans="1:226" x14ac:dyDescent="0.25">
      <c r="A565" s="7">
        <v>1.5459796707758806</v>
      </c>
      <c r="B565"/>
      <c r="C565"/>
      <c r="D565"/>
      <c r="E565" t="s">
        <v>8</v>
      </c>
      <c r="BR565" s="27" t="s">
        <v>7</v>
      </c>
      <c r="BS565" s="27" t="s">
        <v>8</v>
      </c>
      <c r="BT565" s="27" t="s">
        <v>7</v>
      </c>
      <c r="BU565" s="27" t="s">
        <v>8</v>
      </c>
      <c r="BV565" s="27" t="s">
        <v>7</v>
      </c>
      <c r="EW565" s="27" t="s">
        <v>8</v>
      </c>
      <c r="FA565" s="27" t="s">
        <v>8</v>
      </c>
      <c r="FB565" s="27" t="s">
        <v>7</v>
      </c>
      <c r="FC565" s="27" t="s">
        <v>8</v>
      </c>
      <c r="HE565" s="27" t="s">
        <v>8</v>
      </c>
      <c r="HF565" s="27" t="s">
        <v>7</v>
      </c>
      <c r="HG565" s="27" t="s">
        <v>8</v>
      </c>
      <c r="HH565" s="27" t="s">
        <v>7</v>
      </c>
      <c r="HJ565" s="27" t="s">
        <v>7</v>
      </c>
      <c r="HL565" s="27" t="s">
        <v>7</v>
      </c>
      <c r="HM565" s="27" t="s">
        <v>8</v>
      </c>
      <c r="HN565" s="27" t="s">
        <v>7</v>
      </c>
      <c r="HO565" s="27" t="s">
        <v>8</v>
      </c>
    </row>
    <row r="566" spans="1:226" x14ac:dyDescent="0.25">
      <c r="A566" s="7">
        <v>1.5156663438979221</v>
      </c>
      <c r="B566"/>
      <c r="C566"/>
      <c r="D566"/>
      <c r="E566" t="s">
        <v>8</v>
      </c>
      <c r="BR566" s="27" t="s">
        <v>7</v>
      </c>
      <c r="BS566" s="27" t="s">
        <v>8</v>
      </c>
      <c r="BT566" s="27" t="s">
        <v>7</v>
      </c>
      <c r="BU566" s="27" t="s">
        <v>8</v>
      </c>
      <c r="BV566" s="27" t="s">
        <v>7</v>
      </c>
      <c r="BW566" s="27" t="s">
        <v>8</v>
      </c>
      <c r="BY566" s="27" t="s">
        <v>8</v>
      </c>
      <c r="EW566" s="27" t="s">
        <v>8</v>
      </c>
      <c r="EX566" s="27" t="s">
        <v>7</v>
      </c>
      <c r="EY566" s="27" t="s">
        <v>8</v>
      </c>
      <c r="FA566" s="27" t="s">
        <v>8</v>
      </c>
      <c r="FB566" s="27" t="s">
        <v>7</v>
      </c>
      <c r="FC566" s="27" t="s">
        <v>8</v>
      </c>
      <c r="FD566" s="27" t="s">
        <v>7</v>
      </c>
      <c r="FE566" s="27" t="s">
        <v>8</v>
      </c>
      <c r="HE566" s="27" t="s">
        <v>8</v>
      </c>
      <c r="HF566" s="27" t="s">
        <v>7</v>
      </c>
      <c r="HG566" s="27" t="s">
        <v>8</v>
      </c>
      <c r="HL566" s="27" t="s">
        <v>7</v>
      </c>
      <c r="HM566" s="27" t="s">
        <v>8</v>
      </c>
      <c r="HN566" s="27" t="s">
        <v>7</v>
      </c>
      <c r="HO566" s="27" t="s">
        <v>8</v>
      </c>
    </row>
    <row r="567" spans="1:226" x14ac:dyDescent="0.25">
      <c r="A567" s="7">
        <v>1.4859473959783549</v>
      </c>
      <c r="B567"/>
      <c r="C567"/>
      <c r="D567"/>
      <c r="E567" t="s">
        <v>8</v>
      </c>
      <c r="BR567" s="27" t="s">
        <v>7</v>
      </c>
      <c r="BS567" s="27" t="s">
        <v>8</v>
      </c>
      <c r="BT567" s="27" t="s">
        <v>7</v>
      </c>
      <c r="BU567" s="27" t="s">
        <v>8</v>
      </c>
      <c r="BV567" s="27" t="s">
        <v>7</v>
      </c>
      <c r="BW567" s="27" t="s">
        <v>8</v>
      </c>
      <c r="BX567" s="27" t="s">
        <v>7</v>
      </c>
      <c r="BY567" s="27" t="s">
        <v>8</v>
      </c>
      <c r="BZ567" s="27" t="s">
        <v>7</v>
      </c>
      <c r="EW567" s="27" t="s">
        <v>8</v>
      </c>
      <c r="EX567" s="27" t="s">
        <v>7</v>
      </c>
      <c r="EY567" s="27" t="s">
        <v>8</v>
      </c>
      <c r="EZ567" s="27" t="s">
        <v>7</v>
      </c>
      <c r="FA567" s="27" t="s">
        <v>8</v>
      </c>
      <c r="FB567" s="27" t="s">
        <v>7</v>
      </c>
      <c r="FC567" s="27" t="s">
        <v>8</v>
      </c>
      <c r="FD567" s="27" t="s">
        <v>7</v>
      </c>
      <c r="FE567" s="27" t="s">
        <v>8</v>
      </c>
      <c r="FF567" s="27" t="s">
        <v>7</v>
      </c>
      <c r="FK567" s="27" t="s">
        <v>8</v>
      </c>
      <c r="HE567" s="27" t="s">
        <v>8</v>
      </c>
      <c r="HF567" s="27" t="s">
        <v>7</v>
      </c>
      <c r="HG567" s="27" t="s">
        <v>8</v>
      </c>
      <c r="HL567" s="27" t="s">
        <v>7</v>
      </c>
      <c r="HM567" s="27" t="s">
        <v>8</v>
      </c>
      <c r="HN567" s="27" t="s">
        <v>7</v>
      </c>
    </row>
    <row r="568" spans="1:226" x14ac:dyDescent="0.25">
      <c r="A568" s="7">
        <v>1.4568111725277988</v>
      </c>
      <c r="B568"/>
      <c r="C568"/>
      <c r="D568"/>
      <c r="E568" t="s">
        <v>8</v>
      </c>
      <c r="BR568" s="27" t="s">
        <v>7</v>
      </c>
      <c r="BT568" s="27" t="s">
        <v>7</v>
      </c>
      <c r="BU568" s="27" t="s">
        <v>8</v>
      </c>
      <c r="BV568" s="27" t="s">
        <v>7</v>
      </c>
      <c r="BW568" s="27" t="s">
        <v>8</v>
      </c>
      <c r="BX568" s="27" t="s">
        <v>7</v>
      </c>
      <c r="BY568" s="27" t="s">
        <v>8</v>
      </c>
      <c r="BZ568" s="27" t="s">
        <v>7</v>
      </c>
      <c r="EW568" s="27" t="s">
        <v>8</v>
      </c>
      <c r="EX568" s="27" t="s">
        <v>7</v>
      </c>
      <c r="EY568" s="27" t="s">
        <v>8</v>
      </c>
      <c r="EZ568" s="27" t="s">
        <v>7</v>
      </c>
      <c r="FA568" s="27" t="s">
        <v>8</v>
      </c>
      <c r="FB568" s="27" t="s">
        <v>7</v>
      </c>
      <c r="FC568" s="27" t="s">
        <v>8</v>
      </c>
      <c r="FD568" s="27" t="s">
        <v>7</v>
      </c>
      <c r="FE568" s="27" t="s">
        <v>8</v>
      </c>
      <c r="FF568" s="27" t="s">
        <v>7</v>
      </c>
      <c r="FI568" s="27" t="s">
        <v>8</v>
      </c>
      <c r="FK568" s="27" t="s">
        <v>8</v>
      </c>
      <c r="FL568" s="27" t="s">
        <v>7</v>
      </c>
      <c r="HE568" s="27" t="s">
        <v>8</v>
      </c>
      <c r="HF568" s="27" t="s">
        <v>7</v>
      </c>
      <c r="HG568" s="27" t="s">
        <v>8</v>
      </c>
      <c r="HL568" s="27" t="s">
        <v>7</v>
      </c>
      <c r="HM568" s="27" t="s">
        <v>8</v>
      </c>
    </row>
    <row r="569" spans="1:226" x14ac:dyDescent="0.25">
      <c r="A569" s="7">
        <v>1.4282462475762734</v>
      </c>
      <c r="B569"/>
      <c r="C569"/>
      <c r="D569"/>
      <c r="E569" t="s">
        <v>8</v>
      </c>
      <c r="BT569" s="27" t="s">
        <v>7</v>
      </c>
      <c r="BU569" s="27" t="s">
        <v>8</v>
      </c>
      <c r="BV569" s="27" t="s">
        <v>7</v>
      </c>
      <c r="BW569" s="27" t="s">
        <v>8</v>
      </c>
      <c r="BX569" s="27" t="s">
        <v>7</v>
      </c>
      <c r="BZ569" s="27" t="s">
        <v>7</v>
      </c>
      <c r="CA569" s="27" t="s">
        <v>8</v>
      </c>
      <c r="CC569" s="27" t="s">
        <v>8</v>
      </c>
      <c r="CE569" s="27" t="s">
        <v>8</v>
      </c>
      <c r="EW569" s="27" t="s">
        <v>8</v>
      </c>
      <c r="EX569" s="27" t="s">
        <v>7</v>
      </c>
      <c r="EY569" s="27" t="s">
        <v>8</v>
      </c>
      <c r="EZ569" s="27" t="s">
        <v>7</v>
      </c>
      <c r="FA569" s="27" t="s">
        <v>8</v>
      </c>
      <c r="FB569" s="27" t="s">
        <v>7</v>
      </c>
      <c r="FC569" s="27" t="s">
        <v>8</v>
      </c>
      <c r="FD569" s="27" t="s">
        <v>7</v>
      </c>
      <c r="FE569" s="27" t="s">
        <v>8</v>
      </c>
      <c r="FF569" s="27" t="s">
        <v>7</v>
      </c>
      <c r="FI569" s="27" t="s">
        <v>8</v>
      </c>
      <c r="FJ569" s="27" t="s">
        <v>7</v>
      </c>
      <c r="FK569" s="27" t="s">
        <v>8</v>
      </c>
      <c r="FL569" s="27" t="s">
        <v>7</v>
      </c>
      <c r="HE569" s="27" t="s">
        <v>8</v>
      </c>
      <c r="HF569" s="27" t="s">
        <v>7</v>
      </c>
      <c r="HG569" s="27" t="s">
        <v>8</v>
      </c>
      <c r="HL569" s="27" t="s">
        <v>7</v>
      </c>
      <c r="HM569" s="27" t="s">
        <v>8</v>
      </c>
    </row>
    <row r="570" spans="1:226" x14ac:dyDescent="0.25">
      <c r="A570" s="7">
        <v>1.4002414191924248</v>
      </c>
      <c r="B570"/>
      <c r="C570"/>
      <c r="D570"/>
      <c r="E570" t="s">
        <v>8</v>
      </c>
      <c r="BT570" s="27" t="s">
        <v>7</v>
      </c>
      <c r="BU570" s="27" t="s">
        <v>8</v>
      </c>
      <c r="BV570" s="27" t="s">
        <v>7</v>
      </c>
      <c r="BW570" s="27" t="s">
        <v>8</v>
      </c>
      <c r="BZ570" s="27" t="s">
        <v>7</v>
      </c>
      <c r="CA570" s="27" t="s">
        <v>8</v>
      </c>
      <c r="CB570" s="27" t="s">
        <v>7</v>
      </c>
      <c r="CC570" s="27" t="s">
        <v>8</v>
      </c>
      <c r="CD570" s="27" t="s">
        <v>7</v>
      </c>
      <c r="CE570" s="27" t="s">
        <v>8</v>
      </c>
      <c r="CF570" s="27" t="s">
        <v>7</v>
      </c>
      <c r="EW570" s="27" t="s">
        <v>8</v>
      </c>
      <c r="EX570" s="27" t="s">
        <v>7</v>
      </c>
      <c r="EY570" s="27" t="s">
        <v>8</v>
      </c>
      <c r="EZ570" s="27" t="s">
        <v>7</v>
      </c>
      <c r="FA570" s="27" t="s">
        <v>8</v>
      </c>
      <c r="FB570" s="27" t="s">
        <v>7</v>
      </c>
      <c r="FC570" s="27" t="s">
        <v>8</v>
      </c>
      <c r="FD570" s="27" t="s">
        <v>7</v>
      </c>
      <c r="FE570" s="27" t="s">
        <v>8</v>
      </c>
      <c r="FF570" s="27" t="s">
        <v>7</v>
      </c>
      <c r="FI570" s="27" t="s">
        <v>8</v>
      </c>
      <c r="FJ570" s="27" t="s">
        <v>7</v>
      </c>
      <c r="FK570" s="27" t="s">
        <v>8</v>
      </c>
      <c r="FL570" s="27" t="s">
        <v>7</v>
      </c>
      <c r="HE570" s="27" t="s">
        <v>8</v>
      </c>
      <c r="HF570" s="27" t="s">
        <v>7</v>
      </c>
      <c r="HL570" s="27" t="s">
        <v>7</v>
      </c>
    </row>
    <row r="571" spans="1:226" x14ac:dyDescent="0.25">
      <c r="A571" s="7">
        <v>1.3727857050906125</v>
      </c>
      <c r="B571"/>
      <c r="C571"/>
      <c r="D571"/>
      <c r="E571" t="s">
        <v>8</v>
      </c>
      <c r="BT571" s="27" t="s">
        <v>7</v>
      </c>
      <c r="BU571" s="27" t="s">
        <v>8</v>
      </c>
      <c r="BV571" s="27" t="s">
        <v>7</v>
      </c>
      <c r="BW571" s="27" t="s">
        <v>8</v>
      </c>
      <c r="BZ571" s="27" t="s">
        <v>7</v>
      </c>
      <c r="CA571" s="27" t="s">
        <v>8</v>
      </c>
      <c r="CB571" s="27" t="s">
        <v>7</v>
      </c>
      <c r="CC571" s="27" t="s">
        <v>8</v>
      </c>
      <c r="CD571" s="27" t="s">
        <v>7</v>
      </c>
      <c r="CE571" s="27" t="s">
        <v>8</v>
      </c>
      <c r="CF571" s="27" t="s">
        <v>7</v>
      </c>
      <c r="EW571" s="27" t="s">
        <v>8</v>
      </c>
      <c r="EX571" s="27" t="s">
        <v>7</v>
      </c>
      <c r="EY571" s="27" t="s">
        <v>8</v>
      </c>
      <c r="EZ571" s="27" t="s">
        <v>7</v>
      </c>
      <c r="FB571" s="27" t="s">
        <v>7</v>
      </c>
      <c r="FC571" s="27" t="s">
        <v>8</v>
      </c>
      <c r="FD571" s="27" t="s">
        <v>7</v>
      </c>
      <c r="FE571" s="27" t="s">
        <v>8</v>
      </c>
      <c r="FF571" s="27" t="s">
        <v>7</v>
      </c>
      <c r="FI571" s="27" t="s">
        <v>8</v>
      </c>
      <c r="FJ571" s="27" t="s">
        <v>7</v>
      </c>
      <c r="FK571" s="27" t="s">
        <v>8</v>
      </c>
      <c r="FL571" s="27" t="s">
        <v>7</v>
      </c>
      <c r="HE571" s="27" t="s">
        <v>8</v>
      </c>
    </row>
    <row r="572" spans="1:226" x14ac:dyDescent="0.25">
      <c r="A572" s="7">
        <v>1.3458683383241299</v>
      </c>
      <c r="B572"/>
      <c r="C572"/>
      <c r="D572"/>
      <c r="E572" t="s">
        <v>8</v>
      </c>
      <c r="BT572" s="27" t="s">
        <v>7</v>
      </c>
      <c r="BU572" s="27" t="s">
        <v>8</v>
      </c>
      <c r="BV572" s="27" t="s">
        <v>7</v>
      </c>
      <c r="BZ572" s="27" t="s">
        <v>7</v>
      </c>
      <c r="CA572" s="27" t="s">
        <v>8</v>
      </c>
      <c r="CB572" s="27" t="s">
        <v>7</v>
      </c>
      <c r="CC572" s="27" t="s">
        <v>8</v>
      </c>
      <c r="CD572" s="27" t="s">
        <v>7</v>
      </c>
      <c r="CE572" s="27" t="s">
        <v>8</v>
      </c>
      <c r="CF572" s="27" t="s">
        <v>7</v>
      </c>
      <c r="CI572" s="27" t="s">
        <v>8</v>
      </c>
      <c r="EW572" s="27" t="s">
        <v>8</v>
      </c>
      <c r="EX572" s="27" t="s">
        <v>7</v>
      </c>
      <c r="EY572" s="27" t="s">
        <v>8</v>
      </c>
      <c r="FB572" s="27" t="s">
        <v>7</v>
      </c>
      <c r="FC572" s="27" t="s">
        <v>8</v>
      </c>
      <c r="FD572" s="27" t="s">
        <v>7</v>
      </c>
      <c r="FF572" s="27" t="s">
        <v>7</v>
      </c>
      <c r="FI572" s="27" t="s">
        <v>8</v>
      </c>
      <c r="FJ572" s="27" t="s">
        <v>7</v>
      </c>
      <c r="FK572" s="27" t="s">
        <v>8</v>
      </c>
      <c r="FL572" s="27" t="s">
        <v>7</v>
      </c>
      <c r="HE572" s="27" t="s">
        <v>8</v>
      </c>
    </row>
    <row r="573" spans="1:226" x14ac:dyDescent="0.25">
      <c r="A573" s="7">
        <v>1.3194787630628724</v>
      </c>
      <c r="B573"/>
      <c r="C573"/>
      <c r="D573"/>
      <c r="E573" t="s">
        <v>8</v>
      </c>
      <c r="BT573" s="27" t="s">
        <v>7</v>
      </c>
      <c r="BZ573" s="27" t="s">
        <v>7</v>
      </c>
      <c r="CB573" s="27" t="s">
        <v>7</v>
      </c>
      <c r="CC573" s="27" t="s">
        <v>8</v>
      </c>
      <c r="CD573" s="27" t="s">
        <v>7</v>
      </c>
      <c r="CF573" s="27" t="s">
        <v>7</v>
      </c>
      <c r="CI573" s="27" t="s">
        <v>8</v>
      </c>
      <c r="CJ573" s="27" t="s">
        <v>7</v>
      </c>
      <c r="CK573" s="27" t="s">
        <v>8</v>
      </c>
      <c r="EW573" s="27" t="s">
        <v>8</v>
      </c>
      <c r="EX573" s="27" t="s">
        <v>7</v>
      </c>
      <c r="FB573" s="27" t="s">
        <v>7</v>
      </c>
      <c r="FC573" s="27" t="s">
        <v>8</v>
      </c>
      <c r="FF573" s="27" t="s">
        <v>7</v>
      </c>
      <c r="FI573" s="27" t="s">
        <v>8</v>
      </c>
      <c r="FJ573" s="27" t="s">
        <v>7</v>
      </c>
      <c r="FK573" s="27" t="s">
        <v>8</v>
      </c>
      <c r="FL573" s="27" t="s">
        <v>7</v>
      </c>
      <c r="GU573" s="27" t="s">
        <v>8</v>
      </c>
      <c r="HE573" s="27" t="s">
        <v>8</v>
      </c>
    </row>
    <row r="574" spans="1:226" x14ac:dyDescent="0.25">
      <c r="A574" s="7">
        <v>1.2936066304537963</v>
      </c>
      <c r="B574"/>
      <c r="C574"/>
      <c r="D574"/>
      <c r="E574" t="s">
        <v>8</v>
      </c>
      <c r="CB574" s="27" t="s">
        <v>7</v>
      </c>
      <c r="CF574" s="27" t="s">
        <v>7</v>
      </c>
      <c r="CI574" s="27" t="s">
        <v>8</v>
      </c>
      <c r="CJ574" s="27" t="s">
        <v>7</v>
      </c>
      <c r="CK574" s="27" t="s">
        <v>8</v>
      </c>
      <c r="CL574" s="27" t="s">
        <v>7</v>
      </c>
      <c r="EW574" s="27" t="s">
        <v>8</v>
      </c>
      <c r="FB574" s="27" t="s">
        <v>7</v>
      </c>
      <c r="FC574" s="27" t="s">
        <v>8</v>
      </c>
      <c r="FF574" s="27" t="s">
        <v>7</v>
      </c>
      <c r="FI574" s="27" t="s">
        <v>8</v>
      </c>
      <c r="FJ574" s="27" t="s">
        <v>7</v>
      </c>
      <c r="FK574" s="27" t="s">
        <v>8</v>
      </c>
      <c r="FL574" s="27" t="s">
        <v>7</v>
      </c>
      <c r="GU574" s="27" t="s">
        <v>8</v>
      </c>
      <c r="GV574" s="27" t="s">
        <v>7</v>
      </c>
      <c r="GY574" s="27" t="s">
        <v>8</v>
      </c>
      <c r="HE574" s="27" t="s">
        <v>8</v>
      </c>
    </row>
    <row r="575" spans="1:226" x14ac:dyDescent="0.25">
      <c r="A575" s="7">
        <v>1.2682417945625455</v>
      </c>
      <c r="B575"/>
      <c r="C575"/>
      <c r="D575"/>
      <c r="E575" t="s">
        <v>8</v>
      </c>
      <c r="CF575" s="27" t="s">
        <v>7</v>
      </c>
      <c r="CG575" s="27" t="s">
        <v>8</v>
      </c>
      <c r="CI575" s="27" t="s">
        <v>8</v>
      </c>
      <c r="CJ575" s="27" t="s">
        <v>7</v>
      </c>
      <c r="CK575" s="27" t="s">
        <v>8</v>
      </c>
      <c r="CL575" s="27" t="s">
        <v>7</v>
      </c>
      <c r="EW575" s="27" t="s">
        <v>8</v>
      </c>
      <c r="FB575" s="27" t="s">
        <v>7</v>
      </c>
      <c r="FC575" s="27" t="s">
        <v>8</v>
      </c>
      <c r="FF575" s="27" t="s">
        <v>7</v>
      </c>
      <c r="FI575" s="27" t="s">
        <v>8</v>
      </c>
      <c r="FJ575" s="27" t="s">
        <v>7</v>
      </c>
      <c r="FK575" s="27" t="s">
        <v>8</v>
      </c>
      <c r="FL575" s="27" t="s">
        <v>7</v>
      </c>
      <c r="GU575" s="27" t="s">
        <v>8</v>
      </c>
      <c r="GV575" s="27" t="s">
        <v>7</v>
      </c>
      <c r="GY575" s="27" t="s">
        <v>8</v>
      </c>
      <c r="GZ575" s="27" t="s">
        <v>7</v>
      </c>
      <c r="HE575" s="27" t="s">
        <v>8</v>
      </c>
    </row>
    <row r="576" spans="1:226" x14ac:dyDescent="0.25">
      <c r="A576" s="7">
        <v>1.2433743083946525</v>
      </c>
      <c r="B576"/>
      <c r="C576"/>
      <c r="D576"/>
      <c r="E576" t="s">
        <v>8</v>
      </c>
      <c r="CF576" s="27" t="s">
        <v>7</v>
      </c>
      <c r="CG576" s="27" t="s">
        <v>8</v>
      </c>
      <c r="CH576" s="27" t="s">
        <v>7</v>
      </c>
      <c r="CI576" s="27" t="s">
        <v>8</v>
      </c>
      <c r="CJ576" s="27" t="s">
        <v>7</v>
      </c>
      <c r="CL576" s="27" t="s">
        <v>7</v>
      </c>
      <c r="CQ576" s="27" t="s">
        <v>8</v>
      </c>
      <c r="EW576" s="27" t="s">
        <v>8</v>
      </c>
      <c r="FB576" s="27" t="s">
        <v>7</v>
      </c>
      <c r="FC576" s="27" t="s">
        <v>8</v>
      </c>
      <c r="FF576" s="27" t="s">
        <v>7</v>
      </c>
      <c r="FI576" s="27" t="s">
        <v>8</v>
      </c>
      <c r="FJ576" s="27" t="s">
        <v>7</v>
      </c>
      <c r="FK576" s="27" t="s">
        <v>8</v>
      </c>
      <c r="FL576" s="27" t="s">
        <v>7</v>
      </c>
      <c r="GU576" s="27" t="s">
        <v>8</v>
      </c>
      <c r="GV576" s="27" t="s">
        <v>7</v>
      </c>
      <c r="GW576" s="27" t="s">
        <v>8</v>
      </c>
      <c r="GY576" s="27" t="s">
        <v>8</v>
      </c>
      <c r="GZ576" s="27" t="s">
        <v>7</v>
      </c>
      <c r="HE576" s="27" t="s">
        <v>8</v>
      </c>
    </row>
    <row r="577" spans="1:213" x14ac:dyDescent="0.25">
      <c r="A577" s="7">
        <v>1.2189944199947573</v>
      </c>
      <c r="B577"/>
      <c r="C577"/>
      <c r="D577"/>
      <c r="E577" t="s">
        <v>8</v>
      </c>
      <c r="CF577" s="27" t="s">
        <v>7</v>
      </c>
      <c r="CG577" s="27" t="s">
        <v>8</v>
      </c>
      <c r="CH577" s="27" t="s">
        <v>7</v>
      </c>
      <c r="CI577" s="27" t="s">
        <v>8</v>
      </c>
      <c r="CL577" s="27" t="s">
        <v>7</v>
      </c>
      <c r="CQ577" s="27" t="s">
        <v>8</v>
      </c>
      <c r="CR577" s="27" t="s">
        <v>7</v>
      </c>
      <c r="EW577" s="27" t="s">
        <v>8</v>
      </c>
      <c r="FB577" s="27" t="s">
        <v>7</v>
      </c>
      <c r="FF577" s="27" t="s">
        <v>7</v>
      </c>
      <c r="FG577" s="27" t="s">
        <v>8</v>
      </c>
      <c r="FI577" s="27" t="s">
        <v>8</v>
      </c>
      <c r="FJ577" s="27" t="s">
        <v>7</v>
      </c>
      <c r="FK577" s="27" t="s">
        <v>8</v>
      </c>
      <c r="FL577" s="27" t="s">
        <v>7</v>
      </c>
      <c r="GU577" s="27" t="s">
        <v>8</v>
      </c>
      <c r="GV577" s="27" t="s">
        <v>7</v>
      </c>
      <c r="GW577" s="27" t="s">
        <v>8</v>
      </c>
      <c r="GX577" s="27" t="s">
        <v>7</v>
      </c>
      <c r="GY577" s="27" t="s">
        <v>8</v>
      </c>
      <c r="GZ577" s="27" t="s">
        <v>7</v>
      </c>
      <c r="HC577" s="27" t="s">
        <v>8</v>
      </c>
      <c r="HE577" s="27" t="s">
        <v>8</v>
      </c>
    </row>
    <row r="578" spans="1:213" x14ac:dyDescent="0.25">
      <c r="A578" s="7">
        <v>1.1950925686223111</v>
      </c>
      <c r="B578"/>
      <c r="C578"/>
      <c r="D578"/>
      <c r="E578" t="s">
        <v>8</v>
      </c>
      <c r="CF578" s="27" t="s">
        <v>7</v>
      </c>
      <c r="CG578" s="27" t="s">
        <v>8</v>
      </c>
      <c r="CH578" s="27" t="s">
        <v>7</v>
      </c>
      <c r="CI578" s="27" t="s">
        <v>8</v>
      </c>
      <c r="CL578" s="27" t="s">
        <v>7</v>
      </c>
      <c r="CQ578" s="27" t="s">
        <v>8</v>
      </c>
      <c r="CR578" s="27" t="s">
        <v>7</v>
      </c>
      <c r="CS578" s="27" t="s">
        <v>8</v>
      </c>
      <c r="EW578" s="27" t="s">
        <v>8</v>
      </c>
      <c r="FF578" s="27" t="s">
        <v>7</v>
      </c>
      <c r="FG578" s="27" t="s">
        <v>8</v>
      </c>
      <c r="FH578" s="27" t="s">
        <v>7</v>
      </c>
      <c r="FI578" s="27" t="s">
        <v>8</v>
      </c>
      <c r="FJ578" s="27" t="s">
        <v>7</v>
      </c>
      <c r="FK578" s="27" t="s">
        <v>8</v>
      </c>
      <c r="FL578" s="27" t="s">
        <v>7</v>
      </c>
      <c r="GG578" s="27" t="s">
        <v>8</v>
      </c>
      <c r="GU578" s="27" t="s">
        <v>8</v>
      </c>
      <c r="GV578" s="27" t="s">
        <v>7</v>
      </c>
      <c r="GW578" s="27" t="s">
        <v>8</v>
      </c>
      <c r="GX578" s="27" t="s">
        <v>7</v>
      </c>
      <c r="GY578" s="27" t="s">
        <v>8</v>
      </c>
      <c r="GZ578" s="27" t="s">
        <v>7</v>
      </c>
      <c r="HC578" s="27" t="s">
        <v>8</v>
      </c>
      <c r="HD578" s="27" t="s">
        <v>7</v>
      </c>
      <c r="HE578" s="27" t="s">
        <v>8</v>
      </c>
    </row>
    <row r="579" spans="1:213" x14ac:dyDescent="0.25">
      <c r="A579" s="7">
        <v>1.1716593810022657</v>
      </c>
      <c r="B579"/>
      <c r="C579"/>
      <c r="D579"/>
      <c r="E579" t="s">
        <v>8</v>
      </c>
      <c r="CF579" s="27" t="s">
        <v>7</v>
      </c>
      <c r="CH579" s="27" t="s">
        <v>7</v>
      </c>
      <c r="CI579" s="27" t="s">
        <v>8</v>
      </c>
      <c r="CL579" s="27" t="s">
        <v>7</v>
      </c>
      <c r="CQ579" s="27" t="s">
        <v>8</v>
      </c>
      <c r="CR579" s="27" t="s">
        <v>7</v>
      </c>
      <c r="CS579" s="27" t="s">
        <v>8</v>
      </c>
      <c r="CT579" s="27" t="s">
        <v>7</v>
      </c>
      <c r="EW579" s="27" t="s">
        <v>8</v>
      </c>
      <c r="FF579" s="27" t="s">
        <v>7</v>
      </c>
      <c r="FG579" s="27" t="s">
        <v>8</v>
      </c>
      <c r="FH579" s="27" t="s">
        <v>7</v>
      </c>
      <c r="FI579" s="27" t="s">
        <v>8</v>
      </c>
      <c r="FJ579" s="27" t="s">
        <v>7</v>
      </c>
      <c r="FK579" s="27" t="s">
        <v>8</v>
      </c>
      <c r="FL579" s="27" t="s">
        <v>7</v>
      </c>
      <c r="GA579" s="27" t="s">
        <v>8</v>
      </c>
      <c r="GG579" s="27" t="s">
        <v>8</v>
      </c>
      <c r="GH579" s="27" t="s">
        <v>7</v>
      </c>
      <c r="GK579" s="27" t="s">
        <v>8</v>
      </c>
      <c r="GU579" s="27" t="s">
        <v>8</v>
      </c>
      <c r="GV579" s="27" t="s">
        <v>7</v>
      </c>
      <c r="GW579" s="27" t="s">
        <v>8</v>
      </c>
      <c r="GX579" s="27" t="s">
        <v>7</v>
      </c>
      <c r="GY579" s="27" t="s">
        <v>8</v>
      </c>
      <c r="GZ579" s="27" t="s">
        <v>7</v>
      </c>
      <c r="HA579" s="27" t="s">
        <v>8</v>
      </c>
      <c r="HC579" s="27" t="s">
        <v>8</v>
      </c>
      <c r="HD579" s="27" t="s">
        <v>7</v>
      </c>
      <c r="HE579" s="27" t="s">
        <v>8</v>
      </c>
    </row>
    <row r="580" spans="1:213" x14ac:dyDescent="0.25">
      <c r="A580" s="7">
        <v>1.14868566764928</v>
      </c>
      <c r="B580"/>
      <c r="C580"/>
      <c r="D580"/>
      <c r="E580" t="s">
        <v>8</v>
      </c>
      <c r="CH580" s="27" t="s">
        <v>7</v>
      </c>
      <c r="CI580" s="27" t="s">
        <v>8</v>
      </c>
      <c r="CL580" s="27" t="s">
        <v>7</v>
      </c>
      <c r="CM580" s="27" t="s">
        <v>8</v>
      </c>
      <c r="CQ580" s="27" t="s">
        <v>8</v>
      </c>
      <c r="CR580" s="27" t="s">
        <v>7</v>
      </c>
      <c r="CS580" s="27" t="s">
        <v>8</v>
      </c>
      <c r="CT580" s="27" t="s">
        <v>7</v>
      </c>
      <c r="EW580" s="27" t="s">
        <v>8</v>
      </c>
      <c r="FF580" s="27" t="s">
        <v>7</v>
      </c>
      <c r="FG580" s="27" t="s">
        <v>8</v>
      </c>
      <c r="FH580" s="27" t="s">
        <v>7</v>
      </c>
      <c r="FI580" s="27" t="s">
        <v>8</v>
      </c>
      <c r="FJ580" s="27" t="s">
        <v>7</v>
      </c>
      <c r="FK580" s="27" t="s">
        <v>8</v>
      </c>
      <c r="FL580" s="27" t="s">
        <v>7</v>
      </c>
      <c r="GA580" s="27" t="s">
        <v>8</v>
      </c>
      <c r="GB580" s="27" t="s">
        <v>7</v>
      </c>
      <c r="GG580" s="27" t="s">
        <v>8</v>
      </c>
      <c r="GH580" s="27" t="s">
        <v>7</v>
      </c>
      <c r="GK580" s="27" t="s">
        <v>8</v>
      </c>
      <c r="GL580" s="27" t="s">
        <v>7</v>
      </c>
      <c r="GM580" s="27" t="s">
        <v>8</v>
      </c>
      <c r="GS580" s="27" t="s">
        <v>8</v>
      </c>
      <c r="GU580" s="27" t="s">
        <v>8</v>
      </c>
      <c r="GV580" s="27" t="s">
        <v>7</v>
      </c>
      <c r="GW580" s="27" t="s">
        <v>8</v>
      </c>
      <c r="GX580" s="27" t="s">
        <v>7</v>
      </c>
      <c r="GY580" s="27" t="s">
        <v>8</v>
      </c>
      <c r="GZ580" s="27" t="s">
        <v>7</v>
      </c>
      <c r="HA580" s="27" t="s">
        <v>8</v>
      </c>
      <c r="HB580" s="27" t="s">
        <v>7</v>
      </c>
      <c r="HC580" s="27" t="s">
        <v>8</v>
      </c>
      <c r="HD580" s="27" t="s">
        <v>7</v>
      </c>
      <c r="HE580" s="27" t="s">
        <v>8</v>
      </c>
    </row>
    <row r="581" spans="1:213" x14ac:dyDescent="0.25">
      <c r="A581" s="7">
        <v>1.1261624192640001</v>
      </c>
      <c r="B581"/>
      <c r="C581"/>
      <c r="D581"/>
      <c r="E581" t="s">
        <v>8</v>
      </c>
      <c r="CH581" s="27" t="s">
        <v>7</v>
      </c>
      <c r="CL581" s="27" t="s">
        <v>7</v>
      </c>
      <c r="CM581" s="27" t="s">
        <v>8</v>
      </c>
      <c r="CN581" s="27" t="s">
        <v>7</v>
      </c>
      <c r="CQ581" s="27" t="s">
        <v>8</v>
      </c>
      <c r="CR581" s="27" t="s">
        <v>7</v>
      </c>
      <c r="CS581" s="27" t="s">
        <v>8</v>
      </c>
      <c r="CT581" s="27" t="s">
        <v>7</v>
      </c>
      <c r="EU581" s="27" t="s">
        <v>8</v>
      </c>
      <c r="EW581" s="27" t="s">
        <v>8</v>
      </c>
      <c r="FF581" s="27" t="s">
        <v>7</v>
      </c>
      <c r="FG581" s="27" t="s">
        <v>8</v>
      </c>
      <c r="FH581" s="27" t="s">
        <v>7</v>
      </c>
      <c r="FI581" s="27" t="s">
        <v>8</v>
      </c>
      <c r="FJ581" s="27" t="s">
        <v>7</v>
      </c>
      <c r="FK581" s="27" t="s">
        <v>8</v>
      </c>
      <c r="FL581" s="27" t="s">
        <v>7</v>
      </c>
      <c r="GA581" s="27" t="s">
        <v>8</v>
      </c>
      <c r="GB581" s="27" t="s">
        <v>7</v>
      </c>
      <c r="GG581" s="27" t="s">
        <v>8</v>
      </c>
      <c r="GH581" s="27" t="s">
        <v>7</v>
      </c>
      <c r="GI581" s="27" t="s">
        <v>8</v>
      </c>
      <c r="GK581" s="27" t="s">
        <v>8</v>
      </c>
      <c r="GL581" s="27" t="s">
        <v>7</v>
      </c>
      <c r="GM581" s="27" t="s">
        <v>8</v>
      </c>
      <c r="GN581" s="27" t="s">
        <v>7</v>
      </c>
      <c r="GQ581" s="27" t="s">
        <v>8</v>
      </c>
      <c r="GS581" s="27" t="s">
        <v>8</v>
      </c>
      <c r="GT581" s="27" t="s">
        <v>7</v>
      </c>
      <c r="GU581" s="27" t="s">
        <v>8</v>
      </c>
      <c r="GV581" s="27" t="s">
        <v>7</v>
      </c>
      <c r="GW581" s="27" t="s">
        <v>8</v>
      </c>
      <c r="GX581" s="27" t="s">
        <v>7</v>
      </c>
      <c r="GY581" s="27" t="s">
        <v>8</v>
      </c>
      <c r="GZ581" s="27" t="s">
        <v>7</v>
      </c>
      <c r="HA581" s="27" t="s">
        <v>8</v>
      </c>
      <c r="HB581" s="27" t="s">
        <v>7</v>
      </c>
      <c r="HC581" s="27" t="s">
        <v>8</v>
      </c>
      <c r="HD581" s="27" t="s">
        <v>7</v>
      </c>
      <c r="HE581" s="27" t="s">
        <v>8</v>
      </c>
    </row>
    <row r="582" spans="1:213" x14ac:dyDescent="0.25">
      <c r="A582" s="7">
        <v>1.1040808032</v>
      </c>
      <c r="B582"/>
      <c r="C582"/>
      <c r="D582"/>
      <c r="E582" t="s">
        <v>8</v>
      </c>
      <c r="CL582" s="27" t="s">
        <v>7</v>
      </c>
      <c r="CM582" s="27" t="s">
        <v>8</v>
      </c>
      <c r="CN582" s="27" t="s">
        <v>7</v>
      </c>
      <c r="CO582" s="27" t="s">
        <v>8</v>
      </c>
      <c r="CQ582" s="27" t="s">
        <v>8</v>
      </c>
      <c r="CR582" s="27" t="s">
        <v>7</v>
      </c>
      <c r="CS582" s="27" t="s">
        <v>8</v>
      </c>
      <c r="CT582" s="27" t="s">
        <v>7</v>
      </c>
      <c r="EI582" s="27" t="s">
        <v>8</v>
      </c>
      <c r="EK582" s="27" t="s">
        <v>8</v>
      </c>
      <c r="EU582" s="27" t="s">
        <v>8</v>
      </c>
      <c r="EV582" s="27" t="s">
        <v>7</v>
      </c>
      <c r="EW582" s="27" t="s">
        <v>8</v>
      </c>
      <c r="FF582" s="27" t="s">
        <v>7</v>
      </c>
      <c r="FH582" s="27" t="s">
        <v>7</v>
      </c>
      <c r="FJ582" s="27" t="s">
        <v>7</v>
      </c>
      <c r="FK582" s="27" t="s">
        <v>8</v>
      </c>
      <c r="FL582" s="27" t="s">
        <v>7</v>
      </c>
      <c r="FU582" s="27" t="s">
        <v>8</v>
      </c>
      <c r="GA582" s="27" t="s">
        <v>8</v>
      </c>
      <c r="GB582" s="27" t="s">
        <v>7</v>
      </c>
      <c r="GG582" s="27" t="s">
        <v>8</v>
      </c>
      <c r="GH582" s="27" t="s">
        <v>7</v>
      </c>
      <c r="GI582" s="27" t="s">
        <v>8</v>
      </c>
      <c r="GJ582" s="27" t="s">
        <v>7</v>
      </c>
      <c r="GK582" s="27" t="s">
        <v>8</v>
      </c>
      <c r="GL582" s="27" t="s">
        <v>7</v>
      </c>
      <c r="GM582" s="27" t="s">
        <v>8</v>
      </c>
      <c r="GN582" s="27" t="s">
        <v>7</v>
      </c>
      <c r="GQ582" s="27" t="s">
        <v>8</v>
      </c>
      <c r="GR582" s="27" t="s">
        <v>7</v>
      </c>
      <c r="GS582" s="27" t="s">
        <v>8</v>
      </c>
      <c r="GT582" s="27" t="s">
        <v>7</v>
      </c>
      <c r="GU582" s="27" t="s">
        <v>8</v>
      </c>
      <c r="GV582" s="27" t="s">
        <v>7</v>
      </c>
      <c r="GX582" s="27" t="s">
        <v>7</v>
      </c>
      <c r="GZ582" s="27" t="s">
        <v>7</v>
      </c>
      <c r="HA582" s="27" t="s">
        <v>8</v>
      </c>
      <c r="HB582" s="27" t="s">
        <v>7</v>
      </c>
      <c r="HD582" s="27" t="s">
        <v>7</v>
      </c>
      <c r="HE582" s="27" t="s">
        <v>8</v>
      </c>
    </row>
    <row r="583" spans="1:213" x14ac:dyDescent="0.25">
      <c r="A583" s="7">
        <v>1.08243216</v>
      </c>
      <c r="B583"/>
      <c r="C583"/>
      <c r="D583"/>
      <c r="E583" t="s">
        <v>8</v>
      </c>
      <c r="CL583" s="27" t="s">
        <v>7</v>
      </c>
      <c r="CN583" s="27" t="s">
        <v>7</v>
      </c>
      <c r="CO583" s="27" t="s">
        <v>8</v>
      </c>
      <c r="CP583" s="27" t="s">
        <v>7</v>
      </c>
      <c r="CQ583" s="27" t="s">
        <v>8</v>
      </c>
      <c r="CR583" s="27" t="s">
        <v>7</v>
      </c>
      <c r="CS583" s="27" t="s">
        <v>8</v>
      </c>
      <c r="CT583" s="27" t="s">
        <v>7</v>
      </c>
      <c r="EI583" s="27" t="s">
        <v>8</v>
      </c>
      <c r="EJ583" s="27" t="s">
        <v>7</v>
      </c>
      <c r="EK583" s="27" t="s">
        <v>8</v>
      </c>
      <c r="EL583" s="27" t="s">
        <v>7</v>
      </c>
      <c r="EU583" s="27" t="s">
        <v>8</v>
      </c>
      <c r="EV583" s="27" t="s">
        <v>7</v>
      </c>
      <c r="EW583" s="27" t="s">
        <v>8</v>
      </c>
      <c r="FJ583" s="27" t="s">
        <v>7</v>
      </c>
      <c r="FK583" s="27" t="s">
        <v>8</v>
      </c>
      <c r="FL583" s="27" t="s">
        <v>7</v>
      </c>
      <c r="FQ583" s="27" t="s">
        <v>8</v>
      </c>
      <c r="FU583" s="27" t="s">
        <v>8</v>
      </c>
      <c r="FV583" s="27" t="s">
        <v>7</v>
      </c>
      <c r="FY583" s="27" t="s">
        <v>8</v>
      </c>
      <c r="GA583" s="27" t="s">
        <v>8</v>
      </c>
      <c r="GB583" s="27" t="s">
        <v>7</v>
      </c>
      <c r="GG583" s="27" t="s">
        <v>8</v>
      </c>
      <c r="GH583" s="27" t="s">
        <v>7</v>
      </c>
      <c r="GI583" s="27" t="s">
        <v>8</v>
      </c>
      <c r="GJ583" s="27" t="s">
        <v>7</v>
      </c>
      <c r="GK583" s="27" t="s">
        <v>8</v>
      </c>
      <c r="GL583" s="27" t="s">
        <v>7</v>
      </c>
      <c r="GM583" s="27" t="s">
        <v>8</v>
      </c>
      <c r="GN583" s="27" t="s">
        <v>7</v>
      </c>
      <c r="GO583" s="27" t="s">
        <v>8</v>
      </c>
      <c r="GQ583" s="27" t="s">
        <v>8</v>
      </c>
      <c r="GR583" s="27" t="s">
        <v>7</v>
      </c>
      <c r="GS583" s="27" t="s">
        <v>8</v>
      </c>
      <c r="GT583" s="27" t="s">
        <v>7</v>
      </c>
      <c r="GU583" s="27" t="s">
        <v>8</v>
      </c>
      <c r="GZ583" s="27" t="s">
        <v>7</v>
      </c>
      <c r="HD583" s="27" t="s">
        <v>7</v>
      </c>
      <c r="HE583" s="27" t="s">
        <v>8</v>
      </c>
    </row>
    <row r="584" spans="1:213" x14ac:dyDescent="0.25">
      <c r="A584" s="7">
        <v>1.0612079999999999</v>
      </c>
      <c r="B584"/>
      <c r="C584"/>
      <c r="D584"/>
      <c r="E584" t="s">
        <v>8</v>
      </c>
      <c r="CN584" s="27" t="s">
        <v>7</v>
      </c>
      <c r="CO584" s="27" t="s">
        <v>8</v>
      </c>
      <c r="CP584" s="27" t="s">
        <v>7</v>
      </c>
      <c r="CQ584" s="27" t="s">
        <v>8</v>
      </c>
      <c r="CR584" s="27" t="s">
        <v>7</v>
      </c>
      <c r="CS584" s="27" t="s">
        <v>8</v>
      </c>
      <c r="CT584" s="27" t="s">
        <v>7</v>
      </c>
      <c r="EG584" s="27" t="s">
        <v>8</v>
      </c>
      <c r="EI584" s="27" t="s">
        <v>8</v>
      </c>
      <c r="EJ584" s="27" t="s">
        <v>7</v>
      </c>
      <c r="EK584" s="27" t="s">
        <v>8</v>
      </c>
      <c r="EL584" s="27" t="s">
        <v>7</v>
      </c>
      <c r="EU584" s="27" t="s">
        <v>8</v>
      </c>
      <c r="EV584" s="27" t="s">
        <v>7</v>
      </c>
      <c r="EW584" s="27" t="s">
        <v>8</v>
      </c>
      <c r="FJ584" s="27" t="s">
        <v>7</v>
      </c>
      <c r="FK584" s="27" t="s">
        <v>8</v>
      </c>
      <c r="FL584" s="27" t="s">
        <v>7</v>
      </c>
      <c r="FQ584" s="27" t="s">
        <v>8</v>
      </c>
      <c r="FR584" s="27" t="s">
        <v>7</v>
      </c>
      <c r="FU584" s="27" t="s">
        <v>8</v>
      </c>
      <c r="FV584" s="27" t="s">
        <v>7</v>
      </c>
      <c r="FY584" s="27" t="s">
        <v>8</v>
      </c>
      <c r="FZ584" s="27" t="s">
        <v>7</v>
      </c>
      <c r="GA584" s="27" t="s">
        <v>8</v>
      </c>
      <c r="GB584" s="27" t="s">
        <v>7</v>
      </c>
      <c r="GG584" s="27" t="s">
        <v>8</v>
      </c>
      <c r="GH584" s="27" t="s">
        <v>7</v>
      </c>
      <c r="GI584" s="27" t="s">
        <v>8</v>
      </c>
      <c r="GJ584" s="27" t="s">
        <v>7</v>
      </c>
      <c r="GK584" s="27" t="s">
        <v>8</v>
      </c>
      <c r="GL584" s="27" t="s">
        <v>7</v>
      </c>
      <c r="GM584" s="27" t="s">
        <v>8</v>
      </c>
      <c r="GN584" s="27" t="s">
        <v>7</v>
      </c>
      <c r="GO584" s="27" t="s">
        <v>8</v>
      </c>
      <c r="GP584" s="27" t="s">
        <v>7</v>
      </c>
      <c r="GQ584" s="27" t="s">
        <v>8</v>
      </c>
      <c r="GR584" s="27" t="s">
        <v>7</v>
      </c>
      <c r="GT584" s="27" t="s">
        <v>7</v>
      </c>
      <c r="HD584" s="27" t="s">
        <v>7</v>
      </c>
    </row>
    <row r="585" spans="1:213" x14ac:dyDescent="0.25">
      <c r="A585" s="7">
        <v>1.0404</v>
      </c>
      <c r="B585"/>
      <c r="C585"/>
      <c r="D585"/>
      <c r="E585" t="s">
        <v>8</v>
      </c>
      <c r="CN585" s="27" t="s">
        <v>7</v>
      </c>
      <c r="CP585" s="27" t="s">
        <v>7</v>
      </c>
      <c r="CQ585" s="27" t="s">
        <v>8</v>
      </c>
      <c r="CR585" s="27" t="s">
        <v>7</v>
      </c>
      <c r="CS585" s="27" t="s">
        <v>8</v>
      </c>
      <c r="CT585" s="27" t="s">
        <v>7</v>
      </c>
      <c r="EG585" s="27" t="s">
        <v>8</v>
      </c>
      <c r="EH585" s="27" t="s">
        <v>7</v>
      </c>
      <c r="EI585" s="27" t="s">
        <v>8</v>
      </c>
      <c r="EJ585" s="27" t="s">
        <v>7</v>
      </c>
      <c r="EK585" s="27" t="s">
        <v>8</v>
      </c>
      <c r="EL585" s="27" t="s">
        <v>7</v>
      </c>
      <c r="EU585" s="27" t="s">
        <v>8</v>
      </c>
      <c r="EV585" s="27" t="s">
        <v>7</v>
      </c>
      <c r="FJ585" s="27" t="s">
        <v>7</v>
      </c>
      <c r="FL585" s="27" t="s">
        <v>7</v>
      </c>
      <c r="FQ585" s="27" t="s">
        <v>8</v>
      </c>
      <c r="FR585" s="27" t="s">
        <v>7</v>
      </c>
      <c r="FU585" s="27" t="s">
        <v>8</v>
      </c>
      <c r="FV585" s="27" t="s">
        <v>7</v>
      </c>
      <c r="FY585" s="27" t="s">
        <v>8</v>
      </c>
      <c r="FZ585" s="27" t="s">
        <v>7</v>
      </c>
      <c r="GA585" s="27" t="s">
        <v>8</v>
      </c>
      <c r="GB585" s="27" t="s">
        <v>7</v>
      </c>
      <c r="GC585" s="27" t="s">
        <v>8</v>
      </c>
      <c r="GE585" s="27" t="s">
        <v>8</v>
      </c>
      <c r="GG585" s="27" t="s">
        <v>8</v>
      </c>
      <c r="GH585" s="27" t="s">
        <v>7</v>
      </c>
      <c r="GJ585" s="27" t="s">
        <v>7</v>
      </c>
      <c r="GK585" s="27" t="s">
        <v>8</v>
      </c>
      <c r="GL585" s="27" t="s">
        <v>7</v>
      </c>
      <c r="GM585" s="27" t="s">
        <v>8</v>
      </c>
      <c r="GN585" s="27" t="s">
        <v>7</v>
      </c>
      <c r="GO585" s="27" t="s">
        <v>8</v>
      </c>
      <c r="GP585" s="27" t="s">
        <v>7</v>
      </c>
      <c r="GQ585" s="27" t="s">
        <v>8</v>
      </c>
    </row>
    <row r="586" spans="1:213" x14ac:dyDescent="0.25">
      <c r="A586" s="7">
        <v>1.02</v>
      </c>
      <c r="B586"/>
      <c r="C586"/>
      <c r="D586"/>
      <c r="E586" t="s">
        <v>8</v>
      </c>
      <c r="CP586" s="27" t="s">
        <v>7</v>
      </c>
      <c r="CQ586" s="27" t="s">
        <v>8</v>
      </c>
      <c r="CR586" s="27" t="s">
        <v>7</v>
      </c>
      <c r="CS586" s="27" t="s">
        <v>8</v>
      </c>
      <c r="CT586" s="27" t="s">
        <v>7</v>
      </c>
      <c r="EG586" s="27" t="s">
        <v>8</v>
      </c>
      <c r="EH586" s="27" t="s">
        <v>7</v>
      </c>
      <c r="EI586" s="27" t="s">
        <v>8</v>
      </c>
      <c r="EJ586" s="27" t="s">
        <v>7</v>
      </c>
      <c r="EK586" s="27" t="s">
        <v>8</v>
      </c>
      <c r="EL586" s="27" t="s">
        <v>7</v>
      </c>
      <c r="ES586" s="27" t="s">
        <v>8</v>
      </c>
      <c r="EU586" s="27" t="s">
        <v>8</v>
      </c>
      <c r="FL586" s="27" t="s">
        <v>7</v>
      </c>
      <c r="FQ586" s="27" t="s">
        <v>8</v>
      </c>
      <c r="FR586" s="27" t="s">
        <v>7</v>
      </c>
      <c r="FU586" s="27" t="s">
        <v>8</v>
      </c>
      <c r="FV586" s="27" t="s">
        <v>7</v>
      </c>
      <c r="FY586" s="27" t="s">
        <v>8</v>
      </c>
      <c r="FZ586" s="27" t="s">
        <v>7</v>
      </c>
      <c r="GA586" s="27" t="s">
        <v>8</v>
      </c>
      <c r="GB586" s="27" t="s">
        <v>7</v>
      </c>
      <c r="GC586" s="27" t="s">
        <v>8</v>
      </c>
      <c r="GD586" s="27" t="s">
        <v>7</v>
      </c>
      <c r="GE586" s="27" t="s">
        <v>8</v>
      </c>
      <c r="GF586" s="27" t="s">
        <v>7</v>
      </c>
      <c r="GG586" s="27" t="s">
        <v>8</v>
      </c>
      <c r="GJ586" s="27" t="s">
        <v>7</v>
      </c>
      <c r="GK586" s="27" t="s">
        <v>8</v>
      </c>
      <c r="GL586" s="27" t="s">
        <v>7</v>
      </c>
      <c r="GN586" s="27" t="s">
        <v>7</v>
      </c>
      <c r="GP586" s="27" t="s">
        <v>7</v>
      </c>
    </row>
    <row r="587" spans="1:213" x14ac:dyDescent="0.25">
      <c r="A587" s="7">
        <v>1</v>
      </c>
      <c r="B587"/>
      <c r="C587"/>
      <c r="D587"/>
      <c r="E587" s="29" t="s">
        <v>8</v>
      </c>
      <c r="CP587" s="27" t="s">
        <v>7</v>
      </c>
      <c r="CR587" s="27" t="s">
        <v>7</v>
      </c>
      <c r="CS587" s="27" t="s">
        <v>8</v>
      </c>
      <c r="CT587" s="27" t="s">
        <v>7</v>
      </c>
      <c r="EG587" s="27" t="s">
        <v>8</v>
      </c>
      <c r="EH587" s="27" t="s">
        <v>7</v>
      </c>
      <c r="EI587" s="27" t="s">
        <v>8</v>
      </c>
      <c r="EJ587" s="27" t="s">
        <v>7</v>
      </c>
      <c r="EL587" s="27" t="s">
        <v>7</v>
      </c>
      <c r="ES587" s="27" t="s">
        <v>8</v>
      </c>
      <c r="ET587" s="27" t="s">
        <v>7</v>
      </c>
      <c r="EU587" s="27" t="s">
        <v>8</v>
      </c>
      <c r="FL587" s="27" t="s">
        <v>7</v>
      </c>
      <c r="FQ587" s="27" t="s">
        <v>8</v>
      </c>
      <c r="FR587" s="27" t="s">
        <v>7</v>
      </c>
      <c r="FU587" s="27" t="s">
        <v>8</v>
      </c>
      <c r="FV587" s="27" t="s">
        <v>7</v>
      </c>
      <c r="FW587" s="27" t="s">
        <v>8</v>
      </c>
      <c r="FY587" s="27" t="s">
        <v>8</v>
      </c>
      <c r="FZ587" s="27" t="s">
        <v>7</v>
      </c>
      <c r="GA587" s="27" t="s">
        <v>8</v>
      </c>
      <c r="GB587" s="27" t="s">
        <v>7</v>
      </c>
      <c r="GC587" s="27" t="s">
        <v>8</v>
      </c>
      <c r="GD587" s="27" t="s">
        <v>7</v>
      </c>
      <c r="GE587" s="27" t="s">
        <v>8</v>
      </c>
      <c r="GF587" s="27" t="s">
        <v>7</v>
      </c>
      <c r="GG587" s="27" t="s">
        <v>8</v>
      </c>
      <c r="GJ587" s="27" t="s">
        <v>7</v>
      </c>
      <c r="GK587" s="27" t="s">
        <v>8</v>
      </c>
    </row>
    <row r="588" spans="1:213" x14ac:dyDescent="0.25">
      <c r="A588" s="7">
        <v>0.98039215686274506</v>
      </c>
      <c r="B588"/>
      <c r="C588"/>
      <c r="D588"/>
      <c r="E588"/>
      <c r="CR588" s="27" t="s">
        <v>7</v>
      </c>
      <c r="CT588" s="27" t="s">
        <v>7</v>
      </c>
      <c r="DA588" s="27" t="s">
        <v>8</v>
      </c>
      <c r="EG588" s="27" t="s">
        <v>8</v>
      </c>
      <c r="EH588" s="27" t="s">
        <v>7</v>
      </c>
      <c r="EL588" s="27" t="s">
        <v>7</v>
      </c>
      <c r="ES588" s="27" t="s">
        <v>8</v>
      </c>
      <c r="ET588" s="27" t="s">
        <v>7</v>
      </c>
      <c r="EU588" s="27" t="s">
        <v>8</v>
      </c>
      <c r="FL588" s="27" t="s">
        <v>7</v>
      </c>
      <c r="FQ588" s="27" t="s">
        <v>8</v>
      </c>
      <c r="FR588" s="27" t="s">
        <v>7</v>
      </c>
      <c r="FU588" s="27" t="s">
        <v>8</v>
      </c>
      <c r="FV588" s="27" t="s">
        <v>7</v>
      </c>
      <c r="FW588" s="27" t="s">
        <v>8</v>
      </c>
      <c r="FX588" s="27" t="s">
        <v>7</v>
      </c>
      <c r="FY588" s="27" t="s">
        <v>8</v>
      </c>
      <c r="FZ588" s="27" t="s">
        <v>7</v>
      </c>
      <c r="GB588" s="27" t="s">
        <v>7</v>
      </c>
      <c r="GD588" s="27" t="s">
        <v>7</v>
      </c>
      <c r="GE588" s="27" t="s">
        <v>8</v>
      </c>
      <c r="GF588" s="27" t="s">
        <v>7</v>
      </c>
      <c r="GG588" s="27" t="s">
        <v>8</v>
      </c>
      <c r="GJ588" s="27" t="s">
        <v>7</v>
      </c>
      <c r="GK588" s="27" t="s">
        <v>8</v>
      </c>
    </row>
    <row r="589" spans="1:213" x14ac:dyDescent="0.25">
      <c r="A589" s="7">
        <v>0.96116878123798544</v>
      </c>
      <c r="B589"/>
      <c r="C589"/>
      <c r="D589"/>
      <c r="E589"/>
      <c r="CT589" s="27" t="s">
        <v>7</v>
      </c>
      <c r="DA589" s="27" t="s">
        <v>8</v>
      </c>
      <c r="DB589" s="27" t="s">
        <v>7</v>
      </c>
      <c r="EG589" s="27" t="s">
        <v>8</v>
      </c>
      <c r="EL589" s="27" t="s">
        <v>7</v>
      </c>
      <c r="ES589" s="27" t="s">
        <v>8</v>
      </c>
      <c r="ET589" s="27" t="s">
        <v>7</v>
      </c>
      <c r="FL589" s="27" t="s">
        <v>7</v>
      </c>
      <c r="FQ589" s="27" t="s">
        <v>8</v>
      </c>
      <c r="FR589" s="27" t="s">
        <v>7</v>
      </c>
      <c r="FU589" s="27" t="s">
        <v>8</v>
      </c>
      <c r="FV589" s="27" t="s">
        <v>7</v>
      </c>
      <c r="FW589" s="27" t="s">
        <v>8</v>
      </c>
      <c r="FX589" s="27" t="s">
        <v>7</v>
      </c>
      <c r="FY589" s="27" t="s">
        <v>8</v>
      </c>
      <c r="GD589" s="27" t="s">
        <v>7</v>
      </c>
      <c r="GE589" s="27" t="s">
        <v>8</v>
      </c>
      <c r="GF589" s="27" t="s">
        <v>7</v>
      </c>
      <c r="GJ589" s="27" t="s">
        <v>7</v>
      </c>
      <c r="GK589" s="27" t="s">
        <v>8</v>
      </c>
    </row>
    <row r="590" spans="1:213" x14ac:dyDescent="0.25">
      <c r="A590" s="7">
        <v>0.94232233454704462</v>
      </c>
      <c r="B590"/>
      <c r="C590"/>
      <c r="D590"/>
      <c r="E590"/>
      <c r="CT590" s="27" t="s">
        <v>7</v>
      </c>
      <c r="DA590" s="27" t="s">
        <v>8</v>
      </c>
      <c r="DB590" s="27" t="s">
        <v>7</v>
      </c>
      <c r="EA590" s="27" t="s">
        <v>8</v>
      </c>
      <c r="EC590" s="27" t="s">
        <v>8</v>
      </c>
      <c r="EG590" s="27" t="s">
        <v>8</v>
      </c>
      <c r="EL590" s="27" t="s">
        <v>7</v>
      </c>
      <c r="EM590" s="27" t="s">
        <v>8</v>
      </c>
      <c r="ES590" s="27" t="s">
        <v>8</v>
      </c>
      <c r="FL590" s="27" t="s">
        <v>7</v>
      </c>
      <c r="FM590" s="27" t="s">
        <v>8</v>
      </c>
      <c r="FQ590" s="27" t="s">
        <v>8</v>
      </c>
      <c r="FR590" s="27" t="s">
        <v>7</v>
      </c>
      <c r="FS590" s="27" t="s">
        <v>8</v>
      </c>
      <c r="FU590" s="27" t="s">
        <v>8</v>
      </c>
      <c r="FV590" s="27" t="s">
        <v>7</v>
      </c>
      <c r="FW590" s="27" t="s">
        <v>8</v>
      </c>
      <c r="FX590" s="27" t="s">
        <v>7</v>
      </c>
      <c r="FY590" s="27" t="s">
        <v>8</v>
      </c>
      <c r="GD590" s="27" t="s">
        <v>7</v>
      </c>
      <c r="GJ590" s="27" t="s">
        <v>7</v>
      </c>
      <c r="GK590" s="27" t="s">
        <v>8</v>
      </c>
    </row>
    <row r="591" spans="1:213" x14ac:dyDescent="0.25">
      <c r="A591" s="7">
        <v>0.92384542602651432</v>
      </c>
      <c r="B591"/>
      <c r="C591"/>
      <c r="D591"/>
      <c r="E591"/>
      <c r="CT591" s="27" t="s">
        <v>7</v>
      </c>
      <c r="CY591" s="27" t="s">
        <v>8</v>
      </c>
      <c r="DA591" s="27" t="s">
        <v>8</v>
      </c>
      <c r="DB591" s="27" t="s">
        <v>7</v>
      </c>
      <c r="DY591" s="27" t="s">
        <v>8</v>
      </c>
      <c r="EA591" s="27" t="s">
        <v>8</v>
      </c>
      <c r="EB591" s="27" t="s">
        <v>7</v>
      </c>
      <c r="EC591" s="27" t="s">
        <v>8</v>
      </c>
      <c r="ED591" s="27" t="s">
        <v>7</v>
      </c>
      <c r="EE591" s="27" t="s">
        <v>8</v>
      </c>
      <c r="EG591" s="27" t="s">
        <v>8</v>
      </c>
      <c r="EL591" s="27" t="s">
        <v>7</v>
      </c>
      <c r="EM591" s="27" t="s">
        <v>8</v>
      </c>
      <c r="EN591" s="27" t="s">
        <v>7</v>
      </c>
      <c r="EO591" s="27" t="s">
        <v>8</v>
      </c>
      <c r="ES591" s="27" t="s">
        <v>8</v>
      </c>
      <c r="FL591" s="27" t="s">
        <v>7</v>
      </c>
      <c r="FM591" s="27" t="s">
        <v>8</v>
      </c>
      <c r="FN591" s="27" t="s">
        <v>7</v>
      </c>
      <c r="FO591" s="27" t="s">
        <v>8</v>
      </c>
      <c r="FQ591" s="27" t="s">
        <v>8</v>
      </c>
      <c r="FR591" s="27" t="s">
        <v>7</v>
      </c>
      <c r="FS591" s="27" t="s">
        <v>8</v>
      </c>
      <c r="FT591" s="27" t="s">
        <v>7</v>
      </c>
      <c r="FU591" s="27" t="s">
        <v>8</v>
      </c>
      <c r="FV591" s="27" t="s">
        <v>7</v>
      </c>
      <c r="FW591" s="27" t="s">
        <v>8</v>
      </c>
      <c r="FX591" s="27" t="s">
        <v>7</v>
      </c>
      <c r="GJ591" s="27" t="s">
        <v>7</v>
      </c>
      <c r="GK591" s="27" t="s">
        <v>8</v>
      </c>
    </row>
    <row r="592" spans="1:213" x14ac:dyDescent="0.25">
      <c r="A592" s="7">
        <v>0.90573080982991594</v>
      </c>
      <c r="B592"/>
      <c r="C592"/>
      <c r="D592"/>
      <c r="E592"/>
      <c r="CT592" s="27" t="s">
        <v>7</v>
      </c>
      <c r="CY592" s="27" t="s">
        <v>8</v>
      </c>
      <c r="CZ592" s="27" t="s">
        <v>7</v>
      </c>
      <c r="DA592" s="27" t="s">
        <v>8</v>
      </c>
      <c r="DB592" s="27" t="s">
        <v>7</v>
      </c>
      <c r="DY592" s="27" t="s">
        <v>8</v>
      </c>
      <c r="DZ592" s="27" t="s">
        <v>7</v>
      </c>
      <c r="EA592" s="27" t="s">
        <v>8</v>
      </c>
      <c r="EB592" s="27" t="s">
        <v>7</v>
      </c>
      <c r="EC592" s="27" t="s">
        <v>8</v>
      </c>
      <c r="ED592" s="27" t="s">
        <v>7</v>
      </c>
      <c r="EE592" s="27" t="s">
        <v>8</v>
      </c>
      <c r="EF592" s="27" t="s">
        <v>7</v>
      </c>
      <c r="EG592" s="27" t="s">
        <v>8</v>
      </c>
      <c r="EL592" s="27" t="s">
        <v>7</v>
      </c>
      <c r="EM592" s="27" t="s">
        <v>8</v>
      </c>
      <c r="EN592" s="27" t="s">
        <v>7</v>
      </c>
      <c r="EO592" s="27" t="s">
        <v>8</v>
      </c>
      <c r="EP592" s="27" t="s">
        <v>7</v>
      </c>
      <c r="EQ592" s="27" t="s">
        <v>8</v>
      </c>
      <c r="ES592" s="27" t="s">
        <v>8</v>
      </c>
      <c r="FL592" s="27" t="s">
        <v>7</v>
      </c>
      <c r="FM592" s="27" t="s">
        <v>8</v>
      </c>
      <c r="FN592" s="27" t="s">
        <v>7</v>
      </c>
      <c r="FO592" s="27" t="s">
        <v>8</v>
      </c>
      <c r="FP592" s="27" t="s">
        <v>7</v>
      </c>
      <c r="FQ592" s="27" t="s">
        <v>8</v>
      </c>
      <c r="FR592" s="27" t="s">
        <v>7</v>
      </c>
      <c r="FS592" s="27" t="s">
        <v>8</v>
      </c>
      <c r="FT592" s="27" t="s">
        <v>7</v>
      </c>
      <c r="FU592" s="27" t="s">
        <v>8</v>
      </c>
      <c r="FV592" s="27" t="s">
        <v>7</v>
      </c>
      <c r="GJ592" s="27" t="s">
        <v>7</v>
      </c>
    </row>
    <row r="593" spans="1:177" x14ac:dyDescent="0.25">
      <c r="A593" s="7">
        <v>0.8879713821861922</v>
      </c>
      <c r="B593"/>
      <c r="C593"/>
      <c r="D593"/>
      <c r="E593"/>
      <c r="CT593" s="27" t="s">
        <v>7</v>
      </c>
      <c r="CY593" s="27" t="s">
        <v>8</v>
      </c>
      <c r="CZ593" s="27" t="s">
        <v>7</v>
      </c>
      <c r="DA593" s="27" t="s">
        <v>8</v>
      </c>
      <c r="DB593" s="27" t="s">
        <v>7</v>
      </c>
      <c r="DC593" s="27" t="s">
        <v>8</v>
      </c>
      <c r="DY593" s="27" t="s">
        <v>8</v>
      </c>
      <c r="DZ593" s="27" t="s">
        <v>7</v>
      </c>
      <c r="EA593" s="27" t="s">
        <v>8</v>
      </c>
      <c r="EB593" s="27" t="s">
        <v>7</v>
      </c>
      <c r="EC593" s="27" t="s">
        <v>8</v>
      </c>
      <c r="ED593" s="27" t="s">
        <v>7</v>
      </c>
      <c r="EE593" s="27" t="s">
        <v>8</v>
      </c>
      <c r="EF593" s="27" t="s">
        <v>7</v>
      </c>
      <c r="EG593" s="27" t="s">
        <v>8</v>
      </c>
      <c r="EL593" s="27" t="s">
        <v>7</v>
      </c>
      <c r="EN593" s="27" t="s">
        <v>7</v>
      </c>
      <c r="EO593" s="27" t="s">
        <v>8</v>
      </c>
      <c r="EP593" s="27" t="s">
        <v>7</v>
      </c>
      <c r="EQ593" s="27" t="s">
        <v>8</v>
      </c>
      <c r="ER593" s="27" t="s">
        <v>7</v>
      </c>
      <c r="ES593" s="27" t="s">
        <v>8</v>
      </c>
      <c r="FL593" s="27" t="s">
        <v>7</v>
      </c>
      <c r="FM593" s="27" t="s">
        <v>8</v>
      </c>
      <c r="FN593" s="27" t="s">
        <v>7</v>
      </c>
      <c r="FO593" s="27" t="s">
        <v>8</v>
      </c>
      <c r="FP593" s="27" t="s">
        <v>7</v>
      </c>
      <c r="FQ593" s="27" t="s">
        <v>8</v>
      </c>
      <c r="FR593" s="27" t="s">
        <v>7</v>
      </c>
      <c r="FS593" s="27" t="s">
        <v>8</v>
      </c>
      <c r="FT593" s="27" t="s">
        <v>7</v>
      </c>
      <c r="FU593" s="27" t="s">
        <v>8</v>
      </c>
    </row>
    <row r="594" spans="1:177" x14ac:dyDescent="0.25">
      <c r="A594" s="7">
        <v>0.87056017861391399</v>
      </c>
      <c r="B594"/>
      <c r="C594"/>
      <c r="D594"/>
      <c r="E594"/>
      <c r="CT594" s="27" t="s">
        <v>7</v>
      </c>
      <c r="CU594" s="27" t="s">
        <v>8</v>
      </c>
      <c r="CY594" s="27" t="s">
        <v>8</v>
      </c>
      <c r="CZ594" s="27" t="s">
        <v>7</v>
      </c>
      <c r="DB594" s="27" t="s">
        <v>7</v>
      </c>
      <c r="DC594" s="27" t="s">
        <v>8</v>
      </c>
      <c r="DD594" s="27" t="s">
        <v>7</v>
      </c>
      <c r="DE594" s="27" t="s">
        <v>8</v>
      </c>
      <c r="DY594" s="27" t="s">
        <v>8</v>
      </c>
      <c r="DZ594" s="27" t="s">
        <v>7</v>
      </c>
      <c r="EA594" s="27" t="s">
        <v>8</v>
      </c>
      <c r="EB594" s="27" t="s">
        <v>7</v>
      </c>
      <c r="EC594" s="27" t="s">
        <v>8</v>
      </c>
      <c r="ED594" s="27" t="s">
        <v>7</v>
      </c>
      <c r="EE594" s="27" t="s">
        <v>8</v>
      </c>
      <c r="EF594" s="27" t="s">
        <v>7</v>
      </c>
      <c r="EN594" s="27" t="s">
        <v>7</v>
      </c>
      <c r="EO594" s="27" t="s">
        <v>8</v>
      </c>
      <c r="EP594" s="27" t="s">
        <v>7</v>
      </c>
      <c r="EQ594" s="27" t="s">
        <v>8</v>
      </c>
      <c r="ER594" s="27" t="s">
        <v>7</v>
      </c>
      <c r="ES594" s="27" t="s">
        <v>8</v>
      </c>
      <c r="FL594" s="27" t="s">
        <v>7</v>
      </c>
      <c r="FM594" s="27" t="s">
        <v>8</v>
      </c>
      <c r="FN594" s="27" t="s">
        <v>7</v>
      </c>
      <c r="FO594" s="27" t="s">
        <v>8</v>
      </c>
      <c r="FP594" s="27" t="s">
        <v>7</v>
      </c>
      <c r="FQ594" s="27" t="s">
        <v>8</v>
      </c>
      <c r="FR594" s="27" t="s">
        <v>7</v>
      </c>
      <c r="FS594" s="27" t="s">
        <v>8</v>
      </c>
      <c r="FT594" s="27" t="s">
        <v>7</v>
      </c>
      <c r="FU594" s="27" t="s">
        <v>8</v>
      </c>
    </row>
    <row r="595" spans="1:177" x14ac:dyDescent="0.25">
      <c r="A595" s="7">
        <v>0.85349037119011173</v>
      </c>
      <c r="B595"/>
      <c r="C595"/>
      <c r="D595"/>
      <c r="E595"/>
      <c r="CT595" s="27" t="s">
        <v>7</v>
      </c>
      <c r="CU595" s="27" t="s">
        <v>8</v>
      </c>
      <c r="CV595" s="27" t="s">
        <v>7</v>
      </c>
      <c r="CW595" s="27" t="s">
        <v>8</v>
      </c>
      <c r="CY595" s="27" t="s">
        <v>8</v>
      </c>
      <c r="DB595" s="27" t="s">
        <v>7</v>
      </c>
      <c r="DC595" s="27" t="s">
        <v>8</v>
      </c>
      <c r="DD595" s="27" t="s">
        <v>7</v>
      </c>
      <c r="DE595" s="27" t="s">
        <v>8</v>
      </c>
      <c r="DF595" s="27" t="s">
        <v>7</v>
      </c>
      <c r="DY595" s="27" t="s">
        <v>8</v>
      </c>
      <c r="DZ595" s="27" t="s">
        <v>7</v>
      </c>
      <c r="EA595" s="27" t="s">
        <v>8</v>
      </c>
      <c r="EB595" s="27" t="s">
        <v>7</v>
      </c>
      <c r="EC595" s="27" t="s">
        <v>8</v>
      </c>
      <c r="ED595" s="27" t="s">
        <v>7</v>
      </c>
      <c r="EE595" s="27" t="s">
        <v>8</v>
      </c>
      <c r="EN595" s="27" t="s">
        <v>7</v>
      </c>
      <c r="EO595" s="27" t="s">
        <v>8</v>
      </c>
      <c r="EP595" s="27" t="s">
        <v>7</v>
      </c>
      <c r="EQ595" s="27" t="s">
        <v>8</v>
      </c>
      <c r="ER595" s="27" t="s">
        <v>7</v>
      </c>
      <c r="FL595" s="27" t="s">
        <v>7</v>
      </c>
      <c r="FM595" s="27" t="s">
        <v>8</v>
      </c>
      <c r="FN595" s="27" t="s">
        <v>7</v>
      </c>
      <c r="FO595" s="27" t="s">
        <v>8</v>
      </c>
      <c r="FP595" s="27" t="s">
        <v>7</v>
      </c>
      <c r="FQ595" s="27" t="s">
        <v>8</v>
      </c>
      <c r="FR595" s="27" t="s">
        <v>7</v>
      </c>
      <c r="FS595" s="27" t="s">
        <v>8</v>
      </c>
      <c r="FT595" s="27" t="s">
        <v>7</v>
      </c>
      <c r="FU595" s="27" t="s">
        <v>8</v>
      </c>
    </row>
    <row r="596" spans="1:177" x14ac:dyDescent="0.25">
      <c r="A596" s="7">
        <v>0.83675526587265858</v>
      </c>
      <c r="B596"/>
      <c r="C596"/>
      <c r="D596"/>
      <c r="E596"/>
      <c r="CT596" s="27" t="s">
        <v>7</v>
      </c>
      <c r="CU596" s="27" t="s">
        <v>8</v>
      </c>
      <c r="CV596" s="27" t="s">
        <v>7</v>
      </c>
      <c r="CW596" s="27" t="s">
        <v>8</v>
      </c>
      <c r="CX596" s="27" t="s">
        <v>7</v>
      </c>
      <c r="CY596" s="27" t="s">
        <v>8</v>
      </c>
      <c r="DB596" s="27" t="s">
        <v>7</v>
      </c>
      <c r="DD596" s="27" t="s">
        <v>7</v>
      </c>
      <c r="DE596" s="27" t="s">
        <v>8</v>
      </c>
      <c r="DF596" s="27" t="s">
        <v>7</v>
      </c>
      <c r="DG596" s="27" t="s">
        <v>8</v>
      </c>
      <c r="DY596" s="27" t="s">
        <v>8</v>
      </c>
      <c r="DZ596" s="27" t="s">
        <v>7</v>
      </c>
      <c r="EA596" s="27" t="s">
        <v>8</v>
      </c>
      <c r="EB596" s="27" t="s">
        <v>7</v>
      </c>
      <c r="EC596" s="27" t="s">
        <v>8</v>
      </c>
      <c r="ED596" s="27" t="s">
        <v>7</v>
      </c>
      <c r="EN596" s="27" t="s">
        <v>7</v>
      </c>
      <c r="EO596" s="27" t="s">
        <v>8</v>
      </c>
      <c r="EP596" s="27" t="s">
        <v>7</v>
      </c>
      <c r="FL596" s="27" t="s">
        <v>7</v>
      </c>
      <c r="FM596" s="27" t="s">
        <v>8</v>
      </c>
      <c r="FN596" s="27" t="s">
        <v>7</v>
      </c>
      <c r="FO596" s="27" t="s">
        <v>8</v>
      </c>
      <c r="FP596" s="27" t="s">
        <v>7</v>
      </c>
      <c r="FQ596" s="27" t="s">
        <v>8</v>
      </c>
      <c r="FR596" s="27" t="s">
        <v>7</v>
      </c>
      <c r="FT596" s="27" t="s">
        <v>7</v>
      </c>
      <c r="FU596" s="27" t="s">
        <v>8</v>
      </c>
    </row>
    <row r="597" spans="1:177" x14ac:dyDescent="0.25">
      <c r="A597" s="7">
        <v>0.82034829987515545</v>
      </c>
      <c r="B597"/>
      <c r="C597"/>
      <c r="D597"/>
      <c r="E597"/>
      <c r="CT597" s="27" t="s">
        <v>7</v>
      </c>
      <c r="CU597" s="27" t="s">
        <v>8</v>
      </c>
      <c r="CV597" s="27" t="s">
        <v>7</v>
      </c>
      <c r="CW597" s="27" t="s">
        <v>8</v>
      </c>
      <c r="CX597" s="27" t="s">
        <v>7</v>
      </c>
      <c r="CY597" s="27" t="s">
        <v>8</v>
      </c>
      <c r="DD597" s="27" t="s">
        <v>7</v>
      </c>
      <c r="DE597" s="27" t="s">
        <v>8</v>
      </c>
      <c r="DF597" s="27" t="s">
        <v>7</v>
      </c>
      <c r="DG597" s="27" t="s">
        <v>8</v>
      </c>
      <c r="DH597" s="27" t="s">
        <v>7</v>
      </c>
      <c r="DY597" s="27" t="s">
        <v>8</v>
      </c>
      <c r="DZ597" s="27" t="s">
        <v>7</v>
      </c>
      <c r="EA597" s="27" t="s">
        <v>8</v>
      </c>
      <c r="EB597" s="27" t="s">
        <v>7</v>
      </c>
      <c r="EC597" s="27" t="s">
        <v>8</v>
      </c>
      <c r="EN597" s="27" t="s">
        <v>7</v>
      </c>
      <c r="EO597" s="27" t="s">
        <v>8</v>
      </c>
      <c r="FL597" s="27" t="s">
        <v>7</v>
      </c>
      <c r="FM597" s="27" t="s">
        <v>8</v>
      </c>
      <c r="FN597" s="27" t="s">
        <v>7</v>
      </c>
      <c r="FO597" s="27" t="s">
        <v>8</v>
      </c>
      <c r="FP597" s="27" t="s">
        <v>7</v>
      </c>
      <c r="FQ597" s="27" t="s">
        <v>8</v>
      </c>
      <c r="FT597" s="27" t="s">
        <v>7</v>
      </c>
      <c r="FU597" s="27" t="s">
        <v>8</v>
      </c>
    </row>
    <row r="598" spans="1:177" x14ac:dyDescent="0.25">
      <c r="A598" s="7">
        <v>0.80426303909328967</v>
      </c>
      <c r="B598"/>
      <c r="C598"/>
      <c r="D598"/>
      <c r="E598"/>
      <c r="CT598" s="27" t="s">
        <v>7</v>
      </c>
      <c r="CU598" s="27" t="s">
        <v>8</v>
      </c>
      <c r="CV598" s="27" t="s">
        <v>7</v>
      </c>
      <c r="CX598" s="27" t="s">
        <v>7</v>
      </c>
      <c r="CY598" s="27" t="s">
        <v>8</v>
      </c>
      <c r="DD598" s="27" t="s">
        <v>7</v>
      </c>
      <c r="DE598" s="27" t="s">
        <v>8</v>
      </c>
      <c r="DF598" s="27" t="s">
        <v>7</v>
      </c>
      <c r="DG598" s="27" t="s">
        <v>8</v>
      </c>
      <c r="DH598" s="27" t="s">
        <v>7</v>
      </c>
      <c r="DI598" s="27" t="s">
        <v>8</v>
      </c>
      <c r="DK598" s="27" t="s">
        <v>8</v>
      </c>
      <c r="DY598" s="27" t="s">
        <v>8</v>
      </c>
      <c r="DZ598" s="27" t="s">
        <v>7</v>
      </c>
      <c r="EA598" s="27" t="s">
        <v>8</v>
      </c>
      <c r="EB598" s="27" t="s">
        <v>7</v>
      </c>
      <c r="EC598" s="27" t="s">
        <v>8</v>
      </c>
      <c r="EN598" s="27" t="s">
        <v>7</v>
      </c>
      <c r="FL598" s="27" t="s">
        <v>7</v>
      </c>
      <c r="FM598" s="27" t="s">
        <v>8</v>
      </c>
      <c r="FN598" s="27" t="s">
        <v>7</v>
      </c>
      <c r="FO598" s="27" t="s">
        <v>8</v>
      </c>
      <c r="FP598" s="27" t="s">
        <v>7</v>
      </c>
      <c r="FQ598" s="27" t="s">
        <v>8</v>
      </c>
      <c r="FT598" s="27" t="s">
        <v>7</v>
      </c>
      <c r="FU598" s="27" t="s">
        <v>8</v>
      </c>
    </row>
    <row r="599" spans="1:177" x14ac:dyDescent="0.25">
      <c r="A599" s="7">
        <v>0.78849317558165644</v>
      </c>
      <c r="B599"/>
      <c r="C599"/>
      <c r="D599"/>
      <c r="E599"/>
      <c r="CT599" s="27" t="s">
        <v>7</v>
      </c>
      <c r="CX599" s="27" t="s">
        <v>7</v>
      </c>
      <c r="DD599" s="27" t="s">
        <v>7</v>
      </c>
      <c r="DE599" s="27" t="s">
        <v>8</v>
      </c>
      <c r="DF599" s="27" t="s">
        <v>7</v>
      </c>
      <c r="DG599" s="27" t="s">
        <v>8</v>
      </c>
      <c r="DH599" s="27" t="s">
        <v>7</v>
      </c>
      <c r="DI599" s="27" t="s">
        <v>8</v>
      </c>
      <c r="DJ599" s="27" t="s">
        <v>7</v>
      </c>
      <c r="DK599" s="27" t="s">
        <v>8</v>
      </c>
      <c r="DL599" s="27" t="s">
        <v>7</v>
      </c>
      <c r="DY599" s="27" t="s">
        <v>8</v>
      </c>
      <c r="DZ599" s="27" t="s">
        <v>7</v>
      </c>
      <c r="EA599" s="27" t="s">
        <v>8</v>
      </c>
      <c r="EB599" s="27" t="s">
        <v>7</v>
      </c>
      <c r="FL599" s="27" t="s">
        <v>7</v>
      </c>
      <c r="FM599" s="27" t="s">
        <v>8</v>
      </c>
      <c r="FN599" s="27" t="s">
        <v>7</v>
      </c>
      <c r="FO599" s="27" t="s">
        <v>8</v>
      </c>
      <c r="FP599" s="27" t="s">
        <v>7</v>
      </c>
      <c r="FT599" s="27" t="s">
        <v>7</v>
      </c>
      <c r="FU599" s="27" t="s">
        <v>8</v>
      </c>
    </row>
    <row r="600" spans="1:177" x14ac:dyDescent="0.25">
      <c r="A600" s="7">
        <v>0.77303252508005538</v>
      </c>
      <c r="B600"/>
      <c r="C600"/>
      <c r="D600"/>
      <c r="E600"/>
      <c r="DD600" s="27" t="s">
        <v>7</v>
      </c>
      <c r="DE600" s="27" t="s">
        <v>8</v>
      </c>
      <c r="DF600" s="27" t="s">
        <v>7</v>
      </c>
      <c r="DH600" s="27" t="s">
        <v>7</v>
      </c>
      <c r="DI600" s="27" t="s">
        <v>8</v>
      </c>
      <c r="DJ600" s="27" t="s">
        <v>7</v>
      </c>
      <c r="DK600" s="27" t="s">
        <v>8</v>
      </c>
      <c r="DL600" s="27" t="s">
        <v>7</v>
      </c>
      <c r="DY600" s="27" t="s">
        <v>8</v>
      </c>
      <c r="DZ600" s="27" t="s">
        <v>7</v>
      </c>
      <c r="EA600" s="27" t="s">
        <v>8</v>
      </c>
      <c r="FL600" s="27" t="s">
        <v>7</v>
      </c>
      <c r="FM600" s="27" t="s">
        <v>8</v>
      </c>
      <c r="FN600" s="27" t="s">
        <v>7</v>
      </c>
      <c r="FO600" s="27" t="s">
        <v>8</v>
      </c>
      <c r="FT600" s="27" t="s">
        <v>7</v>
      </c>
    </row>
    <row r="601" spans="1:177" x14ac:dyDescent="0.25">
      <c r="A601" s="7">
        <v>0.75787502458828959</v>
      </c>
      <c r="B601"/>
      <c r="C601"/>
      <c r="D601"/>
      <c r="E601"/>
      <c r="DD601" s="27" t="s">
        <v>7</v>
      </c>
      <c r="DE601" s="27" t="s">
        <v>8</v>
      </c>
      <c r="DH601" s="27" t="s">
        <v>7</v>
      </c>
      <c r="DJ601" s="27" t="s">
        <v>7</v>
      </c>
      <c r="DL601" s="27" t="s">
        <v>7</v>
      </c>
      <c r="DY601" s="27" t="s">
        <v>8</v>
      </c>
      <c r="DZ601" s="27" t="s">
        <v>7</v>
      </c>
      <c r="EA601" s="27" t="s">
        <v>8</v>
      </c>
      <c r="FL601" s="27" t="s">
        <v>7</v>
      </c>
      <c r="FM601" s="27" t="s">
        <v>8</v>
      </c>
      <c r="FN601" s="27" t="s">
        <v>7</v>
      </c>
      <c r="FO601" s="27" t="s">
        <v>8</v>
      </c>
    </row>
    <row r="602" spans="1:177" x14ac:dyDescent="0.25">
      <c r="A602" s="7">
        <v>0.74301472998851925</v>
      </c>
      <c r="B602"/>
      <c r="C602"/>
      <c r="D602"/>
      <c r="E602"/>
      <c r="DD602" s="27" t="s">
        <v>7</v>
      </c>
      <c r="DE602" s="27" t="s">
        <v>8</v>
      </c>
      <c r="DL602" s="27" t="s">
        <v>7</v>
      </c>
      <c r="DY602" s="27" t="s">
        <v>8</v>
      </c>
      <c r="DZ602" s="27" t="s">
        <v>7</v>
      </c>
      <c r="FL602" s="27" t="s">
        <v>7</v>
      </c>
      <c r="FM602" s="27" t="s">
        <v>8</v>
      </c>
      <c r="FN602" s="27" t="s">
        <v>7</v>
      </c>
      <c r="FO602" s="27" t="s">
        <v>8</v>
      </c>
    </row>
    <row r="603" spans="1:177" x14ac:dyDescent="0.25">
      <c r="A603" s="7">
        <v>0.72844581371423456</v>
      </c>
      <c r="B603"/>
      <c r="C603"/>
      <c r="D603"/>
      <c r="E603"/>
      <c r="DD603" s="27" t="s">
        <v>7</v>
      </c>
      <c r="DE603" s="27" t="s">
        <v>8</v>
      </c>
      <c r="DL603" s="27" t="s">
        <v>7</v>
      </c>
      <c r="DY603" s="27" t="s">
        <v>8</v>
      </c>
      <c r="FL603" s="27" t="s">
        <v>7</v>
      </c>
      <c r="FM603" s="27" t="s">
        <v>8</v>
      </c>
      <c r="FN603" s="27" t="s">
        <v>7</v>
      </c>
      <c r="FO603" s="27" t="s">
        <v>8</v>
      </c>
    </row>
    <row r="604" spans="1:177" x14ac:dyDescent="0.25">
      <c r="A604" s="7">
        <v>0.71416256246493581</v>
      </c>
      <c r="B604"/>
      <c r="C604"/>
      <c r="D604"/>
      <c r="E604"/>
      <c r="DD604" s="27" t="s">
        <v>7</v>
      </c>
      <c r="DE604" s="27" t="s">
        <v>8</v>
      </c>
      <c r="DL604" s="27" t="s">
        <v>7</v>
      </c>
      <c r="DY604" s="27" t="s">
        <v>8</v>
      </c>
      <c r="FL604" s="27" t="s">
        <v>7</v>
      </c>
      <c r="FM604" s="27" t="s">
        <v>8</v>
      </c>
      <c r="FN604" s="27" t="s">
        <v>7</v>
      </c>
      <c r="FO604" s="27" t="s">
        <v>8</v>
      </c>
    </row>
    <row r="605" spans="1:177" x14ac:dyDescent="0.25">
      <c r="A605" s="7">
        <v>0.7001593749656233</v>
      </c>
      <c r="B605"/>
      <c r="C605"/>
      <c r="D605"/>
      <c r="E605"/>
      <c r="DD605" s="27" t="s">
        <v>7</v>
      </c>
      <c r="DL605" s="27" t="s">
        <v>7</v>
      </c>
      <c r="DY605" s="27" t="s">
        <v>8</v>
      </c>
      <c r="FL605" s="27" t="s">
        <v>7</v>
      </c>
      <c r="FM605" s="27" t="s">
        <v>8</v>
      </c>
      <c r="FN605" s="27" t="s">
        <v>7</v>
      </c>
      <c r="FO605" s="27" t="s">
        <v>8</v>
      </c>
    </row>
    <row r="606" spans="1:177" x14ac:dyDescent="0.25">
      <c r="A606" s="7">
        <v>0.68643075977021883</v>
      </c>
      <c r="B606"/>
      <c r="C606"/>
      <c r="D606"/>
      <c r="E606"/>
      <c r="DL606" s="27" t="s">
        <v>7</v>
      </c>
      <c r="DW606" s="27" t="s">
        <v>8</v>
      </c>
      <c r="DY606" s="27" t="s">
        <v>8</v>
      </c>
      <c r="FL606" s="27" t="s">
        <v>7</v>
      </c>
      <c r="FM606" s="27" t="s">
        <v>8</v>
      </c>
      <c r="FN606" s="27" t="s">
        <v>7</v>
      </c>
      <c r="FO606" s="27" t="s">
        <v>8</v>
      </c>
    </row>
    <row r="607" spans="1:177" x14ac:dyDescent="0.25">
      <c r="A607" s="7">
        <v>0.67297133310805768</v>
      </c>
      <c r="B607"/>
      <c r="C607"/>
      <c r="D607"/>
      <c r="E607"/>
      <c r="DL607" s="27" t="s">
        <v>7</v>
      </c>
      <c r="DW607" s="27" t="s">
        <v>8</v>
      </c>
      <c r="DX607" s="27" t="s">
        <v>7</v>
      </c>
      <c r="DY607" s="27" t="s">
        <v>8</v>
      </c>
      <c r="FL607" s="27" t="s">
        <v>7</v>
      </c>
      <c r="FM607" s="27" t="s">
        <v>8</v>
      </c>
      <c r="FN607" s="27" t="s">
        <v>7</v>
      </c>
      <c r="FO607" s="27" t="s">
        <v>8</v>
      </c>
    </row>
    <row r="608" spans="1:177" x14ac:dyDescent="0.25">
      <c r="A608" s="7">
        <v>0.65977581677260566</v>
      </c>
      <c r="B608"/>
      <c r="C608"/>
      <c r="D608"/>
      <c r="E608"/>
      <c r="DL608" s="27" t="s">
        <v>7</v>
      </c>
      <c r="DU608" s="27" t="s">
        <v>8</v>
      </c>
      <c r="DW608" s="27" t="s">
        <v>8</v>
      </c>
      <c r="DX608" s="27" t="s">
        <v>7</v>
      </c>
      <c r="DY608" s="27" t="s">
        <v>8</v>
      </c>
      <c r="FL608" s="27" t="s">
        <v>7</v>
      </c>
      <c r="FM608" s="27" t="s">
        <v>8</v>
      </c>
      <c r="FN608" s="27" t="s">
        <v>7</v>
      </c>
    </row>
    <row r="609" spans="1:169" x14ac:dyDescent="0.25">
      <c r="A609" s="7">
        <v>0.64683903605157422</v>
      </c>
      <c r="B609"/>
      <c r="C609"/>
      <c r="D609"/>
      <c r="E609"/>
      <c r="DL609" s="27" t="s">
        <v>7</v>
      </c>
      <c r="DU609" s="27" t="s">
        <v>8</v>
      </c>
      <c r="DV609" s="27" t="s">
        <v>7</v>
      </c>
      <c r="DW609" s="27" t="s">
        <v>8</v>
      </c>
      <c r="DX609" s="27" t="s">
        <v>7</v>
      </c>
      <c r="DY609" s="27" t="s">
        <v>8</v>
      </c>
      <c r="FL609" s="27" t="s">
        <v>7</v>
      </c>
      <c r="FM609" s="27" t="s">
        <v>8</v>
      </c>
    </row>
    <row r="610" spans="1:169" x14ac:dyDescent="0.25">
      <c r="A610" s="7">
        <v>0.63415591769762181</v>
      </c>
      <c r="B610"/>
      <c r="C610"/>
      <c r="D610"/>
      <c r="E610"/>
      <c r="DL610" s="27" t="s">
        <v>7</v>
      </c>
      <c r="DM610" s="27" t="s">
        <v>8</v>
      </c>
      <c r="DQ610" s="27" t="s">
        <v>8</v>
      </c>
      <c r="DU610" s="27" t="s">
        <v>8</v>
      </c>
      <c r="DV610" s="27" t="s">
        <v>7</v>
      </c>
      <c r="DW610" s="27" t="s">
        <v>8</v>
      </c>
      <c r="DX610" s="27" t="s">
        <v>7</v>
      </c>
      <c r="DY610" s="27" t="s">
        <v>8</v>
      </c>
      <c r="FL610" s="27" t="s">
        <v>7</v>
      </c>
      <c r="FM610" s="27" t="s">
        <v>8</v>
      </c>
    </row>
    <row r="611" spans="1:169" x14ac:dyDescent="0.25">
      <c r="A611" s="7">
        <v>0.62172148793884496</v>
      </c>
      <c r="B611"/>
      <c r="C611"/>
      <c r="D611"/>
      <c r="E611"/>
      <c r="DL611" s="27" t="s">
        <v>7</v>
      </c>
      <c r="DM611" s="27" t="s">
        <v>8</v>
      </c>
      <c r="DN611" s="27" t="s">
        <v>7</v>
      </c>
      <c r="DO611" s="27" t="s">
        <v>8</v>
      </c>
      <c r="DQ611" s="27" t="s">
        <v>8</v>
      </c>
      <c r="DR611" s="27" t="s">
        <v>7</v>
      </c>
      <c r="DU611" s="27" t="s">
        <v>8</v>
      </c>
      <c r="DV611" s="27" t="s">
        <v>7</v>
      </c>
      <c r="DW611" s="27" t="s">
        <v>8</v>
      </c>
      <c r="DX611" s="27" t="s">
        <v>7</v>
      </c>
      <c r="DY611" s="27" t="s">
        <v>8</v>
      </c>
      <c r="FL611" s="27" t="s">
        <v>7</v>
      </c>
      <c r="FM611" s="27" t="s">
        <v>8</v>
      </c>
    </row>
    <row r="612" spans="1:169" x14ac:dyDescent="0.25">
      <c r="A612" s="7">
        <v>0.60953087052827937</v>
      </c>
      <c r="B612"/>
      <c r="C612"/>
      <c r="D612"/>
      <c r="E612"/>
      <c r="DL612" s="27" t="s">
        <v>7</v>
      </c>
      <c r="DM612" s="27" t="s">
        <v>8</v>
      </c>
      <c r="DN612" s="27" t="s">
        <v>7</v>
      </c>
      <c r="DO612" s="27" t="s">
        <v>8</v>
      </c>
      <c r="DP612" s="27" t="s">
        <v>7</v>
      </c>
      <c r="DQ612" s="27" t="s">
        <v>8</v>
      </c>
      <c r="DR612" s="27" t="s">
        <v>7</v>
      </c>
      <c r="DU612" s="27" t="s">
        <v>8</v>
      </c>
      <c r="DV612" s="27" t="s">
        <v>7</v>
      </c>
      <c r="DW612" s="27" t="s">
        <v>8</v>
      </c>
      <c r="DX612" s="27" t="s">
        <v>7</v>
      </c>
      <c r="FL612" s="27" t="s">
        <v>7</v>
      </c>
      <c r="FM612" s="27" t="s">
        <v>8</v>
      </c>
    </row>
    <row r="613" spans="1:169" x14ac:dyDescent="0.25">
      <c r="A613" s="7">
        <v>0.59757928483164646</v>
      </c>
      <c r="B613"/>
      <c r="C613"/>
      <c r="D613"/>
      <c r="E613"/>
      <c r="DL613" s="27" t="s">
        <v>7</v>
      </c>
      <c r="DM613" s="27" t="s">
        <v>8</v>
      </c>
      <c r="DN613" s="27" t="s">
        <v>7</v>
      </c>
      <c r="DO613" s="27" t="s">
        <v>8</v>
      </c>
      <c r="DP613" s="27" t="s">
        <v>7</v>
      </c>
      <c r="DQ613" s="27" t="s">
        <v>8</v>
      </c>
      <c r="DR613" s="27" t="s">
        <v>7</v>
      </c>
      <c r="DS613" s="27" t="s">
        <v>8</v>
      </c>
      <c r="DU613" s="27" t="s">
        <v>8</v>
      </c>
      <c r="DV613" s="27" t="s">
        <v>7</v>
      </c>
      <c r="DW613" s="27" t="s">
        <v>8</v>
      </c>
      <c r="FL613" s="27" t="s">
        <v>7</v>
      </c>
      <c r="FM613" s="27" t="s">
        <v>8</v>
      </c>
    </row>
    <row r="614" spans="1:169" x14ac:dyDescent="0.25">
      <c r="A614" s="7">
        <v>0.58586204395259456</v>
      </c>
      <c r="B614"/>
      <c r="C614"/>
      <c r="D614"/>
      <c r="E614"/>
      <c r="DL614" s="27" t="s">
        <v>7</v>
      </c>
      <c r="DN614" s="27" t="s">
        <v>7</v>
      </c>
      <c r="DO614" s="27" t="s">
        <v>8</v>
      </c>
      <c r="DP614" s="27" t="s">
        <v>7</v>
      </c>
      <c r="DQ614" s="27" t="s">
        <v>8</v>
      </c>
      <c r="DR614" s="27" t="s">
        <v>7</v>
      </c>
      <c r="DS614" s="27" t="s">
        <v>8</v>
      </c>
      <c r="DT614" s="27" t="s">
        <v>7</v>
      </c>
      <c r="DU614" s="27" t="s">
        <v>8</v>
      </c>
      <c r="DV614" s="27" t="s">
        <v>7</v>
      </c>
      <c r="DW614" s="27" t="s">
        <v>8</v>
      </c>
      <c r="FL614" s="27" t="s">
        <v>7</v>
      </c>
      <c r="FM614" s="27" t="s">
        <v>8</v>
      </c>
    </row>
    <row r="615" spans="1:169" x14ac:dyDescent="0.25">
      <c r="A615" s="7">
        <v>0.57437455289470052</v>
      </c>
      <c r="B615"/>
      <c r="C615"/>
      <c r="D615"/>
      <c r="E615"/>
      <c r="DN615" s="27" t="s">
        <v>7</v>
      </c>
      <c r="DO615" s="27" t="s">
        <v>8</v>
      </c>
      <c r="DP615" s="27" t="s">
        <v>7</v>
      </c>
      <c r="DQ615" s="27" t="s">
        <v>8</v>
      </c>
      <c r="DR615" s="27" t="s">
        <v>7</v>
      </c>
      <c r="DS615" s="27" t="s">
        <v>8</v>
      </c>
      <c r="DT615" s="27" t="s">
        <v>7</v>
      </c>
      <c r="DU615" s="27" t="s">
        <v>8</v>
      </c>
      <c r="DV615" s="27" t="s">
        <v>7</v>
      </c>
      <c r="FL615" s="27" t="s">
        <v>7</v>
      </c>
      <c r="FM615" s="27" t="s">
        <v>8</v>
      </c>
    </row>
    <row r="616" spans="1:169" x14ac:dyDescent="0.25">
      <c r="A616" s="7">
        <v>0.56311230675951029</v>
      </c>
      <c r="B616"/>
      <c r="C616"/>
      <c r="D616"/>
      <c r="E616"/>
      <c r="DN616" s="27" t="s">
        <v>7</v>
      </c>
      <c r="DO616" s="27" t="s">
        <v>8</v>
      </c>
      <c r="DP616" s="27" t="s">
        <v>7</v>
      </c>
      <c r="DQ616" s="27" t="s">
        <v>8</v>
      </c>
      <c r="DR616" s="27" t="s">
        <v>7</v>
      </c>
      <c r="DS616" s="27" t="s">
        <v>8</v>
      </c>
      <c r="DT616" s="27" t="s">
        <v>7</v>
      </c>
      <c r="DU616" s="27" t="s">
        <v>8</v>
      </c>
      <c r="FL616" s="27" t="s">
        <v>7</v>
      </c>
      <c r="FM616" s="27" t="s">
        <v>8</v>
      </c>
    </row>
    <row r="617" spans="1:169" x14ac:dyDescent="0.25">
      <c r="A617" s="7">
        <v>0.55207088897991208</v>
      </c>
      <c r="B617"/>
      <c r="C617"/>
      <c r="D617"/>
      <c r="E617"/>
      <c r="DN617" s="27" t="s">
        <v>7</v>
      </c>
      <c r="DO617" s="27" t="s">
        <v>8</v>
      </c>
      <c r="DP617" s="27" t="s">
        <v>7</v>
      </c>
      <c r="DQ617" s="27" t="s">
        <v>8</v>
      </c>
      <c r="DR617" s="27" t="s">
        <v>7</v>
      </c>
      <c r="DT617" s="27" t="s">
        <v>7</v>
      </c>
      <c r="DU617" s="27" t="s">
        <v>8</v>
      </c>
      <c r="FL617" s="27" t="s">
        <v>7</v>
      </c>
    </row>
    <row r="618" spans="1:169" x14ac:dyDescent="0.25">
      <c r="A618" s="7">
        <v>0.54124596958814908</v>
      </c>
      <c r="B618"/>
      <c r="C618"/>
      <c r="D618"/>
      <c r="E618"/>
      <c r="DN618" s="27" t="s">
        <v>7</v>
      </c>
      <c r="DO618" s="27" t="s">
        <v>8</v>
      </c>
      <c r="DP618" s="27" t="s">
        <v>7</v>
      </c>
      <c r="DQ618" s="27" t="s">
        <v>8</v>
      </c>
      <c r="DT618" s="27" t="s">
        <v>7</v>
      </c>
      <c r="DU618" s="27" t="s">
        <v>8</v>
      </c>
    </row>
    <row r="619" spans="1:169" x14ac:dyDescent="0.25">
      <c r="A619" s="7">
        <v>0.53063330351779314</v>
      </c>
      <c r="B619"/>
      <c r="C619"/>
      <c r="D619"/>
      <c r="E619"/>
      <c r="DN619" s="27" t="s">
        <v>7</v>
      </c>
      <c r="DP619" s="27" t="s">
        <v>7</v>
      </c>
      <c r="DQ619" s="27" t="s">
        <v>8</v>
      </c>
      <c r="DT619" s="27" t="s">
        <v>7</v>
      </c>
      <c r="DU619" s="27" t="s">
        <v>8</v>
      </c>
    </row>
    <row r="620" spans="1:169" x14ac:dyDescent="0.25">
      <c r="A620" s="7">
        <v>0.52022872893901284</v>
      </c>
      <c r="B620"/>
      <c r="C620"/>
      <c r="D620"/>
      <c r="E620"/>
      <c r="DP620" s="27" t="s">
        <v>7</v>
      </c>
      <c r="DQ620" s="27" t="s">
        <v>8</v>
      </c>
      <c r="DT620" s="27" t="s">
        <v>7</v>
      </c>
    </row>
    <row r="621" spans="1:169" x14ac:dyDescent="0.25">
      <c r="A621" s="7">
        <v>0.51002816562648323</v>
      </c>
      <c r="B621"/>
      <c r="C621"/>
      <c r="D621"/>
      <c r="E621"/>
      <c r="DP621" s="27" t="s">
        <v>7</v>
      </c>
      <c r="DQ621" s="27" t="s">
        <v>8</v>
      </c>
    </row>
    <row r="622" spans="1:169" x14ac:dyDescent="0.25">
      <c r="A622" s="7">
        <v>0.50002761335929735</v>
      </c>
      <c r="B622"/>
      <c r="C622"/>
      <c r="D622"/>
      <c r="E622"/>
      <c r="DP622" s="27" t="s">
        <v>7</v>
      </c>
      <c r="DQ622" s="27" t="s">
        <v>8</v>
      </c>
    </row>
    <row r="623" spans="1:169" x14ac:dyDescent="0.25">
      <c r="A623" s="7">
        <v>0.49022315035225228</v>
      </c>
      <c r="B623"/>
      <c r="C623"/>
      <c r="D623"/>
      <c r="E623"/>
      <c r="DP623" s="27" t="s">
        <v>7</v>
      </c>
      <c r="DQ623" s="27" t="s">
        <v>8</v>
      </c>
    </row>
    <row r="624" spans="1:169" x14ac:dyDescent="0.25">
      <c r="A624" s="7">
        <v>0.48061093171789437</v>
      </c>
      <c r="B624"/>
      <c r="C624"/>
      <c r="D624"/>
      <c r="E624"/>
      <c r="DP624" s="27" t="s">
        <v>7</v>
      </c>
      <c r="DQ624" s="27" t="s">
        <v>8</v>
      </c>
    </row>
    <row r="625" spans="1:121" x14ac:dyDescent="0.25">
      <c r="A625" s="7">
        <v>0.47118718795871994</v>
      </c>
      <c r="B625"/>
      <c r="C625"/>
      <c r="D625"/>
      <c r="E625"/>
      <c r="DP625" s="27" t="s">
        <v>7</v>
      </c>
      <c r="DQ625" s="27" t="s">
        <v>8</v>
      </c>
    </row>
    <row r="626" spans="1:121" x14ac:dyDescent="0.25">
      <c r="A626" s="7">
        <v>0.46194822348894116</v>
      </c>
      <c r="B626"/>
      <c r="C626"/>
      <c r="D626"/>
      <c r="E626"/>
      <c r="DP626" s="27" t="s">
        <v>7</v>
      </c>
      <c r="DQ626" s="27" t="s">
        <v>8</v>
      </c>
    </row>
    <row r="627" spans="1:121" x14ac:dyDescent="0.25">
      <c r="A627" s="7">
        <v>0.45289041518523643</v>
      </c>
      <c r="B627"/>
      <c r="C627"/>
      <c r="D627"/>
      <c r="E627"/>
      <c r="DP627" s="27" t="s">
        <v>7</v>
      </c>
      <c r="DQ627" s="27" t="s">
        <v>8</v>
      </c>
    </row>
    <row r="628" spans="1:121" x14ac:dyDescent="0.25">
      <c r="A628" s="7">
        <v>0.44401021096591808</v>
      </c>
      <c r="B628"/>
      <c r="C628"/>
      <c r="D628"/>
      <c r="E628"/>
      <c r="DP628" s="27" t="s">
        <v>7</v>
      </c>
      <c r="DQ628" s="27" t="s">
        <v>8</v>
      </c>
    </row>
    <row r="629" spans="1:121" x14ac:dyDescent="0.25">
      <c r="A629" s="7">
        <v>0.4353041283979589</v>
      </c>
      <c r="B629"/>
      <c r="C629"/>
      <c r="D629"/>
      <c r="E629"/>
      <c r="DP629" s="27" t="s">
        <v>7</v>
      </c>
      <c r="DQ629" s="27" t="s">
        <v>8</v>
      </c>
    </row>
    <row r="630" spans="1:121" x14ac:dyDescent="0.25">
      <c r="A630" s="7">
        <v>0.4267687533313323</v>
      </c>
      <c r="B630"/>
      <c r="C630"/>
      <c r="D630"/>
      <c r="E630"/>
      <c r="DP630" s="27" t="s">
        <v>7</v>
      </c>
      <c r="DQ630" s="27" t="s">
        <v>8</v>
      </c>
    </row>
    <row r="631" spans="1:121" x14ac:dyDescent="0.25">
      <c r="A631" s="7">
        <v>0.41840073856012971</v>
      </c>
      <c r="B631"/>
      <c r="C631"/>
      <c r="D631"/>
      <c r="E631"/>
      <c r="DP631" s="27" t="s">
        <v>7</v>
      </c>
      <c r="DQ631" s="27" t="s">
        <v>8</v>
      </c>
    </row>
    <row r="632" spans="1:121" x14ac:dyDescent="0.25">
      <c r="A632" s="7">
        <v>0.41019680250993112</v>
      </c>
      <c r="B632"/>
      <c r="C632"/>
      <c r="D632"/>
      <c r="E632"/>
      <c r="DP632" s="27" t="s">
        <v>7</v>
      </c>
      <c r="DQ632" s="27" t="s">
        <v>8</v>
      </c>
    </row>
    <row r="633" spans="1:121" x14ac:dyDescent="0.25">
      <c r="A633" s="7">
        <v>0.40215372795091286</v>
      </c>
      <c r="B633"/>
      <c r="C633"/>
      <c r="D633"/>
      <c r="E633"/>
      <c r="DP633" s="27" t="s">
        <v>7</v>
      </c>
      <c r="DQ633" s="27" t="s">
        <v>8</v>
      </c>
    </row>
    <row r="634" spans="1:121" x14ac:dyDescent="0.25">
      <c r="A634" s="7">
        <v>0.39426836073618904</v>
      </c>
      <c r="B634"/>
      <c r="C634"/>
      <c r="D634"/>
      <c r="E634"/>
      <c r="DP634" s="27" t="s">
        <v>7</v>
      </c>
      <c r="DQ634" s="27" t="s">
        <v>8</v>
      </c>
    </row>
    <row r="635" spans="1:121" x14ac:dyDescent="0.25">
      <c r="A635" s="7">
        <v>0.38653760856489122</v>
      </c>
      <c r="B635"/>
      <c r="C635"/>
      <c r="D635"/>
      <c r="E635"/>
      <c r="DP635" s="27" t="s">
        <v>7</v>
      </c>
      <c r="DQ635" s="27" t="s">
        <v>8</v>
      </c>
    </row>
    <row r="636" spans="1:121" x14ac:dyDescent="0.25">
      <c r="A636" s="7">
        <v>0.37895843976950117</v>
      </c>
      <c r="B636"/>
      <c r="C636"/>
      <c r="D636"/>
      <c r="E636"/>
      <c r="DP636" s="27" t="s">
        <v>7</v>
      </c>
      <c r="DQ636" s="27" t="s">
        <v>8</v>
      </c>
    </row>
    <row r="637" spans="1:121" x14ac:dyDescent="0.25">
      <c r="A637" s="7">
        <v>0.37152788212696197</v>
      </c>
      <c r="B637"/>
      <c r="C637"/>
      <c r="D637"/>
      <c r="E637"/>
      <c r="DP637" s="27" t="s">
        <v>7</v>
      </c>
      <c r="DQ637" s="27" t="s">
        <v>8</v>
      </c>
    </row>
    <row r="638" spans="1:121" x14ac:dyDescent="0.25">
      <c r="A638" s="7">
        <v>0.36424302169310002</v>
      </c>
      <c r="B638"/>
      <c r="C638"/>
      <c r="D638"/>
      <c r="E638"/>
      <c r="DP638" s="27" t="s">
        <v>7</v>
      </c>
      <c r="DQ638" s="27" t="s">
        <v>8</v>
      </c>
    </row>
    <row r="639" spans="1:121" x14ac:dyDescent="0.25">
      <c r="A639" s="7">
        <v>0.35710100165990194</v>
      </c>
      <c r="B639"/>
      <c r="C639"/>
      <c r="D639"/>
      <c r="E639"/>
      <c r="DP639" s="27" t="s">
        <v>7</v>
      </c>
      <c r="DQ639" s="27" t="s">
        <v>8</v>
      </c>
    </row>
    <row r="640" spans="1:121" x14ac:dyDescent="0.25">
      <c r="A640" s="7">
        <v>0.35009902123519804</v>
      </c>
      <c r="B640"/>
      <c r="C640"/>
      <c r="D640"/>
      <c r="E640"/>
      <c r="DP640" s="27" t="s">
        <v>7</v>
      </c>
      <c r="DQ640" s="27" t="s">
        <v>8</v>
      </c>
    </row>
    <row r="641" spans="1:121" x14ac:dyDescent="0.25">
      <c r="A641" s="7">
        <v>0.34323433454431179</v>
      </c>
      <c r="B641"/>
      <c r="C641"/>
      <c r="D641"/>
      <c r="E641"/>
      <c r="DP641" s="27" t="s">
        <v>7</v>
      </c>
      <c r="DQ641" s="27" t="s">
        <v>8</v>
      </c>
    </row>
    <row r="642" spans="1:121" x14ac:dyDescent="0.25">
      <c r="A642" s="7">
        <v>0.33650424955324681</v>
      </c>
      <c r="B642"/>
      <c r="C642"/>
      <c r="D642"/>
      <c r="E642"/>
      <c r="DP642" s="27" t="s">
        <v>7</v>
      </c>
      <c r="DQ642" s="27" t="s">
        <v>8</v>
      </c>
    </row>
    <row r="643" spans="1:121" x14ac:dyDescent="0.25">
      <c r="A643" s="7">
        <v>0.3299061270129871</v>
      </c>
      <c r="B643"/>
      <c r="C643"/>
      <c r="D643"/>
      <c r="E643"/>
      <c r="DP643" s="27" t="s">
        <v>7</v>
      </c>
      <c r="DQ643" s="27" t="s">
        <v>8</v>
      </c>
    </row>
    <row r="644" spans="1:121" x14ac:dyDescent="0.25">
      <c r="A644" s="7">
        <v>0.32343737942449713</v>
      </c>
      <c r="B644"/>
      <c r="C644"/>
      <c r="D644"/>
      <c r="E644"/>
      <c r="DP644" s="27" t="s">
        <v>7</v>
      </c>
      <c r="DQ644" s="27" t="s">
        <v>8</v>
      </c>
    </row>
    <row r="645" spans="1:121" x14ac:dyDescent="0.25">
      <c r="A645" s="7">
        <v>0.31709547002401678</v>
      </c>
      <c r="B645"/>
      <c r="C645"/>
      <c r="D645"/>
      <c r="E645"/>
      <c r="DP645" s="27" t="s">
        <v>7</v>
      </c>
      <c r="DQ645" s="27" t="s">
        <v>8</v>
      </c>
    </row>
    <row r="646" spans="1:121" x14ac:dyDescent="0.25">
      <c r="A646" s="7">
        <v>0.31087791178825175</v>
      </c>
      <c r="B646"/>
      <c r="C646"/>
      <c r="D646"/>
      <c r="E646"/>
      <c r="DP646" s="27" t="s">
        <v>7</v>
      </c>
      <c r="DQ646" s="27" t="s">
        <v>8</v>
      </c>
    </row>
    <row r="647" spans="1:121" x14ac:dyDescent="0.25">
      <c r="A647" s="7">
        <v>0.30478226645907036</v>
      </c>
      <c r="B647"/>
      <c r="C647"/>
      <c r="D647"/>
      <c r="E647"/>
      <c r="DP647" s="27" t="s">
        <v>7</v>
      </c>
      <c r="DQ647" s="27" t="s">
        <v>8</v>
      </c>
    </row>
    <row r="648" spans="1:121" x14ac:dyDescent="0.25">
      <c r="A648" s="7">
        <v>0.29880614358732388</v>
      </c>
      <c r="B648"/>
      <c r="C648"/>
      <c r="D648"/>
      <c r="E648"/>
      <c r="DP648" s="27" t="s">
        <v>7</v>
      </c>
      <c r="DQ648" s="27" t="s">
        <v>8</v>
      </c>
    </row>
    <row r="649" spans="1:121" x14ac:dyDescent="0.25">
      <c r="A649" s="7">
        <v>0.2929471995954156</v>
      </c>
      <c r="B649"/>
      <c r="C649"/>
      <c r="D649"/>
      <c r="E649"/>
      <c r="DP649" s="27" t="s">
        <v>7</v>
      </c>
      <c r="DQ649" s="27" t="s">
        <v>8</v>
      </c>
    </row>
    <row r="650" spans="1:121" x14ac:dyDescent="0.25">
      <c r="A650" s="7">
        <v>0.28720313685825055</v>
      </c>
      <c r="B650"/>
      <c r="C650"/>
      <c r="D650"/>
      <c r="E650"/>
      <c r="DP650" s="27" t="s">
        <v>7</v>
      </c>
      <c r="DQ650" s="27" t="s">
        <v>8</v>
      </c>
    </row>
    <row r="651" spans="1:121" x14ac:dyDescent="0.25">
      <c r="A651" s="7">
        <v>0.28157170280220645</v>
      </c>
      <c r="B651"/>
      <c r="C651"/>
      <c r="D651"/>
      <c r="E651"/>
      <c r="DP651" s="27" t="s">
        <v>7</v>
      </c>
      <c r="DQ651" s="27" t="s">
        <v>8</v>
      </c>
    </row>
    <row r="652" spans="1:121" x14ac:dyDescent="0.25">
      <c r="A652" s="7">
        <v>0.27605068902177105</v>
      </c>
      <c r="B652"/>
      <c r="C652"/>
      <c r="D652"/>
      <c r="E652"/>
      <c r="DP652" s="27" t="s">
        <v>7</v>
      </c>
      <c r="DQ652" s="27" t="s">
        <v>8</v>
      </c>
    </row>
    <row r="653" spans="1:121" x14ac:dyDescent="0.25">
      <c r="A653" s="7">
        <v>0.27063793041350104</v>
      </c>
      <c r="B653"/>
      <c r="C653"/>
      <c r="D653"/>
      <c r="E653"/>
      <c r="DP653" s="27" t="s">
        <v>7</v>
      </c>
      <c r="DQ653" s="27" t="s">
        <v>8</v>
      </c>
    </row>
    <row r="654" spans="1:121" x14ac:dyDescent="0.25">
      <c r="A654" s="7">
        <v>0.26533130432696184</v>
      </c>
      <c r="B654"/>
      <c r="C654"/>
      <c r="D654"/>
      <c r="E654"/>
      <c r="DP654" s="27" t="s">
        <v>7</v>
      </c>
      <c r="DQ654" s="27" t="s">
        <v>8</v>
      </c>
    </row>
    <row r="655" spans="1:121" x14ac:dyDescent="0.25">
      <c r="A655" s="7">
        <v>0.26012872973231554</v>
      </c>
      <c r="B655"/>
      <c r="C655"/>
      <c r="D655"/>
      <c r="E655"/>
      <c r="DP655" s="27" t="s">
        <v>7</v>
      </c>
    </row>
    <row r="656" spans="1:121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11" operator="equal">
      <formula>$U$1</formula>
    </cfRule>
    <cfRule type="cellIs" dxfId="89" priority="1512" operator="equal">
      <formula>$S$1</formula>
    </cfRule>
  </conditionalFormatting>
  <conditionalFormatting sqref="D27">
    <cfRule type="cellIs" dxfId="88" priority="1509" operator="equal">
      <formula>$S$1</formula>
    </cfRule>
    <cfRule type="cellIs" dxfId="87" priority="1510" operator="equal">
      <formula>$U$1</formula>
    </cfRule>
  </conditionalFormatting>
  <conditionalFormatting sqref="C164">
    <cfRule type="cellIs" dxfId="86" priority="1507" operator="equal">
      <formula>$U$1</formula>
    </cfRule>
    <cfRule type="cellIs" dxfId="85" priority="1508" operator="equal">
      <formula>$S$1</formula>
    </cfRule>
  </conditionalFormatting>
  <conditionalFormatting sqref="D164">
    <cfRule type="cellIs" dxfId="84" priority="1505" operator="equal">
      <formula>$S$1</formula>
    </cfRule>
    <cfRule type="cellIs" dxfId="83" priority="1506" operator="equal">
      <formula>$U$1</formula>
    </cfRule>
  </conditionalFormatting>
  <conditionalFormatting sqref="C55">
    <cfRule type="cellIs" dxfId="82" priority="1503" operator="equal">
      <formula>$U$1</formula>
    </cfRule>
    <cfRule type="cellIs" dxfId="81" priority="1504" operator="equal">
      <formula>$S$1</formula>
    </cfRule>
  </conditionalFormatting>
  <conditionalFormatting sqref="D55">
    <cfRule type="cellIs" dxfId="80" priority="1501" operator="equal">
      <formula>$S$1</formula>
    </cfRule>
    <cfRule type="cellIs" dxfId="79" priority="1502" operator="equal">
      <formula>$U$1</formula>
    </cfRule>
  </conditionalFormatting>
  <conditionalFormatting sqref="C89">
    <cfRule type="cellIs" dxfId="78" priority="1499" operator="equal">
      <formula>$U$1</formula>
    </cfRule>
    <cfRule type="cellIs" dxfId="77" priority="1500" operator="equal">
      <formula>$S$1</formula>
    </cfRule>
  </conditionalFormatting>
  <conditionalFormatting sqref="D89">
    <cfRule type="cellIs" dxfId="76" priority="1497" operator="equal">
      <formula>$S$1</formula>
    </cfRule>
    <cfRule type="cellIs" dxfId="75" priority="1498" operator="equal">
      <formula>$U$1</formula>
    </cfRule>
  </conditionalFormatting>
  <conditionalFormatting sqref="C136">
    <cfRule type="cellIs" dxfId="74" priority="1495" operator="equal">
      <formula>$U$1</formula>
    </cfRule>
    <cfRule type="cellIs" dxfId="73" priority="1496" operator="equal">
      <formula>$S$1</formula>
    </cfRule>
  </conditionalFormatting>
  <conditionalFormatting sqref="D136">
    <cfRule type="cellIs" dxfId="72" priority="1493" operator="equal">
      <formula>$S$1</formula>
    </cfRule>
    <cfRule type="cellIs" dxfId="71" priority="1494" operator="equal">
      <formula>$U$1</formula>
    </cfRule>
  </conditionalFormatting>
  <conditionalFormatting sqref="C1">
    <cfRule type="cellIs" dxfId="70" priority="149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57" zoomScale="90" zoomScaleNormal="90" workbookViewId="0">
      <pane xSplit="4" topLeftCell="EC1" activePane="topRight" state="frozen"/>
      <selection activeCell="A109" sqref="A109"/>
      <selection pane="topRight" activeCell="GH193" sqref="GH19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$A$192</v>
      </c>
      <c r="D111" s="1" t="str">
        <f>ADDRESS(C121-1,D121,1,1)</f>
        <v>$GH$192</v>
      </c>
      <c r="E111"/>
    </row>
    <row r="112" spans="1:5" x14ac:dyDescent="0.25">
      <c r="A112" s="30">
        <v>515.50191262726139</v>
      </c>
      <c r="C112" s="1" t="str">
        <f>ADDRESS(C121,1,1,1)</f>
        <v>$A$193</v>
      </c>
      <c r="D112" s="1" t="str">
        <f>ADDRESS(C121,D121-1,1,1)</f>
        <v>$GG$193</v>
      </c>
      <c r="E112"/>
    </row>
    <row r="113" spans="1:5" x14ac:dyDescent="0.25">
      <c r="A113" s="30">
        <v>490.95420250215363</v>
      </c>
      <c r="C113" s="1" t="str">
        <f>ADDRESS(C121+1,1,1,1)</f>
        <v>$A$194</v>
      </c>
      <c r="D113" s="1" t="str">
        <f>ADDRESS(C121-1,D121+1,1,1)</f>
        <v>$GI$192</v>
      </c>
    </row>
    <row r="114" spans="1:5" x14ac:dyDescent="0.25">
      <c r="A114" s="30">
        <v>467.57543095443202</v>
      </c>
      <c r="C114" s="1" t="str">
        <f>ADDRESS(C121,D121,1,1)</f>
        <v>$GH$193</v>
      </c>
      <c r="D114" s="1" t="str">
        <f>ADDRESS(C121+1,D121+1,1,1)</f>
        <v>$GI$194</v>
      </c>
    </row>
    <row r="115" spans="1:5" x14ac:dyDescent="0.25">
      <c r="A115" s="30">
        <v>445.30993424231622</v>
      </c>
      <c r="C115" s="1" t="str">
        <f>ADDRESS(C121+1,D121,1,1)</f>
        <v>$GH$194</v>
      </c>
    </row>
    <row r="116" spans="1:5" x14ac:dyDescent="0.25">
      <c r="A116" s="30">
        <v>424.10469927839637</v>
      </c>
      <c r="C116" s="1">
        <f>C117-1</f>
        <v>192</v>
      </c>
    </row>
    <row r="117" spans="1:5" x14ac:dyDescent="0.25">
      <c r="A117" s="30">
        <v>403.9092374079965</v>
      </c>
      <c r="C117" s="1">
        <f>C121</f>
        <v>193</v>
      </c>
      <c r="D117" s="1">
        <f>D121</f>
        <v>190</v>
      </c>
    </row>
    <row r="118" spans="1:5" x14ac:dyDescent="0.25">
      <c r="A118" s="30">
        <v>384.6754641980919</v>
      </c>
      <c r="C118" s="1">
        <f>C117+1</f>
        <v>194</v>
      </c>
      <c r="D118" s="1">
        <f>D117+1</f>
        <v>191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193</v>
      </c>
      <c r="D121" s="19">
        <v>190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R193</v>
      </c>
      <c r="D123" s="1" t="str">
        <f>"C"&amp;D121</f>
        <v>C190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9.9059710923258422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181" x14ac:dyDescent="0.25">
      <c r="A161" s="30">
        <v>47.201372444612005</v>
      </c>
      <c r="E161"/>
    </row>
    <row r="162" spans="1:181" x14ac:dyDescent="0.25">
      <c r="A162" s="30">
        <v>44.95368804248762</v>
      </c>
      <c r="E162"/>
    </row>
    <row r="163" spans="1:181" x14ac:dyDescent="0.25">
      <c r="A163" s="30">
        <v>42.81303623094059</v>
      </c>
      <c r="E163"/>
    </row>
    <row r="164" spans="1:181" x14ac:dyDescent="0.25">
      <c r="A164" s="30">
        <v>40.774320219943419</v>
      </c>
      <c r="E164"/>
      <c r="EK164" s="27" t="s">
        <v>8</v>
      </c>
    </row>
    <row r="165" spans="1:181" x14ac:dyDescent="0.25">
      <c r="A165" s="30">
        <v>38.832685923755633</v>
      </c>
      <c r="E165"/>
      <c r="EK165" s="27" t="s">
        <v>8</v>
      </c>
      <c r="EL165" s="27" t="s">
        <v>7</v>
      </c>
    </row>
    <row r="166" spans="1:181" x14ac:dyDescent="0.25">
      <c r="A166" s="30">
        <v>36.983510403576794</v>
      </c>
      <c r="E166"/>
      <c r="EK166" s="27" t="s">
        <v>8</v>
      </c>
      <c r="EL166" s="27" t="s">
        <v>7</v>
      </c>
      <c r="EM166" s="27" t="s">
        <v>8</v>
      </c>
    </row>
    <row r="167" spans="1:181" x14ac:dyDescent="0.25">
      <c r="A167" s="30">
        <v>35.222390860549325</v>
      </c>
      <c r="E167"/>
      <c r="EK167" s="27" t="s">
        <v>8</v>
      </c>
      <c r="EL167" s="27" t="s">
        <v>7</v>
      </c>
      <c r="EM167" s="27" t="s">
        <v>8</v>
      </c>
      <c r="EN167" s="27" t="s">
        <v>7</v>
      </c>
      <c r="EO167" s="31" t="s">
        <v>8</v>
      </c>
    </row>
    <row r="168" spans="1:181" x14ac:dyDescent="0.25">
      <c r="A168" s="30">
        <v>33.545134152904119</v>
      </c>
      <c r="E168"/>
      <c r="EK168" s="27" t="s">
        <v>8</v>
      </c>
      <c r="EL168" s="27" t="s">
        <v>7</v>
      </c>
      <c r="EM168" s="27" t="s">
        <v>8</v>
      </c>
      <c r="EN168" s="27" t="s">
        <v>7</v>
      </c>
      <c r="EO168" s="27" t="s">
        <v>8</v>
      </c>
      <c r="EP168" s="31" t="s">
        <v>7</v>
      </c>
      <c r="FK168" s="27" t="s">
        <v>8</v>
      </c>
      <c r="FM168" s="27" t="s">
        <v>8</v>
      </c>
      <c r="FO168" s="27" t="s">
        <v>8</v>
      </c>
      <c r="FS168" s="27" t="s">
        <v>8</v>
      </c>
    </row>
    <row r="169" spans="1:181" x14ac:dyDescent="0.25">
      <c r="A169" s="30">
        <v>31.947746812289637</v>
      </c>
      <c r="E169"/>
      <c r="EK169" s="27" t="s">
        <v>8</v>
      </c>
      <c r="EL169" s="27" t="s">
        <v>7</v>
      </c>
      <c r="EM169" s="27" t="s">
        <v>8</v>
      </c>
      <c r="EN169" s="27" t="s">
        <v>7</v>
      </c>
      <c r="EO169" s="27" t="s">
        <v>8</v>
      </c>
      <c r="EP169" s="27" t="s">
        <v>7</v>
      </c>
      <c r="EQ169" s="31"/>
      <c r="FK169" s="27" t="s">
        <v>8</v>
      </c>
      <c r="FL169" s="27" t="s">
        <v>7</v>
      </c>
      <c r="FM169" s="27" t="s">
        <v>8</v>
      </c>
      <c r="FN169" s="27" t="s">
        <v>7</v>
      </c>
      <c r="FO169" s="27" t="s">
        <v>8</v>
      </c>
      <c r="FP169" s="27" t="s">
        <v>7</v>
      </c>
      <c r="FS169" s="27" t="s">
        <v>8</v>
      </c>
      <c r="FT169" s="27" t="s">
        <v>7</v>
      </c>
    </row>
    <row r="170" spans="1:181" x14ac:dyDescent="0.25">
      <c r="A170" s="30">
        <v>30.426425535513939</v>
      </c>
      <c r="E170"/>
      <c r="EK170" s="27" t="s">
        <v>8</v>
      </c>
      <c r="EL170" s="27" t="s">
        <v>7</v>
      </c>
      <c r="EM170" s="27" t="s">
        <v>8</v>
      </c>
      <c r="EN170" s="27" t="s">
        <v>7</v>
      </c>
      <c r="EP170" s="27" t="s">
        <v>7</v>
      </c>
      <c r="ER170" s="31"/>
      <c r="FI170" s="27" t="s">
        <v>8</v>
      </c>
      <c r="FK170" s="27" t="s">
        <v>8</v>
      </c>
      <c r="FL170" s="27" t="s">
        <v>7</v>
      </c>
      <c r="FM170" s="27" t="s">
        <v>8</v>
      </c>
      <c r="FN170" s="27" t="s">
        <v>7</v>
      </c>
      <c r="FO170" s="27" t="s">
        <v>8</v>
      </c>
      <c r="FP170" s="27" t="s">
        <v>7</v>
      </c>
      <c r="FS170" s="27" t="s">
        <v>8</v>
      </c>
      <c r="FT170" s="27" t="s">
        <v>7</v>
      </c>
    </row>
    <row r="171" spans="1:181" x14ac:dyDescent="0.25">
      <c r="A171" s="30">
        <v>28.977548129060892</v>
      </c>
      <c r="E171"/>
      <c r="EK171" s="27" t="s">
        <v>8</v>
      </c>
      <c r="EL171" s="27" t="s">
        <v>7</v>
      </c>
      <c r="EM171" s="27" t="s">
        <v>8</v>
      </c>
      <c r="EP171" s="34" t="s">
        <v>7</v>
      </c>
      <c r="ES171" s="31"/>
      <c r="FI171" s="27" t="s">
        <v>8</v>
      </c>
      <c r="FJ171" s="27" t="s">
        <v>7</v>
      </c>
      <c r="FK171" s="27" t="s">
        <v>8</v>
      </c>
      <c r="FL171" s="27" t="s">
        <v>7</v>
      </c>
      <c r="FN171" s="27" t="s">
        <v>7</v>
      </c>
      <c r="FP171" s="27" t="s">
        <v>7</v>
      </c>
      <c r="FS171" s="27" t="s">
        <v>8</v>
      </c>
      <c r="FT171" s="27" t="s">
        <v>7</v>
      </c>
      <c r="FU171" s="27" t="s">
        <v>8</v>
      </c>
    </row>
    <row r="172" spans="1:181" x14ac:dyDescent="0.25">
      <c r="A172" s="30">
        <v>27.597664884819896</v>
      </c>
      <c r="E172"/>
      <c r="EK172" s="27" t="s">
        <v>8</v>
      </c>
      <c r="EL172" s="27" t="s">
        <v>7</v>
      </c>
      <c r="EP172" s="27" t="s">
        <v>7</v>
      </c>
      <c r="EQ172" s="27" t="s">
        <v>8</v>
      </c>
      <c r="ET172" s="31"/>
      <c r="FI172" s="27" t="s">
        <v>8</v>
      </c>
      <c r="FJ172" s="27" t="s">
        <v>7</v>
      </c>
      <c r="FK172" s="27" t="s">
        <v>8</v>
      </c>
      <c r="FP172" s="27" t="s">
        <v>7</v>
      </c>
      <c r="FS172" s="27" t="s">
        <v>8</v>
      </c>
      <c r="FT172" s="27" t="s">
        <v>7</v>
      </c>
      <c r="FU172" s="27" t="s">
        <v>8</v>
      </c>
      <c r="FV172" s="27" t="s">
        <v>7</v>
      </c>
    </row>
    <row r="173" spans="1:181" x14ac:dyDescent="0.25">
      <c r="A173" s="30">
        <v>26.283490366495137</v>
      </c>
      <c r="E173"/>
      <c r="EK173" s="27" t="s">
        <v>8</v>
      </c>
      <c r="EP173" s="27" t="s">
        <v>7</v>
      </c>
      <c r="EQ173" s="27" t="s">
        <v>8</v>
      </c>
      <c r="ER173" s="27" t="s">
        <v>7</v>
      </c>
      <c r="EU173" s="31"/>
      <c r="FE173" s="27" t="s">
        <v>8</v>
      </c>
      <c r="FG173" s="27" t="s">
        <v>8</v>
      </c>
      <c r="FI173" s="27" t="s">
        <v>8</v>
      </c>
      <c r="FJ173" s="27" t="s">
        <v>7</v>
      </c>
      <c r="FK173" s="27" t="s">
        <v>8</v>
      </c>
      <c r="FP173" s="27" t="s">
        <v>7</v>
      </c>
      <c r="FQ173" s="27" t="s">
        <v>8</v>
      </c>
      <c r="FS173" s="27" t="s">
        <v>8</v>
      </c>
      <c r="FT173" s="27" t="s">
        <v>7</v>
      </c>
      <c r="FU173" s="27" t="s">
        <v>8</v>
      </c>
      <c r="FV173" s="27" t="s">
        <v>7</v>
      </c>
    </row>
    <row r="174" spans="1:181" x14ac:dyDescent="0.25">
      <c r="A174" s="30">
        <v>25.031895587138223</v>
      </c>
      <c r="E174"/>
      <c r="EK174" s="27" t="s">
        <v>8</v>
      </c>
      <c r="EP174" s="27" t="s">
        <v>7</v>
      </c>
      <c r="EQ174" s="27" t="s">
        <v>8</v>
      </c>
      <c r="ER174" s="27" t="s">
        <v>7</v>
      </c>
      <c r="EV174" s="31"/>
      <c r="FE174" s="27" t="s">
        <v>8</v>
      </c>
      <c r="FF174" s="27" t="s">
        <v>7</v>
      </c>
      <c r="FG174" s="27" t="s">
        <v>8</v>
      </c>
      <c r="FH174" s="27" t="s">
        <v>7</v>
      </c>
      <c r="FI174" s="27" t="s">
        <v>8</v>
      </c>
      <c r="FJ174" s="27" t="s">
        <v>7</v>
      </c>
      <c r="FK174" s="27" t="s">
        <v>8</v>
      </c>
      <c r="FP174" s="27" t="s">
        <v>7</v>
      </c>
      <c r="FQ174" s="27" t="s">
        <v>8</v>
      </c>
      <c r="FR174" s="27" t="s">
        <v>7</v>
      </c>
      <c r="FS174" s="27" t="s">
        <v>8</v>
      </c>
      <c r="FT174" s="27" t="s">
        <v>7</v>
      </c>
      <c r="FV174" s="27" t="s">
        <v>7</v>
      </c>
    </row>
    <row r="175" spans="1:181" x14ac:dyDescent="0.25">
      <c r="A175" s="30">
        <v>23.839900559179259</v>
      </c>
      <c r="E175"/>
      <c r="EK175" s="27" t="s">
        <v>8</v>
      </c>
      <c r="EP175" s="27" t="s">
        <v>7</v>
      </c>
      <c r="EQ175" s="27" t="s">
        <v>8</v>
      </c>
      <c r="ER175" s="27" t="s">
        <v>7</v>
      </c>
      <c r="EW175" s="31"/>
      <c r="FE175" s="27" t="s">
        <v>8</v>
      </c>
      <c r="FF175" s="27" t="s">
        <v>7</v>
      </c>
      <c r="FG175" s="27" t="s">
        <v>8</v>
      </c>
      <c r="FH175" s="27" t="s">
        <v>7</v>
      </c>
      <c r="FI175" s="27" t="s">
        <v>8</v>
      </c>
      <c r="FJ175" s="27" t="s">
        <v>7</v>
      </c>
      <c r="FK175" s="27" t="s">
        <v>8</v>
      </c>
      <c r="FP175" s="27" t="s">
        <v>7</v>
      </c>
      <c r="FQ175" s="27" t="s">
        <v>8</v>
      </c>
      <c r="FR175" s="27" t="s">
        <v>7</v>
      </c>
      <c r="FS175" s="27" t="s">
        <v>8</v>
      </c>
      <c r="FV175" s="27" t="s">
        <v>7</v>
      </c>
      <c r="FW175" s="27" t="s">
        <v>8</v>
      </c>
    </row>
    <row r="176" spans="1:181" x14ac:dyDescent="0.25">
      <c r="A176" s="30">
        <v>22.704667199218342</v>
      </c>
      <c r="E176"/>
      <c r="EK176" s="27" t="s">
        <v>8</v>
      </c>
      <c r="EP176" s="27" t="s">
        <v>7</v>
      </c>
      <c r="EQ176" s="27" t="s">
        <v>8</v>
      </c>
      <c r="ER176" s="27" t="s">
        <v>7</v>
      </c>
      <c r="EX176" s="31"/>
      <c r="FE176" s="27" t="s">
        <v>8</v>
      </c>
      <c r="FF176" s="27" t="s">
        <v>7</v>
      </c>
      <c r="FG176" s="27" t="s">
        <v>8</v>
      </c>
      <c r="FH176" s="27" t="s">
        <v>7</v>
      </c>
      <c r="FJ176" s="27" t="s">
        <v>7</v>
      </c>
      <c r="FK176" s="27" t="s">
        <v>8</v>
      </c>
      <c r="FP176" s="27" t="s">
        <v>7</v>
      </c>
      <c r="FQ176" s="27" t="s">
        <v>8</v>
      </c>
      <c r="FR176" s="27" t="s">
        <v>7</v>
      </c>
      <c r="FV176" s="27" t="s">
        <v>7</v>
      </c>
      <c r="FW176" s="27" t="s">
        <v>8</v>
      </c>
      <c r="FX176" s="27" t="s">
        <v>7</v>
      </c>
      <c r="FY176" s="27" t="s">
        <v>8</v>
      </c>
    </row>
    <row r="177" spans="1:190" x14ac:dyDescent="0.25">
      <c r="A177" s="30">
        <v>21.623492570684135</v>
      </c>
      <c r="E177"/>
      <c r="EI177" s="27" t="s">
        <v>8</v>
      </c>
      <c r="EK177" s="27" t="s">
        <v>8</v>
      </c>
      <c r="EP177" s="27" t="s">
        <v>7</v>
      </c>
      <c r="EQ177" s="27" t="s">
        <v>8</v>
      </c>
      <c r="ER177" s="27" t="s">
        <v>7</v>
      </c>
      <c r="EY177" s="31"/>
      <c r="FE177" s="27" t="s">
        <v>8</v>
      </c>
      <c r="FF177" s="27" t="s">
        <v>7</v>
      </c>
      <c r="FJ177" s="27" t="s">
        <v>7</v>
      </c>
      <c r="FP177" s="27" t="s">
        <v>7</v>
      </c>
      <c r="FV177" s="27" t="s">
        <v>7</v>
      </c>
      <c r="FW177" s="27" t="s">
        <v>8</v>
      </c>
      <c r="FX177" s="27" t="s">
        <v>7</v>
      </c>
      <c r="FY177" s="27" t="s">
        <v>8</v>
      </c>
      <c r="FZ177" s="27" t="s">
        <v>7</v>
      </c>
    </row>
    <row r="178" spans="1:190" x14ac:dyDescent="0.25">
      <c r="A178" s="30">
        <v>20.593802448270605</v>
      </c>
      <c r="C178" s="7"/>
      <c r="D178"/>
      <c r="E178"/>
      <c r="EI178" s="27" t="s">
        <v>8</v>
      </c>
      <c r="EJ178" s="27" t="s">
        <v>7</v>
      </c>
      <c r="EK178" s="27" t="s">
        <v>8</v>
      </c>
      <c r="EP178" s="27" t="s">
        <v>7</v>
      </c>
      <c r="EQ178" s="27" t="s">
        <v>8</v>
      </c>
      <c r="ER178" s="27" t="s">
        <v>7</v>
      </c>
      <c r="EZ178" s="31"/>
      <c r="FE178" s="27" t="s">
        <v>8</v>
      </c>
      <c r="FV178" s="27" t="s">
        <v>7</v>
      </c>
      <c r="FW178" s="27" t="s">
        <v>8</v>
      </c>
      <c r="FX178" s="27" t="s">
        <v>7</v>
      </c>
      <c r="FY178" s="27" t="s">
        <v>8</v>
      </c>
      <c r="FZ178" s="27" t="s">
        <v>7</v>
      </c>
      <c r="GA178" s="27" t="s">
        <v>8</v>
      </c>
    </row>
    <row r="179" spans="1:190" x14ac:dyDescent="0.25">
      <c r="A179" s="30">
        <v>19.613145188829147</v>
      </c>
      <c r="E179"/>
      <c r="EA179" s="27" t="s">
        <v>8</v>
      </c>
      <c r="EI179" s="27" t="s">
        <v>8</v>
      </c>
      <c r="EJ179" s="27" t="s">
        <v>7</v>
      </c>
      <c r="EK179" s="27" t="s">
        <v>8</v>
      </c>
      <c r="EP179" s="27" t="s">
        <v>7</v>
      </c>
      <c r="EQ179" s="27" t="s">
        <v>8</v>
      </c>
      <c r="ER179" s="27" t="s">
        <v>7</v>
      </c>
      <c r="FA179" s="31"/>
      <c r="FE179" s="27" t="s">
        <v>8</v>
      </c>
      <c r="FV179" s="27" t="s">
        <v>7</v>
      </c>
      <c r="FX179" s="27" t="s">
        <v>7</v>
      </c>
      <c r="FY179" s="27" t="s">
        <v>8</v>
      </c>
      <c r="FZ179" s="27" t="s">
        <v>7</v>
      </c>
      <c r="GA179" s="27" t="s">
        <v>8</v>
      </c>
      <c r="GB179" s="27" t="s">
        <v>7</v>
      </c>
      <c r="GC179" s="27" t="s">
        <v>8</v>
      </c>
    </row>
    <row r="180" spans="1:190" x14ac:dyDescent="0.25">
      <c r="A180" s="30">
        <v>18.679185894122998</v>
      </c>
      <c r="E180"/>
      <c r="EA180" s="27" t="s">
        <v>8</v>
      </c>
      <c r="EB180" s="27" t="s">
        <v>7</v>
      </c>
      <c r="EI180" s="27" t="s">
        <v>8</v>
      </c>
      <c r="EJ180" s="27" t="s">
        <v>7</v>
      </c>
      <c r="EP180" s="27" t="s">
        <v>7</v>
      </c>
      <c r="EQ180" s="27" t="s">
        <v>8</v>
      </c>
      <c r="ER180" s="27" t="s">
        <v>7</v>
      </c>
      <c r="FA180" s="27" t="s">
        <v>8</v>
      </c>
      <c r="FB180" s="31"/>
      <c r="FE180" s="33" t="s">
        <v>8</v>
      </c>
      <c r="FX180" s="27" t="s">
        <v>7</v>
      </c>
      <c r="FZ180" s="27" t="s">
        <v>7</v>
      </c>
      <c r="GA180" s="27" t="s">
        <v>8</v>
      </c>
      <c r="GB180" s="27" t="s">
        <v>7</v>
      </c>
      <c r="GC180" s="27" t="s">
        <v>8</v>
      </c>
      <c r="GD180" s="27" t="s">
        <v>7</v>
      </c>
    </row>
    <row r="181" spans="1:190" x14ac:dyDescent="0.25">
      <c r="A181" s="30">
        <v>17.78970085154571</v>
      </c>
      <c r="C181"/>
      <c r="D181"/>
      <c r="E181"/>
      <c r="EA181" s="27" t="s">
        <v>8</v>
      </c>
      <c r="EB181" s="27" t="s">
        <v>7</v>
      </c>
      <c r="EI181" s="27" t="s">
        <v>8</v>
      </c>
      <c r="EP181" s="27" t="s">
        <v>7</v>
      </c>
      <c r="EQ181" s="27" t="s">
        <v>8</v>
      </c>
      <c r="ER181" s="27" t="s">
        <v>7</v>
      </c>
      <c r="ES181" s="27" t="s">
        <v>8</v>
      </c>
      <c r="FA181" s="27" t="s">
        <v>8</v>
      </c>
      <c r="FB181" s="27" t="s">
        <v>7</v>
      </c>
      <c r="FC181" s="31" t="s">
        <v>8</v>
      </c>
      <c r="FE181" s="27" t="s">
        <v>8</v>
      </c>
      <c r="FZ181" s="27" t="s">
        <v>7</v>
      </c>
      <c r="GA181" s="27" t="s">
        <v>8</v>
      </c>
      <c r="GB181" s="27" t="s">
        <v>7</v>
      </c>
      <c r="GC181" s="27" t="s">
        <v>8</v>
      </c>
      <c r="GD181" s="27" t="s">
        <v>7</v>
      </c>
    </row>
    <row r="182" spans="1:190" x14ac:dyDescent="0.25">
      <c r="A182" s="30">
        <v>16.942572239567344</v>
      </c>
      <c r="E182"/>
      <c r="EA182" s="27" t="s">
        <v>8</v>
      </c>
      <c r="EB182" s="27" t="s">
        <v>7</v>
      </c>
      <c r="EC182" s="27" t="s">
        <v>8</v>
      </c>
      <c r="EI182" s="27" t="s">
        <v>8</v>
      </c>
      <c r="EP182" s="27" t="s">
        <v>7</v>
      </c>
      <c r="EQ182" s="27" t="s">
        <v>8</v>
      </c>
      <c r="ER182" s="27" t="s">
        <v>7</v>
      </c>
      <c r="ES182" s="27" t="s">
        <v>8</v>
      </c>
      <c r="ET182" s="27" t="s">
        <v>7</v>
      </c>
      <c r="FA182" s="27" t="s">
        <v>8</v>
      </c>
      <c r="FB182" s="27" t="s">
        <v>7</v>
      </c>
      <c r="FC182" s="27" t="s">
        <v>8</v>
      </c>
      <c r="FD182" s="31" t="s">
        <v>7</v>
      </c>
      <c r="FE182" s="27" t="s">
        <v>8</v>
      </c>
      <c r="FZ182" s="27" t="s">
        <v>7</v>
      </c>
      <c r="GA182" s="27" t="s">
        <v>8</v>
      </c>
      <c r="GB182" s="27" t="s">
        <v>7</v>
      </c>
      <c r="GC182" s="27" t="s">
        <v>8</v>
      </c>
      <c r="GD182" s="27" t="s">
        <v>7</v>
      </c>
    </row>
    <row r="183" spans="1:190" x14ac:dyDescent="0.25">
      <c r="A183" s="30">
        <v>16.135783085302233</v>
      </c>
      <c r="E183"/>
      <c r="EA183" s="27" t="s">
        <v>8</v>
      </c>
      <c r="EB183" s="27" t="s">
        <v>7</v>
      </c>
      <c r="EC183" s="27" t="s">
        <v>8</v>
      </c>
      <c r="ED183" s="27" t="s">
        <v>7</v>
      </c>
      <c r="EI183" s="27" t="s">
        <v>8</v>
      </c>
      <c r="EP183" s="27" t="s">
        <v>7</v>
      </c>
      <c r="EQ183" s="27" t="s">
        <v>8</v>
      </c>
      <c r="ER183" s="27" t="s">
        <v>7</v>
      </c>
      <c r="ES183" s="27" t="s">
        <v>8</v>
      </c>
      <c r="ET183" s="27" t="s">
        <v>7</v>
      </c>
      <c r="EW183" s="33" t="s">
        <v>8</v>
      </c>
      <c r="FA183" s="27" t="s">
        <v>8</v>
      </c>
      <c r="FB183" s="27" t="s">
        <v>7</v>
      </c>
      <c r="FC183" s="27" t="s">
        <v>8</v>
      </c>
      <c r="FD183" s="27" t="s">
        <v>7</v>
      </c>
      <c r="FE183" s="31" t="s">
        <v>8</v>
      </c>
      <c r="FZ183" s="27" t="s">
        <v>7</v>
      </c>
      <c r="GA183" s="27" t="s">
        <v>8</v>
      </c>
      <c r="GB183" s="27" t="s">
        <v>7</v>
      </c>
      <c r="GC183" s="27" t="s">
        <v>8</v>
      </c>
      <c r="GD183" s="27" t="s">
        <v>7</v>
      </c>
      <c r="GE183" s="27" t="s">
        <v>8</v>
      </c>
    </row>
    <row r="184" spans="1:190" x14ac:dyDescent="0.25">
      <c r="A184" s="30">
        <v>15.367412462192602</v>
      </c>
      <c r="E184"/>
      <c r="EA184" s="27" t="s">
        <v>8</v>
      </c>
      <c r="EB184" s="27" t="s">
        <v>7</v>
      </c>
      <c r="EC184" s="27" t="s">
        <v>8</v>
      </c>
      <c r="ED184" s="27" t="s">
        <v>7</v>
      </c>
      <c r="EG184" s="27" t="s">
        <v>8</v>
      </c>
      <c r="EI184" s="27" t="s">
        <v>8</v>
      </c>
      <c r="EP184" s="27" t="s">
        <v>7</v>
      </c>
      <c r="EQ184" s="27" t="s">
        <v>8</v>
      </c>
      <c r="ER184" s="27" t="s">
        <v>7</v>
      </c>
      <c r="ES184" s="27" t="s">
        <v>8</v>
      </c>
      <c r="ET184" s="27" t="s">
        <v>7</v>
      </c>
      <c r="EU184" s="27" t="s">
        <v>8</v>
      </c>
      <c r="EW184" s="27" t="s">
        <v>8</v>
      </c>
      <c r="EX184" s="27" t="s">
        <v>7</v>
      </c>
      <c r="EY184" s="27" t="s">
        <v>8</v>
      </c>
      <c r="FA184" s="27" t="s">
        <v>8</v>
      </c>
      <c r="FB184" s="27" t="s">
        <v>7</v>
      </c>
      <c r="FC184" s="27" t="s">
        <v>8</v>
      </c>
      <c r="FD184" s="27" t="s">
        <v>7</v>
      </c>
      <c r="FE184" s="27" t="s">
        <v>8</v>
      </c>
      <c r="FZ184" s="27" t="s">
        <v>7</v>
      </c>
      <c r="GB184" s="27" t="s">
        <v>7</v>
      </c>
      <c r="GC184" s="27" t="s">
        <v>8</v>
      </c>
      <c r="GD184" s="27" t="s">
        <v>7</v>
      </c>
      <c r="GE184" s="27" t="s">
        <v>8</v>
      </c>
      <c r="GF184" s="27" t="s">
        <v>7</v>
      </c>
    </row>
    <row r="185" spans="1:190" x14ac:dyDescent="0.25">
      <c r="A185" s="30">
        <v>14.635630916373906</v>
      </c>
      <c r="C185"/>
      <c r="E185"/>
      <c r="EA185" s="27" t="s">
        <v>8</v>
      </c>
      <c r="EB185" s="27" t="s">
        <v>7</v>
      </c>
      <c r="ED185" s="27" t="s">
        <v>7</v>
      </c>
      <c r="EG185" s="33" t="s">
        <v>8</v>
      </c>
      <c r="EH185" s="27" t="s">
        <v>7</v>
      </c>
      <c r="EI185" s="27" t="s">
        <v>8</v>
      </c>
      <c r="EP185" s="27" t="s">
        <v>7</v>
      </c>
      <c r="EQ185" s="27" t="s">
        <v>8</v>
      </c>
      <c r="ER185" s="27" t="s">
        <v>7</v>
      </c>
      <c r="ES185" s="27" t="s">
        <v>8</v>
      </c>
      <c r="ET185" s="27" t="s">
        <v>7</v>
      </c>
      <c r="EU185" s="27" t="s">
        <v>8</v>
      </c>
      <c r="EV185" s="27" t="s">
        <v>7</v>
      </c>
      <c r="EW185" s="27" t="s">
        <v>8</v>
      </c>
      <c r="EX185" s="27" t="s">
        <v>7</v>
      </c>
      <c r="EY185" s="27" t="s">
        <v>8</v>
      </c>
      <c r="EZ185" s="27" t="s">
        <v>7</v>
      </c>
      <c r="FA185" s="27" t="s">
        <v>8</v>
      </c>
      <c r="FB185" s="27" t="s">
        <v>7</v>
      </c>
      <c r="FC185" s="27" t="s">
        <v>8</v>
      </c>
      <c r="FD185" s="27" t="s">
        <v>7</v>
      </c>
      <c r="FE185" s="27" t="s">
        <v>8</v>
      </c>
      <c r="GB185" s="27" t="s">
        <v>7</v>
      </c>
      <c r="GD185" s="27" t="s">
        <v>7</v>
      </c>
      <c r="GE185" s="27" t="s">
        <v>8</v>
      </c>
      <c r="GF185" s="27" t="s">
        <v>7</v>
      </c>
    </row>
    <row r="186" spans="1:190" x14ac:dyDescent="0.25">
      <c r="A186" s="30">
        <v>13.938696110832291</v>
      </c>
      <c r="E186"/>
      <c r="DQ186" s="27" t="s">
        <v>8</v>
      </c>
      <c r="DY186" s="27" t="s">
        <v>8</v>
      </c>
      <c r="EA186" s="27" t="s">
        <v>8</v>
      </c>
      <c r="ED186" s="27" t="s">
        <v>7</v>
      </c>
      <c r="EE186" s="27" t="s">
        <v>8</v>
      </c>
      <c r="EG186" s="27" t="s">
        <v>8</v>
      </c>
      <c r="EH186" s="27" t="s">
        <v>7</v>
      </c>
      <c r="EI186" s="27" t="s">
        <v>8</v>
      </c>
      <c r="EP186" s="27" t="s">
        <v>7</v>
      </c>
      <c r="ER186" s="27" t="s">
        <v>7</v>
      </c>
      <c r="ES186" s="27" t="s">
        <v>8</v>
      </c>
      <c r="ET186" s="27" t="s">
        <v>7</v>
      </c>
      <c r="EU186" s="27" t="s">
        <v>8</v>
      </c>
      <c r="EV186" s="27" t="s">
        <v>7</v>
      </c>
      <c r="EW186" s="27" t="s">
        <v>8</v>
      </c>
      <c r="EX186" s="27" t="s">
        <v>7</v>
      </c>
      <c r="EY186" s="27" t="s">
        <v>8</v>
      </c>
      <c r="EZ186" s="27" t="s">
        <v>7</v>
      </c>
      <c r="FA186" s="27" t="s">
        <v>8</v>
      </c>
      <c r="FB186" s="27" t="s">
        <v>7</v>
      </c>
      <c r="FC186" s="27" t="s">
        <v>8</v>
      </c>
      <c r="FD186" s="27" t="s">
        <v>7</v>
      </c>
      <c r="FE186" s="27" t="s">
        <v>8</v>
      </c>
      <c r="FG186" s="31"/>
      <c r="GD186" s="27" t="s">
        <v>7</v>
      </c>
      <c r="GF186" s="27" t="s">
        <v>7</v>
      </c>
    </row>
    <row r="187" spans="1:190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DO187" s="27" t="s">
        <v>8</v>
      </c>
      <c r="DQ187" s="27" t="s">
        <v>8</v>
      </c>
      <c r="DR187" s="27" t="s">
        <v>7</v>
      </c>
      <c r="DU187" s="32" t="s">
        <v>8</v>
      </c>
      <c r="DW187" s="32" t="s">
        <v>8</v>
      </c>
      <c r="DY187" s="27" t="s">
        <v>8</v>
      </c>
      <c r="DZ187" s="27" t="s">
        <v>7</v>
      </c>
      <c r="EA187" s="27" t="s">
        <v>8</v>
      </c>
      <c r="ED187" s="27" t="s">
        <v>7</v>
      </c>
      <c r="EE187" s="27" t="s">
        <v>8</v>
      </c>
      <c r="EF187" s="27" t="s">
        <v>7</v>
      </c>
      <c r="EG187" s="27" t="s">
        <v>8</v>
      </c>
      <c r="EH187" s="27" t="s">
        <v>7</v>
      </c>
      <c r="EI187" s="27" t="s">
        <v>8</v>
      </c>
      <c r="ER187" s="27" t="s">
        <v>7</v>
      </c>
      <c r="ES187" s="27" t="s">
        <v>8</v>
      </c>
      <c r="ET187" s="27" t="s">
        <v>7</v>
      </c>
      <c r="EU187" s="27" t="s">
        <v>8</v>
      </c>
      <c r="EV187" s="32" t="s">
        <v>7</v>
      </c>
      <c r="EX187" s="32" t="s">
        <v>7</v>
      </c>
      <c r="EZ187" s="32" t="s">
        <v>7</v>
      </c>
      <c r="FB187" s="27" t="s">
        <v>7</v>
      </c>
      <c r="FC187" s="27" t="s">
        <v>8</v>
      </c>
      <c r="FD187" s="18" t="s">
        <v>7</v>
      </c>
      <c r="FE187" s="27" t="s">
        <v>8</v>
      </c>
      <c r="FF187" s="31"/>
      <c r="GF187" s="27" t="s">
        <v>7</v>
      </c>
    </row>
    <row r="188" spans="1:190" x14ac:dyDescent="0.25">
      <c r="A188" s="30">
        <v>12.64280826379346</v>
      </c>
      <c r="E188"/>
      <c r="DO188" s="27" t="s">
        <v>8</v>
      </c>
      <c r="DP188" s="27" t="s">
        <v>7</v>
      </c>
      <c r="DQ188" s="27" t="s">
        <v>8</v>
      </c>
      <c r="DR188" s="27" t="s">
        <v>7</v>
      </c>
      <c r="DU188" s="27" t="s">
        <v>8</v>
      </c>
      <c r="DV188" s="27" t="s">
        <v>7</v>
      </c>
      <c r="DW188" s="27" t="s">
        <v>8</v>
      </c>
      <c r="DX188" s="27" t="s">
        <v>7</v>
      </c>
      <c r="DY188" s="27" t="s">
        <v>8</v>
      </c>
      <c r="DZ188" s="27" t="s">
        <v>7</v>
      </c>
      <c r="EA188" s="27" t="s">
        <v>8</v>
      </c>
      <c r="ED188" s="27" t="s">
        <v>7</v>
      </c>
      <c r="EE188" s="27" t="s">
        <v>8</v>
      </c>
      <c r="EF188" s="27" t="s">
        <v>7</v>
      </c>
      <c r="EG188" s="27" t="s">
        <v>8</v>
      </c>
      <c r="EH188" s="27" t="s">
        <v>7</v>
      </c>
      <c r="EI188" s="27" t="s">
        <v>8</v>
      </c>
      <c r="ER188" s="27" t="s">
        <v>7</v>
      </c>
      <c r="ES188" s="27" t="s">
        <v>8</v>
      </c>
      <c r="ET188" s="27" t="s">
        <v>7</v>
      </c>
      <c r="EU188" s="27" t="s">
        <v>8</v>
      </c>
      <c r="FB188" s="34" t="s">
        <v>7</v>
      </c>
      <c r="FC188" s="27" t="s">
        <v>8</v>
      </c>
      <c r="FD188" s="27" t="s">
        <v>7</v>
      </c>
      <c r="FE188" s="31" t="s">
        <v>8</v>
      </c>
      <c r="GF188" s="27" t="s">
        <v>7</v>
      </c>
    </row>
    <row r="189" spans="1:190" x14ac:dyDescent="0.25">
      <c r="A189" s="30">
        <v>12.04076977504139</v>
      </c>
      <c r="E189"/>
      <c r="DO189" s="27" t="s">
        <v>8</v>
      </c>
      <c r="DP189" s="27" t="s">
        <v>7</v>
      </c>
      <c r="DQ189" s="27" t="s">
        <v>8</v>
      </c>
      <c r="DR189" s="27" t="s">
        <v>7</v>
      </c>
      <c r="DU189" s="27" t="s">
        <v>8</v>
      </c>
      <c r="DV189" s="27" t="s">
        <v>7</v>
      </c>
      <c r="DW189" s="27" t="s">
        <v>8</v>
      </c>
      <c r="DX189" s="27" t="s">
        <v>7</v>
      </c>
      <c r="DY189" s="27" t="s">
        <v>8</v>
      </c>
      <c r="DZ189" s="27" t="s">
        <v>7</v>
      </c>
      <c r="ED189" s="27" t="s">
        <v>7</v>
      </c>
      <c r="EF189" s="27" t="s">
        <v>7</v>
      </c>
      <c r="EG189" s="27" t="s">
        <v>8</v>
      </c>
      <c r="EH189" s="27" t="s">
        <v>7</v>
      </c>
      <c r="EI189" s="27" t="s">
        <v>8</v>
      </c>
      <c r="ER189" s="32" t="s">
        <v>7</v>
      </c>
      <c r="ET189" s="32" t="s">
        <v>7</v>
      </c>
      <c r="FB189" s="27" t="s">
        <v>7</v>
      </c>
      <c r="FC189" s="27" t="s">
        <v>8</v>
      </c>
      <c r="FD189" s="31" t="s">
        <v>7</v>
      </c>
      <c r="GF189" s="27" t="s">
        <v>7</v>
      </c>
      <c r="GG189" s="27" t="s">
        <v>8</v>
      </c>
    </row>
    <row r="190" spans="1:190" x14ac:dyDescent="0.25">
      <c r="A190" s="30">
        <v>11.467399785753704</v>
      </c>
      <c r="E190"/>
      <c r="DO190" s="27" t="s">
        <v>8</v>
      </c>
      <c r="DP190" s="27" t="s">
        <v>7</v>
      </c>
      <c r="DQ190" s="27" t="s">
        <v>8</v>
      </c>
      <c r="DR190" s="27" t="s">
        <v>7</v>
      </c>
      <c r="DS190" s="27" t="s">
        <v>8</v>
      </c>
      <c r="DU190" s="27" t="s">
        <v>8</v>
      </c>
      <c r="DV190" s="27" t="s">
        <v>7</v>
      </c>
      <c r="DW190" s="27" t="s">
        <v>8</v>
      </c>
      <c r="DX190" s="27" t="s">
        <v>7</v>
      </c>
      <c r="EF190" s="32" t="s">
        <v>7</v>
      </c>
      <c r="EH190" s="32" t="s">
        <v>7</v>
      </c>
      <c r="FB190" s="27" t="s">
        <v>7</v>
      </c>
      <c r="GF190" s="27" t="s">
        <v>7</v>
      </c>
      <c r="GG190" s="27" t="s">
        <v>8</v>
      </c>
      <c r="GH190" s="27" t="s">
        <v>7</v>
      </c>
    </row>
    <row r="191" spans="1:190" x14ac:dyDescent="0.25">
      <c r="A191" s="30">
        <v>10.921333129289241</v>
      </c>
      <c r="E191"/>
      <c r="DM191" s="27" t="s">
        <v>8</v>
      </c>
      <c r="DO191" s="27" t="s">
        <v>8</v>
      </c>
      <c r="DP191" s="27" t="s">
        <v>7</v>
      </c>
      <c r="DQ191" s="27" t="s">
        <v>8</v>
      </c>
      <c r="DR191" s="27" t="s">
        <v>7</v>
      </c>
      <c r="DS191" s="27" t="s">
        <v>8</v>
      </c>
      <c r="DT191" s="27" t="s">
        <v>7</v>
      </c>
      <c r="DU191" s="27" t="s">
        <v>8</v>
      </c>
      <c r="DV191" s="27" t="s">
        <v>7</v>
      </c>
      <c r="DW191" s="27" t="s">
        <v>8</v>
      </c>
      <c r="GF191" s="27" t="s">
        <v>7</v>
      </c>
      <c r="GG191" s="27" t="s">
        <v>8</v>
      </c>
      <c r="GH191" s="27" t="s">
        <v>7</v>
      </c>
    </row>
    <row r="192" spans="1:190" x14ac:dyDescent="0.25">
      <c r="A192" s="30">
        <v>10.401269646942135</v>
      </c>
      <c r="E192"/>
      <c r="DM192" s="27" t="s">
        <v>8</v>
      </c>
      <c r="DN192" s="27" t="s">
        <v>7</v>
      </c>
      <c r="DO192" s="27" t="s">
        <v>8</v>
      </c>
      <c r="DP192" s="27" t="s">
        <v>7</v>
      </c>
      <c r="DQ192" s="27" t="s">
        <v>8</v>
      </c>
      <c r="DR192" s="27" t="s">
        <v>7</v>
      </c>
      <c r="DS192" s="27" t="s">
        <v>8</v>
      </c>
      <c r="DT192" s="27" t="s">
        <v>7</v>
      </c>
      <c r="DU192" s="27" t="s">
        <v>8</v>
      </c>
      <c r="DV192" s="27" t="s">
        <v>7</v>
      </c>
      <c r="GF192" s="27" t="s">
        <v>7</v>
      </c>
      <c r="GG192" s="27" t="s">
        <v>8</v>
      </c>
      <c r="GH192" s="27" t="s">
        <v>7</v>
      </c>
    </row>
    <row r="193" spans="1:190" x14ac:dyDescent="0.25">
      <c r="A193" s="30">
        <v>9.9059710923258422</v>
      </c>
      <c r="E193"/>
      <c r="DM193" s="27" t="s">
        <v>8</v>
      </c>
      <c r="DN193" s="27" t="s">
        <v>7</v>
      </c>
      <c r="DO193" s="27" t="s">
        <v>8</v>
      </c>
      <c r="DP193" s="27" t="s">
        <v>7</v>
      </c>
      <c r="DQ193" s="27" t="s">
        <v>8</v>
      </c>
      <c r="DR193" s="27" t="s">
        <v>7</v>
      </c>
      <c r="DS193" s="27" t="s">
        <v>8</v>
      </c>
      <c r="DT193" s="27" t="s">
        <v>7</v>
      </c>
      <c r="DU193" s="27" t="s">
        <v>8</v>
      </c>
      <c r="GF193" s="27" t="s">
        <v>7</v>
      </c>
      <c r="GG193" s="27" t="s">
        <v>8</v>
      </c>
      <c r="GH193" s="27" t="s">
        <v>7</v>
      </c>
    </row>
    <row r="194" spans="1:190" x14ac:dyDescent="0.25">
      <c r="A194" s="30">
        <v>9.4342581831674686</v>
      </c>
      <c r="E194"/>
      <c r="DM194" s="27" t="s">
        <v>8</v>
      </c>
      <c r="DN194" s="27" t="s">
        <v>7</v>
      </c>
      <c r="DO194" s="27" t="s">
        <v>8</v>
      </c>
      <c r="DP194" s="27" t="s">
        <v>7</v>
      </c>
      <c r="DR194" s="27" t="s">
        <v>7</v>
      </c>
      <c r="DS194" s="27" t="s">
        <v>8</v>
      </c>
      <c r="DT194" s="27" t="s">
        <v>7</v>
      </c>
      <c r="DU194" s="27" t="s">
        <v>8</v>
      </c>
      <c r="GF194" s="27" t="s">
        <v>7</v>
      </c>
      <c r="GG194" s="27" t="s">
        <v>8</v>
      </c>
    </row>
    <row r="195" spans="1:190" x14ac:dyDescent="0.25">
      <c r="A195" s="30">
        <v>8.9850077934928265</v>
      </c>
      <c r="E195"/>
      <c r="CW195" s="27" t="s">
        <v>8</v>
      </c>
      <c r="DM195" s="27" t="s">
        <v>8</v>
      </c>
      <c r="DN195" s="27" t="s">
        <v>7</v>
      </c>
      <c r="DR195" s="27" t="s">
        <v>7</v>
      </c>
      <c r="DS195" s="27" t="s">
        <v>8</v>
      </c>
      <c r="DT195" s="27" t="s">
        <v>7</v>
      </c>
      <c r="DU195" s="27" t="s">
        <v>8</v>
      </c>
      <c r="GF195" s="27" t="s">
        <v>7</v>
      </c>
      <c r="GG195" s="27" t="s">
        <v>8</v>
      </c>
    </row>
    <row r="196" spans="1:190" x14ac:dyDescent="0.25">
      <c r="A196" s="30">
        <v>8.5571502795169767</v>
      </c>
      <c r="E196"/>
      <c r="CU196" s="27" t="s">
        <v>8</v>
      </c>
      <c r="CW196" s="27" t="s">
        <v>8</v>
      </c>
      <c r="CX196" s="27" t="s">
        <v>7</v>
      </c>
      <c r="CY196" s="27" t="s">
        <v>8</v>
      </c>
      <c r="DM196" s="27" t="s">
        <v>8</v>
      </c>
      <c r="DR196" s="27" t="s">
        <v>7</v>
      </c>
      <c r="DS196" s="27" t="s">
        <v>8</v>
      </c>
      <c r="DT196" s="27" t="s">
        <v>7</v>
      </c>
      <c r="GF196" s="27" t="s">
        <v>7</v>
      </c>
      <c r="GG196" s="27" t="s">
        <v>8</v>
      </c>
    </row>
    <row r="197" spans="1:190" x14ac:dyDescent="0.25">
      <c r="A197" s="30">
        <v>8.1496669328733109</v>
      </c>
      <c r="E197"/>
      <c r="CU197" s="27" t="s">
        <v>8</v>
      </c>
      <c r="CV197" s="27" t="s">
        <v>7</v>
      </c>
      <c r="CW197" s="27" t="s">
        <v>8</v>
      </c>
      <c r="CX197" s="27" t="s">
        <v>7</v>
      </c>
      <c r="CY197" s="27" t="s">
        <v>8</v>
      </c>
      <c r="CZ197" s="27" t="s">
        <v>7</v>
      </c>
      <c r="DI197" s="27" t="s">
        <v>8</v>
      </c>
      <c r="DM197" s="27" t="s">
        <v>8</v>
      </c>
      <c r="DR197" s="27" t="s">
        <v>7</v>
      </c>
      <c r="DS197" s="27" t="s">
        <v>8</v>
      </c>
      <c r="GF197" s="27" t="s">
        <v>7</v>
      </c>
      <c r="GG197" s="27" t="s">
        <v>8</v>
      </c>
    </row>
    <row r="198" spans="1:190" x14ac:dyDescent="0.25">
      <c r="A198" s="30">
        <v>7.7615875551174378</v>
      </c>
      <c r="E198"/>
      <c r="CU198" s="27" t="s">
        <v>8</v>
      </c>
      <c r="CV198" s="27" t="s">
        <v>7</v>
      </c>
      <c r="CW198" s="27" t="s">
        <v>8</v>
      </c>
      <c r="CX198" s="27" t="s">
        <v>7</v>
      </c>
      <c r="CY198" s="27" t="s">
        <v>8</v>
      </c>
      <c r="CZ198" s="27" t="s">
        <v>7</v>
      </c>
      <c r="DI198" s="27" t="s">
        <v>8</v>
      </c>
      <c r="DJ198" s="27" t="s">
        <v>7</v>
      </c>
      <c r="DM198" s="27" t="s">
        <v>8</v>
      </c>
      <c r="DR198" s="27" t="s">
        <v>7</v>
      </c>
      <c r="GF198" s="27" t="s">
        <v>7</v>
      </c>
    </row>
    <row r="199" spans="1:190" x14ac:dyDescent="0.25">
      <c r="A199" s="30">
        <v>7.3919881477308929</v>
      </c>
      <c r="E199"/>
      <c r="CU199" s="27" t="s">
        <v>8</v>
      </c>
      <c r="CV199" s="27" t="s">
        <v>7</v>
      </c>
      <c r="CW199" s="27" t="s">
        <v>8</v>
      </c>
      <c r="CX199" s="27" t="s">
        <v>7</v>
      </c>
      <c r="CZ199" s="27" t="s">
        <v>7</v>
      </c>
      <c r="DC199" s="27" t="s">
        <v>8</v>
      </c>
      <c r="DI199" s="27" t="s">
        <v>8</v>
      </c>
      <c r="DJ199" s="27" t="s">
        <v>7</v>
      </c>
      <c r="DK199" s="27" t="s">
        <v>8</v>
      </c>
      <c r="DM199" s="27" t="s">
        <v>8</v>
      </c>
    </row>
    <row r="200" spans="1:190" x14ac:dyDescent="0.25">
      <c r="A200" s="30">
        <v>7.0399887121246598</v>
      </c>
      <c r="E200"/>
      <c r="CS200" s="27" t="s">
        <v>8</v>
      </c>
      <c r="CU200" s="27" t="s">
        <v>8</v>
      </c>
      <c r="CV200" s="27" t="s">
        <v>7</v>
      </c>
      <c r="CW200" s="27" t="s">
        <v>8</v>
      </c>
      <c r="CZ200" s="27" t="s">
        <v>7</v>
      </c>
      <c r="DA200" s="27" t="s">
        <v>8</v>
      </c>
      <c r="DC200" s="27" t="s">
        <v>8</v>
      </c>
      <c r="DD200" s="27" t="s">
        <v>7</v>
      </c>
      <c r="DI200" s="27" t="s">
        <v>8</v>
      </c>
      <c r="DJ200" s="27" t="s">
        <v>7</v>
      </c>
      <c r="DK200" s="27" t="s">
        <v>8</v>
      </c>
      <c r="DL200" s="27" t="s">
        <v>7</v>
      </c>
      <c r="DM200" s="27" t="s">
        <v>8</v>
      </c>
    </row>
    <row r="201" spans="1:190" x14ac:dyDescent="0.25">
      <c r="A201" s="30">
        <v>6.7047511544044376</v>
      </c>
      <c r="E201"/>
      <c r="CS201" s="27" t="s">
        <v>8</v>
      </c>
      <c r="CT201" s="27" t="s">
        <v>7</v>
      </c>
      <c r="CU201" s="27" t="s">
        <v>8</v>
      </c>
      <c r="CV201" s="27" t="s">
        <v>7</v>
      </c>
      <c r="CW201" s="27" t="s">
        <v>8</v>
      </c>
      <c r="CZ201" s="27" t="s">
        <v>7</v>
      </c>
      <c r="DA201" s="27" t="s">
        <v>8</v>
      </c>
      <c r="DB201" s="27" t="s">
        <v>7</v>
      </c>
      <c r="DC201" s="27" t="s">
        <v>8</v>
      </c>
      <c r="DD201" s="27" t="s">
        <v>7</v>
      </c>
      <c r="DG201" s="27" t="s">
        <v>8</v>
      </c>
      <c r="DI201" s="27" t="s">
        <v>8</v>
      </c>
      <c r="DJ201" s="27" t="s">
        <v>7</v>
      </c>
      <c r="DK201" s="27" t="s">
        <v>8</v>
      </c>
      <c r="DL201" s="27" t="s">
        <v>7</v>
      </c>
      <c r="DM201" s="27" t="s">
        <v>8</v>
      </c>
    </row>
    <row r="202" spans="1:190" x14ac:dyDescent="0.25">
      <c r="A202" s="30">
        <v>6.3854772899089882</v>
      </c>
      <c r="E202"/>
      <c r="CS202" s="27" t="s">
        <v>8</v>
      </c>
      <c r="CT202" s="27" t="s">
        <v>7</v>
      </c>
      <c r="CU202" s="27" t="s">
        <v>8</v>
      </c>
      <c r="CV202" s="27" t="s">
        <v>7</v>
      </c>
      <c r="CW202" s="27" t="s">
        <v>8</v>
      </c>
      <c r="CZ202" s="27" t="s">
        <v>7</v>
      </c>
      <c r="DA202" s="27" t="s">
        <v>8</v>
      </c>
      <c r="DB202" s="27" t="s">
        <v>7</v>
      </c>
      <c r="DC202" s="27" t="s">
        <v>8</v>
      </c>
      <c r="DD202" s="27" t="s">
        <v>7</v>
      </c>
      <c r="DE202" s="27" t="s">
        <v>8</v>
      </c>
      <c r="DG202" s="27" t="s">
        <v>8</v>
      </c>
      <c r="DH202" s="27" t="s">
        <v>7</v>
      </c>
      <c r="DI202" s="27" t="s">
        <v>8</v>
      </c>
      <c r="DJ202" s="27" t="s">
        <v>7</v>
      </c>
      <c r="DK202" s="27" t="s">
        <v>8</v>
      </c>
      <c r="DL202" s="27" t="s">
        <v>7</v>
      </c>
      <c r="DM202" s="27" t="s">
        <v>8</v>
      </c>
    </row>
    <row r="203" spans="1:190" x14ac:dyDescent="0.25">
      <c r="A203" s="30">
        <v>6.0814069427704647</v>
      </c>
      <c r="C203" s="7"/>
      <c r="D203"/>
      <c r="E203"/>
      <c r="CS203" s="27" t="s">
        <v>8</v>
      </c>
      <c r="CT203" s="27" t="s">
        <v>7</v>
      </c>
      <c r="CU203" s="27" t="s">
        <v>8</v>
      </c>
      <c r="CV203" s="27" t="s">
        <v>7</v>
      </c>
      <c r="CW203" s="27" t="s">
        <v>8</v>
      </c>
      <c r="CZ203" s="27" t="s">
        <v>7</v>
      </c>
      <c r="DA203" s="27" t="s">
        <v>8</v>
      </c>
      <c r="DB203" s="27" t="s">
        <v>7</v>
      </c>
      <c r="DD203" s="27" t="s">
        <v>7</v>
      </c>
      <c r="DE203" s="27" t="s">
        <v>8</v>
      </c>
      <c r="DF203" s="27" t="s">
        <v>7</v>
      </c>
      <c r="DG203" s="27" t="s">
        <v>8</v>
      </c>
      <c r="DH203" s="27" t="s">
        <v>7</v>
      </c>
      <c r="DI203" s="27" t="s">
        <v>8</v>
      </c>
      <c r="DJ203" s="27" t="s">
        <v>7</v>
      </c>
      <c r="DK203" s="27" t="s">
        <v>8</v>
      </c>
      <c r="DL203" s="27" t="s">
        <v>7</v>
      </c>
    </row>
    <row r="204" spans="1:190" x14ac:dyDescent="0.25">
      <c r="A204" s="30">
        <v>5.7918161359718709</v>
      </c>
      <c r="E204"/>
      <c r="CS204" s="27" t="s">
        <v>8</v>
      </c>
      <c r="CT204" s="27" t="s">
        <v>7</v>
      </c>
      <c r="CV204" s="27" t="s">
        <v>7</v>
      </c>
      <c r="CZ204" s="27" t="s">
        <v>7</v>
      </c>
      <c r="DA204" s="27" t="s">
        <v>8</v>
      </c>
      <c r="DD204" s="27" t="s">
        <v>7</v>
      </c>
      <c r="DE204" s="27" t="s">
        <v>8</v>
      </c>
      <c r="DF204" s="27" t="s">
        <v>7</v>
      </c>
      <c r="DG204" s="27" t="s">
        <v>8</v>
      </c>
      <c r="DH204" s="27" t="s">
        <v>7</v>
      </c>
      <c r="DI204" s="27" t="s">
        <v>8</v>
      </c>
      <c r="DJ204" s="27" t="s">
        <v>7</v>
      </c>
      <c r="DK204" s="27" t="s">
        <v>8</v>
      </c>
    </row>
    <row r="205" spans="1:190" x14ac:dyDescent="0.25">
      <c r="A205" s="30">
        <v>5.5160153675922574</v>
      </c>
      <c r="E205"/>
      <c r="CS205" s="27" t="s">
        <v>8</v>
      </c>
      <c r="CZ205" s="27" t="s">
        <v>7</v>
      </c>
      <c r="DD205" s="27" t="s">
        <v>7</v>
      </c>
      <c r="DE205" s="27" t="s">
        <v>8</v>
      </c>
      <c r="DF205" s="27" t="s">
        <v>7</v>
      </c>
      <c r="DG205" s="27" t="s">
        <v>8</v>
      </c>
      <c r="DH205" s="27" t="s">
        <v>7</v>
      </c>
      <c r="DI205" s="27" t="s">
        <v>8</v>
      </c>
      <c r="DJ205" s="27" t="s">
        <v>7</v>
      </c>
    </row>
    <row r="206" spans="1:190" x14ac:dyDescent="0.25">
      <c r="A206" s="30">
        <v>5.2533479691354827</v>
      </c>
      <c r="C206"/>
      <c r="D206"/>
      <c r="E206"/>
      <c r="CS206" s="27" t="s">
        <v>8</v>
      </c>
      <c r="DD206" s="27" t="s">
        <v>7</v>
      </c>
      <c r="DE206" s="27" t="s">
        <v>8</v>
      </c>
      <c r="DF206" s="27" t="s">
        <v>7</v>
      </c>
      <c r="DH206" s="27" t="s">
        <v>7</v>
      </c>
      <c r="DI206" s="27" t="s">
        <v>8</v>
      </c>
    </row>
    <row r="207" spans="1:190" x14ac:dyDescent="0.25">
      <c r="A207" s="30">
        <v>5.0031885420337927</v>
      </c>
      <c r="E207"/>
      <c r="CS207" s="27" t="s">
        <v>8</v>
      </c>
      <c r="DD207" s="27" t="s">
        <v>7</v>
      </c>
      <c r="DH207" s="27" t="s">
        <v>7</v>
      </c>
    </row>
    <row r="208" spans="1:190" x14ac:dyDescent="0.25">
      <c r="A208" s="30">
        <v>4.7649414686036122</v>
      </c>
      <c r="E208"/>
      <c r="CA208" s="27" t="s">
        <v>8</v>
      </c>
      <c r="CS208" s="27" t="s">
        <v>8</v>
      </c>
    </row>
    <row r="209" spans="1:97" x14ac:dyDescent="0.25">
      <c r="A209" s="30">
        <v>4.5380394939082018</v>
      </c>
      <c r="E209"/>
      <c r="CA209" s="27" t="s">
        <v>8</v>
      </c>
      <c r="CB209" s="27" t="s">
        <v>7</v>
      </c>
      <c r="CS209" s="27" t="s">
        <v>8</v>
      </c>
    </row>
    <row r="210" spans="1:97" x14ac:dyDescent="0.25">
      <c r="A210" s="30">
        <v>4.3219423751506678</v>
      </c>
      <c r="C210"/>
      <c r="E210"/>
      <c r="CA210" s="27" t="s">
        <v>8</v>
      </c>
      <c r="CB210" s="27" t="s">
        <v>7</v>
      </c>
      <c r="CC210" s="27" t="s">
        <v>8</v>
      </c>
      <c r="CS210" s="27" t="s">
        <v>8</v>
      </c>
    </row>
    <row r="211" spans="1:97" x14ac:dyDescent="0.25">
      <c r="A211" s="30">
        <v>4.1161355953815884</v>
      </c>
      <c r="E211"/>
      <c r="BY211" s="27" t="s">
        <v>8</v>
      </c>
      <c r="CA211" s="27" t="s">
        <v>8</v>
      </c>
      <c r="CB211" s="27" t="s">
        <v>7</v>
      </c>
      <c r="CC211" s="27" t="s">
        <v>8</v>
      </c>
      <c r="CD211" s="27" t="s">
        <v>7</v>
      </c>
      <c r="CS211" s="27" t="s">
        <v>8</v>
      </c>
    </row>
    <row r="212" spans="1:97" x14ac:dyDescent="0.25">
      <c r="A212" s="30">
        <v>3.9201291384586554</v>
      </c>
      <c r="E212"/>
      <c r="BY212" s="27" t="s">
        <v>8</v>
      </c>
      <c r="BZ212" s="27" t="s">
        <v>7</v>
      </c>
      <c r="CA212" s="27" t="s">
        <v>8</v>
      </c>
      <c r="CB212" s="27" t="s">
        <v>7</v>
      </c>
      <c r="CC212" s="27" t="s">
        <v>8</v>
      </c>
      <c r="CD212" s="27" t="s">
        <v>7</v>
      </c>
      <c r="CS212" s="27" t="s">
        <v>8</v>
      </c>
    </row>
    <row r="213" spans="1:97" x14ac:dyDescent="0.25">
      <c r="A213" s="30">
        <v>3.7334563223415764</v>
      </c>
      <c r="E213"/>
      <c r="BY213" s="27" t="s">
        <v>8</v>
      </c>
      <c r="BZ213" s="27" t="s">
        <v>7</v>
      </c>
      <c r="CA213" s="27" t="s">
        <v>8</v>
      </c>
      <c r="CB213" s="27" t="s">
        <v>7</v>
      </c>
      <c r="CC213" s="27" t="s">
        <v>8</v>
      </c>
      <c r="CD213" s="27" t="s">
        <v>7</v>
      </c>
      <c r="CE213" s="27" t="s">
        <v>8</v>
      </c>
      <c r="CG213" s="27" t="s">
        <v>8</v>
      </c>
      <c r="CS213" s="27" t="s">
        <v>8</v>
      </c>
    </row>
    <row r="214" spans="1:97" x14ac:dyDescent="0.25">
      <c r="A214" s="30">
        <v>3.5556726879443583</v>
      </c>
      <c r="E214"/>
      <c r="BY214" s="27" t="s">
        <v>8</v>
      </c>
      <c r="BZ214" s="27" t="s">
        <v>7</v>
      </c>
      <c r="CA214" s="27" t="s">
        <v>8</v>
      </c>
      <c r="CB214" s="27" t="s">
        <v>7</v>
      </c>
      <c r="CD214" s="27" t="s">
        <v>7</v>
      </c>
      <c r="CE214" s="27" t="s">
        <v>8</v>
      </c>
      <c r="CF214" s="27" t="s">
        <v>7</v>
      </c>
      <c r="CG214" s="27" t="s">
        <v>8</v>
      </c>
      <c r="CH214" s="27" t="s">
        <v>7</v>
      </c>
      <c r="CQ214" s="27" t="s">
        <v>8</v>
      </c>
      <c r="CS214" s="27" t="s">
        <v>8</v>
      </c>
    </row>
    <row r="215" spans="1:97" x14ac:dyDescent="0.25">
      <c r="A215" s="30">
        <v>3.3863549408993889</v>
      </c>
      <c r="E215"/>
      <c r="Q215" s="27" t="s">
        <v>8</v>
      </c>
      <c r="BY215" s="27" t="s">
        <v>8</v>
      </c>
      <c r="BZ215" s="27" t="s">
        <v>7</v>
      </c>
      <c r="CA215" s="27" t="s">
        <v>8</v>
      </c>
      <c r="CD215" s="27" t="s">
        <v>7</v>
      </c>
      <c r="CE215" s="27" t="s">
        <v>8</v>
      </c>
      <c r="CF215" s="27" t="s">
        <v>7</v>
      </c>
      <c r="CG215" s="27" t="s">
        <v>8</v>
      </c>
      <c r="CH215" s="27" t="s">
        <v>7</v>
      </c>
      <c r="CO215" s="27" t="s">
        <v>8</v>
      </c>
      <c r="CQ215" s="27" t="s">
        <v>8</v>
      </c>
      <c r="CR215" s="27" t="s">
        <v>7</v>
      </c>
      <c r="CS215" s="27" t="s">
        <v>8</v>
      </c>
    </row>
    <row r="216" spans="1:97" x14ac:dyDescent="0.25">
      <c r="A216" s="30">
        <v>3.2250999437137038</v>
      </c>
      <c r="E216"/>
      <c r="Q216" s="27" t="s">
        <v>8</v>
      </c>
      <c r="R216" s="27" t="s">
        <v>7</v>
      </c>
      <c r="BY216" s="27" t="s">
        <v>8</v>
      </c>
      <c r="BZ216" s="27" t="s">
        <v>7</v>
      </c>
      <c r="CD216" s="27" t="s">
        <v>7</v>
      </c>
      <c r="CE216" s="27" t="s">
        <v>8</v>
      </c>
      <c r="CF216" s="27" t="s">
        <v>7</v>
      </c>
      <c r="CG216" s="27" t="s">
        <v>8</v>
      </c>
      <c r="CH216" s="27" t="s">
        <v>7</v>
      </c>
      <c r="CO216" s="27" t="s">
        <v>8</v>
      </c>
      <c r="CP216" s="27" t="s">
        <v>7</v>
      </c>
      <c r="CQ216" s="27" t="s">
        <v>8</v>
      </c>
      <c r="CR216" s="27" t="s">
        <v>7</v>
      </c>
      <c r="CS216" s="27" t="s">
        <v>8</v>
      </c>
    </row>
    <row r="217" spans="1:97" x14ac:dyDescent="0.25">
      <c r="A217" s="30">
        <v>3.0715237559178128</v>
      </c>
      <c r="E217" t="s">
        <v>8</v>
      </c>
      <c r="K217" s="27" t="s">
        <v>8</v>
      </c>
      <c r="Q217" s="27" t="s">
        <v>8</v>
      </c>
      <c r="R217" s="27" t="s">
        <v>7</v>
      </c>
      <c r="BY217" s="27" t="s">
        <v>8</v>
      </c>
      <c r="CD217" s="27" t="s">
        <v>7</v>
      </c>
      <c r="CE217" s="27" t="s">
        <v>8</v>
      </c>
      <c r="CF217" s="27" t="s">
        <v>7</v>
      </c>
      <c r="CH217" s="27" t="s">
        <v>7</v>
      </c>
      <c r="CK217" s="27" t="s">
        <v>8</v>
      </c>
      <c r="CO217" s="27" t="s">
        <v>8</v>
      </c>
      <c r="CP217" s="27" t="s">
        <v>7</v>
      </c>
      <c r="CQ217" s="27" t="s">
        <v>8</v>
      </c>
      <c r="CR217" s="27" t="s">
        <v>7</v>
      </c>
    </row>
    <row r="218" spans="1:97" x14ac:dyDescent="0.25">
      <c r="A218" s="30">
        <v>2.9252607199217264</v>
      </c>
      <c r="E218" t="s">
        <v>8</v>
      </c>
      <c r="F218" s="27" t="s">
        <v>7</v>
      </c>
      <c r="G218" s="27" t="s">
        <v>8</v>
      </c>
      <c r="I218" s="27" t="s">
        <v>8</v>
      </c>
      <c r="K218" s="27" t="s">
        <v>8</v>
      </c>
      <c r="L218" s="27" t="s">
        <v>7</v>
      </c>
      <c r="Q218" s="27" t="s">
        <v>8</v>
      </c>
      <c r="R218" s="27" t="s">
        <v>7</v>
      </c>
      <c r="BY218" s="27" t="s">
        <v>8</v>
      </c>
      <c r="CD218" s="27" t="s">
        <v>7</v>
      </c>
      <c r="CH218" s="27" t="s">
        <v>7</v>
      </c>
      <c r="CK218" s="27" t="s">
        <v>8</v>
      </c>
      <c r="CL218" s="27" t="s">
        <v>7</v>
      </c>
      <c r="CO218" s="27" t="s">
        <v>8</v>
      </c>
      <c r="CP218" s="27" t="s">
        <v>7</v>
      </c>
    </row>
    <row r="219" spans="1:97" x14ac:dyDescent="0.25">
      <c r="A219" s="30">
        <v>2.7859625904016441</v>
      </c>
      <c r="E219" t="s">
        <v>8</v>
      </c>
      <c r="F219" s="27" t="s">
        <v>7</v>
      </c>
      <c r="G219" s="27" t="s">
        <v>8</v>
      </c>
      <c r="H219" s="27" t="s">
        <v>7</v>
      </c>
      <c r="I219" s="27" t="s">
        <v>8</v>
      </c>
      <c r="J219" s="27" t="s">
        <v>7</v>
      </c>
      <c r="K219" s="27" t="s">
        <v>8</v>
      </c>
      <c r="L219" s="27" t="s">
        <v>7</v>
      </c>
      <c r="Q219" s="27" t="s">
        <v>8</v>
      </c>
      <c r="R219" s="27" t="s">
        <v>7</v>
      </c>
      <c r="BY219" s="27" t="s">
        <v>8</v>
      </c>
      <c r="CH219" s="27" t="s">
        <v>7</v>
      </c>
      <c r="CI219" s="27" t="s">
        <v>8</v>
      </c>
      <c r="CK219" s="27" t="s">
        <v>8</v>
      </c>
      <c r="CL219" s="27" t="s">
        <v>7</v>
      </c>
      <c r="CM219" s="27" t="s">
        <v>8</v>
      </c>
      <c r="CO219" s="27" t="s">
        <v>8</v>
      </c>
    </row>
    <row r="220" spans="1:97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H220" s="27" t="s">
        <v>7</v>
      </c>
      <c r="I220" s="27" t="s">
        <v>8</v>
      </c>
      <c r="J220" s="27" t="s">
        <v>7</v>
      </c>
      <c r="K220" s="27" t="s">
        <v>8</v>
      </c>
      <c r="L220" s="27" t="s">
        <v>7</v>
      </c>
      <c r="O220" s="27" t="s">
        <v>8</v>
      </c>
      <c r="Q220" s="27" t="s">
        <v>8</v>
      </c>
      <c r="R220" s="27" t="s">
        <v>7</v>
      </c>
      <c r="BY220" s="27" t="s">
        <v>8</v>
      </c>
      <c r="CH220" s="27" t="s">
        <v>7</v>
      </c>
      <c r="CI220" s="27" t="s">
        <v>8</v>
      </c>
      <c r="CJ220" s="27" t="s">
        <v>7</v>
      </c>
      <c r="CK220" s="27" t="s">
        <v>8</v>
      </c>
      <c r="CL220" s="27" t="s">
        <v>7</v>
      </c>
      <c r="CM220" s="27" t="s">
        <v>8</v>
      </c>
      <c r="CN220" s="27" t="s">
        <v>7</v>
      </c>
      <c r="CO220" s="27" t="s">
        <v>8</v>
      </c>
    </row>
    <row r="221" spans="1:97" x14ac:dyDescent="0.25">
      <c r="A221" s="30">
        <v>2.5269501953756404</v>
      </c>
      <c r="E221" t="s">
        <v>8</v>
      </c>
      <c r="F221" s="27" t="s">
        <v>7</v>
      </c>
      <c r="H221" s="27" t="s">
        <v>7</v>
      </c>
      <c r="J221" s="27" t="s">
        <v>7</v>
      </c>
      <c r="L221" s="27" t="s">
        <v>7</v>
      </c>
      <c r="O221" s="27" t="s">
        <v>8</v>
      </c>
      <c r="P221" s="27" t="s">
        <v>7</v>
      </c>
      <c r="Q221" s="27" t="s">
        <v>8</v>
      </c>
      <c r="R221" s="27" t="s">
        <v>7</v>
      </c>
      <c r="BY221" s="27" t="s">
        <v>8</v>
      </c>
      <c r="CH221" s="27" t="s">
        <v>7</v>
      </c>
      <c r="CI221" s="27" t="s">
        <v>8</v>
      </c>
      <c r="CJ221" s="27" t="s">
        <v>7</v>
      </c>
      <c r="CK221" s="27" t="s">
        <v>8</v>
      </c>
      <c r="CL221" s="27" t="s">
        <v>7</v>
      </c>
      <c r="CM221" s="27" t="s">
        <v>8</v>
      </c>
      <c r="CN221" s="27" t="s">
        <v>7</v>
      </c>
      <c r="CO221" s="27" t="s">
        <v>8</v>
      </c>
    </row>
    <row r="222" spans="1:97" x14ac:dyDescent="0.25">
      <c r="A222" s="30">
        <v>2.4066192336910861</v>
      </c>
      <c r="E222" t="s">
        <v>8</v>
      </c>
      <c r="L222" s="27" t="s">
        <v>7</v>
      </c>
      <c r="M222" s="27" t="s">
        <v>8</v>
      </c>
      <c r="O222" s="27" t="s">
        <v>8</v>
      </c>
      <c r="P222" s="27" t="s">
        <v>7</v>
      </c>
      <c r="Q222" s="27" t="s">
        <v>8</v>
      </c>
      <c r="R222" s="27" t="s">
        <v>7</v>
      </c>
      <c r="BY222" s="27" t="s">
        <v>8</v>
      </c>
      <c r="CH222" s="27" t="s">
        <v>7</v>
      </c>
      <c r="CI222" s="27" t="s">
        <v>8</v>
      </c>
      <c r="CJ222" s="27" t="s">
        <v>7</v>
      </c>
      <c r="CK222" s="27" t="s">
        <v>8</v>
      </c>
      <c r="CL222" s="27" t="s">
        <v>7</v>
      </c>
      <c r="CM222" s="27" t="s">
        <v>8</v>
      </c>
      <c r="CN222" s="27" t="s">
        <v>7</v>
      </c>
      <c r="CO222" s="27" t="s">
        <v>8</v>
      </c>
    </row>
    <row r="223" spans="1:97" x14ac:dyDescent="0.25">
      <c r="A223" s="30">
        <v>2.2920183178010345</v>
      </c>
      <c r="E223" t="s">
        <v>8</v>
      </c>
      <c r="L223" s="27" t="s">
        <v>7</v>
      </c>
      <c r="M223" s="27" t="s">
        <v>8</v>
      </c>
      <c r="N223" s="27" t="s">
        <v>7</v>
      </c>
      <c r="O223" s="27" t="s">
        <v>8</v>
      </c>
      <c r="P223" s="27" t="s">
        <v>7</v>
      </c>
      <c r="R223" s="27" t="s">
        <v>7</v>
      </c>
      <c r="BY223" s="27" t="s">
        <v>8</v>
      </c>
      <c r="CH223" s="27" t="s">
        <v>7</v>
      </c>
      <c r="CJ223" s="27" t="s">
        <v>7</v>
      </c>
      <c r="CK223" s="27" t="s">
        <v>8</v>
      </c>
      <c r="CL223" s="27" t="s">
        <v>7</v>
      </c>
      <c r="CM223" s="27" t="s">
        <v>8</v>
      </c>
      <c r="CN223" s="27" t="s">
        <v>7</v>
      </c>
      <c r="CO223" s="27" t="s">
        <v>8</v>
      </c>
    </row>
    <row r="224" spans="1:97" x14ac:dyDescent="0.25">
      <c r="A224" s="30">
        <v>2.1828745883819374</v>
      </c>
      <c r="E224" t="s">
        <v>8</v>
      </c>
      <c r="L224" s="27" t="s">
        <v>7</v>
      </c>
      <c r="M224" s="27" t="s">
        <v>8</v>
      </c>
      <c r="N224" s="27" t="s">
        <v>7</v>
      </c>
      <c r="O224" s="27" t="s">
        <v>8</v>
      </c>
      <c r="R224" s="27" t="s">
        <v>7</v>
      </c>
      <c r="S224" s="27" t="s">
        <v>8</v>
      </c>
      <c r="BY224" s="27" t="s">
        <v>8</v>
      </c>
      <c r="CJ224" s="27" t="s">
        <v>7</v>
      </c>
      <c r="CL224" s="27" t="s">
        <v>7</v>
      </c>
      <c r="CM224" s="27" t="s">
        <v>8</v>
      </c>
      <c r="CN224" s="27" t="s">
        <v>7</v>
      </c>
      <c r="CO224" s="27" t="s">
        <v>8</v>
      </c>
    </row>
    <row r="225" spans="1:92" x14ac:dyDescent="0.25">
      <c r="A225" s="30">
        <v>2.0789281794113688</v>
      </c>
      <c r="E225" t="s">
        <v>8</v>
      </c>
      <c r="L225" s="27" t="s">
        <v>7</v>
      </c>
      <c r="M225" s="27" t="s">
        <v>8</v>
      </c>
      <c r="N225" s="27" t="s">
        <v>7</v>
      </c>
      <c r="R225" s="27" t="s">
        <v>7</v>
      </c>
      <c r="S225" s="27" t="s">
        <v>8</v>
      </c>
      <c r="T225" s="27" t="s">
        <v>7</v>
      </c>
      <c r="BY225" s="27" t="s">
        <v>8</v>
      </c>
      <c r="CL225" s="27" t="s">
        <v>7</v>
      </c>
      <c r="CN225" s="27" t="s">
        <v>7</v>
      </c>
    </row>
    <row r="226" spans="1:92" x14ac:dyDescent="0.25">
      <c r="A226" s="30">
        <v>1.9799315994393987</v>
      </c>
      <c r="E226" t="s">
        <v>8</v>
      </c>
      <c r="L226" s="27" t="s">
        <v>7</v>
      </c>
      <c r="R226" s="27" t="s">
        <v>7</v>
      </c>
      <c r="S226" s="27" t="s">
        <v>8</v>
      </c>
      <c r="T226" s="27" t="s">
        <v>7</v>
      </c>
      <c r="BY226" s="27" t="s">
        <v>8</v>
      </c>
    </row>
    <row r="227" spans="1:92" x14ac:dyDescent="0.25">
      <c r="A227" s="30">
        <v>1.8856491423232367</v>
      </c>
      <c r="E227" t="s">
        <v>8</v>
      </c>
      <c r="R227" s="27" t="s">
        <v>7</v>
      </c>
      <c r="S227" s="27" t="s">
        <v>8</v>
      </c>
      <c r="T227" s="27" t="s">
        <v>7</v>
      </c>
      <c r="BY227" s="27" t="s">
        <v>8</v>
      </c>
    </row>
    <row r="228" spans="1:92" x14ac:dyDescent="0.25">
      <c r="A228" s="30">
        <v>1.7958563260221301</v>
      </c>
      <c r="C228" s="7"/>
      <c r="D228"/>
      <c r="E228" t="s">
        <v>8</v>
      </c>
      <c r="R228" s="27" t="s">
        <v>7</v>
      </c>
      <c r="S228" s="27" t="s">
        <v>8</v>
      </c>
      <c r="T228" s="27" t="s">
        <v>7</v>
      </c>
      <c r="BW228" s="27" t="s">
        <v>8</v>
      </c>
      <c r="BY228" s="27" t="s">
        <v>8</v>
      </c>
    </row>
    <row r="229" spans="1:92" x14ac:dyDescent="0.25">
      <c r="A229" s="30">
        <v>1.7103393581163142</v>
      </c>
      <c r="E229" t="s">
        <v>8</v>
      </c>
      <c r="R229" s="31" t="s">
        <v>7</v>
      </c>
      <c r="T229" s="27" t="s">
        <v>7</v>
      </c>
      <c r="U229" s="27" t="s">
        <v>8</v>
      </c>
      <c r="AU229" s="27" t="s">
        <v>8</v>
      </c>
      <c r="BW229" s="27" t="s">
        <v>8</v>
      </c>
      <c r="BX229" s="27" t="s">
        <v>7</v>
      </c>
      <c r="BY229" s="27" t="s">
        <v>8</v>
      </c>
    </row>
    <row r="230" spans="1:92" x14ac:dyDescent="0.25">
      <c r="A230" s="30">
        <v>1.628894626777442</v>
      </c>
      <c r="E230" t="s">
        <v>8</v>
      </c>
      <c r="T230" s="27" t="s">
        <v>7</v>
      </c>
      <c r="U230" s="27" t="s">
        <v>8</v>
      </c>
      <c r="V230" s="27" t="s">
        <v>7</v>
      </c>
      <c r="W230" s="27" t="s">
        <v>8</v>
      </c>
      <c r="AU230" s="27" t="s">
        <v>8</v>
      </c>
      <c r="AV230" s="27" t="s">
        <v>7</v>
      </c>
      <c r="BW230" s="27" t="s">
        <v>8</v>
      </c>
      <c r="BX230" s="27" t="s">
        <v>7</v>
      </c>
      <c r="BY230" s="27" t="s">
        <v>8</v>
      </c>
    </row>
    <row r="231" spans="1:92" x14ac:dyDescent="0.25">
      <c r="A231" s="30">
        <v>1.5513282159785162</v>
      </c>
      <c r="C231"/>
      <c r="D231"/>
      <c r="E231" t="s">
        <v>8</v>
      </c>
      <c r="T231" s="27" t="s">
        <v>7</v>
      </c>
      <c r="U231" s="27" t="s">
        <v>8</v>
      </c>
      <c r="V231" s="27" t="s">
        <v>7</v>
      </c>
      <c r="W231" s="27" t="s">
        <v>8</v>
      </c>
      <c r="X231" s="27" t="s">
        <v>7</v>
      </c>
      <c r="AS231" s="27" t="s">
        <v>8</v>
      </c>
      <c r="AU231" s="27" t="s">
        <v>8</v>
      </c>
      <c r="AV231" s="27" t="s">
        <v>7</v>
      </c>
      <c r="AW231" s="27" t="s">
        <v>8</v>
      </c>
      <c r="BU231" s="27" t="s">
        <v>8</v>
      </c>
      <c r="BW231" s="27" t="s">
        <v>8</v>
      </c>
      <c r="BX231" s="27" t="s">
        <v>7</v>
      </c>
      <c r="BY231" s="27" t="s">
        <v>8</v>
      </c>
    </row>
    <row r="232" spans="1:92" x14ac:dyDescent="0.25">
      <c r="A232" s="30">
        <v>1.477455443789063</v>
      </c>
      <c r="E232" t="s">
        <v>8</v>
      </c>
      <c r="T232" s="27" t="s">
        <v>7</v>
      </c>
      <c r="V232" s="27" t="s">
        <v>7</v>
      </c>
      <c r="W232" s="27" t="s">
        <v>8</v>
      </c>
      <c r="X232" s="27" t="s">
        <v>7</v>
      </c>
      <c r="AS232" s="27" t="s">
        <v>8</v>
      </c>
      <c r="AT232" s="27" t="s">
        <v>7</v>
      </c>
      <c r="AU232" s="27" t="s">
        <v>8</v>
      </c>
      <c r="AV232" s="27" t="s">
        <v>7</v>
      </c>
      <c r="AW232" s="27" t="s">
        <v>8</v>
      </c>
      <c r="AX232" s="27" t="s">
        <v>7</v>
      </c>
      <c r="BA232" s="27" t="s">
        <v>8</v>
      </c>
      <c r="BU232" s="27" t="s">
        <v>8</v>
      </c>
      <c r="BV232" s="27" t="s">
        <v>7</v>
      </c>
      <c r="BW232" s="27" t="s">
        <v>8</v>
      </c>
      <c r="BX232" s="27" t="s">
        <v>7</v>
      </c>
      <c r="BY232" s="27" t="s">
        <v>8</v>
      </c>
    </row>
    <row r="233" spans="1:92" x14ac:dyDescent="0.25">
      <c r="A233" s="30">
        <v>1.4071004226562505</v>
      </c>
      <c r="E233" t="s">
        <v>8</v>
      </c>
      <c r="V233" s="27" t="s">
        <v>7</v>
      </c>
      <c r="W233" s="27" t="s">
        <v>8</v>
      </c>
      <c r="X233" s="27" t="s">
        <v>7</v>
      </c>
      <c r="AS233" s="27" t="s">
        <v>8</v>
      </c>
      <c r="AT233" s="27" t="s">
        <v>7</v>
      </c>
      <c r="AU233" s="27" t="s">
        <v>8</v>
      </c>
      <c r="AV233" s="27" t="s">
        <v>7</v>
      </c>
      <c r="AW233" s="27" t="s">
        <v>8</v>
      </c>
      <c r="AX233" s="27" t="s">
        <v>7</v>
      </c>
      <c r="AY233" s="27" t="s">
        <v>8</v>
      </c>
      <c r="BA233" s="27" t="s">
        <v>8</v>
      </c>
      <c r="BB233" s="27" t="s">
        <v>7</v>
      </c>
      <c r="BU233" s="27" t="s">
        <v>8</v>
      </c>
      <c r="BV233" s="27" t="s">
        <v>7</v>
      </c>
      <c r="BW233" s="27" t="s">
        <v>8</v>
      </c>
      <c r="BX233" s="27" t="s">
        <v>7</v>
      </c>
    </row>
    <row r="234" spans="1:92" x14ac:dyDescent="0.25">
      <c r="A234" s="30">
        <v>1.3400956406250004</v>
      </c>
      <c r="E234" t="s">
        <v>8</v>
      </c>
      <c r="V234" s="27" t="s">
        <v>7</v>
      </c>
      <c r="X234" s="27" t="s">
        <v>7</v>
      </c>
      <c r="Y234" s="27" t="s">
        <v>8</v>
      </c>
      <c r="AS234" s="27" t="s">
        <v>8</v>
      </c>
      <c r="AT234" s="27" t="s">
        <v>7</v>
      </c>
      <c r="AV234" s="27" t="s">
        <v>7</v>
      </c>
      <c r="AW234" s="27" t="s">
        <v>8</v>
      </c>
      <c r="AX234" s="27" t="s">
        <v>7</v>
      </c>
      <c r="AY234" s="27" t="s">
        <v>8</v>
      </c>
      <c r="AZ234" s="27" t="s">
        <v>7</v>
      </c>
      <c r="BA234" s="27" t="s">
        <v>8</v>
      </c>
      <c r="BB234" s="27" t="s">
        <v>7</v>
      </c>
      <c r="BU234" s="27" t="s">
        <v>8</v>
      </c>
      <c r="BV234" s="27" t="s">
        <v>7</v>
      </c>
    </row>
    <row r="235" spans="1:92" x14ac:dyDescent="0.25">
      <c r="A235" s="30">
        <v>1.2762815625000004</v>
      </c>
      <c r="C235"/>
      <c r="E235" t="s">
        <v>8</v>
      </c>
      <c r="X235" s="27" t="s">
        <v>7</v>
      </c>
      <c r="Y235" s="27" t="s">
        <v>8</v>
      </c>
      <c r="Z235" s="27" t="s">
        <v>7</v>
      </c>
      <c r="AS235" s="27" t="s">
        <v>8</v>
      </c>
      <c r="AV235" s="27" t="s">
        <v>7</v>
      </c>
      <c r="AW235" s="27" t="s">
        <v>8</v>
      </c>
      <c r="AX235" s="27" t="s">
        <v>7</v>
      </c>
      <c r="AY235" s="27" t="s">
        <v>8</v>
      </c>
      <c r="AZ235" s="27" t="s">
        <v>7</v>
      </c>
      <c r="BA235" s="27" t="s">
        <v>8</v>
      </c>
      <c r="BB235" s="27" t="s">
        <v>7</v>
      </c>
      <c r="BQ235" s="27" t="s">
        <v>8</v>
      </c>
      <c r="BS235" s="27" t="s">
        <v>8</v>
      </c>
      <c r="BU235" s="27" t="s">
        <v>8</v>
      </c>
    </row>
    <row r="236" spans="1:92" x14ac:dyDescent="0.25">
      <c r="A236" s="30">
        <v>1.2155062500000002</v>
      </c>
      <c r="E236" t="s">
        <v>8</v>
      </c>
      <c r="X236" s="27" t="s">
        <v>7</v>
      </c>
      <c r="Y236" s="27" t="s">
        <v>8</v>
      </c>
      <c r="Z236" s="27" t="s">
        <v>7</v>
      </c>
      <c r="AA236" s="27" t="s">
        <v>8</v>
      </c>
      <c r="AC236" s="27" t="s">
        <v>8</v>
      </c>
      <c r="AS236" s="27" t="s">
        <v>8</v>
      </c>
      <c r="AV236" s="27" t="s">
        <v>7</v>
      </c>
      <c r="AX236" s="27" t="s">
        <v>7</v>
      </c>
      <c r="AY236" s="27" t="s">
        <v>8</v>
      </c>
      <c r="AZ236" s="27" t="s">
        <v>7</v>
      </c>
      <c r="BA236" s="27" t="s">
        <v>8</v>
      </c>
      <c r="BB236" s="27" t="s">
        <v>7</v>
      </c>
      <c r="BQ236" s="27" t="s">
        <v>8</v>
      </c>
      <c r="BR236" s="27" t="s">
        <v>7</v>
      </c>
      <c r="BS236" s="27" t="s">
        <v>8</v>
      </c>
      <c r="BT236" s="27" t="s">
        <v>7</v>
      </c>
      <c r="BU236" s="27" t="s">
        <v>8</v>
      </c>
    </row>
    <row r="237" spans="1:9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X237" s="27" t="s">
        <v>7</v>
      </c>
      <c r="Z237" s="27" t="s">
        <v>7</v>
      </c>
      <c r="AA237" s="27" t="s">
        <v>8</v>
      </c>
      <c r="AB237" s="27" t="s">
        <v>7</v>
      </c>
      <c r="AC237" s="27" t="s">
        <v>8</v>
      </c>
      <c r="AD237" s="27" t="s">
        <v>7</v>
      </c>
      <c r="AS237" s="27" t="s">
        <v>8</v>
      </c>
      <c r="AX237" s="27" t="s">
        <v>7</v>
      </c>
      <c r="AY237" s="27" t="s">
        <v>8</v>
      </c>
      <c r="AZ237" s="27" t="s">
        <v>7</v>
      </c>
      <c r="BA237" s="27" t="s">
        <v>8</v>
      </c>
      <c r="BB237" s="27" t="s">
        <v>7</v>
      </c>
      <c r="BK237" s="27" t="s">
        <v>8</v>
      </c>
      <c r="BM237" s="27" t="s">
        <v>8</v>
      </c>
      <c r="BO237" s="27" t="s">
        <v>8</v>
      </c>
      <c r="BQ237" s="27" t="s">
        <v>8</v>
      </c>
      <c r="BR237" s="27" t="s">
        <v>7</v>
      </c>
      <c r="BS237" s="27" t="s">
        <v>8</v>
      </c>
      <c r="BT237" s="27" t="s">
        <v>7</v>
      </c>
      <c r="BU237" s="27" t="s">
        <v>8</v>
      </c>
    </row>
    <row r="238" spans="1:92" x14ac:dyDescent="0.25">
      <c r="A238" s="30">
        <v>1.1025</v>
      </c>
      <c r="E238" t="s">
        <v>8</v>
      </c>
      <c r="Z238" s="27" t="s">
        <v>7</v>
      </c>
      <c r="AA238" s="27" t="s">
        <v>8</v>
      </c>
      <c r="AB238" s="27" t="s">
        <v>7</v>
      </c>
      <c r="AC238" s="27" t="s">
        <v>8</v>
      </c>
      <c r="AD238" s="27" t="s">
        <v>7</v>
      </c>
      <c r="AQ238" s="27" t="s">
        <v>8</v>
      </c>
      <c r="AS238" s="27" t="s">
        <v>8</v>
      </c>
      <c r="AX238" s="27" t="s">
        <v>7</v>
      </c>
      <c r="AZ238" s="27" t="s">
        <v>7</v>
      </c>
      <c r="BA238" s="27" t="s">
        <v>8</v>
      </c>
      <c r="BB238" s="27" t="s">
        <v>7</v>
      </c>
      <c r="BI238" s="27" t="s">
        <v>8</v>
      </c>
      <c r="BK238" s="27" t="s">
        <v>8</v>
      </c>
      <c r="BL238" s="27" t="s">
        <v>7</v>
      </c>
      <c r="BM238" s="27" t="s">
        <v>8</v>
      </c>
      <c r="BN238" s="27" t="s">
        <v>7</v>
      </c>
      <c r="BO238" s="27" t="s">
        <v>8</v>
      </c>
      <c r="BP238" s="27" t="s">
        <v>7</v>
      </c>
      <c r="BQ238" s="27" t="s">
        <v>8</v>
      </c>
      <c r="BR238" s="27" t="s">
        <v>7</v>
      </c>
      <c r="BT238" s="27" t="s">
        <v>7</v>
      </c>
      <c r="BU238" s="27" t="s">
        <v>8</v>
      </c>
    </row>
    <row r="239" spans="1:92" x14ac:dyDescent="0.25">
      <c r="A239" s="30">
        <v>1.05</v>
      </c>
      <c r="E239" t="s">
        <v>8</v>
      </c>
      <c r="Z239" s="27" t="s">
        <v>7</v>
      </c>
      <c r="AA239" s="27" t="s">
        <v>8</v>
      </c>
      <c r="AB239" s="27" t="s">
        <v>7</v>
      </c>
      <c r="AC239" s="27" t="s">
        <v>8</v>
      </c>
      <c r="AD239" s="27" t="s">
        <v>7</v>
      </c>
      <c r="AQ239" s="27" t="s">
        <v>8</v>
      </c>
      <c r="AR239" s="27" t="s">
        <v>7</v>
      </c>
      <c r="AS239" s="27" t="s">
        <v>8</v>
      </c>
      <c r="AZ239" s="27" t="s">
        <v>7</v>
      </c>
      <c r="BB239" s="27" t="s">
        <v>7</v>
      </c>
      <c r="BG239" s="27" t="s">
        <v>8</v>
      </c>
      <c r="BI239" s="27" t="s">
        <v>8</v>
      </c>
      <c r="BJ239" s="27" t="s">
        <v>7</v>
      </c>
      <c r="BK239" s="27" t="s">
        <v>8</v>
      </c>
      <c r="BL239" s="27" t="s">
        <v>7</v>
      </c>
      <c r="BM239" s="27" t="s">
        <v>8</v>
      </c>
      <c r="BN239" s="27" t="s">
        <v>7</v>
      </c>
      <c r="BO239" s="27" t="s">
        <v>8</v>
      </c>
      <c r="BP239" s="27" t="s">
        <v>7</v>
      </c>
      <c r="BQ239" s="27" t="s">
        <v>8</v>
      </c>
      <c r="BT239" s="27" t="s">
        <v>7</v>
      </c>
    </row>
    <row r="240" spans="1:92" x14ac:dyDescent="0.25">
      <c r="A240" s="30">
        <v>1</v>
      </c>
      <c r="E240" s="29" t="s">
        <v>8</v>
      </c>
      <c r="Z240" s="27" t="s">
        <v>7</v>
      </c>
      <c r="AB240" s="27" t="s">
        <v>7</v>
      </c>
      <c r="AD240" s="27" t="s">
        <v>7</v>
      </c>
      <c r="AQ240" s="27" t="s">
        <v>8</v>
      </c>
      <c r="AR240" s="27" t="s">
        <v>7</v>
      </c>
      <c r="AS240" s="27" t="s">
        <v>8</v>
      </c>
      <c r="BB240" s="27" t="s">
        <v>7</v>
      </c>
      <c r="BG240" s="27" t="s">
        <v>8</v>
      </c>
      <c r="BH240" s="27" t="s">
        <v>7</v>
      </c>
      <c r="BI240" s="27" t="s">
        <v>8</v>
      </c>
      <c r="BJ240" s="27" t="s">
        <v>7</v>
      </c>
      <c r="BK240" s="27" t="s">
        <v>8</v>
      </c>
      <c r="BL240" s="27" t="s">
        <v>7</v>
      </c>
      <c r="BM240" s="27" t="s">
        <v>8</v>
      </c>
      <c r="BN240" s="27" t="s">
        <v>7</v>
      </c>
      <c r="BO240" s="27" t="s">
        <v>8</v>
      </c>
      <c r="BP240" s="27" t="s">
        <v>7</v>
      </c>
    </row>
    <row r="241" spans="1:67" x14ac:dyDescent="0.25">
      <c r="A241" s="30">
        <v>0.952380952380952</v>
      </c>
      <c r="B241"/>
      <c r="C241"/>
      <c r="D241"/>
      <c r="E241"/>
      <c r="AD241" s="27" t="s">
        <v>7</v>
      </c>
      <c r="AE241" s="27" t="s">
        <v>8</v>
      </c>
      <c r="AO241" s="27" t="s">
        <v>8</v>
      </c>
      <c r="AQ241" s="27" t="s">
        <v>8</v>
      </c>
      <c r="AR241" s="27" t="s">
        <v>7</v>
      </c>
      <c r="AS241" s="27" t="s">
        <v>8</v>
      </c>
      <c r="BB241" s="27" t="s">
        <v>7</v>
      </c>
      <c r="BG241" s="27" t="s">
        <v>8</v>
      </c>
      <c r="BH241" s="27" t="s">
        <v>7</v>
      </c>
      <c r="BI241" s="27" t="s">
        <v>8</v>
      </c>
      <c r="BJ241" s="27" t="s">
        <v>7</v>
      </c>
      <c r="BK241" s="27" t="s">
        <v>8</v>
      </c>
      <c r="BL241" s="27" t="s">
        <v>7</v>
      </c>
      <c r="BN241" s="27" t="s">
        <v>7</v>
      </c>
      <c r="BO241" s="27" t="s">
        <v>8</v>
      </c>
    </row>
    <row r="242" spans="1:67" x14ac:dyDescent="0.25">
      <c r="A242" s="30">
        <v>0.90702947845804915</v>
      </c>
      <c r="B242"/>
      <c r="C242"/>
      <c r="D242"/>
      <c r="E242"/>
      <c r="AD242" s="27" t="s">
        <v>7</v>
      </c>
      <c r="AE242" s="27" t="s">
        <v>8</v>
      </c>
      <c r="AF242" s="27" t="s">
        <v>7</v>
      </c>
      <c r="AM242" s="27" t="s">
        <v>8</v>
      </c>
      <c r="AO242" s="27" t="s">
        <v>8</v>
      </c>
      <c r="AP242" s="27" t="s">
        <v>7</v>
      </c>
      <c r="AQ242" s="27" t="s">
        <v>8</v>
      </c>
      <c r="AR242" s="27" t="s">
        <v>7</v>
      </c>
      <c r="AS242" s="27" t="s">
        <v>8</v>
      </c>
      <c r="BB242" s="27" t="s">
        <v>7</v>
      </c>
      <c r="BC242" s="27" t="s">
        <v>8</v>
      </c>
      <c r="BE242" s="27" t="s">
        <v>8</v>
      </c>
      <c r="BG242" s="27" t="s">
        <v>8</v>
      </c>
      <c r="BH242" s="27" t="s">
        <v>7</v>
      </c>
      <c r="BI242" s="27" t="s">
        <v>8</v>
      </c>
      <c r="BJ242" s="27" t="s">
        <v>7</v>
      </c>
      <c r="BN242" s="27" t="s">
        <v>7</v>
      </c>
    </row>
    <row r="243" spans="1:67" x14ac:dyDescent="0.25">
      <c r="A243" s="30">
        <v>0.86383759853147501</v>
      </c>
      <c r="B243"/>
      <c r="C243"/>
      <c r="D243"/>
      <c r="E243"/>
      <c r="AD243" s="27" t="s">
        <v>7</v>
      </c>
      <c r="AE243" s="27" t="s">
        <v>8</v>
      </c>
      <c r="AF243" s="27" t="s">
        <v>7</v>
      </c>
      <c r="AG243" s="27" t="s">
        <v>8</v>
      </c>
      <c r="AM243" s="27" t="s">
        <v>8</v>
      </c>
      <c r="AN243" s="27" t="s">
        <v>7</v>
      </c>
      <c r="AO243" s="27" t="s">
        <v>8</v>
      </c>
      <c r="AP243" s="27" t="s">
        <v>7</v>
      </c>
      <c r="AQ243" s="27" t="s">
        <v>8</v>
      </c>
      <c r="AR243" s="27" t="s">
        <v>7</v>
      </c>
      <c r="AS243" s="27" t="s">
        <v>8</v>
      </c>
      <c r="BB243" s="27" t="s">
        <v>7</v>
      </c>
      <c r="BC243" s="27" t="s">
        <v>8</v>
      </c>
      <c r="BD243" s="27" t="s">
        <v>7</v>
      </c>
      <c r="BE243" s="27" t="s">
        <v>8</v>
      </c>
      <c r="BF243" s="27" t="s">
        <v>7</v>
      </c>
      <c r="BG243" s="27" t="s">
        <v>8</v>
      </c>
      <c r="BH243" s="27" t="s">
        <v>7</v>
      </c>
      <c r="BI243" s="27" t="s">
        <v>8</v>
      </c>
    </row>
    <row r="244" spans="1:67" x14ac:dyDescent="0.25">
      <c r="A244" s="30">
        <v>0.82270247479188063</v>
      </c>
      <c r="B244"/>
      <c r="C244"/>
      <c r="D244"/>
      <c r="E244"/>
      <c r="AD244" s="27" t="s">
        <v>7</v>
      </c>
      <c r="AE244" s="27" t="s">
        <v>8</v>
      </c>
      <c r="AF244" s="27" t="s">
        <v>7</v>
      </c>
      <c r="AG244" s="27" t="s">
        <v>8</v>
      </c>
      <c r="AH244" s="27" t="s">
        <v>7</v>
      </c>
      <c r="AM244" s="27" t="s">
        <v>8</v>
      </c>
      <c r="AN244" s="27" t="s">
        <v>7</v>
      </c>
      <c r="AO244" s="27" t="s">
        <v>8</v>
      </c>
      <c r="AP244" s="27" t="s">
        <v>7</v>
      </c>
      <c r="AQ244" s="27" t="s">
        <v>8</v>
      </c>
      <c r="AR244" s="27" t="s">
        <v>7</v>
      </c>
      <c r="BB244" s="27" t="s">
        <v>7</v>
      </c>
      <c r="BC244" s="27" t="s">
        <v>8</v>
      </c>
      <c r="BD244" s="27" t="s">
        <v>7</v>
      </c>
      <c r="BE244" s="27" t="s">
        <v>8</v>
      </c>
      <c r="BF244" s="27" t="s">
        <v>7</v>
      </c>
      <c r="BG244" s="27" t="s">
        <v>8</v>
      </c>
      <c r="BH244" s="27" t="s">
        <v>7</v>
      </c>
      <c r="BI244" s="27" t="s">
        <v>8</v>
      </c>
    </row>
    <row r="245" spans="1:67" x14ac:dyDescent="0.25">
      <c r="A245" s="30">
        <v>0.78352616646845741</v>
      </c>
      <c r="B245"/>
      <c r="C245"/>
      <c r="D245"/>
      <c r="E245"/>
      <c r="AD245" s="27" t="s">
        <v>7</v>
      </c>
      <c r="AF245" s="27" t="s">
        <v>7</v>
      </c>
      <c r="AG245" s="27" t="s">
        <v>8</v>
      </c>
      <c r="AH245" s="27" t="s">
        <v>7</v>
      </c>
      <c r="AM245" s="27" t="s">
        <v>8</v>
      </c>
      <c r="AN245" s="27" t="s">
        <v>7</v>
      </c>
      <c r="AO245" s="27" t="s">
        <v>8</v>
      </c>
      <c r="AP245" s="27" t="s">
        <v>7</v>
      </c>
      <c r="BB245" s="27" t="s">
        <v>7</v>
      </c>
      <c r="BC245" s="27" t="s">
        <v>8</v>
      </c>
      <c r="BD245" s="27" t="s">
        <v>7</v>
      </c>
      <c r="BE245" s="27" t="s">
        <v>8</v>
      </c>
      <c r="BF245" s="27" t="s">
        <v>7</v>
      </c>
      <c r="BH245" s="27" t="s">
        <v>7</v>
      </c>
    </row>
    <row r="246" spans="1:67" x14ac:dyDescent="0.25">
      <c r="A246" s="30">
        <v>0.74621539663662584</v>
      </c>
      <c r="B246"/>
      <c r="C246"/>
      <c r="D246"/>
      <c r="E246"/>
      <c r="AF246" s="27" t="s">
        <v>7</v>
      </c>
      <c r="AG246" s="27" t="s">
        <v>8</v>
      </c>
      <c r="AH246" s="27" t="s">
        <v>7</v>
      </c>
      <c r="AM246" s="27" t="s">
        <v>8</v>
      </c>
      <c r="AN246" s="27" t="s">
        <v>7</v>
      </c>
      <c r="BB246" s="27" t="s">
        <v>7</v>
      </c>
      <c r="BC246" s="27" t="s">
        <v>8</v>
      </c>
      <c r="BD246" s="27" t="s">
        <v>7</v>
      </c>
      <c r="BE246" s="27" t="s">
        <v>8</v>
      </c>
    </row>
    <row r="247" spans="1:67" x14ac:dyDescent="0.25">
      <c r="A247" s="30">
        <v>0.71068133013011958</v>
      </c>
      <c r="B247"/>
      <c r="C247"/>
      <c r="D247"/>
      <c r="E247"/>
      <c r="AF247" s="27" t="s">
        <v>7</v>
      </c>
      <c r="AH247" s="27" t="s">
        <v>7</v>
      </c>
      <c r="AM247" s="27" t="s">
        <v>8</v>
      </c>
      <c r="BB247" s="27" t="s">
        <v>7</v>
      </c>
      <c r="BC247" s="27" t="s">
        <v>8</v>
      </c>
      <c r="BD247" s="27" t="s">
        <v>7</v>
      </c>
      <c r="BE247" s="27" t="s">
        <v>8</v>
      </c>
    </row>
    <row r="248" spans="1:67" x14ac:dyDescent="0.25">
      <c r="A248" s="30">
        <v>0.676839362028685</v>
      </c>
      <c r="B248"/>
      <c r="C248"/>
      <c r="D248"/>
      <c r="E248"/>
      <c r="AH248" s="27" t="s">
        <v>7</v>
      </c>
      <c r="AM248" s="27" t="s">
        <v>8</v>
      </c>
      <c r="BB248" s="27" t="s">
        <v>7</v>
      </c>
      <c r="BC248" s="27" t="s">
        <v>8</v>
      </c>
      <c r="BD248" s="27" t="s">
        <v>7</v>
      </c>
    </row>
    <row r="249" spans="1:67" x14ac:dyDescent="0.25">
      <c r="A249" s="30">
        <v>0.64460891621779492</v>
      </c>
      <c r="B249"/>
      <c r="C249"/>
      <c r="D249"/>
      <c r="E249"/>
      <c r="AH249" s="27" t="s">
        <v>7</v>
      </c>
      <c r="AM249" s="27" t="s">
        <v>8</v>
      </c>
      <c r="BB249" s="27" t="s">
        <v>7</v>
      </c>
      <c r="BC249" s="27" t="s">
        <v>8</v>
      </c>
    </row>
    <row r="250" spans="1:67" x14ac:dyDescent="0.25">
      <c r="A250" s="30">
        <v>0.61391325354075688</v>
      </c>
      <c r="B250"/>
      <c r="C250"/>
      <c r="D250"/>
      <c r="E250"/>
      <c r="AH250" s="27" t="s">
        <v>7</v>
      </c>
      <c r="AI250" s="27" t="s">
        <v>8</v>
      </c>
      <c r="AK250" s="27" t="s">
        <v>8</v>
      </c>
      <c r="AM250" s="27" t="s">
        <v>8</v>
      </c>
      <c r="BB250" s="27" t="s">
        <v>7</v>
      </c>
      <c r="BC250" s="27" t="s">
        <v>8</v>
      </c>
    </row>
    <row r="251" spans="1:67" x14ac:dyDescent="0.25">
      <c r="A251" s="30">
        <v>0.58467928908643485</v>
      </c>
      <c r="B251"/>
      <c r="C251"/>
      <c r="D251"/>
      <c r="E251"/>
      <c r="AH251" s="27" t="s">
        <v>7</v>
      </c>
      <c r="AI251" s="27" t="s">
        <v>8</v>
      </c>
      <c r="AJ251" s="27" t="s">
        <v>7</v>
      </c>
      <c r="AK251" s="27" t="s">
        <v>8</v>
      </c>
      <c r="AL251" s="27" t="s">
        <v>7</v>
      </c>
      <c r="AM251" s="27" t="s">
        <v>8</v>
      </c>
      <c r="BB251" s="27" t="s">
        <v>7</v>
      </c>
      <c r="BC251" s="27" t="s">
        <v>8</v>
      </c>
    </row>
    <row r="252" spans="1:67" x14ac:dyDescent="0.25">
      <c r="A252" s="30">
        <v>0.55683741817755672</v>
      </c>
      <c r="B252"/>
      <c r="C252"/>
      <c r="D252"/>
      <c r="E252"/>
      <c r="AH252" s="27" t="s">
        <v>7</v>
      </c>
      <c r="AI252" s="27" t="s">
        <v>8</v>
      </c>
      <c r="AJ252" s="27" t="s">
        <v>7</v>
      </c>
      <c r="AK252" s="27" t="s">
        <v>8</v>
      </c>
      <c r="AL252" s="27" t="s">
        <v>7</v>
      </c>
      <c r="AM252" s="27" t="s">
        <v>8</v>
      </c>
      <c r="BB252" s="27" t="s">
        <v>7</v>
      </c>
    </row>
    <row r="253" spans="1:67" x14ac:dyDescent="0.25">
      <c r="A253" s="30">
        <v>0.53032135064529184</v>
      </c>
      <c r="B253"/>
      <c r="C253"/>
      <c r="D253"/>
      <c r="E253"/>
      <c r="AH253" s="27" t="s">
        <v>7</v>
      </c>
      <c r="AJ253" s="27" t="s">
        <v>7</v>
      </c>
      <c r="AK253" s="27" t="s">
        <v>8</v>
      </c>
      <c r="AL253" s="27" t="s">
        <v>7</v>
      </c>
    </row>
    <row r="254" spans="1:67" x14ac:dyDescent="0.25">
      <c r="A254" s="30">
        <v>0.50506795299551588</v>
      </c>
      <c r="B254"/>
      <c r="C254"/>
      <c r="D254"/>
      <c r="E254"/>
      <c r="AJ254" s="27" t="s">
        <v>7</v>
      </c>
      <c r="AK254" s="27" t="s">
        <v>8</v>
      </c>
    </row>
    <row r="255" spans="1:67" x14ac:dyDescent="0.25">
      <c r="A255" s="30">
        <v>0.48101709809096732</v>
      </c>
      <c r="E255"/>
      <c r="AJ255" s="27" t="s">
        <v>7</v>
      </c>
      <c r="AK255" s="27" t="s">
        <v>8</v>
      </c>
    </row>
    <row r="256" spans="1:67" x14ac:dyDescent="0.25">
      <c r="A256" s="30">
        <v>0.45811152199139726</v>
      </c>
      <c r="E256"/>
      <c r="AJ256" s="27" t="s">
        <v>7</v>
      </c>
      <c r="AK256" s="27" t="s">
        <v>8</v>
      </c>
    </row>
    <row r="257" spans="1:37" x14ac:dyDescent="0.25">
      <c r="A257" s="30">
        <v>0.43629668761085438</v>
      </c>
      <c r="B257"/>
      <c r="C257"/>
      <c r="D257"/>
      <c r="E257"/>
      <c r="AJ257" s="27" t="s">
        <v>7</v>
      </c>
      <c r="AK257" s="27" t="s">
        <v>8</v>
      </c>
    </row>
    <row r="258" spans="1:37" x14ac:dyDescent="0.25">
      <c r="A258" s="30">
        <v>0.41552065486748019</v>
      </c>
      <c r="B258"/>
      <c r="C258"/>
      <c r="D258"/>
      <c r="E258"/>
      <c r="AJ258" s="27" t="s">
        <v>7</v>
      </c>
      <c r="AK258" s="27" t="s">
        <v>8</v>
      </c>
    </row>
    <row r="259" spans="1:37" x14ac:dyDescent="0.25">
      <c r="A259" s="30">
        <v>0.39573395701664765</v>
      </c>
      <c r="B259"/>
      <c r="C259"/>
      <c r="D259"/>
      <c r="E259"/>
      <c r="AJ259" s="27" t="s">
        <v>7</v>
      </c>
      <c r="AK259" s="27" t="s">
        <v>8</v>
      </c>
    </row>
    <row r="260" spans="1:37" x14ac:dyDescent="0.25">
      <c r="A260" s="30">
        <v>0.37688948287299762</v>
      </c>
      <c r="B260"/>
      <c r="C260"/>
      <c r="D260"/>
      <c r="E260"/>
      <c r="AJ260" s="27" t="s">
        <v>7</v>
      </c>
      <c r="AK260" s="27" t="s">
        <v>8</v>
      </c>
    </row>
    <row r="261" spans="1:37" x14ac:dyDescent="0.25">
      <c r="A261" s="30">
        <v>0.35894236464094997</v>
      </c>
      <c r="B261"/>
      <c r="C261"/>
      <c r="D261"/>
      <c r="E261"/>
      <c r="AJ261" s="27" t="s">
        <v>7</v>
      </c>
      <c r="AK261" s="27" t="s">
        <v>8</v>
      </c>
    </row>
    <row r="262" spans="1:37" x14ac:dyDescent="0.25">
      <c r="A262" s="30">
        <v>0.34184987108661891</v>
      </c>
      <c r="B262"/>
      <c r="C262"/>
      <c r="D262"/>
      <c r="E262"/>
      <c r="AJ262" s="27" t="s">
        <v>7</v>
      </c>
      <c r="AK262" s="27" t="s">
        <v>8</v>
      </c>
    </row>
    <row r="263" spans="1:37" x14ac:dyDescent="0.25">
      <c r="A263" s="30">
        <v>0.32557130579677979</v>
      </c>
      <c r="B263"/>
      <c r="C263"/>
      <c r="D263"/>
      <c r="E263"/>
      <c r="AJ263" s="27" t="s">
        <v>7</v>
      </c>
      <c r="AK263" s="27" t="s">
        <v>8</v>
      </c>
    </row>
    <row r="264" spans="1:37" x14ac:dyDescent="0.25">
      <c r="A264" s="30">
        <v>0.3100679102826473</v>
      </c>
      <c r="B264"/>
      <c r="C264"/>
      <c r="D264"/>
      <c r="E264"/>
      <c r="AJ264" s="27" t="s">
        <v>7</v>
      </c>
      <c r="AK264" s="27" t="s">
        <v>8</v>
      </c>
    </row>
    <row r="265" spans="1:37" x14ac:dyDescent="0.25">
      <c r="A265" s="30">
        <v>0.2953027716977592</v>
      </c>
      <c r="B265"/>
      <c r="C265"/>
      <c r="D265"/>
      <c r="E265"/>
      <c r="AJ265" s="27" t="s">
        <v>7</v>
      </c>
      <c r="AK265" s="27" t="s">
        <v>8</v>
      </c>
    </row>
    <row r="266" spans="1:37" x14ac:dyDescent="0.25">
      <c r="A266" s="30">
        <v>0.28124073495024676</v>
      </c>
      <c r="B266"/>
      <c r="C266"/>
      <c r="D266"/>
      <c r="E266"/>
      <c r="AJ266" s="27" t="s">
        <v>7</v>
      </c>
      <c r="AK266" s="27" t="s">
        <v>8</v>
      </c>
    </row>
    <row r="267" spans="1:37" x14ac:dyDescent="0.25">
      <c r="A267" s="30">
        <v>0.26784831900023492</v>
      </c>
      <c r="B267"/>
      <c r="C267"/>
      <c r="D267"/>
      <c r="E267"/>
      <c r="AJ267" s="27" t="s">
        <v>7</v>
      </c>
    </row>
    <row r="268" spans="1:37" x14ac:dyDescent="0.25">
      <c r="A268" s="30">
        <v>0.25509363714308075</v>
      </c>
      <c r="B268"/>
      <c r="C268"/>
      <c r="D268"/>
      <c r="E268"/>
    </row>
    <row r="269" spans="1:37" x14ac:dyDescent="0.25">
      <c r="A269" s="30">
        <v>0.24294632108864825</v>
      </c>
      <c r="B269"/>
      <c r="C269"/>
      <c r="D269"/>
      <c r="E269"/>
    </row>
    <row r="270" spans="1:37" x14ac:dyDescent="0.25">
      <c r="A270" s="30">
        <v>0.23137744865585538</v>
      </c>
      <c r="B270"/>
      <c r="C270"/>
      <c r="D270"/>
      <c r="E270"/>
    </row>
    <row r="271" spans="1:37" x14ac:dyDescent="0.25">
      <c r="A271" s="30">
        <v>0.22035947491033836</v>
      </c>
      <c r="B271"/>
      <c r="C271"/>
      <c r="D271"/>
      <c r="E271"/>
    </row>
    <row r="272" spans="1:37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526" operator="equal">
      <formula>$U$1</formula>
    </cfRule>
    <cfRule type="cellIs" dxfId="67" priority="1527" operator="equal">
      <formula>$S$1</formula>
    </cfRule>
  </conditionalFormatting>
  <conditionalFormatting sqref="D136">
    <cfRule type="cellIs" dxfId="66" priority="1524" operator="equal">
      <formula>$S$1</formula>
    </cfRule>
    <cfRule type="cellIs" dxfId="65" priority="1525" operator="equal">
      <formula>$U$1</formula>
    </cfRule>
  </conditionalFormatting>
  <conditionalFormatting sqref="C162">
    <cfRule type="cellIs" dxfId="64" priority="1522" operator="equal">
      <formula>$U$1</formula>
    </cfRule>
    <cfRule type="cellIs" dxfId="63" priority="1523" operator="equal">
      <formula>$S$1</formula>
    </cfRule>
  </conditionalFormatting>
  <conditionalFormatting sqref="D162">
    <cfRule type="cellIs" dxfId="62" priority="1520" operator="equal">
      <formula>$S$1</formula>
    </cfRule>
    <cfRule type="cellIs" dxfId="61" priority="1521" operator="equal">
      <formula>$U$1</formula>
    </cfRule>
  </conditionalFormatting>
  <conditionalFormatting sqref="C187">
    <cfRule type="cellIs" dxfId="60" priority="1518" operator="equal">
      <formula>$U$1</formula>
    </cfRule>
    <cfRule type="cellIs" dxfId="59" priority="1519" operator="equal">
      <formula>$S$1</formula>
    </cfRule>
  </conditionalFormatting>
  <conditionalFormatting sqref="D187">
    <cfRule type="cellIs" dxfId="58" priority="1516" operator="equal">
      <formula>$S$1</formula>
    </cfRule>
    <cfRule type="cellIs" dxfId="57" priority="1517" operator="equal">
      <formula>$U$1</formula>
    </cfRule>
  </conditionalFormatting>
  <conditionalFormatting sqref="C212">
    <cfRule type="cellIs" dxfId="56" priority="1514" operator="equal">
      <formula>$U$1</formula>
    </cfRule>
    <cfRule type="cellIs" dxfId="55" priority="1515" operator="equal">
      <formula>$S$1</formula>
    </cfRule>
  </conditionalFormatting>
  <conditionalFormatting sqref="D212">
    <cfRule type="cellIs" dxfId="54" priority="1512" operator="equal">
      <formula>$S$1</formula>
    </cfRule>
    <cfRule type="cellIs" dxfId="53" priority="1513" operator="equal">
      <formula>$U$1</formula>
    </cfRule>
  </conditionalFormatting>
  <conditionalFormatting sqref="C237">
    <cfRule type="cellIs" dxfId="52" priority="1510" operator="equal">
      <formula>$U$1</formula>
    </cfRule>
    <cfRule type="cellIs" dxfId="51" priority="1511" operator="equal">
      <formula>$S$1</formula>
    </cfRule>
  </conditionalFormatting>
  <conditionalFormatting sqref="D237">
    <cfRule type="cellIs" dxfId="50" priority="1508" operator="equal">
      <formula>$S$1</formula>
    </cfRule>
    <cfRule type="cellIs" dxfId="49" priority="1509" operator="equal">
      <formula>$U$1</formula>
    </cfRule>
  </conditionalFormatting>
  <conditionalFormatting sqref="C106">
    <cfRule type="cellIs" dxfId="48" priority="1506" operator="equal">
      <formula>$U$1</formula>
    </cfRule>
    <cfRule type="cellIs" dxfId="47" priority="1507" operator="equal">
      <formula>$S$1</formula>
    </cfRule>
  </conditionalFormatting>
  <conditionalFormatting sqref="D106">
    <cfRule type="cellIs" dxfId="46" priority="1504" operator="equal">
      <formula>$S$1</formula>
    </cfRule>
    <cfRule type="cellIs" dxfId="45" priority="1505" operator="equal">
      <formula>$U$1</formula>
    </cfRule>
  </conditionalFormatting>
  <conditionalFormatting sqref="C81">
    <cfRule type="cellIs" dxfId="44" priority="1502" operator="equal">
      <formula>$U$1</formula>
    </cfRule>
    <cfRule type="cellIs" dxfId="43" priority="1503" operator="equal">
      <formula>$S$1</formula>
    </cfRule>
  </conditionalFormatting>
  <conditionalFormatting sqref="D81">
    <cfRule type="cellIs" dxfId="42" priority="1500" operator="equal">
      <formula>$S$1</formula>
    </cfRule>
    <cfRule type="cellIs" dxfId="41" priority="1501" operator="equal">
      <formula>$U$1</formula>
    </cfRule>
  </conditionalFormatting>
  <conditionalFormatting sqref="C56">
    <cfRule type="cellIs" dxfId="40" priority="1498" operator="equal">
      <formula>$U$1</formula>
    </cfRule>
    <cfRule type="cellIs" dxfId="39" priority="1499" operator="equal">
      <formula>$S$1</formula>
    </cfRule>
  </conditionalFormatting>
  <conditionalFormatting sqref="D56">
    <cfRule type="cellIs" dxfId="38" priority="1496" operator="equal">
      <formula>$S$1</formula>
    </cfRule>
    <cfRule type="cellIs" dxfId="37" priority="1497" operator="equal">
      <formula>$U$1</formula>
    </cfRule>
  </conditionalFormatting>
  <conditionalFormatting sqref="C31">
    <cfRule type="cellIs" dxfId="36" priority="1494" operator="equal">
      <formula>$U$1</formula>
    </cfRule>
    <cfRule type="cellIs" dxfId="35" priority="1495" operator="equal">
      <formula>$S$1</formula>
    </cfRule>
  </conditionalFormatting>
  <conditionalFormatting sqref="D31">
    <cfRule type="cellIs" dxfId="34" priority="1492" operator="equal">
      <formula>$S$1</formula>
    </cfRule>
    <cfRule type="cellIs" dxfId="33" priority="149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71" zoomScale="90" zoomScaleNormal="90" workbookViewId="0">
      <pane xSplit="4" topLeftCell="G1" activePane="topRight" state="frozen"/>
      <selection activeCell="A109" sqref="A109"/>
      <selection pane="topRight" activeCell="BK95" sqref="BK9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63" x14ac:dyDescent="0.25">
      <c r="A81" s="30">
        <v>45.259255568176073</v>
      </c>
      <c r="E81"/>
    </row>
    <row r="82" spans="1:63" x14ac:dyDescent="0.25">
      <c r="A82" s="30">
        <v>41.144777789250973</v>
      </c>
      <c r="E82"/>
      <c r="AO82" s="27" t="s">
        <v>8</v>
      </c>
    </row>
    <row r="83" spans="1:63" x14ac:dyDescent="0.25">
      <c r="A83" s="30">
        <v>37.404343444773609</v>
      </c>
      <c r="E83"/>
      <c r="AO83" s="27" t="s">
        <v>8</v>
      </c>
      <c r="AP83" s="27" t="s">
        <v>7</v>
      </c>
      <c r="AQ83" s="31" t="s">
        <v>8</v>
      </c>
    </row>
    <row r="84" spans="1:63" x14ac:dyDescent="0.25">
      <c r="A84" s="30">
        <v>34.003948586157826</v>
      </c>
      <c r="E84"/>
      <c r="AO84" s="27" t="s">
        <v>8</v>
      </c>
      <c r="AP84" s="27" t="s">
        <v>7</v>
      </c>
      <c r="AQ84" s="27" t="s">
        <v>8</v>
      </c>
      <c r="AR84" s="31" t="s">
        <v>7</v>
      </c>
      <c r="BC84" s="27" t="s">
        <v>8</v>
      </c>
      <c r="BE84" s="27" t="s">
        <v>8</v>
      </c>
    </row>
    <row r="85" spans="1:63" x14ac:dyDescent="0.25">
      <c r="A85" s="30">
        <v>30.912680532870748</v>
      </c>
      <c r="E85"/>
      <c r="AO85" s="27" t="s">
        <v>8</v>
      </c>
      <c r="AP85" s="27" t="s">
        <v>7</v>
      </c>
      <c r="AQ85" s="27" t="s">
        <v>8</v>
      </c>
      <c r="AR85" s="27" t="s">
        <v>7</v>
      </c>
      <c r="AS85" s="31"/>
      <c r="BA85" s="27" t="s">
        <v>8</v>
      </c>
      <c r="BC85" s="27" t="s">
        <v>8</v>
      </c>
      <c r="BD85" s="27" t="s">
        <v>7</v>
      </c>
      <c r="BE85" s="27" t="s">
        <v>8</v>
      </c>
      <c r="BF85" s="27" t="s">
        <v>7</v>
      </c>
    </row>
    <row r="86" spans="1:63" x14ac:dyDescent="0.25">
      <c r="A86" s="30">
        <v>28.102436848064315</v>
      </c>
      <c r="E86"/>
      <c r="AO86" s="27" t="s">
        <v>8</v>
      </c>
      <c r="AP86" s="27" t="s">
        <v>7</v>
      </c>
      <c r="AR86" s="27" t="s">
        <v>7</v>
      </c>
      <c r="AS86" s="27" t="s">
        <v>8</v>
      </c>
      <c r="AT86" s="31"/>
      <c r="BA86" s="27" t="s">
        <v>8</v>
      </c>
      <c r="BB86" s="27" t="s">
        <v>7</v>
      </c>
      <c r="BC86" s="27" t="s">
        <v>8</v>
      </c>
      <c r="BD86" s="27" t="s">
        <v>7</v>
      </c>
      <c r="BE86" s="27" t="s">
        <v>8</v>
      </c>
      <c r="BF86" s="27" t="s">
        <v>7</v>
      </c>
    </row>
    <row r="87" spans="1:63" x14ac:dyDescent="0.25">
      <c r="A87" s="30">
        <v>25.547669861876649</v>
      </c>
      <c r="E87"/>
      <c r="AO87" s="27" t="s">
        <v>8</v>
      </c>
      <c r="AR87" s="34" t="s">
        <v>7</v>
      </c>
      <c r="AS87" s="27" t="s">
        <v>8</v>
      </c>
      <c r="AT87" s="27" t="s">
        <v>7</v>
      </c>
      <c r="AU87" s="31"/>
      <c r="BA87" s="27" t="s">
        <v>8</v>
      </c>
      <c r="BB87" s="27" t="s">
        <v>7</v>
      </c>
      <c r="BC87" s="27" t="s">
        <v>8</v>
      </c>
      <c r="BD87" s="27" t="s">
        <v>7</v>
      </c>
      <c r="BE87" s="27" t="s">
        <v>8</v>
      </c>
      <c r="BF87" s="27" t="s">
        <v>7</v>
      </c>
    </row>
    <row r="88" spans="1:63" x14ac:dyDescent="0.25">
      <c r="A88" s="30">
        <v>23.225154419887861</v>
      </c>
      <c r="E88"/>
      <c r="AO88" s="27" t="s">
        <v>8</v>
      </c>
      <c r="AR88" s="27" t="s">
        <v>7</v>
      </c>
      <c r="AS88" s="27" t="s">
        <v>8</v>
      </c>
      <c r="AT88" s="27" t="s">
        <v>7</v>
      </c>
      <c r="AV88" s="31"/>
      <c r="BA88" s="27" t="s">
        <v>8</v>
      </c>
      <c r="BB88" s="27" t="s">
        <v>7</v>
      </c>
      <c r="BC88" s="27" t="s">
        <v>8</v>
      </c>
      <c r="BD88" s="27" t="s">
        <v>7</v>
      </c>
      <c r="BE88" s="27" t="s">
        <v>8</v>
      </c>
      <c r="BF88" s="27" t="s">
        <v>7</v>
      </c>
    </row>
    <row r="89" spans="1:63" x14ac:dyDescent="0.25">
      <c r="A89" s="30">
        <v>21.113776745352599</v>
      </c>
      <c r="E89"/>
      <c r="AO89" s="27" t="s">
        <v>8</v>
      </c>
      <c r="AR89" s="27" t="s">
        <v>7</v>
      </c>
      <c r="AS89" s="27" t="s">
        <v>8</v>
      </c>
      <c r="AT89" s="27" t="s">
        <v>7</v>
      </c>
      <c r="AW89" s="31"/>
      <c r="BA89" s="27" t="s">
        <v>8</v>
      </c>
      <c r="BB89" s="27" t="s">
        <v>7</v>
      </c>
      <c r="BD89" s="27" t="s">
        <v>7</v>
      </c>
      <c r="BF89" s="27" t="s">
        <v>7</v>
      </c>
      <c r="BG89" s="27" t="s">
        <v>8</v>
      </c>
    </row>
    <row r="90" spans="1:63" x14ac:dyDescent="0.25">
      <c r="A90" s="30">
        <v>19.194342495775089</v>
      </c>
      <c r="E90"/>
      <c r="AK90" s="27" t="s">
        <v>8</v>
      </c>
      <c r="AO90" s="27" t="s">
        <v>8</v>
      </c>
      <c r="AR90" s="27" t="s">
        <v>7</v>
      </c>
      <c r="AS90" s="27" t="s">
        <v>8</v>
      </c>
      <c r="AT90" s="27" t="s">
        <v>7</v>
      </c>
      <c r="AX90" s="31"/>
      <c r="BA90" s="27" t="s">
        <v>8</v>
      </c>
      <c r="BF90" s="27" t="s">
        <v>7</v>
      </c>
      <c r="BG90" s="27" t="s">
        <v>8</v>
      </c>
      <c r="BH90" s="27" t="s">
        <v>7</v>
      </c>
      <c r="BI90" s="27" t="s">
        <v>8</v>
      </c>
    </row>
    <row r="91" spans="1:63" x14ac:dyDescent="0.25">
      <c r="A91" s="30">
        <v>17.449402268886445</v>
      </c>
      <c r="E91"/>
      <c r="AK91" s="27" t="s">
        <v>8</v>
      </c>
      <c r="AL91" s="27" t="s">
        <v>7</v>
      </c>
      <c r="AO91" s="27" t="s">
        <v>8</v>
      </c>
      <c r="AR91" s="27" t="s">
        <v>7</v>
      </c>
      <c r="AS91" s="27" t="s">
        <v>8</v>
      </c>
      <c r="AT91" s="27" t="s">
        <v>7</v>
      </c>
      <c r="AU91" s="32" t="s">
        <v>8</v>
      </c>
      <c r="AW91" s="32" t="s">
        <v>8</v>
      </c>
      <c r="AY91" s="32" t="s">
        <v>8</v>
      </c>
      <c r="BA91" s="27" t="s">
        <v>8</v>
      </c>
      <c r="BF91" s="27" t="s">
        <v>7</v>
      </c>
      <c r="BG91" s="27" t="s">
        <v>8</v>
      </c>
      <c r="BH91" s="27" t="s">
        <v>7</v>
      </c>
      <c r="BI91" s="27" t="s">
        <v>8</v>
      </c>
      <c r="BJ91" s="27" t="s">
        <v>7</v>
      </c>
    </row>
    <row r="92" spans="1:63" x14ac:dyDescent="0.25">
      <c r="A92" s="30">
        <v>15.863092971714948</v>
      </c>
      <c r="C92" s="1" t="s">
        <v>15</v>
      </c>
      <c r="E92"/>
      <c r="AK92" s="27" t="s">
        <v>8</v>
      </c>
      <c r="AL92" s="27" t="s">
        <v>7</v>
      </c>
      <c r="AM92" s="27" t="s">
        <v>8</v>
      </c>
      <c r="AO92" s="27" t="s">
        <v>8</v>
      </c>
      <c r="AR92" s="27" t="s">
        <v>7</v>
      </c>
      <c r="AS92" s="27" t="s">
        <v>8</v>
      </c>
      <c r="AT92" s="27" t="s">
        <v>7</v>
      </c>
      <c r="AU92" s="27" t="s">
        <v>8</v>
      </c>
      <c r="AV92" s="27" t="s">
        <v>7</v>
      </c>
      <c r="AW92" s="27" t="s">
        <v>8</v>
      </c>
      <c r="AX92" s="27" t="s">
        <v>7</v>
      </c>
      <c r="AY92" s="27" t="s">
        <v>8</v>
      </c>
      <c r="AZ92" s="31" t="s">
        <v>7</v>
      </c>
      <c r="BA92" s="27" t="s">
        <v>8</v>
      </c>
      <c r="BF92" s="27" t="s">
        <v>7</v>
      </c>
      <c r="BH92" s="27" t="s">
        <v>7</v>
      </c>
      <c r="BI92" s="27" t="s">
        <v>8</v>
      </c>
      <c r="BJ92" s="27" t="s">
        <v>7</v>
      </c>
    </row>
    <row r="93" spans="1:63" x14ac:dyDescent="0.25">
      <c r="A93" s="30">
        <v>14.420993610649951</v>
      </c>
      <c r="C93" s="7">
        <v>0.11167815779424731</v>
      </c>
      <c r="D93"/>
      <c r="E93"/>
      <c r="AK93" s="33" t="s">
        <v>8</v>
      </c>
      <c r="AL93" s="27" t="s">
        <v>7</v>
      </c>
      <c r="AM93" s="27" t="s">
        <v>8</v>
      </c>
      <c r="AN93" s="27" t="s">
        <v>7</v>
      </c>
      <c r="AO93" s="27" t="s">
        <v>8</v>
      </c>
      <c r="AR93" s="27" t="s">
        <v>7</v>
      </c>
      <c r="AT93" s="27" t="s">
        <v>7</v>
      </c>
      <c r="AU93" s="27" t="s">
        <v>8</v>
      </c>
      <c r="AV93" s="27" t="s">
        <v>7</v>
      </c>
      <c r="AW93" s="27" t="s">
        <v>8</v>
      </c>
      <c r="AX93" s="31" t="s">
        <v>7</v>
      </c>
      <c r="AY93" s="27" t="s">
        <v>8</v>
      </c>
      <c r="AZ93" s="27" t="s">
        <v>7</v>
      </c>
      <c r="BA93" s="27" t="s">
        <v>8</v>
      </c>
      <c r="BH93" s="27" t="s">
        <v>7</v>
      </c>
      <c r="BJ93" s="27" t="s">
        <v>7</v>
      </c>
    </row>
    <row r="94" spans="1:63" x14ac:dyDescent="0.25">
      <c r="A94" s="30">
        <v>13.109994191499954</v>
      </c>
      <c r="E94"/>
      <c r="AG94" s="32" t="s">
        <v>8</v>
      </c>
      <c r="AI94" s="32" t="s">
        <v>8</v>
      </c>
      <c r="AK94" s="27" t="s">
        <v>8</v>
      </c>
      <c r="AL94" s="27" t="s">
        <v>7</v>
      </c>
      <c r="AM94" s="27" t="s">
        <v>8</v>
      </c>
      <c r="AN94" s="27" t="s">
        <v>7</v>
      </c>
      <c r="AO94" s="27" t="s">
        <v>8</v>
      </c>
      <c r="AT94" s="27" t="s">
        <v>7</v>
      </c>
      <c r="AU94" s="27" t="s">
        <v>8</v>
      </c>
      <c r="AV94" s="27" t="s">
        <v>7</v>
      </c>
      <c r="AW94" s="31"/>
      <c r="AX94" s="27" t="s">
        <v>7</v>
      </c>
      <c r="AY94" s="27" t="s">
        <v>8</v>
      </c>
      <c r="AZ94" s="18" t="s">
        <v>7</v>
      </c>
      <c r="BA94" s="27" t="s">
        <v>8</v>
      </c>
      <c r="BJ94" s="27" t="s">
        <v>7</v>
      </c>
    </row>
    <row r="95" spans="1:63" x14ac:dyDescent="0.25">
      <c r="A95" s="30">
        <v>11.918176537727231</v>
      </c>
      <c r="C95" s="1" t="s">
        <v>11</v>
      </c>
      <c r="D95" s="1" t="s">
        <v>12</v>
      </c>
      <c r="E95"/>
      <c r="AG95" s="27" t="s">
        <v>8</v>
      </c>
      <c r="AH95" s="27" t="s">
        <v>7</v>
      </c>
      <c r="AI95" s="27" t="s">
        <v>8</v>
      </c>
      <c r="AJ95" s="27" t="s">
        <v>7</v>
      </c>
      <c r="AK95" s="27" t="s">
        <v>8</v>
      </c>
      <c r="AL95" s="32" t="s">
        <v>7</v>
      </c>
      <c r="AN95" s="32" t="s">
        <v>7</v>
      </c>
      <c r="AT95" s="27" t="s">
        <v>7</v>
      </c>
      <c r="AV95" s="31"/>
      <c r="AX95" s="32" t="s">
        <v>7</v>
      </c>
      <c r="AZ95" s="32" t="s">
        <v>7</v>
      </c>
      <c r="BJ95" s="27" t="s">
        <v>7</v>
      </c>
      <c r="BK95" s="27" t="s">
        <v>8</v>
      </c>
    </row>
    <row r="96" spans="1:63" x14ac:dyDescent="0.25">
      <c r="A96" s="30">
        <v>10.834705943388391</v>
      </c>
      <c r="C96"/>
      <c r="D96"/>
      <c r="E96"/>
      <c r="AG96" s="27" t="s">
        <v>8</v>
      </c>
      <c r="AH96" s="27" t="s">
        <v>7</v>
      </c>
      <c r="AI96" s="27" t="s">
        <v>8</v>
      </c>
      <c r="AJ96" s="27" t="s">
        <v>7</v>
      </c>
      <c r="AK96" s="27" t="s">
        <v>8</v>
      </c>
      <c r="AU96" s="31"/>
      <c r="BJ96" s="27" t="s">
        <v>7</v>
      </c>
      <c r="BK96" s="27" t="s">
        <v>8</v>
      </c>
    </row>
    <row r="97" spans="1:63" x14ac:dyDescent="0.25">
      <c r="A97" s="30">
        <v>9.849732675807628</v>
      </c>
      <c r="E97"/>
      <c r="AG97" s="27" t="s">
        <v>8</v>
      </c>
      <c r="AH97" s="27" t="s">
        <v>7</v>
      </c>
      <c r="AJ97" s="27" t="s">
        <v>7</v>
      </c>
      <c r="AK97" s="27" t="s">
        <v>8</v>
      </c>
      <c r="AT97" s="31"/>
      <c r="BJ97" s="27" t="s">
        <v>7</v>
      </c>
      <c r="BK97" s="27" t="s">
        <v>8</v>
      </c>
    </row>
    <row r="98" spans="1:63" x14ac:dyDescent="0.25">
      <c r="A98" s="30">
        <v>8.9543024325523888</v>
      </c>
      <c r="C98" s="1" t="s">
        <v>13</v>
      </c>
      <c r="E98"/>
      <c r="Y98" s="27" t="s">
        <v>8</v>
      </c>
      <c r="AG98" s="27" t="s">
        <v>8</v>
      </c>
      <c r="AJ98" s="34" t="s">
        <v>7</v>
      </c>
      <c r="AK98" s="27" t="s">
        <v>8</v>
      </c>
      <c r="AS98" s="31"/>
      <c r="BJ98" s="27" t="s">
        <v>7</v>
      </c>
      <c r="BK98" s="27" t="s">
        <v>8</v>
      </c>
    </row>
    <row r="99" spans="1:63" x14ac:dyDescent="0.25">
      <c r="A99" s="30">
        <v>8.140274938683989</v>
      </c>
      <c r="C99" s="1">
        <f>C88</f>
        <v>0</v>
      </c>
      <c r="E99"/>
      <c r="W99" s="27" t="s">
        <v>8</v>
      </c>
      <c r="Y99" s="27" t="s">
        <v>8</v>
      </c>
      <c r="Z99" s="27" t="s">
        <v>7</v>
      </c>
      <c r="AE99" s="27" t="s">
        <v>8</v>
      </c>
      <c r="AG99" s="27" t="s">
        <v>8</v>
      </c>
      <c r="AJ99" s="27" t="s">
        <v>7</v>
      </c>
      <c r="AR99" s="31"/>
      <c r="BJ99" s="27" t="s">
        <v>7</v>
      </c>
    </row>
    <row r="100" spans="1:63" x14ac:dyDescent="0.25">
      <c r="A100" s="30">
        <v>7.4002499442581717</v>
      </c>
      <c r="C100"/>
      <c r="D100"/>
      <c r="E100"/>
      <c r="W100" s="27" t="s">
        <v>8</v>
      </c>
      <c r="X100" s="27" t="s">
        <v>7</v>
      </c>
      <c r="Y100" s="27" t="s">
        <v>8</v>
      </c>
      <c r="Z100" s="27" t="s">
        <v>7</v>
      </c>
      <c r="AA100" s="27" t="s">
        <v>8</v>
      </c>
      <c r="AE100" s="33" t="s">
        <v>8</v>
      </c>
      <c r="AF100" s="27" t="s">
        <v>7</v>
      </c>
      <c r="AG100" s="27" t="s">
        <v>8</v>
      </c>
      <c r="AQ100" s="31"/>
    </row>
    <row r="101" spans="1:63" x14ac:dyDescent="0.25">
      <c r="A101" s="30">
        <v>6.72749994932561</v>
      </c>
      <c r="C101" s="1" t="s">
        <v>14</v>
      </c>
      <c r="E101"/>
      <c r="W101" s="27" t="s">
        <v>8</v>
      </c>
      <c r="X101" s="27" t="s">
        <v>7</v>
      </c>
      <c r="Y101" s="27" t="s">
        <v>8</v>
      </c>
      <c r="Z101" s="27" t="s">
        <v>7</v>
      </c>
      <c r="AA101" s="27" t="s">
        <v>8</v>
      </c>
      <c r="AB101" s="27" t="s">
        <v>7</v>
      </c>
      <c r="AC101" s="27" t="s">
        <v>8</v>
      </c>
      <c r="AE101" s="27" t="s">
        <v>8</v>
      </c>
      <c r="AF101" s="27" t="s">
        <v>7</v>
      </c>
      <c r="AG101" s="27" t="s">
        <v>8</v>
      </c>
      <c r="AP101" s="31"/>
    </row>
    <row r="102" spans="1:6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W102" s="27" t="s">
        <v>8</v>
      </c>
      <c r="X102" s="27" t="s">
        <v>7</v>
      </c>
      <c r="Y102" s="27" t="s">
        <v>8</v>
      </c>
      <c r="Z102" s="27" t="s">
        <v>7</v>
      </c>
      <c r="AA102" s="27" t="s">
        <v>8</v>
      </c>
      <c r="AB102" s="27" t="s">
        <v>7</v>
      </c>
      <c r="AC102" s="27" t="s">
        <v>8</v>
      </c>
      <c r="AD102" s="27" t="s">
        <v>7</v>
      </c>
      <c r="AE102" s="27" t="s">
        <v>8</v>
      </c>
      <c r="AF102" s="27" t="s">
        <v>7</v>
      </c>
      <c r="AG102" s="27" t="s">
        <v>8</v>
      </c>
      <c r="AO102" s="31"/>
    </row>
    <row r="103" spans="1:63" x14ac:dyDescent="0.25">
      <c r="A103" s="30">
        <v>5.5599173134922388</v>
      </c>
      <c r="E103"/>
      <c r="W103" s="27" t="s">
        <v>8</v>
      </c>
      <c r="X103" s="32" t="s">
        <v>7</v>
      </c>
      <c r="Z103" s="32" t="s">
        <v>7</v>
      </c>
      <c r="AB103" s="27" t="s">
        <v>7</v>
      </c>
      <c r="AC103" s="27" t="s">
        <v>8</v>
      </c>
      <c r="AD103" s="27" t="s">
        <v>7</v>
      </c>
      <c r="AE103" s="27" t="s">
        <v>8</v>
      </c>
      <c r="AF103" s="27" t="s">
        <v>7</v>
      </c>
      <c r="AN103" s="31"/>
    </row>
    <row r="104" spans="1:63" x14ac:dyDescent="0.25">
      <c r="A104" s="30">
        <v>5.0544702849929442</v>
      </c>
      <c r="E104"/>
      <c r="W104" s="27" t="s">
        <v>8</v>
      </c>
      <c r="AB104" s="34" t="s">
        <v>7</v>
      </c>
      <c r="AD104" s="32" t="s">
        <v>7</v>
      </c>
      <c r="AM104" s="31"/>
    </row>
    <row r="105" spans="1:63" x14ac:dyDescent="0.25">
      <c r="A105" s="30">
        <v>4.594972986357222</v>
      </c>
      <c r="E105"/>
      <c r="S105" s="27" t="s">
        <v>8</v>
      </c>
      <c r="W105" s="27" t="s">
        <v>8</v>
      </c>
      <c r="AL105" s="31"/>
    </row>
    <row r="106" spans="1:63" x14ac:dyDescent="0.25">
      <c r="A106" s="30">
        <v>4.1772481694156562</v>
      </c>
      <c r="E106"/>
      <c r="S106" s="27" t="s">
        <v>8</v>
      </c>
      <c r="T106" s="27" t="s">
        <v>7</v>
      </c>
      <c r="W106" s="27" t="s">
        <v>8</v>
      </c>
      <c r="AK106" s="31"/>
    </row>
    <row r="107" spans="1:63" x14ac:dyDescent="0.25">
      <c r="A107" s="30">
        <v>3.7974983358324148</v>
      </c>
      <c r="E107"/>
      <c r="S107" s="27" t="s">
        <v>8</v>
      </c>
      <c r="T107" s="27" t="s">
        <v>7</v>
      </c>
      <c r="W107" s="27" t="s">
        <v>8</v>
      </c>
      <c r="AJ107" s="31"/>
    </row>
    <row r="108" spans="1:63" x14ac:dyDescent="0.25">
      <c r="A108" s="30">
        <v>3.4522712143931042</v>
      </c>
      <c r="E108"/>
      <c r="G108" s="27" t="s">
        <v>8</v>
      </c>
      <c r="S108" s="27" t="s">
        <v>8</v>
      </c>
      <c r="T108" s="27" t="s">
        <v>7</v>
      </c>
      <c r="W108" s="27" t="s">
        <v>8</v>
      </c>
      <c r="AI108" s="31"/>
    </row>
    <row r="109" spans="1:63" x14ac:dyDescent="0.25">
      <c r="A109" s="30">
        <v>3.1384283767210035</v>
      </c>
      <c r="E109" t="s">
        <v>8</v>
      </c>
      <c r="G109" s="27" t="s">
        <v>8</v>
      </c>
      <c r="H109" s="27" t="s">
        <v>7</v>
      </c>
      <c r="S109" s="27" t="s">
        <v>8</v>
      </c>
      <c r="T109" s="27" t="s">
        <v>7</v>
      </c>
      <c r="U109" s="27" t="s">
        <v>8</v>
      </c>
      <c r="W109" s="27" t="s">
        <v>8</v>
      </c>
      <c r="AH109" s="31"/>
    </row>
    <row r="110" spans="1:63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H110" s="27" t="s">
        <v>7</v>
      </c>
      <c r="S110" s="27" t="s">
        <v>8</v>
      </c>
      <c r="T110" s="27" t="s">
        <v>7</v>
      </c>
      <c r="U110" s="27" t="s">
        <v>8</v>
      </c>
      <c r="V110" s="27" t="s">
        <v>7</v>
      </c>
      <c r="W110" s="27" t="s">
        <v>8</v>
      </c>
      <c r="AG110" s="31"/>
    </row>
    <row r="111" spans="1:63" x14ac:dyDescent="0.25">
      <c r="A111" s="30">
        <v>2.5937424601000023</v>
      </c>
      <c r="C111" s="1" t="str">
        <f>ADDRESS(C121-1,1,1,1)</f>
        <v>$A$94</v>
      </c>
      <c r="D111" s="1" t="str">
        <f>ADDRESS(C121-1,D121,1,1)</f>
        <v>$BK$94</v>
      </c>
      <c r="E111" t="s">
        <v>8</v>
      </c>
      <c r="F111" s="27" t="s">
        <v>7</v>
      </c>
      <c r="G111" s="27" t="s">
        <v>8</v>
      </c>
      <c r="H111" s="27" t="s">
        <v>7</v>
      </c>
      <c r="S111" s="27" t="s">
        <v>8</v>
      </c>
      <c r="T111" s="27" t="s">
        <v>7</v>
      </c>
      <c r="U111" s="27" t="s">
        <v>8</v>
      </c>
      <c r="V111" s="27" t="s">
        <v>7</v>
      </c>
      <c r="W111" s="27" t="s">
        <v>8</v>
      </c>
      <c r="AF111" s="31"/>
    </row>
    <row r="112" spans="1:63" x14ac:dyDescent="0.25">
      <c r="A112" s="30">
        <v>2.3579476910000019</v>
      </c>
      <c r="C112" s="1" t="str">
        <f>ADDRESS(C121,1,1,1)</f>
        <v>$A$95</v>
      </c>
      <c r="D112" s="1" t="str">
        <f>ADDRESS(C121,D121-1,1,1)</f>
        <v>$BJ$95</v>
      </c>
      <c r="E112" t="s">
        <v>8</v>
      </c>
      <c r="F112" s="27" t="s">
        <v>7</v>
      </c>
      <c r="G112" s="27" t="s">
        <v>8</v>
      </c>
      <c r="H112" s="27" t="s">
        <v>7</v>
      </c>
      <c r="S112" s="27" t="s">
        <v>8</v>
      </c>
      <c r="T112" s="27" t="s">
        <v>7</v>
      </c>
      <c r="U112" s="27" t="s">
        <v>8</v>
      </c>
      <c r="V112" s="27" t="s">
        <v>7</v>
      </c>
      <c r="W112" s="27" t="s">
        <v>8</v>
      </c>
      <c r="AE112" s="31"/>
    </row>
    <row r="113" spans="1:30" x14ac:dyDescent="0.25">
      <c r="A113" s="30">
        <v>2.1435888100000016</v>
      </c>
      <c r="C113" s="1" t="str">
        <f>ADDRESS(C121+1,1,1,1)</f>
        <v>$A$96</v>
      </c>
      <c r="D113" s="1" t="str">
        <f>ADDRESS(C121-1,D121+1,1,1)</f>
        <v>$BL$94</v>
      </c>
      <c r="E113" s="1" t="s">
        <v>8</v>
      </c>
      <c r="F113" s="27" t="s">
        <v>7</v>
      </c>
      <c r="G113" s="27" t="s">
        <v>8</v>
      </c>
      <c r="H113" s="27" t="s">
        <v>7</v>
      </c>
      <c r="S113" s="27" t="s">
        <v>8</v>
      </c>
      <c r="T113" s="27" t="s">
        <v>7</v>
      </c>
      <c r="V113" s="27" t="s">
        <v>7</v>
      </c>
      <c r="AD113" s="31"/>
    </row>
    <row r="114" spans="1:30" x14ac:dyDescent="0.25">
      <c r="A114" s="30">
        <v>1.9487171000000014</v>
      </c>
      <c r="C114" s="1" t="str">
        <f>ADDRESS(C121,D121,1,1)</f>
        <v>$BK$95</v>
      </c>
      <c r="D114" s="1" t="str">
        <f>ADDRESS(C121+1,D121+1,1,1)</f>
        <v>$BL$96</v>
      </c>
      <c r="E114" s="1" t="s">
        <v>8</v>
      </c>
      <c r="F114" s="27" t="s">
        <v>7</v>
      </c>
      <c r="H114" s="27" t="s">
        <v>7</v>
      </c>
      <c r="S114" s="27" t="s">
        <v>8</v>
      </c>
      <c r="AC114" s="31"/>
    </row>
    <row r="115" spans="1:30" x14ac:dyDescent="0.25">
      <c r="A115" s="30">
        <v>1.7715610000000011</v>
      </c>
      <c r="C115" s="1" t="str">
        <f>ADDRESS(C121+1,D121,1,1)</f>
        <v>$BK$96</v>
      </c>
      <c r="E115" s="1" t="s">
        <v>8</v>
      </c>
      <c r="H115" s="27" t="s">
        <v>7</v>
      </c>
      <c r="S115" s="27" t="s">
        <v>8</v>
      </c>
      <c r="AB115" s="31"/>
    </row>
    <row r="116" spans="1:30" x14ac:dyDescent="0.25">
      <c r="A116" s="30">
        <v>1.6105100000000008</v>
      </c>
      <c r="C116" s="1">
        <f>C117-1</f>
        <v>94</v>
      </c>
      <c r="E116" s="1" t="s">
        <v>8</v>
      </c>
      <c r="H116" s="27" t="s">
        <v>7</v>
      </c>
      <c r="K116" s="27" t="s">
        <v>8</v>
      </c>
      <c r="S116" s="27" t="s">
        <v>8</v>
      </c>
      <c r="AA116" s="31"/>
    </row>
    <row r="117" spans="1:30" x14ac:dyDescent="0.25">
      <c r="A117" s="30">
        <v>1.4641000000000006</v>
      </c>
      <c r="C117" s="1">
        <f>C121</f>
        <v>95</v>
      </c>
      <c r="D117" s="1">
        <f>D121</f>
        <v>63</v>
      </c>
      <c r="E117" s="1" t="s">
        <v>8</v>
      </c>
      <c r="H117" s="27" t="s">
        <v>7</v>
      </c>
      <c r="K117" s="27" t="s">
        <v>8</v>
      </c>
      <c r="L117" s="27" t="s">
        <v>7</v>
      </c>
      <c r="M117" s="27" t="s">
        <v>8</v>
      </c>
      <c r="O117" s="27" t="s">
        <v>8</v>
      </c>
      <c r="S117" s="27" t="s">
        <v>8</v>
      </c>
      <c r="Z117" s="31"/>
    </row>
    <row r="118" spans="1:30" x14ac:dyDescent="0.25">
      <c r="A118" s="30">
        <v>1.3310000000000004</v>
      </c>
      <c r="C118" s="1">
        <f>C117+1</f>
        <v>96</v>
      </c>
      <c r="D118" s="1">
        <f>D117+1</f>
        <v>64</v>
      </c>
      <c r="E118" s="1" t="s">
        <v>8</v>
      </c>
      <c r="H118" s="27" t="s">
        <v>7</v>
      </c>
      <c r="K118" s="27" t="s">
        <v>8</v>
      </c>
      <c r="L118" s="27" t="s">
        <v>7</v>
      </c>
      <c r="M118" s="27" t="s">
        <v>8</v>
      </c>
      <c r="N118" s="27" t="s">
        <v>7</v>
      </c>
      <c r="O118" s="27" t="s">
        <v>8</v>
      </c>
      <c r="P118" s="27" t="s">
        <v>7</v>
      </c>
      <c r="S118" s="27" t="s">
        <v>8</v>
      </c>
      <c r="Y118" s="31"/>
    </row>
    <row r="119" spans="1:30" x14ac:dyDescent="0.25">
      <c r="A119" s="30">
        <v>1.2100000000000002</v>
      </c>
      <c r="E119" s="1" t="s">
        <v>8</v>
      </c>
      <c r="H119" s="27" t="s">
        <v>7</v>
      </c>
      <c r="K119" s="27" t="s">
        <v>8</v>
      </c>
      <c r="L119" s="27" t="s">
        <v>7</v>
      </c>
      <c r="M119" s="27" t="s">
        <v>8</v>
      </c>
      <c r="N119" s="27" t="s">
        <v>7</v>
      </c>
      <c r="O119" s="27" t="s">
        <v>8</v>
      </c>
      <c r="P119" s="27" t="s">
        <v>7</v>
      </c>
      <c r="S119" s="27" t="s">
        <v>8</v>
      </c>
      <c r="X119" s="31"/>
    </row>
    <row r="120" spans="1:30" x14ac:dyDescent="0.25">
      <c r="A120" s="30">
        <v>1.1000000000000001</v>
      </c>
      <c r="C120" s="1" t="s">
        <v>9</v>
      </c>
      <c r="E120" s="1" t="s">
        <v>8</v>
      </c>
      <c r="H120" s="27" t="s">
        <v>7</v>
      </c>
      <c r="I120" s="27" t="s">
        <v>8</v>
      </c>
      <c r="K120" s="27" t="s">
        <v>8</v>
      </c>
      <c r="L120" s="27" t="s">
        <v>7</v>
      </c>
      <c r="N120" s="27" t="s">
        <v>7</v>
      </c>
      <c r="P120" s="27" t="s">
        <v>7</v>
      </c>
      <c r="S120" s="27" t="s">
        <v>8</v>
      </c>
      <c r="W120" s="31"/>
    </row>
    <row r="121" spans="1:30" x14ac:dyDescent="0.25">
      <c r="A121" s="30">
        <v>1</v>
      </c>
      <c r="C121" s="18">
        <v>95</v>
      </c>
      <c r="D121" s="19">
        <v>63</v>
      </c>
      <c r="E121" s="18" t="s">
        <v>8</v>
      </c>
      <c r="H121" s="27" t="s">
        <v>7</v>
      </c>
      <c r="I121" s="27" t="s">
        <v>8</v>
      </c>
      <c r="J121" s="27" t="s">
        <v>7</v>
      </c>
      <c r="K121" s="27" t="s">
        <v>8</v>
      </c>
      <c r="P121" s="27" t="s">
        <v>7</v>
      </c>
      <c r="S121" s="27" t="s">
        <v>8</v>
      </c>
      <c r="V121" s="31"/>
    </row>
    <row r="122" spans="1:30" x14ac:dyDescent="0.25">
      <c r="A122" s="30">
        <v>0.90909090909090895</v>
      </c>
      <c r="C122" s="1" t="str">
        <f>INDEX(1:1048576,C117,D117)</f>
        <v>X</v>
      </c>
      <c r="H122" s="27" t="s">
        <v>7</v>
      </c>
      <c r="I122" s="27" t="s">
        <v>8</v>
      </c>
      <c r="J122" s="27" t="s">
        <v>7</v>
      </c>
      <c r="K122" s="27" t="s">
        <v>8</v>
      </c>
      <c r="P122" s="27" t="s">
        <v>7</v>
      </c>
      <c r="Q122" s="27" t="s">
        <v>8</v>
      </c>
      <c r="S122" s="27" t="s">
        <v>8</v>
      </c>
      <c r="U122" s="31"/>
    </row>
    <row r="123" spans="1:30" x14ac:dyDescent="0.25">
      <c r="A123" s="30">
        <v>0.82644628099173523</v>
      </c>
      <c r="C123" s="1" t="str">
        <f>"R"&amp;C121</f>
        <v>R95</v>
      </c>
      <c r="D123" s="1" t="str">
        <f>"C"&amp;D121</f>
        <v>C63</v>
      </c>
      <c r="H123" s="27" t="s">
        <v>7</v>
      </c>
      <c r="I123" s="27" t="s">
        <v>8</v>
      </c>
      <c r="J123" s="27" t="s">
        <v>7</v>
      </c>
      <c r="P123" s="27" t="s">
        <v>7</v>
      </c>
      <c r="Q123" s="27" t="s">
        <v>8</v>
      </c>
      <c r="R123" s="27" t="s">
        <v>7</v>
      </c>
      <c r="S123" s="27" t="s">
        <v>8</v>
      </c>
      <c r="T123" s="31"/>
    </row>
    <row r="124" spans="1:30" x14ac:dyDescent="0.25">
      <c r="A124" s="30">
        <v>0.75131480090157732</v>
      </c>
      <c r="C124" s="1">
        <f>SUM(C130:D130)</f>
        <v>0</v>
      </c>
      <c r="D124" s="1">
        <f>IF(C124=0,0,1)</f>
        <v>0</v>
      </c>
      <c r="H124" s="27" t="s">
        <v>7</v>
      </c>
      <c r="I124" s="27" t="s">
        <v>8</v>
      </c>
      <c r="P124" s="27" t="s">
        <v>7</v>
      </c>
      <c r="Q124" s="27" t="s">
        <v>8</v>
      </c>
      <c r="R124" s="27" t="s">
        <v>7</v>
      </c>
      <c r="S124" s="31" t="s">
        <v>8</v>
      </c>
    </row>
    <row r="125" spans="1:30" x14ac:dyDescent="0.25">
      <c r="A125" s="30">
        <v>0.68301345536507019</v>
      </c>
      <c r="H125" s="27" t="s">
        <v>7</v>
      </c>
      <c r="I125" s="27" t="s">
        <v>8</v>
      </c>
      <c r="P125" s="27" t="s">
        <v>7</v>
      </c>
      <c r="Q125" s="27" t="s">
        <v>8</v>
      </c>
      <c r="R125" s="31" t="s">
        <v>7</v>
      </c>
    </row>
    <row r="126" spans="1:30" x14ac:dyDescent="0.25">
      <c r="A126" s="30">
        <v>0.6209213230591546</v>
      </c>
      <c r="C126" s="1" t="s">
        <v>10</v>
      </c>
      <c r="H126" s="27" t="s">
        <v>7</v>
      </c>
      <c r="I126" s="27" t="s">
        <v>8</v>
      </c>
      <c r="P126" s="27" t="s">
        <v>7</v>
      </c>
      <c r="Q126" s="31" t="s">
        <v>8</v>
      </c>
    </row>
    <row r="127" spans="1:30" x14ac:dyDescent="0.25">
      <c r="A127" s="30">
        <v>0.56447393005377677</v>
      </c>
      <c r="C127" s="30">
        <v>11.918176537727231</v>
      </c>
      <c r="D127"/>
      <c r="H127" s="27" t="s">
        <v>7</v>
      </c>
      <c r="I127" s="27" t="s">
        <v>8</v>
      </c>
      <c r="P127" s="31" t="s">
        <v>7</v>
      </c>
    </row>
    <row r="128" spans="1:30" x14ac:dyDescent="0.25">
      <c r="A128" s="30">
        <v>0.51315811823070612</v>
      </c>
      <c r="H128" s="27" t="s">
        <v>7</v>
      </c>
      <c r="I128" s="27" t="s">
        <v>8</v>
      </c>
      <c r="O128" s="31"/>
    </row>
    <row r="129" spans="1:14" x14ac:dyDescent="0.25">
      <c r="A129" s="30">
        <v>0.46650738020973276</v>
      </c>
      <c r="C129" s="1" t="s">
        <v>11</v>
      </c>
      <c r="D129" s="1" t="s">
        <v>12</v>
      </c>
      <c r="E129"/>
      <c r="H129" s="27" t="s">
        <v>7</v>
      </c>
      <c r="I129" s="27" t="s">
        <v>8</v>
      </c>
      <c r="N129" s="31"/>
    </row>
    <row r="130" spans="1:14" x14ac:dyDescent="0.25">
      <c r="A130" s="30">
        <v>0.42409761837248428</v>
      </c>
      <c r="C130" s="6"/>
      <c r="D130" s="6"/>
      <c r="E130"/>
      <c r="H130" s="27" t="s">
        <v>7</v>
      </c>
      <c r="I130" s="27" t="s">
        <v>8</v>
      </c>
      <c r="M130" s="31"/>
    </row>
    <row r="131" spans="1:14" x14ac:dyDescent="0.25">
      <c r="A131" s="30">
        <v>0.38554328942953109</v>
      </c>
      <c r="E131"/>
      <c r="H131" s="27" t="s">
        <v>7</v>
      </c>
      <c r="I131" s="27" t="s">
        <v>8</v>
      </c>
      <c r="L131" s="31"/>
    </row>
    <row r="132" spans="1:14" x14ac:dyDescent="0.25">
      <c r="A132" s="30">
        <v>0.35049389948139187</v>
      </c>
      <c r="C132" s="1" t="s">
        <v>13</v>
      </c>
      <c r="E132"/>
      <c r="H132" s="27" t="s">
        <v>7</v>
      </c>
      <c r="I132" s="27" t="s">
        <v>8</v>
      </c>
      <c r="K132" s="31"/>
    </row>
    <row r="133" spans="1:14" x14ac:dyDescent="0.25">
      <c r="A133" s="30">
        <v>0.31863081771035617</v>
      </c>
      <c r="C133" s="1" t="str">
        <f>C122</f>
        <v>X</v>
      </c>
      <c r="E133"/>
      <c r="H133" s="27" t="s">
        <v>7</v>
      </c>
      <c r="I133" s="27" t="s">
        <v>8</v>
      </c>
      <c r="J133" s="31"/>
    </row>
    <row r="134" spans="1:14" x14ac:dyDescent="0.25">
      <c r="A134" s="30">
        <v>0.28966437973668741</v>
      </c>
      <c r="C134"/>
      <c r="D134"/>
      <c r="E134"/>
      <c r="H134" s="27" t="s">
        <v>7</v>
      </c>
      <c r="I134" s="31" t="s">
        <v>8</v>
      </c>
    </row>
    <row r="135" spans="1:14" x14ac:dyDescent="0.25">
      <c r="A135" s="30">
        <v>0.2633312543060794</v>
      </c>
      <c r="C135" s="1" t="s">
        <v>14</v>
      </c>
      <c r="E135"/>
      <c r="H135" s="31" t="s">
        <v>7</v>
      </c>
    </row>
    <row r="136" spans="1:14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14" x14ac:dyDescent="0.25">
      <c r="A137" s="30">
        <v>0.2176291357901482</v>
      </c>
      <c r="E137"/>
    </row>
    <row r="138" spans="1:14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14" x14ac:dyDescent="0.25">
      <c r="A139" s="30">
        <v>0.17985878990921333</v>
      </c>
      <c r="E139"/>
    </row>
    <row r="140" spans="1:14" x14ac:dyDescent="0.25">
      <c r="A140" s="30">
        <v>0.16350799082655756</v>
      </c>
      <c r="C140" s="1">
        <v>0</v>
      </c>
      <c r="E140"/>
    </row>
    <row r="141" spans="1:14" x14ac:dyDescent="0.25">
      <c r="A141" s="30">
        <v>0.14864362802414322</v>
      </c>
      <c r="C141" s="1">
        <v>1</v>
      </c>
      <c r="E141"/>
    </row>
    <row r="142" spans="1:14" x14ac:dyDescent="0.25">
      <c r="A142" s="30">
        <v>0.13513057093103928</v>
      </c>
      <c r="C142" s="1">
        <v>2</v>
      </c>
      <c r="E142"/>
    </row>
    <row r="143" spans="1:14" x14ac:dyDescent="0.25">
      <c r="A143" s="30">
        <v>0.12284597357367205</v>
      </c>
      <c r="C143" s="1">
        <v>3</v>
      </c>
      <c r="E143"/>
    </row>
    <row r="144" spans="1:14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10" operator="equal">
      <formula>$U$1</formula>
    </cfRule>
    <cfRule type="cellIs" dxfId="30" priority="1511" operator="equal">
      <formula>$S$1</formula>
    </cfRule>
  </conditionalFormatting>
  <conditionalFormatting sqref="D136">
    <cfRule type="cellIs" dxfId="29" priority="1508" operator="equal">
      <formula>$S$1</formula>
    </cfRule>
    <cfRule type="cellIs" dxfId="28" priority="1509" operator="equal">
      <formula>$U$1</formula>
    </cfRule>
  </conditionalFormatting>
  <conditionalFormatting sqref="C102">
    <cfRule type="cellIs" dxfId="27" priority="1506" operator="equal">
      <formula>$U$1</formula>
    </cfRule>
    <cfRule type="cellIs" dxfId="26" priority="1507" operator="equal">
      <formula>$S$1</formula>
    </cfRule>
  </conditionalFormatting>
  <conditionalFormatting sqref="D102">
    <cfRule type="cellIs" dxfId="25" priority="1504" operator="equal">
      <formula>$S$1</formula>
    </cfRule>
    <cfRule type="cellIs" dxfId="24" priority="1505" operator="equal">
      <formula>$U$1</formula>
    </cfRule>
  </conditionalFormatting>
  <conditionalFormatting sqref="C77">
    <cfRule type="cellIs" dxfId="23" priority="1502" operator="equal">
      <formula>$U$1</formula>
    </cfRule>
    <cfRule type="cellIs" dxfId="22" priority="1503" operator="equal">
      <formula>$S$1</formula>
    </cfRule>
  </conditionalFormatting>
  <conditionalFormatting sqref="D77">
    <cfRule type="cellIs" dxfId="21" priority="1500" operator="equal">
      <formula>$S$1</formula>
    </cfRule>
    <cfRule type="cellIs" dxfId="20" priority="1501" operator="equal">
      <formula>$U$1</formula>
    </cfRule>
  </conditionalFormatting>
  <conditionalFormatting sqref="C52">
    <cfRule type="cellIs" dxfId="19" priority="1498" operator="equal">
      <formula>$U$1</formula>
    </cfRule>
    <cfRule type="cellIs" dxfId="18" priority="1499" operator="equal">
      <formula>$S$1</formula>
    </cfRule>
  </conditionalFormatting>
  <conditionalFormatting sqref="D52">
    <cfRule type="cellIs" dxfId="17" priority="1496" operator="equal">
      <formula>$S$1</formula>
    </cfRule>
    <cfRule type="cellIs" dxfId="16" priority="1497" operator="equal">
      <formula>$U$1</formula>
    </cfRule>
  </conditionalFormatting>
  <conditionalFormatting sqref="C26">
    <cfRule type="cellIs" dxfId="15" priority="1494" operator="equal">
      <formula>$U$1</formula>
    </cfRule>
    <cfRule type="cellIs" dxfId="14" priority="1495" operator="equal">
      <formula>$S$1</formula>
    </cfRule>
  </conditionalFormatting>
  <conditionalFormatting sqref="D26">
    <cfRule type="cellIs" dxfId="13" priority="1492" operator="equal">
      <formula>$S$1</formula>
    </cfRule>
    <cfRule type="cellIs" dxfId="12" priority="149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3" sqref="H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11.467399785753704</v>
      </c>
      <c r="F3" s="30">
        <v>12.64280826379346</v>
      </c>
      <c r="G3" s="30">
        <v>26.283490366495137</v>
      </c>
      <c r="H3" s="25">
        <f>IF(G3="","",(3*(G3-F3))+E3)</f>
        <v>52.389446093858737</v>
      </c>
      <c r="I3" s="7"/>
      <c r="J3" s="7">
        <f>(E3+G3)/2</f>
        <v>18.875445076124421</v>
      </c>
      <c r="K3" s="7">
        <f>H3/2</f>
        <v>26.194723046929369</v>
      </c>
      <c r="M3" s="26">
        <f>IF(OR(J3="",H3=""),"",H3/J3)</f>
        <v>2.7755343454192891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2022-01-28T01:22:59Z</dcterms:modified>
</cp:coreProperties>
</file>