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D6C27BB-4E39-4201-9DCD-F82FE242E01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D136" i="4" s="1"/>
  <c r="C118" i="4"/>
  <c r="C116" i="4"/>
  <c r="R765" i="1"/>
  <c r="D136" i="5"/>
  <c r="C136" i="5"/>
  <c r="C138" i="5" s="1"/>
  <c r="C122" i="3"/>
  <c r="C133" i="3" s="1"/>
  <c r="D136" i="3" s="1"/>
  <c r="C116" i="3"/>
  <c r="C136" i="4" l="1"/>
  <c r="C138" i="4" s="1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S726" i="1" l="1"/>
  <c r="T726" i="1" s="1"/>
  <c r="R725" i="1"/>
  <c r="S725" i="1" l="1"/>
  <c r="T725" i="1" s="1"/>
  <c r="R724" i="1"/>
  <c r="R723" i="1" l="1"/>
  <c r="S724" i="1"/>
  <c r="T724" i="1" s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R710" i="1" l="1"/>
  <c r="S711" i="1"/>
  <c r="T711" i="1" s="1"/>
  <c r="S710" i="1" l="1"/>
  <c r="T710" i="1" s="1"/>
  <c r="R709" i="1"/>
  <c r="R708" i="1" l="1"/>
  <c r="S709" i="1"/>
  <c r="T709" i="1" s="1"/>
  <c r="R707" i="1" l="1"/>
  <c r="S708" i="1"/>
  <c r="T708" i="1" s="1"/>
  <c r="S707" i="1" l="1"/>
  <c r="T707" i="1" s="1"/>
  <c r="R706" i="1"/>
  <c r="R705" i="1" l="1"/>
  <c r="S706" i="1"/>
  <c r="T706" i="1" s="1"/>
  <c r="S705" i="1" l="1"/>
  <c r="T705" i="1" s="1"/>
  <c r="R704" i="1"/>
  <c r="R703" i="1" l="1"/>
  <c r="S704" i="1"/>
  <c r="T704" i="1" s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R673" i="1" l="1"/>
  <c r="S674" i="1"/>
  <c r="T674" i="1" s="1"/>
  <c r="S673" i="1" l="1"/>
  <c r="T673" i="1" s="1"/>
  <c r="R672" i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S668" i="1" l="1"/>
  <c r="T668" i="1" s="1"/>
  <c r="R667" i="1"/>
  <c r="R666" i="1" l="1"/>
  <c r="S667" i="1"/>
  <c r="T667" i="1" s="1"/>
  <c r="S666" i="1" l="1"/>
  <c r="T666" i="1" s="1"/>
  <c r="R665" i="1"/>
  <c r="S665" i="1" l="1"/>
  <c r="T665" i="1" s="1"/>
  <c r="R664" i="1"/>
  <c r="R663" i="1" l="1"/>
  <c r="S664" i="1"/>
  <c r="T664" i="1" s="1"/>
  <c r="S663" i="1" l="1"/>
  <c r="T663" i="1" s="1"/>
  <c r="R662" i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S658" i="1" l="1"/>
  <c r="T658" i="1" s="1"/>
  <c r="R657" i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R650" i="1" l="1"/>
  <c r="S651" i="1"/>
  <c r="T651" i="1" s="1"/>
  <c r="S650" i="1" l="1"/>
  <c r="T650" i="1" s="1"/>
  <c r="R649" i="1"/>
  <c r="S649" i="1" l="1"/>
  <c r="T649" i="1" s="1"/>
  <c r="R648" i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S635" i="1" l="1"/>
  <c r="T635" i="1" s="1"/>
  <c r="R634" i="1"/>
  <c r="S634" i="1" l="1"/>
  <c r="T634" i="1" s="1"/>
  <c r="R633" i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R624" i="1" l="1"/>
  <c r="S625" i="1"/>
  <c r="T625" i="1" s="1"/>
  <c r="S624" i="1" l="1"/>
  <c r="T624" i="1" s="1"/>
  <c r="R623" i="1"/>
  <c r="R622" i="1" l="1"/>
  <c r="S623" i="1"/>
  <c r="T623" i="1" s="1"/>
  <c r="S622" i="1" l="1"/>
  <c r="T622" i="1" s="1"/>
  <c r="R621" i="1"/>
  <c r="S621" i="1" l="1"/>
  <c r="T621" i="1" s="1"/>
  <c r="R620" i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S611" i="1" l="1"/>
  <c r="T611" i="1" s="1"/>
  <c r="R610" i="1"/>
  <c r="S610" i="1" l="1"/>
  <c r="T610" i="1" s="1"/>
  <c r="R609" i="1"/>
  <c r="S609" i="1" l="1"/>
  <c r="T609" i="1" s="1"/>
  <c r="R608" i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S602" i="1" l="1"/>
  <c r="T602" i="1" s="1"/>
  <c r="R601" i="1"/>
  <c r="S601" i="1" l="1"/>
  <c r="T601" i="1" s="1"/>
  <c r="R600" i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S593" i="1" l="1"/>
  <c r="T593" i="1" s="1"/>
  <c r="R592" i="1"/>
  <c r="R591" i="1" l="1"/>
  <c r="S592" i="1"/>
  <c r="T592" i="1" s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S584" i="1" l="1"/>
  <c r="T584" i="1" s="1"/>
  <c r="R583" i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S578" i="1" l="1"/>
  <c r="T578" i="1" s="1"/>
  <c r="R577" i="1"/>
  <c r="R576" i="1" l="1"/>
  <c r="S577" i="1"/>
  <c r="T577" i="1" s="1"/>
  <c r="S576" i="1" l="1"/>
  <c r="T576" i="1" s="1"/>
  <c r="R575" i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S571" i="1" l="1"/>
  <c r="T571" i="1" s="1"/>
  <c r="R570" i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S560" i="1" l="1"/>
  <c r="T560" i="1" s="1"/>
  <c r="R559" i="1"/>
  <c r="S559" i="1" l="1"/>
  <c r="T559" i="1" s="1"/>
  <c r="R558" i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S533" i="1" l="1"/>
  <c r="T533" i="1" s="1"/>
  <c r="R532" i="1"/>
  <c r="S532" i="1" l="1"/>
  <c r="T532" i="1" s="1"/>
  <c r="R531" i="1"/>
  <c r="R530" i="1" l="1"/>
  <c r="S531" i="1"/>
  <c r="T531" i="1" s="1"/>
  <c r="S530" i="1" l="1"/>
  <c r="T530" i="1" s="1"/>
  <c r="R529" i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S522" i="1" l="1"/>
  <c r="T522" i="1" s="1"/>
  <c r="R521" i="1"/>
  <c r="R520" i="1" l="1"/>
  <c r="S521" i="1"/>
  <c r="T521" i="1" s="1"/>
  <c r="S520" i="1" l="1"/>
  <c r="T520" i="1" s="1"/>
  <c r="R519" i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S513" i="1" l="1"/>
  <c r="T513" i="1" s="1"/>
  <c r="R512" i="1"/>
  <c r="S512" i="1" l="1"/>
  <c r="T512" i="1" s="1"/>
  <c r="R511" i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S499" i="1" l="1"/>
  <c r="T499" i="1" s="1"/>
  <c r="R498" i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S494" i="1" l="1"/>
  <c r="T494" i="1" s="1"/>
  <c r="R493" i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S478" i="1" l="1"/>
  <c r="T478" i="1" s="1"/>
  <c r="R477" i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R471" i="1" l="1"/>
  <c r="S472" i="1"/>
  <c r="T472" i="1" s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S465" i="1" l="1"/>
  <c r="T465" i="1" s="1"/>
  <c r="R464" i="1"/>
  <c r="S464" i="1" l="1"/>
  <c r="T464" i="1" s="1"/>
  <c r="R463" i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S458" i="1" l="1"/>
  <c r="T458" i="1" s="1"/>
  <c r="R457" i="1"/>
  <c r="S457" i="1" l="1"/>
  <c r="T457" i="1" s="1"/>
  <c r="R456" i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S430" i="1" l="1"/>
  <c r="T430" i="1" s="1"/>
  <c r="R429" i="1"/>
  <c r="S429" i="1" l="1"/>
  <c r="T429" i="1" s="1"/>
  <c r="R428" i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R414" i="1" l="1"/>
  <c r="S415" i="1"/>
  <c r="T415" i="1" s="1"/>
  <c r="S414" i="1" l="1"/>
  <c r="T414" i="1" s="1"/>
  <c r="R413" i="1"/>
  <c r="R412" i="1" l="1"/>
  <c r="S413" i="1"/>
  <c r="T413" i="1" s="1"/>
  <c r="R411" i="1" l="1"/>
  <c r="S412" i="1"/>
  <c r="T412" i="1" s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S405" i="1" l="1"/>
  <c r="T405" i="1" s="1"/>
  <c r="R404" i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S400" i="1" l="1"/>
  <c r="T400" i="1" s="1"/>
  <c r="R399" i="1"/>
  <c r="S399" i="1" l="1"/>
  <c r="T399" i="1" s="1"/>
  <c r="R398" i="1"/>
  <c r="R397" i="1" l="1"/>
  <c r="S398" i="1"/>
  <c r="T398" i="1" s="1"/>
  <c r="S397" i="1" l="1"/>
  <c r="T397" i="1" s="1"/>
  <c r="R396" i="1"/>
  <c r="S396" i="1" l="1"/>
  <c r="T396" i="1" s="1"/>
  <c r="R395" i="1"/>
  <c r="R394" i="1" l="1"/>
  <c r="S395" i="1"/>
  <c r="T395" i="1" s="1"/>
  <c r="S394" i="1" l="1"/>
  <c r="T394" i="1" s="1"/>
  <c r="R393" i="1"/>
  <c r="R392" i="1" l="1"/>
  <c r="S393" i="1"/>
  <c r="T393" i="1" s="1"/>
  <c r="R391" i="1" l="1"/>
  <c r="S392" i="1"/>
  <c r="T392" i="1" s="1"/>
  <c r="S391" i="1" l="1"/>
  <c r="T391" i="1" s="1"/>
  <c r="R390" i="1"/>
  <c r="R389" i="1" l="1"/>
  <c r="S390" i="1"/>
  <c r="T390" i="1" s="1"/>
  <c r="S389" i="1" l="1"/>
  <c r="T389" i="1" s="1"/>
  <c r="R388" i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S381" i="1" l="1"/>
  <c r="T381" i="1" s="1"/>
  <c r="R380" i="1"/>
  <c r="R379" i="1" l="1"/>
  <c r="S380" i="1"/>
  <c r="T380" i="1" s="1"/>
  <c r="R378" i="1" l="1"/>
  <c r="S379" i="1"/>
  <c r="T379" i="1" s="1"/>
  <c r="S378" i="1" l="1"/>
  <c r="T378" i="1" s="1"/>
  <c r="R377" i="1"/>
  <c r="S377" i="1" l="1"/>
  <c r="T377" i="1" s="1"/>
  <c r="R376" i="1"/>
  <c r="R375" i="1" l="1"/>
  <c r="S376" i="1"/>
  <c r="T376" i="1" s="1"/>
  <c r="R374" i="1" l="1"/>
  <c r="S375" i="1"/>
  <c r="T375" i="1" s="1"/>
  <c r="S374" i="1" l="1"/>
  <c r="T374" i="1" s="1"/>
  <c r="R373" i="1"/>
  <c r="R372" i="1" l="1"/>
  <c r="S373" i="1"/>
  <c r="T373" i="1" s="1"/>
  <c r="S372" i="1" l="1"/>
  <c r="T372" i="1" s="1"/>
  <c r="R371" i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R360" i="1" l="1"/>
  <c r="S361" i="1"/>
  <c r="T361" i="1" s="1"/>
  <c r="S360" i="1" l="1"/>
  <c r="T360" i="1" s="1"/>
  <c r="R359" i="1"/>
  <c r="R358" i="1" l="1"/>
  <c r="S359" i="1"/>
  <c r="T359" i="1" s="1"/>
  <c r="S358" i="1" l="1"/>
  <c r="T358" i="1" s="1"/>
  <c r="R357" i="1"/>
  <c r="S357" i="1" l="1"/>
  <c r="T357" i="1" s="1"/>
  <c r="R356" i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S348" i="1" l="1"/>
  <c r="T348" i="1" s="1"/>
  <c r="R347" i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S341" i="1" l="1"/>
  <c r="T341" i="1" s="1"/>
  <c r="R340" i="1"/>
  <c r="S340" i="1" l="1"/>
  <c r="T340" i="1" s="1"/>
  <c r="R339" i="1"/>
  <c r="S339" i="1" l="1"/>
  <c r="T339" i="1" s="1"/>
  <c r="R338" i="1"/>
  <c r="S338" i="1" l="1"/>
  <c r="T338" i="1" s="1"/>
  <c r="R337" i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R322" i="1" l="1"/>
  <c r="S323" i="1"/>
  <c r="T323" i="1" s="1"/>
  <c r="R321" i="1" l="1"/>
  <c r="S322" i="1"/>
  <c r="T322" i="1" s="1"/>
  <c r="S321" i="1" l="1"/>
  <c r="T321" i="1" s="1"/>
  <c r="R320" i="1"/>
  <c r="S320" i="1" l="1"/>
  <c r="T320" i="1" s="1"/>
  <c r="R319" i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S297" i="1" l="1"/>
  <c r="T297" i="1" s="1"/>
  <c r="R296" i="1"/>
  <c r="R295" i="1" l="1"/>
  <c r="S296" i="1"/>
  <c r="T296" i="1" s="1"/>
  <c r="S295" i="1" l="1"/>
  <c r="T295" i="1" s="1"/>
  <c r="R294" i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R274" i="1" l="1"/>
  <c r="S275" i="1"/>
  <c r="T275" i="1" s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S253" i="1" l="1"/>
  <c r="T253" i="1" s="1"/>
  <c r="R252" i="1"/>
  <c r="R251" i="1" l="1"/>
  <c r="S252" i="1"/>
  <c r="T252" i="1" s="1"/>
  <c r="R250" i="1" l="1"/>
  <c r="S251" i="1"/>
  <c r="T251" i="1" s="1"/>
  <c r="S250" i="1" l="1"/>
  <c r="T250" i="1" s="1"/>
  <c r="R249" i="1"/>
  <c r="R248" i="1" l="1"/>
  <c r="S249" i="1"/>
  <c r="T249" i="1" s="1"/>
  <c r="S248" i="1" l="1"/>
  <c r="T248" i="1" s="1"/>
  <c r="R247" i="1"/>
  <c r="S247" i="1" l="1"/>
  <c r="T247" i="1" s="1"/>
  <c r="R246" i="1"/>
  <c r="R245" i="1" l="1"/>
  <c r="S246" i="1"/>
  <c r="T246" i="1" s="1"/>
  <c r="S245" i="1" l="1"/>
  <c r="T245" i="1" s="1"/>
  <c r="R244" i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S237" i="1" l="1"/>
  <c r="T237" i="1" s="1"/>
  <c r="R236" i="1"/>
  <c r="R235" i="1" l="1"/>
  <c r="S236" i="1"/>
  <c r="T236" i="1" s="1"/>
  <c r="S235" i="1" l="1"/>
  <c r="T235" i="1" s="1"/>
  <c r="R234" i="1"/>
  <c r="S234" i="1" l="1"/>
  <c r="T234" i="1" s="1"/>
  <c r="R233" i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S225" i="1" l="1"/>
  <c r="T225" i="1" s="1"/>
  <c r="R224" i="1"/>
  <c r="R223" i="1" l="1"/>
  <c r="S224" i="1"/>
  <c r="T224" i="1" s="1"/>
  <c r="S223" i="1" l="1"/>
  <c r="T223" i="1" s="1"/>
  <c r="R222" i="1"/>
  <c r="R221" i="1" l="1"/>
  <c r="S222" i="1"/>
  <c r="T222" i="1" s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S204" i="1" l="1"/>
  <c r="T204" i="1" s="1"/>
  <c r="R203" i="1"/>
  <c r="S203" i="1" l="1"/>
  <c r="T203" i="1" s="1"/>
  <c r="R202" i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S177" i="1" l="1"/>
  <c r="T177" i="1" s="1"/>
  <c r="R176" i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S153" i="1" l="1"/>
  <c r="T153" i="1" s="1"/>
  <c r="R152" i="1"/>
  <c r="S152" i="1" l="1"/>
  <c r="T152" i="1" s="1"/>
  <c r="R151" i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S138" i="1" l="1"/>
  <c r="T138" i="1" s="1"/>
  <c r="R137" i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S130" i="1" l="1"/>
  <c r="T130" i="1" s="1"/>
  <c r="R129" i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S122" i="1" l="1"/>
  <c r="T122" i="1" s="1"/>
  <c r="R121" i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S111" i="1" l="1"/>
  <c r="T111" i="1" s="1"/>
  <c r="R110" i="1"/>
  <c r="R109" i="1" l="1"/>
  <c r="S110" i="1"/>
  <c r="T110" i="1" s="1"/>
  <c r="S109" i="1" l="1"/>
  <c r="T109" i="1" s="1"/>
  <c r="R108" i="1"/>
  <c r="S108" i="1" l="1"/>
  <c r="T108" i="1" s="1"/>
  <c r="R107" i="1"/>
  <c r="S107" i="1" l="1"/>
  <c r="T107" i="1" s="1"/>
  <c r="R106" i="1"/>
  <c r="S106" i="1" l="1"/>
  <c r="T106" i="1" s="1"/>
  <c r="R105" i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S74" i="1" l="1"/>
  <c r="T74" i="1" s="1"/>
  <c r="R73" i="1"/>
  <c r="S73" i="1" l="1"/>
  <c r="T73" i="1" s="1"/>
  <c r="R72" i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S57" i="1" l="1"/>
  <c r="T57" i="1" s="1"/>
  <c r="R56" i="1"/>
  <c r="S56" i="1" l="1"/>
  <c r="T56" i="1" s="1"/>
  <c r="R55" i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S34" i="1" l="1"/>
  <c r="T34" i="1" s="1"/>
  <c r="R33" i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<sst xmlns="http://schemas.openxmlformats.org/spreadsheetml/2006/main" count="5958" uniqueCount="34">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</sst>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282.8</c:v>
                </c:pt>
                <c:pt idx="1">
                  <c:v>289.10000000000002</c:v>
                </c:pt>
                <c:pt idx="2">
                  <c:v>291.60000000000002</c:v>
                </c:pt>
                <c:pt idx="3">
                  <c:v>292.3</c:v>
                </c:pt>
                <c:pt idx="4">
                  <c:v>302.5</c:v>
                </c:pt>
                <c:pt idx="5">
                  <c:v>291.8</c:v>
                </c:pt>
                <c:pt idx="6">
                  <c:v>314.89999999999998</c:v>
                </c:pt>
                <c:pt idx="7">
                  <c:v>357.5</c:v>
                </c:pt>
                <c:pt idx="8">
                  <c:v>368.9</c:v>
                </c:pt>
                <c:pt idx="9">
                  <c:v>381.4</c:v>
                </c:pt>
                <c:pt idx="10">
                  <c:v>380.6</c:v>
                </c:pt>
                <c:pt idx="11">
                  <c:v>388.1</c:v>
                </c:pt>
                <c:pt idx="12">
                  <c:v>390.6</c:v>
                </c:pt>
                <c:pt idx="13">
                  <c:v>385.6</c:v>
                </c:pt>
                <c:pt idx="14">
                  <c:v>377.5</c:v>
                </c:pt>
                <c:pt idx="15">
                  <c:v>383.8</c:v>
                </c:pt>
                <c:pt idx="16">
                  <c:v>369.8</c:v>
                </c:pt>
                <c:pt idx="17">
                  <c:v>363.6</c:v>
                </c:pt>
                <c:pt idx="18">
                  <c:v>376.8</c:v>
                </c:pt>
                <c:pt idx="19">
                  <c:v>372.9</c:v>
                </c:pt>
                <c:pt idx="20">
                  <c:v>385.7</c:v>
                </c:pt>
                <c:pt idx="21">
                  <c:v>399.8</c:v>
                </c:pt>
                <c:pt idx="22">
                  <c:v>399.4</c:v>
                </c:pt>
                <c:pt idx="23">
                  <c:v>427.1</c:v>
                </c:pt>
                <c:pt idx="24">
                  <c:v>434.7</c:v>
                </c:pt>
                <c:pt idx="25">
                  <c:v>447.7</c:v>
                </c:pt>
                <c:pt idx="26">
                  <c:v>444.8</c:v>
                </c:pt>
                <c:pt idx="27">
                  <c:v>430.2</c:v>
                </c:pt>
                <c:pt idx="28">
                  <c:v>431.7</c:v>
                </c:pt>
                <c:pt idx="29">
                  <c:v>430.1</c:v>
                </c:pt>
                <c:pt idx="30">
                  <c:v>439</c:v>
                </c:pt>
                <c:pt idx="31">
                  <c:v>465.3</c:v>
                </c:pt>
                <c:pt idx="32">
                  <c:v>451.6</c:v>
                </c:pt>
                <c:pt idx="33">
                  <c:v>455.1</c:v>
                </c:pt>
                <c:pt idx="34">
                  <c:v>451.8</c:v>
                </c:pt>
                <c:pt idx="35">
                  <c:v>455.6</c:v>
                </c:pt>
                <c:pt idx="36">
                  <c:v>438.1</c:v>
                </c:pt>
                <c:pt idx="37">
                  <c:v>437.7</c:v>
                </c:pt>
                <c:pt idx="38">
                  <c:v>430.2</c:v>
                </c:pt>
                <c:pt idx="39">
                  <c:v>432.8</c:v>
                </c:pt>
                <c:pt idx="40">
                  <c:v>435.7</c:v>
                </c:pt>
                <c:pt idx="41">
                  <c:v>424.5</c:v>
                </c:pt>
                <c:pt idx="42">
                  <c:v>438.3</c:v>
                </c:pt>
                <c:pt idx="43">
                  <c:v>447.6</c:v>
                </c:pt>
                <c:pt idx="44">
                  <c:v>436.8</c:v>
                </c:pt>
                <c:pt idx="45">
                  <c:v>421.8</c:v>
                </c:pt>
                <c:pt idx="46">
                  <c:v>458</c:v>
                </c:pt>
                <c:pt idx="47">
                  <c:v>444.3</c:v>
                </c:pt>
                <c:pt idx="48">
                  <c:v>438.6</c:v>
                </c:pt>
                <c:pt idx="49">
                  <c:v>448.6</c:v>
                </c:pt>
                <c:pt idx="50">
                  <c:v>480.4</c:v>
                </c:pt>
                <c:pt idx="51">
                  <c:v>474.3</c:v>
                </c:pt>
                <c:pt idx="52">
                  <c:v>474.8</c:v>
                </c:pt>
                <c:pt idx="53">
                  <c:v>453</c:v>
                </c:pt>
                <c:pt idx="54">
                  <c:v>473.2</c:v>
                </c:pt>
                <c:pt idx="55">
                  <c:v>532.4</c:v>
                </c:pt>
                <c:pt idx="56">
                  <c:v>561.70000000000005</c:v>
                </c:pt>
                <c:pt idx="57">
                  <c:v>570.79999999999995</c:v>
                </c:pt>
                <c:pt idx="58">
                  <c:v>570.4</c:v>
                </c:pt>
                <c:pt idx="59">
                  <c:v>574.9</c:v>
                </c:pt>
                <c:pt idx="60">
                  <c:v>568.70000000000005</c:v>
                </c:pt>
                <c:pt idx="61">
                  <c:v>562.70000000000005</c:v>
                </c:pt>
                <c:pt idx="62">
                  <c:v>557.29999999999995</c:v>
                </c:pt>
                <c:pt idx="63">
                  <c:v>616.79999999999995</c:v>
                </c:pt>
                <c:pt idx="64">
                  <c:v>579.1</c:v>
                </c:pt>
                <c:pt idx="65">
                  <c:v>571.1</c:v>
                </c:pt>
                <c:pt idx="66">
                  <c:v>556.9</c:v>
                </c:pt>
                <c:pt idx="67">
                  <c:v>574.4</c:v>
                </c:pt>
                <c:pt idx="68">
                  <c:v>584.5</c:v>
                </c:pt>
                <c:pt idx="69">
                  <c:v>574.29999999999995</c:v>
                </c:pt>
                <c:pt idx="70">
                  <c:v>554.4</c:v>
                </c:pt>
                <c:pt idx="71">
                  <c:v>595</c:v>
                </c:pt>
                <c:pt idx="72">
                  <c:v>597.79999999999995</c:v>
                </c:pt>
                <c:pt idx="73">
                  <c:v>665.6</c:v>
                </c:pt>
                <c:pt idx="74">
                  <c:v>679.5</c:v>
                </c:pt>
                <c:pt idx="75">
                  <c:v>665.6</c:v>
                </c:pt>
                <c:pt idx="76">
                  <c:v>668.1</c:v>
                </c:pt>
                <c:pt idx="77">
                  <c:v>675.8</c:v>
                </c:pt>
                <c:pt idx="78">
                  <c:v>662.9</c:v>
                </c:pt>
                <c:pt idx="79">
                  <c:v>717.5</c:v>
                </c:pt>
                <c:pt idx="80">
                  <c:v>638.4</c:v>
                </c:pt>
                <c:pt idx="81">
                  <c:v>600.4</c:v>
                </c:pt>
                <c:pt idx="82">
                  <c:v>587.4</c:v>
                </c:pt>
                <c:pt idx="83">
                  <c:v>597.70000000000005</c:v>
                </c:pt>
                <c:pt idx="84">
                  <c:v>595.6</c:v>
                </c:pt>
                <c:pt idx="85">
                  <c:v>611</c:v>
                </c:pt>
                <c:pt idx="86">
                  <c:v>598.4</c:v>
                </c:pt>
                <c:pt idx="87">
                  <c:v>586.9</c:v>
                </c:pt>
                <c:pt idx="88">
                  <c:v>596.9</c:v>
                </c:pt>
                <c:pt idx="89">
                  <c:v>585.29999999999995</c:v>
                </c:pt>
                <c:pt idx="90">
                  <c:v>594.79999999999995</c:v>
                </c:pt>
                <c:pt idx="91">
                  <c:v>578.70000000000005</c:v>
                </c:pt>
                <c:pt idx="92">
                  <c:v>548.4</c:v>
                </c:pt>
                <c:pt idx="93">
                  <c:v>611.9</c:v>
                </c:pt>
                <c:pt idx="94">
                  <c:v>621.29999999999995</c:v>
                </c:pt>
                <c:pt idx="95">
                  <c:v>617.20000000000005</c:v>
                </c:pt>
                <c:pt idx="96">
                  <c:v>629.1</c:v>
                </c:pt>
                <c:pt idx="97">
                  <c:v>623.9</c:v>
                </c:pt>
                <c:pt idx="98">
                  <c:v>623.4</c:v>
                </c:pt>
                <c:pt idx="99">
                  <c:v>644.70000000000005</c:v>
                </c:pt>
                <c:pt idx="100">
                  <c:v>618.5</c:v>
                </c:pt>
                <c:pt idx="101">
                  <c:v>611.5</c:v>
                </c:pt>
                <c:pt idx="102">
                  <c:v>612.5</c:v>
                </c:pt>
                <c:pt idx="103">
                  <c:v>625.4</c:v>
                </c:pt>
                <c:pt idx="104">
                  <c:v>625.70000000000005</c:v>
                </c:pt>
                <c:pt idx="105">
                  <c:v>599.1</c:v>
                </c:pt>
                <c:pt idx="106">
                  <c:v>593.70000000000005</c:v>
                </c:pt>
                <c:pt idx="107">
                  <c:v>587.9</c:v>
                </c:pt>
                <c:pt idx="108">
                  <c:v>601.29999999999995</c:v>
                </c:pt>
                <c:pt idx="109">
                  <c:v>584.70000000000005</c:v>
                </c:pt>
                <c:pt idx="110">
                  <c:v>615.20000000000005</c:v>
                </c:pt>
                <c:pt idx="111">
                  <c:v>596.20000000000005</c:v>
                </c:pt>
                <c:pt idx="112">
                  <c:v>611.29999999999995</c:v>
                </c:pt>
                <c:pt idx="113">
                  <c:v>617.1</c:v>
                </c:pt>
                <c:pt idx="114">
                  <c:v>594.5</c:v>
                </c:pt>
                <c:pt idx="115">
                  <c:v>551.4</c:v>
                </c:pt>
                <c:pt idx="116">
                  <c:v>570.9</c:v>
                </c:pt>
                <c:pt idx="117">
                  <c:v>552.1</c:v>
                </c:pt>
                <c:pt idx="118">
                  <c:v>543.70000000000005</c:v>
                </c:pt>
                <c:pt idx="119">
                  <c:v>502.6</c:v>
                </c:pt>
                <c:pt idx="120">
                  <c:v>484.9</c:v>
                </c:pt>
                <c:pt idx="121">
                  <c:v>474.2</c:v>
                </c:pt>
                <c:pt idx="122">
                  <c:v>488</c:v>
                </c:pt>
                <c:pt idx="123">
                  <c:v>503.2</c:v>
                </c:pt>
                <c:pt idx="124">
                  <c:v>516.79999999999995</c:v>
                </c:pt>
                <c:pt idx="125">
                  <c:v>513.5</c:v>
                </c:pt>
                <c:pt idx="126">
                  <c:v>552.70000000000005</c:v>
                </c:pt>
                <c:pt idx="127">
                  <c:v>547.70000000000005</c:v>
                </c:pt>
                <c:pt idx="128">
                  <c:v>505.4</c:v>
                </c:pt>
                <c:pt idx="129">
                  <c:v>568.1</c:v>
                </c:pt>
                <c:pt idx="130">
                  <c:v>608.70000000000005</c:v>
                </c:pt>
                <c:pt idx="131">
                  <c:v>630.79999999999995</c:v>
                </c:pt>
                <c:pt idx="132">
                  <c:v>621.20000000000005</c:v>
                </c:pt>
                <c:pt idx="133">
                  <c:v>639.20000000000005</c:v>
                </c:pt>
                <c:pt idx="134">
                  <c:v>652.6</c:v>
                </c:pt>
                <c:pt idx="135">
                  <c:v>640.70000000000005</c:v>
                </c:pt>
                <c:pt idx="136">
                  <c:v>614.1</c:v>
                </c:pt>
                <c:pt idx="137">
                  <c:v>646.5</c:v>
                </c:pt>
                <c:pt idx="138">
                  <c:v>636.1</c:v>
                </c:pt>
                <c:pt idx="139">
                  <c:v>628.9</c:v>
                </c:pt>
                <c:pt idx="140">
                  <c:v>661.5</c:v>
                </c:pt>
                <c:pt idx="141">
                  <c:v>662.7</c:v>
                </c:pt>
                <c:pt idx="142">
                  <c:v>673.4</c:v>
                </c:pt>
                <c:pt idx="143">
                  <c:v>784.5</c:v>
                </c:pt>
                <c:pt idx="144">
                  <c:v>764.5</c:v>
                </c:pt>
                <c:pt idx="145">
                  <c:v>709</c:v>
                </c:pt>
                <c:pt idx="146">
                  <c:v>713.7</c:v>
                </c:pt>
                <c:pt idx="147">
                  <c:v>664.3</c:v>
                </c:pt>
                <c:pt idx="148">
                  <c:v>655.7</c:v>
                </c:pt>
                <c:pt idx="149">
                  <c:v>636.6</c:v>
                </c:pt>
                <c:pt idx="150">
                  <c:v>632.4</c:v>
                </c:pt>
                <c:pt idx="151">
                  <c:v>659</c:v>
                </c:pt>
                <c:pt idx="152">
                  <c:v>646.6</c:v>
                </c:pt>
                <c:pt idx="153">
                  <c:v>636</c:v>
                </c:pt>
                <c:pt idx="154">
                  <c:v>606.1</c:v>
                </c:pt>
                <c:pt idx="155">
                  <c:v>650.39</c:v>
                </c:pt>
                <c:pt idx="156">
                  <c:v>636.38</c:v>
                </c:pt>
                <c:pt idx="157">
                  <c:v>678.22</c:v>
                </c:pt>
                <c:pt idx="158">
                  <c:v>685.82</c:v>
                </c:pt>
                <c:pt idx="159">
                  <c:v>675.56</c:v>
                </c:pt>
                <c:pt idx="160">
                  <c:v>693.99</c:v>
                </c:pt>
                <c:pt idx="161">
                  <c:v>659.83</c:v>
                </c:pt>
                <c:pt idx="162">
                  <c:v>632.04</c:v>
                </c:pt>
                <c:pt idx="163">
                  <c:v>639.19000000000005</c:v>
                </c:pt>
                <c:pt idx="164">
                  <c:v>673.31</c:v>
                </c:pt>
                <c:pt idx="165">
                  <c:v>703.42</c:v>
                </c:pt>
                <c:pt idx="166">
                  <c:v>692.08</c:v>
                </c:pt>
                <c:pt idx="167">
                  <c:v>654.44000000000005</c:v>
                </c:pt>
                <c:pt idx="168">
                  <c:v>606.21</c:v>
                </c:pt>
                <c:pt idx="169">
                  <c:v>620.37</c:v>
                </c:pt>
                <c:pt idx="170">
                  <c:v>592.05999999999995</c:v>
                </c:pt>
                <c:pt idx="171">
                  <c:v>591.37</c:v>
                </c:pt>
                <c:pt idx="172">
                  <c:v>555.55999999999995</c:v>
                </c:pt>
                <c:pt idx="173">
                  <c:v>583.53</c:v>
                </c:pt>
                <c:pt idx="174">
                  <c:v>557.41999999999996</c:v>
                </c:pt>
                <c:pt idx="175">
                  <c:v>548.39</c:v>
                </c:pt>
                <c:pt idx="176">
                  <c:v>545.72</c:v>
                </c:pt>
                <c:pt idx="177">
                  <c:v>538.6</c:v>
                </c:pt>
                <c:pt idx="178">
                  <c:v>543.29999999999995</c:v>
                </c:pt>
                <c:pt idx="179">
                  <c:v>526.26</c:v>
                </c:pt>
                <c:pt idx="180">
                  <c:v>545.98</c:v>
                </c:pt>
                <c:pt idx="181">
                  <c:v>552.77</c:v>
                </c:pt>
                <c:pt idx="182">
                  <c:v>538.9</c:v>
                </c:pt>
                <c:pt idx="183">
                  <c:v>511.41</c:v>
                </c:pt>
                <c:pt idx="184">
                  <c:v>501.91</c:v>
                </c:pt>
                <c:pt idx="185">
                  <c:v>481.09</c:v>
                </c:pt>
                <c:pt idx="186">
                  <c:v>454.99</c:v>
                </c:pt>
                <c:pt idx="187">
                  <c:v>458.49</c:v>
                </c:pt>
                <c:pt idx="188">
                  <c:v>454.78</c:v>
                </c:pt>
                <c:pt idx="189">
                  <c:v>442.15</c:v>
                </c:pt>
                <c:pt idx="190">
                  <c:v>430.7</c:v>
                </c:pt>
                <c:pt idx="191">
                  <c:v>398.48</c:v>
                </c:pt>
                <c:pt idx="192">
                  <c:v>414.94</c:v>
                </c:pt>
                <c:pt idx="193">
                  <c:v>437.92</c:v>
                </c:pt>
                <c:pt idx="194">
                  <c:v>436.07</c:v>
                </c:pt>
                <c:pt idx="195">
                  <c:v>438.02</c:v>
                </c:pt>
                <c:pt idx="196">
                  <c:v>455.9</c:v>
                </c:pt>
                <c:pt idx="197">
                  <c:v>467.36</c:v>
                </c:pt>
                <c:pt idx="198">
                  <c:v>465.1</c:v>
                </c:pt>
                <c:pt idx="199">
                  <c:v>479.58</c:v>
                </c:pt>
                <c:pt idx="200">
                  <c:v>498.11</c:v>
                </c:pt>
                <c:pt idx="201">
                  <c:v>496.94</c:v>
                </c:pt>
                <c:pt idx="202">
                  <c:v>504.16</c:v>
                </c:pt>
                <c:pt idx="203">
                  <c:v>490.3</c:v>
                </c:pt>
                <c:pt idx="204">
                  <c:v>509.35</c:v>
                </c:pt>
                <c:pt idx="205">
                  <c:v>511.55</c:v>
                </c:pt>
                <c:pt idx="206">
                  <c:v>504.31</c:v>
                </c:pt>
                <c:pt idx="207">
                  <c:v>526.73</c:v>
                </c:pt>
                <c:pt idx="208">
                  <c:v>505.24</c:v>
                </c:pt>
                <c:pt idx="209">
                  <c:v>495.76</c:v>
                </c:pt>
                <c:pt idx="210">
                  <c:v>495.79</c:v>
                </c:pt>
                <c:pt idx="211">
                  <c:v>526.79999999999995</c:v>
                </c:pt>
                <c:pt idx="212">
                  <c:v>524.01</c:v>
                </c:pt>
                <c:pt idx="213">
                  <c:v>501.83</c:v>
                </c:pt>
                <c:pt idx="214">
                  <c:v>477.79</c:v>
                </c:pt>
                <c:pt idx="215">
                  <c:v>459.58</c:v>
                </c:pt>
                <c:pt idx="216">
                  <c:v>449.22</c:v>
                </c:pt>
                <c:pt idx="217">
                  <c:v>486.96</c:v>
                </c:pt>
                <c:pt idx="218">
                  <c:v>472.79</c:v>
                </c:pt>
                <c:pt idx="219">
                  <c:v>444.06</c:v>
                </c:pt>
                <c:pt idx="220">
                  <c:v>455.4</c:v>
                </c:pt>
                <c:pt idx="221">
                  <c:v>556.16</c:v>
                </c:pt>
                <c:pt idx="222">
                  <c:v>552.12</c:v>
                </c:pt>
                <c:pt idx="223">
                  <c:v>563.21</c:v>
                </c:pt>
                <c:pt idx="224">
                  <c:v>598.95000000000005</c:v>
                </c:pt>
                <c:pt idx="225">
                  <c:v>593.73</c:v>
                </c:pt>
                <c:pt idx="226">
                  <c:v>627.16999999999996</c:v>
                </c:pt>
                <c:pt idx="227">
                  <c:v>641.5</c:v>
                </c:pt>
                <c:pt idx="228">
                  <c:v>613.46</c:v>
                </c:pt>
                <c:pt idx="229">
                  <c:v>580</c:v>
                </c:pt>
                <c:pt idx="230">
                  <c:v>577.04</c:v>
                </c:pt>
                <c:pt idx="231">
                  <c:v>601.11</c:v>
                </c:pt>
                <c:pt idx="232">
                  <c:v>634</c:v>
                </c:pt>
                <c:pt idx="233">
                  <c:v>595.30999999999995</c:v>
                </c:pt>
                <c:pt idx="234">
                  <c:v>596.45000000000005</c:v>
                </c:pt>
                <c:pt idx="235">
                  <c:v>656.1</c:v>
                </c:pt>
                <c:pt idx="236">
                  <c:v>649.30999999999995</c:v>
                </c:pt>
                <c:pt idx="237">
                  <c:v>670.74</c:v>
                </c:pt>
                <c:pt idx="238">
                  <c:v>718.91</c:v>
                </c:pt>
                <c:pt idx="239">
                  <c:v>697.36</c:v>
                </c:pt>
                <c:pt idx="240">
                  <c:v>691.13</c:v>
                </c:pt>
                <c:pt idx="241">
                  <c:v>702.46</c:v>
                </c:pt>
                <c:pt idx="242">
                  <c:v>661.66</c:v>
                </c:pt>
                <c:pt idx="243">
                  <c:v>651.96</c:v>
                </c:pt>
                <c:pt idx="244">
                  <c:v>688.28</c:v>
                </c:pt>
                <c:pt idx="245">
                  <c:v>750.03</c:v>
                </c:pt>
                <c:pt idx="246">
                  <c:v>763.96</c:v>
                </c:pt>
                <c:pt idx="247">
                  <c:v>718.79</c:v>
                </c:pt>
                <c:pt idx="248">
                  <c:v>754</c:v>
                </c:pt>
                <c:pt idx="249">
                  <c:v>552.37</c:v>
                </c:pt>
                <c:pt idx="250">
                  <c:v>629.85</c:v>
                </c:pt>
                <c:pt idx="251">
                  <c:v>687.5</c:v>
                </c:pt>
                <c:pt idx="252">
                  <c:v>817.65</c:v>
                </c:pt>
                <c:pt idx="253">
                  <c:v>694.51</c:v>
                </c:pt>
                <c:pt idx="254">
                  <c:v>1089.32</c:v>
                </c:pt>
                <c:pt idx="255">
                  <c:v>1069.74</c:v>
                </c:pt>
                <c:pt idx="256">
                  <c:v>1166.69</c:v>
                </c:pt>
                <c:pt idx="257">
                  <c:v>1171.75</c:v>
                </c:pt>
                <c:pt idx="258">
                  <c:v>1296.3800000000001</c:v>
                </c:pt>
                <c:pt idx="259">
                  <c:v>1258.52</c:v>
                </c:pt>
                <c:pt idx="260">
                  <c:v>1236.46</c:v>
                </c:pt>
                <c:pt idx="261">
                  <c:v>1547.51</c:v>
                </c:pt>
                <c:pt idx="262">
                  <c:v>1321.31</c:v>
                </c:pt>
                <c:pt idx="263">
                  <c:v>1427.8</c:v>
                </c:pt>
                <c:pt idx="264">
                  <c:v>1396.86</c:v>
                </c:pt>
                <c:pt idx="265">
                  <c:v>1340.72</c:v>
                </c:pt>
                <c:pt idx="266">
                  <c:v>1509.27</c:v>
                </c:pt>
                <c:pt idx="267">
                  <c:v>1453.49</c:v>
                </c:pt>
                <c:pt idx="268">
                  <c:v>950.89</c:v>
                </c:pt>
                <c:pt idx="269">
                  <c:v>1015.02</c:v>
                </c:pt>
                <c:pt idx="270">
                  <c:v>972.25</c:v>
                </c:pt>
                <c:pt idx="271">
                  <c:v>1003.77</c:v>
                </c:pt>
                <c:pt idx="272">
                  <c:v>995.51</c:v>
                </c:pt>
                <c:pt idx="273">
                  <c:v>880.43</c:v>
                </c:pt>
                <c:pt idx="274">
                  <c:v>910.44</c:v>
                </c:pt>
                <c:pt idx="275">
                  <c:v>890.58</c:v>
                </c:pt>
                <c:pt idx="276">
                  <c:v>848.88</c:v>
                </c:pt>
                <c:pt idx="277">
                  <c:v>758.87</c:v>
                </c:pt>
                <c:pt idx="278">
                  <c:v>770.41</c:v>
                </c:pt>
                <c:pt idx="279">
                  <c:v>839.34</c:v>
                </c:pt>
                <c:pt idx="280">
                  <c:v>853.08</c:v>
                </c:pt>
                <c:pt idx="281">
                  <c:v>909.2</c:v>
                </c:pt>
                <c:pt idx="282">
                  <c:v>940.79</c:v>
                </c:pt>
                <c:pt idx="283">
                  <c:v>891.27</c:v>
                </c:pt>
                <c:pt idx="284">
                  <c:v>972.51</c:v>
                </c:pt>
                <c:pt idx="285">
                  <c:v>991.76</c:v>
                </c:pt>
                <c:pt idx="286">
                  <c:v>1103.53</c:v>
                </c:pt>
                <c:pt idx="287">
                  <c:v>864.82</c:v>
                </c:pt>
                <c:pt idx="288">
                  <c:v>814.85</c:v>
                </c:pt>
                <c:pt idx="289">
                  <c:v>745.14</c:v>
                </c:pt>
                <c:pt idx="290">
                  <c:v>670.39</c:v>
                </c:pt>
                <c:pt idx="291">
                  <c:v>689.65</c:v>
                </c:pt>
                <c:pt idx="292">
                  <c:v>673.1</c:v>
                </c:pt>
                <c:pt idx="293">
                  <c:v>631.21</c:v>
                </c:pt>
                <c:pt idx="294">
                  <c:v>643.35</c:v>
                </c:pt>
                <c:pt idx="295">
                  <c:v>615.92999999999995</c:v>
                </c:pt>
                <c:pt idx="296">
                  <c:v>662.5</c:v>
                </c:pt>
                <c:pt idx="297">
                  <c:v>647.21</c:v>
                </c:pt>
                <c:pt idx="298">
                  <c:v>560.78</c:v>
                </c:pt>
                <c:pt idx="299">
                  <c:v>530.59</c:v>
                </c:pt>
                <c:pt idx="300">
                  <c:v>580.64</c:v>
                </c:pt>
                <c:pt idx="301">
                  <c:v>556.66</c:v>
                </c:pt>
                <c:pt idx="302">
                  <c:v>541.05999999999995</c:v>
                </c:pt>
                <c:pt idx="303">
                  <c:v>525.75</c:v>
                </c:pt>
                <c:pt idx="304">
                  <c:v>518.36</c:v>
                </c:pt>
                <c:pt idx="305">
                  <c:v>497.04</c:v>
                </c:pt>
                <c:pt idx="306">
                  <c:v>500.58</c:v>
                </c:pt>
                <c:pt idx="307">
                  <c:v>505.81</c:v>
                </c:pt>
                <c:pt idx="308">
                  <c:v>472.8</c:v>
                </c:pt>
                <c:pt idx="309">
                  <c:v>474.22</c:v>
                </c:pt>
                <c:pt idx="310">
                  <c:v>510.76</c:v>
                </c:pt>
                <c:pt idx="311">
                  <c:v>509.07</c:v>
                </c:pt>
                <c:pt idx="312">
                  <c:v>523.59</c:v>
                </c:pt>
                <c:pt idx="313">
                  <c:v>536.04999999999995</c:v>
                </c:pt>
                <c:pt idx="314">
                  <c:v>532.37</c:v>
                </c:pt>
                <c:pt idx="315">
                  <c:v>528.16999999999996</c:v>
                </c:pt>
                <c:pt idx="316">
                  <c:v>541.57000000000005</c:v>
                </c:pt>
                <c:pt idx="317">
                  <c:v>528.5</c:v>
                </c:pt>
                <c:pt idx="318">
                  <c:v>523.20000000000005</c:v>
                </c:pt>
                <c:pt idx="319">
                  <c:v>552.02</c:v>
                </c:pt>
                <c:pt idx="320">
                  <c:v>593.99</c:v>
                </c:pt>
                <c:pt idx="321">
                  <c:v>538.44000000000005</c:v>
                </c:pt>
                <c:pt idx="322">
                  <c:v>549.85</c:v>
                </c:pt>
                <c:pt idx="323">
                  <c:v>546.27</c:v>
                </c:pt>
                <c:pt idx="324">
                  <c:v>545.32000000000005</c:v>
                </c:pt>
                <c:pt idx="325">
                  <c:v>529.15</c:v>
                </c:pt>
                <c:pt idx="326">
                  <c:v>516.55999999999995</c:v>
                </c:pt>
                <c:pt idx="327">
                  <c:v>500.38</c:v>
                </c:pt>
                <c:pt idx="328">
                  <c:v>497.22</c:v>
                </c:pt>
                <c:pt idx="329">
                  <c:v>505.31</c:v>
                </c:pt>
                <c:pt idx="330">
                  <c:v>520.82000000000005</c:v>
                </c:pt>
                <c:pt idx="331">
                  <c:v>517.62</c:v>
                </c:pt>
                <c:pt idx="332">
                  <c:v>501.61</c:v>
                </c:pt>
                <c:pt idx="333">
                  <c:v>460.12</c:v>
                </c:pt>
                <c:pt idx="334">
                  <c:v>483.35</c:v>
                </c:pt>
                <c:pt idx="335">
                  <c:v>484.46</c:v>
                </c:pt>
                <c:pt idx="336">
                  <c:v>499.67</c:v>
                </c:pt>
                <c:pt idx="337">
                  <c:v>526.99</c:v>
                </c:pt>
                <c:pt idx="338">
                  <c:v>515.84</c:v>
                </c:pt>
                <c:pt idx="339">
                  <c:v>628.98</c:v>
                </c:pt>
                <c:pt idx="340">
                  <c:v>706.28</c:v>
                </c:pt>
                <c:pt idx="341">
                  <c:v>678.29</c:v>
                </c:pt>
                <c:pt idx="342">
                  <c:v>718.98</c:v>
                </c:pt>
                <c:pt idx="343">
                  <c:v>703.7</c:v>
                </c:pt>
                <c:pt idx="344">
                  <c:v>716.45</c:v>
                </c:pt>
                <c:pt idx="345">
                  <c:v>705.39</c:v>
                </c:pt>
                <c:pt idx="346">
                  <c:v>715.52</c:v>
                </c:pt>
                <c:pt idx="347">
                  <c:v>720.44</c:v>
                </c:pt>
                <c:pt idx="348">
                  <c:v>668.3</c:v>
                </c:pt>
                <c:pt idx="349">
                  <c:v>576.42999999999995</c:v>
                </c:pt>
                <c:pt idx="350">
                  <c:v>530.4</c:v>
                </c:pt>
                <c:pt idx="351">
                  <c:v>494.85</c:v>
                </c:pt>
                <c:pt idx="352">
                  <c:v>514.41999999999996</c:v>
                </c:pt>
                <c:pt idx="353">
                  <c:v>483.99</c:v>
                </c:pt>
                <c:pt idx="354">
                  <c:v>444.8</c:v>
                </c:pt>
                <c:pt idx="355">
                  <c:v>457.78</c:v>
                </c:pt>
                <c:pt idx="356">
                  <c:v>447.72</c:v>
                </c:pt>
                <c:pt idx="357">
                  <c:v>420.91</c:v>
                </c:pt>
                <c:pt idx="358">
                  <c:v>446.1</c:v>
                </c:pt>
                <c:pt idx="359">
                  <c:v>430.31</c:v>
                </c:pt>
                <c:pt idx="360">
                  <c:v>414.48</c:v>
                </c:pt>
                <c:pt idx="361">
                  <c:v>399.3</c:v>
                </c:pt>
                <c:pt idx="362">
                  <c:v>417.02</c:v>
                </c:pt>
                <c:pt idx="363">
                  <c:v>407.03</c:v>
                </c:pt>
                <c:pt idx="364">
                  <c:v>404.75</c:v>
                </c:pt>
                <c:pt idx="365">
                  <c:v>377.17</c:v>
                </c:pt>
                <c:pt idx="366">
                  <c:v>427.46</c:v>
                </c:pt>
                <c:pt idx="367">
                  <c:v>432.28</c:v>
                </c:pt>
                <c:pt idx="368">
                  <c:v>439.52</c:v>
                </c:pt>
                <c:pt idx="369">
                  <c:v>431.36</c:v>
                </c:pt>
                <c:pt idx="370">
                  <c:v>439.79</c:v>
                </c:pt>
                <c:pt idx="371">
                  <c:v>418.68</c:v>
                </c:pt>
                <c:pt idx="372">
                  <c:v>496.95</c:v>
                </c:pt>
                <c:pt idx="373">
                  <c:v>507.04</c:v>
                </c:pt>
                <c:pt idx="374">
                  <c:v>508.95</c:v>
                </c:pt>
                <c:pt idx="375">
                  <c:v>479.37</c:v>
                </c:pt>
                <c:pt idx="376">
                  <c:v>489.74</c:v>
                </c:pt>
                <c:pt idx="377">
                  <c:v>490.7</c:v>
                </c:pt>
                <c:pt idx="378">
                  <c:v>527</c:v>
                </c:pt>
                <c:pt idx="379">
                  <c:v>496.06</c:v>
                </c:pt>
                <c:pt idx="380">
                  <c:v>451.88</c:v>
                </c:pt>
                <c:pt idx="381">
                  <c:v>476.78</c:v>
                </c:pt>
                <c:pt idx="382">
                  <c:v>599.98</c:v>
                </c:pt>
                <c:pt idx="383">
                  <c:v>574.88</c:v>
                </c:pt>
                <c:pt idx="384">
                  <c:v>436.98</c:v>
                </c:pt>
                <c:pt idx="385">
                  <c:v>448</c:v>
                </c:pt>
                <c:pt idx="386">
                  <c:v>453.44</c:v>
                </c:pt>
                <c:pt idx="387">
                  <c:v>418.09</c:v>
                </c:pt>
                <c:pt idx="388">
                  <c:v>405.49</c:v>
                </c:pt>
                <c:pt idx="389">
                  <c:v>423.61</c:v>
                </c:pt>
                <c:pt idx="390">
                  <c:v>354.55</c:v>
                </c:pt>
                <c:pt idx="391">
                  <c:v>341.83</c:v>
                </c:pt>
                <c:pt idx="392">
                  <c:v>342.15</c:v>
                </c:pt>
                <c:pt idx="393">
                  <c:v>358.69</c:v>
                </c:pt>
                <c:pt idx="394">
                  <c:v>352.92</c:v>
                </c:pt>
                <c:pt idx="395">
                  <c:v>360.77</c:v>
                </c:pt>
                <c:pt idx="396">
                  <c:v>338.1</c:v>
                </c:pt>
                <c:pt idx="397">
                  <c:v>323.60000000000002</c:v>
                </c:pt>
                <c:pt idx="398">
                  <c:v>319.14</c:v>
                </c:pt>
                <c:pt idx="399">
                  <c:v>296.99</c:v>
                </c:pt>
                <c:pt idx="400">
                  <c:v>275.48</c:v>
                </c:pt>
                <c:pt idx="401">
                  <c:v>322.69</c:v>
                </c:pt>
                <c:pt idx="402">
                  <c:v>313.41000000000003</c:v>
                </c:pt>
                <c:pt idx="403">
                  <c:v>349.21</c:v>
                </c:pt>
                <c:pt idx="404">
                  <c:v>318.13</c:v>
                </c:pt>
                <c:pt idx="405">
                  <c:v>313.33</c:v>
                </c:pt>
                <c:pt idx="406">
                  <c:v>310.73</c:v>
                </c:pt>
                <c:pt idx="407">
                  <c:v>312.07</c:v>
                </c:pt>
                <c:pt idx="408">
                  <c:v>288.85000000000002</c:v>
                </c:pt>
                <c:pt idx="409">
                  <c:v>276.94</c:v>
                </c:pt>
                <c:pt idx="410">
                  <c:v>276.02</c:v>
                </c:pt>
                <c:pt idx="411">
                  <c:v>267.89</c:v>
                </c:pt>
                <c:pt idx="412">
                  <c:v>259.24</c:v>
                </c:pt>
                <c:pt idx="413">
                  <c:v>265.75</c:v>
                </c:pt>
                <c:pt idx="414">
                  <c:v>268.7</c:v>
                </c:pt>
                <c:pt idx="415">
                  <c:v>267.7</c:v>
                </c:pt>
                <c:pt idx="416">
                  <c:v>283.86</c:v>
                </c:pt>
                <c:pt idx="417">
                  <c:v>286.24</c:v>
                </c:pt>
                <c:pt idx="418">
                  <c:v>289.57</c:v>
                </c:pt>
                <c:pt idx="419">
                  <c:v>279.56</c:v>
                </c:pt>
                <c:pt idx="420">
                  <c:v>292.10000000000002</c:v>
                </c:pt>
                <c:pt idx="421">
                  <c:v>294.14999999999998</c:v>
                </c:pt>
                <c:pt idx="422">
                  <c:v>287.61</c:v>
                </c:pt>
                <c:pt idx="423">
                  <c:v>317.49</c:v>
                </c:pt>
                <c:pt idx="424">
                  <c:v>285.04000000000002</c:v>
                </c:pt>
                <c:pt idx="425">
                  <c:v>275.97000000000003</c:v>
                </c:pt>
                <c:pt idx="426">
                  <c:v>265.45</c:v>
                </c:pt>
                <c:pt idx="427">
                  <c:v>271.44</c:v>
                </c:pt>
                <c:pt idx="428">
                  <c:v>312.99</c:v>
                </c:pt>
                <c:pt idx="429">
                  <c:v>348.06</c:v>
                </c:pt>
                <c:pt idx="430">
                  <c:v>323.22000000000003</c:v>
                </c:pt>
                <c:pt idx="431">
                  <c:v>288.91000000000003</c:v>
                </c:pt>
                <c:pt idx="432">
                  <c:v>305.06</c:v>
                </c:pt>
                <c:pt idx="433">
                  <c:v>260.01</c:v>
                </c:pt>
                <c:pt idx="434">
                  <c:v>245.88</c:v>
                </c:pt>
                <c:pt idx="435">
                  <c:v>246.23</c:v>
                </c:pt>
                <c:pt idx="436">
                  <c:v>255.39</c:v>
                </c:pt>
                <c:pt idx="437">
                  <c:v>249.6</c:v>
                </c:pt>
                <c:pt idx="438">
                  <c:v>240.43</c:v>
                </c:pt>
                <c:pt idx="439">
                  <c:v>255.12</c:v>
                </c:pt>
                <c:pt idx="440">
                  <c:v>259.22000000000003</c:v>
                </c:pt>
                <c:pt idx="441">
                  <c:v>259.99</c:v>
                </c:pt>
                <c:pt idx="442">
                  <c:v>256.86</c:v>
                </c:pt>
                <c:pt idx="443">
                  <c:v>257.19</c:v>
                </c:pt>
                <c:pt idx="444">
                  <c:v>264.27</c:v>
                </c:pt>
                <c:pt idx="445">
                  <c:v>270.8</c:v>
                </c:pt>
                <c:pt idx="446">
                  <c:v>253.91</c:v>
                </c:pt>
                <c:pt idx="447">
                  <c:v>257.79000000000002</c:v>
                </c:pt>
                <c:pt idx="448">
                  <c:v>249.53</c:v>
                </c:pt>
                <c:pt idx="449">
                  <c:v>241.14</c:v>
                </c:pt>
                <c:pt idx="450">
                  <c:v>244.22</c:v>
                </c:pt>
                <c:pt idx="451">
                  <c:v>257.27999999999997</c:v>
                </c:pt>
                <c:pt idx="452">
                  <c:v>268.02999999999997</c:v>
                </c:pt>
                <c:pt idx="453">
                  <c:v>262.01</c:v>
                </c:pt>
                <c:pt idx="454">
                  <c:v>261.89999999999998</c:v>
                </c:pt>
                <c:pt idx="455">
                  <c:v>267.42</c:v>
                </c:pt>
                <c:pt idx="456">
                  <c:v>268.06</c:v>
                </c:pt>
                <c:pt idx="457">
                  <c:v>264.11</c:v>
                </c:pt>
                <c:pt idx="458">
                  <c:v>259.36</c:v>
                </c:pt>
                <c:pt idx="459">
                  <c:v>271.11</c:v>
                </c:pt>
                <c:pt idx="460">
                  <c:v>275.8</c:v>
                </c:pt>
                <c:pt idx="461">
                  <c:v>270.42</c:v>
                </c:pt>
                <c:pt idx="462">
                  <c:v>267.97000000000003</c:v>
                </c:pt>
                <c:pt idx="463">
                  <c:v>258.49</c:v>
                </c:pt>
                <c:pt idx="464">
                  <c:v>240.74</c:v>
                </c:pt>
                <c:pt idx="465">
                  <c:v>249.87</c:v>
                </c:pt>
                <c:pt idx="466">
                  <c:v>249.32</c:v>
                </c:pt>
                <c:pt idx="467">
                  <c:v>244.66</c:v>
                </c:pt>
                <c:pt idx="468">
                  <c:v>250.3</c:v>
                </c:pt>
                <c:pt idx="469">
                  <c:v>262.26</c:v>
                </c:pt>
                <c:pt idx="470">
                  <c:v>259.07</c:v>
                </c:pt>
                <c:pt idx="471">
                  <c:v>253.46</c:v>
                </c:pt>
                <c:pt idx="472">
                  <c:v>239.66</c:v>
                </c:pt>
                <c:pt idx="473">
                  <c:v>238.97</c:v>
                </c:pt>
                <c:pt idx="474">
                  <c:v>237.26</c:v>
                </c:pt>
                <c:pt idx="475">
                  <c:v>237.13</c:v>
                </c:pt>
                <c:pt idx="476">
                  <c:v>233.95</c:v>
                </c:pt>
                <c:pt idx="477">
                  <c:v>222.98</c:v>
                </c:pt>
                <c:pt idx="478">
                  <c:v>219.63</c:v>
                </c:pt>
                <c:pt idx="479">
                  <c:v>221.75</c:v>
                </c:pt>
                <c:pt idx="480">
                  <c:v>220.89</c:v>
                </c:pt>
                <c:pt idx="481">
                  <c:v>218.53</c:v>
                </c:pt>
                <c:pt idx="482">
                  <c:v>219.66</c:v>
                </c:pt>
                <c:pt idx="483">
                  <c:v>228.12</c:v>
                </c:pt>
                <c:pt idx="484">
                  <c:v>227.96</c:v>
                </c:pt>
                <c:pt idx="485">
                  <c:v>229.06</c:v>
                </c:pt>
                <c:pt idx="486">
                  <c:v>225.75</c:v>
                </c:pt>
                <c:pt idx="487">
                  <c:v>229.33</c:v>
                </c:pt>
                <c:pt idx="488">
                  <c:v>221.32</c:v>
                </c:pt>
                <c:pt idx="489">
                  <c:v>216.52</c:v>
                </c:pt>
                <c:pt idx="490">
                  <c:v>216.22</c:v>
                </c:pt>
                <c:pt idx="491">
                  <c:v>207.97</c:v>
                </c:pt>
                <c:pt idx="492">
                  <c:v>220.08</c:v>
                </c:pt>
                <c:pt idx="493">
                  <c:v>212.48</c:v>
                </c:pt>
                <c:pt idx="494">
                  <c:v>226.24</c:v>
                </c:pt>
                <c:pt idx="495">
                  <c:v>233.16</c:v>
                </c:pt>
                <c:pt idx="496">
                  <c:v>234</c:v>
                </c:pt>
                <c:pt idx="497">
                  <c:v>232.91</c:v>
                </c:pt>
                <c:pt idx="498">
                  <c:v>230.85</c:v>
                </c:pt>
                <c:pt idx="499">
                  <c:v>235.19</c:v>
                </c:pt>
                <c:pt idx="500">
                  <c:v>225.83</c:v>
                </c:pt>
                <c:pt idx="501">
                  <c:v>222.1</c:v>
                </c:pt>
                <c:pt idx="502">
                  <c:v>230.23</c:v>
                </c:pt>
                <c:pt idx="503">
                  <c:v>225.2</c:v>
                </c:pt>
                <c:pt idx="504">
                  <c:v>227.38</c:v>
                </c:pt>
                <c:pt idx="505">
                  <c:v>224.09</c:v>
                </c:pt>
                <c:pt idx="506">
                  <c:v>222.39</c:v>
                </c:pt>
                <c:pt idx="507">
                  <c:v>228.74</c:v>
                </c:pt>
                <c:pt idx="508">
                  <c:v>227.67</c:v>
                </c:pt>
                <c:pt idx="509">
                  <c:v>225.71</c:v>
                </c:pt>
                <c:pt idx="510">
                  <c:v>229.98</c:v>
                </c:pt>
                <c:pt idx="511">
                  <c:v>213.69</c:v>
                </c:pt>
                <c:pt idx="512">
                  <c:v>263.83</c:v>
                </c:pt>
                <c:pt idx="513">
                  <c:v>292.07</c:v>
                </c:pt>
                <c:pt idx="514">
                  <c:v>273.5</c:v>
                </c:pt>
                <c:pt idx="515">
                  <c:v>279.39</c:v>
                </c:pt>
                <c:pt idx="516">
                  <c:v>268.04000000000002</c:v>
                </c:pt>
                <c:pt idx="517">
                  <c:v>268.66000000000003</c:v>
                </c:pt>
                <c:pt idx="518">
                  <c:v>264.70999999999998</c:v>
                </c:pt>
                <c:pt idx="519">
                  <c:v>274.81</c:v>
                </c:pt>
                <c:pt idx="520">
                  <c:v>275.52</c:v>
                </c:pt>
                <c:pt idx="521">
                  <c:v>290.63</c:v>
                </c:pt>
                <c:pt idx="522">
                  <c:v>284.67</c:v>
                </c:pt>
                <c:pt idx="523">
                  <c:v>286.44</c:v>
                </c:pt>
                <c:pt idx="524">
                  <c:v>283.02</c:v>
                </c:pt>
                <c:pt idx="525">
                  <c:v>294.69</c:v>
                </c:pt>
                <c:pt idx="526">
                  <c:v>292.73</c:v>
                </c:pt>
                <c:pt idx="527">
                  <c:v>303.14</c:v>
                </c:pt>
                <c:pt idx="528">
                  <c:v>318.08999999999997</c:v>
                </c:pt>
                <c:pt idx="529">
                  <c:v>308.23</c:v>
                </c:pt>
                <c:pt idx="530">
                  <c:v>302.17</c:v>
                </c:pt>
                <c:pt idx="531">
                  <c:v>293.38</c:v>
                </c:pt>
                <c:pt idx="532">
                  <c:v>295.75</c:v>
                </c:pt>
                <c:pt idx="533">
                  <c:v>284.67</c:v>
                </c:pt>
                <c:pt idx="534">
                  <c:v>281.83</c:v>
                </c:pt>
                <c:pt idx="535">
                  <c:v>302.39999999999998</c:v>
                </c:pt>
                <c:pt idx="536">
                  <c:v>299.94</c:v>
                </c:pt>
                <c:pt idx="537">
                  <c:v>305.33</c:v>
                </c:pt>
                <c:pt idx="538">
                  <c:v>302.2</c:v>
                </c:pt>
                <c:pt idx="539">
                  <c:v>309</c:v>
                </c:pt>
                <c:pt idx="540">
                  <c:v>293.5</c:v>
                </c:pt>
                <c:pt idx="541">
                  <c:v>288.07</c:v>
                </c:pt>
                <c:pt idx="542">
                  <c:v>296.77</c:v>
                </c:pt>
                <c:pt idx="543">
                  <c:v>284.10000000000002</c:v>
                </c:pt>
                <c:pt idx="544">
                  <c:v>319.39</c:v>
                </c:pt>
                <c:pt idx="545">
                  <c:v>300.5</c:v>
                </c:pt>
                <c:pt idx="546">
                  <c:v>291.62</c:v>
                </c:pt>
                <c:pt idx="547">
                  <c:v>287.69</c:v>
                </c:pt>
                <c:pt idx="548">
                  <c:v>288.94</c:v>
                </c:pt>
                <c:pt idx="549">
                  <c:v>268.62</c:v>
                </c:pt>
                <c:pt idx="550">
                  <c:v>247.45</c:v>
                </c:pt>
                <c:pt idx="551">
                  <c:v>251.22</c:v>
                </c:pt>
                <c:pt idx="552">
                  <c:v>235.03</c:v>
                </c:pt>
                <c:pt idx="553">
                  <c:v>238.39</c:v>
                </c:pt>
                <c:pt idx="554">
                  <c:v>239.8</c:v>
                </c:pt>
                <c:pt idx="555">
                  <c:v>230.34</c:v>
                </c:pt>
                <c:pt idx="556">
                  <c:v>222.76</c:v>
                </c:pt>
                <c:pt idx="557">
                  <c:v>227.73</c:v>
                </c:pt>
                <c:pt idx="558">
                  <c:v>224.33</c:v>
                </c:pt>
                <c:pt idx="559">
                  <c:v>222.6</c:v>
                </c:pt>
                <c:pt idx="560">
                  <c:v>224.21</c:v>
                </c:pt>
                <c:pt idx="561">
                  <c:v>227.4</c:v>
                </c:pt>
                <c:pt idx="562">
                  <c:v>230.12</c:v>
                </c:pt>
                <c:pt idx="563">
                  <c:v>232.19</c:v>
                </c:pt>
                <c:pt idx="564">
                  <c:v>237.42</c:v>
                </c:pt>
                <c:pt idx="565">
                  <c:v>236.59</c:v>
                </c:pt>
                <c:pt idx="566">
                  <c:v>238.38</c:v>
                </c:pt>
                <c:pt idx="567">
                  <c:v>238.13</c:v>
                </c:pt>
                <c:pt idx="568">
                  <c:v>243.31</c:v>
                </c:pt>
                <c:pt idx="569">
                  <c:v>237.83</c:v>
                </c:pt>
                <c:pt idx="570">
                  <c:v>242.34</c:v>
                </c:pt>
                <c:pt idx="571">
                  <c:v>222.23</c:v>
                </c:pt>
                <c:pt idx="572">
                  <c:v>225.26</c:v>
                </c:pt>
                <c:pt idx="573">
                  <c:v>220.73</c:v>
                </c:pt>
                <c:pt idx="574">
                  <c:v>219.65</c:v>
                </c:pt>
                <c:pt idx="575">
                  <c:v>223.78</c:v>
                </c:pt>
                <c:pt idx="576">
                  <c:v>222.12</c:v>
                </c:pt>
                <c:pt idx="577">
                  <c:v>225.28</c:v>
                </c:pt>
                <c:pt idx="578">
                  <c:v>222.67</c:v>
                </c:pt>
                <c:pt idx="579">
                  <c:v>216.37</c:v>
                </c:pt>
                <c:pt idx="580">
                  <c:v>230.65</c:v>
                </c:pt>
                <c:pt idx="581">
                  <c:v>232.45</c:v>
                </c:pt>
                <c:pt idx="582">
                  <c:v>232.8</c:v>
                </c:pt>
                <c:pt idx="583">
                  <c:v>240.69</c:v>
                </c:pt>
                <c:pt idx="584">
                  <c:v>241.03</c:v>
                </c:pt>
                <c:pt idx="585">
                  <c:v>230.31</c:v>
                </c:pt>
                <c:pt idx="586">
                  <c:v>232.8</c:v>
                </c:pt>
                <c:pt idx="587">
                  <c:v>233.39</c:v>
                </c:pt>
                <c:pt idx="588">
                  <c:v>236.04</c:v>
                </c:pt>
                <c:pt idx="589">
                  <c:v>240.39</c:v>
                </c:pt>
                <c:pt idx="590">
                  <c:v>237.46</c:v>
                </c:pt>
                <c:pt idx="591">
                  <c:v>235.64</c:v>
                </c:pt>
                <c:pt idx="592">
                  <c:v>237.48</c:v>
                </c:pt>
                <c:pt idx="593">
                  <c:v>240.69</c:v>
                </c:pt>
                <c:pt idx="594">
                  <c:v>240.85</c:v>
                </c:pt>
                <c:pt idx="595">
                  <c:v>234.74</c:v>
                </c:pt>
                <c:pt idx="596">
                  <c:v>256.94</c:v>
                </c:pt>
                <c:pt idx="597">
                  <c:v>254.05</c:v>
                </c:pt>
                <c:pt idx="598">
                  <c:v>255.24</c:v>
                </c:pt>
                <c:pt idx="599">
                  <c:v>253.56</c:v>
                </c:pt>
                <c:pt idx="600">
                  <c:v>253.23</c:v>
                </c:pt>
                <c:pt idx="601">
                  <c:v>256.05</c:v>
                </c:pt>
                <c:pt idx="602">
                  <c:v>256.18</c:v>
                </c:pt>
                <c:pt idx="603">
                  <c:v>253.23</c:v>
                </c:pt>
                <c:pt idx="604">
                  <c:v>250.85</c:v>
                </c:pt>
                <c:pt idx="605">
                  <c:v>253.19</c:v>
                </c:pt>
                <c:pt idx="606">
                  <c:v>238.69</c:v>
                </c:pt>
                <c:pt idx="607">
                  <c:v>252.38</c:v>
                </c:pt>
                <c:pt idx="608">
                  <c:v>238.43</c:v>
                </c:pt>
                <c:pt idx="609">
                  <c:v>239.86</c:v>
                </c:pt>
                <c:pt idx="610">
                  <c:v>232.85</c:v>
                </c:pt>
                <c:pt idx="611">
                  <c:v>228.01</c:v>
                </c:pt>
                <c:pt idx="612">
                  <c:v>230.55</c:v>
                </c:pt>
                <c:pt idx="613">
                  <c:v>223</c:v>
                </c:pt>
                <c:pt idx="614">
                  <c:v>234.11</c:v>
                </c:pt>
                <c:pt idx="615">
                  <c:v>234.67</c:v>
                </c:pt>
                <c:pt idx="616">
                  <c:v>228.22</c:v>
                </c:pt>
                <c:pt idx="617">
                  <c:v>239.85</c:v>
                </c:pt>
                <c:pt idx="618">
                  <c:v>246.74</c:v>
                </c:pt>
                <c:pt idx="619">
                  <c:v>248.5</c:v>
                </c:pt>
                <c:pt idx="620">
                  <c:v>240.73</c:v>
                </c:pt>
                <c:pt idx="621">
                  <c:v>236.45</c:v>
                </c:pt>
                <c:pt idx="622">
                  <c:v>235.21</c:v>
                </c:pt>
                <c:pt idx="623">
                  <c:v>242.61</c:v>
                </c:pt>
                <c:pt idx="624">
                  <c:v>239.41</c:v>
                </c:pt>
                <c:pt idx="625">
                  <c:v>233.23</c:v>
                </c:pt>
                <c:pt idx="626">
                  <c:v>235.16</c:v>
                </c:pt>
                <c:pt idx="627">
                  <c:v>232.56</c:v>
                </c:pt>
                <c:pt idx="628">
                  <c:v>265.24</c:v>
                </c:pt>
                <c:pt idx="629">
                  <c:v>260.3</c:v>
                </c:pt>
                <c:pt idx="630">
                  <c:v>251.9</c:v>
                </c:pt>
                <c:pt idx="631">
                  <c:v>241.32</c:v>
                </c:pt>
                <c:pt idx="632">
                  <c:v>246.9</c:v>
                </c:pt>
                <c:pt idx="633">
                  <c:v>245.75</c:v>
                </c:pt>
                <c:pt idx="634">
                  <c:v>251.65</c:v>
                </c:pt>
                <c:pt idx="635">
                  <c:v>260.83999999999997</c:v>
                </c:pt>
                <c:pt idx="636">
                  <c:v>254.79</c:v>
                </c:pt>
                <c:pt idx="637">
                  <c:v>250.05</c:v>
                </c:pt>
                <c:pt idx="638">
                  <c:v>257.77</c:v>
                </c:pt>
                <c:pt idx="639">
                  <c:v>241.14</c:v>
                </c:pt>
                <c:pt idx="640">
                  <c:v>242.75</c:v>
                </c:pt>
                <c:pt idx="641">
                  <c:v>246.36</c:v>
                </c:pt>
                <c:pt idx="642">
                  <c:v>238.07</c:v>
                </c:pt>
                <c:pt idx="643">
                  <c:v>237.9</c:v>
                </c:pt>
                <c:pt idx="644">
                  <c:v>237.4</c:v>
                </c:pt>
                <c:pt idx="645">
                  <c:v>232.94</c:v>
                </c:pt>
                <c:pt idx="646">
                  <c:v>219.42</c:v>
                </c:pt>
                <c:pt idx="647">
                  <c:v>219.02</c:v>
                </c:pt>
                <c:pt idx="648">
                  <c:v>231.27</c:v>
                </c:pt>
                <c:pt idx="649">
                  <c:v>243.64</c:v>
                </c:pt>
                <c:pt idx="650">
                  <c:v>231.88</c:v>
                </c:pt>
                <c:pt idx="651">
                  <c:v>234.95</c:v>
                </c:pt>
                <c:pt idx="652">
                  <c:v>215.04</c:v>
                </c:pt>
                <c:pt idx="653">
                  <c:v>223.2</c:v>
                </c:pt>
                <c:pt idx="654">
                  <c:v>223.49</c:v>
                </c:pt>
                <c:pt idx="655">
                  <c:v>233.09</c:v>
                </c:pt>
                <c:pt idx="656">
                  <c:v>232.94</c:v>
                </c:pt>
                <c:pt idx="657">
                  <c:v>232.7</c:v>
                </c:pt>
                <c:pt idx="658">
                  <c:v>255.91</c:v>
                </c:pt>
                <c:pt idx="659">
                  <c:v>267.31</c:v>
                </c:pt>
                <c:pt idx="660">
                  <c:v>252.52</c:v>
                </c:pt>
                <c:pt idx="661">
                  <c:v>258.08999999999997</c:v>
                </c:pt>
                <c:pt idx="662">
                  <c:v>230.99</c:v>
                </c:pt>
                <c:pt idx="663">
                  <c:v>238.02</c:v>
                </c:pt>
                <c:pt idx="664">
                  <c:v>236.09</c:v>
                </c:pt>
                <c:pt idx="665">
                  <c:v>231.72</c:v>
                </c:pt>
                <c:pt idx="666">
                  <c:v>223.74</c:v>
                </c:pt>
                <c:pt idx="667">
                  <c:v>218.36</c:v>
                </c:pt>
                <c:pt idx="668">
                  <c:v>219.97</c:v>
                </c:pt>
                <c:pt idx="669">
                  <c:v>205.54</c:v>
                </c:pt>
                <c:pt idx="670">
                  <c:v>213.89</c:v>
                </c:pt>
                <c:pt idx="671">
                  <c:v>213.21</c:v>
                </c:pt>
                <c:pt idx="672">
                  <c:v>227.76</c:v>
                </c:pt>
                <c:pt idx="673">
                  <c:v>220.68</c:v>
                </c:pt>
                <c:pt idx="674">
                  <c:v>227.24</c:v>
                </c:pt>
                <c:pt idx="675">
                  <c:v>221.26</c:v>
                </c:pt>
                <c:pt idx="676">
                  <c:v>202.73</c:v>
                </c:pt>
                <c:pt idx="677">
                  <c:v>220.04</c:v>
                </c:pt>
                <c:pt idx="678">
                  <c:v>215.1</c:v>
                </c:pt>
                <c:pt idx="679">
                  <c:v>220.83</c:v>
                </c:pt>
                <c:pt idx="680">
                  <c:v>184.84</c:v>
                </c:pt>
                <c:pt idx="681">
                  <c:v>182.41</c:v>
                </c:pt>
                <c:pt idx="682">
                  <c:v>172.41</c:v>
                </c:pt>
                <c:pt idx="683">
                  <c:v>178.2</c:v>
                </c:pt>
                <c:pt idx="684">
                  <c:v>167.2</c:v>
                </c:pt>
                <c:pt idx="685">
                  <c:v>177.46</c:v>
                </c:pt>
                <c:pt idx="686">
                  <c:v>144.13</c:v>
                </c:pt>
                <c:pt idx="687">
                  <c:v>266.98</c:v>
                </c:pt>
                <c:pt idx="688">
                  <c:v>271.79000000000002</c:v>
                </c:pt>
                <c:pt idx="689">
                  <c:v>273</c:v>
                </c:pt>
                <c:pt idx="690">
                  <c:v>272.77</c:v>
                </c:pt>
                <c:pt idx="691">
                  <c:v>330.92</c:v>
                </c:pt>
                <c:pt idx="692">
                  <c:v>350.73</c:v>
                </c:pt>
                <c:pt idx="693">
                  <c:v>337.1</c:v>
                </c:pt>
                <c:pt idx="694">
                  <c:v>319.45999999999998</c:v>
                </c:pt>
                <c:pt idx="695">
                  <c:v>329.61</c:v>
                </c:pt>
                <c:pt idx="696">
                  <c:v>339.33</c:v>
                </c:pt>
                <c:pt idx="697">
                  <c:v>311.89999999999998</c:v>
                </c:pt>
                <c:pt idx="698">
                  <c:v>306.11</c:v>
                </c:pt>
                <c:pt idx="699">
                  <c:v>314.97000000000003</c:v>
                </c:pt>
                <c:pt idx="700">
                  <c:v>324.62</c:v>
                </c:pt>
                <c:pt idx="701">
                  <c:v>316.67</c:v>
                </c:pt>
                <c:pt idx="702">
                  <c:v>353.07</c:v>
                </c:pt>
                <c:pt idx="703">
                  <c:v>378.22</c:v>
                </c:pt>
                <c:pt idx="704">
                  <c:v>401.57</c:v>
                </c:pt>
                <c:pt idx="705">
                  <c:v>373.14</c:v>
                </c:pt>
                <c:pt idx="706">
                  <c:v>377.74</c:v>
                </c:pt>
                <c:pt idx="707">
                  <c:v>371.1</c:v>
                </c:pt>
                <c:pt idx="708">
                  <c:v>378.46</c:v>
                </c:pt>
                <c:pt idx="709">
                  <c:v>420.2</c:v>
                </c:pt>
                <c:pt idx="710">
                  <c:v>412.99</c:v>
                </c:pt>
                <c:pt idx="711">
                  <c:v>411.68</c:v>
                </c:pt>
                <c:pt idx="712">
                  <c:v>438.96</c:v>
                </c:pt>
                <c:pt idx="713">
                  <c:v>493.77</c:v>
                </c:pt>
                <c:pt idx="714">
                  <c:v>477.32</c:v>
                </c:pt>
                <c:pt idx="715">
                  <c:v>473.55</c:v>
                </c:pt>
                <c:pt idx="716">
                  <c:v>461.89</c:v>
                </c:pt>
                <c:pt idx="717">
                  <c:v>452.05</c:v>
                </c:pt>
                <c:pt idx="718">
                  <c:v>449.72</c:v>
                </c:pt>
                <c:pt idx="719">
                  <c:v>444.46</c:v>
                </c:pt>
                <c:pt idx="720">
                  <c:v>439.21</c:v>
                </c:pt>
                <c:pt idx="721">
                  <c:v>445.76</c:v>
                </c:pt>
                <c:pt idx="722">
                  <c:v>444.92</c:v>
                </c:pt>
                <c:pt idx="723">
                  <c:v>380.93</c:v>
                </c:pt>
                <c:pt idx="724">
                  <c:v>384.25</c:v>
                </c:pt>
                <c:pt idx="725">
                  <c:v>377.34</c:v>
                </c:pt>
                <c:pt idx="726">
                  <c:v>380.08</c:v>
                </c:pt>
                <c:pt idx="727">
                  <c:v>374.86</c:v>
                </c:pt>
                <c:pt idx="728">
                  <c:v>392.69</c:v>
                </c:pt>
                <c:pt idx="729">
                  <c:v>380.26</c:v>
                </c:pt>
                <c:pt idx="730">
                  <c:v>378.6</c:v>
                </c:pt>
                <c:pt idx="731">
                  <c:v>362.86</c:v>
                </c:pt>
                <c:pt idx="732">
                  <c:v>348.24</c:v>
                </c:pt>
                <c:pt idx="733">
                  <c:v>310.13</c:v>
                </c:pt>
                <c:pt idx="734">
                  <c:v>318.83</c:v>
                </c:pt>
                <c:pt idx="735">
                  <c:v>325.20999999999998</c:v>
                </c:pt>
                <c:pt idx="736">
                  <c:v>349.22</c:v>
                </c:pt>
                <c:pt idx="737">
                  <c:v>343.5</c:v>
                </c:pt>
                <c:pt idx="738">
                  <c:v>343.39</c:v>
                </c:pt>
                <c:pt idx="739">
                  <c:v>339.61</c:v>
                </c:pt>
                <c:pt idx="740">
                  <c:v>339.01</c:v>
                </c:pt>
                <c:pt idx="741">
                  <c:v>368</c:v>
                </c:pt>
                <c:pt idx="742">
                  <c:v>326.76</c:v>
                </c:pt>
                <c:pt idx="743">
                  <c:v>339.99</c:v>
                </c:pt>
                <c:pt idx="744">
                  <c:v>348.35</c:v>
                </c:pt>
                <c:pt idx="745">
                  <c:v>267.20999999999998</c:v>
                </c:pt>
                <c:pt idx="746">
                  <c:v>270.77</c:v>
                </c:pt>
                <c:pt idx="747">
                  <c:v>260.83</c:v>
                </c:pt>
                <c:pt idx="748">
                  <c:v>271.83</c:v>
                </c:pt>
                <c:pt idx="749">
                  <c:v>238.01</c:v>
                </c:pt>
                <c:pt idx="750">
                  <c:v>240.19</c:v>
                </c:pt>
                <c:pt idx="751">
                  <c:v>242.3</c:v>
                </c:pt>
                <c:pt idx="752">
                  <c:v>244.25</c:v>
                </c:pt>
                <c:pt idx="753">
                  <c:v>222.79</c:v>
                </c:pt>
                <c:pt idx="754">
                  <c:v>224.47</c:v>
                </c:pt>
                <c:pt idx="755">
                  <c:v>222.43</c:v>
                </c:pt>
                <c:pt idx="756">
                  <c:v>195.49</c:v>
                </c:pt>
                <c:pt idx="757">
                  <c:v>204.44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B-4130-A08F-901D59BCE0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0.14473020044271159</c:v>
                </c:pt>
                <c:pt idx="1">
                  <c:v>0.14480128375295256</c:v>
                </c:pt>
                <c:pt idx="2">
                  <c:v>0.14561243284169853</c:v>
                </c:pt>
                <c:pt idx="3">
                  <c:v>0.14478501571247665</c:v>
                </c:pt>
                <c:pt idx="4">
                  <c:v>0.14367997748543371</c:v>
                </c:pt>
                <c:pt idx="5">
                  <c:v>0.14259419984452001</c:v>
                </c:pt>
                <c:pt idx="6">
                  <c:v>0.14260202769408917</c:v>
                </c:pt>
                <c:pt idx="7">
                  <c:v>0.14359937962858149</c:v>
                </c:pt>
                <c:pt idx="8">
                  <c:v>0.1440438666554632</c:v>
                </c:pt>
                <c:pt idx="9">
                  <c:v>0.14440526714367943</c:v>
                </c:pt>
                <c:pt idx="10">
                  <c:v>0.14475633340633504</c:v>
                </c:pt>
                <c:pt idx="11">
                  <c:v>0.14477819883226095</c:v>
                </c:pt>
                <c:pt idx="12">
                  <c:v>0.14476771866919791</c:v>
                </c:pt>
                <c:pt idx="13">
                  <c:v>0.14462827425761374</c:v>
                </c:pt>
                <c:pt idx="14">
                  <c:v>0.14457605709192314</c:v>
                </c:pt>
                <c:pt idx="15">
                  <c:v>0.14500824355002773</c:v>
                </c:pt>
                <c:pt idx="16">
                  <c:v>0.14460010811759677</c:v>
                </c:pt>
                <c:pt idx="17">
                  <c:v>0.14446353507060428</c:v>
                </c:pt>
                <c:pt idx="18">
                  <c:v>0.14442460745748739</c:v>
                </c:pt>
                <c:pt idx="19">
                  <c:v>0.14423927169666032</c:v>
                </c:pt>
                <c:pt idx="20">
                  <c:v>0.14441413990999369</c:v>
                </c:pt>
                <c:pt idx="21">
                  <c:v>0.14464313284666033</c:v>
                </c:pt>
                <c:pt idx="22">
                  <c:v>0.14422591941003382</c:v>
                </c:pt>
                <c:pt idx="23">
                  <c:v>0.14463081881447826</c:v>
                </c:pt>
                <c:pt idx="24">
                  <c:v>0.14493000875405276</c:v>
                </c:pt>
                <c:pt idx="25">
                  <c:v>0.1451062347769099</c:v>
                </c:pt>
                <c:pt idx="26">
                  <c:v>0.14508672925895069</c:v>
                </c:pt>
                <c:pt idx="27">
                  <c:v>0.14476116952173551</c:v>
                </c:pt>
                <c:pt idx="28">
                  <c:v>0.14461504745729106</c:v>
                </c:pt>
                <c:pt idx="29">
                  <c:v>0.14453593257817343</c:v>
                </c:pt>
                <c:pt idx="30">
                  <c:v>0.14484172662971984</c:v>
                </c:pt>
                <c:pt idx="31">
                  <c:v>0.145461382346986</c:v>
                </c:pt>
                <c:pt idx="32">
                  <c:v>0.1452783913539685</c:v>
                </c:pt>
                <c:pt idx="33">
                  <c:v>0.1451651010017162</c:v>
                </c:pt>
                <c:pt idx="34">
                  <c:v>0.14510891769904447</c:v>
                </c:pt>
                <c:pt idx="35">
                  <c:v>0.14533513009904445</c:v>
                </c:pt>
                <c:pt idx="36">
                  <c:v>0.14494728990804445</c:v>
                </c:pt>
                <c:pt idx="37">
                  <c:v>0.14512983377284444</c:v>
                </c:pt>
                <c:pt idx="38">
                  <c:v>0.14486497978427304</c:v>
                </c:pt>
                <c:pt idx="39">
                  <c:v>0.144823755620273</c:v>
                </c:pt>
                <c:pt idx="40">
                  <c:v>0.1452085008883752</c:v>
                </c:pt>
                <c:pt idx="41">
                  <c:v>0.14492842972231612</c:v>
                </c:pt>
                <c:pt idx="42">
                  <c:v>0.14518671524517324</c:v>
                </c:pt>
                <c:pt idx="43">
                  <c:v>0.14562813933098717</c:v>
                </c:pt>
                <c:pt idx="44">
                  <c:v>0.14482660204450071</c:v>
                </c:pt>
                <c:pt idx="45">
                  <c:v>0.14429377714552635</c:v>
                </c:pt>
                <c:pt idx="46">
                  <c:v>0.14496393309009156</c:v>
                </c:pt>
                <c:pt idx="47">
                  <c:v>0.14467367085688768</c:v>
                </c:pt>
                <c:pt idx="48">
                  <c:v>0.14461506686566467</c:v>
                </c:pt>
                <c:pt idx="49">
                  <c:v>0.14564334806214438</c:v>
                </c:pt>
                <c:pt idx="50">
                  <c:v>0.1466879682064301</c:v>
                </c:pt>
                <c:pt idx="51">
                  <c:v>0.14625612233578494</c:v>
                </c:pt>
                <c:pt idx="52">
                  <c:v>0.14692035421692187</c:v>
                </c:pt>
                <c:pt idx="53">
                  <c:v>0.14541511077874006</c:v>
                </c:pt>
                <c:pt idx="54">
                  <c:v>0.14566380451737115</c:v>
                </c:pt>
                <c:pt idx="55">
                  <c:v>0.14405589883157013</c:v>
                </c:pt>
                <c:pt idx="56">
                  <c:v>0.14442902133778196</c:v>
                </c:pt>
                <c:pt idx="57">
                  <c:v>0.1447565340212365</c:v>
                </c:pt>
                <c:pt idx="58">
                  <c:v>0.14505270542985402</c:v>
                </c:pt>
                <c:pt idx="59">
                  <c:v>0.14516579711307984</c:v>
                </c:pt>
                <c:pt idx="60">
                  <c:v>0.14478919316996511</c:v>
                </c:pt>
                <c:pt idx="61">
                  <c:v>0.14402508065585051</c:v>
                </c:pt>
                <c:pt idx="62">
                  <c:v>0.14411169039736402</c:v>
                </c:pt>
                <c:pt idx="63">
                  <c:v>0.14544641282177315</c:v>
                </c:pt>
                <c:pt idx="64">
                  <c:v>0.14585706264620979</c:v>
                </c:pt>
                <c:pt idx="65">
                  <c:v>0.14567757668045439</c:v>
                </c:pt>
                <c:pt idx="66">
                  <c:v>0.14514311020412785</c:v>
                </c:pt>
                <c:pt idx="67">
                  <c:v>0.14542123873024773</c:v>
                </c:pt>
                <c:pt idx="68">
                  <c:v>0.14555784226635551</c:v>
                </c:pt>
                <c:pt idx="69">
                  <c:v>0.145178302625807</c:v>
                </c:pt>
                <c:pt idx="70">
                  <c:v>0.14460388724691425</c:v>
                </c:pt>
                <c:pt idx="71">
                  <c:v>0.1452793093856348</c:v>
                </c:pt>
                <c:pt idx="72">
                  <c:v>0.14495461264160436</c:v>
                </c:pt>
                <c:pt idx="73">
                  <c:v>0.14575471563792963</c:v>
                </c:pt>
                <c:pt idx="74">
                  <c:v>0.14639403431356596</c:v>
                </c:pt>
                <c:pt idx="75">
                  <c:v>0.14574348350123412</c:v>
                </c:pt>
                <c:pt idx="76">
                  <c:v>0.14555073493629905</c:v>
                </c:pt>
                <c:pt idx="77">
                  <c:v>0.14540904205402394</c:v>
                </c:pt>
                <c:pt idx="78">
                  <c:v>0.14489178231491678</c:v>
                </c:pt>
                <c:pt idx="79">
                  <c:v>0.1465041062250339</c:v>
                </c:pt>
                <c:pt idx="80">
                  <c:v>0.14411700775961764</c:v>
                </c:pt>
                <c:pt idx="81">
                  <c:v>0.14307423232623165</c:v>
                </c:pt>
                <c:pt idx="82">
                  <c:v>0.14270861956092554</c:v>
                </c:pt>
                <c:pt idx="83">
                  <c:v>0.14278391507573468</c:v>
                </c:pt>
                <c:pt idx="84">
                  <c:v>0.14393619798568613</c:v>
                </c:pt>
                <c:pt idx="85">
                  <c:v>0.14413260570983427</c:v>
                </c:pt>
                <c:pt idx="86">
                  <c:v>0.1436356514075266</c:v>
                </c:pt>
                <c:pt idx="87">
                  <c:v>0.14348733473688507</c:v>
                </c:pt>
                <c:pt idx="88">
                  <c:v>0.14361426513058176</c:v>
                </c:pt>
                <c:pt idx="89">
                  <c:v>0.14320637841929143</c:v>
                </c:pt>
                <c:pt idx="90">
                  <c:v>0.14333338207984922</c:v>
                </c:pt>
                <c:pt idx="91">
                  <c:v>0.14285378265717066</c:v>
                </c:pt>
                <c:pt idx="92">
                  <c:v>0.14250077772887354</c:v>
                </c:pt>
                <c:pt idx="93">
                  <c:v>0.14333892572241899</c:v>
                </c:pt>
                <c:pt idx="94">
                  <c:v>0.14351731942067988</c:v>
                </c:pt>
                <c:pt idx="95">
                  <c:v>0.14354709296622734</c:v>
                </c:pt>
                <c:pt idx="96">
                  <c:v>0.14365085933408187</c:v>
                </c:pt>
                <c:pt idx="97">
                  <c:v>0.14352322387522221</c:v>
                </c:pt>
                <c:pt idx="98">
                  <c:v>0.14356911429069161</c:v>
                </c:pt>
                <c:pt idx="99">
                  <c:v>0.1445761766381054</c:v>
                </c:pt>
                <c:pt idx="100">
                  <c:v>0.14381940141084515</c:v>
                </c:pt>
                <c:pt idx="101">
                  <c:v>0.14346641744100139</c:v>
                </c:pt>
                <c:pt idx="102">
                  <c:v>0.14328416767242999</c:v>
                </c:pt>
                <c:pt idx="103">
                  <c:v>0.14314163211442996</c:v>
                </c:pt>
                <c:pt idx="104">
                  <c:v>0.14400900208466255</c:v>
                </c:pt>
                <c:pt idx="105">
                  <c:v>0.14306927633202687</c:v>
                </c:pt>
                <c:pt idx="106">
                  <c:v>0.14306064145306135</c:v>
                </c:pt>
                <c:pt idx="107">
                  <c:v>0.14224271291833795</c:v>
                </c:pt>
                <c:pt idx="108">
                  <c:v>0.14204410017381414</c:v>
                </c:pt>
                <c:pt idx="109">
                  <c:v>0.14186263287362275</c:v>
                </c:pt>
                <c:pt idx="110">
                  <c:v>0.14261150231406072</c:v>
                </c:pt>
                <c:pt idx="111">
                  <c:v>0.14224848572406071</c:v>
                </c:pt>
                <c:pt idx="112">
                  <c:v>0.14273901772663494</c:v>
                </c:pt>
                <c:pt idx="113">
                  <c:v>0.14321689034223598</c:v>
                </c:pt>
                <c:pt idx="114">
                  <c:v>0.14183748103813662</c:v>
                </c:pt>
                <c:pt idx="115">
                  <c:v>0.14105476001873854</c:v>
                </c:pt>
                <c:pt idx="116">
                  <c:v>0.14102347363415316</c:v>
                </c:pt>
                <c:pt idx="117">
                  <c:v>0.14063753743715895</c:v>
                </c:pt>
                <c:pt idx="118">
                  <c:v>0.14041109188758449</c:v>
                </c:pt>
                <c:pt idx="119">
                  <c:v>0.13943668255208899</c:v>
                </c:pt>
                <c:pt idx="120">
                  <c:v>0.13891568720299807</c:v>
                </c:pt>
                <c:pt idx="121">
                  <c:v>0.13890655344609773</c:v>
                </c:pt>
                <c:pt idx="122">
                  <c:v>0.13979531110413462</c:v>
                </c:pt>
                <c:pt idx="123">
                  <c:v>0.14082482036442445</c:v>
                </c:pt>
                <c:pt idx="124">
                  <c:v>0.14056835333276199</c:v>
                </c:pt>
                <c:pt idx="125">
                  <c:v>0.14017239413544719</c:v>
                </c:pt>
                <c:pt idx="126">
                  <c:v>0.14035602225052021</c:v>
                </c:pt>
                <c:pt idx="127">
                  <c:v>0.13967791521549697</c:v>
                </c:pt>
                <c:pt idx="128">
                  <c:v>0.13858139529782837</c:v>
                </c:pt>
                <c:pt idx="129">
                  <c:v>0.13987553858816745</c:v>
                </c:pt>
                <c:pt idx="130">
                  <c:v>0.14036835555531826</c:v>
                </c:pt>
                <c:pt idx="131">
                  <c:v>0.14092782927191214</c:v>
                </c:pt>
                <c:pt idx="132">
                  <c:v>0.14072193358568807</c:v>
                </c:pt>
                <c:pt idx="133">
                  <c:v>0.14112469179447681</c:v>
                </c:pt>
                <c:pt idx="134">
                  <c:v>0.14119252697150383</c:v>
                </c:pt>
                <c:pt idx="135">
                  <c:v>0.14078329247838642</c:v>
                </c:pt>
                <c:pt idx="136">
                  <c:v>0.14014014187437479</c:v>
                </c:pt>
                <c:pt idx="137">
                  <c:v>0.14073428884375963</c:v>
                </c:pt>
                <c:pt idx="138">
                  <c:v>0.14044544754015711</c:v>
                </c:pt>
                <c:pt idx="139">
                  <c:v>0.14047974972607638</c:v>
                </c:pt>
                <c:pt idx="140">
                  <c:v>0.1410260733528621</c:v>
                </c:pt>
                <c:pt idx="141">
                  <c:v>0.14132420075380134</c:v>
                </c:pt>
                <c:pt idx="142">
                  <c:v>0.14126166447047736</c:v>
                </c:pt>
                <c:pt idx="143">
                  <c:v>0.14170151803396366</c:v>
                </c:pt>
                <c:pt idx="144">
                  <c:v>0.1407968744504034</c:v>
                </c:pt>
                <c:pt idx="145">
                  <c:v>0.13950171287842578</c:v>
                </c:pt>
                <c:pt idx="146">
                  <c:v>0.14012938180006956</c:v>
                </c:pt>
                <c:pt idx="147">
                  <c:v>0.13871276793219275</c:v>
                </c:pt>
                <c:pt idx="148">
                  <c:v>0.13863186581789366</c:v>
                </c:pt>
                <c:pt idx="149">
                  <c:v>0.13765622998904631</c:v>
                </c:pt>
                <c:pt idx="150">
                  <c:v>0.13772163508086446</c:v>
                </c:pt>
                <c:pt idx="151">
                  <c:v>0.13843437522359175</c:v>
                </c:pt>
                <c:pt idx="152">
                  <c:v>0.13940592255731776</c:v>
                </c:pt>
                <c:pt idx="153">
                  <c:v>0.13881713674725216</c:v>
                </c:pt>
                <c:pt idx="154">
                  <c:v>0.1380144636072293</c:v>
                </c:pt>
                <c:pt idx="155">
                  <c:v>0.1387977678707312</c:v>
                </c:pt>
                <c:pt idx="156">
                  <c:v>0.13838222674636291</c:v>
                </c:pt>
                <c:pt idx="157">
                  <c:v>0.13919117816801613</c:v>
                </c:pt>
                <c:pt idx="158">
                  <c:v>0.13928589378589659</c:v>
                </c:pt>
                <c:pt idx="159">
                  <c:v>0.13916325929681475</c:v>
                </c:pt>
                <c:pt idx="160">
                  <c:v>0.13978151414853171</c:v>
                </c:pt>
                <c:pt idx="161">
                  <c:v>0.13906873583748366</c:v>
                </c:pt>
                <c:pt idx="162">
                  <c:v>0.1382091483727434</c:v>
                </c:pt>
                <c:pt idx="163">
                  <c:v>0.13854209734119974</c:v>
                </c:pt>
                <c:pt idx="164">
                  <c:v>0.13957206499289138</c:v>
                </c:pt>
                <c:pt idx="165">
                  <c:v>0.14076086455478415</c:v>
                </c:pt>
                <c:pt idx="166">
                  <c:v>0.13966336810970786</c:v>
                </c:pt>
                <c:pt idx="167">
                  <c:v>0.13823705124153429</c:v>
                </c:pt>
                <c:pt idx="168">
                  <c:v>0.13718208909160637</c:v>
                </c:pt>
                <c:pt idx="169">
                  <c:v>0.1380365602365729</c:v>
                </c:pt>
                <c:pt idx="170">
                  <c:v>0.13742787200969434</c:v>
                </c:pt>
                <c:pt idx="171">
                  <c:v>0.13729503917949681</c:v>
                </c:pt>
                <c:pt idx="172">
                  <c:v>0.13621361209807978</c:v>
                </c:pt>
                <c:pt idx="173">
                  <c:v>0.1375349078590889</c:v>
                </c:pt>
                <c:pt idx="174">
                  <c:v>0.13636540449294599</c:v>
                </c:pt>
                <c:pt idx="175">
                  <c:v>0.13545306460267223</c:v>
                </c:pt>
                <c:pt idx="176">
                  <c:v>0.13438683341453869</c:v>
                </c:pt>
                <c:pt idx="177">
                  <c:v>0.13395117984189842</c:v>
                </c:pt>
                <c:pt idx="178">
                  <c:v>0.13383332764409961</c:v>
                </c:pt>
                <c:pt idx="179">
                  <c:v>0.13384628946221591</c:v>
                </c:pt>
                <c:pt idx="180">
                  <c:v>0.13443238463012205</c:v>
                </c:pt>
                <c:pt idx="181">
                  <c:v>0.13455413605551261</c:v>
                </c:pt>
                <c:pt idx="182">
                  <c:v>0.1333336239917029</c:v>
                </c:pt>
                <c:pt idx="183">
                  <c:v>0.13248252106283392</c:v>
                </c:pt>
                <c:pt idx="184">
                  <c:v>0.13184934023630399</c:v>
                </c:pt>
                <c:pt idx="185">
                  <c:v>0.13075255132999436</c:v>
                </c:pt>
                <c:pt idx="186">
                  <c:v>0.13108920932175183</c:v>
                </c:pt>
                <c:pt idx="187">
                  <c:v>0.13071459431725654</c:v>
                </c:pt>
                <c:pt idx="188">
                  <c:v>0.13060659822375381</c:v>
                </c:pt>
                <c:pt idx="189">
                  <c:v>0.12996516236270958</c:v>
                </c:pt>
                <c:pt idx="190">
                  <c:v>0.12943057201651087</c:v>
                </c:pt>
                <c:pt idx="191">
                  <c:v>0.12857278219710094</c:v>
                </c:pt>
                <c:pt idx="192">
                  <c:v>0.12885406483301043</c:v>
                </c:pt>
                <c:pt idx="193">
                  <c:v>0.12949654530561847</c:v>
                </c:pt>
                <c:pt idx="194">
                  <c:v>0.12976890702889091</c:v>
                </c:pt>
                <c:pt idx="195">
                  <c:v>0.12995490747271304</c:v>
                </c:pt>
                <c:pt idx="196">
                  <c:v>0.13061083112279359</c:v>
                </c:pt>
                <c:pt idx="197">
                  <c:v>0.13076241096934127</c:v>
                </c:pt>
                <c:pt idx="198">
                  <c:v>0.13044731170650964</c:v>
                </c:pt>
                <c:pt idx="199">
                  <c:v>0.13080885140778498</c:v>
                </c:pt>
                <c:pt idx="200">
                  <c:v>0.13121801818265227</c:v>
                </c:pt>
                <c:pt idx="201">
                  <c:v>0.13111110747335672</c:v>
                </c:pt>
                <c:pt idx="202">
                  <c:v>0.13113315367056003</c:v>
                </c:pt>
                <c:pt idx="203">
                  <c:v>0.13052975007218123</c:v>
                </c:pt>
                <c:pt idx="204">
                  <c:v>0.13082926703379416</c:v>
                </c:pt>
                <c:pt idx="205">
                  <c:v>0.13164528152697616</c:v>
                </c:pt>
                <c:pt idx="206">
                  <c:v>0.13172919892659135</c:v>
                </c:pt>
                <c:pt idx="207">
                  <c:v>0.13188354803188507</c:v>
                </c:pt>
                <c:pt idx="208">
                  <c:v>0.13157930930601552</c:v>
                </c:pt>
                <c:pt idx="209">
                  <c:v>0.13140863809129999</c:v>
                </c:pt>
                <c:pt idx="210">
                  <c:v>0.13106765230580927</c:v>
                </c:pt>
                <c:pt idx="211">
                  <c:v>0.13164223898666008</c:v>
                </c:pt>
                <c:pt idx="212">
                  <c:v>0.1309996303841503</c:v>
                </c:pt>
                <c:pt idx="213">
                  <c:v>0.13095772855943089</c:v>
                </c:pt>
                <c:pt idx="214">
                  <c:v>0.13063775450894852</c:v>
                </c:pt>
                <c:pt idx="215">
                  <c:v>0.12989842737304816</c:v>
                </c:pt>
                <c:pt idx="216">
                  <c:v>0.12900709034254876</c:v>
                </c:pt>
                <c:pt idx="217">
                  <c:v>0.13030968649501176</c:v>
                </c:pt>
                <c:pt idx="218">
                  <c:v>0.12970025881768765</c:v>
                </c:pt>
                <c:pt idx="219">
                  <c:v>0.12875626832913056</c:v>
                </c:pt>
                <c:pt idx="220">
                  <c:v>0.12796426574816541</c:v>
                </c:pt>
                <c:pt idx="221">
                  <c:v>0.13017881838910403</c:v>
                </c:pt>
                <c:pt idx="222">
                  <c:v>0.12940907150607775</c:v>
                </c:pt>
                <c:pt idx="223">
                  <c:v>0.12997486116906359</c:v>
                </c:pt>
                <c:pt idx="224">
                  <c:v>0.1302711145455803</c:v>
                </c:pt>
                <c:pt idx="225">
                  <c:v>0.13040221979767308</c:v>
                </c:pt>
                <c:pt idx="226">
                  <c:v>0.13106186395331229</c:v>
                </c:pt>
                <c:pt idx="227">
                  <c:v>0.13139464931927952</c:v>
                </c:pt>
                <c:pt idx="228">
                  <c:v>0.13037545613019924</c:v>
                </c:pt>
                <c:pt idx="229">
                  <c:v>0.12961322142370732</c:v>
                </c:pt>
                <c:pt idx="230">
                  <c:v>0.12916153019862586</c:v>
                </c:pt>
                <c:pt idx="231">
                  <c:v>0.12981139000371883</c:v>
                </c:pt>
                <c:pt idx="232">
                  <c:v>0.13039312711864562</c:v>
                </c:pt>
                <c:pt idx="233">
                  <c:v>0.12887580700615026</c:v>
                </c:pt>
                <c:pt idx="234">
                  <c:v>0.12739530114660866</c:v>
                </c:pt>
                <c:pt idx="235">
                  <c:v>0.12831606552337591</c:v>
                </c:pt>
                <c:pt idx="236">
                  <c:v>0.12837526120105605</c:v>
                </c:pt>
                <c:pt idx="237">
                  <c:v>0.1288690565026907</c:v>
                </c:pt>
                <c:pt idx="238">
                  <c:v>0.12924953556864618</c:v>
                </c:pt>
                <c:pt idx="239">
                  <c:v>0.12883829910436415</c:v>
                </c:pt>
                <c:pt idx="240">
                  <c:v>0.12873172378517383</c:v>
                </c:pt>
                <c:pt idx="241">
                  <c:v>0.12895074072849716</c:v>
                </c:pt>
                <c:pt idx="242">
                  <c:v>0.12761533603297656</c:v>
                </c:pt>
                <c:pt idx="243">
                  <c:v>0.12726011927021327</c:v>
                </c:pt>
                <c:pt idx="244">
                  <c:v>0.12792430153287976</c:v>
                </c:pt>
                <c:pt idx="245">
                  <c:v>0.12895571637753162</c:v>
                </c:pt>
                <c:pt idx="246">
                  <c:v>0.12911691962999494</c:v>
                </c:pt>
                <c:pt idx="247">
                  <c:v>0.1280588799732591</c:v>
                </c:pt>
                <c:pt idx="248">
                  <c:v>0.1288795393007508</c:v>
                </c:pt>
                <c:pt idx="249">
                  <c:v>0.12443290212832367</c:v>
                </c:pt>
                <c:pt idx="250">
                  <c:v>0.12526619641408898</c:v>
                </c:pt>
                <c:pt idx="251">
                  <c:v>0.12753616321565114</c:v>
                </c:pt>
                <c:pt idx="252">
                  <c:v>0.12980160743684635</c:v>
                </c:pt>
                <c:pt idx="253">
                  <c:v>0.12599797508763944</c:v>
                </c:pt>
                <c:pt idx="254">
                  <c:v>0.12923904161520153</c:v>
                </c:pt>
                <c:pt idx="255">
                  <c:v>0.13001767029764222</c:v>
                </c:pt>
                <c:pt idx="256">
                  <c:v>0.13040207689066466</c:v>
                </c:pt>
                <c:pt idx="257">
                  <c:v>0.13113265848741007</c:v>
                </c:pt>
                <c:pt idx="258">
                  <c:v>0.13327159997183025</c:v>
                </c:pt>
                <c:pt idx="259">
                  <c:v>0.13313663597624539</c:v>
                </c:pt>
                <c:pt idx="260">
                  <c:v>0.13210209066512218</c:v>
                </c:pt>
                <c:pt idx="261">
                  <c:v>0.13621134235093726</c:v>
                </c:pt>
                <c:pt idx="262">
                  <c:v>0.13276816246682346</c:v>
                </c:pt>
                <c:pt idx="263">
                  <c:v>0.13440680705410796</c:v>
                </c:pt>
                <c:pt idx="264">
                  <c:v>0.13190512295006812</c:v>
                </c:pt>
                <c:pt idx="265">
                  <c:v>0.13129849726420054</c:v>
                </c:pt>
                <c:pt idx="266">
                  <c:v>0.13364499385235709</c:v>
                </c:pt>
                <c:pt idx="267">
                  <c:v>0.12949460642284305</c:v>
                </c:pt>
                <c:pt idx="268">
                  <c:v>0.1205287109056194</c:v>
                </c:pt>
                <c:pt idx="269">
                  <c:v>0.12324018147927454</c:v>
                </c:pt>
                <c:pt idx="270">
                  <c:v>0.12302477719148945</c:v>
                </c:pt>
                <c:pt idx="271">
                  <c:v>0.12335917127440754</c:v>
                </c:pt>
                <c:pt idx="272">
                  <c:v>0.12334668969911392</c:v>
                </c:pt>
                <c:pt idx="273">
                  <c:v>0.12139958626634693</c:v>
                </c:pt>
                <c:pt idx="274">
                  <c:v>0.12176216479706134</c:v>
                </c:pt>
                <c:pt idx="275">
                  <c:v>0.1204662323736416</c:v>
                </c:pt>
                <c:pt idx="276">
                  <c:v>0.11865178091566249</c:v>
                </c:pt>
                <c:pt idx="277">
                  <c:v>0.11629714436136016</c:v>
                </c:pt>
                <c:pt idx="278">
                  <c:v>0.11637857871289689</c:v>
                </c:pt>
                <c:pt idx="279">
                  <c:v>0.11771728366975473</c:v>
                </c:pt>
                <c:pt idx="280">
                  <c:v>0.11389199569559962</c:v>
                </c:pt>
                <c:pt idx="281">
                  <c:v>0.11724370390497174</c:v>
                </c:pt>
                <c:pt idx="282">
                  <c:v>0.12037312100803717</c:v>
                </c:pt>
                <c:pt idx="283">
                  <c:v>0.11771884027705155</c:v>
                </c:pt>
                <c:pt idx="284">
                  <c:v>0.12188348633158427</c:v>
                </c:pt>
                <c:pt idx="285">
                  <c:v>0.1172761530682391</c:v>
                </c:pt>
                <c:pt idx="286">
                  <c:v>0.12441228638810818</c:v>
                </c:pt>
                <c:pt idx="287">
                  <c:v>0.11816061738105191</c:v>
                </c:pt>
                <c:pt idx="288">
                  <c:v>0.11586527177235391</c:v>
                </c:pt>
                <c:pt idx="289">
                  <c:v>0.11359040731486542</c:v>
                </c:pt>
                <c:pt idx="290">
                  <c:v>0.11088674551245534</c:v>
                </c:pt>
                <c:pt idx="291">
                  <c:v>0.11127171709295607</c:v>
                </c:pt>
                <c:pt idx="292">
                  <c:v>0.11160550809449972</c:v>
                </c:pt>
                <c:pt idx="293">
                  <c:v>0.11023078543959035</c:v>
                </c:pt>
                <c:pt idx="294">
                  <c:v>0.11078669504883958</c:v>
                </c:pt>
                <c:pt idx="295">
                  <c:v>0.10937492222368221</c:v>
                </c:pt>
                <c:pt idx="296">
                  <c:v>0.11165235663209599</c:v>
                </c:pt>
                <c:pt idx="297">
                  <c:v>0.10977671864171282</c:v>
                </c:pt>
                <c:pt idx="298">
                  <c:v>0.10700766855864098</c:v>
                </c:pt>
                <c:pt idx="299">
                  <c:v>0.1061118307577292</c:v>
                </c:pt>
                <c:pt idx="300">
                  <c:v>0.10787160377683604</c:v>
                </c:pt>
                <c:pt idx="301">
                  <c:v>0.10719227178210011</c:v>
                </c:pt>
                <c:pt idx="302">
                  <c:v>0.10602101528356071</c:v>
                </c:pt>
                <c:pt idx="303">
                  <c:v>0.10497490446852788</c:v>
                </c:pt>
                <c:pt idx="304">
                  <c:v>0.10485258514167026</c:v>
                </c:pt>
                <c:pt idx="305">
                  <c:v>0.10432870127780058</c:v>
                </c:pt>
                <c:pt idx="306">
                  <c:v>0.10421732291628014</c:v>
                </c:pt>
                <c:pt idx="307">
                  <c:v>0.10403374329074504</c:v>
                </c:pt>
                <c:pt idx="308">
                  <c:v>0.10290879341681643</c:v>
                </c:pt>
                <c:pt idx="309">
                  <c:v>0.10239074693526483</c:v>
                </c:pt>
                <c:pt idx="310">
                  <c:v>0.10278072643092165</c:v>
                </c:pt>
                <c:pt idx="311">
                  <c:v>0.10366754117834549</c:v>
                </c:pt>
                <c:pt idx="312">
                  <c:v>0.10472503502204383</c:v>
                </c:pt>
                <c:pt idx="313">
                  <c:v>0.10501590105522726</c:v>
                </c:pt>
                <c:pt idx="314">
                  <c:v>0.10534891452298566</c:v>
                </c:pt>
                <c:pt idx="315">
                  <c:v>0.10543613086583267</c:v>
                </c:pt>
                <c:pt idx="316">
                  <c:v>0.10601459566533185</c:v>
                </c:pt>
                <c:pt idx="317">
                  <c:v>0.10514067961412853</c:v>
                </c:pt>
                <c:pt idx="318">
                  <c:v>0.10449230761279736</c:v>
                </c:pt>
                <c:pt idx="319">
                  <c:v>0.10597242779590571</c:v>
                </c:pt>
                <c:pt idx="320">
                  <c:v>0.10788551224830635</c:v>
                </c:pt>
                <c:pt idx="321">
                  <c:v>0.10616930865534449</c:v>
                </c:pt>
                <c:pt idx="322">
                  <c:v>0.10602113562418407</c:v>
                </c:pt>
                <c:pt idx="323">
                  <c:v>0.10559044907184355</c:v>
                </c:pt>
                <c:pt idx="324">
                  <c:v>0.10526310831883866</c:v>
                </c:pt>
                <c:pt idx="325">
                  <c:v>0.10404442451173074</c:v>
                </c:pt>
                <c:pt idx="326">
                  <c:v>0.10259934393581205</c:v>
                </c:pt>
                <c:pt idx="327">
                  <c:v>0.10183439779918226</c:v>
                </c:pt>
                <c:pt idx="328">
                  <c:v>0.10139213608506364</c:v>
                </c:pt>
                <c:pt idx="329">
                  <c:v>0.10068619702131765</c:v>
                </c:pt>
                <c:pt idx="330">
                  <c:v>0.10153835176607956</c:v>
                </c:pt>
                <c:pt idx="331">
                  <c:v>0.10294136557954216</c:v>
                </c:pt>
                <c:pt idx="332">
                  <c:v>0.10348853447764411</c:v>
                </c:pt>
                <c:pt idx="333">
                  <c:v>0.10189784274296992</c:v>
                </c:pt>
                <c:pt idx="334">
                  <c:v>0.10170865671932328</c:v>
                </c:pt>
                <c:pt idx="335">
                  <c:v>0.1025560541738031</c:v>
                </c:pt>
                <c:pt idx="336">
                  <c:v>0.10233204339697341</c:v>
                </c:pt>
                <c:pt idx="337">
                  <c:v>0.10490947412449407</c:v>
                </c:pt>
                <c:pt idx="338">
                  <c:v>0.10475445368100826</c:v>
                </c:pt>
                <c:pt idx="339">
                  <c:v>0.10510363743234037</c:v>
                </c:pt>
                <c:pt idx="340">
                  <c:v>0.10468179323593013</c:v>
                </c:pt>
                <c:pt idx="341">
                  <c:v>0.10415226326926937</c:v>
                </c:pt>
                <c:pt idx="342">
                  <c:v>0.10487124890105454</c:v>
                </c:pt>
                <c:pt idx="343">
                  <c:v>0.10415320459774649</c:v>
                </c:pt>
                <c:pt idx="344">
                  <c:v>0.10488709083635958</c:v>
                </c:pt>
                <c:pt idx="345">
                  <c:v>0.10278160701193258</c:v>
                </c:pt>
                <c:pt idx="346">
                  <c:v>0.10297628986200362</c:v>
                </c:pt>
                <c:pt idx="347">
                  <c:v>0.1000636593660801</c:v>
                </c:pt>
                <c:pt idx="348">
                  <c:v>9.6852340775387014E-2</c:v>
                </c:pt>
                <c:pt idx="349">
                  <c:v>9.1106084924388583E-2</c:v>
                </c:pt>
                <c:pt idx="350">
                  <c:v>8.7641096263225707E-2</c:v>
                </c:pt>
                <c:pt idx="351">
                  <c:v>8.5984700865026922E-2</c:v>
                </c:pt>
                <c:pt idx="352">
                  <c:v>8.7107671751176174E-2</c:v>
                </c:pt>
                <c:pt idx="353">
                  <c:v>8.3741079574891047E-2</c:v>
                </c:pt>
                <c:pt idx="354">
                  <c:v>8.1402366842927176E-2</c:v>
                </c:pt>
                <c:pt idx="355">
                  <c:v>8.1693763233784134E-2</c:v>
                </c:pt>
                <c:pt idx="356">
                  <c:v>8.3842683036901372E-2</c:v>
                </c:pt>
                <c:pt idx="357">
                  <c:v>8.2036818868436653E-2</c:v>
                </c:pt>
                <c:pt idx="358">
                  <c:v>8.3489420006192069E-2</c:v>
                </c:pt>
                <c:pt idx="359">
                  <c:v>8.20796165554038E-2</c:v>
                </c:pt>
                <c:pt idx="360">
                  <c:v>8.0800447404347303E-2</c:v>
                </c:pt>
                <c:pt idx="361">
                  <c:v>8.1156762098376856E-2</c:v>
                </c:pt>
                <c:pt idx="362">
                  <c:v>8.1666386835437907E-2</c:v>
                </c:pt>
                <c:pt idx="363">
                  <c:v>7.9983154966841802E-2</c:v>
                </c:pt>
                <c:pt idx="364">
                  <c:v>8.1124043055779055E-2</c:v>
                </c:pt>
                <c:pt idx="365">
                  <c:v>8.0017484473199549E-2</c:v>
                </c:pt>
                <c:pt idx="366">
                  <c:v>8.2092848735544108E-2</c:v>
                </c:pt>
                <c:pt idx="367">
                  <c:v>8.1869081522566431E-2</c:v>
                </c:pt>
                <c:pt idx="368">
                  <c:v>8.379507518294417E-2</c:v>
                </c:pt>
                <c:pt idx="369">
                  <c:v>8.3337073288772157E-2</c:v>
                </c:pt>
                <c:pt idx="370">
                  <c:v>8.3176638206897871E-2</c:v>
                </c:pt>
                <c:pt idx="371">
                  <c:v>8.0894747184240612E-2</c:v>
                </c:pt>
                <c:pt idx="372">
                  <c:v>8.3713964827821521E-2</c:v>
                </c:pt>
                <c:pt idx="373">
                  <c:v>8.3309931826296188E-2</c:v>
                </c:pt>
                <c:pt idx="374">
                  <c:v>8.7339373448474478E-2</c:v>
                </c:pt>
                <c:pt idx="375">
                  <c:v>8.5005047304991324E-2</c:v>
                </c:pt>
                <c:pt idx="376">
                  <c:v>8.4896928005276429E-2</c:v>
                </c:pt>
                <c:pt idx="377">
                  <c:v>8.5809025640155398E-2</c:v>
                </c:pt>
                <c:pt idx="378">
                  <c:v>8.6252230592129137E-2</c:v>
                </c:pt>
                <c:pt idx="379">
                  <c:v>8.3529109630436735E-2</c:v>
                </c:pt>
                <c:pt idx="380">
                  <c:v>7.9522404982013864E-2</c:v>
                </c:pt>
                <c:pt idx="381">
                  <c:v>8.4145566274695591E-2</c:v>
                </c:pt>
                <c:pt idx="382">
                  <c:v>8.7387477321042628E-2</c:v>
                </c:pt>
                <c:pt idx="383">
                  <c:v>8.3736167925028429E-2</c:v>
                </c:pt>
                <c:pt idx="384">
                  <c:v>7.6811370932140272E-2</c:v>
                </c:pt>
                <c:pt idx="385">
                  <c:v>7.5302527406787612E-2</c:v>
                </c:pt>
                <c:pt idx="386">
                  <c:v>7.6524472089656861E-2</c:v>
                </c:pt>
                <c:pt idx="387">
                  <c:v>7.354976727253211E-2</c:v>
                </c:pt>
                <c:pt idx="388">
                  <c:v>7.1472939720046508E-2</c:v>
                </c:pt>
                <c:pt idx="389">
                  <c:v>7.4337461214153897E-2</c:v>
                </c:pt>
                <c:pt idx="390">
                  <c:v>6.8838725318533994E-2</c:v>
                </c:pt>
                <c:pt idx="391">
                  <c:v>6.8050975291690782E-2</c:v>
                </c:pt>
                <c:pt idx="392">
                  <c:v>6.8285051701979571E-2</c:v>
                </c:pt>
                <c:pt idx="393">
                  <c:v>6.9235292526273223E-2</c:v>
                </c:pt>
                <c:pt idx="394">
                  <c:v>6.8183439632263101E-2</c:v>
                </c:pt>
                <c:pt idx="395">
                  <c:v>6.731583105742224E-2</c:v>
                </c:pt>
                <c:pt idx="396">
                  <c:v>6.6186327990992805E-2</c:v>
                </c:pt>
                <c:pt idx="397">
                  <c:v>6.5934421013596478E-2</c:v>
                </c:pt>
                <c:pt idx="398">
                  <c:v>6.4579564424650321E-2</c:v>
                </c:pt>
                <c:pt idx="399">
                  <c:v>6.2337084850460425E-2</c:v>
                </c:pt>
                <c:pt idx="400">
                  <c:v>5.9449456862676733E-2</c:v>
                </c:pt>
                <c:pt idx="401">
                  <c:v>6.3151045357449989E-2</c:v>
                </c:pt>
                <c:pt idx="402">
                  <c:v>5.9201036924321472E-2</c:v>
                </c:pt>
                <c:pt idx="403">
                  <c:v>6.5928168694864203E-2</c:v>
                </c:pt>
                <c:pt idx="404">
                  <c:v>6.3688183909423893E-2</c:v>
                </c:pt>
                <c:pt idx="405">
                  <c:v>6.3419516675015053E-2</c:v>
                </c:pt>
                <c:pt idx="406">
                  <c:v>6.3628346629701141E-2</c:v>
                </c:pt>
                <c:pt idx="407">
                  <c:v>6.5332537792554018E-2</c:v>
                </c:pt>
                <c:pt idx="408">
                  <c:v>6.2527170478961697E-2</c:v>
                </c:pt>
                <c:pt idx="409">
                  <c:v>6.173996592150803E-2</c:v>
                </c:pt>
                <c:pt idx="410">
                  <c:v>6.117193418709134E-2</c:v>
                </c:pt>
                <c:pt idx="411">
                  <c:v>6.0920380894780454E-2</c:v>
                </c:pt>
                <c:pt idx="412">
                  <c:v>6.0204917906361684E-2</c:v>
                </c:pt>
                <c:pt idx="413">
                  <c:v>6.0762722694955924E-2</c:v>
                </c:pt>
                <c:pt idx="414">
                  <c:v>6.0673062745713421E-2</c:v>
                </c:pt>
                <c:pt idx="415">
                  <c:v>5.9585066423972349E-2</c:v>
                </c:pt>
                <c:pt idx="416">
                  <c:v>6.0297284265805627E-2</c:v>
                </c:pt>
                <c:pt idx="417">
                  <c:v>6.0714507841807867E-2</c:v>
                </c:pt>
                <c:pt idx="418">
                  <c:v>6.0745920333997103E-2</c:v>
                </c:pt>
                <c:pt idx="419">
                  <c:v>5.956574888032598E-2</c:v>
                </c:pt>
                <c:pt idx="420">
                  <c:v>6.2053932754694154E-2</c:v>
                </c:pt>
                <c:pt idx="421">
                  <c:v>6.1894067998775823E-2</c:v>
                </c:pt>
                <c:pt idx="422">
                  <c:v>6.0780360640661939E-2</c:v>
                </c:pt>
                <c:pt idx="423">
                  <c:v>6.2635218804213341E-2</c:v>
                </c:pt>
                <c:pt idx="424">
                  <c:v>5.9516553889348178E-2</c:v>
                </c:pt>
                <c:pt idx="425">
                  <c:v>5.8325344541848179E-2</c:v>
                </c:pt>
                <c:pt idx="426">
                  <c:v>5.7621544385050488E-2</c:v>
                </c:pt>
                <c:pt idx="427">
                  <c:v>5.8148864055716426E-2</c:v>
                </c:pt>
                <c:pt idx="428">
                  <c:v>6.1584501437386946E-2</c:v>
                </c:pt>
                <c:pt idx="429">
                  <c:v>6.4526791185661264E-2</c:v>
                </c:pt>
                <c:pt idx="430">
                  <c:v>6.3606446688585935E-2</c:v>
                </c:pt>
                <c:pt idx="431">
                  <c:v>5.944171984720991E-2</c:v>
                </c:pt>
                <c:pt idx="432">
                  <c:v>6.0521269052946372E-2</c:v>
                </c:pt>
                <c:pt idx="433">
                  <c:v>5.5867436600201874E-2</c:v>
                </c:pt>
                <c:pt idx="434">
                  <c:v>5.4043199792518128E-2</c:v>
                </c:pt>
                <c:pt idx="435">
                  <c:v>5.398925498054654E-2</c:v>
                </c:pt>
                <c:pt idx="436">
                  <c:v>5.4820232720773965E-2</c:v>
                </c:pt>
                <c:pt idx="437">
                  <c:v>5.4438833608294289E-2</c:v>
                </c:pt>
                <c:pt idx="438">
                  <c:v>5.3149166908086846E-2</c:v>
                </c:pt>
                <c:pt idx="439">
                  <c:v>5.4447490755930493E-2</c:v>
                </c:pt>
                <c:pt idx="440">
                  <c:v>5.5087870344169808E-2</c:v>
                </c:pt>
                <c:pt idx="441">
                  <c:v>5.4211507754630808E-2</c:v>
                </c:pt>
                <c:pt idx="442">
                  <c:v>5.3842965338875386E-2</c:v>
                </c:pt>
                <c:pt idx="443">
                  <c:v>5.4431611074593919E-2</c:v>
                </c:pt>
                <c:pt idx="444">
                  <c:v>5.5186863325397892E-2</c:v>
                </c:pt>
                <c:pt idx="445">
                  <c:v>5.5562261654760872E-2</c:v>
                </c:pt>
                <c:pt idx="446">
                  <c:v>5.4411385051385749E-2</c:v>
                </c:pt>
                <c:pt idx="447">
                  <c:v>5.598731640942535E-2</c:v>
                </c:pt>
                <c:pt idx="448">
                  <c:v>5.4555858128094895E-2</c:v>
                </c:pt>
                <c:pt idx="449">
                  <c:v>5.3231580102703471E-2</c:v>
                </c:pt>
                <c:pt idx="450">
                  <c:v>5.2238966666703919E-2</c:v>
                </c:pt>
                <c:pt idx="451">
                  <c:v>5.2281506398182916E-2</c:v>
                </c:pt>
                <c:pt idx="452">
                  <c:v>5.3381245246106594E-2</c:v>
                </c:pt>
                <c:pt idx="453">
                  <c:v>5.295650477645561E-2</c:v>
                </c:pt>
                <c:pt idx="454">
                  <c:v>5.3266688431929388E-2</c:v>
                </c:pt>
                <c:pt idx="455">
                  <c:v>5.3509309700938347E-2</c:v>
                </c:pt>
                <c:pt idx="456">
                  <c:v>5.2832440280854334E-2</c:v>
                </c:pt>
                <c:pt idx="457">
                  <c:v>5.3318014755191871E-2</c:v>
                </c:pt>
                <c:pt idx="458">
                  <c:v>5.2832229159228625E-2</c:v>
                </c:pt>
                <c:pt idx="459">
                  <c:v>5.3515650937176446E-2</c:v>
                </c:pt>
                <c:pt idx="460">
                  <c:v>5.3755500944610797E-2</c:v>
                </c:pt>
                <c:pt idx="461">
                  <c:v>5.3229686705243619E-2</c:v>
                </c:pt>
                <c:pt idx="462">
                  <c:v>5.3137499754068007E-2</c:v>
                </c:pt>
                <c:pt idx="463">
                  <c:v>5.2720006976099548E-2</c:v>
                </c:pt>
                <c:pt idx="464">
                  <c:v>5.1302683755362205E-2</c:v>
                </c:pt>
                <c:pt idx="465">
                  <c:v>5.2004167986448462E-2</c:v>
                </c:pt>
                <c:pt idx="466">
                  <c:v>5.1724744670444821E-2</c:v>
                </c:pt>
                <c:pt idx="467">
                  <c:v>5.1332325236739126E-2</c:v>
                </c:pt>
                <c:pt idx="468">
                  <c:v>5.1775601945136022E-2</c:v>
                </c:pt>
                <c:pt idx="469">
                  <c:v>5.2929611289458209E-2</c:v>
                </c:pt>
                <c:pt idx="470">
                  <c:v>5.2030640525698418E-2</c:v>
                </c:pt>
                <c:pt idx="471">
                  <c:v>5.0623584974622854E-2</c:v>
                </c:pt>
                <c:pt idx="472">
                  <c:v>4.8900847916168097E-2</c:v>
                </c:pt>
                <c:pt idx="473">
                  <c:v>4.8559837904231254E-2</c:v>
                </c:pt>
                <c:pt idx="474">
                  <c:v>4.8867200397227736E-2</c:v>
                </c:pt>
                <c:pt idx="475">
                  <c:v>4.9882555746349561E-2</c:v>
                </c:pt>
                <c:pt idx="476">
                  <c:v>4.9463546741677723E-2</c:v>
                </c:pt>
                <c:pt idx="477">
                  <c:v>4.8135629752588178E-2</c:v>
                </c:pt>
                <c:pt idx="478">
                  <c:v>4.7563758466473975E-2</c:v>
                </c:pt>
                <c:pt idx="479">
                  <c:v>4.8271787289110121E-2</c:v>
                </c:pt>
                <c:pt idx="480">
                  <c:v>4.7897078347353163E-2</c:v>
                </c:pt>
                <c:pt idx="481">
                  <c:v>4.7717079455436094E-2</c:v>
                </c:pt>
                <c:pt idx="482">
                  <c:v>4.7934306699923726E-2</c:v>
                </c:pt>
                <c:pt idx="483">
                  <c:v>4.8033234392109367E-2</c:v>
                </c:pt>
                <c:pt idx="484">
                  <c:v>4.8011435572072922E-2</c:v>
                </c:pt>
                <c:pt idx="485">
                  <c:v>4.8096482465080651E-2</c:v>
                </c:pt>
                <c:pt idx="486">
                  <c:v>4.7610171239385532E-2</c:v>
                </c:pt>
                <c:pt idx="487">
                  <c:v>4.8515325601357906E-2</c:v>
                </c:pt>
                <c:pt idx="488">
                  <c:v>4.779921906083618E-2</c:v>
                </c:pt>
                <c:pt idx="489">
                  <c:v>4.7436270760828056E-2</c:v>
                </c:pt>
                <c:pt idx="490">
                  <c:v>4.6949427392419293E-2</c:v>
                </c:pt>
                <c:pt idx="491">
                  <c:v>4.6488194756777415E-2</c:v>
                </c:pt>
                <c:pt idx="492">
                  <c:v>4.6837741948251091E-2</c:v>
                </c:pt>
                <c:pt idx="493">
                  <c:v>4.6119088398924819E-2</c:v>
                </c:pt>
                <c:pt idx="494">
                  <c:v>4.6985312168864465E-2</c:v>
                </c:pt>
                <c:pt idx="495">
                  <c:v>4.7201519892974934E-2</c:v>
                </c:pt>
                <c:pt idx="496">
                  <c:v>4.7630465270698426E-2</c:v>
                </c:pt>
                <c:pt idx="497">
                  <c:v>4.7731796059845615E-2</c:v>
                </c:pt>
                <c:pt idx="498">
                  <c:v>4.8118810826832531E-2</c:v>
                </c:pt>
                <c:pt idx="499">
                  <c:v>4.8115666571132969E-2</c:v>
                </c:pt>
                <c:pt idx="500">
                  <c:v>4.7615726186726444E-2</c:v>
                </c:pt>
                <c:pt idx="501">
                  <c:v>4.7168431814318706E-2</c:v>
                </c:pt>
                <c:pt idx="502">
                  <c:v>4.7921025294914564E-2</c:v>
                </c:pt>
                <c:pt idx="503">
                  <c:v>4.7099518081120124E-2</c:v>
                </c:pt>
                <c:pt idx="504">
                  <c:v>4.6952505368148094E-2</c:v>
                </c:pt>
                <c:pt idx="505">
                  <c:v>4.6908119283497668E-2</c:v>
                </c:pt>
                <c:pt idx="506">
                  <c:v>4.6798822301736716E-2</c:v>
                </c:pt>
                <c:pt idx="507">
                  <c:v>4.6933797242570137E-2</c:v>
                </c:pt>
                <c:pt idx="508">
                  <c:v>4.5431425878267387E-2</c:v>
                </c:pt>
                <c:pt idx="509">
                  <c:v>4.5125911009671622E-2</c:v>
                </c:pt>
                <c:pt idx="510">
                  <c:v>4.4775832625923891E-2</c:v>
                </c:pt>
                <c:pt idx="511">
                  <c:v>4.3836758836510371E-2</c:v>
                </c:pt>
                <c:pt idx="512">
                  <c:v>4.5900416677424873E-2</c:v>
                </c:pt>
                <c:pt idx="513">
                  <c:v>4.6562437811423857E-2</c:v>
                </c:pt>
                <c:pt idx="514">
                  <c:v>4.5176657111005103E-2</c:v>
                </c:pt>
                <c:pt idx="515">
                  <c:v>4.5967604657050257E-2</c:v>
                </c:pt>
                <c:pt idx="516">
                  <c:v>4.513413698228342E-2</c:v>
                </c:pt>
                <c:pt idx="517">
                  <c:v>4.5385069408071389E-2</c:v>
                </c:pt>
                <c:pt idx="518">
                  <c:v>4.4977573104862542E-2</c:v>
                </c:pt>
                <c:pt idx="519">
                  <c:v>4.5488075508110348E-2</c:v>
                </c:pt>
                <c:pt idx="520">
                  <c:v>4.5536102358331346E-2</c:v>
                </c:pt>
                <c:pt idx="521">
                  <c:v>4.6084681773478839E-2</c:v>
                </c:pt>
                <c:pt idx="522">
                  <c:v>4.5780899666338949E-2</c:v>
                </c:pt>
                <c:pt idx="523">
                  <c:v>4.5597879544583615E-2</c:v>
                </c:pt>
                <c:pt idx="524">
                  <c:v>4.4840811347849487E-2</c:v>
                </c:pt>
                <c:pt idx="525">
                  <c:v>4.6337159994715271E-2</c:v>
                </c:pt>
                <c:pt idx="526">
                  <c:v>4.5741957249096681E-2</c:v>
                </c:pt>
                <c:pt idx="527">
                  <c:v>4.6036948944890049E-2</c:v>
                </c:pt>
                <c:pt idx="528">
                  <c:v>4.7708214448298328E-2</c:v>
                </c:pt>
                <c:pt idx="529">
                  <c:v>4.6559229588951936E-2</c:v>
                </c:pt>
                <c:pt idx="530">
                  <c:v>4.5614273670054009E-2</c:v>
                </c:pt>
                <c:pt idx="531">
                  <c:v>4.5005896657867916E-2</c:v>
                </c:pt>
                <c:pt idx="532">
                  <c:v>4.4731214067028194E-2</c:v>
                </c:pt>
                <c:pt idx="533">
                  <c:v>4.3180130794530376E-2</c:v>
                </c:pt>
                <c:pt idx="534">
                  <c:v>4.2462046633347211E-2</c:v>
                </c:pt>
                <c:pt idx="535">
                  <c:v>4.3214240381957487E-2</c:v>
                </c:pt>
                <c:pt idx="536">
                  <c:v>4.2285385927898642E-2</c:v>
                </c:pt>
                <c:pt idx="537">
                  <c:v>4.2337729397906636E-2</c:v>
                </c:pt>
                <c:pt idx="538">
                  <c:v>4.1822520440296322E-2</c:v>
                </c:pt>
                <c:pt idx="539">
                  <c:v>4.1756370543399743E-2</c:v>
                </c:pt>
                <c:pt idx="540">
                  <c:v>4.0877376478238796E-2</c:v>
                </c:pt>
                <c:pt idx="541">
                  <c:v>4.0238899159772135E-2</c:v>
                </c:pt>
                <c:pt idx="542">
                  <c:v>4.079698568691028E-2</c:v>
                </c:pt>
                <c:pt idx="543">
                  <c:v>4.0002629660777833E-2</c:v>
                </c:pt>
                <c:pt idx="544">
                  <c:v>4.0221188262240332E-2</c:v>
                </c:pt>
                <c:pt idx="545">
                  <c:v>3.8321702634088975E-2</c:v>
                </c:pt>
                <c:pt idx="546">
                  <c:v>3.7723126766610451E-2</c:v>
                </c:pt>
                <c:pt idx="547">
                  <c:v>3.749402124472595E-2</c:v>
                </c:pt>
                <c:pt idx="548">
                  <c:v>3.8279932635285736E-2</c:v>
                </c:pt>
                <c:pt idx="549">
                  <c:v>3.6788306954582073E-2</c:v>
                </c:pt>
                <c:pt idx="550">
                  <c:v>3.5336425954439435E-2</c:v>
                </c:pt>
                <c:pt idx="551">
                  <c:v>3.6091820007084684E-2</c:v>
                </c:pt>
                <c:pt idx="552">
                  <c:v>3.4816795051412761E-2</c:v>
                </c:pt>
                <c:pt idx="553">
                  <c:v>3.5000287876662761E-2</c:v>
                </c:pt>
                <c:pt idx="554">
                  <c:v>3.5084309434340259E-2</c:v>
                </c:pt>
                <c:pt idx="555">
                  <c:v>3.4159892631408964E-2</c:v>
                </c:pt>
                <c:pt idx="556">
                  <c:v>3.3670358165927637E-2</c:v>
                </c:pt>
                <c:pt idx="557">
                  <c:v>3.3915301312566377E-2</c:v>
                </c:pt>
                <c:pt idx="558">
                  <c:v>3.346740371912367E-2</c:v>
                </c:pt>
                <c:pt idx="559">
                  <c:v>3.3481094034714678E-2</c:v>
                </c:pt>
                <c:pt idx="560">
                  <c:v>3.3821464766511454E-2</c:v>
                </c:pt>
                <c:pt idx="561">
                  <c:v>3.3537444540899672E-2</c:v>
                </c:pt>
                <c:pt idx="562">
                  <c:v>3.3783408876581066E-2</c:v>
                </c:pt>
                <c:pt idx="563">
                  <c:v>3.3552844493942233E-2</c:v>
                </c:pt>
                <c:pt idx="564">
                  <c:v>3.3323623984488175E-2</c:v>
                </c:pt>
                <c:pt idx="565">
                  <c:v>3.3018408351866688E-2</c:v>
                </c:pt>
                <c:pt idx="566">
                  <c:v>3.3099229790964607E-2</c:v>
                </c:pt>
                <c:pt idx="567">
                  <c:v>3.2688799628977985E-2</c:v>
                </c:pt>
                <c:pt idx="568">
                  <c:v>3.290809156109973E-2</c:v>
                </c:pt>
                <c:pt idx="569">
                  <c:v>3.2370994623290475E-2</c:v>
                </c:pt>
                <c:pt idx="570">
                  <c:v>3.2754349266592181E-2</c:v>
                </c:pt>
                <c:pt idx="571">
                  <c:v>3.1534488911060379E-2</c:v>
                </c:pt>
                <c:pt idx="572">
                  <c:v>3.12843853679921E-2</c:v>
                </c:pt>
                <c:pt idx="573">
                  <c:v>3.0967651415830487E-2</c:v>
                </c:pt>
                <c:pt idx="574">
                  <c:v>3.1116637939708591E-2</c:v>
                </c:pt>
                <c:pt idx="575">
                  <c:v>3.1486202133790248E-2</c:v>
                </c:pt>
                <c:pt idx="576">
                  <c:v>3.1455176911351537E-2</c:v>
                </c:pt>
                <c:pt idx="577">
                  <c:v>3.1663678129275563E-2</c:v>
                </c:pt>
                <c:pt idx="578">
                  <c:v>3.1235059041279465E-2</c:v>
                </c:pt>
                <c:pt idx="579">
                  <c:v>3.09263586416385E-2</c:v>
                </c:pt>
                <c:pt idx="580">
                  <c:v>3.1072584221239992E-2</c:v>
                </c:pt>
                <c:pt idx="581">
                  <c:v>3.1147220048217631E-2</c:v>
                </c:pt>
                <c:pt idx="582">
                  <c:v>3.0856178687193477E-2</c:v>
                </c:pt>
                <c:pt idx="583">
                  <c:v>3.1538770194512886E-2</c:v>
                </c:pt>
                <c:pt idx="584">
                  <c:v>3.1880824090722563E-2</c:v>
                </c:pt>
                <c:pt idx="585">
                  <c:v>3.1288545922629654E-2</c:v>
                </c:pt>
                <c:pt idx="586">
                  <c:v>3.1646795893359995E-2</c:v>
                </c:pt>
                <c:pt idx="587">
                  <c:v>3.1463974354056644E-2</c:v>
                </c:pt>
                <c:pt idx="588">
                  <c:v>3.1487151048980325E-2</c:v>
                </c:pt>
                <c:pt idx="589">
                  <c:v>3.1561631469977876E-2</c:v>
                </c:pt>
                <c:pt idx="590">
                  <c:v>3.1582155348891958E-2</c:v>
                </c:pt>
                <c:pt idx="591">
                  <c:v>3.127880077401627E-2</c:v>
                </c:pt>
                <c:pt idx="592">
                  <c:v>3.0665725253039993E-2</c:v>
                </c:pt>
                <c:pt idx="593">
                  <c:v>3.0721474517061313E-2</c:v>
                </c:pt>
                <c:pt idx="594">
                  <c:v>3.0580433460362925E-2</c:v>
                </c:pt>
                <c:pt idx="595">
                  <c:v>3.0286301920244969E-2</c:v>
                </c:pt>
                <c:pt idx="596">
                  <c:v>3.1235766842125208E-2</c:v>
                </c:pt>
                <c:pt idx="597">
                  <c:v>3.0773656958014421E-2</c:v>
                </c:pt>
                <c:pt idx="598">
                  <c:v>3.0733128528232463E-2</c:v>
                </c:pt>
                <c:pt idx="599">
                  <c:v>3.0444980848561985E-2</c:v>
                </c:pt>
                <c:pt idx="600">
                  <c:v>2.989416349755062E-2</c:v>
                </c:pt>
                <c:pt idx="601">
                  <c:v>3.0223378801908889E-2</c:v>
                </c:pt>
                <c:pt idx="602">
                  <c:v>3.097962025054371E-2</c:v>
                </c:pt>
                <c:pt idx="603">
                  <c:v>3.0534143257643413E-2</c:v>
                </c:pt>
                <c:pt idx="604">
                  <c:v>2.9769507791957219E-2</c:v>
                </c:pt>
                <c:pt idx="605">
                  <c:v>3.0675361581936105E-2</c:v>
                </c:pt>
                <c:pt idx="606">
                  <c:v>2.9580572830408464E-2</c:v>
                </c:pt>
                <c:pt idx="607">
                  <c:v>3.049558606078364E-2</c:v>
                </c:pt>
                <c:pt idx="608">
                  <c:v>2.9399219643162444E-2</c:v>
                </c:pt>
                <c:pt idx="609">
                  <c:v>2.9413098858894617E-2</c:v>
                </c:pt>
                <c:pt idx="610">
                  <c:v>2.8498028017034615E-2</c:v>
                </c:pt>
                <c:pt idx="611">
                  <c:v>2.8125433519354311E-2</c:v>
                </c:pt>
                <c:pt idx="612">
                  <c:v>2.8047679259873875E-2</c:v>
                </c:pt>
                <c:pt idx="613">
                  <c:v>2.7597198364021601E-2</c:v>
                </c:pt>
                <c:pt idx="614">
                  <c:v>2.8438837057791207E-2</c:v>
                </c:pt>
                <c:pt idx="615">
                  <c:v>2.8853995210979019E-2</c:v>
                </c:pt>
                <c:pt idx="616">
                  <c:v>2.8122476864349853E-2</c:v>
                </c:pt>
                <c:pt idx="617">
                  <c:v>2.8605859139289001E-2</c:v>
                </c:pt>
                <c:pt idx="618">
                  <c:v>2.8904862931016021E-2</c:v>
                </c:pt>
                <c:pt idx="619">
                  <c:v>2.8881701520797835E-2</c:v>
                </c:pt>
                <c:pt idx="620">
                  <c:v>2.87784947398559E-2</c:v>
                </c:pt>
                <c:pt idx="621">
                  <c:v>2.8919540215836953E-2</c:v>
                </c:pt>
                <c:pt idx="622">
                  <c:v>2.9160570402056787E-2</c:v>
                </c:pt>
                <c:pt idx="623">
                  <c:v>2.9522480926308794E-2</c:v>
                </c:pt>
                <c:pt idx="624">
                  <c:v>2.8717281042717882E-2</c:v>
                </c:pt>
                <c:pt idx="625">
                  <c:v>2.8201597171967005E-2</c:v>
                </c:pt>
                <c:pt idx="626">
                  <c:v>2.838339692584679E-2</c:v>
                </c:pt>
                <c:pt idx="627">
                  <c:v>2.6435409600261129E-2</c:v>
                </c:pt>
                <c:pt idx="628">
                  <c:v>2.8238349120540452E-2</c:v>
                </c:pt>
                <c:pt idx="629">
                  <c:v>2.9007119449224506E-2</c:v>
                </c:pt>
                <c:pt idx="630">
                  <c:v>2.8239298817699918E-2</c:v>
                </c:pt>
                <c:pt idx="631">
                  <c:v>2.7321295982578708E-2</c:v>
                </c:pt>
                <c:pt idx="632">
                  <c:v>2.8277919398265815E-2</c:v>
                </c:pt>
                <c:pt idx="633">
                  <c:v>2.8230943867256629E-2</c:v>
                </c:pt>
                <c:pt idx="634">
                  <c:v>2.7966594644005156E-2</c:v>
                </c:pt>
                <c:pt idx="635">
                  <c:v>2.8734257357955467E-2</c:v>
                </c:pt>
                <c:pt idx="636">
                  <c:v>2.7737765407580932E-2</c:v>
                </c:pt>
                <c:pt idx="637">
                  <c:v>2.7842041429718106E-2</c:v>
                </c:pt>
                <c:pt idx="638">
                  <c:v>3.0065811502513914E-2</c:v>
                </c:pt>
                <c:pt idx="639">
                  <c:v>2.8626960243923007E-2</c:v>
                </c:pt>
                <c:pt idx="640">
                  <c:v>2.8225781272134803E-2</c:v>
                </c:pt>
                <c:pt idx="641">
                  <c:v>2.777143683288014E-2</c:v>
                </c:pt>
                <c:pt idx="642">
                  <c:v>2.7092326457424983E-2</c:v>
                </c:pt>
                <c:pt idx="643">
                  <c:v>2.7503516726681325E-2</c:v>
                </c:pt>
                <c:pt idx="644">
                  <c:v>2.7472032784548024E-2</c:v>
                </c:pt>
                <c:pt idx="645">
                  <c:v>2.7295336946809433E-2</c:v>
                </c:pt>
                <c:pt idx="646">
                  <c:v>2.6466066530628982E-2</c:v>
                </c:pt>
                <c:pt idx="647">
                  <c:v>2.6419922785015291E-2</c:v>
                </c:pt>
                <c:pt idx="648">
                  <c:v>2.7805720737225433E-2</c:v>
                </c:pt>
                <c:pt idx="649">
                  <c:v>2.8697990468720295E-2</c:v>
                </c:pt>
                <c:pt idx="650">
                  <c:v>2.794594100052435E-2</c:v>
                </c:pt>
                <c:pt idx="651">
                  <c:v>2.8306272361672352E-2</c:v>
                </c:pt>
                <c:pt idx="652">
                  <c:v>2.6190575371430182E-2</c:v>
                </c:pt>
                <c:pt idx="653">
                  <c:v>2.7161310640111271E-2</c:v>
                </c:pt>
                <c:pt idx="654">
                  <c:v>2.7407720291679059E-2</c:v>
                </c:pt>
                <c:pt idx="655">
                  <c:v>2.7624719766985602E-2</c:v>
                </c:pt>
                <c:pt idx="656">
                  <c:v>2.8154217481477558E-2</c:v>
                </c:pt>
                <c:pt idx="657">
                  <c:v>2.7758821673660866E-2</c:v>
                </c:pt>
                <c:pt idx="658">
                  <c:v>2.9602903854885752E-2</c:v>
                </c:pt>
                <c:pt idx="659">
                  <c:v>3.1103720462835174E-2</c:v>
                </c:pt>
                <c:pt idx="660">
                  <c:v>3.0401878245899457E-2</c:v>
                </c:pt>
                <c:pt idx="661">
                  <c:v>3.1333621462063935E-2</c:v>
                </c:pt>
                <c:pt idx="662">
                  <c:v>2.8850437709577428E-2</c:v>
                </c:pt>
                <c:pt idx="663">
                  <c:v>2.8914778741548443E-2</c:v>
                </c:pt>
                <c:pt idx="664">
                  <c:v>2.866154462498216E-2</c:v>
                </c:pt>
                <c:pt idx="665">
                  <c:v>2.755164875580126E-2</c:v>
                </c:pt>
                <c:pt idx="666">
                  <c:v>2.8311090663675195E-2</c:v>
                </c:pt>
                <c:pt idx="667">
                  <c:v>2.6682115273827967E-2</c:v>
                </c:pt>
                <c:pt idx="668">
                  <c:v>2.7230811349699881E-2</c:v>
                </c:pt>
                <c:pt idx="669">
                  <c:v>2.6497743437447364E-2</c:v>
                </c:pt>
                <c:pt idx="670">
                  <c:v>2.7786844308601264E-2</c:v>
                </c:pt>
                <c:pt idx="671">
                  <c:v>2.6486657055475007E-2</c:v>
                </c:pt>
                <c:pt idx="672">
                  <c:v>2.767855252222147E-2</c:v>
                </c:pt>
                <c:pt idx="673">
                  <c:v>2.6265986573165465E-2</c:v>
                </c:pt>
                <c:pt idx="674">
                  <c:v>2.6606466391635396E-2</c:v>
                </c:pt>
                <c:pt idx="675">
                  <c:v>2.5457688052899517E-2</c:v>
                </c:pt>
                <c:pt idx="676">
                  <c:v>2.3538580471826741E-2</c:v>
                </c:pt>
                <c:pt idx="677">
                  <c:v>2.6044686687688865E-2</c:v>
                </c:pt>
                <c:pt idx="678">
                  <c:v>2.555867024187931E-2</c:v>
                </c:pt>
                <c:pt idx="679">
                  <c:v>2.6164341613398725E-2</c:v>
                </c:pt>
                <c:pt idx="680">
                  <c:v>2.3655107197955348E-2</c:v>
                </c:pt>
                <c:pt idx="681">
                  <c:v>2.1545211770644526E-2</c:v>
                </c:pt>
                <c:pt idx="682">
                  <c:v>2.0318696030784542E-2</c:v>
                </c:pt>
                <c:pt idx="683">
                  <c:v>1.8634988310086312E-2</c:v>
                </c:pt>
                <c:pt idx="684">
                  <c:v>1.860676990274085E-2</c:v>
                </c:pt>
                <c:pt idx="685">
                  <c:v>2.0255265442449728E-2</c:v>
                </c:pt>
                <c:pt idx="686">
                  <c:v>1.4206815303643473E-2</c:v>
                </c:pt>
                <c:pt idx="687">
                  <c:v>2.0421079999656942E-2</c:v>
                </c:pt>
                <c:pt idx="688">
                  <c:v>1.9884610843317069E-2</c:v>
                </c:pt>
                <c:pt idx="689">
                  <c:v>1.9585700444357524E-2</c:v>
                </c:pt>
                <c:pt idx="690">
                  <c:v>1.7742326378924221E-2</c:v>
                </c:pt>
                <c:pt idx="691">
                  <c:v>2.004213226693162E-2</c:v>
                </c:pt>
                <c:pt idx="692">
                  <c:v>2.0834532391346937E-2</c:v>
                </c:pt>
                <c:pt idx="693">
                  <c:v>1.9687534564899963E-2</c:v>
                </c:pt>
                <c:pt idx="694">
                  <c:v>1.8968028512168257E-2</c:v>
                </c:pt>
                <c:pt idx="695">
                  <c:v>1.9039307948531935E-2</c:v>
                </c:pt>
                <c:pt idx="696">
                  <c:v>1.9163260284128149E-2</c:v>
                </c:pt>
                <c:pt idx="697">
                  <c:v>1.740637831955278E-2</c:v>
                </c:pt>
                <c:pt idx="698">
                  <c:v>1.7790923362202327E-2</c:v>
                </c:pt>
                <c:pt idx="699">
                  <c:v>1.9009573913834274E-2</c:v>
                </c:pt>
                <c:pt idx="700">
                  <c:v>1.8887677903708898E-2</c:v>
                </c:pt>
                <c:pt idx="701">
                  <c:v>1.8318576409906487E-2</c:v>
                </c:pt>
                <c:pt idx="702">
                  <c:v>2.0415081338875596E-2</c:v>
                </c:pt>
                <c:pt idx="703">
                  <c:v>2.1311660927346876E-2</c:v>
                </c:pt>
                <c:pt idx="704">
                  <c:v>2.1945697954200514E-2</c:v>
                </c:pt>
                <c:pt idx="705">
                  <c:v>2.095866538150841E-2</c:v>
                </c:pt>
                <c:pt idx="706">
                  <c:v>2.1031256683500414E-2</c:v>
                </c:pt>
                <c:pt idx="707">
                  <c:v>2.1070729926419167E-2</c:v>
                </c:pt>
                <c:pt idx="708">
                  <c:v>2.0982429967893665E-2</c:v>
                </c:pt>
                <c:pt idx="709">
                  <c:v>2.198766531944283E-2</c:v>
                </c:pt>
                <c:pt idx="710">
                  <c:v>2.0388650940460561E-2</c:v>
                </c:pt>
                <c:pt idx="711">
                  <c:v>1.7320618928005217E-2</c:v>
                </c:pt>
                <c:pt idx="712">
                  <c:v>1.7886483368906438E-2</c:v>
                </c:pt>
                <c:pt idx="713">
                  <c:v>1.8661728491058766E-2</c:v>
                </c:pt>
                <c:pt idx="714">
                  <c:v>1.7640773716174282E-2</c:v>
                </c:pt>
                <c:pt idx="715">
                  <c:v>1.6873887757391438E-2</c:v>
                </c:pt>
                <c:pt idx="716">
                  <c:v>1.6608460917961594E-2</c:v>
                </c:pt>
                <c:pt idx="717">
                  <c:v>1.5884940311998504E-2</c:v>
                </c:pt>
                <c:pt idx="718">
                  <c:v>1.5617797908199085E-2</c:v>
                </c:pt>
                <c:pt idx="719">
                  <c:v>1.5379107344970821E-2</c:v>
                </c:pt>
                <c:pt idx="720">
                  <c:v>1.4914182818056509E-2</c:v>
                </c:pt>
                <c:pt idx="721">
                  <c:v>1.5653711862732365E-2</c:v>
                </c:pt>
                <c:pt idx="722">
                  <c:v>1.4127034992315095E-2</c:v>
                </c:pt>
                <c:pt idx="723">
                  <c:v>1.1623317750271398E-2</c:v>
                </c:pt>
                <c:pt idx="724">
                  <c:v>1.1624621477171047E-2</c:v>
                </c:pt>
                <c:pt idx="725">
                  <c:v>1.1534112586310416E-2</c:v>
                </c:pt>
                <c:pt idx="726">
                  <c:v>1.1635531544411057E-2</c:v>
                </c:pt>
                <c:pt idx="727">
                  <c:v>1.1745587848521328E-2</c:v>
                </c:pt>
                <c:pt idx="728">
                  <c:v>1.2194312891984777E-2</c:v>
                </c:pt>
                <c:pt idx="729">
                  <c:v>1.1140457652411057E-2</c:v>
                </c:pt>
                <c:pt idx="730">
                  <c:v>1.2274255739332562E-2</c:v>
                </c:pt>
                <c:pt idx="731">
                  <c:v>1.1304031237553734E-2</c:v>
                </c:pt>
                <c:pt idx="732">
                  <c:v>1.1313806366037423E-2</c:v>
                </c:pt>
                <c:pt idx="733">
                  <c:v>9.6917344028630958E-3</c:v>
                </c:pt>
                <c:pt idx="734">
                  <c:v>9.9840226932217443E-3</c:v>
                </c:pt>
                <c:pt idx="735">
                  <c:v>9.0904139392027784E-3</c:v>
                </c:pt>
                <c:pt idx="736">
                  <c:v>9.7341569265424355E-3</c:v>
                </c:pt>
                <c:pt idx="737">
                  <c:v>9.4363671925630065E-3</c:v>
                </c:pt>
                <c:pt idx="738">
                  <c:v>8.9876849679426628E-3</c:v>
                </c:pt>
                <c:pt idx="739">
                  <c:v>8.3490221541245527E-3</c:v>
                </c:pt>
                <c:pt idx="740">
                  <c:v>8.7971384444135783E-3</c:v>
                </c:pt>
                <c:pt idx="741">
                  <c:v>1.2474902923485869E-2</c:v>
                </c:pt>
                <c:pt idx="742">
                  <c:v>1.0474519519961823E-2</c:v>
                </c:pt>
                <c:pt idx="743">
                  <c:v>1.0374891743251397E-2</c:v>
                </c:pt>
                <c:pt idx="744">
                  <c:v>9.9314894786997534E-3</c:v>
                </c:pt>
                <c:pt idx="745">
                  <c:v>4.8892794603858179E-3</c:v>
                </c:pt>
                <c:pt idx="746">
                  <c:v>4.8609028146061901E-3</c:v>
                </c:pt>
                <c:pt idx="747">
                  <c:v>3.9054215976948178E-3</c:v>
                </c:pt>
                <c:pt idx="748">
                  <c:v>5.4897111431762256E-3</c:v>
                </c:pt>
                <c:pt idx="749">
                  <c:v>2.8253242648602485E-3</c:v>
                </c:pt>
                <c:pt idx="750">
                  <c:v>2.7502388352514595E-3</c:v>
                </c:pt>
                <c:pt idx="751">
                  <c:v>3.1597998936655227E-3</c:v>
                </c:pt>
                <c:pt idx="752">
                  <c:v>2.4679162914916955E-3</c:v>
                </c:pt>
                <c:pt idx="753">
                  <c:v>1.0865297624521794E-3</c:v>
                </c:pt>
                <c:pt idx="754">
                  <c:v>1.4270652575830477E-3</c:v>
                </c:pt>
                <c:pt idx="755">
                  <c:v>1.1895043405530956E-3</c:v>
                </c:pt>
                <c:pt idx="756">
                  <c:v>-6.7754424323599632E-4</c:v>
                </c:pt>
                <c:pt idx="757">
                  <c:v>-2.3596028198305055E-4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1B-4130-A08F-901D59BCE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4984015"/>
        <c:axId val="1804984431"/>
      </c:lineChart>
      <c:dateAx>
        <c:axId val="18049840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984431"/>
        <c:crosses val="autoZero"/>
        <c:auto val="1"/>
        <c:lblOffset val="100"/>
        <c:baseTimeUnit val="days"/>
      </c:dateAx>
      <c:valAx>
        <c:axId val="1804984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984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A115CCE-DBC2-49F1-AE02-ED5449BDEEDA}">
  <sheetPr/>
  <sheetViews>
    <sheetView zoomScale="10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B59D38-3A98-4F67-AEE6-FC3D5F251E2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1650</v>
      </c>
      <c r="D2" s="4">
        <f>MIN(D3:D1912)</f>
        <v>129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289.10000000000002</v>
      </c>
      <c r="C5">
        <v>290.7</v>
      </c>
      <c r="D5">
        <v>282.39999999999998</v>
      </c>
      <c r="E5">
        <v>282.8</v>
      </c>
      <c r="F5">
        <v>7866.5529999999999</v>
      </c>
      <c r="G5">
        <v>282.8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-0.90361445783131722</v>
      </c>
      <c r="Q5">
        <f t="shared" ref="Q5" si="1">F5*P5</f>
        <v>-7108.3310240963219</v>
      </c>
      <c r="R5">
        <f t="shared" ref="R5" si="2">R6+Q5</f>
        <v>14473020.044271162</v>
      </c>
      <c r="S5">
        <f t="shared" ref="S5" si="3">R5/100000</f>
        <v>144.73020044271161</v>
      </c>
      <c r="T5">
        <f t="shared" ref="T5" si="4">S5/1000</f>
        <v>0.14473020044271159</v>
      </c>
    </row>
    <row r="6" spans="1:20" x14ac:dyDescent="0.25">
      <c r="A6" s="5">
        <v>44587</v>
      </c>
      <c r="B6">
        <v>291.60000000000002</v>
      </c>
      <c r="C6">
        <v>314.89999999999998</v>
      </c>
      <c r="D6">
        <v>283.8</v>
      </c>
      <c r="E6">
        <v>289.10000000000002</v>
      </c>
      <c r="F6">
        <v>123057.25199999999</v>
      </c>
      <c r="G6">
        <v>289.10000000000002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-0.65916398713826252</v>
      </c>
      <c r="Q6">
        <f t="shared" ref="Q6" si="6">F6*P6</f>
        <v>-81114.908874597924</v>
      </c>
      <c r="R6">
        <f t="shared" ref="R6" si="7">R7+Q6</f>
        <v>14480128.375295257</v>
      </c>
      <c r="S6">
        <f t="shared" ref="S6" si="8">R6/100000</f>
        <v>144.80128375295257</v>
      </c>
      <c r="T6">
        <f t="shared" ref="T6" si="9">S6/1000</f>
        <v>0.14480128375295256</v>
      </c>
    </row>
    <row r="7" spans="1:20" x14ac:dyDescent="0.25">
      <c r="A7" s="5">
        <v>44586</v>
      </c>
      <c r="B7">
        <v>292.3</v>
      </c>
      <c r="C7">
        <v>294.60000000000002</v>
      </c>
      <c r="D7">
        <v>259.89999999999998</v>
      </c>
      <c r="E7">
        <v>291.60000000000002</v>
      </c>
      <c r="F7">
        <v>100039.632</v>
      </c>
      <c r="G7">
        <v>291.60000000000002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0.82708933717579269</v>
      </c>
      <c r="Q7">
        <f t="shared" ref="Q7" si="11">F7*P7</f>
        <v>82741.712922190214</v>
      </c>
      <c r="R7">
        <f t="shared" ref="R7" si="12">R8+Q7</f>
        <v>14561243.284169855</v>
      </c>
      <c r="S7">
        <f t="shared" ref="S7" si="13">R7/100000</f>
        <v>145.61243284169853</v>
      </c>
      <c r="T7">
        <f t="shared" ref="T7" si="14">S7/1000</f>
        <v>0.14561243284169853</v>
      </c>
    </row>
    <row r="8" spans="1:20" x14ac:dyDescent="0.25">
      <c r="A8" s="5">
        <v>44585</v>
      </c>
      <c r="B8">
        <v>302.39999999999998</v>
      </c>
      <c r="C8">
        <v>302.7</v>
      </c>
      <c r="D8">
        <v>259.60000000000002</v>
      </c>
      <c r="E8">
        <v>292.3</v>
      </c>
      <c r="F8">
        <v>213574.65285000001</v>
      </c>
      <c r="G8">
        <v>292.3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0.5174013921113696</v>
      </c>
      <c r="Q8">
        <f t="shared" ref="Q8" si="16">F8*P8</f>
        <v>110503.8227042925</v>
      </c>
      <c r="R8">
        <f t="shared" ref="R8" si="17">R9+Q8</f>
        <v>14478501.571247665</v>
      </c>
      <c r="S8">
        <f t="shared" ref="S8" si="18">R8/100000</f>
        <v>144.78501571247665</v>
      </c>
      <c r="T8">
        <f t="shared" ref="T8" si="19">S8/1000</f>
        <v>0.14478501571247665</v>
      </c>
    </row>
    <row r="9" spans="1:20" x14ac:dyDescent="0.25">
      <c r="A9" s="5">
        <v>44584</v>
      </c>
      <c r="B9">
        <v>291.89999999999998</v>
      </c>
      <c r="C9">
        <v>303.5</v>
      </c>
      <c r="D9">
        <v>283.8</v>
      </c>
      <c r="E9">
        <v>302.5</v>
      </c>
      <c r="F9">
        <v>120846.43799999999</v>
      </c>
      <c r="G9">
        <v>302.5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0.89847715736040601</v>
      </c>
      <c r="Q9">
        <f t="shared" ref="Q9" si="21">F9*P9</f>
        <v>108577.76409137054</v>
      </c>
      <c r="R9">
        <f t="shared" ref="R9" si="22">R10+Q9</f>
        <v>14367997.748543372</v>
      </c>
      <c r="S9">
        <f t="shared" ref="S9" si="23">R9/100000</f>
        <v>143.67997748543371</v>
      </c>
      <c r="T9">
        <f t="shared" ref="T9" si="24">S9/1000</f>
        <v>0.14367997748543371</v>
      </c>
    </row>
    <row r="10" spans="1:20" x14ac:dyDescent="0.25">
      <c r="A10" s="5">
        <v>44583</v>
      </c>
      <c r="B10">
        <v>314.8</v>
      </c>
      <c r="C10">
        <v>318.8</v>
      </c>
      <c r="D10">
        <v>265</v>
      </c>
      <c r="E10">
        <v>291.8</v>
      </c>
      <c r="F10">
        <v>210569.15341</v>
      </c>
      <c r="G10">
        <v>291.8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-3.7174721189588956E-3</v>
      </c>
      <c r="Q10">
        <f t="shared" ref="Q10" si="26">F10*P10</f>
        <v>-782.78495691445346</v>
      </c>
      <c r="R10">
        <f t="shared" ref="R10" si="27">R11+Q10</f>
        <v>14259419.984452002</v>
      </c>
      <c r="S10">
        <f t="shared" ref="S10" si="28">R10/100000</f>
        <v>142.59419984452001</v>
      </c>
      <c r="T10">
        <f t="shared" ref="T10" si="29">S10/1000</f>
        <v>0.14259419984452001</v>
      </c>
    </row>
    <row r="11" spans="1:20" x14ac:dyDescent="0.25">
      <c r="A11" s="5">
        <v>44582</v>
      </c>
      <c r="B11">
        <v>357.4</v>
      </c>
      <c r="C11">
        <v>360</v>
      </c>
      <c r="D11">
        <v>308</v>
      </c>
      <c r="E11">
        <v>314.89999999999998</v>
      </c>
      <c r="F11">
        <v>135765.18479999999</v>
      </c>
      <c r="G11">
        <v>314.89999999999998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-0.73461538461538545</v>
      </c>
      <c r="Q11">
        <f t="shared" ref="Q11" si="31">F11*P11</f>
        <v>-99735.193449230879</v>
      </c>
      <c r="R11">
        <f t="shared" ref="R11" si="32">R12+Q11</f>
        <v>14260202.769408917</v>
      </c>
      <c r="S11">
        <f t="shared" ref="S11" si="33">R11/100000</f>
        <v>142.60202769408917</v>
      </c>
      <c r="T11">
        <f t="shared" ref="T11" si="34">S11/1000</f>
        <v>0.14260202769408917</v>
      </c>
    </row>
    <row r="12" spans="1:20" x14ac:dyDescent="0.25">
      <c r="A12" s="5">
        <v>44581</v>
      </c>
      <c r="B12">
        <v>369</v>
      </c>
      <c r="C12">
        <v>384.2</v>
      </c>
      <c r="D12">
        <v>356.3</v>
      </c>
      <c r="E12">
        <v>357.5</v>
      </c>
      <c r="F12">
        <v>48632.11</v>
      </c>
      <c r="G12">
        <v>357.5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-0.91397849462365666</v>
      </c>
      <c r="Q12">
        <f t="shared" ref="Q12" si="36">F12*P12</f>
        <v>-44448.702688172081</v>
      </c>
      <c r="R12">
        <f t="shared" ref="R12" si="37">R13+Q12</f>
        <v>14359937.962858148</v>
      </c>
      <c r="S12">
        <f t="shared" ref="S12" si="38">R12/100000</f>
        <v>143.59937962858149</v>
      </c>
      <c r="T12">
        <f t="shared" ref="T12" si="39">S12/1000</f>
        <v>0.14359937962858149</v>
      </c>
    </row>
    <row r="13" spans="1:20" x14ac:dyDescent="0.25">
      <c r="A13" s="5">
        <v>44580</v>
      </c>
      <c r="B13">
        <v>381.4</v>
      </c>
      <c r="C13">
        <v>384.3</v>
      </c>
      <c r="D13">
        <v>365.8</v>
      </c>
      <c r="E13">
        <v>368.9</v>
      </c>
      <c r="F13">
        <v>54356.983999999997</v>
      </c>
      <c r="G13">
        <v>368.9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-0.66486486486486851</v>
      </c>
      <c r="Q13">
        <f t="shared" ref="Q13" si="41">F13*P13</f>
        <v>-36140.048821621815</v>
      </c>
      <c r="R13">
        <f t="shared" ref="R13" si="42">R14+Q13</f>
        <v>14404386.66554632</v>
      </c>
      <c r="S13">
        <f t="shared" ref="S13" si="43">R13/100000</f>
        <v>144.04386665546321</v>
      </c>
      <c r="T13">
        <f t="shared" ref="T13" si="44">S13/1000</f>
        <v>0.1440438666554632</v>
      </c>
    </row>
    <row r="14" spans="1:20" x14ac:dyDescent="0.25">
      <c r="A14" s="5">
        <v>44579</v>
      </c>
      <c r="B14">
        <v>380.7</v>
      </c>
      <c r="C14">
        <v>398.7</v>
      </c>
      <c r="D14">
        <v>374.6</v>
      </c>
      <c r="E14">
        <v>381.4</v>
      </c>
      <c r="F14">
        <v>80578.066000000006</v>
      </c>
      <c r="G14">
        <v>381.4</v>
      </c>
      <c r="L14" t="s">
        <v>8</v>
      </c>
      <c r="M14" t="s">
        <v>7</v>
      </c>
      <c r="N14" t="s">
        <v>7</v>
      </c>
      <c r="P14">
        <f t="shared" ref="P14" si="45">IF(C14=D14,0,((E14-D14)-(C14-E14))/(C14-D14))</f>
        <v>-0.43568464730290751</v>
      </c>
      <c r="Q14">
        <f t="shared" ref="Q14" si="46">F14*P14</f>
        <v>-35106.626265560408</v>
      </c>
      <c r="R14">
        <f t="shared" ref="R14" si="47">R15+Q14</f>
        <v>14440526.714367943</v>
      </c>
      <c r="S14">
        <f t="shared" ref="S14" si="48">R14/100000</f>
        <v>144.40526714367942</v>
      </c>
      <c r="T14">
        <f t="shared" ref="T14" si="49">S14/1000</f>
        <v>0.14440526714367943</v>
      </c>
    </row>
    <row r="15" spans="1:20" x14ac:dyDescent="0.25">
      <c r="A15" s="5">
        <v>44578</v>
      </c>
      <c r="B15">
        <v>388.2</v>
      </c>
      <c r="C15">
        <v>389.2</v>
      </c>
      <c r="D15">
        <v>373</v>
      </c>
      <c r="E15">
        <v>380.6</v>
      </c>
      <c r="F15">
        <v>35421.99</v>
      </c>
      <c r="G15">
        <v>380.6</v>
      </c>
      <c r="L15" t="s">
        <v>8</v>
      </c>
      <c r="M15" t="s">
        <v>7</v>
      </c>
      <c r="N15" t="s">
        <v>7</v>
      </c>
      <c r="P15">
        <f t="shared" ref="P15" si="50">IF(C15=D15,0,((E15-D15)-(C15-E15))/(C15-D15))</f>
        <v>-6.1728395061724929E-2</v>
      </c>
      <c r="Q15">
        <f t="shared" ref="Q15" si="51">F15*P15</f>
        <v>-2186.5425925924696</v>
      </c>
      <c r="R15">
        <f t="shared" ref="R15" si="52">R16+Q15</f>
        <v>14475633.340633504</v>
      </c>
      <c r="S15">
        <f t="shared" ref="S15" si="53">R15/100000</f>
        <v>144.75633340633505</v>
      </c>
      <c r="T15">
        <f t="shared" ref="T15" si="54">S15/1000</f>
        <v>0.14475633340633504</v>
      </c>
    </row>
    <row r="16" spans="1:20" x14ac:dyDescent="0.25">
      <c r="A16" s="5">
        <v>44577</v>
      </c>
      <c r="B16">
        <v>390.7</v>
      </c>
      <c r="C16">
        <v>393.4</v>
      </c>
      <c r="D16">
        <v>382.3</v>
      </c>
      <c r="E16">
        <v>388.1</v>
      </c>
      <c r="F16">
        <v>23265.962</v>
      </c>
      <c r="G16">
        <v>388.1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4.5045045045050303E-2</v>
      </c>
      <c r="Q16">
        <f t="shared" ref="Q16" si="56">F16*P16</f>
        <v>1048.0163063064285</v>
      </c>
      <c r="R16">
        <f t="shared" ref="R16" si="57">R17+Q16</f>
        <v>14477819.883226097</v>
      </c>
      <c r="S16">
        <f t="shared" ref="S16" si="58">R16/100000</f>
        <v>144.77819883226095</v>
      </c>
      <c r="T16">
        <f t="shared" ref="T16" si="59">S16/1000</f>
        <v>0.14477819883226095</v>
      </c>
    </row>
    <row r="17" spans="1:20" x14ac:dyDescent="0.25">
      <c r="A17" s="5">
        <v>44576</v>
      </c>
      <c r="B17">
        <v>385.5</v>
      </c>
      <c r="C17">
        <v>393</v>
      </c>
      <c r="D17">
        <v>382.9</v>
      </c>
      <c r="E17">
        <v>390.6</v>
      </c>
      <c r="F17">
        <v>26573.368999999999</v>
      </c>
      <c r="G17">
        <v>390.6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0.52475247524753033</v>
      </c>
      <c r="Q17">
        <f t="shared" ref="Q17" si="61">F17*P17</f>
        <v>13944.44115841599</v>
      </c>
      <c r="R17">
        <f t="shared" ref="R17" si="62">R18+Q17</f>
        <v>14476771.866919789</v>
      </c>
      <c r="S17">
        <f t="shared" ref="S17" si="63">R17/100000</f>
        <v>144.7677186691979</v>
      </c>
      <c r="T17">
        <f t="shared" ref="T17" si="64">S17/1000</f>
        <v>0.14476771866919791</v>
      </c>
    </row>
    <row r="18" spans="1:20" x14ac:dyDescent="0.25">
      <c r="A18" s="5">
        <v>44575</v>
      </c>
      <c r="B18">
        <v>377.5</v>
      </c>
      <c r="C18">
        <v>393.7</v>
      </c>
      <c r="D18">
        <v>375.6</v>
      </c>
      <c r="E18">
        <v>385.6</v>
      </c>
      <c r="F18">
        <v>49743.720999999998</v>
      </c>
      <c r="G18">
        <v>385.6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0.10497237569060981</v>
      </c>
      <c r="Q18">
        <f t="shared" ref="Q18" si="66">F18*P18</f>
        <v>5221.7165690608763</v>
      </c>
      <c r="R18">
        <f t="shared" ref="R18" si="67">R19+Q18</f>
        <v>14462827.425761374</v>
      </c>
      <c r="S18">
        <f t="shared" ref="S18" si="68">R18/100000</f>
        <v>144.62827425761373</v>
      </c>
      <c r="T18">
        <f t="shared" ref="T18" si="69">S18/1000</f>
        <v>0.14462827425761374</v>
      </c>
    </row>
    <row r="19" spans="1:20" x14ac:dyDescent="0.25">
      <c r="A19" s="5">
        <v>44574</v>
      </c>
      <c r="B19">
        <v>383.7</v>
      </c>
      <c r="C19">
        <v>391.7</v>
      </c>
      <c r="D19">
        <v>376.4</v>
      </c>
      <c r="E19">
        <v>377.5</v>
      </c>
      <c r="F19">
        <v>50476.739000000001</v>
      </c>
      <c r="G19">
        <v>377.5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-0.85620915032679457</v>
      </c>
      <c r="Q19">
        <f t="shared" ref="Q19" si="71">F19*P19</f>
        <v>-43218.645810457376</v>
      </c>
      <c r="R19">
        <f t="shared" ref="R19" si="72">R20+Q19</f>
        <v>14457605.709192313</v>
      </c>
      <c r="S19">
        <f t="shared" ref="S19" si="73">R19/100000</f>
        <v>144.57605709192313</v>
      </c>
      <c r="T19">
        <f t="shared" ref="T19" si="74">S19/1000</f>
        <v>0.14457605709192314</v>
      </c>
    </row>
    <row r="20" spans="1:20" x14ac:dyDescent="0.25">
      <c r="A20" s="5">
        <v>44573</v>
      </c>
      <c r="B20">
        <v>369.8</v>
      </c>
      <c r="C20">
        <v>385.9</v>
      </c>
      <c r="D20">
        <v>367.8</v>
      </c>
      <c r="E20">
        <v>383.8</v>
      </c>
      <c r="F20">
        <v>53145.692999999999</v>
      </c>
      <c r="G20">
        <v>383.8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0.76795580110497574</v>
      </c>
      <c r="Q20">
        <f t="shared" ref="Q20" si="76">F20*P20</f>
        <v>40813.5432430941</v>
      </c>
      <c r="R20">
        <f t="shared" ref="R20" si="77">R21+Q20</f>
        <v>14500824.35500277</v>
      </c>
      <c r="S20">
        <f t="shared" ref="S20" si="78">R20/100000</f>
        <v>145.00824355002771</v>
      </c>
      <c r="T20">
        <f t="shared" ref="T20" si="79">S20/1000</f>
        <v>0.14500824355002773</v>
      </c>
    </row>
    <row r="21" spans="1:20" x14ac:dyDescent="0.25">
      <c r="A21" s="5">
        <v>44572</v>
      </c>
      <c r="B21">
        <v>363.5</v>
      </c>
      <c r="C21">
        <v>375</v>
      </c>
      <c r="D21">
        <v>361.7</v>
      </c>
      <c r="E21">
        <v>369.8</v>
      </c>
      <c r="F21">
        <v>62635.224999999999</v>
      </c>
      <c r="G21">
        <v>369.8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0.21804511278195726</v>
      </c>
      <c r="Q21">
        <f t="shared" ref="Q21" si="81">F21*P21</f>
        <v>13657.304699248269</v>
      </c>
      <c r="R21">
        <f t="shared" ref="R21" si="82">R22+Q21</f>
        <v>14460010.811759677</v>
      </c>
      <c r="S21">
        <f t="shared" ref="S21" si="83">R21/100000</f>
        <v>144.60010811759676</v>
      </c>
      <c r="T21">
        <f t="shared" ref="T21" si="84">S21/1000</f>
        <v>0.14460010811759677</v>
      </c>
    </row>
    <row r="22" spans="1:20" x14ac:dyDescent="0.25">
      <c r="A22" s="5">
        <v>44571</v>
      </c>
      <c r="B22">
        <v>376.8</v>
      </c>
      <c r="C22">
        <v>378.4</v>
      </c>
      <c r="D22">
        <v>347.6</v>
      </c>
      <c r="E22">
        <v>363.6</v>
      </c>
      <c r="F22">
        <v>99914.206999999995</v>
      </c>
      <c r="G22">
        <v>363.6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3.8961038961040494E-2</v>
      </c>
      <c r="Q22">
        <f t="shared" ref="Q22" si="86">F22*P22</f>
        <v>3892.7613116884645</v>
      </c>
      <c r="R22">
        <f t="shared" ref="R22" si="87">R23+Q22</f>
        <v>14446353.507060429</v>
      </c>
      <c r="S22">
        <f t="shared" ref="S22" si="88">R22/100000</f>
        <v>144.46353507060428</v>
      </c>
      <c r="T22">
        <f t="shared" ref="T22" si="89">S22/1000</f>
        <v>0.14446353507060428</v>
      </c>
    </row>
    <row r="23" spans="1:20" x14ac:dyDescent="0.25">
      <c r="A23" s="5">
        <v>44570</v>
      </c>
      <c r="B23">
        <v>372.8</v>
      </c>
      <c r="C23">
        <v>381.1</v>
      </c>
      <c r="D23">
        <v>367.8</v>
      </c>
      <c r="E23">
        <v>376.8</v>
      </c>
      <c r="F23">
        <v>52446.076999999997</v>
      </c>
      <c r="G23">
        <v>376.8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0.35338345864661541</v>
      </c>
      <c r="Q23">
        <f t="shared" ref="Q23" si="91">F23*P23</f>
        <v>18533.576082706706</v>
      </c>
      <c r="R23">
        <f t="shared" ref="R23" si="92">R24+Q23</f>
        <v>14442460.74574874</v>
      </c>
      <c r="S23">
        <f t="shared" ref="S23" si="93">R23/100000</f>
        <v>144.42460745748738</v>
      </c>
      <c r="T23">
        <f t="shared" ref="T23" si="94">S23/1000</f>
        <v>0.14442460745748739</v>
      </c>
    </row>
    <row r="24" spans="1:20" x14ac:dyDescent="0.25">
      <c r="A24" s="5">
        <v>44569</v>
      </c>
      <c r="B24">
        <v>385.8</v>
      </c>
      <c r="C24">
        <v>391.6</v>
      </c>
      <c r="D24">
        <v>361</v>
      </c>
      <c r="E24">
        <v>372.9</v>
      </c>
      <c r="F24">
        <v>78690.695999999996</v>
      </c>
      <c r="G24">
        <v>372.9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-0.22222222222222429</v>
      </c>
      <c r="Q24">
        <f t="shared" ref="Q24" si="96">F24*P24</f>
        <v>-17486.821333333497</v>
      </c>
      <c r="R24">
        <f t="shared" ref="R24" si="97">R25+Q24</f>
        <v>14423927.169666033</v>
      </c>
      <c r="S24">
        <f t="shared" ref="S24" si="98">R24/100000</f>
        <v>144.23927169666032</v>
      </c>
      <c r="T24">
        <f t="shared" ref="T24" si="99">S24/1000</f>
        <v>0.14423927169666032</v>
      </c>
    </row>
    <row r="25" spans="1:20" x14ac:dyDescent="0.25">
      <c r="A25" s="5">
        <v>44568</v>
      </c>
      <c r="B25">
        <v>399.7</v>
      </c>
      <c r="C25">
        <v>401.7</v>
      </c>
      <c r="D25">
        <v>375.3</v>
      </c>
      <c r="E25">
        <v>385.7</v>
      </c>
      <c r="F25">
        <v>107953.81299999999</v>
      </c>
      <c r="G25">
        <v>385.7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-0.21212121212121315</v>
      </c>
      <c r="Q25">
        <f t="shared" ref="Q25" si="101">F25*P25</f>
        <v>-22899.293666666777</v>
      </c>
      <c r="R25">
        <f t="shared" ref="R25" si="102">R26+Q25</f>
        <v>14441413.990999367</v>
      </c>
      <c r="S25">
        <f t="shared" ref="S25" si="103">R25/100000</f>
        <v>144.41413990999368</v>
      </c>
      <c r="T25">
        <f t="shared" ref="T25" si="104">S25/1000</f>
        <v>0.14441413990999369</v>
      </c>
    </row>
    <row r="26" spans="1:20" x14ac:dyDescent="0.25">
      <c r="A26" s="5">
        <v>44567</v>
      </c>
      <c r="B26">
        <v>399.5</v>
      </c>
      <c r="C26">
        <v>403.9</v>
      </c>
      <c r="D26">
        <v>387.3</v>
      </c>
      <c r="E26">
        <v>399.8</v>
      </c>
      <c r="F26">
        <v>82449.322</v>
      </c>
      <c r="G26">
        <v>399.8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0.50602409638554524</v>
      </c>
      <c r="Q26">
        <f t="shared" ref="Q26" si="106">F26*P26</f>
        <v>41721.343662650856</v>
      </c>
      <c r="R26">
        <f t="shared" ref="R26" si="107">R27+Q26</f>
        <v>14464313.284666033</v>
      </c>
      <c r="S26">
        <f t="shared" ref="S26" si="108">R26/100000</f>
        <v>144.64313284666034</v>
      </c>
      <c r="T26">
        <f t="shared" ref="T26" si="109">S26/1000</f>
        <v>0.14464313284666033</v>
      </c>
    </row>
    <row r="27" spans="1:20" x14ac:dyDescent="0.25">
      <c r="A27" s="5">
        <v>44566</v>
      </c>
      <c r="B27">
        <v>427</v>
      </c>
      <c r="C27">
        <v>432.5</v>
      </c>
      <c r="D27">
        <v>391.1</v>
      </c>
      <c r="E27">
        <v>399.4</v>
      </c>
      <c r="F27">
        <v>67592.077999999994</v>
      </c>
      <c r="G27">
        <v>399.4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-0.59903381642512277</v>
      </c>
      <c r="Q27">
        <f t="shared" ref="Q27" si="111">F27*P27</f>
        <v>-40489.940444444575</v>
      </c>
      <c r="R27">
        <f t="shared" ref="R27" si="112">R28+Q27</f>
        <v>14422591.941003382</v>
      </c>
      <c r="S27">
        <f t="shared" ref="S27" si="113">R27/100000</f>
        <v>144.22591941003381</v>
      </c>
      <c r="T27">
        <f t="shared" ref="T27" si="114">S27/1000</f>
        <v>0.14422591941003382</v>
      </c>
    </row>
    <row r="28" spans="1:20" x14ac:dyDescent="0.25">
      <c r="A28" s="5">
        <v>44565</v>
      </c>
      <c r="B28">
        <v>434.8</v>
      </c>
      <c r="C28">
        <v>439.5</v>
      </c>
      <c r="D28">
        <v>425.4</v>
      </c>
      <c r="E28">
        <v>427.1</v>
      </c>
      <c r="F28">
        <v>39425.964</v>
      </c>
      <c r="G28">
        <v>427.1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-0.75886524822694434</v>
      </c>
      <c r="Q28">
        <f t="shared" ref="Q28" si="116">F28*P28</f>
        <v>-29918.993957446572</v>
      </c>
      <c r="R28">
        <f t="shared" ref="R28" si="117">R29+Q28</f>
        <v>14463081.881447827</v>
      </c>
      <c r="S28">
        <f t="shared" ref="S28" si="118">R28/100000</f>
        <v>144.63081881447826</v>
      </c>
      <c r="T28">
        <f t="shared" ref="T28" si="119">S28/1000</f>
        <v>0.14463081881447826</v>
      </c>
    </row>
    <row r="29" spans="1:20" x14ac:dyDescent="0.25">
      <c r="A29" s="5">
        <v>44564</v>
      </c>
      <c r="B29">
        <v>447.6</v>
      </c>
      <c r="C29">
        <v>447.9</v>
      </c>
      <c r="D29">
        <v>431.1</v>
      </c>
      <c r="E29">
        <v>434.7</v>
      </c>
      <c r="F29">
        <v>30839.554</v>
      </c>
      <c r="G29">
        <v>434.7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-0.57142857142857428</v>
      </c>
      <c r="Q29">
        <f t="shared" ref="Q29" si="121">F29*P29</f>
        <v>-17622.602285714373</v>
      </c>
      <c r="R29">
        <f t="shared" ref="R29" si="122">R30+Q29</f>
        <v>14493000.875405274</v>
      </c>
      <c r="S29">
        <f t="shared" ref="S29" si="123">R29/100000</f>
        <v>144.93000875405275</v>
      </c>
      <c r="T29">
        <f t="shared" ref="T29" si="124">S29/1000</f>
        <v>0.14493000875405276</v>
      </c>
    </row>
    <row r="30" spans="1:20" x14ac:dyDescent="0.25">
      <c r="A30" s="5">
        <v>44563</v>
      </c>
      <c r="B30">
        <v>444.8</v>
      </c>
      <c r="C30">
        <v>452.4</v>
      </c>
      <c r="D30">
        <v>442.6</v>
      </c>
      <c r="E30">
        <v>447.7</v>
      </c>
      <c r="F30">
        <v>47788.519</v>
      </c>
      <c r="G30">
        <v>447.7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4.0816326530610111E-2</v>
      </c>
      <c r="Q30">
        <f t="shared" ref="Q30" si="126">F30*P30</f>
        <v>1950.5517959182655</v>
      </c>
      <c r="R30">
        <f t="shared" ref="R30" si="127">R31+Q30</f>
        <v>14510623.477690989</v>
      </c>
      <c r="S30">
        <f t="shared" ref="S30" si="128">R30/100000</f>
        <v>145.1062347769099</v>
      </c>
      <c r="T30">
        <f t="shared" ref="T30" si="129">S30/1000</f>
        <v>0.1451062347769099</v>
      </c>
    </row>
    <row r="31" spans="1:20" x14ac:dyDescent="0.25">
      <c r="A31" s="5">
        <v>44562</v>
      </c>
      <c r="B31">
        <v>430.3</v>
      </c>
      <c r="C31">
        <v>446.1</v>
      </c>
      <c r="D31">
        <v>430.3</v>
      </c>
      <c r="E31">
        <v>444.8</v>
      </c>
      <c r="F31">
        <v>38968.514000000003</v>
      </c>
      <c r="G31">
        <v>444.8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0.83544303797468222</v>
      </c>
      <c r="Q31">
        <f t="shared" ref="Q31" si="131">F31*P31</f>
        <v>32555.973721518938</v>
      </c>
      <c r="R31">
        <f t="shared" ref="R31" si="132">R32+Q31</f>
        <v>14508672.925895071</v>
      </c>
      <c r="S31">
        <f t="shared" ref="S31" si="133">R31/100000</f>
        <v>145.0867292589507</v>
      </c>
      <c r="T31">
        <f t="shared" ref="T31" si="134">S31/1000</f>
        <v>0.14508672925895069</v>
      </c>
    </row>
    <row r="32" spans="1:20" x14ac:dyDescent="0.25">
      <c r="A32" s="5">
        <v>44561</v>
      </c>
      <c r="B32">
        <v>431.4</v>
      </c>
      <c r="C32">
        <v>437.2</v>
      </c>
      <c r="D32">
        <v>419.2</v>
      </c>
      <c r="E32">
        <v>430.2</v>
      </c>
      <c r="F32">
        <v>65754.929000000004</v>
      </c>
      <c r="G32">
        <v>430.2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0.22222222222222221</v>
      </c>
      <c r="Q32">
        <f t="shared" ref="Q32" si="136">F32*P32</f>
        <v>14612.206444444444</v>
      </c>
      <c r="R32">
        <f t="shared" ref="R32" si="137">R33+Q32</f>
        <v>14476116.952173552</v>
      </c>
      <c r="S32">
        <f t="shared" ref="S32" si="138">R32/100000</f>
        <v>144.76116952173552</v>
      </c>
      <c r="T32">
        <f t="shared" ref="T32" si="139">S32/1000</f>
        <v>0.14476116952173551</v>
      </c>
    </row>
    <row r="33" spans="1:20" x14ac:dyDescent="0.25">
      <c r="A33" s="5">
        <v>44560</v>
      </c>
      <c r="B33">
        <v>430</v>
      </c>
      <c r="C33">
        <v>437.1</v>
      </c>
      <c r="D33">
        <v>423.5</v>
      </c>
      <c r="E33">
        <v>431.7</v>
      </c>
      <c r="F33">
        <v>38427.226999999999</v>
      </c>
      <c r="G33">
        <v>431.7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0.20588235294117277</v>
      </c>
      <c r="Q33">
        <f t="shared" ref="Q33" si="141">F33*P33</f>
        <v>7911.4879117645633</v>
      </c>
      <c r="R33">
        <f t="shared" ref="R33" si="142">R34+Q33</f>
        <v>14461504.745729107</v>
      </c>
      <c r="S33">
        <f t="shared" ref="S33" si="143">R33/100000</f>
        <v>144.61504745729107</v>
      </c>
      <c r="T33">
        <f t="shared" ref="T33" si="144">S33/1000</f>
        <v>0.14461504745729106</v>
      </c>
    </row>
    <row r="34" spans="1:20" x14ac:dyDescent="0.25">
      <c r="A34" s="5">
        <v>44559</v>
      </c>
      <c r="B34">
        <v>438.9</v>
      </c>
      <c r="C34">
        <v>445.8</v>
      </c>
      <c r="D34">
        <v>426.4</v>
      </c>
      <c r="E34">
        <v>430.1</v>
      </c>
      <c r="F34">
        <v>49436.705000000002</v>
      </c>
      <c r="G34">
        <v>430.1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-0.61855670103092386</v>
      </c>
      <c r="Q34">
        <f t="shared" ref="Q34" si="146">F34*P34</f>
        <v>-30579.405154638978</v>
      </c>
      <c r="R34">
        <f t="shared" ref="R34" si="147">R35+Q34</f>
        <v>14453593.257817343</v>
      </c>
      <c r="S34">
        <f t="shared" ref="S34" si="148">R34/100000</f>
        <v>144.53593257817343</v>
      </c>
      <c r="T34">
        <f t="shared" ref="T34" si="149">S34/1000</f>
        <v>0.14453593257817343</v>
      </c>
    </row>
    <row r="35" spans="1:20" x14ac:dyDescent="0.25">
      <c r="A35" s="5">
        <v>44558</v>
      </c>
      <c r="B35">
        <v>465.5</v>
      </c>
      <c r="C35">
        <v>465.5</v>
      </c>
      <c r="D35">
        <v>437.7</v>
      </c>
      <c r="E35">
        <v>439</v>
      </c>
      <c r="F35">
        <v>68358.845000000001</v>
      </c>
      <c r="G35">
        <v>439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-0.90647482014388414</v>
      </c>
      <c r="Q35">
        <f t="shared" ref="Q35" si="151">F35*P35</f>
        <v>-61965.571726618655</v>
      </c>
      <c r="R35">
        <f t="shared" ref="R35" si="152">R36+Q35</f>
        <v>14484172.662971983</v>
      </c>
      <c r="S35">
        <f t="shared" ref="S35" si="153">R35/100000</f>
        <v>144.84172662971983</v>
      </c>
      <c r="T35">
        <f t="shared" ref="T35" si="154">S35/1000</f>
        <v>0.14484172662971984</v>
      </c>
    </row>
    <row r="36" spans="1:20" x14ac:dyDescent="0.25">
      <c r="A36" s="5">
        <v>44557</v>
      </c>
      <c r="B36">
        <v>451.6</v>
      </c>
      <c r="C36">
        <v>476</v>
      </c>
      <c r="D36">
        <v>447.5</v>
      </c>
      <c r="E36">
        <v>465.3</v>
      </c>
      <c r="F36">
        <v>73454.130999999994</v>
      </c>
      <c r="G36">
        <v>465.3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0.24912280701754466</v>
      </c>
      <c r="Q36">
        <f t="shared" ref="Q36" si="156">F36*P36</f>
        <v>18299.099301754442</v>
      </c>
      <c r="R36">
        <f t="shared" ref="R36" si="157">R37+Q36</f>
        <v>14546138.234698601</v>
      </c>
      <c r="S36">
        <f t="shared" ref="S36" si="158">R36/100000</f>
        <v>145.461382346986</v>
      </c>
      <c r="T36">
        <f t="shared" ref="T36" si="159">S36/1000</f>
        <v>0.145461382346986</v>
      </c>
    </row>
    <row r="37" spans="1:20" x14ac:dyDescent="0.25">
      <c r="A37" s="5">
        <v>44556</v>
      </c>
      <c r="B37">
        <v>455.2</v>
      </c>
      <c r="C37">
        <v>455.4</v>
      </c>
      <c r="D37">
        <v>444.3</v>
      </c>
      <c r="E37">
        <v>451.6</v>
      </c>
      <c r="F37">
        <v>35929.226000000002</v>
      </c>
      <c r="G37">
        <v>451.6</v>
      </c>
      <c r="L37" t="s">
        <v>8</v>
      </c>
      <c r="M37" t="s">
        <v>7</v>
      </c>
      <c r="N37" t="s">
        <v>8</v>
      </c>
      <c r="P37">
        <f t="shared" ref="P37" si="160">IF(C37=D37,0,((E37-D37)-(C37-E37))/(C37-D37))</f>
        <v>0.31531531531532142</v>
      </c>
      <c r="Q37">
        <f t="shared" ref="Q37" si="161">F37*P37</f>
        <v>11329.035225225445</v>
      </c>
      <c r="R37">
        <f t="shared" ref="R37" si="162">R38+Q37</f>
        <v>14527839.135396848</v>
      </c>
      <c r="S37">
        <f t="shared" ref="S37" si="163">R37/100000</f>
        <v>145.27839135396849</v>
      </c>
      <c r="T37">
        <f t="shared" ref="T37" si="164">S37/1000</f>
        <v>0.1452783913539685</v>
      </c>
    </row>
    <row r="38" spans="1:20" x14ac:dyDescent="0.25">
      <c r="A38" s="5">
        <v>44555</v>
      </c>
      <c r="B38">
        <v>451.9</v>
      </c>
      <c r="C38">
        <v>460.5</v>
      </c>
      <c r="D38">
        <v>447.4</v>
      </c>
      <c r="E38">
        <v>455.1</v>
      </c>
      <c r="F38">
        <v>32000.055</v>
      </c>
      <c r="G38">
        <v>455.1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0.17557251908397437</v>
      </c>
      <c r="Q38">
        <f t="shared" ref="Q38" si="166">F38*P38</f>
        <v>5618.3302671757292</v>
      </c>
      <c r="R38">
        <f t="shared" ref="R38" si="167">R39+Q38</f>
        <v>14516510.100171622</v>
      </c>
      <c r="S38">
        <f t="shared" ref="S38" si="168">R38/100000</f>
        <v>145.16510100171621</v>
      </c>
      <c r="T38">
        <f t="shared" ref="T38" si="169">S38/1000</f>
        <v>0.1451651010017162</v>
      </c>
    </row>
    <row r="39" spans="1:20" x14ac:dyDescent="0.25">
      <c r="A39" s="5">
        <v>44554</v>
      </c>
      <c r="B39">
        <v>455.7</v>
      </c>
      <c r="C39">
        <v>461.2</v>
      </c>
      <c r="D39">
        <v>448.5</v>
      </c>
      <c r="E39">
        <v>451.8</v>
      </c>
      <c r="F39">
        <v>47096.68</v>
      </c>
      <c r="G39">
        <v>451.8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-0.48031496062991902</v>
      </c>
      <c r="Q39">
        <f t="shared" ref="Q39" si="171">F39*P39</f>
        <v>-22621.239999999896</v>
      </c>
      <c r="R39">
        <f t="shared" ref="R39" si="172">R40+Q39</f>
        <v>14510891.769904446</v>
      </c>
      <c r="S39">
        <f t="shared" ref="S39" si="173">R39/100000</f>
        <v>145.10891769904447</v>
      </c>
      <c r="T39">
        <f t="shared" ref="T39" si="174">S39/1000</f>
        <v>0.14510891769904447</v>
      </c>
    </row>
    <row r="40" spans="1:20" x14ac:dyDescent="0.25">
      <c r="A40" s="5">
        <v>44553</v>
      </c>
      <c r="B40">
        <v>438.1</v>
      </c>
      <c r="C40">
        <v>458.4</v>
      </c>
      <c r="D40">
        <v>434.4</v>
      </c>
      <c r="E40">
        <v>455.6</v>
      </c>
      <c r="F40">
        <v>50587.851000000002</v>
      </c>
      <c r="G40">
        <v>455.6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0.76666666666667049</v>
      </c>
      <c r="Q40">
        <f t="shared" ref="Q40" si="176">F40*P40</f>
        <v>38784.019100000194</v>
      </c>
      <c r="R40">
        <f t="shared" ref="R40" si="177">R41+Q40</f>
        <v>14533513.009904446</v>
      </c>
      <c r="S40">
        <f t="shared" ref="S40" si="178">R40/100000</f>
        <v>145.33513009904445</v>
      </c>
      <c r="T40">
        <f t="shared" ref="T40" si="179">S40/1000</f>
        <v>0.14533513009904445</v>
      </c>
    </row>
    <row r="41" spans="1:20" x14ac:dyDescent="0.25">
      <c r="A41" s="5">
        <v>44552</v>
      </c>
      <c r="B41">
        <v>437.7</v>
      </c>
      <c r="C41">
        <v>447.1</v>
      </c>
      <c r="D41">
        <v>434.6</v>
      </c>
      <c r="E41">
        <v>438.1</v>
      </c>
      <c r="F41">
        <v>41487.241999999998</v>
      </c>
      <c r="G41">
        <v>438.1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-0.44</v>
      </c>
      <c r="Q41">
        <f t="shared" ref="Q41" si="181">F41*P41</f>
        <v>-18254.386480000001</v>
      </c>
      <c r="R41">
        <f t="shared" ref="R41" si="182">R42+Q41</f>
        <v>14494728.990804445</v>
      </c>
      <c r="S41">
        <f t="shared" ref="S41" si="183">R41/100000</f>
        <v>144.94728990804444</v>
      </c>
      <c r="T41">
        <f t="shared" ref="T41" si="184">S41/1000</f>
        <v>0.14494728990804445</v>
      </c>
    </row>
    <row r="42" spans="1:20" x14ac:dyDescent="0.25">
      <c r="A42" s="5">
        <v>44551</v>
      </c>
      <c r="B42">
        <v>430.2</v>
      </c>
      <c r="C42">
        <v>440.7</v>
      </c>
      <c r="D42">
        <v>426.7</v>
      </c>
      <c r="E42">
        <v>437.7</v>
      </c>
      <c r="F42">
        <v>46349.447999999997</v>
      </c>
      <c r="G42">
        <v>437.7</v>
      </c>
      <c r="L42" t="s">
        <v>7</v>
      </c>
      <c r="M42" t="s">
        <v>7</v>
      </c>
      <c r="N42" t="s">
        <v>8</v>
      </c>
      <c r="P42">
        <f t="shared" ref="P42" si="185">IF(C42=D42,0,((E42-D42)-(C42-E42))/(C42-D42))</f>
        <v>0.5714285714285714</v>
      </c>
      <c r="Q42">
        <f t="shared" ref="Q42" si="186">F42*P42</f>
        <v>26485.398857142853</v>
      </c>
      <c r="R42">
        <f t="shared" ref="R42" si="187">R43+Q42</f>
        <v>14512983.377284445</v>
      </c>
      <c r="S42">
        <f t="shared" ref="S42" si="188">R42/100000</f>
        <v>145.12983377284445</v>
      </c>
      <c r="T42">
        <f t="shared" ref="T42" si="189">S42/1000</f>
        <v>0.14512983377284444</v>
      </c>
    </row>
    <row r="43" spans="1:20" x14ac:dyDescent="0.25">
      <c r="A43" s="5">
        <v>44550</v>
      </c>
      <c r="B43">
        <v>432.7</v>
      </c>
      <c r="C43">
        <v>440</v>
      </c>
      <c r="D43">
        <v>419</v>
      </c>
      <c r="E43">
        <v>430.2</v>
      </c>
      <c r="F43">
        <v>61836.245999999999</v>
      </c>
      <c r="G43">
        <v>430.2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6.6666666666665583E-2</v>
      </c>
      <c r="Q43">
        <f t="shared" ref="Q43" si="191">F43*P43</f>
        <v>4122.4163999999328</v>
      </c>
      <c r="R43">
        <f t="shared" ref="R43" si="192">R44+Q43</f>
        <v>14486497.978427302</v>
      </c>
      <c r="S43">
        <f t="shared" ref="S43" si="193">R43/100000</f>
        <v>144.86497978427303</v>
      </c>
      <c r="T43">
        <f t="shared" ref="T43" si="194">S43/1000</f>
        <v>0.14486497978427304</v>
      </c>
    </row>
    <row r="44" spans="1:20" x14ac:dyDescent="0.25">
      <c r="A44" s="5">
        <v>44549</v>
      </c>
      <c r="B44">
        <v>435.7</v>
      </c>
      <c r="C44">
        <v>445.5</v>
      </c>
      <c r="D44">
        <v>431.8</v>
      </c>
      <c r="E44">
        <v>432.8</v>
      </c>
      <c r="F44">
        <v>45051.368999999999</v>
      </c>
      <c r="G44">
        <v>432.8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-0.85401459854014583</v>
      </c>
      <c r="Q44">
        <f t="shared" ref="Q44" si="196">F44*P44</f>
        <v>-38474.526810218973</v>
      </c>
      <c r="R44">
        <f t="shared" ref="R44" si="197">R45+Q44</f>
        <v>14482375.562027302</v>
      </c>
      <c r="S44">
        <f t="shared" ref="S44" si="198">R44/100000</f>
        <v>144.823755620273</v>
      </c>
      <c r="T44">
        <f t="shared" ref="T44" si="199">S44/1000</f>
        <v>0.144823755620273</v>
      </c>
    </row>
    <row r="45" spans="1:20" x14ac:dyDescent="0.25">
      <c r="A45" s="5">
        <v>44548</v>
      </c>
      <c r="B45">
        <v>424.6</v>
      </c>
      <c r="C45">
        <v>439.3</v>
      </c>
      <c r="D45">
        <v>419</v>
      </c>
      <c r="E45">
        <v>435.7</v>
      </c>
      <c r="F45">
        <v>43400.341</v>
      </c>
      <c r="G45">
        <v>435.7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0.64532019704433297</v>
      </c>
      <c r="Q45">
        <f t="shared" ref="Q45" si="201">F45*P45</f>
        <v>28007.116605911244</v>
      </c>
      <c r="R45">
        <f t="shared" ref="R45" si="202">R46+Q45</f>
        <v>14520850.088837521</v>
      </c>
      <c r="S45">
        <f t="shared" ref="S45" si="203">R45/100000</f>
        <v>145.2085008883752</v>
      </c>
      <c r="T45">
        <f t="shared" ref="T45" si="204">S45/1000</f>
        <v>0.1452085008883752</v>
      </c>
    </row>
    <row r="46" spans="1:20" x14ac:dyDescent="0.25">
      <c r="A46" s="5">
        <v>44547</v>
      </c>
      <c r="B46">
        <v>438.2</v>
      </c>
      <c r="C46">
        <v>441.5</v>
      </c>
      <c r="D46">
        <v>417.7</v>
      </c>
      <c r="E46">
        <v>424.5</v>
      </c>
      <c r="F46">
        <v>60266.622000000003</v>
      </c>
      <c r="G46">
        <v>424.5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-0.42857142857142788</v>
      </c>
      <c r="Q46">
        <f t="shared" ref="Q46" si="206">F46*P46</f>
        <v>-25828.552285714246</v>
      </c>
      <c r="R46">
        <f t="shared" ref="R46" si="207">R47+Q46</f>
        <v>14492842.97223161</v>
      </c>
      <c r="S46">
        <f t="shared" ref="S46" si="208">R46/100000</f>
        <v>144.92842972231611</v>
      </c>
      <c r="T46">
        <f t="shared" ref="T46" si="209">S46/1000</f>
        <v>0.14492842972231612</v>
      </c>
    </row>
    <row r="47" spans="1:20" x14ac:dyDescent="0.25">
      <c r="A47" s="5">
        <v>44546</v>
      </c>
      <c r="B47">
        <v>447.7</v>
      </c>
      <c r="C47">
        <v>454.3</v>
      </c>
      <c r="D47">
        <v>437.1</v>
      </c>
      <c r="E47">
        <v>438.3</v>
      </c>
      <c r="F47">
        <v>51300.637000000002</v>
      </c>
      <c r="G47">
        <v>438.3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-0.86046511627907096</v>
      </c>
      <c r="Q47">
        <f t="shared" ref="Q47" si="211">F47*P47</f>
        <v>-44142.408581395415</v>
      </c>
      <c r="R47">
        <f t="shared" ref="R47" si="212">R48+Q47</f>
        <v>14518671.524517324</v>
      </c>
      <c r="S47">
        <f t="shared" ref="S47" si="213">R47/100000</f>
        <v>145.18671524517325</v>
      </c>
      <c r="T47">
        <f t="shared" ref="T47" si="214">S47/1000</f>
        <v>0.14518671524517324</v>
      </c>
    </row>
    <row r="48" spans="1:20" x14ac:dyDescent="0.25">
      <c r="A48" s="5">
        <v>44545</v>
      </c>
      <c r="B48">
        <v>436.7</v>
      </c>
      <c r="C48">
        <v>450</v>
      </c>
      <c r="D48">
        <v>416.7</v>
      </c>
      <c r="E48">
        <v>447.6</v>
      </c>
      <c r="F48">
        <v>93653.304000000004</v>
      </c>
      <c r="G48">
        <v>447.6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0.85585585585585722</v>
      </c>
      <c r="Q48">
        <f t="shared" ref="Q48" si="216">F48*P48</f>
        <v>80153.728648648786</v>
      </c>
      <c r="R48">
        <f t="shared" ref="R48" si="217">R49+Q48</f>
        <v>14562813.933098719</v>
      </c>
      <c r="S48">
        <f t="shared" ref="S48" si="218">R48/100000</f>
        <v>145.62813933098718</v>
      </c>
      <c r="T48">
        <f t="shared" ref="T48" si="219">S48/1000</f>
        <v>0.14562813933098717</v>
      </c>
    </row>
    <row r="49" spans="1:20" x14ac:dyDescent="0.25">
      <c r="A49" s="5">
        <v>44544</v>
      </c>
      <c r="B49">
        <v>421.9</v>
      </c>
      <c r="C49">
        <v>441.9</v>
      </c>
      <c r="D49">
        <v>418.5</v>
      </c>
      <c r="E49">
        <v>436.8</v>
      </c>
      <c r="F49">
        <v>94455.323000000004</v>
      </c>
      <c r="G49">
        <v>436.8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0.56410256410256654</v>
      </c>
      <c r="Q49">
        <f t="shared" ref="Q49" si="221">F49*P49</f>
        <v>53282.489897436128</v>
      </c>
      <c r="R49">
        <f t="shared" ref="R49" si="222">R50+Q49</f>
        <v>14482660.204450069</v>
      </c>
      <c r="S49">
        <f t="shared" ref="S49" si="223">R49/100000</f>
        <v>144.8266020445007</v>
      </c>
      <c r="T49">
        <f t="shared" ref="T49" si="224">S49/1000</f>
        <v>0.14482660204450071</v>
      </c>
    </row>
    <row r="50" spans="1:20" x14ac:dyDescent="0.25">
      <c r="A50" s="5">
        <v>44543</v>
      </c>
      <c r="B50">
        <v>457.9</v>
      </c>
      <c r="C50">
        <v>460.3</v>
      </c>
      <c r="D50">
        <v>414.3</v>
      </c>
      <c r="E50">
        <v>421.8</v>
      </c>
      <c r="F50">
        <v>99442.494999999995</v>
      </c>
      <c r="G50">
        <v>421.8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-0.67391304347826086</v>
      </c>
      <c r="Q50">
        <f t="shared" ref="Q50" si="226">F50*P50</f>
        <v>-67015.594456521736</v>
      </c>
      <c r="R50">
        <f t="shared" ref="R50" si="227">R51+Q50</f>
        <v>14429377.714552633</v>
      </c>
      <c r="S50">
        <f t="shared" ref="S50" si="228">R50/100000</f>
        <v>144.29377714552635</v>
      </c>
      <c r="T50">
        <f t="shared" ref="T50" si="229">S50/1000</f>
        <v>0.14429377714552635</v>
      </c>
    </row>
    <row r="51" spans="1:20" x14ac:dyDescent="0.25">
      <c r="A51" s="5">
        <v>44542</v>
      </c>
      <c r="B51">
        <v>459.4</v>
      </c>
      <c r="C51">
        <v>462.5</v>
      </c>
      <c r="D51">
        <v>441.9</v>
      </c>
      <c r="E51">
        <v>458</v>
      </c>
      <c r="F51">
        <v>51546.569000000003</v>
      </c>
      <c r="G51">
        <v>458</v>
      </c>
      <c r="L51" t="s">
        <v>7</v>
      </c>
      <c r="M51" t="s">
        <v>8</v>
      </c>
      <c r="N51" t="s">
        <v>8</v>
      </c>
      <c r="P51">
        <f t="shared" ref="P51" si="230">IF(C51=D51,0,((E51-D51)-(C51-E51))/(C51-D51))</f>
        <v>0.56310679611650538</v>
      </c>
      <c r="Q51">
        <f t="shared" ref="Q51" si="231">F51*P51</f>
        <v>29026.223320388377</v>
      </c>
      <c r="R51">
        <f t="shared" ref="R51" si="232">R52+Q51</f>
        <v>14496393.309009155</v>
      </c>
      <c r="S51">
        <f t="shared" ref="S51" si="233">R51/100000</f>
        <v>144.96393309009156</v>
      </c>
      <c r="T51">
        <f t="shared" ref="T51" si="234">S51/1000</f>
        <v>0.14496393309009156</v>
      </c>
    </row>
    <row r="52" spans="1:20" x14ac:dyDescent="0.25">
      <c r="A52" s="5">
        <v>44541</v>
      </c>
      <c r="B52">
        <v>438.1</v>
      </c>
      <c r="C52">
        <v>445.7</v>
      </c>
      <c r="D52">
        <v>431.8</v>
      </c>
      <c r="E52">
        <v>444.3</v>
      </c>
      <c r="F52">
        <v>7338.6980000000003</v>
      </c>
      <c r="G52">
        <v>444.3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0.79856115107913961</v>
      </c>
      <c r="Q52">
        <f t="shared" ref="Q52" si="236">F52*P52</f>
        <v>5860.3991223021803</v>
      </c>
      <c r="R52">
        <f t="shared" ref="R52" si="237">R53+Q52</f>
        <v>14467367.085688766</v>
      </c>
      <c r="S52">
        <f t="shared" ref="S52" si="238">R52/100000</f>
        <v>144.67367085688767</v>
      </c>
      <c r="T52">
        <f t="shared" ref="T52" si="239">S52/1000</f>
        <v>0.14467367085688768</v>
      </c>
    </row>
    <row r="53" spans="1:20" x14ac:dyDescent="0.25">
      <c r="A53" s="5">
        <v>44540</v>
      </c>
      <c r="B53">
        <v>448.8</v>
      </c>
      <c r="C53">
        <v>468.8</v>
      </c>
      <c r="D53">
        <v>436.7</v>
      </c>
      <c r="E53">
        <v>438.6</v>
      </c>
      <c r="F53">
        <v>116635.429</v>
      </c>
      <c r="G53">
        <v>438.6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-0.88161993769470204</v>
      </c>
      <c r="Q53">
        <f t="shared" ref="Q53" si="241">F53*P53</f>
        <v>-102828.11964797485</v>
      </c>
      <c r="R53">
        <f t="shared" ref="R53" si="242">R54+Q53</f>
        <v>14461506.686566465</v>
      </c>
      <c r="S53">
        <f t="shared" ref="S53" si="243">R53/100000</f>
        <v>144.61506686566466</v>
      </c>
      <c r="T53">
        <f t="shared" ref="T53" si="244">S53/1000</f>
        <v>0.14461506686566467</v>
      </c>
    </row>
    <row r="54" spans="1:20" x14ac:dyDescent="0.25">
      <c r="A54" s="5">
        <v>44539</v>
      </c>
      <c r="B54">
        <v>480.7</v>
      </c>
      <c r="C54">
        <v>483</v>
      </c>
      <c r="D54">
        <v>448</v>
      </c>
      <c r="E54">
        <v>448.6</v>
      </c>
      <c r="F54">
        <v>108170.72500000001</v>
      </c>
      <c r="G54">
        <v>448.6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-0.96571428571428442</v>
      </c>
      <c r="Q54">
        <f t="shared" ref="Q54" si="246">F54*P54</f>
        <v>-104462.01442857129</v>
      </c>
      <c r="R54">
        <f t="shared" ref="R54" si="247">R55+Q54</f>
        <v>14564334.806214439</v>
      </c>
      <c r="S54">
        <f t="shared" ref="S54" si="248">R54/100000</f>
        <v>145.64334806214438</v>
      </c>
      <c r="T54">
        <f t="shared" ref="T54" si="249">S54/1000</f>
        <v>0.14564334806214438</v>
      </c>
    </row>
    <row r="55" spans="1:20" x14ac:dyDescent="0.25">
      <c r="A55" s="5">
        <v>44538</v>
      </c>
      <c r="B55">
        <v>474.1</v>
      </c>
      <c r="C55">
        <v>488.2</v>
      </c>
      <c r="D55">
        <v>463.4</v>
      </c>
      <c r="E55">
        <v>480.4</v>
      </c>
      <c r="F55">
        <v>116410.626</v>
      </c>
      <c r="G55">
        <v>480.4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0.37096774193548326</v>
      </c>
      <c r="Q55">
        <f t="shared" ref="Q55" si="251">F55*P55</f>
        <v>43184.587064516061</v>
      </c>
      <c r="R55">
        <f t="shared" ref="R55" si="252">R56+Q55</f>
        <v>14668796.82064301</v>
      </c>
      <c r="S55">
        <f t="shared" ref="S55" si="253">R55/100000</f>
        <v>146.6879682064301</v>
      </c>
      <c r="T55">
        <f t="shared" ref="T55" si="254">S55/1000</f>
        <v>0.1466879682064301</v>
      </c>
    </row>
    <row r="56" spans="1:20" x14ac:dyDescent="0.25">
      <c r="A56" s="5">
        <v>44537</v>
      </c>
      <c r="B56">
        <v>474.5</v>
      </c>
      <c r="C56">
        <v>502.4</v>
      </c>
      <c r="D56">
        <v>463.7</v>
      </c>
      <c r="E56">
        <v>474.3</v>
      </c>
      <c r="F56">
        <v>146890.136</v>
      </c>
      <c r="G56">
        <v>474.3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-0.45219638242893923</v>
      </c>
      <c r="Q56">
        <f t="shared" ref="Q56" si="256">F56*P56</f>
        <v>-66423.188113694894</v>
      </c>
      <c r="R56">
        <f t="shared" ref="R56" si="257">R57+Q56</f>
        <v>14625612.233578494</v>
      </c>
      <c r="S56">
        <f t="shared" ref="S56" si="258">R56/100000</f>
        <v>146.25612233578494</v>
      </c>
      <c r="T56">
        <f t="shared" ref="T56" si="259">S56/1000</f>
        <v>0.14625612233578494</v>
      </c>
    </row>
    <row r="57" spans="1:20" x14ac:dyDescent="0.25">
      <c r="A57" s="5">
        <v>44536</v>
      </c>
      <c r="B57">
        <v>453.2</v>
      </c>
      <c r="C57">
        <v>480.4</v>
      </c>
      <c r="D57">
        <v>418.8</v>
      </c>
      <c r="E57">
        <v>474.8</v>
      </c>
      <c r="F57">
        <v>183974.198</v>
      </c>
      <c r="G57">
        <v>474.8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0.81818181818181923</v>
      </c>
      <c r="Q57">
        <f t="shared" ref="Q57" si="261">F57*P57</f>
        <v>150524.34381818201</v>
      </c>
      <c r="R57">
        <f t="shared" ref="R57" si="262">R58+Q57</f>
        <v>14692035.421692189</v>
      </c>
      <c r="S57">
        <f t="shared" ref="S57" si="263">R57/100000</f>
        <v>146.92035421692188</v>
      </c>
      <c r="T57">
        <f t="shared" ref="T57" si="264">S57/1000</f>
        <v>0.14692035421692187</v>
      </c>
    </row>
    <row r="58" spans="1:20" x14ac:dyDescent="0.25">
      <c r="A58" s="5">
        <v>44535</v>
      </c>
      <c r="B58">
        <v>473.1</v>
      </c>
      <c r="C58">
        <v>477.8</v>
      </c>
      <c r="D58">
        <v>434.7</v>
      </c>
      <c r="E58">
        <v>453</v>
      </c>
      <c r="F58">
        <v>164903.079</v>
      </c>
      <c r="G58">
        <v>453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-0.15081206496519714</v>
      </c>
      <c r="Q58">
        <f t="shared" ref="Q58" si="266">F58*P58</f>
        <v>-24869.373863109035</v>
      </c>
      <c r="R58">
        <f t="shared" ref="R58" si="267">R59+Q58</f>
        <v>14541511.077874007</v>
      </c>
      <c r="S58">
        <f t="shared" ref="S58" si="268">R58/100000</f>
        <v>145.41511077874006</v>
      </c>
      <c r="T58">
        <f t="shared" ref="T58" si="269">S58/1000</f>
        <v>0.14541511077874006</v>
      </c>
    </row>
    <row r="59" spans="1:20" x14ac:dyDescent="0.25">
      <c r="A59" s="5">
        <v>44534</v>
      </c>
      <c r="B59">
        <v>532.4</v>
      </c>
      <c r="C59">
        <v>534.79999999999995</v>
      </c>
      <c r="D59">
        <v>344.1</v>
      </c>
      <c r="E59">
        <v>473.2</v>
      </c>
      <c r="F59">
        <v>454263.13227</v>
      </c>
      <c r="G59">
        <v>473.2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0.35395909805977988</v>
      </c>
      <c r="Q59">
        <f t="shared" ref="Q59" si="271">F59*P59</f>
        <v>160790.56858009967</v>
      </c>
      <c r="R59">
        <f t="shared" ref="R59" si="272">R60+Q59</f>
        <v>14566380.451737115</v>
      </c>
      <c r="S59">
        <f t="shared" ref="S59" si="273">R59/100000</f>
        <v>145.66380451737115</v>
      </c>
      <c r="T59">
        <f t="shared" ref="T59" si="274">S59/1000</f>
        <v>0.14566380451737115</v>
      </c>
    </row>
    <row r="60" spans="1:20" x14ac:dyDescent="0.25">
      <c r="A60" s="5">
        <v>44533</v>
      </c>
      <c r="B60">
        <v>561.6</v>
      </c>
      <c r="C60">
        <v>567.79999999999995</v>
      </c>
      <c r="D60">
        <v>518.70000000000005</v>
      </c>
      <c r="E60">
        <v>532.4</v>
      </c>
      <c r="F60">
        <v>84425.414999999994</v>
      </c>
      <c r="G60">
        <v>532.4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-0.44195519348269013</v>
      </c>
      <c r="Q60">
        <f t="shared" ref="Q60" si="276">F60*P60</f>
        <v>-37312.250621181411</v>
      </c>
      <c r="R60">
        <f t="shared" ref="R60" si="277">R61+Q60</f>
        <v>14405589.883157015</v>
      </c>
      <c r="S60">
        <f t="shared" ref="S60" si="278">R60/100000</f>
        <v>144.05589883157015</v>
      </c>
      <c r="T60">
        <f t="shared" ref="T60" si="279">S60/1000</f>
        <v>0.14405589883157013</v>
      </c>
    </row>
    <row r="61" spans="1:20" x14ac:dyDescent="0.25">
      <c r="A61" s="5">
        <v>44532</v>
      </c>
      <c r="B61">
        <v>570.5</v>
      </c>
      <c r="C61">
        <v>574.6</v>
      </c>
      <c r="D61">
        <v>558.1</v>
      </c>
      <c r="E61">
        <v>561.70000000000005</v>
      </c>
      <c r="F61">
        <v>58107.089</v>
      </c>
      <c r="G61">
        <v>561.70000000000005</v>
      </c>
      <c r="L61" t="s">
        <v>8</v>
      </c>
      <c r="M61" t="s">
        <v>7</v>
      </c>
      <c r="N61" t="s">
        <v>7</v>
      </c>
      <c r="P61">
        <f t="shared" ref="P61" si="280">IF(C61=D61,0,((E61-D61)-(C61-E61))/(C61-D61))</f>
        <v>-0.56363636363636083</v>
      </c>
      <c r="Q61">
        <f t="shared" ref="Q61" si="281">F61*P61</f>
        <v>-32751.268345454384</v>
      </c>
      <c r="R61">
        <f t="shared" ref="R61" si="282">R62+Q61</f>
        <v>14442902.133778196</v>
      </c>
      <c r="S61">
        <f t="shared" ref="S61" si="283">R61/100000</f>
        <v>144.42902133778196</v>
      </c>
      <c r="T61">
        <f t="shared" ref="T61" si="284">S61/1000</f>
        <v>0.14442902133778196</v>
      </c>
    </row>
    <row r="62" spans="1:20" x14ac:dyDescent="0.25">
      <c r="A62" s="5">
        <v>44531</v>
      </c>
      <c r="B62">
        <v>570.4</v>
      </c>
      <c r="C62">
        <v>586.70000000000005</v>
      </c>
      <c r="D62">
        <v>565</v>
      </c>
      <c r="E62">
        <v>570.79999999999995</v>
      </c>
      <c r="F62">
        <v>63632.866999999998</v>
      </c>
      <c r="G62">
        <v>570.79999999999995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-0.46543778801843849</v>
      </c>
      <c r="Q62">
        <f t="shared" ref="Q62" si="286">F62*P62</f>
        <v>-29617.14086175149</v>
      </c>
      <c r="R62">
        <f t="shared" ref="R62" si="287">R63+Q62</f>
        <v>14475653.402123651</v>
      </c>
      <c r="S62">
        <f t="shared" ref="S62" si="288">R62/100000</f>
        <v>144.75653402123652</v>
      </c>
      <c r="T62">
        <f t="shared" ref="T62" si="289">S62/1000</f>
        <v>0.1447565340212365</v>
      </c>
    </row>
    <row r="63" spans="1:20" x14ac:dyDescent="0.25">
      <c r="A63" s="5">
        <v>44530</v>
      </c>
      <c r="B63">
        <v>575</v>
      </c>
      <c r="C63">
        <v>587.70000000000005</v>
      </c>
      <c r="D63">
        <v>556.70000000000005</v>
      </c>
      <c r="E63">
        <v>570.4</v>
      </c>
      <c r="F63">
        <v>97384.505000000005</v>
      </c>
      <c r="G63">
        <v>570.4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-0.11612903225806892</v>
      </c>
      <c r="Q63">
        <f t="shared" ref="Q63" si="291">F63*P63</f>
        <v>-11309.168322581074</v>
      </c>
      <c r="R63">
        <f t="shared" ref="R63" si="292">R64+Q63</f>
        <v>14505270.542985402</v>
      </c>
      <c r="S63">
        <f t="shared" ref="S63" si="293">R63/100000</f>
        <v>145.05270542985403</v>
      </c>
      <c r="T63">
        <f t="shared" ref="T63" si="294">S63/1000</f>
        <v>0.14505270542985402</v>
      </c>
    </row>
    <row r="64" spans="1:20" x14ac:dyDescent="0.25">
      <c r="A64" s="5">
        <v>44529</v>
      </c>
      <c r="B64">
        <v>568.9</v>
      </c>
      <c r="C64">
        <v>581.4</v>
      </c>
      <c r="D64">
        <v>557</v>
      </c>
      <c r="E64">
        <v>574.9</v>
      </c>
      <c r="F64">
        <v>80606.457999999999</v>
      </c>
      <c r="G64">
        <v>574.9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0.46721311475409788</v>
      </c>
      <c r="Q64">
        <f t="shared" ref="Q64" si="296">F64*P64</f>
        <v>37660.394311475371</v>
      </c>
      <c r="R64">
        <f t="shared" ref="R64" si="297">R65+Q64</f>
        <v>14516579.711307984</v>
      </c>
      <c r="S64">
        <f t="shared" ref="S64" si="298">R64/100000</f>
        <v>145.16579711307983</v>
      </c>
      <c r="T64">
        <f t="shared" ref="T64" si="299">S64/1000</f>
        <v>0.14516579711307984</v>
      </c>
    </row>
    <row r="65" spans="1:20" x14ac:dyDescent="0.25">
      <c r="A65" s="5">
        <v>44528</v>
      </c>
      <c r="B65">
        <v>562.4</v>
      </c>
      <c r="C65">
        <v>569.20000000000005</v>
      </c>
      <c r="D65">
        <v>530.79999999999995</v>
      </c>
      <c r="E65">
        <v>568.70000000000005</v>
      </c>
      <c r="F65">
        <v>78454.332999999999</v>
      </c>
      <c r="G65">
        <v>568.70000000000005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0.97395833333333337</v>
      </c>
      <c r="Q65">
        <f t="shared" ref="Q65" si="301">F65*P65</f>
        <v>76411.251411458332</v>
      </c>
      <c r="R65">
        <f t="shared" ref="R65" si="302">R66+Q65</f>
        <v>14478919.316996509</v>
      </c>
      <c r="S65">
        <f t="shared" ref="S65" si="303">R65/100000</f>
        <v>144.7891931699651</v>
      </c>
      <c r="T65">
        <f t="shared" ref="T65" si="304">S65/1000</f>
        <v>0.14478919316996511</v>
      </c>
    </row>
    <row r="66" spans="1:20" x14ac:dyDescent="0.25">
      <c r="A66" s="5">
        <v>44527</v>
      </c>
      <c r="B66">
        <v>557.1</v>
      </c>
      <c r="C66">
        <v>573.4</v>
      </c>
      <c r="D66">
        <v>554.9</v>
      </c>
      <c r="E66">
        <v>562.70000000000005</v>
      </c>
      <c r="F66">
        <v>55251.042000000001</v>
      </c>
      <c r="G66">
        <v>562.70000000000005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-0.15675675675674938</v>
      </c>
      <c r="Q66">
        <f t="shared" ref="Q66" si="306">F66*P66</f>
        <v>-8660.9741513509434</v>
      </c>
      <c r="R66">
        <f t="shared" ref="R66" si="307">R67+Q66</f>
        <v>14402508.065585051</v>
      </c>
      <c r="S66">
        <f t="shared" ref="S66" si="308">R66/100000</f>
        <v>144.0250806558505</v>
      </c>
      <c r="T66">
        <f t="shared" ref="T66" si="309">S66/1000</f>
        <v>0.14402508065585051</v>
      </c>
    </row>
    <row r="67" spans="1:20" x14ac:dyDescent="0.25">
      <c r="A67" s="5">
        <v>44526</v>
      </c>
      <c r="B67">
        <v>616.70000000000005</v>
      </c>
      <c r="C67">
        <v>618.70000000000005</v>
      </c>
      <c r="D67">
        <v>540</v>
      </c>
      <c r="E67">
        <v>557.29999999999995</v>
      </c>
      <c r="F67">
        <v>238191.96100000001</v>
      </c>
      <c r="G67">
        <v>557.29999999999995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-0.56035578144854015</v>
      </c>
      <c r="Q67">
        <f t="shared" ref="Q67" si="311">F67*P67</f>
        <v>-133472.2424409152</v>
      </c>
      <c r="R67">
        <f t="shared" ref="R67" si="312">R68+Q67</f>
        <v>14411169.039736401</v>
      </c>
      <c r="S67">
        <f t="shared" ref="S67" si="313">R67/100000</f>
        <v>144.11169039736401</v>
      </c>
      <c r="T67">
        <f t="shared" ref="T67" si="314">S67/1000</f>
        <v>0.14411169039736402</v>
      </c>
    </row>
    <row r="68" spans="1:20" x14ac:dyDescent="0.25">
      <c r="A68" s="5">
        <v>44525</v>
      </c>
      <c r="B68">
        <v>618.6</v>
      </c>
      <c r="C68">
        <v>635.9</v>
      </c>
      <c r="D68">
        <v>607.5</v>
      </c>
      <c r="E68">
        <v>616.79999999999995</v>
      </c>
      <c r="F68">
        <v>119004.643</v>
      </c>
      <c r="G68">
        <v>616.79999999999995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-0.34507042253521397</v>
      </c>
      <c r="Q68">
        <f t="shared" ref="Q68" si="316">F68*P68</f>
        <v>-41064.982443662295</v>
      </c>
      <c r="R68">
        <f t="shared" ref="R68" si="317">R69+Q68</f>
        <v>14544641.282177316</v>
      </c>
      <c r="S68">
        <f t="shared" ref="S68" si="318">R68/100000</f>
        <v>145.44641282177315</v>
      </c>
      <c r="T68">
        <f t="shared" ref="T68" si="319">S68/1000</f>
        <v>0.14544641282177315</v>
      </c>
    </row>
    <row r="69" spans="1:20" x14ac:dyDescent="0.25">
      <c r="A69" s="5">
        <v>44524</v>
      </c>
      <c r="B69">
        <v>571</v>
      </c>
      <c r="C69">
        <v>586.20000000000005</v>
      </c>
      <c r="D69">
        <v>558.4</v>
      </c>
      <c r="E69">
        <v>579.1</v>
      </c>
      <c r="F69">
        <v>36689.042999999998</v>
      </c>
      <c r="G69">
        <v>579.1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0.4892086330935248</v>
      </c>
      <c r="Q69">
        <f t="shared" ref="Q69" si="321">F69*P69</f>
        <v>17948.596575539552</v>
      </c>
      <c r="R69">
        <f t="shared" ref="R69" si="322">R70+Q69</f>
        <v>14585706.264620978</v>
      </c>
      <c r="S69">
        <f t="shared" ref="S69" si="323">R69/100000</f>
        <v>145.85706264620978</v>
      </c>
      <c r="T69">
        <f t="shared" ref="T69" si="324">S69/1000</f>
        <v>0.14585706264620979</v>
      </c>
    </row>
    <row r="70" spans="1:20" x14ac:dyDescent="0.25">
      <c r="A70" s="5">
        <v>44523</v>
      </c>
      <c r="B70">
        <v>556.9</v>
      </c>
      <c r="C70">
        <v>575.6</v>
      </c>
      <c r="D70">
        <v>546.20000000000005</v>
      </c>
      <c r="E70">
        <v>571.1</v>
      </c>
      <c r="F70">
        <v>77026.051000000007</v>
      </c>
      <c r="G70">
        <v>571.1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0.69387755102040793</v>
      </c>
      <c r="Q70">
        <f t="shared" ref="Q70" si="326">F70*P70</f>
        <v>53446.647632653046</v>
      </c>
      <c r="R70">
        <f t="shared" ref="R70" si="327">R71+Q70</f>
        <v>14567757.668045439</v>
      </c>
      <c r="S70">
        <f t="shared" ref="S70" si="328">R70/100000</f>
        <v>145.67757668045439</v>
      </c>
      <c r="T70">
        <f t="shared" ref="T70" si="329">S70/1000</f>
        <v>0.14567757668045439</v>
      </c>
    </row>
    <row r="71" spans="1:20" x14ac:dyDescent="0.25">
      <c r="A71" s="5">
        <v>44522</v>
      </c>
      <c r="B71">
        <v>574.70000000000005</v>
      </c>
      <c r="C71">
        <v>578.29999999999995</v>
      </c>
      <c r="D71">
        <v>546.6</v>
      </c>
      <c r="E71">
        <v>556.9</v>
      </c>
      <c r="F71">
        <v>79429.498000000007</v>
      </c>
      <c r="G71">
        <v>556.9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-0.35015772870662609</v>
      </c>
      <c r="Q71">
        <f t="shared" ref="Q71" si="331">F71*P71</f>
        <v>-27812.852611987502</v>
      </c>
      <c r="R71">
        <f t="shared" ref="R71" si="332">R72+Q71</f>
        <v>14514311.020412786</v>
      </c>
      <c r="S71">
        <f t="shared" ref="S71" si="333">R71/100000</f>
        <v>145.14311020412785</v>
      </c>
      <c r="T71">
        <f t="shared" ref="T71" si="334">S71/1000</f>
        <v>0.14514311020412785</v>
      </c>
    </row>
    <row r="72" spans="1:20" x14ac:dyDescent="0.25">
      <c r="A72" s="5">
        <v>44521</v>
      </c>
      <c r="B72">
        <v>584.5</v>
      </c>
      <c r="C72">
        <v>585.4</v>
      </c>
      <c r="D72">
        <v>568.70000000000005</v>
      </c>
      <c r="E72">
        <v>574.4</v>
      </c>
      <c r="F72">
        <v>43043.000999999997</v>
      </c>
      <c r="G72">
        <v>574.4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-0.31736526946108323</v>
      </c>
      <c r="Q72">
        <f t="shared" ref="Q72" si="336">F72*P72</f>
        <v>-13660.353610778673</v>
      </c>
      <c r="R72">
        <f t="shared" ref="R72" si="337">R73+Q72</f>
        <v>14542123.873024773</v>
      </c>
      <c r="S72">
        <f t="shared" ref="S72" si="338">R72/100000</f>
        <v>145.42123873024772</v>
      </c>
      <c r="T72">
        <f t="shared" ref="T72" si="339">S72/1000</f>
        <v>0.14542123873024773</v>
      </c>
    </row>
    <row r="73" spans="1:20" x14ac:dyDescent="0.25">
      <c r="A73" s="5">
        <v>44520</v>
      </c>
      <c r="B73">
        <v>574.29999999999995</v>
      </c>
      <c r="C73">
        <v>588.29999999999995</v>
      </c>
      <c r="D73">
        <v>564.6</v>
      </c>
      <c r="E73">
        <v>584.5</v>
      </c>
      <c r="F73">
        <v>55870.120999999999</v>
      </c>
      <c r="G73">
        <v>584.5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0.67932489451477085</v>
      </c>
      <c r="Q73">
        <f t="shared" ref="Q73" si="341">F73*P73</f>
        <v>37953.964054852484</v>
      </c>
      <c r="R73">
        <f t="shared" ref="R73" si="342">R74+Q73</f>
        <v>14555784.226635551</v>
      </c>
      <c r="S73">
        <f t="shared" ref="S73" si="343">R73/100000</f>
        <v>145.55784226635552</v>
      </c>
      <c r="T73">
        <f t="shared" ref="T73" si="344">S73/1000</f>
        <v>0.14555784226635551</v>
      </c>
    </row>
    <row r="74" spans="1:20" x14ac:dyDescent="0.25">
      <c r="A74" s="5">
        <v>44519</v>
      </c>
      <c r="B74">
        <v>554.4</v>
      </c>
      <c r="C74">
        <v>577</v>
      </c>
      <c r="D74">
        <v>548.1</v>
      </c>
      <c r="E74">
        <v>574.29999999999995</v>
      </c>
      <c r="F74">
        <v>70640.87</v>
      </c>
      <c r="G74">
        <v>574.29999999999995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0.81314878892733233</v>
      </c>
      <c r="Q74">
        <f t="shared" ref="Q74" si="346">F74*P74</f>
        <v>57441.537889273117</v>
      </c>
      <c r="R74">
        <f t="shared" ref="R74" si="347">R75+Q74</f>
        <v>14517830.262580698</v>
      </c>
      <c r="S74">
        <f t="shared" ref="S74" si="348">R74/100000</f>
        <v>145.17830262580699</v>
      </c>
      <c r="T74">
        <f t="shared" ref="T74" si="349">S74/1000</f>
        <v>0.145178302625807</v>
      </c>
    </row>
    <row r="75" spans="1:20" x14ac:dyDescent="0.25">
      <c r="A75" s="5">
        <v>44518</v>
      </c>
      <c r="B75">
        <v>595.1</v>
      </c>
      <c r="C75">
        <v>601.9</v>
      </c>
      <c r="D75">
        <v>542.5</v>
      </c>
      <c r="E75">
        <v>554.4</v>
      </c>
      <c r="F75">
        <v>112696.84</v>
      </c>
      <c r="G75">
        <v>554.4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-0.59932659932659993</v>
      </c>
      <c r="Q75">
        <f t="shared" ref="Q75" si="351">F75*P75</f>
        <v>-67542.213872053937</v>
      </c>
      <c r="R75">
        <f t="shared" ref="R75" si="352">R76+Q75</f>
        <v>14460388.724691425</v>
      </c>
      <c r="S75">
        <f t="shared" ref="S75" si="353">R75/100000</f>
        <v>144.60388724691424</v>
      </c>
      <c r="T75">
        <f t="shared" ref="T75" si="354">S75/1000</f>
        <v>0.14460388724691425</v>
      </c>
    </row>
    <row r="76" spans="1:20" x14ac:dyDescent="0.25">
      <c r="A76" s="5">
        <v>44517</v>
      </c>
      <c r="B76">
        <v>598</v>
      </c>
      <c r="C76">
        <v>603.70000000000005</v>
      </c>
      <c r="D76">
        <v>577.4</v>
      </c>
      <c r="E76">
        <v>595</v>
      </c>
      <c r="F76">
        <v>95949.712</v>
      </c>
      <c r="G76">
        <v>595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0.33840304182509334</v>
      </c>
      <c r="Q76">
        <f t="shared" ref="Q76" si="356">F76*P76</f>
        <v>32469.674403041659</v>
      </c>
      <c r="R76">
        <f t="shared" ref="R76" si="357">R77+Q76</f>
        <v>14527930.938563479</v>
      </c>
      <c r="S76">
        <f t="shared" ref="S76" si="358">R76/100000</f>
        <v>145.2793093856348</v>
      </c>
      <c r="T76">
        <f t="shared" ref="T76" si="359">S76/1000</f>
        <v>0.1452793093856348</v>
      </c>
    </row>
    <row r="77" spans="1:20" x14ac:dyDescent="0.25">
      <c r="A77" s="5">
        <v>44516</v>
      </c>
      <c r="B77">
        <v>665.6</v>
      </c>
      <c r="C77">
        <v>665.7</v>
      </c>
      <c r="D77">
        <v>571</v>
      </c>
      <c r="E77">
        <v>597.79999999999995</v>
      </c>
      <c r="F77">
        <v>184354.63200000001</v>
      </c>
      <c r="G77">
        <v>597.79999999999995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-0.43400211193241939</v>
      </c>
      <c r="Q77">
        <f t="shared" ref="Q77" si="361">F77*P77</f>
        <v>-80010.299632523995</v>
      </c>
      <c r="R77">
        <f t="shared" ref="R77" si="362">R78+Q77</f>
        <v>14495461.264160438</v>
      </c>
      <c r="S77">
        <f t="shared" ref="S77" si="363">R77/100000</f>
        <v>144.95461264160437</v>
      </c>
      <c r="T77">
        <f t="shared" ref="T77" si="364">S77/1000</f>
        <v>0.14495461264160436</v>
      </c>
    </row>
    <row r="78" spans="1:20" x14ac:dyDescent="0.25">
      <c r="A78" s="5">
        <v>44515</v>
      </c>
      <c r="B78">
        <v>679.6</v>
      </c>
      <c r="C78">
        <v>686.3</v>
      </c>
      <c r="D78">
        <v>664.3</v>
      </c>
      <c r="E78">
        <v>665.6</v>
      </c>
      <c r="F78">
        <v>72500.055999999997</v>
      </c>
      <c r="G78">
        <v>665.6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-0.88181818181817562</v>
      </c>
      <c r="Q78">
        <f t="shared" ref="Q78" si="366">F78*P78</f>
        <v>-63931.867563635911</v>
      </c>
      <c r="R78">
        <f t="shared" ref="R78" si="367">R79+Q78</f>
        <v>14575471.563792961</v>
      </c>
      <c r="S78">
        <f t="shared" ref="S78" si="368">R78/100000</f>
        <v>145.75471563792962</v>
      </c>
      <c r="T78">
        <f t="shared" ref="T78" si="369">S78/1000</f>
        <v>0.14575471563792963</v>
      </c>
    </row>
    <row r="79" spans="1:20" x14ac:dyDescent="0.25">
      <c r="A79" s="5">
        <v>44514</v>
      </c>
      <c r="B79">
        <v>665.7</v>
      </c>
      <c r="C79">
        <v>679.6</v>
      </c>
      <c r="D79">
        <v>657.3</v>
      </c>
      <c r="E79">
        <v>679.5</v>
      </c>
      <c r="F79">
        <v>65643.815000000002</v>
      </c>
      <c r="G79">
        <v>679.5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0.99103139013452712</v>
      </c>
      <c r="Q79">
        <f t="shared" ref="Q79" si="371">F79*P79</f>
        <v>65055.081233183722</v>
      </c>
      <c r="R79">
        <f t="shared" ref="R79" si="372">R80+Q79</f>
        <v>14639403.431356596</v>
      </c>
      <c r="S79">
        <f t="shared" ref="S79" si="373">R79/100000</f>
        <v>146.39403431356595</v>
      </c>
      <c r="T79">
        <f t="shared" ref="T79" si="374">S79/1000</f>
        <v>0.14639403431356596</v>
      </c>
    </row>
    <row r="80" spans="1:20" x14ac:dyDescent="0.25">
      <c r="A80" s="5">
        <v>44513</v>
      </c>
      <c r="B80">
        <v>668.2</v>
      </c>
      <c r="C80">
        <v>670.8</v>
      </c>
      <c r="D80">
        <v>655.4</v>
      </c>
      <c r="E80">
        <v>665.6</v>
      </c>
      <c r="F80">
        <v>59366.557999999997</v>
      </c>
      <c r="G80">
        <v>665.6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0.32467532467533256</v>
      </c>
      <c r="Q80">
        <f t="shared" ref="Q80" si="376">F80*P80</f>
        <v>19274.856493506959</v>
      </c>
      <c r="R80">
        <f t="shared" ref="R80" si="377">R81+Q80</f>
        <v>14574348.350123413</v>
      </c>
      <c r="S80">
        <f t="shared" ref="S80" si="378">R80/100000</f>
        <v>145.74348350123412</v>
      </c>
      <c r="T80">
        <f t="shared" ref="T80" si="379">S80/1000</f>
        <v>0.14574348350123412</v>
      </c>
    </row>
    <row r="81" spans="1:20" x14ac:dyDescent="0.25">
      <c r="A81" s="5">
        <v>44512</v>
      </c>
      <c r="B81">
        <v>675.8</v>
      </c>
      <c r="C81">
        <v>684.5</v>
      </c>
      <c r="D81">
        <v>646.70000000000005</v>
      </c>
      <c r="E81">
        <v>668.1</v>
      </c>
      <c r="F81">
        <v>107119.819</v>
      </c>
      <c r="G81">
        <v>668.1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0.13227513227513243</v>
      </c>
      <c r="Q81">
        <f t="shared" ref="Q81" si="381">F81*P81</f>
        <v>14169.288227513245</v>
      </c>
      <c r="R81">
        <f t="shared" ref="R81" si="382">R82+Q81</f>
        <v>14555073.493629906</v>
      </c>
      <c r="S81">
        <f t="shared" ref="S81" si="383">R81/100000</f>
        <v>145.55073493629905</v>
      </c>
      <c r="T81">
        <f t="shared" ref="T81" si="384">S81/1000</f>
        <v>0.14555073493629905</v>
      </c>
    </row>
    <row r="82" spans="1:20" x14ac:dyDescent="0.25">
      <c r="A82" s="5">
        <v>44511</v>
      </c>
      <c r="B82">
        <v>662.7</v>
      </c>
      <c r="C82">
        <v>680.8</v>
      </c>
      <c r="D82">
        <v>658.4</v>
      </c>
      <c r="E82">
        <v>675.8</v>
      </c>
      <c r="F82">
        <v>93440.468999999997</v>
      </c>
      <c r="G82">
        <v>675.8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0.55357142857142816</v>
      </c>
      <c r="Q82">
        <f t="shared" ref="Q82" si="386">F82*P82</f>
        <v>51725.973910714245</v>
      </c>
      <c r="R82">
        <f t="shared" ref="R82" si="387">R83+Q82</f>
        <v>14540904.205402393</v>
      </c>
      <c r="S82">
        <f t="shared" ref="S82" si="388">R82/100000</f>
        <v>145.40904205402393</v>
      </c>
      <c r="T82">
        <f t="shared" ref="T82" si="389">S82/1000</f>
        <v>0.14540904205402394</v>
      </c>
    </row>
    <row r="83" spans="1:20" x14ac:dyDescent="0.25">
      <c r="A83" s="5">
        <v>44510</v>
      </c>
      <c r="B83">
        <v>717.4</v>
      </c>
      <c r="C83">
        <v>729.3</v>
      </c>
      <c r="D83">
        <v>643.9</v>
      </c>
      <c r="E83">
        <v>662.9</v>
      </c>
      <c r="F83">
        <v>290490.42599999998</v>
      </c>
      <c r="G83">
        <v>662.9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-0.55503512880562045</v>
      </c>
      <c r="Q83">
        <f t="shared" ref="Q83" si="391">F83*P83</f>
        <v>-161232.39101170955</v>
      </c>
      <c r="R83">
        <f t="shared" ref="R83" si="392">R84+Q83</f>
        <v>14489178.231491679</v>
      </c>
      <c r="S83">
        <f t="shared" ref="S83" si="393">R83/100000</f>
        <v>144.89178231491678</v>
      </c>
      <c r="T83">
        <f t="shared" ref="T83" si="394">S83/1000</f>
        <v>0.14489178231491678</v>
      </c>
    </row>
    <row r="84" spans="1:20" x14ac:dyDescent="0.25">
      <c r="A84" s="5">
        <v>44509</v>
      </c>
      <c r="B84">
        <v>638.4</v>
      </c>
      <c r="C84">
        <v>731.4</v>
      </c>
      <c r="D84">
        <v>636.5</v>
      </c>
      <c r="E84">
        <v>717.5</v>
      </c>
      <c r="F84">
        <v>337609.00799999997</v>
      </c>
      <c r="G84">
        <v>717.5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0.70706006322444714</v>
      </c>
      <c r="Q84">
        <f t="shared" ref="Q84" si="396">F84*P84</f>
        <v>238709.84654162286</v>
      </c>
      <c r="R84">
        <f t="shared" ref="R84" si="397">R85+Q84</f>
        <v>14650410.622503389</v>
      </c>
      <c r="S84">
        <f t="shared" ref="S84" si="398">R84/100000</f>
        <v>146.50410622503389</v>
      </c>
      <c r="T84">
        <f t="shared" ref="T84" si="399">S84/1000</f>
        <v>0.1465041062250339</v>
      </c>
    </row>
    <row r="85" spans="1:20" x14ac:dyDescent="0.25">
      <c r="A85" s="5">
        <v>44508</v>
      </c>
      <c r="B85">
        <v>600.4</v>
      </c>
      <c r="C85">
        <v>643</v>
      </c>
      <c r="D85">
        <v>598.70000000000005</v>
      </c>
      <c r="E85">
        <v>638.4</v>
      </c>
      <c r="F85">
        <v>131609.549</v>
      </c>
      <c r="G85">
        <v>638.4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0.79232505643340734</v>
      </c>
      <c r="Q85">
        <f t="shared" ref="Q85" si="401">F85*P85</f>
        <v>104277.54333860028</v>
      </c>
      <c r="R85">
        <f t="shared" ref="R85" si="402">R86+Q85</f>
        <v>14411700.775961766</v>
      </c>
      <c r="S85">
        <f t="shared" ref="S85" si="403">R85/100000</f>
        <v>144.11700775961765</v>
      </c>
      <c r="T85">
        <f t="shared" ref="T85" si="404">S85/1000</f>
        <v>0.14411700775961764</v>
      </c>
    </row>
    <row r="86" spans="1:20" x14ac:dyDescent="0.25">
      <c r="A86" s="5">
        <v>44507</v>
      </c>
      <c r="B86">
        <v>587.4</v>
      </c>
      <c r="C86">
        <v>600.5</v>
      </c>
      <c r="D86">
        <v>585.79999999999995</v>
      </c>
      <c r="E86">
        <v>600.4</v>
      </c>
      <c r="F86">
        <v>37065.57</v>
      </c>
      <c r="G86">
        <v>600.4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0.98639455782312624</v>
      </c>
      <c r="Q86">
        <f t="shared" ref="Q86" si="406">F86*P86</f>
        <v>36561.276530612136</v>
      </c>
      <c r="R86">
        <f t="shared" ref="R86" si="407">R87+Q86</f>
        <v>14307423.232623165</v>
      </c>
      <c r="S86">
        <f t="shared" ref="S86" si="408">R86/100000</f>
        <v>143.07423232623165</v>
      </c>
      <c r="T86">
        <f t="shared" ref="T86" si="409">S86/1000</f>
        <v>0.14307423232623165</v>
      </c>
    </row>
    <row r="87" spans="1:20" x14ac:dyDescent="0.25">
      <c r="A87" s="5">
        <v>44506</v>
      </c>
      <c r="B87">
        <v>597.6</v>
      </c>
      <c r="C87">
        <v>602.4</v>
      </c>
      <c r="D87">
        <v>576.20000000000005</v>
      </c>
      <c r="E87">
        <v>587.4</v>
      </c>
      <c r="F87">
        <v>51914.275999999998</v>
      </c>
      <c r="G87">
        <v>587.4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-0.14503816793893429</v>
      </c>
      <c r="Q87">
        <f t="shared" ref="Q87" si="411">F87*P87</f>
        <v>-7529.551480916185</v>
      </c>
      <c r="R87">
        <f t="shared" ref="R87" si="412">R88+Q87</f>
        <v>14270861.956092553</v>
      </c>
      <c r="S87">
        <f t="shared" ref="S87" si="413">R87/100000</f>
        <v>142.70861956092554</v>
      </c>
      <c r="T87">
        <f t="shared" ref="T87" si="414">S87/1000</f>
        <v>0.14270861956092554</v>
      </c>
    </row>
    <row r="88" spans="1:20" x14ac:dyDescent="0.25">
      <c r="A88" s="5">
        <v>44505</v>
      </c>
      <c r="B88">
        <v>595.4</v>
      </c>
      <c r="C88">
        <v>632.79999999999995</v>
      </c>
      <c r="D88">
        <v>591.6</v>
      </c>
      <c r="E88">
        <v>597.70000000000005</v>
      </c>
      <c r="F88">
        <v>163703.641</v>
      </c>
      <c r="G88">
        <v>597.70000000000005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-0.70388349514562942</v>
      </c>
      <c r="Q88">
        <f t="shared" ref="Q88" si="416">F88*P88</f>
        <v>-115228.29099514536</v>
      </c>
      <c r="R88">
        <f t="shared" ref="R88" si="417">R89+Q88</f>
        <v>14278391.507573469</v>
      </c>
      <c r="S88">
        <f t="shared" ref="S88" si="418">R88/100000</f>
        <v>142.78391507573468</v>
      </c>
      <c r="T88">
        <f t="shared" ref="T88" si="419">S88/1000</f>
        <v>0.14278391507573468</v>
      </c>
    </row>
    <row r="89" spans="1:20" x14ac:dyDescent="0.25">
      <c r="A89" s="5">
        <v>44504</v>
      </c>
      <c r="B89">
        <v>611.20000000000005</v>
      </c>
      <c r="C89">
        <v>613.20000000000005</v>
      </c>
      <c r="D89">
        <v>586.20000000000005</v>
      </c>
      <c r="E89">
        <v>595.6</v>
      </c>
      <c r="F89">
        <v>64670.836000000003</v>
      </c>
      <c r="G89">
        <v>595.6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-0.30370370370370536</v>
      </c>
      <c r="Q89">
        <f t="shared" ref="Q89" si="421">F89*P89</f>
        <v>-19640.772414814925</v>
      </c>
      <c r="R89">
        <f t="shared" ref="R89" si="422">R90+Q89</f>
        <v>14393619.798568614</v>
      </c>
      <c r="S89">
        <f t="shared" ref="S89" si="423">R89/100000</f>
        <v>143.93619798568614</v>
      </c>
      <c r="T89">
        <f t="shared" ref="T89" si="424">S89/1000</f>
        <v>0.14393619798568613</v>
      </c>
    </row>
    <row r="90" spans="1:20" x14ac:dyDescent="0.25">
      <c r="A90" s="5">
        <v>44503</v>
      </c>
      <c r="B90">
        <v>598.5</v>
      </c>
      <c r="C90">
        <v>620</v>
      </c>
      <c r="D90">
        <v>588.79999999999995</v>
      </c>
      <c r="E90">
        <v>611</v>
      </c>
      <c r="F90">
        <v>117461.92600000001</v>
      </c>
      <c r="G90">
        <v>611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0.42307692307692391</v>
      </c>
      <c r="Q90">
        <f t="shared" ref="Q90" si="426">F90*P90</f>
        <v>49695.430230769329</v>
      </c>
      <c r="R90">
        <f t="shared" ref="R90" si="427">R91+Q90</f>
        <v>14413260.570983429</v>
      </c>
      <c r="S90">
        <f t="shared" ref="S90" si="428">R90/100000</f>
        <v>144.13260570983428</v>
      </c>
      <c r="T90">
        <f t="shared" ref="T90" si="429">S90/1000</f>
        <v>0.14413260570983427</v>
      </c>
    </row>
    <row r="91" spans="1:20" x14ac:dyDescent="0.25">
      <c r="A91" s="5">
        <v>44502</v>
      </c>
      <c r="B91">
        <v>587</v>
      </c>
      <c r="C91">
        <v>608.6</v>
      </c>
      <c r="D91">
        <v>582.1</v>
      </c>
      <c r="E91">
        <v>598.4</v>
      </c>
      <c r="F91">
        <v>64432.652000000002</v>
      </c>
      <c r="G91">
        <v>598.4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0.23018867924527958</v>
      </c>
      <c r="Q91">
        <f t="shared" ref="Q91" si="431">F91*P91</f>
        <v>14831.667064150723</v>
      </c>
      <c r="R91">
        <f t="shared" ref="R91" si="432">R92+Q91</f>
        <v>14363565.14075266</v>
      </c>
      <c r="S91">
        <f t="shared" ref="S91" si="433">R91/100000</f>
        <v>143.63565140752661</v>
      </c>
      <c r="T91">
        <f t="shared" ref="T91" si="434">S91/1000</f>
        <v>0.1436356514075266</v>
      </c>
    </row>
    <row r="92" spans="1:20" x14ac:dyDescent="0.25">
      <c r="A92" s="5">
        <v>44501</v>
      </c>
      <c r="B92">
        <v>596.9</v>
      </c>
      <c r="C92">
        <v>599.6</v>
      </c>
      <c r="D92">
        <v>578.5</v>
      </c>
      <c r="E92">
        <v>586.9</v>
      </c>
      <c r="F92">
        <v>62284.449000000001</v>
      </c>
      <c r="G92">
        <v>586.9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-0.20379146919431582</v>
      </c>
      <c r="Q92">
        <f t="shared" ref="Q92" si="436">F92*P92</f>
        <v>-12693.039369668435</v>
      </c>
      <c r="R92">
        <f t="shared" ref="R92" si="437">R93+Q92</f>
        <v>14348733.473688509</v>
      </c>
      <c r="S92">
        <f t="shared" ref="S92" si="438">R92/100000</f>
        <v>143.48733473688509</v>
      </c>
      <c r="T92">
        <f t="shared" ref="T92" si="439">S92/1000</f>
        <v>0.14348733473688507</v>
      </c>
    </row>
    <row r="93" spans="1:20" x14ac:dyDescent="0.25">
      <c r="A93" s="5">
        <v>44500</v>
      </c>
      <c r="B93">
        <v>585.29999999999995</v>
      </c>
      <c r="C93">
        <v>604.9</v>
      </c>
      <c r="D93">
        <v>573.9</v>
      </c>
      <c r="E93">
        <v>596.9</v>
      </c>
      <c r="F93">
        <v>84296.587</v>
      </c>
      <c r="G93">
        <v>596.9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0.4838709677419355</v>
      </c>
      <c r="Q93">
        <f t="shared" ref="Q93" si="441">F93*P93</f>
        <v>40788.671129032256</v>
      </c>
      <c r="R93">
        <f t="shared" ref="R93" si="442">R94+Q93</f>
        <v>14361426.513058178</v>
      </c>
      <c r="S93">
        <f t="shared" ref="S93" si="443">R93/100000</f>
        <v>143.61426513058177</v>
      </c>
      <c r="T93">
        <f t="shared" ref="T93" si="444">S93/1000</f>
        <v>0.14361426513058176</v>
      </c>
    </row>
    <row r="94" spans="1:20" x14ac:dyDescent="0.25">
      <c r="A94" s="5">
        <v>44499</v>
      </c>
      <c r="B94">
        <v>594.9</v>
      </c>
      <c r="C94">
        <v>601.1</v>
      </c>
      <c r="D94">
        <v>576</v>
      </c>
      <c r="E94">
        <v>585.29999999999995</v>
      </c>
      <c r="F94">
        <v>49042.951999999997</v>
      </c>
      <c r="G94">
        <v>585.29999999999995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-0.25896414342629914</v>
      </c>
      <c r="Q94">
        <f t="shared" ref="Q94" si="446">F94*P94</f>
        <v>-12700.366055777104</v>
      </c>
      <c r="R94">
        <f t="shared" ref="R94" si="447">R95+Q94</f>
        <v>14320637.841929145</v>
      </c>
      <c r="S94">
        <f t="shared" ref="S94" si="448">R94/100000</f>
        <v>143.20637841929144</v>
      </c>
      <c r="T94">
        <f t="shared" ref="T94" si="449">S94/1000</f>
        <v>0.14320637841929143</v>
      </c>
    </row>
    <row r="95" spans="1:20" x14ac:dyDescent="0.25">
      <c r="A95" s="5">
        <v>44498</v>
      </c>
      <c r="B95">
        <v>578.70000000000005</v>
      </c>
      <c r="C95">
        <v>596.6</v>
      </c>
      <c r="D95">
        <v>574.20000000000005</v>
      </c>
      <c r="E95">
        <v>594.79999999999995</v>
      </c>
      <c r="F95">
        <v>57143.760999999999</v>
      </c>
      <c r="G95">
        <v>594.79999999999995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0.83928571428570808</v>
      </c>
      <c r="Q95">
        <f t="shared" ref="Q95" si="451">F95*P95</f>
        <v>47959.942267856786</v>
      </c>
      <c r="R95">
        <f t="shared" ref="R95" si="452">R96+Q95</f>
        <v>14333338.207984922</v>
      </c>
      <c r="S95">
        <f t="shared" ref="S95" si="453">R95/100000</f>
        <v>143.33338207984923</v>
      </c>
      <c r="T95">
        <f t="shared" ref="T95" si="454">S95/1000</f>
        <v>0.14333338207984922</v>
      </c>
    </row>
    <row r="96" spans="1:20" x14ac:dyDescent="0.25">
      <c r="A96" s="5">
        <v>44497</v>
      </c>
      <c r="B96">
        <v>548.4</v>
      </c>
      <c r="C96">
        <v>599</v>
      </c>
      <c r="D96">
        <v>543.79999999999995</v>
      </c>
      <c r="E96">
        <v>578.70000000000005</v>
      </c>
      <c r="F96">
        <v>133464.87700000001</v>
      </c>
      <c r="G96">
        <v>578.70000000000005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0.26449275362319064</v>
      </c>
      <c r="Q96">
        <f t="shared" ref="Q96" si="456">F96*P96</f>
        <v>35300.492829710442</v>
      </c>
      <c r="R96">
        <f t="shared" ref="R96" si="457">R97+Q96</f>
        <v>14285378.265717065</v>
      </c>
      <c r="S96">
        <f t="shared" ref="S96" si="458">R96/100000</f>
        <v>142.85378265717065</v>
      </c>
      <c r="T96">
        <f t="shared" ref="T96" si="459">S96/1000</f>
        <v>0.14285378265717066</v>
      </c>
    </row>
    <row r="97" spans="1:20" x14ac:dyDescent="0.25">
      <c r="A97" s="5">
        <v>44496</v>
      </c>
      <c r="B97">
        <v>612</v>
      </c>
      <c r="C97">
        <v>619.20000000000005</v>
      </c>
      <c r="D97">
        <v>531.20000000000005</v>
      </c>
      <c r="E97">
        <v>548.4</v>
      </c>
      <c r="F97">
        <v>137606.38699999999</v>
      </c>
      <c r="G97">
        <v>548.4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-0.60909090909091068</v>
      </c>
      <c r="Q97">
        <f t="shared" ref="Q97" si="461">F97*P97</f>
        <v>-83814.79935454567</v>
      </c>
      <c r="R97">
        <f t="shared" ref="R97" si="462">R98+Q97</f>
        <v>14250077.772887355</v>
      </c>
      <c r="S97">
        <f t="shared" ref="S97" si="463">R97/100000</f>
        <v>142.50077772887354</v>
      </c>
      <c r="T97">
        <f t="shared" ref="T97" si="464">S97/1000</f>
        <v>0.14250077772887354</v>
      </c>
    </row>
    <row r="98" spans="1:20" x14ac:dyDescent="0.25">
      <c r="A98" s="5">
        <v>44495</v>
      </c>
      <c r="B98">
        <v>621.29999999999995</v>
      </c>
      <c r="C98">
        <v>632.20000000000005</v>
      </c>
      <c r="D98">
        <v>600</v>
      </c>
      <c r="E98">
        <v>611.9</v>
      </c>
      <c r="F98">
        <v>68384.251000000004</v>
      </c>
      <c r="G98">
        <v>611.9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-0.26086956521739374</v>
      </c>
      <c r="Q98">
        <f t="shared" ref="Q98" si="466">F98*P98</f>
        <v>-17839.369826087124</v>
      </c>
      <c r="R98">
        <f t="shared" ref="R98" si="467">R99+Q98</f>
        <v>14333892.5722419</v>
      </c>
      <c r="S98">
        <f t="shared" ref="S98" si="468">R98/100000</f>
        <v>143.33892572241899</v>
      </c>
      <c r="T98">
        <f t="shared" ref="T98" si="469">S98/1000</f>
        <v>0.14333892572241899</v>
      </c>
    </row>
    <row r="99" spans="1:20" x14ac:dyDescent="0.25">
      <c r="A99" s="5">
        <v>44494</v>
      </c>
      <c r="B99">
        <v>617.20000000000005</v>
      </c>
      <c r="C99">
        <v>628.5</v>
      </c>
      <c r="D99">
        <v>614.79999999999995</v>
      </c>
      <c r="E99">
        <v>621.29999999999995</v>
      </c>
      <c r="F99">
        <v>58271.082000000002</v>
      </c>
      <c r="G99">
        <v>621.29999999999995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-5.1094890510952055E-2</v>
      </c>
      <c r="Q99">
        <f t="shared" ref="Q99" si="471">F99*P99</f>
        <v>-2977.3545547447093</v>
      </c>
      <c r="R99">
        <f t="shared" ref="R99" si="472">R100+Q99</f>
        <v>14351731.942067988</v>
      </c>
      <c r="S99">
        <f t="shared" ref="S99" si="473">R99/100000</f>
        <v>143.51731942067988</v>
      </c>
      <c r="T99">
        <f t="shared" ref="T99" si="474">S99/1000</f>
        <v>0.14351731942067988</v>
      </c>
    </row>
    <row r="100" spans="1:20" x14ac:dyDescent="0.25">
      <c r="A100" s="5">
        <v>44493</v>
      </c>
      <c r="B100">
        <v>629</v>
      </c>
      <c r="C100">
        <v>633.1</v>
      </c>
      <c r="D100">
        <v>605.6</v>
      </c>
      <c r="E100">
        <v>617.20000000000005</v>
      </c>
      <c r="F100">
        <v>66362.212</v>
      </c>
      <c r="G100">
        <v>617.20000000000005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-0.15636363636363471</v>
      </c>
      <c r="Q100">
        <f t="shared" ref="Q100" si="476">F100*P100</f>
        <v>-10376.636785454435</v>
      </c>
      <c r="R100">
        <f t="shared" ref="R100" si="477">R101+Q100</f>
        <v>14354709.296622733</v>
      </c>
      <c r="S100">
        <f t="shared" ref="S100" si="478">R100/100000</f>
        <v>143.54709296622732</v>
      </c>
      <c r="T100">
        <f t="shared" ref="T100" si="479">S100/1000</f>
        <v>0.14354709296622734</v>
      </c>
    </row>
    <row r="101" spans="1:20" x14ac:dyDescent="0.25">
      <c r="A101" s="5">
        <v>44492</v>
      </c>
      <c r="B101">
        <v>623.79999999999995</v>
      </c>
      <c r="C101">
        <v>637.6</v>
      </c>
      <c r="D101">
        <v>614.79999999999995</v>
      </c>
      <c r="E101">
        <v>629.1</v>
      </c>
      <c r="F101">
        <v>50173.938999999998</v>
      </c>
      <c r="G101">
        <v>629.1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0.25438596491228294</v>
      </c>
      <c r="Q101">
        <f t="shared" ref="Q101" si="481">F101*P101</f>
        <v>12763.545885965024</v>
      </c>
      <c r="R101">
        <f t="shared" ref="R101" si="482">R102+Q101</f>
        <v>14365085.933408188</v>
      </c>
      <c r="S101">
        <f t="shared" ref="S101" si="483">R101/100000</f>
        <v>143.65085933408187</v>
      </c>
      <c r="T101">
        <f t="shared" ref="T101" si="484">S101/1000</f>
        <v>0.14365085933408187</v>
      </c>
    </row>
    <row r="102" spans="1:20" x14ac:dyDescent="0.25">
      <c r="A102" s="5">
        <v>44491</v>
      </c>
      <c r="B102">
        <v>623.29999999999995</v>
      </c>
      <c r="C102">
        <v>637</v>
      </c>
      <c r="D102">
        <v>612.5</v>
      </c>
      <c r="E102">
        <v>623.9</v>
      </c>
      <c r="F102">
        <v>66136.187000000005</v>
      </c>
      <c r="G102">
        <v>623.9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-6.9387755102042675E-2</v>
      </c>
      <c r="Q102">
        <f t="shared" ref="Q102" si="486">F102*P102</f>
        <v>-4589.041546938899</v>
      </c>
      <c r="R102">
        <f t="shared" ref="R102" si="487">R103+Q102</f>
        <v>14352322.387522222</v>
      </c>
      <c r="S102">
        <f t="shared" ref="S102" si="488">R102/100000</f>
        <v>143.52322387522221</v>
      </c>
      <c r="T102">
        <f t="shared" ref="T102" si="489">S102/1000</f>
        <v>0.14352322387522221</v>
      </c>
    </row>
    <row r="103" spans="1:20" x14ac:dyDescent="0.25">
      <c r="A103" s="5">
        <v>44490</v>
      </c>
      <c r="B103">
        <v>644.6</v>
      </c>
      <c r="C103">
        <v>655.9</v>
      </c>
      <c r="D103">
        <v>621.1</v>
      </c>
      <c r="E103">
        <v>623.4</v>
      </c>
      <c r="F103">
        <v>116045.595</v>
      </c>
      <c r="G103">
        <v>623.4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-0.86781609195402543</v>
      </c>
      <c r="Q103">
        <f t="shared" ref="Q103" si="491">F103*P103</f>
        <v>-100706.23474137959</v>
      </c>
      <c r="R103">
        <f t="shared" ref="R103" si="492">R104+Q103</f>
        <v>14356911.429069161</v>
      </c>
      <c r="S103">
        <f t="shared" ref="S103" si="493">R103/100000</f>
        <v>143.5691142906916</v>
      </c>
      <c r="T103">
        <f t="shared" ref="T103" si="494">S103/1000</f>
        <v>0.14356911429069161</v>
      </c>
    </row>
    <row r="104" spans="1:20" x14ac:dyDescent="0.25">
      <c r="A104" s="5">
        <v>44489</v>
      </c>
      <c r="B104">
        <v>618.5</v>
      </c>
      <c r="C104">
        <v>648.9</v>
      </c>
      <c r="D104">
        <v>605.1</v>
      </c>
      <c r="E104">
        <v>644.70000000000005</v>
      </c>
      <c r="F104">
        <v>93634.900999999998</v>
      </c>
      <c r="G104">
        <v>644.70000000000005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0.80821917808219468</v>
      </c>
      <c r="Q104">
        <f t="shared" ref="Q104" si="496">F104*P104</f>
        <v>75677.522726027673</v>
      </c>
      <c r="R104">
        <f t="shared" ref="R104" si="497">R105+Q104</f>
        <v>14457617.663810542</v>
      </c>
      <c r="S104">
        <f t="shared" ref="S104" si="498">R104/100000</f>
        <v>144.57617663810541</v>
      </c>
      <c r="T104">
        <f t="shared" ref="T104" si="499">S104/1000</f>
        <v>0.1445761766381054</v>
      </c>
    </row>
    <row r="105" spans="1:20" x14ac:dyDescent="0.25">
      <c r="A105" s="5">
        <v>44488</v>
      </c>
      <c r="B105">
        <v>611.29999999999995</v>
      </c>
      <c r="C105">
        <v>625</v>
      </c>
      <c r="D105">
        <v>599.4</v>
      </c>
      <c r="E105">
        <v>618.5</v>
      </c>
      <c r="F105">
        <v>71717.377999999997</v>
      </c>
      <c r="G105">
        <v>618.5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0.49218750000000044</v>
      </c>
      <c r="Q105">
        <f t="shared" ref="Q105" si="501">F105*P105</f>
        <v>35298.396984375031</v>
      </c>
      <c r="R105">
        <f t="shared" ref="R105" si="502">R106+Q105</f>
        <v>14381940.141084515</v>
      </c>
      <c r="S105">
        <f t="shared" ref="S105" si="503">R105/100000</f>
        <v>143.81940141084516</v>
      </c>
      <c r="T105">
        <f t="shared" ref="T105" si="504">S105/1000</f>
        <v>0.14381940141084515</v>
      </c>
    </row>
    <row r="106" spans="1:20" x14ac:dyDescent="0.25">
      <c r="A106" s="5">
        <v>44487</v>
      </c>
      <c r="B106">
        <v>612.6</v>
      </c>
      <c r="C106">
        <v>619.29999999999995</v>
      </c>
      <c r="D106">
        <v>598.29999999999995</v>
      </c>
      <c r="E106">
        <v>611.5</v>
      </c>
      <c r="F106">
        <v>70874.91</v>
      </c>
      <c r="G106">
        <v>611.5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0.25714285714286145</v>
      </c>
      <c r="Q106">
        <f t="shared" ref="Q106" si="506">F106*P106</f>
        <v>18224.976857143163</v>
      </c>
      <c r="R106">
        <f t="shared" ref="R106" si="507">R107+Q106</f>
        <v>14346641.74410014</v>
      </c>
      <c r="S106">
        <f t="shared" ref="S106" si="508">R106/100000</f>
        <v>143.4664174410014</v>
      </c>
      <c r="T106">
        <f t="shared" ref="T106" si="509">S106/1000</f>
        <v>0.14346641744100139</v>
      </c>
    </row>
    <row r="107" spans="1:20" x14ac:dyDescent="0.25">
      <c r="A107" s="5">
        <v>44486</v>
      </c>
      <c r="B107">
        <v>625.6</v>
      </c>
      <c r="C107">
        <v>628.70000000000005</v>
      </c>
      <c r="D107">
        <v>589.70000000000005</v>
      </c>
      <c r="E107">
        <v>612.5</v>
      </c>
      <c r="F107">
        <v>84225.557000000001</v>
      </c>
      <c r="G107">
        <v>612.5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0.16923076923076691</v>
      </c>
      <c r="Q107">
        <f t="shared" ref="Q107" si="511">F107*P107</f>
        <v>14253.555799999804</v>
      </c>
      <c r="R107">
        <f t="shared" ref="R107" si="512">R108+Q107</f>
        <v>14328416.767242998</v>
      </c>
      <c r="S107">
        <f t="shared" ref="S107" si="513">R107/100000</f>
        <v>143.28416767242999</v>
      </c>
      <c r="T107">
        <f t="shared" ref="T107" si="514">S107/1000</f>
        <v>0.14328416767242999</v>
      </c>
    </row>
    <row r="108" spans="1:20" x14ac:dyDescent="0.25">
      <c r="A108" s="5">
        <v>44485</v>
      </c>
      <c r="B108">
        <v>625.4</v>
      </c>
      <c r="C108">
        <v>649.4</v>
      </c>
      <c r="D108">
        <v>623.6</v>
      </c>
      <c r="E108">
        <v>625.4</v>
      </c>
      <c r="F108">
        <v>100802.45600000001</v>
      </c>
      <c r="G108">
        <v>625.4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-0.86046511627907307</v>
      </c>
      <c r="Q108">
        <f t="shared" ref="Q108" si="516">F108*P108</f>
        <v>-86736.997023256146</v>
      </c>
      <c r="R108">
        <f t="shared" ref="R108" si="517">R109+Q108</f>
        <v>14314163.211442998</v>
      </c>
      <c r="S108">
        <f t="shared" ref="S108" si="518">R108/100000</f>
        <v>143.14163211442997</v>
      </c>
      <c r="T108">
        <f t="shared" ref="T108" si="519">S108/1000</f>
        <v>0.14314163211442996</v>
      </c>
    </row>
    <row r="109" spans="1:20" x14ac:dyDescent="0.25">
      <c r="A109" s="5">
        <v>44484</v>
      </c>
      <c r="B109">
        <v>599.1</v>
      </c>
      <c r="C109">
        <v>637.20000000000005</v>
      </c>
      <c r="D109">
        <v>585.6</v>
      </c>
      <c r="E109">
        <v>625.70000000000005</v>
      </c>
      <c r="F109">
        <v>169544.92600000001</v>
      </c>
      <c r="G109">
        <v>625.70000000000005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0.55426356589147308</v>
      </c>
      <c r="Q109">
        <f t="shared" ref="Q109" si="521">F109*P109</f>
        <v>93972.57526356593</v>
      </c>
      <c r="R109">
        <f t="shared" ref="R109" si="522">R110+Q109</f>
        <v>14400900.208466254</v>
      </c>
      <c r="S109">
        <f t="shared" ref="S109" si="523">R109/100000</f>
        <v>144.00900208466254</v>
      </c>
      <c r="T109">
        <f t="shared" ref="T109" si="524">S109/1000</f>
        <v>0.14400900208466255</v>
      </c>
    </row>
    <row r="110" spans="1:20" x14ac:dyDescent="0.25">
      <c r="A110" s="5">
        <v>44483</v>
      </c>
      <c r="B110">
        <v>593.70000000000005</v>
      </c>
      <c r="C110">
        <v>607.70000000000005</v>
      </c>
      <c r="D110">
        <v>590.29999999999995</v>
      </c>
      <c r="E110">
        <v>599.1</v>
      </c>
      <c r="F110">
        <v>75123.447</v>
      </c>
      <c r="G110">
        <v>599.1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1.1494252873565772E-2</v>
      </c>
      <c r="Q110">
        <f t="shared" ref="Q110" si="526">F110*P110</f>
        <v>863.48789655191592</v>
      </c>
      <c r="R110">
        <f t="shared" ref="R110" si="527">R111+Q110</f>
        <v>14306927.633202689</v>
      </c>
      <c r="S110">
        <f t="shared" ref="S110" si="528">R110/100000</f>
        <v>143.06927633202687</v>
      </c>
      <c r="T110">
        <f t="shared" ref="T110" si="529">S110/1000</f>
        <v>0.14306927633202687</v>
      </c>
    </row>
    <row r="111" spans="1:20" x14ac:dyDescent="0.25">
      <c r="A111" s="5">
        <v>44482</v>
      </c>
      <c r="B111">
        <v>587.9</v>
      </c>
      <c r="C111">
        <v>594.9</v>
      </c>
      <c r="D111">
        <v>571.4</v>
      </c>
      <c r="E111">
        <v>593.70000000000005</v>
      </c>
      <c r="F111">
        <v>91096.305999999997</v>
      </c>
      <c r="G111">
        <v>593.70000000000005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0.89787234042553776</v>
      </c>
      <c r="Q111">
        <f t="shared" ref="Q111" si="531">F111*P111</f>
        <v>81792.853472340954</v>
      </c>
      <c r="R111">
        <f t="shared" ref="R111" si="532">R112+Q111</f>
        <v>14306064.145306136</v>
      </c>
      <c r="S111">
        <f t="shared" ref="S111" si="533">R111/100000</f>
        <v>143.06064145306135</v>
      </c>
      <c r="T111">
        <f t="shared" ref="T111" si="534">S111/1000</f>
        <v>0.14306064145306135</v>
      </c>
    </row>
    <row r="112" spans="1:20" x14ac:dyDescent="0.25">
      <c r="A112" s="5">
        <v>44481</v>
      </c>
      <c r="B112">
        <v>601.1</v>
      </c>
      <c r="C112">
        <v>601.29999999999995</v>
      </c>
      <c r="D112">
        <v>567.70000000000005</v>
      </c>
      <c r="E112">
        <v>587.9</v>
      </c>
      <c r="F112">
        <v>98138.062000000005</v>
      </c>
      <c r="G112">
        <v>587.9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0.20238095238095158</v>
      </c>
      <c r="Q112">
        <f t="shared" ref="Q112" si="536">F112*P112</f>
        <v>19861.274452380876</v>
      </c>
      <c r="R112">
        <f t="shared" ref="R112" si="537">R113+Q112</f>
        <v>14224271.291833796</v>
      </c>
      <c r="S112">
        <f t="shared" ref="S112" si="538">R112/100000</f>
        <v>142.24271291833796</v>
      </c>
      <c r="T112">
        <f t="shared" ref="T112" si="539">S112/1000</f>
        <v>0.14224271291833795</v>
      </c>
    </row>
    <row r="113" spans="1:20" x14ac:dyDescent="0.25">
      <c r="A113" s="5">
        <v>44480</v>
      </c>
      <c r="B113">
        <v>584.5</v>
      </c>
      <c r="C113">
        <v>618.5</v>
      </c>
      <c r="D113">
        <v>576.70000000000005</v>
      </c>
      <c r="E113">
        <v>601.29999999999995</v>
      </c>
      <c r="F113">
        <v>102504.50199999999</v>
      </c>
      <c r="G113">
        <v>601.29999999999995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0.17703349282296343</v>
      </c>
      <c r="Q113">
        <f t="shared" ref="Q113" si="541">F113*P113</f>
        <v>18146.730019138438</v>
      </c>
      <c r="R113">
        <f t="shared" ref="R113" si="542">R114+Q113</f>
        <v>14204410.017381415</v>
      </c>
      <c r="S113">
        <f t="shared" ref="S113" si="543">R113/100000</f>
        <v>142.04410017381414</v>
      </c>
      <c r="T113">
        <f t="shared" ref="T113" si="544">S113/1000</f>
        <v>0.14204410017381414</v>
      </c>
    </row>
    <row r="114" spans="1:20" x14ac:dyDescent="0.25">
      <c r="A114" s="5">
        <v>44479</v>
      </c>
      <c r="B114">
        <v>615.20000000000005</v>
      </c>
      <c r="C114">
        <v>623.20000000000005</v>
      </c>
      <c r="D114">
        <v>582.1</v>
      </c>
      <c r="E114">
        <v>584.70000000000005</v>
      </c>
      <c r="F114">
        <v>85734.077999999994</v>
      </c>
      <c r="G114">
        <v>584.70000000000005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-0.87347931873479212</v>
      </c>
      <c r="Q114">
        <f t="shared" ref="Q114" si="546">F114*P114</f>
        <v>-74886.94404379552</v>
      </c>
      <c r="R114">
        <f t="shared" ref="R114" si="547">R115+Q114</f>
        <v>14186263.287362276</v>
      </c>
      <c r="S114">
        <f t="shared" ref="S114" si="548">R114/100000</f>
        <v>141.86263287362274</v>
      </c>
      <c r="T114">
        <f t="shared" ref="T114" si="549">S114/1000</f>
        <v>0.14186263287362275</v>
      </c>
    </row>
    <row r="115" spans="1:20" x14ac:dyDescent="0.25">
      <c r="A115" s="5">
        <v>44478</v>
      </c>
      <c r="B115">
        <v>596.29999999999995</v>
      </c>
      <c r="C115">
        <v>624.5</v>
      </c>
      <c r="D115">
        <v>591.29999999999995</v>
      </c>
      <c r="E115">
        <v>615.20000000000005</v>
      </c>
      <c r="F115">
        <v>82548.978000000003</v>
      </c>
      <c r="G115">
        <v>615.20000000000005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0.43975903614458184</v>
      </c>
      <c r="Q115">
        <f t="shared" ref="Q115" si="551">F115*P115</f>
        <v>36301.659000000291</v>
      </c>
      <c r="R115">
        <f t="shared" ref="R115" si="552">R116+Q115</f>
        <v>14261150.23140607</v>
      </c>
      <c r="S115">
        <f t="shared" ref="S115" si="553">R115/100000</f>
        <v>142.61150231406071</v>
      </c>
      <c r="T115">
        <f t="shared" ref="T115" si="554">S115/1000</f>
        <v>0.14261150231406072</v>
      </c>
    </row>
    <row r="116" spans="1:20" x14ac:dyDescent="0.25">
      <c r="A116" s="5">
        <v>44477</v>
      </c>
      <c r="B116">
        <v>611.5</v>
      </c>
      <c r="C116">
        <v>617.79999999999995</v>
      </c>
      <c r="D116">
        <v>587.5</v>
      </c>
      <c r="E116">
        <v>596.20000000000005</v>
      </c>
      <c r="F116">
        <v>115217.982</v>
      </c>
      <c r="G116">
        <v>596.20000000000005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-0.4257425742574219</v>
      </c>
      <c r="Q116">
        <f t="shared" ref="Q116" si="556">F116*P116</f>
        <v>-49053.200257425298</v>
      </c>
      <c r="R116">
        <f t="shared" ref="R116" si="557">R117+Q116</f>
        <v>14224848.57240607</v>
      </c>
      <c r="S116">
        <f t="shared" ref="S116" si="558">R116/100000</f>
        <v>142.24848572406071</v>
      </c>
      <c r="T116">
        <f t="shared" ref="T116" si="559">S116/1000</f>
        <v>0.14224848572406071</v>
      </c>
    </row>
    <row r="117" spans="1:20" x14ac:dyDescent="0.25">
      <c r="A117" s="5">
        <v>44476</v>
      </c>
      <c r="B117">
        <v>617.20000000000005</v>
      </c>
      <c r="C117">
        <v>636.70000000000005</v>
      </c>
      <c r="D117">
        <v>597.6</v>
      </c>
      <c r="E117">
        <v>611.29999999999995</v>
      </c>
      <c r="F117">
        <v>159699.31</v>
      </c>
      <c r="G117">
        <v>611.29999999999995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-0.2992327365728939</v>
      </c>
      <c r="Q117">
        <f t="shared" ref="Q117" si="561">F117*P117</f>
        <v>-47787.261560102917</v>
      </c>
      <c r="R117">
        <f t="shared" ref="R117" si="562">R118+Q117</f>
        <v>14273901.772663496</v>
      </c>
      <c r="S117">
        <f t="shared" ref="S117" si="563">R117/100000</f>
        <v>142.73901772663496</v>
      </c>
      <c r="T117">
        <f t="shared" ref="T117" si="564">S117/1000</f>
        <v>0.14273901772663494</v>
      </c>
    </row>
    <row r="118" spans="1:20" x14ac:dyDescent="0.25">
      <c r="A118" s="5">
        <v>44475</v>
      </c>
      <c r="B118">
        <v>594.70000000000005</v>
      </c>
      <c r="C118">
        <v>626.5</v>
      </c>
      <c r="D118">
        <v>562.1</v>
      </c>
      <c r="E118">
        <v>617.1</v>
      </c>
      <c r="F118">
        <v>194811.31400000001</v>
      </c>
      <c r="G118">
        <v>617.1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0.70807453416149124</v>
      </c>
      <c r="Q118">
        <f t="shared" ref="Q118" si="566">F118*P118</f>
        <v>137940.93040993801</v>
      </c>
      <c r="R118">
        <f t="shared" ref="R118" si="567">R119+Q118</f>
        <v>14321689.034223599</v>
      </c>
      <c r="S118">
        <f t="shared" ref="S118" si="568">R118/100000</f>
        <v>143.21689034223598</v>
      </c>
      <c r="T118">
        <f t="shared" ref="T118" si="569">S118/1000</f>
        <v>0.14321689034223598</v>
      </c>
    </row>
    <row r="119" spans="1:20" x14ac:dyDescent="0.25">
      <c r="A119" s="5">
        <v>44474</v>
      </c>
      <c r="B119">
        <v>550.79999999999995</v>
      </c>
      <c r="C119">
        <v>600.29999999999995</v>
      </c>
      <c r="D119">
        <v>548.79999999999995</v>
      </c>
      <c r="E119">
        <v>594.5</v>
      </c>
      <c r="F119">
        <v>101027.901</v>
      </c>
      <c r="G119">
        <v>594.5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0.77475728155339985</v>
      </c>
      <c r="Q119">
        <f t="shared" ref="Q119" si="571">F119*P119</f>
        <v>78272.101939806002</v>
      </c>
      <c r="R119">
        <f t="shared" ref="R119" si="572">R120+Q119</f>
        <v>14183748.103813661</v>
      </c>
      <c r="S119">
        <f t="shared" ref="S119" si="573">R119/100000</f>
        <v>141.83748103813662</v>
      </c>
      <c r="T119">
        <f t="shared" ref="T119" si="574">S119/1000</f>
        <v>0.14183748103813662</v>
      </c>
    </row>
    <row r="120" spans="1:20" x14ac:dyDescent="0.25">
      <c r="A120" s="5">
        <v>44473</v>
      </c>
      <c r="B120">
        <v>571.1</v>
      </c>
      <c r="C120">
        <v>571.20000000000005</v>
      </c>
      <c r="D120">
        <v>530.20000000000005</v>
      </c>
      <c r="E120">
        <v>551.4</v>
      </c>
      <c r="F120">
        <v>91624.411999999997</v>
      </c>
      <c r="G120">
        <v>551.4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3.4146341463411306E-2</v>
      </c>
      <c r="Q120">
        <f t="shared" ref="Q120" si="576">F120*P120</f>
        <v>3128.6384585362803</v>
      </c>
      <c r="R120">
        <f t="shared" ref="R120" si="577">R121+Q120</f>
        <v>14105476.001873855</v>
      </c>
      <c r="S120">
        <f t="shared" ref="S120" si="578">R120/100000</f>
        <v>141.05476001873853</v>
      </c>
      <c r="T120">
        <f t="shared" ref="T120" si="579">S120/1000</f>
        <v>0.14105476001873854</v>
      </c>
    </row>
    <row r="121" spans="1:20" x14ac:dyDescent="0.25">
      <c r="A121" s="5">
        <v>44472</v>
      </c>
      <c r="B121">
        <v>552</v>
      </c>
      <c r="C121">
        <v>579.1</v>
      </c>
      <c r="D121">
        <v>544.5</v>
      </c>
      <c r="E121">
        <v>570.9</v>
      </c>
      <c r="F121">
        <v>73370.288</v>
      </c>
      <c r="G121">
        <v>570.9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0.5260115606936393</v>
      </c>
      <c r="Q121">
        <f t="shared" ref="Q121" si="581">F121*P121</f>
        <v>38593.619699421797</v>
      </c>
      <c r="R121">
        <f t="shared" ref="R121" si="582">R122+Q121</f>
        <v>14102347.363415318</v>
      </c>
      <c r="S121">
        <f t="shared" ref="S121" si="583">R121/100000</f>
        <v>141.02347363415316</v>
      </c>
      <c r="T121">
        <f t="shared" ref="T121" si="584">S121/1000</f>
        <v>0.14102347363415316</v>
      </c>
    </row>
    <row r="122" spans="1:20" x14ac:dyDescent="0.25">
      <c r="A122" s="5">
        <v>44471</v>
      </c>
      <c r="B122">
        <v>543.70000000000005</v>
      </c>
      <c r="C122">
        <v>559.9</v>
      </c>
      <c r="D122">
        <v>536.4</v>
      </c>
      <c r="E122">
        <v>552.1</v>
      </c>
      <c r="F122">
        <v>67360.384999999995</v>
      </c>
      <c r="G122">
        <v>552.1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0.33617021276596132</v>
      </c>
      <c r="Q122">
        <f t="shared" ref="Q122" si="586">F122*P122</f>
        <v>22644.554957447068</v>
      </c>
      <c r="R122">
        <f t="shared" ref="R122" si="587">R123+Q122</f>
        <v>14063753.743715895</v>
      </c>
      <c r="S122">
        <f t="shared" ref="S122" si="588">R122/100000</f>
        <v>140.63753743715895</v>
      </c>
      <c r="T122">
        <f t="shared" ref="T122" si="589">S122/1000</f>
        <v>0.14063753743715895</v>
      </c>
    </row>
    <row r="123" spans="1:20" x14ac:dyDescent="0.25">
      <c r="A123" s="5">
        <v>44470</v>
      </c>
      <c r="B123">
        <v>502.8</v>
      </c>
      <c r="C123">
        <v>544.70000000000005</v>
      </c>
      <c r="D123">
        <v>500.3</v>
      </c>
      <c r="E123">
        <v>543.70000000000005</v>
      </c>
      <c r="F123">
        <v>102037.204</v>
      </c>
      <c r="G123">
        <v>543.70000000000005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0.95495495495495497</v>
      </c>
      <c r="Q123">
        <f t="shared" ref="Q123" si="591">F123*P123</f>
        <v>97440.933549549547</v>
      </c>
      <c r="R123">
        <f t="shared" ref="R123" si="592">R124+Q123</f>
        <v>14041109.188758448</v>
      </c>
      <c r="S123">
        <f t="shared" ref="S123" si="593">R123/100000</f>
        <v>140.41109188758449</v>
      </c>
      <c r="T123">
        <f t="shared" ref="T123" si="594">S123/1000</f>
        <v>0.14041109188758449</v>
      </c>
    </row>
    <row r="124" spans="1:20" x14ac:dyDescent="0.25">
      <c r="A124" s="5">
        <v>44469</v>
      </c>
      <c r="B124">
        <v>484.9</v>
      </c>
      <c r="C124">
        <v>506.1</v>
      </c>
      <c r="D124">
        <v>481.9</v>
      </c>
      <c r="E124">
        <v>502.6</v>
      </c>
      <c r="F124">
        <v>73302.834000000003</v>
      </c>
      <c r="G124">
        <v>502.6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0.71074380165289308</v>
      </c>
      <c r="Q124">
        <f t="shared" ref="Q124" si="596">F124*P124</f>
        <v>52099.534909090951</v>
      </c>
      <c r="R124">
        <f t="shared" ref="R124" si="597">R125+Q124</f>
        <v>13943668.255208898</v>
      </c>
      <c r="S124">
        <f t="shared" ref="S124" si="598">R124/100000</f>
        <v>139.436682552089</v>
      </c>
      <c r="T124">
        <f t="shared" ref="T124" si="599">S124/1000</f>
        <v>0.13943668255208899</v>
      </c>
    </row>
    <row r="125" spans="1:20" x14ac:dyDescent="0.25">
      <c r="A125" s="5">
        <v>44468</v>
      </c>
      <c r="B125">
        <v>474</v>
      </c>
      <c r="C125">
        <v>498.2</v>
      </c>
      <c r="D125">
        <v>471.3</v>
      </c>
      <c r="E125">
        <v>484.9</v>
      </c>
      <c r="F125">
        <v>81899.353539999996</v>
      </c>
      <c r="G125">
        <v>484.9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1.1152416356875642E-2</v>
      </c>
      <c r="Q125">
        <f t="shared" ref="Q125" si="601">F125*P125</f>
        <v>913.37569003703697</v>
      </c>
      <c r="R125">
        <f t="shared" ref="R125" si="602">R126+Q125</f>
        <v>13891568.720299808</v>
      </c>
      <c r="S125">
        <f t="shared" ref="S125" si="603">R125/100000</f>
        <v>138.91568720299807</v>
      </c>
      <c r="T125">
        <f t="shared" ref="T125" si="604">S125/1000</f>
        <v>0.13891568720299807</v>
      </c>
    </row>
    <row r="126" spans="1:20" x14ac:dyDescent="0.25">
      <c r="A126" s="5">
        <v>44467</v>
      </c>
      <c r="B126">
        <v>488.1</v>
      </c>
      <c r="C126">
        <v>499.3</v>
      </c>
      <c r="D126">
        <v>472.2</v>
      </c>
      <c r="E126">
        <v>474.2</v>
      </c>
      <c r="F126">
        <v>104265.5088</v>
      </c>
      <c r="G126">
        <v>474.2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-0.85239852398523996</v>
      </c>
      <c r="Q126">
        <f t="shared" ref="Q126" si="606">F126*P126</f>
        <v>-88875.765803690039</v>
      </c>
      <c r="R126">
        <f t="shared" ref="R126" si="607">R127+Q126</f>
        <v>13890655.344609771</v>
      </c>
      <c r="S126">
        <f t="shared" ref="S126" si="608">R126/100000</f>
        <v>138.90655344609772</v>
      </c>
      <c r="T126">
        <f t="shared" ref="T126" si="609">S126/1000</f>
        <v>0.13890655344609773</v>
      </c>
    </row>
    <row r="127" spans="1:20" x14ac:dyDescent="0.25">
      <c r="A127" s="5">
        <v>44466</v>
      </c>
      <c r="B127">
        <v>503.1</v>
      </c>
      <c r="C127">
        <v>515.20000000000005</v>
      </c>
      <c r="D127">
        <v>487.6</v>
      </c>
      <c r="E127">
        <v>488</v>
      </c>
      <c r="F127">
        <v>106024.088</v>
      </c>
      <c r="G127">
        <v>488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-0.97101449275362484</v>
      </c>
      <c r="Q127">
        <f t="shared" ref="Q127" si="611">F127*P127</f>
        <v>-102950.92602898569</v>
      </c>
      <c r="R127">
        <f t="shared" ref="R127" si="612">R128+Q127</f>
        <v>13979531.11041346</v>
      </c>
      <c r="S127">
        <f t="shared" ref="S127" si="613">R127/100000</f>
        <v>139.79531110413461</v>
      </c>
      <c r="T127">
        <f t="shared" ref="T127" si="614">S127/1000</f>
        <v>0.13979531110413462</v>
      </c>
    </row>
    <row r="128" spans="1:20" x14ac:dyDescent="0.25">
      <c r="A128" s="5">
        <v>44465</v>
      </c>
      <c r="B128">
        <v>516.9</v>
      </c>
      <c r="C128">
        <v>519.9</v>
      </c>
      <c r="D128">
        <v>480.2</v>
      </c>
      <c r="E128">
        <v>503.2</v>
      </c>
      <c r="F128">
        <v>161614.93900000001</v>
      </c>
      <c r="G128">
        <v>503.2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0.15869017632241847</v>
      </c>
      <c r="Q128">
        <f t="shared" ref="Q128" si="616">F128*P128</f>
        <v>25646.703166246909</v>
      </c>
      <c r="R128">
        <f t="shared" ref="R128" si="617">R129+Q128</f>
        <v>14082482.036442446</v>
      </c>
      <c r="S128">
        <f t="shared" ref="S128" si="618">R128/100000</f>
        <v>140.82482036442445</v>
      </c>
      <c r="T128">
        <f t="shared" ref="T128" si="619">S128/1000</f>
        <v>0.14082482036442445</v>
      </c>
    </row>
    <row r="129" spans="1:20" x14ac:dyDescent="0.25">
      <c r="A129" s="5">
        <v>44464</v>
      </c>
      <c r="B129">
        <v>513.20000000000005</v>
      </c>
      <c r="C129">
        <v>523.29999999999995</v>
      </c>
      <c r="D129">
        <v>501.7</v>
      </c>
      <c r="E129">
        <v>516.79999999999995</v>
      </c>
      <c r="F129">
        <v>99450.217000000004</v>
      </c>
      <c r="G129">
        <v>516.79999999999995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0.3981481481481472</v>
      </c>
      <c r="Q129">
        <f t="shared" ref="Q129" si="621">F129*P129</f>
        <v>39595.919731481386</v>
      </c>
      <c r="R129">
        <f t="shared" ref="R129" si="622">R130+Q129</f>
        <v>14056835.333276199</v>
      </c>
      <c r="S129">
        <f t="shared" ref="S129" si="623">R129/100000</f>
        <v>140.568353332762</v>
      </c>
      <c r="T129">
        <f t="shared" ref="T129" si="624">S129/1000</f>
        <v>0.14056835333276199</v>
      </c>
    </row>
    <row r="130" spans="1:20" x14ac:dyDescent="0.25">
      <c r="A130" s="5">
        <v>44463</v>
      </c>
      <c r="B130">
        <v>552.6</v>
      </c>
      <c r="C130">
        <v>556.79999999999995</v>
      </c>
      <c r="D130">
        <v>478.9</v>
      </c>
      <c r="E130">
        <v>513.5</v>
      </c>
      <c r="F130">
        <v>164421.03636999999</v>
      </c>
      <c r="G130">
        <v>513.5</v>
      </c>
      <c r="L130" t="s">
        <v>8</v>
      </c>
      <c r="M130" t="s">
        <v>7</v>
      </c>
      <c r="N130" t="s">
        <v>7</v>
      </c>
      <c r="P130">
        <f t="shared" ref="P130" si="625">IF(C130=D130,0,((E130-D130)-(C130-E130))/(C130-D130))</f>
        <v>-0.11168164313221995</v>
      </c>
      <c r="Q130">
        <f t="shared" ref="Q130" si="626">F130*P130</f>
        <v>-18362.811507304097</v>
      </c>
      <c r="R130">
        <f t="shared" ref="R130" si="627">R131+Q130</f>
        <v>14017239.413544718</v>
      </c>
      <c r="S130">
        <f t="shared" ref="S130" si="628">R130/100000</f>
        <v>140.17239413544718</v>
      </c>
      <c r="T130">
        <f t="shared" ref="T130" si="629">S130/1000</f>
        <v>0.14017239413544719</v>
      </c>
    </row>
    <row r="131" spans="1:20" x14ac:dyDescent="0.25">
      <c r="A131" s="5">
        <v>44462</v>
      </c>
      <c r="B131">
        <v>547.6</v>
      </c>
      <c r="C131">
        <v>553.79999999999995</v>
      </c>
      <c r="D131">
        <v>532.29999999999995</v>
      </c>
      <c r="E131">
        <v>552.70000000000005</v>
      </c>
      <c r="F131">
        <v>75540.421000000002</v>
      </c>
      <c r="G131">
        <v>552.70000000000005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0.89767441860465957</v>
      </c>
      <c r="Q131">
        <f t="shared" ref="Q131" si="631">F131*P131</f>
        <v>67810.703502326214</v>
      </c>
      <c r="R131">
        <f t="shared" ref="R131" si="632">R132+Q131</f>
        <v>14035602.225052021</v>
      </c>
      <c r="S131">
        <f t="shared" ref="S131" si="633">R131/100000</f>
        <v>140.35602225052023</v>
      </c>
      <c r="T131">
        <f t="shared" ref="T131" si="634">S131/1000</f>
        <v>0.14035602225052021</v>
      </c>
    </row>
    <row r="132" spans="1:20" x14ac:dyDescent="0.25">
      <c r="A132" s="5">
        <v>44461</v>
      </c>
      <c r="B132">
        <v>505.1</v>
      </c>
      <c r="C132">
        <v>548.1</v>
      </c>
      <c r="D132">
        <v>496.2</v>
      </c>
      <c r="E132">
        <v>547.70000000000005</v>
      </c>
      <c r="F132">
        <v>111368.65700000001</v>
      </c>
      <c r="G132">
        <v>547.70000000000005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0.9845857418111762</v>
      </c>
      <c r="Q132">
        <f t="shared" ref="Q132" si="636">F132*P132</f>
        <v>109651.99176685944</v>
      </c>
      <c r="R132">
        <f t="shared" ref="R132" si="637">R133+Q132</f>
        <v>13967791.521549696</v>
      </c>
      <c r="S132">
        <f t="shared" ref="S132" si="638">R132/100000</f>
        <v>139.67791521549697</v>
      </c>
      <c r="T132">
        <f t="shared" ref="T132" si="639">S132/1000</f>
        <v>0.13967791521549697</v>
      </c>
    </row>
    <row r="133" spans="1:20" x14ac:dyDescent="0.25">
      <c r="A133" s="5">
        <v>44460</v>
      </c>
      <c r="B133">
        <v>542.6</v>
      </c>
      <c r="C133">
        <v>552.4</v>
      </c>
      <c r="D133">
        <v>496.6</v>
      </c>
      <c r="E133">
        <v>505.4</v>
      </c>
      <c r="F133">
        <v>189039.77906</v>
      </c>
      <c r="G133">
        <v>505.4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-0.68458781362007304</v>
      </c>
      <c r="Q133">
        <f t="shared" ref="Q133" si="641">F133*P133</f>
        <v>-129414.32903390707</v>
      </c>
      <c r="R133">
        <f t="shared" ref="R133" si="642">R134+Q133</f>
        <v>13858139.529782837</v>
      </c>
      <c r="S133">
        <f t="shared" ref="S133" si="643">R133/100000</f>
        <v>138.58139529782838</v>
      </c>
      <c r="T133">
        <f t="shared" ref="T133" si="644">S133/1000</f>
        <v>0.13858139529782837</v>
      </c>
    </row>
    <row r="134" spans="1:20" x14ac:dyDescent="0.25">
      <c r="A134" s="5">
        <v>44459</v>
      </c>
      <c r="B134">
        <v>608.79999999999995</v>
      </c>
      <c r="C134">
        <v>609.29999999999995</v>
      </c>
      <c r="D134">
        <v>560.5</v>
      </c>
      <c r="E134">
        <v>568.1</v>
      </c>
      <c r="F134">
        <v>71575.797609999994</v>
      </c>
      <c r="G134">
        <v>568.1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-0.68852459016393319</v>
      </c>
      <c r="Q134">
        <f t="shared" ref="Q134" si="646">F134*P134</f>
        <v>-49281.696715081875</v>
      </c>
      <c r="R134">
        <f t="shared" ref="R134" si="647">R135+Q134</f>
        <v>13987553.858816745</v>
      </c>
      <c r="S134">
        <f t="shared" ref="S134" si="648">R134/100000</f>
        <v>139.87553858816744</v>
      </c>
      <c r="T134">
        <f t="shared" ref="T134" si="649">S134/1000</f>
        <v>0.13987553858816745</v>
      </c>
    </row>
    <row r="135" spans="1:20" x14ac:dyDescent="0.25">
      <c r="A135" s="5">
        <v>44458</v>
      </c>
      <c r="B135">
        <v>630.6</v>
      </c>
      <c r="C135">
        <v>647.5</v>
      </c>
      <c r="D135">
        <v>601.70000000000005</v>
      </c>
      <c r="E135">
        <v>608.70000000000005</v>
      </c>
      <c r="F135">
        <v>80578.289999999994</v>
      </c>
      <c r="G135">
        <v>608.70000000000005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-0.69432314410480322</v>
      </c>
      <c r="Q135">
        <f t="shared" ref="Q135" si="651">F135*P135</f>
        <v>-55947.37165938862</v>
      </c>
      <c r="R135">
        <f t="shared" ref="R135" si="652">R136+Q135</f>
        <v>14036835.555531826</v>
      </c>
      <c r="S135">
        <f t="shared" ref="S135" si="653">R135/100000</f>
        <v>140.36835555531826</v>
      </c>
      <c r="T135">
        <f t="shared" ref="T135" si="654">S135/1000</f>
        <v>0.14036835555531826</v>
      </c>
    </row>
    <row r="136" spans="1:20" x14ac:dyDescent="0.25">
      <c r="A136" s="5">
        <v>44457</v>
      </c>
      <c r="B136">
        <v>621.4</v>
      </c>
      <c r="C136">
        <v>638.29999999999995</v>
      </c>
      <c r="D136">
        <v>614.20000000000005</v>
      </c>
      <c r="E136">
        <v>630.79999999999995</v>
      </c>
      <c r="F136">
        <v>54528.417999999998</v>
      </c>
      <c r="G136">
        <v>630.79999999999995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0.37759336099584828</v>
      </c>
      <c r="Q136">
        <f t="shared" ref="Q136" si="656">F136*P136</f>
        <v>20589.56862240651</v>
      </c>
      <c r="R136">
        <f t="shared" ref="R136" si="657">R137+Q136</f>
        <v>14092782.927191215</v>
      </c>
      <c r="S136">
        <f t="shared" ref="S136" si="658">R136/100000</f>
        <v>140.92782927191215</v>
      </c>
      <c r="T136">
        <f t="shared" ref="T136" si="659">S136/1000</f>
        <v>0.14092782927191214</v>
      </c>
    </row>
    <row r="137" spans="1:20" x14ac:dyDescent="0.25">
      <c r="A137" s="5">
        <v>44456</v>
      </c>
      <c r="B137">
        <v>639.20000000000005</v>
      </c>
      <c r="C137">
        <v>647.9</v>
      </c>
      <c r="D137">
        <v>612.4</v>
      </c>
      <c r="E137">
        <v>621.20000000000005</v>
      </c>
      <c r="F137">
        <v>79876.627999999997</v>
      </c>
      <c r="G137">
        <v>621.20000000000005</v>
      </c>
      <c r="L137" t="s">
        <v>8</v>
      </c>
      <c r="M137" t="s">
        <v>7</v>
      </c>
      <c r="N137" t="s">
        <v>7</v>
      </c>
      <c r="P137">
        <f t="shared" ref="P137" si="660">IF(C137=D137,0,((E137-D137)-(C137-E137))/(C137-D137))</f>
        <v>-0.50422535211267216</v>
      </c>
      <c r="Q137">
        <f t="shared" ref="Q137" si="661">F137*P137</f>
        <v>-40275.820878872924</v>
      </c>
      <c r="R137">
        <f t="shared" ref="R137" si="662">R138+Q137</f>
        <v>14072193.358568808</v>
      </c>
      <c r="S137">
        <f t="shared" ref="S137" si="663">R137/100000</f>
        <v>140.72193358568808</v>
      </c>
      <c r="T137">
        <f t="shared" ref="T137" si="664">S137/1000</f>
        <v>0.14072193358568807</v>
      </c>
    </row>
    <row r="138" spans="1:20" x14ac:dyDescent="0.25">
      <c r="A138" s="5">
        <v>44455</v>
      </c>
      <c r="B138">
        <v>652.5</v>
      </c>
      <c r="C138">
        <v>655.29999999999995</v>
      </c>
      <c r="D138">
        <v>625.70000000000005</v>
      </c>
      <c r="E138">
        <v>639.20000000000005</v>
      </c>
      <c r="F138">
        <v>77227.740000000005</v>
      </c>
      <c r="G138">
        <v>639.20000000000005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-8.7837837837835039E-2</v>
      </c>
      <c r="Q138">
        <f t="shared" ref="Q138" si="666">F138*P138</f>
        <v>-6783.5177027024874</v>
      </c>
      <c r="R138">
        <f t="shared" ref="R138" si="667">R139+Q138</f>
        <v>14112469.179447681</v>
      </c>
      <c r="S138">
        <f t="shared" ref="S138" si="668">R138/100000</f>
        <v>141.1246917944768</v>
      </c>
      <c r="T138">
        <f t="shared" ref="T138" si="669">S138/1000</f>
        <v>0.14112469179447681</v>
      </c>
    </row>
    <row r="139" spans="1:20" x14ac:dyDescent="0.25">
      <c r="A139" s="5">
        <v>44454</v>
      </c>
      <c r="B139">
        <v>640.6</v>
      </c>
      <c r="C139">
        <v>656.9</v>
      </c>
      <c r="D139">
        <v>632.20000000000005</v>
      </c>
      <c r="E139">
        <v>652.6</v>
      </c>
      <c r="F139">
        <v>62783.18</v>
      </c>
      <c r="G139">
        <v>652.6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0.65182186234818085</v>
      </c>
      <c r="Q139">
        <f t="shared" ref="Q139" si="671">F139*P139</f>
        <v>40923.44931174106</v>
      </c>
      <c r="R139">
        <f t="shared" ref="R139" si="672">R140+Q139</f>
        <v>14119252.697150383</v>
      </c>
      <c r="S139">
        <f t="shared" ref="S139" si="673">R139/100000</f>
        <v>141.19252697150384</v>
      </c>
      <c r="T139">
        <f t="shared" ref="T139" si="674">S139/1000</f>
        <v>0.14119252697150383</v>
      </c>
    </row>
    <row r="140" spans="1:20" x14ac:dyDescent="0.25">
      <c r="A140" s="5">
        <v>44453</v>
      </c>
      <c r="B140">
        <v>614.1</v>
      </c>
      <c r="C140">
        <v>642.79999999999995</v>
      </c>
      <c r="D140">
        <v>608.4</v>
      </c>
      <c r="E140">
        <v>640.70000000000005</v>
      </c>
      <c r="F140">
        <v>73259.539000000004</v>
      </c>
      <c r="G140">
        <v>640.70000000000005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0.87790697674419127</v>
      </c>
      <c r="Q140">
        <f t="shared" ref="Q140" si="676">F140*P140</f>
        <v>64315.06040116318</v>
      </c>
      <c r="R140">
        <f t="shared" ref="R140" si="677">R141+Q140</f>
        <v>14078329.247838642</v>
      </c>
      <c r="S140">
        <f t="shared" ref="S140" si="678">R140/100000</f>
        <v>140.78329247838641</v>
      </c>
      <c r="T140">
        <f t="shared" ref="T140" si="679">S140/1000</f>
        <v>0.14078329247838642</v>
      </c>
    </row>
    <row r="141" spans="1:20" x14ac:dyDescent="0.25">
      <c r="A141" s="5">
        <v>44452</v>
      </c>
      <c r="B141">
        <v>646.6</v>
      </c>
      <c r="C141">
        <v>661.3</v>
      </c>
      <c r="D141">
        <v>591.4</v>
      </c>
      <c r="E141">
        <v>614.1</v>
      </c>
      <c r="F141">
        <v>169513.76800000001</v>
      </c>
      <c r="G141">
        <v>614.1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-0.35050071530758076</v>
      </c>
      <c r="Q141">
        <f t="shared" ref="Q141" si="681">F141*P141</f>
        <v>-59414.696938483299</v>
      </c>
      <c r="R141">
        <f t="shared" ref="R141" si="682">R142+Q141</f>
        <v>14014014.187437478</v>
      </c>
      <c r="S141">
        <f t="shared" ref="S141" si="683">R141/100000</f>
        <v>140.14014187437479</v>
      </c>
      <c r="T141">
        <f t="shared" ref="T141" si="684">S141/1000</f>
        <v>0.14014014187437479</v>
      </c>
    </row>
    <row r="142" spans="1:20" x14ac:dyDescent="0.25">
      <c r="A142" s="5">
        <v>44451</v>
      </c>
      <c r="B142">
        <v>636.20000000000005</v>
      </c>
      <c r="C142">
        <v>655.29999999999995</v>
      </c>
      <c r="D142">
        <v>623.1</v>
      </c>
      <c r="E142">
        <v>646.5</v>
      </c>
      <c r="F142">
        <v>63703.356</v>
      </c>
      <c r="G142">
        <v>646.5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0.45341614906832467</v>
      </c>
      <c r="Q142">
        <f t="shared" ref="Q142" si="686">F142*P142</f>
        <v>28884.130360248553</v>
      </c>
      <c r="R142">
        <f t="shared" ref="R142" si="687">R143+Q142</f>
        <v>14073428.884375961</v>
      </c>
      <c r="S142">
        <f t="shared" ref="S142" si="688">R142/100000</f>
        <v>140.73428884375963</v>
      </c>
      <c r="T142">
        <f t="shared" ref="T142" si="689">S142/1000</f>
        <v>0.14073428884375963</v>
      </c>
    </row>
    <row r="143" spans="1:20" x14ac:dyDescent="0.25">
      <c r="A143" s="5">
        <v>44450</v>
      </c>
      <c r="B143">
        <v>628.79999999999995</v>
      </c>
      <c r="C143">
        <v>647.9</v>
      </c>
      <c r="D143">
        <v>625.6</v>
      </c>
      <c r="E143">
        <v>636.1</v>
      </c>
      <c r="F143">
        <v>58841.442000000003</v>
      </c>
      <c r="G143">
        <v>636.1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-5.8295964125558618E-2</v>
      </c>
      <c r="Q143">
        <f t="shared" ref="Q143" si="691">F143*P143</f>
        <v>-3430.2185919281383</v>
      </c>
      <c r="R143">
        <f t="shared" ref="R143" si="692">R144+Q143</f>
        <v>14044544.754015712</v>
      </c>
      <c r="S143">
        <f t="shared" ref="S143" si="693">R143/100000</f>
        <v>140.44544754015712</v>
      </c>
      <c r="T143">
        <f t="shared" ref="T143" si="694">S143/1000</f>
        <v>0.14044544754015711</v>
      </c>
    </row>
    <row r="144" spans="1:20" x14ac:dyDescent="0.25">
      <c r="A144" s="5">
        <v>44449</v>
      </c>
      <c r="B144">
        <v>661.4</v>
      </c>
      <c r="C144">
        <v>673.9</v>
      </c>
      <c r="D144">
        <v>617.9</v>
      </c>
      <c r="E144">
        <v>628.9</v>
      </c>
      <c r="F144">
        <v>89982.714999999997</v>
      </c>
      <c r="G144">
        <v>628.9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-0.6071428571428571</v>
      </c>
      <c r="Q144">
        <f t="shared" ref="Q144" si="696">F144*P144</f>
        <v>-54632.362678571422</v>
      </c>
      <c r="R144">
        <f t="shared" ref="R144" si="697">R145+Q144</f>
        <v>14047974.972607641</v>
      </c>
      <c r="S144">
        <f t="shared" ref="S144" si="698">R144/100000</f>
        <v>140.47974972607639</v>
      </c>
      <c r="T144">
        <f t="shared" ref="T144" si="699">S144/1000</f>
        <v>0.14047974972607638</v>
      </c>
    </row>
    <row r="145" spans="1:20" x14ac:dyDescent="0.25">
      <c r="A145" s="5">
        <v>44448</v>
      </c>
      <c r="B145">
        <v>662.8</v>
      </c>
      <c r="C145">
        <v>673.5</v>
      </c>
      <c r="D145">
        <v>655.4</v>
      </c>
      <c r="E145">
        <v>661.5</v>
      </c>
      <c r="F145">
        <v>91459.422999999995</v>
      </c>
      <c r="G145">
        <v>661.5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-0.32596685082872762</v>
      </c>
      <c r="Q145">
        <f t="shared" ref="Q145" si="701">F145*P145</f>
        <v>-29812.740093922497</v>
      </c>
      <c r="R145">
        <f t="shared" ref="R145" si="702">R146+Q145</f>
        <v>14102607.335286211</v>
      </c>
      <c r="S145">
        <f t="shared" ref="S145" si="703">R145/100000</f>
        <v>141.02607335286211</v>
      </c>
      <c r="T145">
        <f t="shared" ref="T145" si="704">S145/1000</f>
        <v>0.1410260733528621</v>
      </c>
    </row>
    <row r="146" spans="1:20" x14ac:dyDescent="0.25">
      <c r="A146" s="5">
        <v>44447</v>
      </c>
      <c r="B146">
        <v>673.5</v>
      </c>
      <c r="C146">
        <v>679.6</v>
      </c>
      <c r="D146">
        <v>644.1</v>
      </c>
      <c r="E146">
        <v>662.7</v>
      </c>
      <c r="F146">
        <v>130590.474</v>
      </c>
      <c r="G146">
        <v>662.7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4.7887323943663254E-2</v>
      </c>
      <c r="Q146">
        <f t="shared" ref="Q146" si="706">F146*P146</f>
        <v>6253.6283323945336</v>
      </c>
      <c r="R146">
        <f t="shared" ref="R146" si="707">R147+Q146</f>
        <v>14132420.075380133</v>
      </c>
      <c r="S146">
        <f t="shared" ref="S146" si="708">R146/100000</f>
        <v>141.32420075380134</v>
      </c>
      <c r="T146">
        <f t="shared" ref="T146" si="709">S146/1000</f>
        <v>0.14132420075380134</v>
      </c>
    </row>
    <row r="147" spans="1:20" x14ac:dyDescent="0.25">
      <c r="A147" s="5">
        <v>44446</v>
      </c>
      <c r="B147">
        <v>784.5</v>
      </c>
      <c r="C147">
        <v>787.6</v>
      </c>
      <c r="D147">
        <v>583.1</v>
      </c>
      <c r="E147">
        <v>673.4</v>
      </c>
      <c r="F147">
        <v>376360.05745999998</v>
      </c>
      <c r="G147">
        <v>673.4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-0.11687041564792221</v>
      </c>
      <c r="Q147">
        <f t="shared" ref="Q147" si="711">F147*P147</f>
        <v>-43985.356348626083</v>
      </c>
      <c r="R147">
        <f t="shared" ref="R147" si="712">R148+Q147</f>
        <v>14126166.447047738</v>
      </c>
      <c r="S147">
        <f t="shared" ref="S147" si="713">R147/100000</f>
        <v>141.26166447047737</v>
      </c>
      <c r="T147">
        <f t="shared" ref="T147" si="714">S147/1000</f>
        <v>0.14126166447047736</v>
      </c>
    </row>
    <row r="148" spans="1:20" x14ac:dyDescent="0.25">
      <c r="A148" s="5">
        <v>44445</v>
      </c>
      <c r="B148">
        <v>764.5</v>
      </c>
      <c r="C148">
        <v>803.6</v>
      </c>
      <c r="D148">
        <v>741.2</v>
      </c>
      <c r="E148">
        <v>784.5</v>
      </c>
      <c r="F148">
        <v>233263.46948</v>
      </c>
      <c r="G148">
        <v>784.5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0.38782051282051189</v>
      </c>
      <c r="Q148">
        <f t="shared" ref="Q148" si="716">F148*P148</f>
        <v>90464.358356025419</v>
      </c>
      <c r="R148">
        <f t="shared" ref="R148" si="717">R149+Q148</f>
        <v>14170151.803396365</v>
      </c>
      <c r="S148">
        <f t="shared" ref="S148" si="718">R148/100000</f>
        <v>141.70151803396365</v>
      </c>
      <c r="T148">
        <f t="shared" ref="T148" si="719">S148/1000</f>
        <v>0.14170151803396366</v>
      </c>
    </row>
    <row r="149" spans="1:20" x14ac:dyDescent="0.25">
      <c r="A149" s="5">
        <v>44444</v>
      </c>
      <c r="B149">
        <v>709.1</v>
      </c>
      <c r="C149">
        <v>767.4</v>
      </c>
      <c r="D149">
        <v>698.1</v>
      </c>
      <c r="E149">
        <v>764.5</v>
      </c>
      <c r="F149">
        <v>141345.97943000001</v>
      </c>
      <c r="G149">
        <v>764.5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0.91630591630591696</v>
      </c>
      <c r="Q149">
        <f t="shared" ref="Q149" si="721">F149*P149</f>
        <v>129516.15719776344</v>
      </c>
      <c r="R149">
        <f t="shared" ref="R149" si="722">R150+Q149</f>
        <v>14079687.44504034</v>
      </c>
      <c r="S149">
        <f t="shared" ref="S149" si="723">R149/100000</f>
        <v>140.79687445040341</v>
      </c>
      <c r="T149">
        <f t="shared" ref="T149" si="724">S149/1000</f>
        <v>0.1407968744504034</v>
      </c>
    </row>
    <row r="150" spans="1:20" x14ac:dyDescent="0.25">
      <c r="A150" s="5">
        <v>44443</v>
      </c>
      <c r="B150">
        <v>713.6</v>
      </c>
      <c r="C150">
        <v>737.5</v>
      </c>
      <c r="D150">
        <v>696.4</v>
      </c>
      <c r="E150">
        <v>709</v>
      </c>
      <c r="F150">
        <v>162246.49484</v>
      </c>
      <c r="G150">
        <v>709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-0.38686131386861239</v>
      </c>
      <c r="Q150">
        <f t="shared" ref="Q150" si="726">F150*P150</f>
        <v>-62766.892164379438</v>
      </c>
      <c r="R150">
        <f t="shared" ref="R150" si="727">R151+Q150</f>
        <v>13950171.287842575</v>
      </c>
      <c r="S150">
        <f t="shared" ref="S150" si="728">R150/100000</f>
        <v>139.50171287842576</v>
      </c>
      <c r="T150">
        <f t="shared" ref="T150" si="729">S150/1000</f>
        <v>0.13950171287842578</v>
      </c>
    </row>
    <row r="151" spans="1:20" x14ac:dyDescent="0.25">
      <c r="A151" s="5">
        <v>44442</v>
      </c>
      <c r="B151">
        <v>664.3</v>
      </c>
      <c r="C151">
        <v>721.7</v>
      </c>
      <c r="D151">
        <v>651</v>
      </c>
      <c r="E151">
        <v>713.7</v>
      </c>
      <c r="F151">
        <v>183097.98986999999</v>
      </c>
      <c r="G151">
        <v>713.7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0.77369165487977387</v>
      </c>
      <c r="Q151">
        <f t="shared" ref="Q151" si="731">F151*P151</f>
        <v>141661.38678768036</v>
      </c>
      <c r="R151">
        <f t="shared" ref="R151" si="732">R152+Q151</f>
        <v>14012938.180006955</v>
      </c>
      <c r="S151">
        <f t="shared" ref="S151" si="733">R151/100000</f>
        <v>140.12938180006955</v>
      </c>
      <c r="T151">
        <f t="shared" ref="T151" si="734">S151/1000</f>
        <v>0.14012938180006956</v>
      </c>
    </row>
    <row r="152" spans="1:20" x14ac:dyDescent="0.25">
      <c r="A152" s="5">
        <v>44441</v>
      </c>
      <c r="B152">
        <v>655.8</v>
      </c>
      <c r="C152">
        <v>673.9</v>
      </c>
      <c r="D152">
        <v>652.5</v>
      </c>
      <c r="E152">
        <v>664.3</v>
      </c>
      <c r="F152">
        <v>78695.692999999999</v>
      </c>
      <c r="G152">
        <v>664.3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0.10280373831775393</v>
      </c>
      <c r="Q152">
        <f t="shared" ref="Q152" si="736">F152*P152</f>
        <v>8090.2114299062996</v>
      </c>
      <c r="R152">
        <f t="shared" ref="R152" si="737">R153+Q152</f>
        <v>13871276.793219274</v>
      </c>
      <c r="S152">
        <f t="shared" ref="S152" si="738">R152/100000</f>
        <v>138.71276793219275</v>
      </c>
      <c r="T152">
        <f t="shared" ref="T152" si="739">S152/1000</f>
        <v>0.13871276793219275</v>
      </c>
    </row>
    <row r="153" spans="1:20" x14ac:dyDescent="0.25">
      <c r="A153" s="5">
        <v>44440</v>
      </c>
      <c r="B153">
        <v>636.79999999999995</v>
      </c>
      <c r="C153">
        <v>657.4</v>
      </c>
      <c r="D153">
        <v>625.29999999999995</v>
      </c>
      <c r="E153">
        <v>655.7</v>
      </c>
      <c r="F153">
        <v>109121.63800000001</v>
      </c>
      <c r="G153">
        <v>655.7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0.89408099688473952</v>
      </c>
      <c r="Q153">
        <f t="shared" ref="Q153" si="741">F153*P153</f>
        <v>97563.582884735675</v>
      </c>
      <c r="R153">
        <f t="shared" ref="R153" si="742">R154+Q153</f>
        <v>13863186.581789367</v>
      </c>
      <c r="S153">
        <f t="shared" ref="S153" si="743">R153/100000</f>
        <v>138.63186581789367</v>
      </c>
      <c r="T153">
        <f t="shared" ref="T153" si="744">S153/1000</f>
        <v>0.13863186581789366</v>
      </c>
    </row>
    <row r="154" spans="1:20" x14ac:dyDescent="0.25">
      <c r="A154" s="5">
        <v>44439</v>
      </c>
      <c r="B154">
        <v>632.29999999999995</v>
      </c>
      <c r="C154">
        <v>651.4</v>
      </c>
      <c r="D154">
        <v>623.9</v>
      </c>
      <c r="E154">
        <v>636.6</v>
      </c>
      <c r="F154">
        <v>85649.524999999994</v>
      </c>
      <c r="G154">
        <v>636.6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-7.6363636363633053E-2</v>
      </c>
      <c r="Q154">
        <f t="shared" ref="Q154" si="746">F154*P154</f>
        <v>-6540.509181817898</v>
      </c>
      <c r="R154">
        <f t="shared" ref="R154" si="747">R155+Q154</f>
        <v>13765622.998904631</v>
      </c>
      <c r="S154">
        <f t="shared" ref="S154" si="748">R154/100000</f>
        <v>137.6562299890463</v>
      </c>
      <c r="T154">
        <f t="shared" ref="T154" si="749">S154/1000</f>
        <v>0.13765622998904631</v>
      </c>
    </row>
    <row r="155" spans="1:20" x14ac:dyDescent="0.25">
      <c r="A155" s="5">
        <v>44438</v>
      </c>
      <c r="B155">
        <v>659</v>
      </c>
      <c r="C155">
        <v>665.2</v>
      </c>
      <c r="D155">
        <v>630</v>
      </c>
      <c r="E155">
        <v>632.4</v>
      </c>
      <c r="F155">
        <v>82527.805999999997</v>
      </c>
      <c r="G155">
        <v>632.4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-0.86363636363636509</v>
      </c>
      <c r="Q155">
        <f t="shared" ref="Q155" si="751">F155*P155</f>
        <v>-71274.014272727392</v>
      </c>
      <c r="R155">
        <f t="shared" ref="R155" si="752">R156+Q155</f>
        <v>13772163.508086449</v>
      </c>
      <c r="S155">
        <f t="shared" ref="S155" si="753">R155/100000</f>
        <v>137.72163508086447</v>
      </c>
      <c r="T155">
        <f t="shared" ref="T155" si="754">S155/1000</f>
        <v>0.13772163508086446</v>
      </c>
    </row>
    <row r="156" spans="1:20" x14ac:dyDescent="0.25">
      <c r="A156" s="5">
        <v>44437</v>
      </c>
      <c r="B156">
        <v>646.6</v>
      </c>
      <c r="C156">
        <v>693.4</v>
      </c>
      <c r="D156">
        <v>646.5</v>
      </c>
      <c r="E156">
        <v>659</v>
      </c>
      <c r="F156">
        <v>208061.96325</v>
      </c>
      <c r="G156">
        <v>659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-0.46695095948827264</v>
      </c>
      <c r="Q156">
        <f t="shared" ref="Q156" si="756">F156*P156</f>
        <v>-97154.733372601215</v>
      </c>
      <c r="R156">
        <f t="shared" ref="R156" si="757">R157+Q156</f>
        <v>13843437.522359176</v>
      </c>
      <c r="S156">
        <f t="shared" ref="S156" si="758">R156/100000</f>
        <v>138.43437522359176</v>
      </c>
      <c r="T156">
        <f t="shared" ref="T156" si="759">S156/1000</f>
        <v>0.13843437522359175</v>
      </c>
    </row>
    <row r="157" spans="1:20" x14ac:dyDescent="0.25">
      <c r="A157" s="5">
        <v>44436</v>
      </c>
      <c r="B157">
        <v>635.9</v>
      </c>
      <c r="C157">
        <v>646.79999999999995</v>
      </c>
      <c r="D157">
        <v>622.4</v>
      </c>
      <c r="E157">
        <v>646.6</v>
      </c>
      <c r="F157">
        <v>59859.89069</v>
      </c>
      <c r="G157">
        <v>646.6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0.98360655737705471</v>
      </c>
      <c r="Q157">
        <f t="shared" ref="Q157" si="761">F157*P157</f>
        <v>58878.58100655771</v>
      </c>
      <c r="R157">
        <f t="shared" ref="R157" si="762">R158+Q157</f>
        <v>13940592.255731776</v>
      </c>
      <c r="S157">
        <f t="shared" ref="S157" si="763">R157/100000</f>
        <v>139.40592255731775</v>
      </c>
      <c r="T157">
        <f t="shared" ref="T157" si="764">S157/1000</f>
        <v>0.13940592255731776</v>
      </c>
    </row>
    <row r="158" spans="1:20" x14ac:dyDescent="0.25">
      <c r="A158" s="5">
        <v>44435</v>
      </c>
      <c r="B158">
        <v>606.20000000000005</v>
      </c>
      <c r="C158">
        <v>636.4</v>
      </c>
      <c r="D158">
        <v>596.20000000000005</v>
      </c>
      <c r="E158">
        <v>636</v>
      </c>
      <c r="F158">
        <v>81897.107180000006</v>
      </c>
      <c r="G158">
        <v>636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0.98009950248756328</v>
      </c>
      <c r="Q158">
        <f t="shared" ref="Q158" si="766">F158*P158</f>
        <v>80267.314002288651</v>
      </c>
      <c r="R158">
        <f t="shared" ref="R158" si="767">R159+Q158</f>
        <v>13881713.674725218</v>
      </c>
      <c r="S158">
        <f t="shared" ref="S158" si="768">R158/100000</f>
        <v>138.81713674725216</v>
      </c>
      <c r="T158">
        <f t="shared" ref="T158" si="769">S158/1000</f>
        <v>0.13881713674725216</v>
      </c>
    </row>
    <row r="159" spans="1:20" x14ac:dyDescent="0.25">
      <c r="A159" s="5">
        <v>44434</v>
      </c>
      <c r="B159">
        <v>650.4</v>
      </c>
      <c r="C159">
        <v>656.26</v>
      </c>
      <c r="D159">
        <v>603.89</v>
      </c>
      <c r="E159">
        <v>606.1</v>
      </c>
      <c r="F159">
        <v>85550.874410000004</v>
      </c>
      <c r="G159">
        <v>606.1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-0.91560053465724511</v>
      </c>
      <c r="Q159">
        <f t="shared" ref="Q159" si="771">F159*P159</f>
        <v>-78330.426350190828</v>
      </c>
      <c r="R159">
        <f t="shared" ref="R159" si="772">R160+Q159</f>
        <v>13801446.360722929</v>
      </c>
      <c r="S159">
        <f t="shared" ref="S159" si="773">R159/100000</f>
        <v>138.01446360722929</v>
      </c>
      <c r="T159">
        <f t="shared" ref="T159" si="774">S159/1000</f>
        <v>0.1380144636072293</v>
      </c>
    </row>
    <row r="160" spans="1:20" x14ac:dyDescent="0.25">
      <c r="A160" s="5">
        <v>44433</v>
      </c>
      <c r="B160">
        <v>636.25</v>
      </c>
      <c r="C160">
        <v>658.76</v>
      </c>
      <c r="D160">
        <v>626.28</v>
      </c>
      <c r="E160">
        <v>650.39</v>
      </c>
      <c r="F160">
        <v>85748.257429999998</v>
      </c>
      <c r="G160">
        <v>650.39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0.48460591133004927</v>
      </c>
      <c r="Q160">
        <f t="shared" ref="Q160" si="776">F160*P160</f>
        <v>41554.112436828815</v>
      </c>
      <c r="R160">
        <f t="shared" ref="R160" si="777">R161+Q160</f>
        <v>13879776.78707312</v>
      </c>
      <c r="S160">
        <f t="shared" ref="S160" si="778">R160/100000</f>
        <v>138.79776787073121</v>
      </c>
      <c r="T160">
        <f t="shared" ref="T160" si="779">S160/1000</f>
        <v>0.1387977678707312</v>
      </c>
    </row>
    <row r="161" spans="1:20" x14ac:dyDescent="0.25">
      <c r="A161" s="5">
        <v>44432</v>
      </c>
      <c r="B161">
        <v>678.05</v>
      </c>
      <c r="C161">
        <v>683.68</v>
      </c>
      <c r="D161">
        <v>633.27</v>
      </c>
      <c r="E161">
        <v>636.38</v>
      </c>
      <c r="F161">
        <v>92281.604810000004</v>
      </c>
      <c r="G161">
        <v>636.38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-0.87661178337631362</v>
      </c>
      <c r="Q161">
        <f t="shared" ref="Q161" si="781">F161*P161</f>
        <v>-80895.142165322308</v>
      </c>
      <c r="R161">
        <f t="shared" ref="R161" si="782">R162+Q161</f>
        <v>13838222.674636291</v>
      </c>
      <c r="S161">
        <f t="shared" ref="S161" si="783">R161/100000</f>
        <v>138.3822267463629</v>
      </c>
      <c r="T161">
        <f t="shared" ref="T161" si="784">S161/1000</f>
        <v>0.13838222674636291</v>
      </c>
    </row>
    <row r="162" spans="1:20" x14ac:dyDescent="0.25">
      <c r="A162" s="5">
        <v>44431</v>
      </c>
      <c r="B162">
        <v>672.32</v>
      </c>
      <c r="C162">
        <v>694.24</v>
      </c>
      <c r="D162">
        <v>664.12</v>
      </c>
      <c r="E162">
        <v>678.22</v>
      </c>
      <c r="F162">
        <v>148585.12555</v>
      </c>
      <c r="G162">
        <v>678.22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-6.374501992031735E-2</v>
      </c>
      <c r="Q162">
        <f t="shared" ref="Q162" si="786">F162*P162</f>
        <v>-9471.5617880476038</v>
      </c>
      <c r="R162">
        <f t="shared" ref="R162" si="787">R163+Q162</f>
        <v>13919117.816801613</v>
      </c>
      <c r="S162">
        <f t="shared" ref="S162" si="788">R162/100000</f>
        <v>139.19117816801614</v>
      </c>
      <c r="T162">
        <f t="shared" ref="T162" si="789">S162/1000</f>
        <v>0.13919117816801613</v>
      </c>
    </row>
    <row r="163" spans="1:20" x14ac:dyDescent="0.25">
      <c r="A163" s="5">
        <v>44430</v>
      </c>
      <c r="B163">
        <v>675.32</v>
      </c>
      <c r="C163">
        <v>687.65</v>
      </c>
      <c r="D163">
        <v>672.77</v>
      </c>
      <c r="E163">
        <v>685.82</v>
      </c>
      <c r="F163">
        <v>16263.825290000001</v>
      </c>
      <c r="G163">
        <v>685.82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0.75403225806452578</v>
      </c>
      <c r="Q163">
        <f t="shared" ref="Q163" si="791">F163*P163</f>
        <v>12263.448908185641</v>
      </c>
      <c r="R163">
        <f t="shared" ref="R163" si="792">R164+Q163</f>
        <v>13928589.37858966</v>
      </c>
      <c r="S163">
        <f t="shared" ref="S163" si="793">R163/100000</f>
        <v>139.2858937858966</v>
      </c>
      <c r="T163">
        <f t="shared" ref="T163" si="794">S163/1000</f>
        <v>0.13928589378589659</v>
      </c>
    </row>
    <row r="164" spans="1:20" x14ac:dyDescent="0.25">
      <c r="A164" s="5">
        <v>44429</v>
      </c>
      <c r="B164">
        <v>694.08</v>
      </c>
      <c r="C164">
        <v>700</v>
      </c>
      <c r="D164">
        <v>671.25</v>
      </c>
      <c r="E164">
        <v>675.56</v>
      </c>
      <c r="F164">
        <v>88300.183739999993</v>
      </c>
      <c r="G164">
        <v>675.56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-0.70017391304348209</v>
      </c>
      <c r="Q164">
        <f t="shared" ref="Q164" si="796">F164*P164</f>
        <v>-61825.485171694243</v>
      </c>
      <c r="R164">
        <f t="shared" ref="R164" si="797">R165+Q164</f>
        <v>13916325.929681474</v>
      </c>
      <c r="S164">
        <f t="shared" ref="S164" si="798">R164/100000</f>
        <v>139.16325929681474</v>
      </c>
      <c r="T164">
        <f t="shared" ref="T164" si="799">S164/1000</f>
        <v>0.13916325929681475</v>
      </c>
    </row>
    <row r="165" spans="1:20" x14ac:dyDescent="0.25">
      <c r="A165" s="5">
        <v>44428</v>
      </c>
      <c r="B165">
        <v>659.71</v>
      </c>
      <c r="C165">
        <v>700.45</v>
      </c>
      <c r="D165">
        <v>652.13</v>
      </c>
      <c r="E165">
        <v>693.99</v>
      </c>
      <c r="F165">
        <v>97292.225959999996</v>
      </c>
      <c r="G165">
        <v>693.99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0.73261589403973382</v>
      </c>
      <c r="Q165">
        <f t="shared" ref="Q165" si="801">F165*P165</f>
        <v>71277.831104801196</v>
      </c>
      <c r="R165">
        <f t="shared" ref="R165" si="802">R166+Q165</f>
        <v>13978151.414853169</v>
      </c>
      <c r="S165">
        <f t="shared" ref="S165" si="803">R165/100000</f>
        <v>139.7815141485317</v>
      </c>
      <c r="T165">
        <f t="shared" ref="T165" si="804">S165/1000</f>
        <v>0.13978151414853171</v>
      </c>
    </row>
    <row r="166" spans="1:20" x14ac:dyDescent="0.25">
      <c r="A166" s="5">
        <v>44427</v>
      </c>
      <c r="B166">
        <v>631.95000000000005</v>
      </c>
      <c r="C166">
        <v>660.27</v>
      </c>
      <c r="D166">
        <v>619.6</v>
      </c>
      <c r="E166">
        <v>659.83</v>
      </c>
      <c r="F166">
        <v>87859.819529999993</v>
      </c>
      <c r="G166">
        <v>659.83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0.97836242930907591</v>
      </c>
      <c r="Q166">
        <f t="shared" ref="Q166" si="806">F166*P166</f>
        <v>85958.746474027779</v>
      </c>
      <c r="R166">
        <f t="shared" ref="R166" si="807">R167+Q166</f>
        <v>13906873.583748367</v>
      </c>
      <c r="S166">
        <f t="shared" ref="S166" si="808">R166/100000</f>
        <v>139.06873583748367</v>
      </c>
      <c r="T166">
        <f t="shared" ref="T166" si="809">S166/1000</f>
        <v>0.13906873583748366</v>
      </c>
    </row>
    <row r="167" spans="1:20" x14ac:dyDescent="0.25">
      <c r="A167" s="5">
        <v>44426</v>
      </c>
      <c r="B167">
        <v>639.13</v>
      </c>
      <c r="C167">
        <v>655.25</v>
      </c>
      <c r="D167">
        <v>619.72</v>
      </c>
      <c r="E167">
        <v>632.04</v>
      </c>
      <c r="F167">
        <v>108628.80486</v>
      </c>
      <c r="G167">
        <v>632.04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-0.30650154798761914</v>
      </c>
      <c r="Q167">
        <f t="shared" ref="Q167" si="811">F167*P167</f>
        <v>-33294.896845635005</v>
      </c>
      <c r="R167">
        <f t="shared" ref="R167" si="812">R168+Q167</f>
        <v>13820914.837274339</v>
      </c>
      <c r="S167">
        <f t="shared" ref="S167" si="813">R167/100000</f>
        <v>138.20914837274339</v>
      </c>
      <c r="T167">
        <f t="shared" ref="T167" si="814">S167/1000</f>
        <v>0.1382091483727434</v>
      </c>
    </row>
    <row r="168" spans="1:20" x14ac:dyDescent="0.25">
      <c r="A168" s="5">
        <v>44425</v>
      </c>
      <c r="B168">
        <v>673.26</v>
      </c>
      <c r="C168">
        <v>691.05</v>
      </c>
      <c r="D168">
        <v>637.66</v>
      </c>
      <c r="E168">
        <v>639.19000000000005</v>
      </c>
      <c r="F168">
        <v>109258.83752</v>
      </c>
      <c r="G168">
        <v>639.19000000000005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-0.94268589623524679</v>
      </c>
      <c r="Q168">
        <f t="shared" ref="Q168" si="816">F168*P168</f>
        <v>-102996.76516916241</v>
      </c>
      <c r="R168">
        <f t="shared" ref="R168" si="817">R169+Q168</f>
        <v>13854209.734119974</v>
      </c>
      <c r="S168">
        <f t="shared" ref="S168" si="818">R168/100000</f>
        <v>138.54209734119974</v>
      </c>
      <c r="T168">
        <f t="shared" ref="T168" si="819">S168/1000</f>
        <v>0.13854209734119974</v>
      </c>
    </row>
    <row r="169" spans="1:20" x14ac:dyDescent="0.25">
      <c r="A169" s="5">
        <v>44424</v>
      </c>
      <c r="B169">
        <v>703.25</v>
      </c>
      <c r="C169">
        <v>714.76</v>
      </c>
      <c r="D169">
        <v>673.16</v>
      </c>
      <c r="E169">
        <v>673.31</v>
      </c>
      <c r="F169">
        <v>119743.49098</v>
      </c>
      <c r="G169">
        <v>673.31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-0.99278846153846267</v>
      </c>
      <c r="Q169">
        <f t="shared" ref="Q169" si="821">F169*P169</f>
        <v>-118879.95618927898</v>
      </c>
      <c r="R169">
        <f t="shared" ref="R169" si="822">R170+Q169</f>
        <v>13957206.499289136</v>
      </c>
      <c r="S169">
        <f t="shared" ref="S169" si="823">R169/100000</f>
        <v>139.57206499289137</v>
      </c>
      <c r="T169">
        <f t="shared" ref="T169" si="824">S169/1000</f>
        <v>0.13957206499289138</v>
      </c>
    </row>
    <row r="170" spans="1:20" x14ac:dyDescent="0.25">
      <c r="A170" s="5">
        <v>44423</v>
      </c>
      <c r="B170">
        <v>691.95</v>
      </c>
      <c r="C170">
        <v>709.66</v>
      </c>
      <c r="D170">
        <v>672.03</v>
      </c>
      <c r="E170">
        <v>703.42</v>
      </c>
      <c r="F170">
        <v>164209.90547999999</v>
      </c>
      <c r="G170">
        <v>703.42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0.66834972096731282</v>
      </c>
      <c r="Q170">
        <f t="shared" ref="Q170" si="826">F170*P170</f>
        <v>109749.6445076268</v>
      </c>
      <c r="R170">
        <f t="shared" ref="R170" si="827">R171+Q170</f>
        <v>14076086.455478415</v>
      </c>
      <c r="S170">
        <f t="shared" ref="S170" si="828">R170/100000</f>
        <v>140.76086455478415</v>
      </c>
      <c r="T170">
        <f t="shared" ref="T170" si="829">S170/1000</f>
        <v>0.14076086455478415</v>
      </c>
    </row>
    <row r="171" spans="1:20" x14ac:dyDescent="0.25">
      <c r="A171" s="5">
        <v>44422</v>
      </c>
      <c r="B171">
        <v>654.5</v>
      </c>
      <c r="C171">
        <v>692.88</v>
      </c>
      <c r="D171">
        <v>642</v>
      </c>
      <c r="E171">
        <v>692.08</v>
      </c>
      <c r="F171">
        <v>147262.58574000001</v>
      </c>
      <c r="G171">
        <v>692.08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0.96855345911949864</v>
      </c>
      <c r="Q171">
        <f t="shared" ref="Q171" si="831">F171*P171</f>
        <v>142631.68681735877</v>
      </c>
      <c r="R171">
        <f t="shared" ref="R171" si="832">R172+Q171</f>
        <v>13966336.810970789</v>
      </c>
      <c r="S171">
        <f t="shared" ref="S171" si="833">R171/100000</f>
        <v>139.66336810970787</v>
      </c>
      <c r="T171">
        <f t="shared" ref="T171" si="834">S171/1000</f>
        <v>0.13966336810970786</v>
      </c>
    </row>
    <row r="172" spans="1:20" x14ac:dyDescent="0.25">
      <c r="A172" s="5">
        <v>44421</v>
      </c>
      <c r="B172">
        <v>606.09</v>
      </c>
      <c r="C172">
        <v>655.48</v>
      </c>
      <c r="D172">
        <v>601.1</v>
      </c>
      <c r="E172">
        <v>654.44000000000005</v>
      </c>
      <c r="F172">
        <v>109691.85795999999</v>
      </c>
      <c r="G172">
        <v>654.44000000000005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0.96175064361897888</v>
      </c>
      <c r="Q172">
        <f t="shared" ref="Q172" si="836">F172*P172</f>
        <v>105496.2149927916</v>
      </c>
      <c r="R172">
        <f t="shared" ref="R172" si="837">R173+Q172</f>
        <v>13823705.12415343</v>
      </c>
      <c r="S172">
        <f t="shared" ref="S172" si="838">R172/100000</f>
        <v>138.23705124153429</v>
      </c>
      <c r="T172">
        <f t="shared" ref="T172" si="839">S172/1000</f>
        <v>0.13823705124153429</v>
      </c>
    </row>
    <row r="173" spans="1:20" x14ac:dyDescent="0.25">
      <c r="A173" s="5">
        <v>44420</v>
      </c>
      <c r="B173">
        <v>620.28</v>
      </c>
      <c r="C173">
        <v>649.86</v>
      </c>
      <c r="D173">
        <v>592.37</v>
      </c>
      <c r="E173">
        <v>606.21</v>
      </c>
      <c r="F173">
        <v>164788.81625</v>
      </c>
      <c r="G173">
        <v>606.21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-0.51852496086275768</v>
      </c>
      <c r="Q173">
        <f t="shared" ref="Q173" si="841">F173*P173</f>
        <v>-85447.114496651411</v>
      </c>
      <c r="R173">
        <f t="shared" ref="R173" si="842">R174+Q173</f>
        <v>13718208.909160638</v>
      </c>
      <c r="S173">
        <f t="shared" ref="S173" si="843">R173/100000</f>
        <v>137.18208909160637</v>
      </c>
      <c r="T173">
        <f t="shared" ref="T173" si="844">S173/1000</f>
        <v>0.13718208909160637</v>
      </c>
    </row>
    <row r="174" spans="1:20" x14ac:dyDescent="0.25">
      <c r="A174" s="5">
        <v>44419</v>
      </c>
      <c r="B174">
        <v>592.24</v>
      </c>
      <c r="C174">
        <v>632.46</v>
      </c>
      <c r="D174">
        <v>590.49</v>
      </c>
      <c r="E174">
        <v>620.37</v>
      </c>
      <c r="F174">
        <v>143601.15166999999</v>
      </c>
      <c r="G174">
        <v>620.37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0.4238741958541804</v>
      </c>
      <c r="Q174">
        <f t="shared" ref="Q174" si="846">F174*P174</f>
        <v>60868.822687855441</v>
      </c>
      <c r="R174">
        <f t="shared" ref="R174" si="847">R175+Q174</f>
        <v>13803656.02365729</v>
      </c>
      <c r="S174">
        <f t="shared" ref="S174" si="848">R174/100000</f>
        <v>138.03656023657291</v>
      </c>
      <c r="T174">
        <f t="shared" ref="T174" si="849">S174/1000</f>
        <v>0.1380365602365729</v>
      </c>
    </row>
    <row r="175" spans="1:20" x14ac:dyDescent="0.25">
      <c r="A175" s="5">
        <v>44418</v>
      </c>
      <c r="B175">
        <v>591.32000000000005</v>
      </c>
      <c r="C175">
        <v>607.57000000000005</v>
      </c>
      <c r="D175">
        <v>573.4</v>
      </c>
      <c r="E175">
        <v>592.05999999999995</v>
      </c>
      <c r="F175">
        <v>144091.9939</v>
      </c>
      <c r="G175">
        <v>592.05999999999995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9.218612818261214E-2</v>
      </c>
      <c r="Q175">
        <f t="shared" ref="Q175" si="851">F175*P175</f>
        <v>13283.283019753566</v>
      </c>
      <c r="R175">
        <f t="shared" ref="R175" si="852">R176+Q175</f>
        <v>13742787.200969435</v>
      </c>
      <c r="S175">
        <f t="shared" ref="S175" si="853">R175/100000</f>
        <v>137.42787200969434</v>
      </c>
      <c r="T175">
        <f t="shared" ref="T175" si="854">S175/1000</f>
        <v>0.13742787200969434</v>
      </c>
    </row>
    <row r="176" spans="1:20" x14ac:dyDescent="0.25">
      <c r="A176" s="5">
        <v>44417</v>
      </c>
      <c r="B176">
        <v>555.57000000000005</v>
      </c>
      <c r="C176">
        <v>601</v>
      </c>
      <c r="D176">
        <v>543.08000000000004</v>
      </c>
      <c r="E176">
        <v>591.37</v>
      </c>
      <c r="F176">
        <v>162018.25286000001</v>
      </c>
      <c r="G176">
        <v>591.37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0.66747237569060769</v>
      </c>
      <c r="Q176">
        <f t="shared" ref="Q176" si="856">F176*P176</f>
        <v>108142.70814170579</v>
      </c>
      <c r="R176">
        <f t="shared" ref="R176" si="857">R177+Q176</f>
        <v>13729503.917949682</v>
      </c>
      <c r="S176">
        <f t="shared" ref="S176" si="858">R176/100000</f>
        <v>137.29503917949683</v>
      </c>
      <c r="T176">
        <f t="shared" ref="T176" si="859">S176/1000</f>
        <v>0.13729503917949681</v>
      </c>
    </row>
    <row r="177" spans="1:20" x14ac:dyDescent="0.25">
      <c r="A177" s="5">
        <v>44416</v>
      </c>
      <c r="B177">
        <v>583.61</v>
      </c>
      <c r="C177">
        <v>590.01</v>
      </c>
      <c r="D177">
        <v>554.04999999999995</v>
      </c>
      <c r="E177">
        <v>555.55999999999995</v>
      </c>
      <c r="F177">
        <v>144243.45952</v>
      </c>
      <c r="G177">
        <v>555.55999999999995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-0.91601779755283708</v>
      </c>
      <c r="Q177">
        <f t="shared" ref="Q177" si="861">F177*P177</f>
        <v>-132129.57610091221</v>
      </c>
      <c r="R177">
        <f t="shared" ref="R177" si="862">R178+Q177</f>
        <v>13621361.209807977</v>
      </c>
      <c r="S177">
        <f t="shared" ref="S177" si="863">R177/100000</f>
        <v>136.21361209807978</v>
      </c>
      <c r="T177">
        <f t="shared" ref="T177" si="864">S177/1000</f>
        <v>0.13621361209807978</v>
      </c>
    </row>
    <row r="178" spans="1:20" x14ac:dyDescent="0.25">
      <c r="A178" s="5">
        <v>44415</v>
      </c>
      <c r="B178">
        <v>557.45000000000005</v>
      </c>
      <c r="C178">
        <v>590.76</v>
      </c>
      <c r="D178">
        <v>553.41999999999996</v>
      </c>
      <c r="E178">
        <v>583.53</v>
      </c>
      <c r="F178">
        <v>190862.13152</v>
      </c>
      <c r="G178">
        <v>583.53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0.61274772362078134</v>
      </c>
      <c r="Q178">
        <f t="shared" ref="Q178" si="866">F178*P178</f>
        <v>116950.33661429018</v>
      </c>
      <c r="R178">
        <f t="shared" ref="R178" si="867">R179+Q178</f>
        <v>13753490.785908889</v>
      </c>
      <c r="S178">
        <f t="shared" ref="S178" si="868">R178/100000</f>
        <v>137.53490785908889</v>
      </c>
      <c r="T178">
        <f t="shared" ref="T178" si="869">S178/1000</f>
        <v>0.1375349078590889</v>
      </c>
    </row>
    <row r="179" spans="1:20" x14ac:dyDescent="0.25">
      <c r="A179" s="5">
        <v>44414</v>
      </c>
      <c r="B179">
        <v>548.41999999999996</v>
      </c>
      <c r="C179">
        <v>561.16999999999996</v>
      </c>
      <c r="D179">
        <v>536.92999999999995</v>
      </c>
      <c r="E179">
        <v>557.41999999999996</v>
      </c>
      <c r="F179">
        <v>132109.43213999999</v>
      </c>
      <c r="G179">
        <v>557.41999999999996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0.69059405940594076</v>
      </c>
      <c r="Q179">
        <f t="shared" ref="Q179" si="871">F179*P179</f>
        <v>91233.989027376258</v>
      </c>
      <c r="R179">
        <f t="shared" ref="R179" si="872">R180+Q179</f>
        <v>13636540.449294599</v>
      </c>
      <c r="S179">
        <f t="shared" ref="S179" si="873">R179/100000</f>
        <v>136.365404492946</v>
      </c>
      <c r="T179">
        <f t="shared" ref="T179" si="874">S179/1000</f>
        <v>0.13636540449294599</v>
      </c>
    </row>
    <row r="180" spans="1:20" x14ac:dyDescent="0.25">
      <c r="A180" s="5">
        <v>44413</v>
      </c>
      <c r="B180">
        <v>545.73</v>
      </c>
      <c r="C180">
        <v>550.82000000000005</v>
      </c>
      <c r="D180">
        <v>522.66</v>
      </c>
      <c r="E180">
        <v>548.39</v>
      </c>
      <c r="F180">
        <v>128862.96248</v>
      </c>
      <c r="G180">
        <v>548.39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0.82741477272726871</v>
      </c>
      <c r="Q180">
        <f t="shared" ref="Q180" si="876">F180*P180</f>
        <v>106623.11881335176</v>
      </c>
      <c r="R180">
        <f t="shared" ref="R180" si="877">R181+Q180</f>
        <v>13545306.460267223</v>
      </c>
      <c r="S180">
        <f t="shared" ref="S180" si="878">R180/100000</f>
        <v>135.45306460267224</v>
      </c>
      <c r="T180">
        <f t="shared" ref="T180" si="879">S180/1000</f>
        <v>0.13545306460267223</v>
      </c>
    </row>
    <row r="181" spans="1:20" x14ac:dyDescent="0.25">
      <c r="A181" s="5">
        <v>44412</v>
      </c>
      <c r="B181">
        <v>538.52</v>
      </c>
      <c r="C181">
        <v>552.84</v>
      </c>
      <c r="D181">
        <v>524.44000000000005</v>
      </c>
      <c r="E181">
        <v>545.72</v>
      </c>
      <c r="F181">
        <v>87376.846489999996</v>
      </c>
      <c r="G181">
        <v>545.72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0.49859154929577393</v>
      </c>
      <c r="Q181">
        <f t="shared" ref="Q181" si="881">F181*P181</f>
        <v>43565.357264028105</v>
      </c>
      <c r="R181">
        <f t="shared" ref="R181" si="882">R182+Q181</f>
        <v>13438683.341453871</v>
      </c>
      <c r="S181">
        <f t="shared" ref="S181" si="883">R181/100000</f>
        <v>134.3868334145387</v>
      </c>
      <c r="T181">
        <f t="shared" ref="T181" si="884">S181/1000</f>
        <v>0.13438683341453869</v>
      </c>
    </row>
    <row r="182" spans="1:20" x14ac:dyDescent="0.25">
      <c r="A182" s="5">
        <v>44411</v>
      </c>
      <c r="B182">
        <v>543.27</v>
      </c>
      <c r="C182">
        <v>551.91999999999996</v>
      </c>
      <c r="D182">
        <v>521.32000000000005</v>
      </c>
      <c r="E182">
        <v>538.6</v>
      </c>
      <c r="F182">
        <v>91067.607390000005</v>
      </c>
      <c r="G182">
        <v>538.6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0.12941176470588392</v>
      </c>
      <c r="Q182">
        <f t="shared" ref="Q182" si="886">F182*P182</f>
        <v>11785.219779882496</v>
      </c>
      <c r="R182">
        <f t="shared" ref="R182" si="887">R183+Q182</f>
        <v>13395117.984189842</v>
      </c>
      <c r="S182">
        <f t="shared" ref="S182" si="888">R182/100000</f>
        <v>133.95117984189841</v>
      </c>
      <c r="T182">
        <f t="shared" ref="T182" si="889">S182/1000</f>
        <v>0.13395117984189842</v>
      </c>
    </row>
    <row r="183" spans="1:20" x14ac:dyDescent="0.25">
      <c r="A183" s="5">
        <v>44410</v>
      </c>
      <c r="B183">
        <v>526.26</v>
      </c>
      <c r="C183">
        <v>567.57000000000005</v>
      </c>
      <c r="D183">
        <v>519.5</v>
      </c>
      <c r="E183">
        <v>543.29999999999995</v>
      </c>
      <c r="F183">
        <v>132569.06315999999</v>
      </c>
      <c r="G183">
        <v>543.29999999999995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-9.7774079467472536E-3</v>
      </c>
      <c r="Q183">
        <f t="shared" ref="Q183" si="891">F183*P183</f>
        <v>-1296.1818116334225</v>
      </c>
      <c r="R183">
        <f t="shared" ref="R183" si="892">R184+Q183</f>
        <v>13383332.764409959</v>
      </c>
      <c r="S183">
        <f t="shared" ref="S183" si="893">R183/100000</f>
        <v>133.8333276440996</v>
      </c>
      <c r="T183">
        <f t="shared" ref="T183" si="894">S183/1000</f>
        <v>0.13383332764409961</v>
      </c>
    </row>
    <row r="184" spans="1:20" x14ac:dyDescent="0.25">
      <c r="A184" s="5">
        <v>44409</v>
      </c>
      <c r="B184">
        <v>545.79999999999995</v>
      </c>
      <c r="C184">
        <v>564.57000000000005</v>
      </c>
      <c r="D184">
        <v>512</v>
      </c>
      <c r="E184">
        <v>526.26</v>
      </c>
      <c r="F184">
        <v>128112.36165000001</v>
      </c>
      <c r="G184">
        <v>526.26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-0.45748525775157017</v>
      </c>
      <c r="Q184">
        <f t="shared" ref="Q184" si="896">F184*P184</f>
        <v>-58609.51679061263</v>
      </c>
      <c r="R184">
        <f t="shared" ref="R184" si="897">R185+Q184</f>
        <v>13384628.946221592</v>
      </c>
      <c r="S184">
        <f t="shared" ref="S184" si="898">R184/100000</f>
        <v>133.84628946221591</v>
      </c>
      <c r="T184">
        <f t="shared" ref="T184" si="899">S184/1000</f>
        <v>0.13384628946221591</v>
      </c>
    </row>
    <row r="185" spans="1:20" x14ac:dyDescent="0.25">
      <c r="A185" s="5">
        <v>44408</v>
      </c>
      <c r="B185">
        <v>552.78</v>
      </c>
      <c r="C185">
        <v>558</v>
      </c>
      <c r="D185">
        <v>536.73</v>
      </c>
      <c r="E185">
        <v>545.98</v>
      </c>
      <c r="F185">
        <v>93489.271410000001</v>
      </c>
      <c r="G185">
        <v>545.98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-0.13023037141513794</v>
      </c>
      <c r="Q185">
        <f t="shared" ref="Q185" si="901">F185*P185</f>
        <v>-12175.142539054936</v>
      </c>
      <c r="R185">
        <f t="shared" ref="R185" si="902">R186+Q185</f>
        <v>13443238.463012205</v>
      </c>
      <c r="S185">
        <f t="shared" ref="S185" si="903">R185/100000</f>
        <v>134.43238463012204</v>
      </c>
      <c r="T185">
        <f t="shared" ref="T185" si="904">S185/1000</f>
        <v>0.13443238463012205</v>
      </c>
    </row>
    <row r="186" spans="1:20" x14ac:dyDescent="0.25">
      <c r="A186" s="5">
        <v>44407</v>
      </c>
      <c r="B186">
        <v>539.01</v>
      </c>
      <c r="C186">
        <v>553.38</v>
      </c>
      <c r="D186">
        <v>516.54999999999995</v>
      </c>
      <c r="E186">
        <v>552.77</v>
      </c>
      <c r="F186">
        <v>126232.68551</v>
      </c>
      <c r="G186">
        <v>552.77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0.96687483030138399</v>
      </c>
      <c r="Q186">
        <f t="shared" ref="Q186" si="906">F186*P186</f>
        <v>122051.20638096922</v>
      </c>
      <c r="R186">
        <f t="shared" ref="R186" si="907">R187+Q186</f>
        <v>13455413.60555126</v>
      </c>
      <c r="S186">
        <f t="shared" ref="S186" si="908">R186/100000</f>
        <v>134.5541360555126</v>
      </c>
      <c r="T186">
        <f t="shared" ref="T186" si="909">S186/1000</f>
        <v>0.13455413605551261</v>
      </c>
    </row>
    <row r="187" spans="1:20" x14ac:dyDescent="0.25">
      <c r="A187" s="5">
        <v>44406</v>
      </c>
      <c r="B187">
        <v>511.66</v>
      </c>
      <c r="C187">
        <v>547.66</v>
      </c>
      <c r="D187">
        <v>498.56</v>
      </c>
      <c r="E187">
        <v>538.9</v>
      </c>
      <c r="F187">
        <v>132327.90946</v>
      </c>
      <c r="G187">
        <v>538.9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0.64317718940936874</v>
      </c>
      <c r="Q187">
        <f t="shared" ref="Q187" si="911">F187*P187</f>
        <v>85110.292886900221</v>
      </c>
      <c r="R187">
        <f t="shared" ref="R187" si="912">R188+Q187</f>
        <v>13333362.399170291</v>
      </c>
      <c r="S187">
        <f t="shared" ref="S187" si="913">R187/100000</f>
        <v>133.33362399170289</v>
      </c>
      <c r="T187">
        <f t="shared" ref="T187" si="914">S187/1000</f>
        <v>0.1333336239917029</v>
      </c>
    </row>
    <row r="188" spans="1:20" x14ac:dyDescent="0.25">
      <c r="A188" s="5">
        <v>44405</v>
      </c>
      <c r="B188">
        <v>501.79</v>
      </c>
      <c r="C188">
        <v>519.52</v>
      </c>
      <c r="D188">
        <v>489.26</v>
      </c>
      <c r="E188">
        <v>511.41</v>
      </c>
      <c r="F188">
        <v>136467.60548999999</v>
      </c>
      <c r="G188">
        <v>511.41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0.46397884996695576</v>
      </c>
      <c r="Q188">
        <f t="shared" ref="Q188" si="916">F188*P188</f>
        <v>63318.08265299441</v>
      </c>
      <c r="R188">
        <f t="shared" ref="R188" si="917">R189+Q188</f>
        <v>13248252.106283391</v>
      </c>
      <c r="S188">
        <f t="shared" ref="S188" si="918">R188/100000</f>
        <v>132.48252106283391</v>
      </c>
      <c r="T188">
        <f t="shared" ref="T188" si="919">S188/1000</f>
        <v>0.13248252106283392</v>
      </c>
    </row>
    <row r="189" spans="1:20" x14ac:dyDescent="0.25">
      <c r="A189" s="5">
        <v>44404</v>
      </c>
      <c r="B189">
        <v>481.25</v>
      </c>
      <c r="C189">
        <v>504.1</v>
      </c>
      <c r="D189">
        <v>467.51</v>
      </c>
      <c r="E189">
        <v>501.91</v>
      </c>
      <c r="F189">
        <v>124593.31289</v>
      </c>
      <c r="G189">
        <v>501.91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0.88029516261273599</v>
      </c>
      <c r="Q189">
        <f t="shared" ref="Q189" si="921">F189*P189</f>
        <v>109678.89063096205</v>
      </c>
      <c r="R189">
        <f t="shared" ref="R189" si="922">R190+Q189</f>
        <v>13184934.023630397</v>
      </c>
      <c r="S189">
        <f t="shared" ref="S189" si="923">R189/100000</f>
        <v>131.84934023630399</v>
      </c>
      <c r="T189">
        <f t="shared" ref="T189" si="924">S189/1000</f>
        <v>0.13184934023630399</v>
      </c>
    </row>
    <row r="190" spans="1:20" x14ac:dyDescent="0.25">
      <c r="A190" s="5">
        <v>44403</v>
      </c>
      <c r="B190">
        <v>455.06</v>
      </c>
      <c r="C190">
        <v>517.91</v>
      </c>
      <c r="D190">
        <v>452.65</v>
      </c>
      <c r="E190">
        <v>481.09</v>
      </c>
      <c r="F190">
        <v>262175.42413</v>
      </c>
      <c r="G190">
        <v>481.09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-0.12840943916641123</v>
      </c>
      <c r="Q190">
        <f t="shared" ref="Q190" si="926">F190*P190</f>
        <v>-33665.7991757493</v>
      </c>
      <c r="R190">
        <f t="shared" ref="R190" si="927">R191+Q190</f>
        <v>13075255.132999435</v>
      </c>
      <c r="S190">
        <f t="shared" ref="S190" si="928">R190/100000</f>
        <v>130.75255132999436</v>
      </c>
      <c r="T190">
        <f t="shared" ref="T190" si="929">S190/1000</f>
        <v>0.13075255132999436</v>
      </c>
    </row>
    <row r="191" spans="1:20" x14ac:dyDescent="0.25">
      <c r="A191" s="5">
        <v>44402</v>
      </c>
      <c r="B191">
        <v>458.63</v>
      </c>
      <c r="C191">
        <v>459.52</v>
      </c>
      <c r="D191">
        <v>441.17</v>
      </c>
      <c r="E191">
        <v>454.99</v>
      </c>
      <c r="F191">
        <v>73995.536410000001</v>
      </c>
      <c r="G191">
        <v>454.99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0.50626702997275408</v>
      </c>
      <c r="Q191">
        <f t="shared" ref="Q191" si="931">F191*P191</f>
        <v>37461.500449531486</v>
      </c>
      <c r="R191">
        <f t="shared" ref="R191" si="932">R192+Q191</f>
        <v>13108920.932175184</v>
      </c>
      <c r="S191">
        <f t="shared" ref="S191" si="933">R191/100000</f>
        <v>131.08920932175184</v>
      </c>
      <c r="T191">
        <f t="shared" ref="T191:T197" si="934">S191/1000</f>
        <v>0.13108920932175183</v>
      </c>
    </row>
    <row r="192" spans="1:20" x14ac:dyDescent="0.25">
      <c r="A192" s="5">
        <v>44401</v>
      </c>
      <c r="B192">
        <v>454.8</v>
      </c>
      <c r="C192">
        <v>464.79</v>
      </c>
      <c r="D192">
        <v>449.92</v>
      </c>
      <c r="E192">
        <v>458.49</v>
      </c>
      <c r="F192">
        <v>70744.577550000002</v>
      </c>
      <c r="G192">
        <v>458.49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0.15265635507733566</v>
      </c>
      <c r="Q192">
        <f t="shared" ref="Q192" si="936">F192*P192</f>
        <v>10799.609350268909</v>
      </c>
      <c r="R192">
        <f t="shared" ref="R192" si="937">R193+Q192</f>
        <v>13071459.431725653</v>
      </c>
      <c r="S192">
        <f t="shared" ref="S192" si="938">R192/100000</f>
        <v>130.71459431725654</v>
      </c>
      <c r="T192">
        <f t="shared" si="934"/>
        <v>0.13071459431725654</v>
      </c>
    </row>
    <row r="193" spans="1:20" x14ac:dyDescent="0.25">
      <c r="A193" s="5">
        <v>44400</v>
      </c>
      <c r="B193">
        <v>442.27</v>
      </c>
      <c r="C193">
        <v>456.12</v>
      </c>
      <c r="D193">
        <v>431.36</v>
      </c>
      <c r="E193">
        <v>454.78</v>
      </c>
      <c r="F193">
        <v>71929.130069999999</v>
      </c>
      <c r="G193">
        <v>454.78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0.89176090468497315</v>
      </c>
      <c r="Q193">
        <f t="shared" ref="Q193" si="940">F193*P193</f>
        <v>64143.586104426307</v>
      </c>
      <c r="R193">
        <f t="shared" ref="R193" si="941">R194+Q193</f>
        <v>13060659.822375383</v>
      </c>
      <c r="S193">
        <f t="shared" ref="S193" si="942">R193/100000</f>
        <v>130.60659822375382</v>
      </c>
      <c r="T193">
        <f t="shared" si="934"/>
        <v>0.13060659822375381</v>
      </c>
    </row>
    <row r="194" spans="1:20" x14ac:dyDescent="0.25">
      <c r="A194" s="5">
        <v>44399</v>
      </c>
      <c r="B194">
        <v>430.76</v>
      </c>
      <c r="C194">
        <v>445.48</v>
      </c>
      <c r="D194">
        <v>424.27</v>
      </c>
      <c r="E194">
        <v>442.15</v>
      </c>
      <c r="F194">
        <v>77928.943249999997</v>
      </c>
      <c r="G194">
        <v>442.15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0.6859971711456827</v>
      </c>
      <c r="Q194">
        <f t="shared" ref="Q194" si="944">F194*P194</f>
        <v>53459.034619872444</v>
      </c>
      <c r="R194">
        <f t="shared" ref="R194" si="945">R195+Q194</f>
        <v>12996516.236270957</v>
      </c>
      <c r="S194">
        <f t="shared" ref="S194" si="946">R194/100000</f>
        <v>129.96516236270958</v>
      </c>
      <c r="T194">
        <f t="shared" si="934"/>
        <v>0.12996516236270958</v>
      </c>
    </row>
    <row r="195" spans="1:20" x14ac:dyDescent="0.25">
      <c r="A195" s="5">
        <v>44398</v>
      </c>
      <c r="B195">
        <v>398.61</v>
      </c>
      <c r="C195">
        <v>435.56</v>
      </c>
      <c r="D195">
        <v>392</v>
      </c>
      <c r="E195">
        <v>430.7</v>
      </c>
      <c r="F195">
        <v>110417.62569</v>
      </c>
      <c r="G195">
        <v>430.7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0.77685950413223082</v>
      </c>
      <c r="Q195">
        <f t="shared" ref="Q195" si="948">F195*P195</f>
        <v>85778.981940991667</v>
      </c>
      <c r="R195">
        <f t="shared" ref="R195" si="949">R196+Q195</f>
        <v>12943057.201651085</v>
      </c>
      <c r="S195">
        <f t="shared" ref="S195" si="950">R195/100000</f>
        <v>129.43057201651087</v>
      </c>
      <c r="T195">
        <f t="shared" si="934"/>
        <v>0.12943057201651087</v>
      </c>
    </row>
    <row r="196" spans="1:20" x14ac:dyDescent="0.25">
      <c r="A196" s="5">
        <v>44397</v>
      </c>
      <c r="B196">
        <v>414.94</v>
      </c>
      <c r="C196">
        <v>422.22</v>
      </c>
      <c r="D196">
        <v>383.53</v>
      </c>
      <c r="E196">
        <v>398.48</v>
      </c>
      <c r="F196">
        <v>123809.16022000001</v>
      </c>
      <c r="G196">
        <v>398.48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-0.22719048849831872</v>
      </c>
      <c r="Q196">
        <f t="shared" ref="Q196" si="952">F196*P196</f>
        <v>-28128.263590948409</v>
      </c>
      <c r="R196">
        <f t="shared" ref="R196" si="953">R197+Q196</f>
        <v>12857278.219710093</v>
      </c>
      <c r="S196">
        <f t="shared" ref="S196" si="954">R196/100000</f>
        <v>128.57278219710093</v>
      </c>
      <c r="T196">
        <f t="shared" si="934"/>
        <v>0.12857278219710094</v>
      </c>
    </row>
    <row r="197" spans="1:20" x14ac:dyDescent="0.25">
      <c r="A197" s="5">
        <v>44396</v>
      </c>
      <c r="B197">
        <v>438</v>
      </c>
      <c r="C197">
        <v>441.37</v>
      </c>
      <c r="D197">
        <v>413.22</v>
      </c>
      <c r="E197">
        <v>414.94</v>
      </c>
      <c r="F197">
        <v>73192.332269999999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-0.87779751332149403</v>
      </c>
      <c r="Q197">
        <f t="shared" ref="Q197" si="956">F197*P197</f>
        <v>-64248.047260806539</v>
      </c>
      <c r="R197">
        <f t="shared" ref="R197" si="957">R198+Q197</f>
        <v>12885406.483301042</v>
      </c>
      <c r="S197">
        <f t="shared" ref="S197" si="958">R197/100000</f>
        <v>128.85406483301043</v>
      </c>
      <c r="T197">
        <f t="shared" si="934"/>
        <v>0.12885406483301043</v>
      </c>
    </row>
    <row r="198" spans="1:20" x14ac:dyDescent="0.25">
      <c r="A198" s="5">
        <v>44395</v>
      </c>
      <c r="B198">
        <v>436.15</v>
      </c>
      <c r="C198">
        <v>453.28</v>
      </c>
      <c r="D198">
        <v>431.74</v>
      </c>
      <c r="E198">
        <v>437.92</v>
      </c>
      <c r="F198">
        <v>63907.097159999998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-0.42618384401114046</v>
      </c>
      <c r="Q198">
        <f t="shared" ref="Q198:Q261" si="960">F198*P198</f>
        <v>-27236.172327242235</v>
      </c>
      <c r="R198">
        <f t="shared" ref="R198:R261" si="961">R199+Q198</f>
        <v>12949654.530561848</v>
      </c>
      <c r="S198">
        <f t="shared" ref="S198:S261" si="962">R198/100000</f>
        <v>129.49654530561847</v>
      </c>
      <c r="T198">
        <f t="shared" ref="T198:T261" si="963">S198/1000</f>
        <v>0.12949654530561847</v>
      </c>
    </row>
    <row r="199" spans="1:20" x14ac:dyDescent="0.25">
      <c r="A199" s="5">
        <v>44394</v>
      </c>
      <c r="B199">
        <v>438.12</v>
      </c>
      <c r="C199">
        <v>446.81</v>
      </c>
      <c r="D199">
        <v>430.01</v>
      </c>
      <c r="E199">
        <v>436.07</v>
      </c>
      <c r="F199">
        <v>66769.390090000001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-0.2785714285714288</v>
      </c>
      <c r="Q199">
        <f t="shared" si="960"/>
        <v>-18600.044382214302</v>
      </c>
      <c r="R199">
        <f t="shared" si="961"/>
        <v>12976890.70288909</v>
      </c>
      <c r="S199">
        <f t="shared" si="962"/>
        <v>129.76890702889091</v>
      </c>
      <c r="T199">
        <f t="shared" si="963"/>
        <v>0.12976890702889091</v>
      </c>
    </row>
    <row r="200" spans="1:20" x14ac:dyDescent="0.25">
      <c r="A200" s="5">
        <v>44393</v>
      </c>
      <c r="B200">
        <v>455.76</v>
      </c>
      <c r="C200">
        <v>464.76</v>
      </c>
      <c r="D200">
        <v>436.7</v>
      </c>
      <c r="E200">
        <v>438.02</v>
      </c>
      <c r="F200">
        <v>72404.475300000006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-0.90591589451176102</v>
      </c>
      <c r="Q200">
        <f t="shared" si="960"/>
        <v>-65592.365008054214</v>
      </c>
      <c r="R200">
        <f t="shared" si="961"/>
        <v>12995490.747271305</v>
      </c>
      <c r="S200">
        <f t="shared" si="962"/>
        <v>129.95490747271305</v>
      </c>
      <c r="T200">
        <f t="shared" si="963"/>
        <v>0.12995490747271304</v>
      </c>
    </row>
    <row r="201" spans="1:20" x14ac:dyDescent="0.25">
      <c r="A201" s="5">
        <v>44392</v>
      </c>
      <c r="B201">
        <v>467.36</v>
      </c>
      <c r="C201">
        <v>474.01</v>
      </c>
      <c r="D201">
        <v>443.62</v>
      </c>
      <c r="E201">
        <v>455.9</v>
      </c>
      <c r="F201">
        <v>79013.920010000002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-0.19183942086212713</v>
      </c>
      <c r="Q201">
        <f t="shared" si="960"/>
        <v>-15157.984654764839</v>
      </c>
      <c r="R201">
        <f t="shared" si="961"/>
        <v>13061083.112279359</v>
      </c>
      <c r="S201">
        <f t="shared" si="962"/>
        <v>130.6108311227936</v>
      </c>
      <c r="T201">
        <f t="shared" si="963"/>
        <v>0.13061083112279359</v>
      </c>
    </row>
    <row r="202" spans="1:20" x14ac:dyDescent="0.25">
      <c r="A202" s="5">
        <v>44391</v>
      </c>
      <c r="B202">
        <v>465</v>
      </c>
      <c r="C202">
        <v>478.44</v>
      </c>
      <c r="D202">
        <v>443.41</v>
      </c>
      <c r="E202">
        <v>467.36</v>
      </c>
      <c r="F202">
        <v>85764.779930000004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0.36739937196688593</v>
      </c>
      <c r="Q202">
        <f t="shared" si="960"/>
        <v>31509.926283160185</v>
      </c>
      <c r="R202">
        <f t="shared" si="961"/>
        <v>13076241.096934125</v>
      </c>
      <c r="S202">
        <f t="shared" si="962"/>
        <v>130.76241096934126</v>
      </c>
      <c r="T202">
        <f t="shared" si="963"/>
        <v>0.13076241096934127</v>
      </c>
    </row>
    <row r="203" spans="1:20" x14ac:dyDescent="0.25">
      <c r="A203" s="5">
        <v>44390</v>
      </c>
      <c r="B203">
        <v>479.58</v>
      </c>
      <c r="C203">
        <v>484.41</v>
      </c>
      <c r="D203">
        <v>459.77</v>
      </c>
      <c r="E203">
        <v>465.1</v>
      </c>
      <c r="F203">
        <v>63722.018880000003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-0.56737012987012736</v>
      </c>
      <c r="Q203">
        <f t="shared" si="960"/>
        <v>-36153.97012753231</v>
      </c>
      <c r="R203">
        <f t="shared" si="961"/>
        <v>13044731.170650965</v>
      </c>
      <c r="S203">
        <f t="shared" si="962"/>
        <v>130.44731170650965</v>
      </c>
      <c r="T203">
        <f t="shared" si="963"/>
        <v>0.13044731170650964</v>
      </c>
    </row>
    <row r="204" spans="1:20" x14ac:dyDescent="0.25">
      <c r="A204" s="5">
        <v>44389</v>
      </c>
      <c r="B204">
        <v>498.1</v>
      </c>
      <c r="C204">
        <v>509.02</v>
      </c>
      <c r="D204">
        <v>471.06</v>
      </c>
      <c r="E204">
        <v>479.58</v>
      </c>
      <c r="F204">
        <v>74244.602169999998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-0.55110642781875729</v>
      </c>
      <c r="Q204">
        <f t="shared" si="960"/>
        <v>-40916.677486733453</v>
      </c>
      <c r="R204">
        <f t="shared" si="961"/>
        <v>13080885.140778497</v>
      </c>
      <c r="S204">
        <f t="shared" si="962"/>
        <v>130.80885140778497</v>
      </c>
      <c r="T204">
        <f t="shared" si="963"/>
        <v>0.13080885140778498</v>
      </c>
    </row>
    <row r="205" spans="1:20" x14ac:dyDescent="0.25">
      <c r="A205" s="5">
        <v>44388</v>
      </c>
      <c r="B205">
        <v>496.95</v>
      </c>
      <c r="C205">
        <v>503.73</v>
      </c>
      <c r="D205">
        <v>489.3</v>
      </c>
      <c r="E205">
        <v>498.11</v>
      </c>
      <c r="F205">
        <v>48361.176650000001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0.22106722106722079</v>
      </c>
      <c r="Q205">
        <f t="shared" si="960"/>
        <v>10691.070929556467</v>
      </c>
      <c r="R205">
        <f t="shared" si="961"/>
        <v>13121801.818265229</v>
      </c>
      <c r="S205">
        <f t="shared" si="962"/>
        <v>131.21801818265229</v>
      </c>
      <c r="T205">
        <f t="shared" si="963"/>
        <v>0.13121801818265227</v>
      </c>
    </row>
    <row r="206" spans="1:20" x14ac:dyDescent="0.25">
      <c r="A206" s="5">
        <v>44387</v>
      </c>
      <c r="B206">
        <v>504.03</v>
      </c>
      <c r="C206">
        <v>511.26</v>
      </c>
      <c r="D206">
        <v>483.62</v>
      </c>
      <c r="E206">
        <v>496.94</v>
      </c>
      <c r="F206">
        <v>60935.68907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-3.6179450072358919E-2</v>
      </c>
      <c r="Q206">
        <f t="shared" si="960"/>
        <v>-2204.619720332852</v>
      </c>
      <c r="R206">
        <f t="shared" si="961"/>
        <v>13111110.747335672</v>
      </c>
      <c r="S206">
        <f t="shared" si="962"/>
        <v>131.11110747335672</v>
      </c>
      <c r="T206">
        <f t="shared" si="963"/>
        <v>0.13111110747335672</v>
      </c>
    </row>
    <row r="207" spans="1:20" x14ac:dyDescent="0.25">
      <c r="A207" s="5">
        <v>44386</v>
      </c>
      <c r="B207">
        <v>490.31</v>
      </c>
      <c r="C207">
        <v>510.28</v>
      </c>
      <c r="D207">
        <v>471.22</v>
      </c>
      <c r="E207">
        <v>504.16</v>
      </c>
      <c r="F207">
        <v>87878.242180000001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0.68663594470046307</v>
      </c>
      <c r="Q207">
        <f t="shared" si="960"/>
        <v>60340.35983788038</v>
      </c>
      <c r="R207">
        <f t="shared" si="961"/>
        <v>13113315.367056005</v>
      </c>
      <c r="S207">
        <f t="shared" si="962"/>
        <v>131.13315367056003</v>
      </c>
      <c r="T207">
        <f t="shared" si="963"/>
        <v>0.13113315367056003</v>
      </c>
    </row>
    <row r="208" spans="1:20" x14ac:dyDescent="0.25">
      <c r="A208" s="5">
        <v>44385</v>
      </c>
      <c r="B208">
        <v>509.13</v>
      </c>
      <c r="C208">
        <v>510.81</v>
      </c>
      <c r="D208">
        <v>479.02</v>
      </c>
      <c r="E208">
        <v>490.3</v>
      </c>
      <c r="F208">
        <v>103159.74225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-0.2903428751179602</v>
      </c>
      <c r="Q208">
        <f t="shared" si="960"/>
        <v>-29951.696161292712</v>
      </c>
      <c r="R208">
        <f t="shared" si="961"/>
        <v>13052975.007218124</v>
      </c>
      <c r="S208">
        <f t="shared" si="962"/>
        <v>130.52975007218123</v>
      </c>
      <c r="T208">
        <f t="shared" si="963"/>
        <v>0.13052975007218123</v>
      </c>
    </row>
    <row r="209" spans="1:20" x14ac:dyDescent="0.25">
      <c r="A209" s="5">
        <v>44384</v>
      </c>
      <c r="B209">
        <v>511.42</v>
      </c>
      <c r="C209">
        <v>537.74</v>
      </c>
      <c r="D209">
        <v>505.35</v>
      </c>
      <c r="E209">
        <v>509.35</v>
      </c>
      <c r="F209">
        <v>108366.99235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-0.75301018832973132</v>
      </c>
      <c r="Q209">
        <f t="shared" si="960"/>
        <v>-81601.449318200059</v>
      </c>
      <c r="R209">
        <f t="shared" si="961"/>
        <v>13082926.703379417</v>
      </c>
      <c r="S209">
        <f t="shared" si="962"/>
        <v>130.82926703379417</v>
      </c>
      <c r="T209">
        <f t="shared" si="963"/>
        <v>0.13082926703379416</v>
      </c>
    </row>
    <row r="210" spans="1:20" x14ac:dyDescent="0.25">
      <c r="A210" s="5">
        <v>44383</v>
      </c>
      <c r="B210">
        <v>504.42</v>
      </c>
      <c r="C210">
        <v>525.96</v>
      </c>
      <c r="D210">
        <v>499.62</v>
      </c>
      <c r="E210">
        <v>511.55</v>
      </c>
      <c r="F210">
        <v>89128.399430000005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-9.4153378891420475E-2</v>
      </c>
      <c r="Q210">
        <f t="shared" si="960"/>
        <v>-8391.739961518655</v>
      </c>
      <c r="R210">
        <f t="shared" si="961"/>
        <v>13164528.152697617</v>
      </c>
      <c r="S210">
        <f t="shared" si="962"/>
        <v>131.64528152697616</v>
      </c>
      <c r="T210">
        <f t="shared" si="963"/>
        <v>0.13164528152697616</v>
      </c>
    </row>
    <row r="211" spans="1:20" x14ac:dyDescent="0.25">
      <c r="A211" s="5">
        <v>44382</v>
      </c>
      <c r="B211">
        <v>526.91999999999996</v>
      </c>
      <c r="C211">
        <v>527.42999999999995</v>
      </c>
      <c r="D211">
        <v>487</v>
      </c>
      <c r="E211">
        <v>504.31</v>
      </c>
      <c r="F211">
        <v>107406.78704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-0.14370516942864092</v>
      </c>
      <c r="Q211">
        <f t="shared" si="960"/>
        <v>-15434.910529369154</v>
      </c>
      <c r="R211">
        <f t="shared" si="961"/>
        <v>13172919.892659135</v>
      </c>
      <c r="S211">
        <f t="shared" si="962"/>
        <v>131.72919892659135</v>
      </c>
      <c r="T211">
        <f t="shared" si="963"/>
        <v>0.13172919892659135</v>
      </c>
    </row>
    <row r="212" spans="1:20" x14ac:dyDescent="0.25">
      <c r="A212" s="5">
        <v>44381</v>
      </c>
      <c r="B212">
        <v>505.24</v>
      </c>
      <c r="C212">
        <v>542.04</v>
      </c>
      <c r="D212">
        <v>495.26</v>
      </c>
      <c r="E212">
        <v>526.73</v>
      </c>
      <c r="F212">
        <v>88071.086609999998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0.34544677212484165</v>
      </c>
      <c r="Q212">
        <f t="shared" si="960"/>
        <v>30423.872586951864</v>
      </c>
      <c r="R212">
        <f t="shared" si="961"/>
        <v>13188354.803188505</v>
      </c>
      <c r="S212">
        <f t="shared" si="962"/>
        <v>131.88354803188506</v>
      </c>
      <c r="T212">
        <f t="shared" si="963"/>
        <v>0.13188354803188507</v>
      </c>
    </row>
    <row r="213" spans="1:20" x14ac:dyDescent="0.25">
      <c r="A213" s="5">
        <v>44380</v>
      </c>
      <c r="B213">
        <v>495.76</v>
      </c>
      <c r="C213">
        <v>514.87</v>
      </c>
      <c r="D213">
        <v>487.84</v>
      </c>
      <c r="E213">
        <v>505.24</v>
      </c>
      <c r="F213">
        <v>59372.495929999997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0.28745837957824749</v>
      </c>
      <c r="Q213">
        <f t="shared" si="960"/>
        <v>17067.121471553892</v>
      </c>
      <c r="R213">
        <f t="shared" si="961"/>
        <v>13157930.930601552</v>
      </c>
      <c r="S213">
        <f t="shared" si="962"/>
        <v>131.57930930601552</v>
      </c>
      <c r="T213">
        <f t="shared" si="963"/>
        <v>0.13157930930601552</v>
      </c>
    </row>
    <row r="214" spans="1:20" x14ac:dyDescent="0.25">
      <c r="A214" s="5">
        <v>44379</v>
      </c>
      <c r="B214">
        <v>495.74</v>
      </c>
      <c r="C214">
        <v>504.73</v>
      </c>
      <c r="D214">
        <v>475.69</v>
      </c>
      <c r="E214">
        <v>495.76</v>
      </c>
      <c r="F214">
        <v>89209.254149999993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0.38223140495867625</v>
      </c>
      <c r="Q214">
        <f t="shared" si="960"/>
        <v>34098.578549070116</v>
      </c>
      <c r="R214">
        <f t="shared" si="961"/>
        <v>13140863.809129998</v>
      </c>
      <c r="S214">
        <f t="shared" si="962"/>
        <v>131.40863809129999</v>
      </c>
      <c r="T214">
        <f t="shared" si="963"/>
        <v>0.13140863809129999</v>
      </c>
    </row>
    <row r="215" spans="1:20" x14ac:dyDescent="0.25">
      <c r="A215" s="5">
        <v>44378</v>
      </c>
      <c r="B215">
        <v>526.79999999999995</v>
      </c>
      <c r="C215">
        <v>526.80999999999995</v>
      </c>
      <c r="D215">
        <v>485.46</v>
      </c>
      <c r="E215">
        <v>495.79</v>
      </c>
      <c r="F215">
        <v>114834.02249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-0.50036275695283916</v>
      </c>
      <c r="Q215">
        <f t="shared" si="960"/>
        <v>-57458.668085080739</v>
      </c>
      <c r="R215">
        <f t="shared" si="961"/>
        <v>13106765.230580928</v>
      </c>
      <c r="S215">
        <f t="shared" si="962"/>
        <v>131.06765230580928</v>
      </c>
      <c r="T215">
        <f t="shared" si="963"/>
        <v>0.13106765230580927</v>
      </c>
    </row>
    <row r="216" spans="1:20" x14ac:dyDescent="0.25">
      <c r="A216" s="5">
        <v>44377</v>
      </c>
      <c r="B216">
        <v>524.26</v>
      </c>
      <c r="C216">
        <v>534.33000000000004</v>
      </c>
      <c r="D216">
        <v>498.14</v>
      </c>
      <c r="E216">
        <v>526.79999999999995</v>
      </c>
      <c r="F216">
        <v>110061.5491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0.58386294556506912</v>
      </c>
      <c r="Q216">
        <f t="shared" si="960"/>
        <v>64260.860250980484</v>
      </c>
      <c r="R216">
        <f t="shared" si="961"/>
        <v>13164223.898666009</v>
      </c>
      <c r="S216">
        <f t="shared" si="962"/>
        <v>131.64223898666009</v>
      </c>
      <c r="T216">
        <f t="shared" si="963"/>
        <v>0.13164223898666008</v>
      </c>
    </row>
    <row r="217" spans="1:20" x14ac:dyDescent="0.25">
      <c r="A217" s="5">
        <v>44376</v>
      </c>
      <c r="B217">
        <v>501.62</v>
      </c>
      <c r="C217">
        <v>546.83000000000004</v>
      </c>
      <c r="D217">
        <v>499.89</v>
      </c>
      <c r="E217">
        <v>524.01</v>
      </c>
      <c r="F217">
        <v>151297.81941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2.7694929697485153E-2</v>
      </c>
      <c r="Q217">
        <f t="shared" si="960"/>
        <v>4190.1824719427541</v>
      </c>
      <c r="R217">
        <f t="shared" si="961"/>
        <v>13099963.03841503</v>
      </c>
      <c r="S217">
        <f t="shared" si="962"/>
        <v>130.99963038415029</v>
      </c>
      <c r="T217">
        <f t="shared" si="963"/>
        <v>0.1309996303841503</v>
      </c>
    </row>
    <row r="218" spans="1:20" x14ac:dyDescent="0.25">
      <c r="A218" s="5">
        <v>44375</v>
      </c>
      <c r="B218">
        <v>477.76</v>
      </c>
      <c r="C218">
        <v>518.79999999999995</v>
      </c>
      <c r="D218">
        <v>472.31</v>
      </c>
      <c r="E218">
        <v>501.83</v>
      </c>
      <c r="F218">
        <v>118530.62635000001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0.26995052699505323</v>
      </c>
      <c r="Q218">
        <f t="shared" si="960"/>
        <v>31997.405048236244</v>
      </c>
      <c r="R218">
        <f t="shared" si="961"/>
        <v>13095772.855943087</v>
      </c>
      <c r="S218">
        <f t="shared" si="962"/>
        <v>130.95772855943088</v>
      </c>
      <c r="T218">
        <f t="shared" si="963"/>
        <v>0.13095772855943089</v>
      </c>
    </row>
    <row r="219" spans="1:20" x14ac:dyDescent="0.25">
      <c r="A219" s="5">
        <v>44374</v>
      </c>
      <c r="B219">
        <v>459.56</v>
      </c>
      <c r="C219">
        <v>478.31</v>
      </c>
      <c r="D219">
        <v>446.35</v>
      </c>
      <c r="E219">
        <v>477.79</v>
      </c>
      <c r="F219">
        <v>76419.454280000005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0.96745932415519509</v>
      </c>
      <c r="Q219">
        <f t="shared" si="960"/>
        <v>73932.713590037631</v>
      </c>
      <c r="R219">
        <f t="shared" si="961"/>
        <v>13063775.450894851</v>
      </c>
      <c r="S219">
        <f t="shared" si="962"/>
        <v>130.63775450894852</v>
      </c>
      <c r="T219">
        <f t="shared" si="963"/>
        <v>0.13063775450894852</v>
      </c>
    </row>
    <row r="220" spans="1:20" x14ac:dyDescent="0.25">
      <c r="A220" s="5">
        <v>44373</v>
      </c>
      <c r="B220">
        <v>449.23</v>
      </c>
      <c r="C220">
        <v>464.49</v>
      </c>
      <c r="D220">
        <v>428.43</v>
      </c>
      <c r="E220">
        <v>459.58</v>
      </c>
      <c r="F220">
        <v>122490.90442000001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0.72767609539655986</v>
      </c>
      <c r="Q220">
        <f t="shared" si="960"/>
        <v>89133.70304993882</v>
      </c>
      <c r="R220">
        <f t="shared" si="961"/>
        <v>12989842.737304814</v>
      </c>
      <c r="S220">
        <f t="shared" si="962"/>
        <v>129.89842737304815</v>
      </c>
      <c r="T220">
        <f t="shared" si="963"/>
        <v>0.12989842737304816</v>
      </c>
    </row>
    <row r="221" spans="1:20" x14ac:dyDescent="0.25">
      <c r="A221" s="5">
        <v>44372</v>
      </c>
      <c r="B221">
        <v>486.97</v>
      </c>
      <c r="C221">
        <v>497.55</v>
      </c>
      <c r="D221">
        <v>449.18</v>
      </c>
      <c r="E221">
        <v>449.22</v>
      </c>
      <c r="F221">
        <v>130475.41084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-0.99834608228240562</v>
      </c>
      <c r="Q221">
        <f t="shared" si="960"/>
        <v>-130259.61524630131</v>
      </c>
      <c r="R221">
        <f t="shared" si="961"/>
        <v>12900709.034254875</v>
      </c>
      <c r="S221">
        <f t="shared" si="962"/>
        <v>129.00709034254876</v>
      </c>
      <c r="T221">
        <f t="shared" si="963"/>
        <v>0.12900709034254876</v>
      </c>
    </row>
    <row r="222" spans="1:20" x14ac:dyDescent="0.25">
      <c r="A222" s="5">
        <v>44371</v>
      </c>
      <c r="B222">
        <v>472.99</v>
      </c>
      <c r="C222">
        <v>495.82</v>
      </c>
      <c r="D222">
        <v>455.24</v>
      </c>
      <c r="E222">
        <v>486.96</v>
      </c>
      <c r="F222">
        <v>108182.74342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0.5633316904879242</v>
      </c>
      <c r="Q222">
        <f t="shared" si="960"/>
        <v>60942.767732409957</v>
      </c>
      <c r="R222">
        <f t="shared" si="961"/>
        <v>13030968.649501177</v>
      </c>
      <c r="S222">
        <f t="shared" si="962"/>
        <v>130.30968649501176</v>
      </c>
      <c r="T222">
        <f t="shared" si="963"/>
        <v>0.13030968649501176</v>
      </c>
    </row>
    <row r="223" spans="1:20" x14ac:dyDescent="0.25">
      <c r="A223" s="5">
        <v>44370</v>
      </c>
      <c r="B223">
        <v>444.24</v>
      </c>
      <c r="C223">
        <v>485.9</v>
      </c>
      <c r="D223">
        <v>428</v>
      </c>
      <c r="E223">
        <v>472.79</v>
      </c>
      <c r="F223">
        <v>172528.56466999999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0.54715025906735881</v>
      </c>
      <c r="Q223">
        <f t="shared" si="960"/>
        <v>94399.048855710062</v>
      </c>
      <c r="R223">
        <f t="shared" si="961"/>
        <v>12970025.881768767</v>
      </c>
      <c r="S223">
        <f t="shared" si="962"/>
        <v>129.70025881768765</v>
      </c>
      <c r="T223">
        <f t="shared" si="963"/>
        <v>0.12970025881768765</v>
      </c>
    </row>
    <row r="224" spans="1:20" x14ac:dyDescent="0.25">
      <c r="A224" s="5">
        <v>44369</v>
      </c>
      <c r="B224">
        <v>455.22</v>
      </c>
      <c r="C224">
        <v>478.76</v>
      </c>
      <c r="D224">
        <v>387.61</v>
      </c>
      <c r="E224">
        <v>444.06</v>
      </c>
      <c r="F224">
        <v>331912.80576999998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0.23861766319253983</v>
      </c>
      <c r="Q224">
        <f t="shared" si="960"/>
        <v>79200.258096516744</v>
      </c>
      <c r="R224">
        <f t="shared" si="961"/>
        <v>12875626.832913056</v>
      </c>
      <c r="S224">
        <f t="shared" si="962"/>
        <v>128.75626832913056</v>
      </c>
      <c r="T224">
        <f t="shared" si="963"/>
        <v>0.12875626832913056</v>
      </c>
    </row>
    <row r="225" spans="1:20" x14ac:dyDescent="0.25">
      <c r="A225" s="5">
        <v>44368</v>
      </c>
      <c r="B225">
        <v>556.1</v>
      </c>
      <c r="C225">
        <v>559.88</v>
      </c>
      <c r="D225">
        <v>454.13</v>
      </c>
      <c r="E225">
        <v>455.4</v>
      </c>
      <c r="F225">
        <v>226905.28221999999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-0.97598108747044954</v>
      </c>
      <c r="Q225">
        <f t="shared" si="960"/>
        <v>-221455.26409386485</v>
      </c>
      <c r="R225">
        <f t="shared" si="961"/>
        <v>12796426.57481654</v>
      </c>
      <c r="S225">
        <f t="shared" si="962"/>
        <v>127.9642657481654</v>
      </c>
      <c r="T225">
        <f t="shared" si="963"/>
        <v>0.12796426574816541</v>
      </c>
    </row>
    <row r="226" spans="1:20" x14ac:dyDescent="0.25">
      <c r="A226" s="5">
        <v>44367</v>
      </c>
      <c r="B226">
        <v>552.04</v>
      </c>
      <c r="C226">
        <v>560.86</v>
      </c>
      <c r="D226">
        <v>513.36</v>
      </c>
      <c r="E226">
        <v>556.16</v>
      </c>
      <c r="F226">
        <v>95965.818750000006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0.80210526315789277</v>
      </c>
      <c r="Q226">
        <f t="shared" si="960"/>
        <v>76974.688302631388</v>
      </c>
      <c r="R226">
        <f t="shared" si="961"/>
        <v>13017881.838910405</v>
      </c>
      <c r="S226">
        <f t="shared" si="962"/>
        <v>130.17881838910404</v>
      </c>
      <c r="T226">
        <f t="shared" si="963"/>
        <v>0.13017881838910403</v>
      </c>
    </row>
    <row r="227" spans="1:20" x14ac:dyDescent="0.25">
      <c r="A227" s="5">
        <v>44366</v>
      </c>
      <c r="B227">
        <v>563.27</v>
      </c>
      <c r="C227">
        <v>581.59</v>
      </c>
      <c r="D227">
        <v>551.33000000000004</v>
      </c>
      <c r="E227">
        <v>552.12</v>
      </c>
      <c r="F227">
        <v>59695.93864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-0.94778585591540221</v>
      </c>
      <c r="Q227">
        <f t="shared" si="960"/>
        <v>-56578.966298585729</v>
      </c>
      <c r="R227">
        <f t="shared" si="961"/>
        <v>12940907.150607774</v>
      </c>
      <c r="S227">
        <f t="shared" si="962"/>
        <v>129.40907150607774</v>
      </c>
      <c r="T227">
        <f t="shared" si="963"/>
        <v>0.12940907150607775</v>
      </c>
    </row>
    <row r="228" spans="1:20" x14ac:dyDescent="0.25">
      <c r="A228" s="5">
        <v>44365</v>
      </c>
      <c r="B228">
        <v>599.01</v>
      </c>
      <c r="C228">
        <v>599.48</v>
      </c>
      <c r="D228">
        <v>544.69000000000005</v>
      </c>
      <c r="E228">
        <v>563.21</v>
      </c>
      <c r="F228">
        <v>91446.323940000002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-0.32396422704873173</v>
      </c>
      <c r="Q228">
        <f t="shared" si="960"/>
        <v>-29625.337651670034</v>
      </c>
      <c r="R228">
        <f t="shared" si="961"/>
        <v>12997486.11690636</v>
      </c>
      <c r="S228">
        <f t="shared" si="962"/>
        <v>129.97486116906359</v>
      </c>
      <c r="T228">
        <f t="shared" si="963"/>
        <v>0.12997486116906359</v>
      </c>
    </row>
    <row r="229" spans="1:20" x14ac:dyDescent="0.25">
      <c r="A229" s="5">
        <v>44364</v>
      </c>
      <c r="B229">
        <v>593.70000000000005</v>
      </c>
      <c r="C229">
        <v>621</v>
      </c>
      <c r="D229">
        <v>583.66</v>
      </c>
      <c r="E229">
        <v>598.95000000000005</v>
      </c>
      <c r="F229">
        <v>72418.196939999994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-0.18103910016068214</v>
      </c>
      <c r="Q229">
        <f t="shared" si="960"/>
        <v>-13110.525209276664</v>
      </c>
      <c r="R229">
        <f t="shared" si="961"/>
        <v>13027111.45455803</v>
      </c>
      <c r="S229">
        <f t="shared" si="962"/>
        <v>130.2711145455803</v>
      </c>
      <c r="T229">
        <f t="shared" si="963"/>
        <v>0.1302711145455803</v>
      </c>
    </row>
    <row r="230" spans="1:20" x14ac:dyDescent="0.25">
      <c r="A230" s="5">
        <v>44363</v>
      </c>
      <c r="B230">
        <v>627.16</v>
      </c>
      <c r="C230">
        <v>628.16999999999996</v>
      </c>
      <c r="D230">
        <v>589.58000000000004</v>
      </c>
      <c r="E230">
        <v>593.73</v>
      </c>
      <c r="F230">
        <v>84039.841419999997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-0.78491837263539854</v>
      </c>
      <c r="Q230">
        <f t="shared" si="960"/>
        <v>-65964.415563923365</v>
      </c>
      <c r="R230">
        <f t="shared" si="961"/>
        <v>13040221.979767306</v>
      </c>
      <c r="S230">
        <f t="shared" si="962"/>
        <v>130.40221979767307</v>
      </c>
      <c r="T230">
        <f t="shared" si="963"/>
        <v>0.13040221979767308</v>
      </c>
    </row>
    <row r="231" spans="1:20" x14ac:dyDescent="0.25">
      <c r="A231" s="5">
        <v>44362</v>
      </c>
      <c r="B231">
        <v>641.29</v>
      </c>
      <c r="C231">
        <v>650.35</v>
      </c>
      <c r="D231">
        <v>616.42999999999995</v>
      </c>
      <c r="E231">
        <v>627.16999999999996</v>
      </c>
      <c r="F231">
        <v>90740.18982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-0.36674528301886877</v>
      </c>
      <c r="Q231">
        <f t="shared" si="960"/>
        <v>-33278.536596721773</v>
      </c>
      <c r="R231">
        <f t="shared" si="961"/>
        <v>13106186.39533123</v>
      </c>
      <c r="S231">
        <f t="shared" si="962"/>
        <v>131.0618639533123</v>
      </c>
      <c r="T231">
        <f t="shared" si="963"/>
        <v>0.13106186395331229</v>
      </c>
    </row>
    <row r="232" spans="1:20" x14ac:dyDescent="0.25">
      <c r="A232" s="5">
        <v>44361</v>
      </c>
      <c r="B232">
        <v>613.41</v>
      </c>
      <c r="C232">
        <v>642</v>
      </c>
      <c r="D232">
        <v>598.94000000000005</v>
      </c>
      <c r="E232">
        <v>641.5</v>
      </c>
      <c r="F232">
        <v>104342.50766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0.97677659080352996</v>
      </c>
      <c r="Q232">
        <f t="shared" si="960"/>
        <v>101919.31890802602</v>
      </c>
      <c r="R232">
        <f t="shared" si="961"/>
        <v>13139464.931927951</v>
      </c>
      <c r="S232">
        <f t="shared" si="962"/>
        <v>131.39464931927952</v>
      </c>
      <c r="T232">
        <f t="shared" si="963"/>
        <v>0.13139464931927952</v>
      </c>
    </row>
    <row r="233" spans="1:20" x14ac:dyDescent="0.25">
      <c r="A233" s="5">
        <v>44360</v>
      </c>
      <c r="B233">
        <v>580.05999999999995</v>
      </c>
      <c r="C233">
        <v>615.49</v>
      </c>
      <c r="D233">
        <v>558.61</v>
      </c>
      <c r="E233">
        <v>613.46</v>
      </c>
      <c r="F233">
        <v>82082.374299999996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0.92862165963431886</v>
      </c>
      <c r="Q233">
        <f t="shared" si="960"/>
        <v>76223.470649191353</v>
      </c>
      <c r="R233">
        <f t="shared" si="961"/>
        <v>13037545.613019925</v>
      </c>
      <c r="S233">
        <f t="shared" si="962"/>
        <v>130.37545613019924</v>
      </c>
      <c r="T233">
        <f t="shared" si="963"/>
        <v>0.13037545613019924</v>
      </c>
    </row>
    <row r="234" spans="1:20" x14ac:dyDescent="0.25">
      <c r="A234" s="5">
        <v>44359</v>
      </c>
      <c r="B234">
        <v>577.19000000000005</v>
      </c>
      <c r="C234">
        <v>591.84</v>
      </c>
      <c r="D234">
        <v>547.17999999999995</v>
      </c>
      <c r="E234">
        <v>580</v>
      </c>
      <c r="F234">
        <v>96151.239809999999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0.46977160770264176</v>
      </c>
      <c r="Q234">
        <f t="shared" si="960"/>
        <v>45169.122508145949</v>
      </c>
      <c r="R234">
        <f t="shared" si="961"/>
        <v>12961322.142370733</v>
      </c>
      <c r="S234">
        <f t="shared" si="962"/>
        <v>129.61322142370733</v>
      </c>
      <c r="T234">
        <f t="shared" si="963"/>
        <v>0.12961322142370732</v>
      </c>
    </row>
    <row r="235" spans="1:20" x14ac:dyDescent="0.25">
      <c r="A235" s="5">
        <v>44358</v>
      </c>
      <c r="B235">
        <v>601.61</v>
      </c>
      <c r="C235">
        <v>611.6</v>
      </c>
      <c r="D235">
        <v>569.42999999999995</v>
      </c>
      <c r="E235">
        <v>577.04</v>
      </c>
      <c r="F235">
        <v>101686.78286000001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-0.63907991463125446</v>
      </c>
      <c r="Q235">
        <f t="shared" si="960"/>
        <v>-64985.98050929571</v>
      </c>
      <c r="R235">
        <f t="shared" si="961"/>
        <v>12916153.019862587</v>
      </c>
      <c r="S235">
        <f t="shared" si="962"/>
        <v>129.16153019862585</v>
      </c>
      <c r="T235">
        <f t="shared" si="963"/>
        <v>0.12916153019862586</v>
      </c>
    </row>
    <row r="236" spans="1:20" x14ac:dyDescent="0.25">
      <c r="A236" s="5">
        <v>44357</v>
      </c>
      <c r="B236">
        <v>633.99</v>
      </c>
      <c r="C236">
        <v>639.20000000000005</v>
      </c>
      <c r="D236">
        <v>588.19000000000005</v>
      </c>
      <c r="E236">
        <v>601.11</v>
      </c>
      <c r="F236">
        <v>117895.94848000001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-0.49343266026269511</v>
      </c>
      <c r="Q236">
        <f t="shared" si="960"/>
        <v>-58173.71149268005</v>
      </c>
      <c r="R236">
        <f t="shared" si="961"/>
        <v>12981139.000371883</v>
      </c>
      <c r="S236">
        <f t="shared" si="962"/>
        <v>129.81139000371883</v>
      </c>
      <c r="T236">
        <f t="shared" si="963"/>
        <v>0.12981139000371883</v>
      </c>
    </row>
    <row r="237" spans="1:20" x14ac:dyDescent="0.25">
      <c r="A237" s="5">
        <v>44356</v>
      </c>
      <c r="B237">
        <v>595.30999999999995</v>
      </c>
      <c r="C237">
        <v>634.63</v>
      </c>
      <c r="D237">
        <v>566.11</v>
      </c>
      <c r="E237">
        <v>634</v>
      </c>
      <c r="F237">
        <v>154574.44857000001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0.98161120840630489</v>
      </c>
      <c r="Q237">
        <f t="shared" si="960"/>
        <v>151732.01124953592</v>
      </c>
      <c r="R237">
        <f t="shared" si="961"/>
        <v>13039312.711864563</v>
      </c>
      <c r="S237">
        <f t="shared" si="962"/>
        <v>130.39312711864562</v>
      </c>
      <c r="T237">
        <f t="shared" si="963"/>
        <v>0.13039312711864562</v>
      </c>
    </row>
    <row r="238" spans="1:20" x14ac:dyDescent="0.25">
      <c r="A238" s="5">
        <v>44355</v>
      </c>
      <c r="B238">
        <v>596.29999999999995</v>
      </c>
      <c r="C238">
        <v>604.89</v>
      </c>
      <c r="D238">
        <v>542.63</v>
      </c>
      <c r="E238">
        <v>595.30999999999995</v>
      </c>
      <c r="F238">
        <v>213866.11326000001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0.6922582717635708</v>
      </c>
      <c r="Q238">
        <f t="shared" si="960"/>
        <v>148050.5859541597</v>
      </c>
      <c r="R238">
        <f t="shared" si="961"/>
        <v>12887580.700615026</v>
      </c>
      <c r="S238">
        <f t="shared" si="962"/>
        <v>128.87580700615027</v>
      </c>
      <c r="T238">
        <f t="shared" si="963"/>
        <v>0.12887580700615026</v>
      </c>
    </row>
    <row r="239" spans="1:20" x14ac:dyDescent="0.25">
      <c r="A239" s="5">
        <v>44354</v>
      </c>
      <c r="B239">
        <v>656.17</v>
      </c>
      <c r="C239">
        <v>670.63</v>
      </c>
      <c r="D239">
        <v>590.47</v>
      </c>
      <c r="E239">
        <v>596.45000000000005</v>
      </c>
      <c r="F239">
        <v>108223.56663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-0.85079840319361222</v>
      </c>
      <c r="Q239">
        <f t="shared" si="960"/>
        <v>-92076.4376767215</v>
      </c>
      <c r="R239">
        <f t="shared" si="961"/>
        <v>12739530.114660867</v>
      </c>
      <c r="S239">
        <f t="shared" si="962"/>
        <v>127.39530114660866</v>
      </c>
      <c r="T239">
        <f t="shared" si="963"/>
        <v>0.12739530114660866</v>
      </c>
    </row>
    <row r="240" spans="1:20" x14ac:dyDescent="0.25">
      <c r="A240" s="5">
        <v>44353</v>
      </c>
      <c r="B240">
        <v>649.04</v>
      </c>
      <c r="C240">
        <v>670</v>
      </c>
      <c r="D240">
        <v>644.57000000000005</v>
      </c>
      <c r="E240">
        <v>656.1</v>
      </c>
      <c r="F240">
        <v>63516.712379999997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-9.3197011403854071E-2</v>
      </c>
      <c r="Q240">
        <f t="shared" si="960"/>
        <v>-5919.5677680141789</v>
      </c>
      <c r="R240">
        <f t="shared" si="961"/>
        <v>12831606.552337589</v>
      </c>
      <c r="S240">
        <f t="shared" si="962"/>
        <v>128.3160655233759</v>
      </c>
      <c r="T240">
        <f t="shared" si="963"/>
        <v>0.12831606552337591</v>
      </c>
    </row>
    <row r="241" spans="1:20" x14ac:dyDescent="0.25">
      <c r="A241" s="5">
        <v>44352</v>
      </c>
      <c r="B241">
        <v>670.57</v>
      </c>
      <c r="C241">
        <v>688.93</v>
      </c>
      <c r="D241">
        <v>634.13</v>
      </c>
      <c r="E241">
        <v>649.30999999999995</v>
      </c>
      <c r="F241">
        <v>110720.05945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-0.44598540145985538</v>
      </c>
      <c r="Q241">
        <f t="shared" si="960"/>
        <v>-49379.530163467301</v>
      </c>
      <c r="R241">
        <f t="shared" si="961"/>
        <v>12837526.120105604</v>
      </c>
      <c r="S241">
        <f t="shared" si="962"/>
        <v>128.37526120105605</v>
      </c>
      <c r="T241">
        <f t="shared" si="963"/>
        <v>0.12837526120105605</v>
      </c>
    </row>
    <row r="242" spans="1:20" x14ac:dyDescent="0.25">
      <c r="A242" s="5">
        <v>44351</v>
      </c>
      <c r="B242">
        <v>718.98</v>
      </c>
      <c r="C242">
        <v>720</v>
      </c>
      <c r="D242">
        <v>642.66999999999996</v>
      </c>
      <c r="E242">
        <v>670.74</v>
      </c>
      <c r="F242">
        <v>138850.61902000001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-0.27402043191516784</v>
      </c>
      <c r="Q242">
        <f t="shared" si="960"/>
        <v>-38047.906595548819</v>
      </c>
      <c r="R242">
        <f t="shared" si="961"/>
        <v>12886905.650269071</v>
      </c>
      <c r="S242">
        <f t="shared" si="962"/>
        <v>128.86905650269071</v>
      </c>
      <c r="T242">
        <f t="shared" si="963"/>
        <v>0.1288690565026907</v>
      </c>
    </row>
    <row r="243" spans="1:20" x14ac:dyDescent="0.25">
      <c r="A243" s="5">
        <v>44350</v>
      </c>
      <c r="B243">
        <v>697.68</v>
      </c>
      <c r="C243">
        <v>735.53</v>
      </c>
      <c r="D243">
        <v>687.43</v>
      </c>
      <c r="E243">
        <v>718.91</v>
      </c>
      <c r="F243">
        <v>133112.20681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0.30893970893970907</v>
      </c>
      <c r="Q243">
        <f t="shared" si="960"/>
        <v>41123.646428203763</v>
      </c>
      <c r="R243">
        <f t="shared" si="961"/>
        <v>12924953.556864619</v>
      </c>
      <c r="S243">
        <f t="shared" si="962"/>
        <v>129.24953556864619</v>
      </c>
      <c r="T243">
        <f t="shared" si="963"/>
        <v>0.12924953556864618</v>
      </c>
    </row>
    <row r="244" spans="1:20" x14ac:dyDescent="0.25">
      <c r="A244" s="5">
        <v>44349</v>
      </c>
      <c r="B244">
        <v>691.07</v>
      </c>
      <c r="C244">
        <v>716.44</v>
      </c>
      <c r="D244">
        <v>674.59</v>
      </c>
      <c r="E244">
        <v>697.36</v>
      </c>
      <c r="F244">
        <v>120872.00835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8.8172043010751225E-2</v>
      </c>
      <c r="Q244">
        <f t="shared" si="960"/>
        <v>10657.531919032081</v>
      </c>
      <c r="R244">
        <f t="shared" si="961"/>
        <v>12883829.910436416</v>
      </c>
      <c r="S244">
        <f t="shared" si="962"/>
        <v>128.83829910436415</v>
      </c>
      <c r="T244">
        <f t="shared" si="963"/>
        <v>0.12883829910436415</v>
      </c>
    </row>
    <row r="245" spans="1:20" x14ac:dyDescent="0.25">
      <c r="A245" s="5">
        <v>44348</v>
      </c>
      <c r="B245">
        <v>702.47</v>
      </c>
      <c r="C245">
        <v>721.33</v>
      </c>
      <c r="D245">
        <v>668.13</v>
      </c>
      <c r="E245">
        <v>691.13</v>
      </c>
      <c r="F245">
        <v>161829.18590000001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-0.1353383458646624</v>
      </c>
      <c r="Q245">
        <f t="shared" si="960"/>
        <v>-21901.69433233095</v>
      </c>
      <c r="R245">
        <f t="shared" si="961"/>
        <v>12873172.378517384</v>
      </c>
      <c r="S245">
        <f t="shared" si="962"/>
        <v>128.73172378517384</v>
      </c>
      <c r="T245">
        <f t="shared" si="963"/>
        <v>0.12873172378517383</v>
      </c>
    </row>
    <row r="246" spans="1:20" x14ac:dyDescent="0.25">
      <c r="A246" s="5">
        <v>44347</v>
      </c>
      <c r="B246">
        <v>661.41</v>
      </c>
      <c r="C246">
        <v>711.4</v>
      </c>
      <c r="D246">
        <v>634.34</v>
      </c>
      <c r="E246">
        <v>702.46</v>
      </c>
      <c r="F246">
        <v>173886.93111999999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0.76797300804568003</v>
      </c>
      <c r="Q246">
        <f t="shared" si="960"/>
        <v>133540.46955205838</v>
      </c>
      <c r="R246">
        <f t="shared" si="961"/>
        <v>12895074.072849715</v>
      </c>
      <c r="S246">
        <f t="shared" si="962"/>
        <v>128.95074072849715</v>
      </c>
      <c r="T246">
        <f t="shared" si="963"/>
        <v>0.12895074072849716</v>
      </c>
    </row>
    <row r="247" spans="1:20" x14ac:dyDescent="0.25">
      <c r="A247" s="5">
        <v>44346</v>
      </c>
      <c r="B247">
        <v>652</v>
      </c>
      <c r="C247">
        <v>688.61</v>
      </c>
      <c r="D247">
        <v>616.04</v>
      </c>
      <c r="E247">
        <v>661.66</v>
      </c>
      <c r="F247">
        <v>138072.20392999999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0.25726884387487869</v>
      </c>
      <c r="Q247">
        <f t="shared" si="960"/>
        <v>35521.676276327576</v>
      </c>
      <c r="R247">
        <f t="shared" si="961"/>
        <v>12761533.603297656</v>
      </c>
      <c r="S247">
        <f t="shared" si="962"/>
        <v>127.61533603297656</v>
      </c>
      <c r="T247">
        <f t="shared" si="963"/>
        <v>0.12761533603297656</v>
      </c>
    </row>
    <row r="248" spans="1:20" x14ac:dyDescent="0.25">
      <c r="A248" s="5">
        <v>44345</v>
      </c>
      <c r="B248">
        <v>688.75</v>
      </c>
      <c r="C248">
        <v>721.25</v>
      </c>
      <c r="D248">
        <v>617.57000000000005</v>
      </c>
      <c r="E248">
        <v>651.96</v>
      </c>
      <c r="F248">
        <v>197313.51574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-0.33661265432098758</v>
      </c>
      <c r="Q248">
        <f t="shared" si="960"/>
        <v>-66418.226266647369</v>
      </c>
      <c r="R248">
        <f t="shared" si="961"/>
        <v>12726011.927021328</v>
      </c>
      <c r="S248">
        <f t="shared" si="962"/>
        <v>127.26011927021328</v>
      </c>
      <c r="T248">
        <f t="shared" si="963"/>
        <v>0.12726011927021327</v>
      </c>
    </row>
    <row r="249" spans="1:20" x14ac:dyDescent="0.25">
      <c r="A249" s="5">
        <v>44344</v>
      </c>
      <c r="B249">
        <v>750.2</v>
      </c>
      <c r="C249">
        <v>761.57</v>
      </c>
      <c r="D249">
        <v>652.25</v>
      </c>
      <c r="E249">
        <v>688.28</v>
      </c>
      <c r="F249">
        <v>302614.79016999999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-0.34083424807903484</v>
      </c>
      <c r="Q249">
        <f t="shared" si="960"/>
        <v>-103141.48446518685</v>
      </c>
      <c r="R249">
        <f t="shared" si="961"/>
        <v>12792430.153287975</v>
      </c>
      <c r="S249">
        <f t="shared" si="962"/>
        <v>127.92430153287975</v>
      </c>
      <c r="T249">
        <f t="shared" si="963"/>
        <v>0.12792430153287976</v>
      </c>
    </row>
    <row r="250" spans="1:20" x14ac:dyDescent="0.25">
      <c r="A250" s="5">
        <v>44343</v>
      </c>
      <c r="B250">
        <v>764.16</v>
      </c>
      <c r="C250">
        <v>806.87</v>
      </c>
      <c r="D250">
        <v>700.52</v>
      </c>
      <c r="E250">
        <v>750.03</v>
      </c>
      <c r="F250">
        <v>233887.66574999999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-6.8923366243535872E-2</v>
      </c>
      <c r="Q250">
        <f t="shared" si="960"/>
        <v>-16120.32524633295</v>
      </c>
      <c r="R250">
        <f t="shared" si="961"/>
        <v>12895571.637753163</v>
      </c>
      <c r="S250">
        <f t="shared" si="962"/>
        <v>128.95571637753162</v>
      </c>
      <c r="T250">
        <f t="shared" si="963"/>
        <v>0.12895571637753162</v>
      </c>
    </row>
    <row r="251" spans="1:20" x14ac:dyDescent="0.25">
      <c r="A251" s="5">
        <v>44342</v>
      </c>
      <c r="B251">
        <v>719.5</v>
      </c>
      <c r="C251">
        <v>788.66</v>
      </c>
      <c r="D251">
        <v>707.24</v>
      </c>
      <c r="E251">
        <v>763.96</v>
      </c>
      <c r="F251">
        <v>269036.81715000002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0.39326946696143589</v>
      </c>
      <c r="Q251">
        <f t="shared" si="960"/>
        <v>105803.9656735818</v>
      </c>
      <c r="R251">
        <f t="shared" si="961"/>
        <v>12911691.962999495</v>
      </c>
      <c r="S251">
        <f t="shared" si="962"/>
        <v>129.11691962999495</v>
      </c>
      <c r="T251">
        <f t="shared" si="963"/>
        <v>0.12911691962999494</v>
      </c>
    </row>
    <row r="252" spans="1:20" x14ac:dyDescent="0.25">
      <c r="A252" s="5">
        <v>44341</v>
      </c>
      <c r="B252">
        <v>753.8</v>
      </c>
      <c r="C252">
        <v>792.61</v>
      </c>
      <c r="D252">
        <v>667.6</v>
      </c>
      <c r="E252">
        <v>718.79</v>
      </c>
      <c r="F252">
        <v>453339.03018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-0.1810255179585642</v>
      </c>
      <c r="Q252">
        <f t="shared" si="960"/>
        <v>-82065.932749167667</v>
      </c>
      <c r="R252">
        <f t="shared" si="961"/>
        <v>12805887.997325912</v>
      </c>
      <c r="S252">
        <f t="shared" si="962"/>
        <v>128.05887997325911</v>
      </c>
      <c r="T252">
        <f t="shared" si="963"/>
        <v>0.1280588799732591</v>
      </c>
    </row>
    <row r="253" spans="1:20" x14ac:dyDescent="0.25">
      <c r="A253" s="5">
        <v>44340</v>
      </c>
      <c r="B253">
        <v>551.74</v>
      </c>
      <c r="C253">
        <v>759.99</v>
      </c>
      <c r="D253">
        <v>538.11</v>
      </c>
      <c r="E253">
        <v>754</v>
      </c>
      <c r="F253">
        <v>470042.80887000001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0.94600685054984668</v>
      </c>
      <c r="Q253">
        <f t="shared" si="960"/>
        <v>444663.71724271227</v>
      </c>
      <c r="R253">
        <f t="shared" si="961"/>
        <v>12887953.930075079</v>
      </c>
      <c r="S253">
        <f t="shared" si="962"/>
        <v>128.87953930075079</v>
      </c>
      <c r="T253">
        <f t="shared" si="963"/>
        <v>0.1288795393007508</v>
      </c>
    </row>
    <row r="254" spans="1:20" x14ac:dyDescent="0.25">
      <c r="A254" s="5">
        <v>44339</v>
      </c>
      <c r="B254">
        <v>629.96</v>
      </c>
      <c r="C254">
        <v>659.85</v>
      </c>
      <c r="D254">
        <v>468.13</v>
      </c>
      <c r="E254">
        <v>552.37</v>
      </c>
      <c r="F254">
        <v>687431.92972000001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-0.12121844356353018</v>
      </c>
      <c r="Q254">
        <f t="shared" si="960"/>
        <v>-83329.42857653246</v>
      </c>
      <c r="R254">
        <f t="shared" si="961"/>
        <v>12443290.212832367</v>
      </c>
      <c r="S254">
        <f t="shared" si="962"/>
        <v>124.43290212832368</v>
      </c>
      <c r="T254">
        <f t="shared" si="963"/>
        <v>0.12443290212832367</v>
      </c>
    </row>
    <row r="255" spans="1:20" x14ac:dyDescent="0.25">
      <c r="A255" s="5">
        <v>44338</v>
      </c>
      <c r="B255">
        <v>687.51</v>
      </c>
      <c r="C255">
        <v>721.76</v>
      </c>
      <c r="D255">
        <v>598.98</v>
      </c>
      <c r="E255">
        <v>629.85</v>
      </c>
      <c r="F255">
        <v>456596.53324999998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-0.49714937286202948</v>
      </c>
      <c r="Q255">
        <f t="shared" si="960"/>
        <v>-226996.68015621428</v>
      </c>
      <c r="R255">
        <f t="shared" si="961"/>
        <v>12526619.6414089</v>
      </c>
      <c r="S255">
        <f t="shared" si="962"/>
        <v>125.26619641408899</v>
      </c>
      <c r="T255">
        <f t="shared" si="963"/>
        <v>0.12526619641408898</v>
      </c>
    </row>
    <row r="256" spans="1:20" x14ac:dyDescent="0.25">
      <c r="A256" s="5">
        <v>44337</v>
      </c>
      <c r="B256">
        <v>817.58</v>
      </c>
      <c r="C256">
        <v>850.93</v>
      </c>
      <c r="D256">
        <v>604</v>
      </c>
      <c r="E256">
        <v>687.5</v>
      </c>
      <c r="F256">
        <v>699870.06322999997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-0.32369497428420996</v>
      </c>
      <c r="Q256">
        <f t="shared" si="960"/>
        <v>-226544.42211952322</v>
      </c>
      <c r="R256">
        <f t="shared" si="961"/>
        <v>12753616.321565114</v>
      </c>
      <c r="S256">
        <f t="shared" si="962"/>
        <v>127.53616321565114</v>
      </c>
      <c r="T256">
        <f t="shared" si="963"/>
        <v>0.12753616321565114</v>
      </c>
    </row>
    <row r="257" spans="1:20" x14ac:dyDescent="0.25">
      <c r="A257" s="5">
        <v>44336</v>
      </c>
      <c r="B257">
        <v>694.5</v>
      </c>
      <c r="C257">
        <v>864.28</v>
      </c>
      <c r="D257">
        <v>600</v>
      </c>
      <c r="E257">
        <v>817.65</v>
      </c>
      <c r="F257">
        <v>587781.52101999999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0.6471166944150144</v>
      </c>
      <c r="Q257">
        <f t="shared" si="960"/>
        <v>380363.2349206917</v>
      </c>
      <c r="R257">
        <f t="shared" si="961"/>
        <v>12980160.743684636</v>
      </c>
      <c r="S257">
        <f t="shared" si="962"/>
        <v>129.80160743684635</v>
      </c>
      <c r="T257">
        <f t="shared" si="963"/>
        <v>0.12980160743684635</v>
      </c>
    </row>
    <row r="258" spans="1:20" x14ac:dyDescent="0.25">
      <c r="A258" s="5">
        <v>44335</v>
      </c>
      <c r="B258">
        <v>1089.43</v>
      </c>
      <c r="C258">
        <v>1113.06</v>
      </c>
      <c r="D258">
        <v>490</v>
      </c>
      <c r="E258">
        <v>694.51</v>
      </c>
      <c r="F258">
        <v>943458.65757000004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-0.34353031810740536</v>
      </c>
      <c r="Q258">
        <f t="shared" si="960"/>
        <v>-324106.65275620774</v>
      </c>
      <c r="R258">
        <f t="shared" si="961"/>
        <v>12599797.508763945</v>
      </c>
      <c r="S258">
        <f t="shared" si="962"/>
        <v>125.99797508763945</v>
      </c>
      <c r="T258">
        <f t="shared" si="963"/>
        <v>0.12599797508763944</v>
      </c>
    </row>
    <row r="259" spans="1:20" x14ac:dyDescent="0.25">
      <c r="A259" s="5">
        <v>44334</v>
      </c>
      <c r="B259">
        <v>1069.6199999999999</v>
      </c>
      <c r="C259">
        <v>1166.1300000000001</v>
      </c>
      <c r="D259">
        <v>1051.2</v>
      </c>
      <c r="E259">
        <v>1089.32</v>
      </c>
      <c r="F259">
        <v>231294.37703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-0.33663969372661845</v>
      </c>
      <c r="Q259">
        <f t="shared" si="960"/>
        <v>-77862.868244068217</v>
      </c>
      <c r="R259">
        <f t="shared" si="961"/>
        <v>12923904.161520153</v>
      </c>
      <c r="S259">
        <f t="shared" si="962"/>
        <v>129.23904161520153</v>
      </c>
      <c r="T259">
        <f t="shared" si="963"/>
        <v>0.12923904161520153</v>
      </c>
    </row>
    <row r="260" spans="1:20" x14ac:dyDescent="0.25">
      <c r="A260" s="5">
        <v>44333</v>
      </c>
      <c r="B260">
        <v>1166.8800000000001</v>
      </c>
      <c r="C260">
        <v>1168.1400000000001</v>
      </c>
      <c r="D260">
        <v>988.43</v>
      </c>
      <c r="E260">
        <v>1069.74</v>
      </c>
      <c r="F260">
        <v>404222.98907000001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-9.5097657336820532E-2</v>
      </c>
      <c r="Q260">
        <f t="shared" si="960"/>
        <v>-38440.65930224421</v>
      </c>
      <c r="R260">
        <f t="shared" si="961"/>
        <v>13001767.029764222</v>
      </c>
      <c r="S260">
        <f t="shared" si="962"/>
        <v>130.01767029764221</v>
      </c>
      <c r="T260">
        <f t="shared" si="963"/>
        <v>0.13001767029764222</v>
      </c>
    </row>
    <row r="261" spans="1:20" x14ac:dyDescent="0.25">
      <c r="A261" s="5">
        <v>44332</v>
      </c>
      <c r="B261">
        <v>1171.3599999999999</v>
      </c>
      <c r="C261">
        <v>1282</v>
      </c>
      <c r="D261">
        <v>1098.93</v>
      </c>
      <c r="E261">
        <v>1166.69</v>
      </c>
      <c r="F261">
        <v>281277.75586999999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-0.25973671273283427</v>
      </c>
      <c r="Q261">
        <f t="shared" si="960"/>
        <v>-73058.159674542476</v>
      </c>
      <c r="R261">
        <f t="shared" si="961"/>
        <v>13040207.689066466</v>
      </c>
      <c r="S261">
        <f t="shared" si="962"/>
        <v>130.40207689066466</v>
      </c>
      <c r="T261">
        <f t="shared" si="963"/>
        <v>0.13040207689066466</v>
      </c>
    </row>
    <row r="262" spans="1:20" x14ac:dyDescent="0.25">
      <c r="A262" s="5">
        <v>44331</v>
      </c>
      <c r="B262">
        <v>1296.78</v>
      </c>
      <c r="C262">
        <v>1336.84</v>
      </c>
      <c r="D262">
        <v>1161.79</v>
      </c>
      <c r="E262">
        <v>1171.75</v>
      </c>
      <c r="F262">
        <v>241359.96058000001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-0.88620394173093353</v>
      </c>
      <c r="Q262">
        <f t="shared" ref="Q262:Q325" si="965">F262*P262</f>
        <v>-213894.14844201875</v>
      </c>
      <c r="R262">
        <f t="shared" ref="R262:R325" si="966">R263+Q262</f>
        <v>13113265.848741008</v>
      </c>
      <c r="S262">
        <f t="shared" ref="S262:S325" si="967">R262/100000</f>
        <v>131.13265848741008</v>
      </c>
      <c r="T262">
        <f t="shared" ref="T262:T325" si="968">S262/1000</f>
        <v>0.13113265848741007</v>
      </c>
    </row>
    <row r="263" spans="1:20" x14ac:dyDescent="0.25">
      <c r="A263" s="5">
        <v>44330</v>
      </c>
      <c r="B263">
        <v>1257.1099999999999</v>
      </c>
      <c r="C263">
        <v>1361.44</v>
      </c>
      <c r="D263">
        <v>1223.79</v>
      </c>
      <c r="E263">
        <v>1296.3800000000001</v>
      </c>
      <c r="F263">
        <v>246717.05168999999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5.4703959317110029E-2</v>
      </c>
      <c r="Q263">
        <f t="shared" si="965"/>
        <v>13496.399558487092</v>
      </c>
      <c r="R263">
        <f t="shared" si="966"/>
        <v>13327159.997183027</v>
      </c>
      <c r="S263">
        <f t="shared" si="967"/>
        <v>133.27159997183026</v>
      </c>
      <c r="T263">
        <f t="shared" si="968"/>
        <v>0.13327159997183025</v>
      </c>
    </row>
    <row r="264" spans="1:20" x14ac:dyDescent="0.25">
      <c r="A264" s="5">
        <v>44329</v>
      </c>
      <c r="B264">
        <v>1236.46</v>
      </c>
      <c r="C264">
        <v>1344.1</v>
      </c>
      <c r="D264">
        <v>1133.42</v>
      </c>
      <c r="E264">
        <v>1258.52</v>
      </c>
      <c r="F264">
        <v>551513.17345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0.18758306436301506</v>
      </c>
      <c r="Q264">
        <f t="shared" si="965"/>
        <v>103454.53111232203</v>
      </c>
      <c r="R264">
        <f t="shared" si="966"/>
        <v>13313663.59762454</v>
      </c>
      <c r="S264">
        <f t="shared" si="967"/>
        <v>133.1366359762454</v>
      </c>
      <c r="T264">
        <f t="shared" si="968"/>
        <v>0.13313663597624539</v>
      </c>
    </row>
    <row r="265" spans="1:20" x14ac:dyDescent="0.25">
      <c r="A265" s="5">
        <v>44328</v>
      </c>
      <c r="B265">
        <v>1548.29</v>
      </c>
      <c r="C265">
        <v>1650</v>
      </c>
      <c r="D265">
        <v>1200</v>
      </c>
      <c r="E265">
        <v>1236.46</v>
      </c>
      <c r="F265">
        <v>490390.17148000002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-0.83795555555555534</v>
      </c>
      <c r="Q265">
        <f t="shared" si="965"/>
        <v>-410925.16858150746</v>
      </c>
      <c r="R265">
        <f t="shared" si="966"/>
        <v>13210209.066512218</v>
      </c>
      <c r="S265">
        <f t="shared" si="967"/>
        <v>132.10209066512218</v>
      </c>
      <c r="T265">
        <f t="shared" si="968"/>
        <v>0.13210209066512218</v>
      </c>
    </row>
    <row r="266" spans="1:20" x14ac:dyDescent="0.25">
      <c r="A266" s="5">
        <v>44327</v>
      </c>
      <c r="B266">
        <v>1321.2</v>
      </c>
      <c r="C266">
        <v>1550</v>
      </c>
      <c r="D266">
        <v>1300</v>
      </c>
      <c r="E266">
        <v>1547.51</v>
      </c>
      <c r="F266">
        <v>351316.20726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0.98007999999999995</v>
      </c>
      <c r="Q266">
        <f t="shared" si="965"/>
        <v>344317.98841138079</v>
      </c>
      <c r="R266">
        <f t="shared" si="966"/>
        <v>13621134.235093726</v>
      </c>
      <c r="S266">
        <f t="shared" si="967"/>
        <v>136.21134235093726</v>
      </c>
      <c r="T266">
        <f t="shared" si="968"/>
        <v>0.13621134235093726</v>
      </c>
    </row>
    <row r="267" spans="1:20" x14ac:dyDescent="0.25">
      <c r="A267" s="5">
        <v>44326</v>
      </c>
      <c r="B267">
        <v>1427.87</v>
      </c>
      <c r="C267">
        <v>1571.87</v>
      </c>
      <c r="D267">
        <v>1198.1500000000001</v>
      </c>
      <c r="E267">
        <v>1321.31</v>
      </c>
      <c r="F267">
        <v>480686.22853999998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-0.34089692818152673</v>
      </c>
      <c r="Q267">
        <f t="shared" si="965"/>
        <v>-163864.4587284493</v>
      </c>
      <c r="R267">
        <f t="shared" si="966"/>
        <v>13276816.246682346</v>
      </c>
      <c r="S267">
        <f t="shared" si="967"/>
        <v>132.76816246682347</v>
      </c>
      <c r="T267">
        <f t="shared" si="968"/>
        <v>0.13276816246682346</v>
      </c>
    </row>
    <row r="268" spans="1:20" x14ac:dyDescent="0.25">
      <c r="A268" s="5">
        <v>44325</v>
      </c>
      <c r="B268">
        <v>1396.73</v>
      </c>
      <c r="C268">
        <v>1430</v>
      </c>
      <c r="D268">
        <v>1282.73</v>
      </c>
      <c r="E268">
        <v>1427.8</v>
      </c>
      <c r="F268">
        <v>257872.90403999999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0.97012290351055819</v>
      </c>
      <c r="Q268">
        <f t="shared" si="965"/>
        <v>250168.41040398434</v>
      </c>
      <c r="R268">
        <f t="shared" si="966"/>
        <v>13440680.705410795</v>
      </c>
      <c r="S268">
        <f t="shared" si="967"/>
        <v>134.40680705410796</v>
      </c>
      <c r="T268">
        <f t="shared" si="968"/>
        <v>0.13440680705410796</v>
      </c>
    </row>
    <row r="269" spans="1:20" x14ac:dyDescent="0.25">
      <c r="A269" s="5">
        <v>44324</v>
      </c>
      <c r="B269">
        <v>1340.15</v>
      </c>
      <c r="C269">
        <v>1449.63</v>
      </c>
      <c r="D269">
        <v>1322.33</v>
      </c>
      <c r="E269">
        <v>1396.86</v>
      </c>
      <c r="F269">
        <v>354887.17744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0.17093479968577951</v>
      </c>
      <c r="Q269">
        <f t="shared" si="965"/>
        <v>60662.568586758091</v>
      </c>
      <c r="R269">
        <f t="shared" si="966"/>
        <v>13190512.295006812</v>
      </c>
      <c r="S269">
        <f t="shared" si="967"/>
        <v>131.90512295006812</v>
      </c>
      <c r="T269">
        <f t="shared" si="968"/>
        <v>0.13190512295006812</v>
      </c>
    </row>
    <row r="270" spans="1:20" x14ac:dyDescent="0.25">
      <c r="A270" s="5">
        <v>44323</v>
      </c>
      <c r="B270">
        <v>1509.22</v>
      </c>
      <c r="C270">
        <v>1511.42</v>
      </c>
      <c r="D270">
        <v>1269.44</v>
      </c>
      <c r="E270">
        <v>1340.72</v>
      </c>
      <c r="F270">
        <v>571117.72722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-0.41086040168609</v>
      </c>
      <c r="Q270">
        <f t="shared" si="965"/>
        <v>-234649.65881565597</v>
      </c>
      <c r="R270">
        <f t="shared" si="966"/>
        <v>13129849.726420054</v>
      </c>
      <c r="S270">
        <f t="shared" si="967"/>
        <v>131.29849726420053</v>
      </c>
      <c r="T270">
        <f t="shared" si="968"/>
        <v>0.13129849726420054</v>
      </c>
    </row>
    <row r="271" spans="1:20" x14ac:dyDescent="0.25">
      <c r="A271" s="5">
        <v>44322</v>
      </c>
      <c r="B271">
        <v>1453.04</v>
      </c>
      <c r="C271">
        <v>1610.3</v>
      </c>
      <c r="D271">
        <v>1270.1199999999999</v>
      </c>
      <c r="E271">
        <v>1509.27</v>
      </c>
      <c r="F271">
        <v>1022211.6969100001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0.40602034217179167</v>
      </c>
      <c r="Q271">
        <f t="shared" si="965"/>
        <v>415038.74295140605</v>
      </c>
      <c r="R271">
        <f t="shared" si="966"/>
        <v>13364499.38523571</v>
      </c>
      <c r="S271">
        <f t="shared" si="967"/>
        <v>133.64499385235709</v>
      </c>
      <c r="T271">
        <f t="shared" si="968"/>
        <v>0.13364499385235709</v>
      </c>
    </row>
    <row r="272" spans="1:20" x14ac:dyDescent="0.25">
      <c r="A272" s="5">
        <v>44321</v>
      </c>
      <c r="B272">
        <v>951.02</v>
      </c>
      <c r="C272">
        <v>1477</v>
      </c>
      <c r="D272">
        <v>939.01</v>
      </c>
      <c r="E272">
        <v>1453.49</v>
      </c>
      <c r="F272">
        <v>982455.57351999998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0.91260060595921866</v>
      </c>
      <c r="Q272">
        <f t="shared" si="965"/>
        <v>896589.55172236369</v>
      </c>
      <c r="R272">
        <f t="shared" si="966"/>
        <v>12949460.642284304</v>
      </c>
      <c r="S272">
        <f t="shared" si="967"/>
        <v>129.49460642284305</v>
      </c>
      <c r="T272">
        <f t="shared" si="968"/>
        <v>0.12949460642284305</v>
      </c>
    </row>
    <row r="273" spans="1:20" x14ac:dyDescent="0.25">
      <c r="A273" s="5">
        <v>44320</v>
      </c>
      <c r="B273">
        <v>1015.68</v>
      </c>
      <c r="C273">
        <v>1055.99</v>
      </c>
      <c r="D273">
        <v>930.69</v>
      </c>
      <c r="E273">
        <v>950.89</v>
      </c>
      <c r="F273">
        <v>400173.45451000001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-0.6775738228252205</v>
      </c>
      <c r="Q273">
        <f t="shared" si="965"/>
        <v>-271147.05736551515</v>
      </c>
      <c r="R273">
        <f t="shared" si="966"/>
        <v>12052871.090561939</v>
      </c>
      <c r="S273">
        <f t="shared" si="967"/>
        <v>120.52871090561939</v>
      </c>
      <c r="T273">
        <f t="shared" si="968"/>
        <v>0.1205287109056194</v>
      </c>
    </row>
    <row r="274" spans="1:20" x14ac:dyDescent="0.25">
      <c r="A274" s="5">
        <v>44319</v>
      </c>
      <c r="B274">
        <v>972.67</v>
      </c>
      <c r="C274">
        <v>1049</v>
      </c>
      <c r="D274">
        <v>971.2</v>
      </c>
      <c r="E274">
        <v>1015.02</v>
      </c>
      <c r="F274">
        <v>170309.4877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0.12647814910025609</v>
      </c>
      <c r="Q274">
        <f t="shared" si="965"/>
        <v>21540.428778508831</v>
      </c>
      <c r="R274">
        <f t="shared" si="966"/>
        <v>12324018.147927454</v>
      </c>
      <c r="S274">
        <f t="shared" si="967"/>
        <v>123.24018147927454</v>
      </c>
      <c r="T274">
        <f t="shared" si="968"/>
        <v>0.12324018147927454</v>
      </c>
    </row>
    <row r="275" spans="1:20" x14ac:dyDescent="0.25">
      <c r="A275" s="5">
        <v>44318</v>
      </c>
      <c r="B275">
        <v>1003.55</v>
      </c>
      <c r="C275">
        <v>1011</v>
      </c>
      <c r="D275">
        <v>950.32</v>
      </c>
      <c r="E275">
        <v>972.25</v>
      </c>
      <c r="F275">
        <v>120636.34335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-0.27719182597231484</v>
      </c>
      <c r="Q275">
        <f t="shared" si="965"/>
        <v>-33439.408291809617</v>
      </c>
      <c r="R275">
        <f t="shared" si="966"/>
        <v>12302477.719148945</v>
      </c>
      <c r="S275">
        <f t="shared" si="967"/>
        <v>123.02477719148945</v>
      </c>
      <c r="T275">
        <f t="shared" si="968"/>
        <v>0.12302477719148945</v>
      </c>
    </row>
    <row r="276" spans="1:20" x14ac:dyDescent="0.25">
      <c r="A276" s="5">
        <v>44317</v>
      </c>
      <c r="B276">
        <v>995.9</v>
      </c>
      <c r="C276">
        <v>1031.27</v>
      </c>
      <c r="D276">
        <v>975.9</v>
      </c>
      <c r="E276">
        <v>1003.77</v>
      </c>
      <c r="F276">
        <v>186785.08757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6.6823189452773074E-3</v>
      </c>
      <c r="Q276">
        <f t="shared" si="965"/>
        <v>1248.157529364292</v>
      </c>
      <c r="R276">
        <f t="shared" si="966"/>
        <v>12335917.127440754</v>
      </c>
      <c r="S276">
        <f t="shared" si="967"/>
        <v>123.35917127440754</v>
      </c>
      <c r="T276">
        <f t="shared" si="968"/>
        <v>0.12335917127440754</v>
      </c>
    </row>
    <row r="277" spans="1:20" x14ac:dyDescent="0.25">
      <c r="A277" s="5">
        <v>44316</v>
      </c>
      <c r="B277">
        <v>880.23</v>
      </c>
      <c r="C277">
        <v>1000.83</v>
      </c>
      <c r="D277">
        <v>869.05</v>
      </c>
      <c r="E277">
        <v>995.51</v>
      </c>
      <c r="F277">
        <v>211812.19281000001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0.9192593716800721</v>
      </c>
      <c r="Q277">
        <f t="shared" si="965"/>
        <v>194710.3432766989</v>
      </c>
      <c r="R277">
        <f t="shared" si="966"/>
        <v>12334668.969911391</v>
      </c>
      <c r="S277">
        <f t="shared" si="967"/>
        <v>123.34668969911391</v>
      </c>
      <c r="T277">
        <f t="shared" si="968"/>
        <v>0.12334668969911392</v>
      </c>
    </row>
    <row r="278" spans="1:20" x14ac:dyDescent="0.25">
      <c r="A278" s="5">
        <v>44315</v>
      </c>
      <c r="B278">
        <v>910.44</v>
      </c>
      <c r="C278">
        <v>915</v>
      </c>
      <c r="D278">
        <v>859.01</v>
      </c>
      <c r="E278">
        <v>880.43</v>
      </c>
      <c r="F278">
        <v>154378.4938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-0.23486336845865491</v>
      </c>
      <c r="Q278">
        <f t="shared" si="965"/>
        <v>-36257.853071441568</v>
      </c>
      <c r="R278">
        <f t="shared" si="966"/>
        <v>12139958.626634693</v>
      </c>
      <c r="S278">
        <f t="shared" si="967"/>
        <v>121.39958626634693</v>
      </c>
      <c r="T278">
        <f t="shared" si="968"/>
        <v>0.12139958626634693</v>
      </c>
    </row>
    <row r="279" spans="1:20" x14ac:dyDescent="0.25">
      <c r="A279" s="5">
        <v>44314</v>
      </c>
      <c r="B279">
        <v>890.15</v>
      </c>
      <c r="C279">
        <v>929</v>
      </c>
      <c r="D279">
        <v>852.39</v>
      </c>
      <c r="E279">
        <v>910.44</v>
      </c>
      <c r="F279">
        <v>251408.92113999999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0.51546795457512229</v>
      </c>
      <c r="Q279">
        <f t="shared" si="965"/>
        <v>129593.24234197402</v>
      </c>
      <c r="R279">
        <f t="shared" si="966"/>
        <v>12176216.479706135</v>
      </c>
      <c r="S279">
        <f t="shared" si="967"/>
        <v>121.76216479706135</v>
      </c>
      <c r="T279">
        <f t="shared" si="968"/>
        <v>0.12176216479706134</v>
      </c>
    </row>
    <row r="280" spans="1:20" x14ac:dyDescent="0.25">
      <c r="A280" s="5">
        <v>44313</v>
      </c>
      <c r="B280">
        <v>848.89</v>
      </c>
      <c r="C280">
        <v>892</v>
      </c>
      <c r="D280">
        <v>832.19</v>
      </c>
      <c r="E280">
        <v>890.58</v>
      </c>
      <c r="F280">
        <v>190490.33123000001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0.95251630162180367</v>
      </c>
      <c r="Q280">
        <f t="shared" si="965"/>
        <v>181445.14579791197</v>
      </c>
      <c r="R280">
        <f t="shared" si="966"/>
        <v>12046623.23736416</v>
      </c>
      <c r="S280">
        <f t="shared" si="967"/>
        <v>120.4662323736416</v>
      </c>
      <c r="T280">
        <f t="shared" si="968"/>
        <v>0.1204662323736416</v>
      </c>
    </row>
    <row r="281" spans="1:20" x14ac:dyDescent="0.25">
      <c r="A281" s="5">
        <v>44312</v>
      </c>
      <c r="B281">
        <v>759.3</v>
      </c>
      <c r="C281">
        <v>850</v>
      </c>
      <c r="D281">
        <v>750.44</v>
      </c>
      <c r="E281">
        <v>848.88</v>
      </c>
      <c r="F281">
        <v>240883.28745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0.97750100441944543</v>
      </c>
      <c r="Q281">
        <f t="shared" si="965"/>
        <v>235463.65543023299</v>
      </c>
      <c r="R281">
        <f t="shared" si="966"/>
        <v>11865178.091566248</v>
      </c>
      <c r="S281">
        <f t="shared" si="967"/>
        <v>118.65178091566248</v>
      </c>
      <c r="T281">
        <f t="shared" si="968"/>
        <v>0.11865178091566249</v>
      </c>
    </row>
    <row r="282" spans="1:20" x14ac:dyDescent="0.25">
      <c r="A282" s="5">
        <v>44311</v>
      </c>
      <c r="B282">
        <v>771.36</v>
      </c>
      <c r="C282">
        <v>807.01</v>
      </c>
      <c r="D282">
        <v>715.28</v>
      </c>
      <c r="E282">
        <v>758.87</v>
      </c>
      <c r="F282">
        <v>164175.23222999999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-4.9602093099312697E-2</v>
      </c>
      <c r="Q282">
        <f t="shared" si="965"/>
        <v>-8143.4351536737422</v>
      </c>
      <c r="R282">
        <f t="shared" si="966"/>
        <v>11629714.436136015</v>
      </c>
      <c r="S282">
        <f t="shared" si="967"/>
        <v>116.29714436136015</v>
      </c>
      <c r="T282">
        <f t="shared" si="968"/>
        <v>0.11629714436136016</v>
      </c>
    </row>
    <row r="283" spans="1:20" x14ac:dyDescent="0.25">
      <c r="A283" s="5">
        <v>44310</v>
      </c>
      <c r="B283">
        <v>839.34</v>
      </c>
      <c r="C283">
        <v>843.01</v>
      </c>
      <c r="D283">
        <v>747.79</v>
      </c>
      <c r="E283">
        <v>770.41</v>
      </c>
      <c r="F283">
        <v>255044.98998000001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-0.52488972904851927</v>
      </c>
      <c r="Q283">
        <f t="shared" si="965"/>
        <v>-133870.49568578452</v>
      </c>
      <c r="R283">
        <f t="shared" si="966"/>
        <v>11637857.871289689</v>
      </c>
      <c r="S283">
        <f t="shared" si="967"/>
        <v>116.3785787128969</v>
      </c>
      <c r="T283">
        <f t="shared" si="968"/>
        <v>0.11637857871289689</v>
      </c>
    </row>
    <row r="284" spans="1:20" x14ac:dyDescent="0.25">
      <c r="A284" s="5">
        <v>44309</v>
      </c>
      <c r="B284">
        <v>853.22</v>
      </c>
      <c r="C284">
        <v>874.44</v>
      </c>
      <c r="D284">
        <v>685.36</v>
      </c>
      <c r="E284">
        <v>839.34</v>
      </c>
      <c r="F284">
        <v>608416.42845999997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0.62872858049502844</v>
      </c>
      <c r="Q284">
        <f t="shared" si="965"/>
        <v>382528.79741551081</v>
      </c>
      <c r="R284">
        <f t="shared" si="966"/>
        <v>11771728.366975473</v>
      </c>
      <c r="S284">
        <f t="shared" si="967"/>
        <v>117.71728366975474</v>
      </c>
      <c r="T284">
        <f t="shared" si="968"/>
        <v>0.11771728366975473</v>
      </c>
    </row>
    <row r="285" spans="1:20" x14ac:dyDescent="0.25">
      <c r="A285" s="5">
        <v>44308</v>
      </c>
      <c r="B285">
        <v>909.27</v>
      </c>
      <c r="C285">
        <v>971.61</v>
      </c>
      <c r="D285">
        <v>840</v>
      </c>
      <c r="E285">
        <v>853.08</v>
      </c>
      <c r="F285">
        <v>418319.88377000001</v>
      </c>
      <c r="G285">
        <v>0</v>
      </c>
      <c r="L285" t="s">
        <v>7</v>
      </c>
      <c r="M285" t="s">
        <v>8</v>
      </c>
      <c r="N285" t="s">
        <v>7</v>
      </c>
      <c r="P285">
        <f t="shared" si="964"/>
        <v>-0.80123090950535614</v>
      </c>
      <c r="Q285">
        <f t="shared" si="965"/>
        <v>-335170.82093721197</v>
      </c>
      <c r="R285">
        <f t="shared" si="966"/>
        <v>11389199.569559962</v>
      </c>
      <c r="S285">
        <f t="shared" si="967"/>
        <v>113.89199569559962</v>
      </c>
      <c r="T285">
        <f t="shared" si="968"/>
        <v>0.11389199569559962</v>
      </c>
    </row>
    <row r="286" spans="1:20" x14ac:dyDescent="0.25">
      <c r="A286" s="5">
        <v>44307</v>
      </c>
      <c r="B286">
        <v>940.41</v>
      </c>
      <c r="C286">
        <v>998.8</v>
      </c>
      <c r="D286">
        <v>899.31</v>
      </c>
      <c r="E286">
        <v>909.2</v>
      </c>
      <c r="F286">
        <v>390598.05242000002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-0.80118604884912858</v>
      </c>
      <c r="Q286">
        <f t="shared" si="965"/>
        <v>-312941.71030654461</v>
      </c>
      <c r="R286">
        <f t="shared" si="966"/>
        <v>11724370.390497174</v>
      </c>
      <c r="S286">
        <f t="shared" si="967"/>
        <v>117.24370390497174</v>
      </c>
      <c r="T286">
        <f t="shared" si="968"/>
        <v>0.11724370390497174</v>
      </c>
    </row>
    <row r="287" spans="1:20" x14ac:dyDescent="0.25">
      <c r="A287" s="5">
        <v>44306</v>
      </c>
      <c r="B287">
        <v>891.57</v>
      </c>
      <c r="C287">
        <v>972.69</v>
      </c>
      <c r="D287">
        <v>828</v>
      </c>
      <c r="E287">
        <v>940.79</v>
      </c>
      <c r="F287">
        <v>474777.94407999999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0.55905729490635037</v>
      </c>
      <c r="Q287">
        <f t="shared" si="965"/>
        <v>265428.0730985633</v>
      </c>
      <c r="R287">
        <f t="shared" si="966"/>
        <v>12037312.100803718</v>
      </c>
      <c r="S287">
        <f t="shared" si="967"/>
        <v>120.37312100803717</v>
      </c>
      <c r="T287">
        <f t="shared" si="968"/>
        <v>0.12037312100803717</v>
      </c>
    </row>
    <row r="288" spans="1:20" x14ac:dyDescent="0.25">
      <c r="A288" s="5">
        <v>44305</v>
      </c>
      <c r="B288">
        <v>972.51</v>
      </c>
      <c r="C288">
        <v>1040.52</v>
      </c>
      <c r="D288">
        <v>872.18</v>
      </c>
      <c r="E288">
        <v>891.27</v>
      </c>
      <c r="F288">
        <v>538626.70314999996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-0.77319710110490636</v>
      </c>
      <c r="Q288">
        <f t="shared" si="965"/>
        <v>-416464.60545327287</v>
      </c>
      <c r="R288">
        <f t="shared" si="966"/>
        <v>11771884.027705155</v>
      </c>
      <c r="S288">
        <f t="shared" si="967"/>
        <v>117.71884027705156</v>
      </c>
      <c r="T288">
        <f t="shared" si="968"/>
        <v>0.11771884027705155</v>
      </c>
    </row>
    <row r="289" spans="1:20" x14ac:dyDescent="0.25">
      <c r="A289" s="5">
        <v>44304</v>
      </c>
      <c r="B289">
        <v>992.11</v>
      </c>
      <c r="C289">
        <v>1015.3</v>
      </c>
      <c r="D289">
        <v>806.89</v>
      </c>
      <c r="E289">
        <v>972.51</v>
      </c>
      <c r="F289">
        <v>781742.51031000004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0.58936711290245214</v>
      </c>
      <c r="Q289">
        <f t="shared" si="965"/>
        <v>460733.32633452013</v>
      </c>
      <c r="R289">
        <f t="shared" si="966"/>
        <v>12188348.633158429</v>
      </c>
      <c r="S289">
        <f t="shared" si="967"/>
        <v>121.88348633158428</v>
      </c>
      <c r="T289">
        <f t="shared" si="968"/>
        <v>0.12188348633158427</v>
      </c>
    </row>
    <row r="290" spans="1:20" x14ac:dyDescent="0.25">
      <c r="A290" s="5">
        <v>44303</v>
      </c>
      <c r="B290">
        <v>1103.54</v>
      </c>
      <c r="C290">
        <v>1219.98</v>
      </c>
      <c r="D290">
        <v>988.62</v>
      </c>
      <c r="E290">
        <v>991.76</v>
      </c>
      <c r="F290">
        <v>733523.99364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-0.97285615491009692</v>
      </c>
      <c r="Q290">
        <f t="shared" si="965"/>
        <v>-713613.3319869088</v>
      </c>
      <c r="R290">
        <f t="shared" si="966"/>
        <v>11727615.306823909</v>
      </c>
      <c r="S290">
        <f t="shared" si="967"/>
        <v>117.2761530682391</v>
      </c>
      <c r="T290">
        <f t="shared" si="968"/>
        <v>0.1172761530682391</v>
      </c>
    </row>
    <row r="291" spans="1:20" x14ac:dyDescent="0.25">
      <c r="A291" s="5">
        <v>44302</v>
      </c>
      <c r="B291">
        <v>864.44</v>
      </c>
      <c r="C291">
        <v>1175.1400000000001</v>
      </c>
      <c r="D291">
        <v>816.19</v>
      </c>
      <c r="E291">
        <v>1103.53</v>
      </c>
      <c r="F291">
        <v>1040206.08635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0.60100292519849496</v>
      </c>
      <c r="Q291">
        <f t="shared" si="965"/>
        <v>625166.90070562821</v>
      </c>
      <c r="R291">
        <f t="shared" si="966"/>
        <v>12441228.638810819</v>
      </c>
      <c r="S291">
        <f t="shared" si="967"/>
        <v>124.41228638810819</v>
      </c>
      <c r="T291">
        <f t="shared" si="968"/>
        <v>0.12441228638810818</v>
      </c>
    </row>
    <row r="292" spans="1:20" x14ac:dyDescent="0.25">
      <c r="A292" s="5">
        <v>44301</v>
      </c>
      <c r="B292">
        <v>814.61</v>
      </c>
      <c r="C292">
        <v>876.87</v>
      </c>
      <c r="D292">
        <v>797.7</v>
      </c>
      <c r="E292">
        <v>864.82</v>
      </c>
      <c r="F292">
        <v>329984.58659999998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0.69559176455728278</v>
      </c>
      <c r="Q292">
        <f t="shared" si="965"/>
        <v>229534.56086979946</v>
      </c>
      <c r="R292">
        <f t="shared" si="966"/>
        <v>11816061.738105191</v>
      </c>
      <c r="S292">
        <f t="shared" si="967"/>
        <v>118.16061738105191</v>
      </c>
      <c r="T292">
        <f t="shared" si="968"/>
        <v>0.11816061738105191</v>
      </c>
    </row>
    <row r="293" spans="1:20" x14ac:dyDescent="0.25">
      <c r="A293" s="5">
        <v>44300</v>
      </c>
      <c r="B293">
        <v>745.06</v>
      </c>
      <c r="C293">
        <v>846</v>
      </c>
      <c r="D293">
        <v>744.88</v>
      </c>
      <c r="E293">
        <v>814.85</v>
      </c>
      <c r="F293">
        <v>592566.44498000003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0.38390031645569667</v>
      </c>
      <c r="Q293">
        <f t="shared" si="965"/>
        <v>227486.44574884919</v>
      </c>
      <c r="R293">
        <f t="shared" si="966"/>
        <v>11586527.177235391</v>
      </c>
      <c r="S293">
        <f t="shared" si="967"/>
        <v>115.86527177235391</v>
      </c>
      <c r="T293">
        <f t="shared" si="968"/>
        <v>0.11586527177235391</v>
      </c>
    </row>
    <row r="294" spans="1:20" x14ac:dyDescent="0.25">
      <c r="A294" s="5">
        <v>44299</v>
      </c>
      <c r="B294">
        <v>670.57</v>
      </c>
      <c r="C294">
        <v>752</v>
      </c>
      <c r="D294">
        <v>666.8</v>
      </c>
      <c r="E294">
        <v>745.14</v>
      </c>
      <c r="F294">
        <v>322260.75205000001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0.83896713615023455</v>
      </c>
      <c r="Q294">
        <f t="shared" si="965"/>
        <v>270366.18024100934</v>
      </c>
      <c r="R294">
        <f t="shared" si="966"/>
        <v>11359040.731486542</v>
      </c>
      <c r="S294">
        <f t="shared" si="967"/>
        <v>113.59040731486542</v>
      </c>
      <c r="T294">
        <f t="shared" si="968"/>
        <v>0.11359040731486542</v>
      </c>
    </row>
    <row r="295" spans="1:20" x14ac:dyDescent="0.25">
      <c r="A295" s="5">
        <v>44298</v>
      </c>
      <c r="B295">
        <v>689.68</v>
      </c>
      <c r="C295">
        <v>700</v>
      </c>
      <c r="D295">
        <v>652.04999999999995</v>
      </c>
      <c r="E295">
        <v>670.39</v>
      </c>
      <c r="F295">
        <v>163792.25630000001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-0.23503649635036436</v>
      </c>
      <c r="Q295">
        <f t="shared" si="965"/>
        <v>-38497.158050072896</v>
      </c>
      <c r="R295">
        <f t="shared" si="966"/>
        <v>11088674.551245533</v>
      </c>
      <c r="S295">
        <f t="shared" si="967"/>
        <v>110.88674551245533</v>
      </c>
      <c r="T295">
        <f t="shared" si="968"/>
        <v>0.11088674551245534</v>
      </c>
    </row>
    <row r="296" spans="1:20" x14ac:dyDescent="0.25">
      <c r="A296" s="5">
        <v>44297</v>
      </c>
      <c r="B296">
        <v>673.41</v>
      </c>
      <c r="C296">
        <v>715.7</v>
      </c>
      <c r="D296">
        <v>669.48</v>
      </c>
      <c r="E296">
        <v>689.65</v>
      </c>
      <c r="F296">
        <v>262377.89270999999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-0.12721765469493954</v>
      </c>
      <c r="Q296">
        <f t="shared" si="965"/>
        <v>-33379.100154366672</v>
      </c>
      <c r="R296">
        <f t="shared" si="966"/>
        <v>11127171.709295606</v>
      </c>
      <c r="S296">
        <f t="shared" si="967"/>
        <v>111.27171709295607</v>
      </c>
      <c r="T296">
        <f t="shared" si="968"/>
        <v>0.11127171709295607</v>
      </c>
    </row>
    <row r="297" spans="1:20" x14ac:dyDescent="0.25">
      <c r="A297" s="5">
        <v>44296</v>
      </c>
      <c r="B297">
        <v>631.38</v>
      </c>
      <c r="C297">
        <v>681.9</v>
      </c>
      <c r="D297">
        <v>624.37</v>
      </c>
      <c r="E297">
        <v>673.1</v>
      </c>
      <c r="F297">
        <v>198066.10152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0.69407265774378724</v>
      </c>
      <c r="Q297">
        <f t="shared" si="965"/>
        <v>137472.26549093716</v>
      </c>
      <c r="R297">
        <f t="shared" si="966"/>
        <v>11160550.809449973</v>
      </c>
      <c r="S297">
        <f t="shared" si="967"/>
        <v>111.60550809449973</v>
      </c>
      <c r="T297">
        <f t="shared" si="968"/>
        <v>0.11160550809449972</v>
      </c>
    </row>
    <row r="298" spans="1:20" x14ac:dyDescent="0.25">
      <c r="A298" s="5">
        <v>44295</v>
      </c>
      <c r="B298">
        <v>642.92999999999995</v>
      </c>
      <c r="C298">
        <v>649.70000000000005</v>
      </c>
      <c r="D298">
        <v>625</v>
      </c>
      <c r="E298">
        <v>631.21</v>
      </c>
      <c r="F298">
        <v>111815.69502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-0.49716599190283201</v>
      </c>
      <c r="Q298">
        <f t="shared" si="965"/>
        <v>-55590.960924922852</v>
      </c>
      <c r="R298">
        <f t="shared" si="966"/>
        <v>11023078.543959035</v>
      </c>
      <c r="S298">
        <f t="shared" si="967"/>
        <v>110.23078543959035</v>
      </c>
      <c r="T298">
        <f t="shared" si="968"/>
        <v>0.11023078543959035</v>
      </c>
    </row>
    <row r="299" spans="1:20" x14ac:dyDescent="0.25">
      <c r="A299" s="5">
        <v>44294</v>
      </c>
      <c r="B299">
        <v>615.77</v>
      </c>
      <c r="C299">
        <v>643.82000000000005</v>
      </c>
      <c r="D299">
        <v>609.14</v>
      </c>
      <c r="E299">
        <v>643.35</v>
      </c>
      <c r="F299">
        <v>145110.49666999999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0.97289504036908725</v>
      </c>
      <c r="Q299">
        <f t="shared" si="965"/>
        <v>141177.28251573796</v>
      </c>
      <c r="R299">
        <f t="shared" si="966"/>
        <v>11078669.504883958</v>
      </c>
      <c r="S299">
        <f t="shared" si="967"/>
        <v>110.78669504883958</v>
      </c>
      <c r="T299">
        <f t="shared" si="968"/>
        <v>0.11078669504883958</v>
      </c>
    </row>
    <row r="300" spans="1:20" x14ac:dyDescent="0.25">
      <c r="A300" s="5">
        <v>44293</v>
      </c>
      <c r="B300">
        <v>662.71</v>
      </c>
      <c r="C300">
        <v>694.71</v>
      </c>
      <c r="D300">
        <v>594.29</v>
      </c>
      <c r="E300">
        <v>615.92999999999995</v>
      </c>
      <c r="F300">
        <v>400244.94800999999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-0.56901015733917604</v>
      </c>
      <c r="Q300">
        <f t="shared" si="965"/>
        <v>-227743.44084138042</v>
      </c>
      <c r="R300">
        <f t="shared" si="966"/>
        <v>10937492.22236822</v>
      </c>
      <c r="S300">
        <f t="shared" si="967"/>
        <v>109.3749222236822</v>
      </c>
      <c r="T300">
        <f t="shared" si="968"/>
        <v>0.10937492222368221</v>
      </c>
    </row>
    <row r="301" spans="1:20" x14ac:dyDescent="0.25">
      <c r="A301" s="5">
        <v>44292</v>
      </c>
      <c r="B301">
        <v>647.24</v>
      </c>
      <c r="C301">
        <v>673.9</v>
      </c>
      <c r="D301">
        <v>614.67999999999995</v>
      </c>
      <c r="E301">
        <v>662.5</v>
      </c>
      <c r="F301">
        <v>304984.29926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0.6149949341438713</v>
      </c>
      <c r="Q301">
        <f t="shared" si="965"/>
        <v>187563.79903831842</v>
      </c>
      <c r="R301">
        <f t="shared" si="966"/>
        <v>11165235.6632096</v>
      </c>
      <c r="S301">
        <f t="shared" si="967"/>
        <v>111.652356632096</v>
      </c>
      <c r="T301">
        <f t="shared" si="968"/>
        <v>0.11165235663209599</v>
      </c>
    </row>
    <row r="302" spans="1:20" x14ac:dyDescent="0.25">
      <c r="A302" s="5">
        <v>44291</v>
      </c>
      <c r="B302">
        <v>560.79999999999995</v>
      </c>
      <c r="C302">
        <v>650</v>
      </c>
      <c r="D302">
        <v>553.66</v>
      </c>
      <c r="E302">
        <v>647.21</v>
      </c>
      <c r="F302">
        <v>293929.35765000002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0.94208013286277847</v>
      </c>
      <c r="Q302">
        <f t="shared" si="965"/>
        <v>276905.00830718316</v>
      </c>
      <c r="R302">
        <f t="shared" si="966"/>
        <v>10977671.864171281</v>
      </c>
      <c r="S302">
        <f t="shared" si="967"/>
        <v>109.77671864171282</v>
      </c>
      <c r="T302">
        <f t="shared" si="968"/>
        <v>0.10977671864171282</v>
      </c>
    </row>
    <row r="303" spans="1:20" x14ac:dyDescent="0.25">
      <c r="A303" s="5">
        <v>44290</v>
      </c>
      <c r="B303">
        <v>530.66</v>
      </c>
      <c r="C303">
        <v>564.4</v>
      </c>
      <c r="D303">
        <v>521.07000000000005</v>
      </c>
      <c r="E303">
        <v>560.78</v>
      </c>
      <c r="F303">
        <v>107555.14522999999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0.83291022386337366</v>
      </c>
      <c r="Q303">
        <f t="shared" si="965"/>
        <v>89583.780091176959</v>
      </c>
      <c r="R303">
        <f t="shared" si="966"/>
        <v>10700766.855864098</v>
      </c>
      <c r="S303">
        <f t="shared" si="967"/>
        <v>107.00766855864099</v>
      </c>
      <c r="T303">
        <f t="shared" si="968"/>
        <v>0.10700766855864098</v>
      </c>
    </row>
    <row r="304" spans="1:20" x14ac:dyDescent="0.25">
      <c r="A304" s="5">
        <v>44289</v>
      </c>
      <c r="B304">
        <v>580.4</v>
      </c>
      <c r="C304">
        <v>595.91</v>
      </c>
      <c r="D304">
        <v>529.1</v>
      </c>
      <c r="E304">
        <v>530.59</v>
      </c>
      <c r="F304">
        <v>184193.06816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-0.95539589881754194</v>
      </c>
      <c r="Q304">
        <f t="shared" si="965"/>
        <v>-175977.30191068395</v>
      </c>
      <c r="R304">
        <f t="shared" si="966"/>
        <v>10611183.075772921</v>
      </c>
      <c r="S304">
        <f t="shared" si="967"/>
        <v>106.11183075772921</v>
      </c>
      <c r="T304">
        <f t="shared" si="968"/>
        <v>0.1061118307577292</v>
      </c>
    </row>
    <row r="305" spans="1:20" x14ac:dyDescent="0.25">
      <c r="A305" s="5">
        <v>44288</v>
      </c>
      <c r="B305">
        <v>556.66</v>
      </c>
      <c r="C305">
        <v>598.54</v>
      </c>
      <c r="D305">
        <v>545.13</v>
      </c>
      <c r="E305">
        <v>580.64</v>
      </c>
      <c r="F305">
        <v>206037.03486000001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0.32971353679086357</v>
      </c>
      <c r="Q305">
        <f t="shared" si="965"/>
        <v>67933.199473593049</v>
      </c>
      <c r="R305">
        <f t="shared" si="966"/>
        <v>10787160.377683604</v>
      </c>
      <c r="S305">
        <f t="shared" si="967"/>
        <v>107.87160377683604</v>
      </c>
      <c r="T305">
        <f t="shared" si="968"/>
        <v>0.10787160377683604</v>
      </c>
    </row>
    <row r="306" spans="1:20" x14ac:dyDescent="0.25">
      <c r="A306" s="5">
        <v>44287</v>
      </c>
      <c r="B306">
        <v>541.11</v>
      </c>
      <c r="C306">
        <v>560</v>
      </c>
      <c r="D306">
        <v>528.65</v>
      </c>
      <c r="E306">
        <v>556.66</v>
      </c>
      <c r="F306">
        <v>148840.25630000001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0.78692185007974291</v>
      </c>
      <c r="Q306">
        <f t="shared" si="965"/>
        <v>117125.64985393912</v>
      </c>
      <c r="R306">
        <f t="shared" si="966"/>
        <v>10719227.178210011</v>
      </c>
      <c r="S306">
        <f t="shared" si="967"/>
        <v>107.19227178210011</v>
      </c>
      <c r="T306">
        <f t="shared" si="968"/>
        <v>0.10719227178210011</v>
      </c>
    </row>
    <row r="307" spans="1:20" x14ac:dyDescent="0.25">
      <c r="A307" s="5">
        <v>44286</v>
      </c>
      <c r="B307">
        <v>525.75</v>
      </c>
      <c r="C307">
        <v>545.15</v>
      </c>
      <c r="D307">
        <v>502.63</v>
      </c>
      <c r="E307">
        <v>541.05999999999995</v>
      </c>
      <c r="F307">
        <v>129530.08693999999</v>
      </c>
      <c r="G307">
        <v>0</v>
      </c>
      <c r="L307" t="s">
        <v>8</v>
      </c>
      <c r="M307" t="s">
        <v>8</v>
      </c>
      <c r="N307" t="s">
        <v>7</v>
      </c>
      <c r="P307">
        <f t="shared" si="964"/>
        <v>0.80761994355597211</v>
      </c>
      <c r="Q307">
        <f t="shared" si="965"/>
        <v>104611.08150328296</v>
      </c>
      <c r="R307">
        <f t="shared" si="966"/>
        <v>10602101.528356072</v>
      </c>
      <c r="S307">
        <f t="shared" si="967"/>
        <v>106.02101528356071</v>
      </c>
      <c r="T307">
        <f t="shared" si="968"/>
        <v>0.10602101528356071</v>
      </c>
    </row>
    <row r="308" spans="1:20" x14ac:dyDescent="0.25">
      <c r="A308" s="5">
        <v>44285</v>
      </c>
      <c r="B308">
        <v>518.37</v>
      </c>
      <c r="C308">
        <v>536.54999999999995</v>
      </c>
      <c r="D308">
        <v>511.3</v>
      </c>
      <c r="E308">
        <v>525.75</v>
      </c>
      <c r="F308">
        <v>84618.164470000003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0.14455445544554624</v>
      </c>
      <c r="Q308">
        <f t="shared" si="965"/>
        <v>12231.932685762518</v>
      </c>
      <c r="R308">
        <f t="shared" si="966"/>
        <v>10497490.446852788</v>
      </c>
      <c r="S308">
        <f t="shared" si="967"/>
        <v>104.97490446852788</v>
      </c>
      <c r="T308">
        <f t="shared" si="968"/>
        <v>0.10497490446852788</v>
      </c>
    </row>
    <row r="309" spans="1:20" x14ac:dyDescent="0.25">
      <c r="A309" s="5">
        <v>44284</v>
      </c>
      <c r="B309">
        <v>497.1</v>
      </c>
      <c r="C309">
        <v>525</v>
      </c>
      <c r="D309">
        <v>491.5</v>
      </c>
      <c r="E309">
        <v>518.36</v>
      </c>
      <c r="F309">
        <v>86795.793470000004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0.60358208955223958</v>
      </c>
      <c r="Q309">
        <f t="shared" si="965"/>
        <v>52388.386386967235</v>
      </c>
      <c r="R309">
        <f t="shared" si="966"/>
        <v>10485258.514167026</v>
      </c>
      <c r="S309">
        <f t="shared" si="967"/>
        <v>104.85258514167026</v>
      </c>
      <c r="T309">
        <f t="shared" si="968"/>
        <v>0.10485258514167026</v>
      </c>
    </row>
    <row r="310" spans="1:20" x14ac:dyDescent="0.25">
      <c r="A310" s="5">
        <v>44283</v>
      </c>
      <c r="B310">
        <v>500.59</v>
      </c>
      <c r="C310">
        <v>505.59</v>
      </c>
      <c r="D310">
        <v>485</v>
      </c>
      <c r="E310">
        <v>497.04</v>
      </c>
      <c r="F310">
        <v>65710.041939999996</v>
      </c>
      <c r="G310">
        <v>0</v>
      </c>
      <c r="L310" t="s">
        <v>8</v>
      </c>
      <c r="M310" t="s">
        <v>7</v>
      </c>
      <c r="N310" t="s">
        <v>7</v>
      </c>
      <c r="P310">
        <f t="shared" si="964"/>
        <v>0.1694997571636751</v>
      </c>
      <c r="Q310">
        <f t="shared" si="965"/>
        <v>11137.836152044905</v>
      </c>
      <c r="R310">
        <f t="shared" si="966"/>
        <v>10432870.127780059</v>
      </c>
      <c r="S310">
        <f t="shared" si="967"/>
        <v>104.32870127780059</v>
      </c>
      <c r="T310">
        <f t="shared" si="968"/>
        <v>0.10432870127780058</v>
      </c>
    </row>
    <row r="311" spans="1:20" x14ac:dyDescent="0.25">
      <c r="A311" s="5">
        <v>44282</v>
      </c>
      <c r="B311">
        <v>505.75</v>
      </c>
      <c r="C311">
        <v>509.66</v>
      </c>
      <c r="D311">
        <v>484.88</v>
      </c>
      <c r="E311">
        <v>500.58</v>
      </c>
      <c r="F311">
        <v>68717.569799999997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0.26715092816787489</v>
      </c>
      <c r="Q311">
        <f t="shared" si="965"/>
        <v>18357.96255351073</v>
      </c>
      <c r="R311">
        <f t="shared" si="966"/>
        <v>10421732.291628014</v>
      </c>
      <c r="S311">
        <f t="shared" si="967"/>
        <v>104.21732291628014</v>
      </c>
      <c r="T311">
        <f t="shared" si="968"/>
        <v>0.10421732291628014</v>
      </c>
    </row>
    <row r="312" spans="1:20" x14ac:dyDescent="0.25">
      <c r="A312" s="5">
        <v>44281</v>
      </c>
      <c r="B312">
        <v>472.79</v>
      </c>
      <c r="C312">
        <v>507.69</v>
      </c>
      <c r="D312">
        <v>470.36</v>
      </c>
      <c r="E312">
        <v>505.81</v>
      </c>
      <c r="F312">
        <v>125094.96215000001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0.89927672113581592</v>
      </c>
      <c r="Q312">
        <f t="shared" si="965"/>
        <v>112494.987392861</v>
      </c>
      <c r="R312">
        <f t="shared" si="966"/>
        <v>10403374.329074504</v>
      </c>
      <c r="S312">
        <f t="shared" si="967"/>
        <v>104.03374329074504</v>
      </c>
      <c r="T312">
        <f t="shared" si="968"/>
        <v>0.10403374329074504</v>
      </c>
    </row>
    <row r="313" spans="1:20" x14ac:dyDescent="0.25">
      <c r="A313" s="5">
        <v>44280</v>
      </c>
      <c r="B313">
        <v>474.23</v>
      </c>
      <c r="C313">
        <v>482.4</v>
      </c>
      <c r="D313">
        <v>451</v>
      </c>
      <c r="E313">
        <v>472.8</v>
      </c>
      <c r="F313">
        <v>133333.27476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0.3885350318471355</v>
      </c>
      <c r="Q313">
        <f t="shared" si="965"/>
        <v>51804.64815515947</v>
      </c>
      <c r="R313">
        <f t="shared" si="966"/>
        <v>10290879.341681642</v>
      </c>
      <c r="S313">
        <f t="shared" si="967"/>
        <v>102.90879341681642</v>
      </c>
      <c r="T313">
        <f t="shared" si="968"/>
        <v>0.10290879341681643</v>
      </c>
    </row>
    <row r="314" spans="1:20" x14ac:dyDescent="0.25">
      <c r="A314" s="5">
        <v>44279</v>
      </c>
      <c r="B314">
        <v>510.81</v>
      </c>
      <c r="C314">
        <v>529.58000000000004</v>
      </c>
      <c r="D314">
        <v>441.47</v>
      </c>
      <c r="E314">
        <v>474.22</v>
      </c>
      <c r="F314">
        <v>151972.99142999999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-0.25661105436386344</v>
      </c>
      <c r="Q314">
        <f t="shared" si="965"/>
        <v>-38997.949565682684</v>
      </c>
      <c r="R314">
        <f t="shared" si="966"/>
        <v>10239074.693526482</v>
      </c>
      <c r="S314">
        <f t="shared" si="967"/>
        <v>102.39074693526483</v>
      </c>
      <c r="T314">
        <f t="shared" si="968"/>
        <v>0.10239074693526483</v>
      </c>
    </row>
    <row r="315" spans="1:20" x14ac:dyDescent="0.25">
      <c r="A315" s="5">
        <v>44278</v>
      </c>
      <c r="B315">
        <v>509.1</v>
      </c>
      <c r="C315">
        <v>533.59</v>
      </c>
      <c r="D315">
        <v>505.4</v>
      </c>
      <c r="E315">
        <v>510.76</v>
      </c>
      <c r="F315">
        <v>143098.49874000001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-0.61972330613692772</v>
      </c>
      <c r="Q315">
        <f t="shared" si="965"/>
        <v>-88681.474742383798</v>
      </c>
      <c r="R315">
        <f t="shared" si="966"/>
        <v>10278072.643092165</v>
      </c>
      <c r="S315">
        <f t="shared" si="967"/>
        <v>102.78072643092165</v>
      </c>
      <c r="T315">
        <f t="shared" si="968"/>
        <v>0.10278072643092165</v>
      </c>
    </row>
    <row r="316" spans="1:20" x14ac:dyDescent="0.25">
      <c r="A316" s="5">
        <v>44277</v>
      </c>
      <c r="B316">
        <v>523.58000000000004</v>
      </c>
      <c r="C316">
        <v>539.63</v>
      </c>
      <c r="D316">
        <v>506</v>
      </c>
      <c r="E316">
        <v>509.07</v>
      </c>
      <c r="F316">
        <v>129368.92675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-0.81742491822777319</v>
      </c>
      <c r="Q316">
        <f t="shared" si="965"/>
        <v>-105749.38436983353</v>
      </c>
      <c r="R316">
        <f t="shared" si="966"/>
        <v>10366754.117834549</v>
      </c>
      <c r="S316">
        <f t="shared" si="967"/>
        <v>103.66754117834549</v>
      </c>
      <c r="T316">
        <f t="shared" si="968"/>
        <v>0.10366754117834549</v>
      </c>
    </row>
    <row r="317" spans="1:20" x14ac:dyDescent="0.25">
      <c r="A317" s="5">
        <v>44276</v>
      </c>
      <c r="B317">
        <v>536.28</v>
      </c>
      <c r="C317">
        <v>543.26</v>
      </c>
      <c r="D317">
        <v>515</v>
      </c>
      <c r="E317">
        <v>523.59</v>
      </c>
      <c r="F317">
        <v>74186.589330000003</v>
      </c>
      <c r="G317">
        <v>0</v>
      </c>
      <c r="L317" t="s">
        <v>8</v>
      </c>
      <c r="M317" t="s">
        <v>7</v>
      </c>
      <c r="N317" t="s">
        <v>8</v>
      </c>
      <c r="P317">
        <f t="shared" si="964"/>
        <v>-0.39207360226468263</v>
      </c>
      <c r="Q317">
        <f t="shared" si="965"/>
        <v>-29086.603318343768</v>
      </c>
      <c r="R317">
        <f t="shared" si="966"/>
        <v>10472503.502204383</v>
      </c>
      <c r="S317">
        <f t="shared" si="967"/>
        <v>104.72503502204383</v>
      </c>
      <c r="T317">
        <f t="shared" si="968"/>
        <v>0.10472503502204383</v>
      </c>
    </row>
    <row r="318" spans="1:20" x14ac:dyDescent="0.25">
      <c r="A318" s="5">
        <v>44275</v>
      </c>
      <c r="B318">
        <v>532.29999999999995</v>
      </c>
      <c r="C318">
        <v>551.88</v>
      </c>
      <c r="D318">
        <v>529.51</v>
      </c>
      <c r="E318">
        <v>536.04999999999995</v>
      </c>
      <c r="F318">
        <v>80188.495949999997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-0.41528833258829123</v>
      </c>
      <c r="Q318">
        <f t="shared" si="965"/>
        <v>-33301.346775838443</v>
      </c>
      <c r="R318">
        <f t="shared" si="966"/>
        <v>10501590.105522726</v>
      </c>
      <c r="S318">
        <f t="shared" si="967"/>
        <v>105.01590105522726</v>
      </c>
      <c r="T318">
        <f t="shared" si="968"/>
        <v>0.10501590105522726</v>
      </c>
    </row>
    <row r="319" spans="1:20" x14ac:dyDescent="0.25">
      <c r="A319" s="5">
        <v>44274</v>
      </c>
      <c r="B319">
        <v>528.45000000000005</v>
      </c>
      <c r="C319">
        <v>551</v>
      </c>
      <c r="D319">
        <v>516.91999999999996</v>
      </c>
      <c r="E319">
        <v>532.37</v>
      </c>
      <c r="F319">
        <v>93469.590070000006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-9.3309859154927996E-2</v>
      </c>
      <c r="Q319">
        <f t="shared" si="965"/>
        <v>-8721.6342847005562</v>
      </c>
      <c r="R319">
        <f t="shared" si="966"/>
        <v>10534891.452298565</v>
      </c>
      <c r="S319">
        <f t="shared" si="967"/>
        <v>105.34891452298565</v>
      </c>
      <c r="T319">
        <f t="shared" si="968"/>
        <v>0.10534891452298566</v>
      </c>
    </row>
    <row r="320" spans="1:20" x14ac:dyDescent="0.25">
      <c r="A320" s="5">
        <v>44273</v>
      </c>
      <c r="B320">
        <v>541.66999999999996</v>
      </c>
      <c r="C320">
        <v>547</v>
      </c>
      <c r="D320">
        <v>522.59</v>
      </c>
      <c r="E320">
        <v>528.16999999999996</v>
      </c>
      <c r="F320">
        <v>106568.49627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-0.54281032363785875</v>
      </c>
      <c r="Q320">
        <f t="shared" si="965"/>
        <v>-57846.479949918648</v>
      </c>
      <c r="R320">
        <f t="shared" si="966"/>
        <v>10543613.086583266</v>
      </c>
      <c r="S320">
        <f t="shared" si="967"/>
        <v>105.43613086583267</v>
      </c>
      <c r="T320">
        <f t="shared" si="968"/>
        <v>0.10543613086583267</v>
      </c>
    </row>
    <row r="321" spans="1:20" x14ac:dyDescent="0.25">
      <c r="A321" s="5">
        <v>44272</v>
      </c>
      <c r="B321">
        <v>528.63</v>
      </c>
      <c r="C321">
        <v>542.04</v>
      </c>
      <c r="D321">
        <v>511.4</v>
      </c>
      <c r="E321">
        <v>541.57000000000005</v>
      </c>
      <c r="F321">
        <v>90157.534710000007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0.96932114882507092</v>
      </c>
      <c r="Q321">
        <f t="shared" si="965"/>
        <v>87391.605120333421</v>
      </c>
      <c r="R321">
        <f t="shared" si="966"/>
        <v>10601459.566533186</v>
      </c>
      <c r="S321">
        <f t="shared" si="967"/>
        <v>106.01459566533185</v>
      </c>
      <c r="T321">
        <f t="shared" si="968"/>
        <v>0.10601459566533185</v>
      </c>
    </row>
    <row r="322" spans="1:20" x14ac:dyDescent="0.25">
      <c r="A322" s="5">
        <v>44271</v>
      </c>
      <c r="B322">
        <v>523.55999999999995</v>
      </c>
      <c r="C322">
        <v>538.45000000000005</v>
      </c>
      <c r="D322">
        <v>502.2</v>
      </c>
      <c r="E322">
        <v>528.5</v>
      </c>
      <c r="F322">
        <v>143752.20212999999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0.45103448275861902</v>
      </c>
      <c r="Q322">
        <f t="shared" si="965"/>
        <v>64837.200133116996</v>
      </c>
      <c r="R322">
        <f t="shared" si="966"/>
        <v>10514067.961412853</v>
      </c>
      <c r="S322">
        <f t="shared" si="967"/>
        <v>105.14067961412853</v>
      </c>
      <c r="T322">
        <f t="shared" si="968"/>
        <v>0.10514067961412853</v>
      </c>
    </row>
    <row r="323" spans="1:20" x14ac:dyDescent="0.25">
      <c r="A323" s="5">
        <v>44270</v>
      </c>
      <c r="B323">
        <v>551.72</v>
      </c>
      <c r="C323">
        <v>568.16</v>
      </c>
      <c r="D323">
        <v>514.55999999999995</v>
      </c>
      <c r="E323">
        <v>523.20000000000005</v>
      </c>
      <c r="F323">
        <v>218431.83319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-0.67761194029850391</v>
      </c>
      <c r="Q323">
        <f t="shared" si="965"/>
        <v>-148012.01831083506</v>
      </c>
      <c r="R323">
        <f t="shared" si="966"/>
        <v>10449230.761279736</v>
      </c>
      <c r="S323">
        <f t="shared" si="967"/>
        <v>104.49230761279736</v>
      </c>
      <c r="T323">
        <f t="shared" si="968"/>
        <v>0.10449230761279736</v>
      </c>
    </row>
    <row r="324" spans="1:20" x14ac:dyDescent="0.25">
      <c r="A324" s="5">
        <v>44269</v>
      </c>
      <c r="B324">
        <v>594.05999999999995</v>
      </c>
      <c r="C324">
        <v>601.98</v>
      </c>
      <c r="D324">
        <v>551.17999999999995</v>
      </c>
      <c r="E324">
        <v>552.02</v>
      </c>
      <c r="F324">
        <v>197851.56795999999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-0.96692913385826651</v>
      </c>
      <c r="Q324">
        <f t="shared" si="965"/>
        <v>-191308.44524006275</v>
      </c>
      <c r="R324">
        <f t="shared" si="966"/>
        <v>10597242.779590571</v>
      </c>
      <c r="S324">
        <f t="shared" si="967"/>
        <v>105.97242779590572</v>
      </c>
      <c r="T324">
        <f t="shared" si="968"/>
        <v>0.10597242779590571</v>
      </c>
    </row>
    <row r="325" spans="1:20" x14ac:dyDescent="0.25">
      <c r="A325" s="5">
        <v>44268</v>
      </c>
      <c r="B325">
        <v>538.36</v>
      </c>
      <c r="C325">
        <v>608.96</v>
      </c>
      <c r="D325">
        <v>521.27</v>
      </c>
      <c r="E325">
        <v>593.99</v>
      </c>
      <c r="F325">
        <v>260595.48582999999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0.65856996236743026</v>
      </c>
      <c r="Q325">
        <f t="shared" si="965"/>
        <v>171620.35929618531</v>
      </c>
      <c r="R325">
        <f t="shared" si="966"/>
        <v>10788551.224830635</v>
      </c>
      <c r="S325">
        <f t="shared" si="967"/>
        <v>107.88551224830636</v>
      </c>
      <c r="T325">
        <f t="shared" si="968"/>
        <v>0.10788551224830635</v>
      </c>
    </row>
    <row r="326" spans="1:20" x14ac:dyDescent="0.25">
      <c r="A326" s="5">
        <v>44267</v>
      </c>
      <c r="B326">
        <v>549.80999999999995</v>
      </c>
      <c r="C326">
        <v>564.08000000000004</v>
      </c>
      <c r="D326">
        <v>508.89</v>
      </c>
      <c r="E326">
        <v>538.44000000000005</v>
      </c>
      <c r="F326">
        <v>209147.55984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69">IF(C326=D326,0,((E326-D326)-(C326-E326))/(C326-D326))</f>
        <v>7.0846167784020253E-2</v>
      </c>
      <c r="Q326">
        <f t="shared" ref="Q326:Q389" si="970">F326*P326</f>
        <v>14817.303116043056</v>
      </c>
      <c r="R326">
        <f t="shared" ref="R326:R389" si="971">R327+Q326</f>
        <v>10616930.865534449</v>
      </c>
      <c r="S326">
        <f t="shared" ref="S326:S389" si="972">R326/100000</f>
        <v>106.16930865534449</v>
      </c>
      <c r="T326">
        <f t="shared" ref="T326:T389" si="973">S326/1000</f>
        <v>0.10616930865534449</v>
      </c>
    </row>
    <row r="327" spans="1:20" x14ac:dyDescent="0.25">
      <c r="A327" s="5">
        <v>44266</v>
      </c>
      <c r="B327">
        <v>546.41999999999996</v>
      </c>
      <c r="C327">
        <v>565.15</v>
      </c>
      <c r="D327">
        <v>528</v>
      </c>
      <c r="E327">
        <v>549.85</v>
      </c>
      <c r="F327">
        <v>244274.89189999999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0.17631224764468567</v>
      </c>
      <c r="Q327">
        <f t="shared" si="970"/>
        <v>43068.655234051621</v>
      </c>
      <c r="R327">
        <f t="shared" si="971"/>
        <v>10602113.562418407</v>
      </c>
      <c r="S327">
        <f t="shared" si="972"/>
        <v>106.02113562418407</v>
      </c>
      <c r="T327">
        <f t="shared" si="973"/>
        <v>0.10602113562418407</v>
      </c>
    </row>
    <row r="328" spans="1:20" x14ac:dyDescent="0.25">
      <c r="A328" s="5">
        <v>44265</v>
      </c>
      <c r="B328">
        <v>545.44000000000005</v>
      </c>
      <c r="C328">
        <v>568.24</v>
      </c>
      <c r="D328">
        <v>517</v>
      </c>
      <c r="E328">
        <v>546.27</v>
      </c>
      <c r="F328">
        <v>229766.30389000001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0.14246682279469072</v>
      </c>
      <c r="Q328">
        <f t="shared" si="970"/>
        <v>32734.07530048769</v>
      </c>
      <c r="R328">
        <f t="shared" si="971"/>
        <v>10559044.907184355</v>
      </c>
      <c r="S328">
        <f t="shared" si="972"/>
        <v>105.59044907184355</v>
      </c>
      <c r="T328">
        <f t="shared" si="973"/>
        <v>0.10559044907184355</v>
      </c>
    </row>
    <row r="329" spans="1:20" x14ac:dyDescent="0.25">
      <c r="A329" s="5">
        <v>44264</v>
      </c>
      <c r="B329">
        <v>529.20000000000005</v>
      </c>
      <c r="C329">
        <v>547.13</v>
      </c>
      <c r="D329">
        <v>523.22</v>
      </c>
      <c r="E329">
        <v>545.32000000000005</v>
      </c>
      <c r="F329">
        <v>143611.2855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0.84859891258887932</v>
      </c>
      <c r="Q329">
        <f t="shared" si="970"/>
        <v>121868.38071079108</v>
      </c>
      <c r="R329">
        <f t="shared" si="971"/>
        <v>10526310.831883866</v>
      </c>
      <c r="S329">
        <f t="shared" si="972"/>
        <v>105.26310831883866</v>
      </c>
      <c r="T329">
        <f t="shared" si="973"/>
        <v>0.10526310831883866</v>
      </c>
    </row>
    <row r="330" spans="1:20" x14ac:dyDescent="0.25">
      <c r="A330" s="5">
        <v>44263</v>
      </c>
      <c r="B330">
        <v>516.83000000000004</v>
      </c>
      <c r="C330">
        <v>529.84</v>
      </c>
      <c r="D330">
        <v>500.33</v>
      </c>
      <c r="E330">
        <v>529.15</v>
      </c>
      <c r="F330">
        <v>151597.32597000001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0.95323619112165003</v>
      </c>
      <c r="Q330">
        <f t="shared" si="970"/>
        <v>144508.05759187002</v>
      </c>
      <c r="R330">
        <f t="shared" si="971"/>
        <v>10404442.451173075</v>
      </c>
      <c r="S330">
        <f t="shared" si="972"/>
        <v>104.04442451173074</v>
      </c>
      <c r="T330">
        <f t="shared" si="973"/>
        <v>0.10404442451173074</v>
      </c>
    </row>
    <row r="331" spans="1:20" x14ac:dyDescent="0.25">
      <c r="A331" s="5">
        <v>44262</v>
      </c>
      <c r="B331">
        <v>500.31</v>
      </c>
      <c r="C331">
        <v>519.11</v>
      </c>
      <c r="D331">
        <v>500.31</v>
      </c>
      <c r="E331">
        <v>516.55999999999995</v>
      </c>
      <c r="F331">
        <v>104970.71072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0.72872340425531201</v>
      </c>
      <c r="Q331">
        <f t="shared" si="970"/>
        <v>76494.613662977979</v>
      </c>
      <c r="R331">
        <f t="shared" si="971"/>
        <v>10259934.393581204</v>
      </c>
      <c r="S331">
        <f t="shared" si="972"/>
        <v>102.59934393581204</v>
      </c>
      <c r="T331">
        <f t="shared" si="973"/>
        <v>0.10259934393581205</v>
      </c>
    </row>
    <row r="332" spans="1:20" x14ac:dyDescent="0.25">
      <c r="A332" s="5">
        <v>44261</v>
      </c>
      <c r="B332">
        <v>496.95</v>
      </c>
      <c r="C332">
        <v>505.87</v>
      </c>
      <c r="D332">
        <v>482.28</v>
      </c>
      <c r="E332">
        <v>500.38</v>
      </c>
      <c r="F332">
        <v>82735.557780000003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0.53454853751589637</v>
      </c>
      <c r="Q332">
        <f t="shared" si="970"/>
        <v>44226.171411860945</v>
      </c>
      <c r="R332">
        <f t="shared" si="971"/>
        <v>10183439.779918225</v>
      </c>
      <c r="S332">
        <f t="shared" si="972"/>
        <v>101.83439779918226</v>
      </c>
      <c r="T332">
        <f t="shared" si="973"/>
        <v>0.10183439779918226</v>
      </c>
    </row>
    <row r="333" spans="1:20" x14ac:dyDescent="0.25">
      <c r="A333" s="5">
        <v>44260</v>
      </c>
      <c r="B333">
        <v>505.46</v>
      </c>
      <c r="C333">
        <v>505.83</v>
      </c>
      <c r="D333">
        <v>472.7</v>
      </c>
      <c r="E333">
        <v>497.22</v>
      </c>
      <c r="F333">
        <v>147000.38454999999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0.48022939933595182</v>
      </c>
      <c r="Q333">
        <f t="shared" si="970"/>
        <v>70593.906374600425</v>
      </c>
      <c r="R333">
        <f t="shared" si="971"/>
        <v>10139213.608506365</v>
      </c>
      <c r="S333">
        <f t="shared" si="972"/>
        <v>101.39213608506364</v>
      </c>
      <c r="T333">
        <f t="shared" si="973"/>
        <v>0.10139213608506364</v>
      </c>
    </row>
    <row r="334" spans="1:20" x14ac:dyDescent="0.25">
      <c r="A334" s="5">
        <v>44259</v>
      </c>
      <c r="B334">
        <v>520.84</v>
      </c>
      <c r="C334">
        <v>538.73</v>
      </c>
      <c r="D334">
        <v>492.43</v>
      </c>
      <c r="E334">
        <v>505.31</v>
      </c>
      <c r="F334">
        <v>192087.46194000001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-0.4436285097192228</v>
      </c>
      <c r="Q334">
        <f t="shared" si="970"/>
        <v>-85215.474476190138</v>
      </c>
      <c r="R334">
        <f t="shared" si="971"/>
        <v>10068619.702131765</v>
      </c>
      <c r="S334">
        <f t="shared" si="972"/>
        <v>100.68619702131765</v>
      </c>
      <c r="T334">
        <f t="shared" si="973"/>
        <v>0.10068619702131765</v>
      </c>
    </row>
    <row r="335" spans="1:20" x14ac:dyDescent="0.25">
      <c r="A335" s="5">
        <v>44258</v>
      </c>
      <c r="B335">
        <v>517.49</v>
      </c>
      <c r="C335">
        <v>555.71</v>
      </c>
      <c r="D335">
        <v>510.79</v>
      </c>
      <c r="E335">
        <v>520.82000000000005</v>
      </c>
      <c r="F335">
        <v>253513.19589999999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-0.55342831700801309</v>
      </c>
      <c r="Q335">
        <f t="shared" si="970"/>
        <v>-140301.38134625973</v>
      </c>
      <c r="R335">
        <f t="shared" si="971"/>
        <v>10153835.176607955</v>
      </c>
      <c r="S335">
        <f t="shared" si="972"/>
        <v>101.53835176607956</v>
      </c>
      <c r="T335">
        <f t="shared" si="973"/>
        <v>0.10153835176607956</v>
      </c>
    </row>
    <row r="336" spans="1:20" x14ac:dyDescent="0.25">
      <c r="A336" s="5">
        <v>44257</v>
      </c>
      <c r="B336">
        <v>501.35</v>
      </c>
      <c r="C336">
        <v>549.87</v>
      </c>
      <c r="D336">
        <v>494.06</v>
      </c>
      <c r="E336">
        <v>517.62</v>
      </c>
      <c r="F336">
        <v>351409.62258999998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-0.15570686256943195</v>
      </c>
      <c r="Q336">
        <f t="shared" si="970"/>
        <v>-54716.889810197077</v>
      </c>
      <c r="R336">
        <f t="shared" si="971"/>
        <v>10294136.557954215</v>
      </c>
      <c r="S336">
        <f t="shared" si="972"/>
        <v>102.94136557954215</v>
      </c>
      <c r="T336">
        <f t="shared" si="973"/>
        <v>0.10294136557954216</v>
      </c>
    </row>
    <row r="337" spans="1:20" x14ac:dyDescent="0.25">
      <c r="A337" s="5">
        <v>44256</v>
      </c>
      <c r="B337">
        <v>460.17</v>
      </c>
      <c r="C337">
        <v>506.35</v>
      </c>
      <c r="D337">
        <v>457.28</v>
      </c>
      <c r="E337">
        <v>501.61</v>
      </c>
      <c r="F337">
        <v>197158.98817999999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0.80680660281230876</v>
      </c>
      <c r="Q337">
        <f t="shared" si="970"/>
        <v>159069.17346741792</v>
      </c>
      <c r="R337">
        <f t="shared" si="971"/>
        <v>10348853.447764412</v>
      </c>
      <c r="S337">
        <f t="shared" si="972"/>
        <v>103.48853447764411</v>
      </c>
      <c r="T337">
        <f t="shared" si="973"/>
        <v>0.10348853447764411</v>
      </c>
    </row>
    <row r="338" spans="1:20" x14ac:dyDescent="0.25">
      <c r="A338" s="5">
        <v>44255</v>
      </c>
      <c r="B338">
        <v>483.21</v>
      </c>
      <c r="C338">
        <v>485.25</v>
      </c>
      <c r="D338">
        <v>431.4</v>
      </c>
      <c r="E338">
        <v>460.12</v>
      </c>
      <c r="F338">
        <v>283779.03547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6.6666666666667235E-2</v>
      </c>
      <c r="Q338">
        <f t="shared" si="970"/>
        <v>18918.602364666829</v>
      </c>
      <c r="R338">
        <f t="shared" si="971"/>
        <v>10189784.274296993</v>
      </c>
      <c r="S338">
        <f t="shared" si="972"/>
        <v>101.89784274296993</v>
      </c>
      <c r="T338">
        <f t="shared" si="973"/>
        <v>0.10189784274296992</v>
      </c>
    </row>
    <row r="339" spans="1:20" x14ac:dyDescent="0.25">
      <c r="A339" s="5">
        <v>44254</v>
      </c>
      <c r="B339">
        <v>484.46</v>
      </c>
      <c r="C339">
        <v>510</v>
      </c>
      <c r="D339">
        <v>473.09</v>
      </c>
      <c r="E339">
        <v>483.35</v>
      </c>
      <c r="F339">
        <v>190832.45908999999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-0.44405310214033916</v>
      </c>
      <c r="Q339">
        <f t="shared" si="970"/>
        <v>-84739.745447983863</v>
      </c>
      <c r="R339">
        <f t="shared" si="971"/>
        <v>10170865.671932327</v>
      </c>
      <c r="S339">
        <f t="shared" si="972"/>
        <v>101.70865671932327</v>
      </c>
      <c r="T339">
        <f t="shared" si="973"/>
        <v>0.10170865671932328</v>
      </c>
    </row>
    <row r="340" spans="1:20" x14ac:dyDescent="0.25">
      <c r="A340" s="5">
        <v>44253</v>
      </c>
      <c r="B340">
        <v>499.06</v>
      </c>
      <c r="C340">
        <v>508.6</v>
      </c>
      <c r="D340">
        <v>457.22</v>
      </c>
      <c r="E340">
        <v>484.46</v>
      </c>
      <c r="F340">
        <v>371279.79720999999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6.0334760607238407E-2</v>
      </c>
      <c r="Q340">
        <f t="shared" si="970"/>
        <v>22401.077682969371</v>
      </c>
      <c r="R340">
        <f t="shared" si="971"/>
        <v>10255605.417380311</v>
      </c>
      <c r="S340">
        <f t="shared" si="972"/>
        <v>102.5560541738031</v>
      </c>
      <c r="T340">
        <f t="shared" si="973"/>
        <v>0.1025560541738031</v>
      </c>
    </row>
    <row r="341" spans="1:20" x14ac:dyDescent="0.25">
      <c r="A341" s="5">
        <v>44252</v>
      </c>
      <c r="B341">
        <v>527.08000000000004</v>
      </c>
      <c r="C341">
        <v>558</v>
      </c>
      <c r="D341">
        <v>493.62</v>
      </c>
      <c r="E341">
        <v>499.67</v>
      </c>
      <c r="F341">
        <v>317396.69134999998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-0.8120534327430875</v>
      </c>
      <c r="Q341">
        <f t="shared" si="970"/>
        <v>-257743.07275206572</v>
      </c>
      <c r="R341">
        <f t="shared" si="971"/>
        <v>10233204.339697341</v>
      </c>
      <c r="S341">
        <f t="shared" si="972"/>
        <v>102.3320433969734</v>
      </c>
      <c r="T341">
        <f t="shared" si="973"/>
        <v>0.10233204339697341</v>
      </c>
    </row>
    <row r="342" spans="1:20" x14ac:dyDescent="0.25">
      <c r="A342" s="5">
        <v>44251</v>
      </c>
      <c r="B342">
        <v>515.84</v>
      </c>
      <c r="C342">
        <v>556.13</v>
      </c>
      <c r="D342">
        <v>495.53</v>
      </c>
      <c r="E342">
        <v>526.99</v>
      </c>
      <c r="F342">
        <v>404924.08945000003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3.8283828382839093E-2</v>
      </c>
      <c r="Q342">
        <f t="shared" si="970"/>
        <v>15502.044348581187</v>
      </c>
      <c r="R342">
        <f t="shared" si="971"/>
        <v>10490947.412449406</v>
      </c>
      <c r="S342">
        <f t="shared" si="972"/>
        <v>104.90947412449407</v>
      </c>
      <c r="T342">
        <f t="shared" si="973"/>
        <v>0.10490947412449407</v>
      </c>
    </row>
    <row r="343" spans="1:20" x14ac:dyDescent="0.25">
      <c r="A343" s="5">
        <v>44250</v>
      </c>
      <c r="B343">
        <v>628.6</v>
      </c>
      <c r="C343">
        <v>632.53</v>
      </c>
      <c r="D343">
        <v>407.8</v>
      </c>
      <c r="E343">
        <v>515.84</v>
      </c>
      <c r="F343">
        <v>907191.49638000003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-3.8490633204289242E-2</v>
      </c>
      <c r="Q343">
        <f t="shared" si="970"/>
        <v>-34918.375133212874</v>
      </c>
      <c r="R343">
        <f t="shared" si="971"/>
        <v>10475445.368100826</v>
      </c>
      <c r="S343">
        <f t="shared" si="972"/>
        <v>104.75445368100826</v>
      </c>
      <c r="T343">
        <f t="shared" si="973"/>
        <v>0.10475445368100826</v>
      </c>
    </row>
    <row r="344" spans="1:20" x14ac:dyDescent="0.25">
      <c r="A344" s="5">
        <v>44249</v>
      </c>
      <c r="B344">
        <v>706.16</v>
      </c>
      <c r="C344">
        <v>710.42</v>
      </c>
      <c r="D344">
        <v>535.16999999999996</v>
      </c>
      <c r="E344">
        <v>628.98</v>
      </c>
      <c r="F344">
        <v>597641.03008000006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7.0584878744651178E-2</v>
      </c>
      <c r="Q344">
        <f t="shared" si="970"/>
        <v>42184.419641025233</v>
      </c>
      <c r="R344">
        <f t="shared" si="971"/>
        <v>10510363.743234038</v>
      </c>
      <c r="S344">
        <f t="shared" si="972"/>
        <v>105.10363743234038</v>
      </c>
      <c r="T344">
        <f t="shared" si="973"/>
        <v>0.10510363743234037</v>
      </c>
    </row>
    <row r="345" spans="1:20" x14ac:dyDescent="0.25">
      <c r="A345" s="5">
        <v>44248</v>
      </c>
      <c r="B345">
        <v>678.09</v>
      </c>
      <c r="C345">
        <v>736.61</v>
      </c>
      <c r="D345">
        <v>665.51</v>
      </c>
      <c r="E345">
        <v>706.28</v>
      </c>
      <c r="F345">
        <v>360628.16694999998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0.1468354430379738</v>
      </c>
      <c r="Q345">
        <f t="shared" si="970"/>
        <v>52952.996666075625</v>
      </c>
      <c r="R345">
        <f t="shared" si="971"/>
        <v>10468179.323593013</v>
      </c>
      <c r="S345">
        <f t="shared" si="972"/>
        <v>104.68179323593013</v>
      </c>
      <c r="T345">
        <f t="shared" si="973"/>
        <v>0.10468179323593013</v>
      </c>
    </row>
    <row r="346" spans="1:20" x14ac:dyDescent="0.25">
      <c r="A346" s="5">
        <v>44247</v>
      </c>
      <c r="B346">
        <v>718.95</v>
      </c>
      <c r="C346">
        <v>748.88</v>
      </c>
      <c r="D346">
        <v>626.65</v>
      </c>
      <c r="E346">
        <v>678.29</v>
      </c>
      <c r="F346">
        <v>463755.21779999998</v>
      </c>
      <c r="G346">
        <v>0</v>
      </c>
      <c r="L346" t="s">
        <v>8</v>
      </c>
      <c r="M346" t="s">
        <v>7</v>
      </c>
      <c r="N346" t="s">
        <v>8</v>
      </c>
      <c r="P346">
        <f t="shared" si="969"/>
        <v>-0.15503558864435935</v>
      </c>
      <c r="Q346">
        <f t="shared" si="970"/>
        <v>-71898.563178516066</v>
      </c>
      <c r="R346">
        <f t="shared" si="971"/>
        <v>10415226.326926937</v>
      </c>
      <c r="S346">
        <f t="shared" si="972"/>
        <v>104.15226326926937</v>
      </c>
      <c r="T346">
        <f t="shared" si="973"/>
        <v>0.10415226326926937</v>
      </c>
    </row>
    <row r="347" spans="1:20" x14ac:dyDescent="0.25">
      <c r="A347" s="5">
        <v>44246</v>
      </c>
      <c r="B347">
        <v>704.04</v>
      </c>
      <c r="C347">
        <v>744.12</v>
      </c>
      <c r="D347">
        <v>681.26</v>
      </c>
      <c r="E347">
        <v>718.98</v>
      </c>
      <c r="F347">
        <v>358793.83867999999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0.20012726694241231</v>
      </c>
      <c r="Q347">
        <f t="shared" si="970"/>
        <v>71804.430330805175</v>
      </c>
      <c r="R347">
        <f t="shared" si="971"/>
        <v>10487124.890105454</v>
      </c>
      <c r="S347">
        <f t="shared" si="972"/>
        <v>104.87124890105454</v>
      </c>
      <c r="T347">
        <f t="shared" si="973"/>
        <v>0.10487124890105454</v>
      </c>
    </row>
    <row r="348" spans="1:20" x14ac:dyDescent="0.25">
      <c r="A348" s="5">
        <v>44245</v>
      </c>
      <c r="B348">
        <v>716.39</v>
      </c>
      <c r="C348">
        <v>730</v>
      </c>
      <c r="D348">
        <v>688.75</v>
      </c>
      <c r="E348">
        <v>703.7</v>
      </c>
      <c r="F348">
        <v>266720.76954000001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-0.27515151515151293</v>
      </c>
      <c r="Q348">
        <f t="shared" si="970"/>
        <v>-73388.623861308501</v>
      </c>
      <c r="R348">
        <f t="shared" si="971"/>
        <v>10415320.459774649</v>
      </c>
      <c r="S348">
        <f t="shared" si="972"/>
        <v>104.15320459774649</v>
      </c>
      <c r="T348">
        <f t="shared" si="973"/>
        <v>0.10415320459774649</v>
      </c>
    </row>
    <row r="349" spans="1:20" x14ac:dyDescent="0.25">
      <c r="A349" s="5">
        <v>44244</v>
      </c>
      <c r="B349">
        <v>705.51</v>
      </c>
      <c r="C349">
        <v>726.9</v>
      </c>
      <c r="D349">
        <v>675.26</v>
      </c>
      <c r="E349">
        <v>716.45</v>
      </c>
      <c r="F349">
        <v>353699.36465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0.59527498063516904</v>
      </c>
      <c r="Q349">
        <f t="shared" si="970"/>
        <v>210548.38244270036</v>
      </c>
      <c r="R349">
        <f t="shared" si="971"/>
        <v>10488709.083635958</v>
      </c>
      <c r="S349">
        <f t="shared" si="972"/>
        <v>104.88709083635958</v>
      </c>
      <c r="T349">
        <f t="shared" si="973"/>
        <v>0.10488709083635958</v>
      </c>
    </row>
    <row r="350" spans="1:20" x14ac:dyDescent="0.25">
      <c r="A350" s="5">
        <v>44243</v>
      </c>
      <c r="B350">
        <v>715.61</v>
      </c>
      <c r="C350">
        <v>745</v>
      </c>
      <c r="D350">
        <v>668.8</v>
      </c>
      <c r="E350">
        <v>705.39</v>
      </c>
      <c r="F350">
        <v>491219.64156999998</v>
      </c>
      <c r="G350">
        <v>0</v>
      </c>
      <c r="L350" t="s">
        <v>7</v>
      </c>
      <c r="M350" t="s">
        <v>8</v>
      </c>
      <c r="N350" t="s">
        <v>8</v>
      </c>
      <c r="P350">
        <f t="shared" si="969"/>
        <v>-3.9632545931758266E-2</v>
      </c>
      <c r="Q350">
        <f t="shared" si="970"/>
        <v>-19468.285007104856</v>
      </c>
      <c r="R350">
        <f t="shared" si="971"/>
        <v>10278160.701193258</v>
      </c>
      <c r="S350">
        <f t="shared" si="972"/>
        <v>102.78160701193258</v>
      </c>
      <c r="T350">
        <f t="shared" si="973"/>
        <v>0.10278160701193258</v>
      </c>
    </row>
    <row r="351" spans="1:20" x14ac:dyDescent="0.25">
      <c r="A351" s="5">
        <v>44242</v>
      </c>
      <c r="B351">
        <v>720.4</v>
      </c>
      <c r="C351">
        <v>773.84</v>
      </c>
      <c r="D351">
        <v>601</v>
      </c>
      <c r="E351">
        <v>715.52</v>
      </c>
      <c r="F351">
        <v>895763.44290999998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0.32515621383938859</v>
      </c>
      <c r="Q351">
        <f t="shared" si="970"/>
        <v>291263.0495923509</v>
      </c>
      <c r="R351">
        <f t="shared" si="971"/>
        <v>10297628.986200362</v>
      </c>
      <c r="S351">
        <f t="shared" si="972"/>
        <v>102.97628986200363</v>
      </c>
      <c r="T351">
        <f t="shared" si="973"/>
        <v>0.10297628986200362</v>
      </c>
    </row>
    <row r="352" spans="1:20" x14ac:dyDescent="0.25">
      <c r="A352" s="5">
        <v>44241</v>
      </c>
      <c r="B352">
        <v>668.32</v>
      </c>
      <c r="C352">
        <v>749</v>
      </c>
      <c r="D352">
        <v>652</v>
      </c>
      <c r="E352">
        <v>720.44</v>
      </c>
      <c r="F352">
        <v>781088.02231000003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0.41113402061855781</v>
      </c>
      <c r="Q352">
        <f t="shared" si="970"/>
        <v>321131.85906930809</v>
      </c>
      <c r="R352">
        <f t="shared" si="971"/>
        <v>10006365.936608011</v>
      </c>
      <c r="S352">
        <f t="shared" si="972"/>
        <v>100.0636593660801</v>
      </c>
      <c r="T352">
        <f t="shared" si="973"/>
        <v>0.1000636593660801</v>
      </c>
    </row>
    <row r="353" spans="1:20" x14ac:dyDescent="0.25">
      <c r="A353" s="5">
        <v>44240</v>
      </c>
      <c r="B353">
        <v>576.15</v>
      </c>
      <c r="C353">
        <v>668.6</v>
      </c>
      <c r="D353">
        <v>540</v>
      </c>
      <c r="E353">
        <v>668.3</v>
      </c>
      <c r="F353">
        <v>577319.14252999995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0.99533437013996784</v>
      </c>
      <c r="Q353">
        <f t="shared" si="970"/>
        <v>574625.5850998438</v>
      </c>
      <c r="R353">
        <f t="shared" si="971"/>
        <v>9685234.0775387026</v>
      </c>
      <c r="S353">
        <f t="shared" si="972"/>
        <v>96.85234077538702</v>
      </c>
      <c r="T353">
        <f t="shared" si="973"/>
        <v>9.6852340775387014E-2</v>
      </c>
    </row>
    <row r="354" spans="1:20" x14ac:dyDescent="0.25">
      <c r="A354" s="5">
        <v>44239</v>
      </c>
      <c r="B354">
        <v>529.91</v>
      </c>
      <c r="C354">
        <v>580</v>
      </c>
      <c r="D354">
        <v>509.84</v>
      </c>
      <c r="E354">
        <v>576.42999999999995</v>
      </c>
      <c r="F354">
        <v>385756.27493999997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0.89823261117445696</v>
      </c>
      <c r="Q354">
        <f t="shared" si="970"/>
        <v>346498.86611628789</v>
      </c>
      <c r="R354">
        <f t="shared" si="971"/>
        <v>9110608.4924388584</v>
      </c>
      <c r="S354">
        <f t="shared" si="972"/>
        <v>91.106084924388583</v>
      </c>
      <c r="T354">
        <f t="shared" si="973"/>
        <v>9.1106084924388583E-2</v>
      </c>
    </row>
    <row r="355" spans="1:20" x14ac:dyDescent="0.25">
      <c r="A355" s="5">
        <v>44238</v>
      </c>
      <c r="B355">
        <v>495.08</v>
      </c>
      <c r="C355">
        <v>542.47</v>
      </c>
      <c r="D355">
        <v>490.51</v>
      </c>
      <c r="E355">
        <v>530.4</v>
      </c>
      <c r="F355">
        <v>309368.45754999999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0.5354118552732855</v>
      </c>
      <c r="Q355">
        <f t="shared" si="970"/>
        <v>165639.53981988016</v>
      </c>
      <c r="R355">
        <f t="shared" si="971"/>
        <v>8764109.6263225712</v>
      </c>
      <c r="S355">
        <f t="shared" si="972"/>
        <v>87.641096263225705</v>
      </c>
      <c r="T355">
        <f t="shared" si="973"/>
        <v>8.7641096263225707E-2</v>
      </c>
    </row>
    <row r="356" spans="1:20" x14ac:dyDescent="0.25">
      <c r="A356" s="5">
        <v>44237</v>
      </c>
      <c r="B356">
        <v>514.85</v>
      </c>
      <c r="C356">
        <v>538.96</v>
      </c>
      <c r="D356">
        <v>467.51</v>
      </c>
      <c r="E356">
        <v>494.85</v>
      </c>
      <c r="F356">
        <v>478451.22132000001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-0.23470958712386245</v>
      </c>
      <c r="Q356">
        <f t="shared" si="970"/>
        <v>-112297.08861492494</v>
      </c>
      <c r="R356">
        <f t="shared" si="971"/>
        <v>8598470.0865026917</v>
      </c>
      <c r="S356">
        <f t="shared" si="972"/>
        <v>85.984700865026923</v>
      </c>
      <c r="T356">
        <f t="shared" si="973"/>
        <v>8.5984700865026922E-2</v>
      </c>
    </row>
    <row r="357" spans="1:20" x14ac:dyDescent="0.25">
      <c r="A357" s="5">
        <v>44236</v>
      </c>
      <c r="B357">
        <v>483.99</v>
      </c>
      <c r="C357">
        <v>519.5</v>
      </c>
      <c r="D357">
        <v>472.7</v>
      </c>
      <c r="E357">
        <v>514.41999999999996</v>
      </c>
      <c r="F357">
        <v>430012.31946000003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0.78290598290598123</v>
      </c>
      <c r="Q357">
        <f t="shared" si="970"/>
        <v>336659.21762851212</v>
      </c>
      <c r="R357">
        <f t="shared" si="971"/>
        <v>8710767.1751176175</v>
      </c>
      <c r="S357">
        <f t="shared" si="972"/>
        <v>87.10767175117617</v>
      </c>
      <c r="T357">
        <f t="shared" si="973"/>
        <v>8.7107671751176174E-2</v>
      </c>
    </row>
    <row r="358" spans="1:20" x14ac:dyDescent="0.25">
      <c r="A358" s="5">
        <v>44235</v>
      </c>
      <c r="B358">
        <v>444.77</v>
      </c>
      <c r="C358">
        <v>488.86</v>
      </c>
      <c r="D358">
        <v>436.54</v>
      </c>
      <c r="E358">
        <v>483.99</v>
      </c>
      <c r="F358">
        <v>287368.36575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0.81383792048929648</v>
      </c>
      <c r="Q358">
        <f t="shared" si="970"/>
        <v>233871.27319638757</v>
      </c>
      <c r="R358">
        <f t="shared" si="971"/>
        <v>8374107.9574891049</v>
      </c>
      <c r="S358">
        <f t="shared" si="972"/>
        <v>83.741079574891046</v>
      </c>
      <c r="T358">
        <f t="shared" si="973"/>
        <v>8.3741079574891047E-2</v>
      </c>
    </row>
    <row r="359" spans="1:20" x14ac:dyDescent="0.25">
      <c r="A359" s="5">
        <v>44234</v>
      </c>
      <c r="B359">
        <v>458.27</v>
      </c>
      <c r="C359">
        <v>464.06</v>
      </c>
      <c r="D359">
        <v>429.37</v>
      </c>
      <c r="E359">
        <v>444.8</v>
      </c>
      <c r="F359">
        <v>263930.56916000001</v>
      </c>
      <c r="G359">
        <v>0</v>
      </c>
      <c r="L359" t="s">
        <v>7</v>
      </c>
      <c r="M359" t="s">
        <v>8</v>
      </c>
      <c r="N359" t="s">
        <v>7</v>
      </c>
      <c r="P359">
        <f t="shared" si="969"/>
        <v>-0.11040645719227397</v>
      </c>
      <c r="Q359">
        <f t="shared" si="970"/>
        <v>-29139.639085696046</v>
      </c>
      <c r="R359">
        <f t="shared" si="971"/>
        <v>8140236.6842927178</v>
      </c>
      <c r="S359">
        <f t="shared" si="972"/>
        <v>81.402366842927179</v>
      </c>
      <c r="T359">
        <f t="shared" si="973"/>
        <v>8.1402366842927176E-2</v>
      </c>
    </row>
    <row r="360" spans="1:20" x14ac:dyDescent="0.25">
      <c r="A360" s="5">
        <v>44233</v>
      </c>
      <c r="B360">
        <v>447.86</v>
      </c>
      <c r="C360">
        <v>490.25</v>
      </c>
      <c r="D360">
        <v>445.79</v>
      </c>
      <c r="E360">
        <v>457.78</v>
      </c>
      <c r="F360">
        <v>466508.66428999999</v>
      </c>
      <c r="G360">
        <v>0</v>
      </c>
      <c r="L360" t="s">
        <v>8</v>
      </c>
      <c r="M360" t="s">
        <v>8</v>
      </c>
      <c r="N360" t="s">
        <v>7</v>
      </c>
      <c r="P360">
        <f t="shared" si="969"/>
        <v>-0.46063877642825202</v>
      </c>
      <c r="Q360">
        <f t="shared" si="970"/>
        <v>-214891.98031172378</v>
      </c>
      <c r="R360">
        <f t="shared" si="971"/>
        <v>8169376.3233784139</v>
      </c>
      <c r="S360">
        <f t="shared" si="972"/>
        <v>81.693763233784139</v>
      </c>
      <c r="T360">
        <f t="shared" si="973"/>
        <v>8.1693763233784134E-2</v>
      </c>
    </row>
    <row r="361" spans="1:20" x14ac:dyDescent="0.25">
      <c r="A361" s="5">
        <v>44232</v>
      </c>
      <c r="B361">
        <v>421.03</v>
      </c>
      <c r="C361">
        <v>449</v>
      </c>
      <c r="D361">
        <v>417.54</v>
      </c>
      <c r="E361">
        <v>447.72</v>
      </c>
      <c r="F361">
        <v>196582.99909999999</v>
      </c>
      <c r="G361">
        <v>0</v>
      </c>
      <c r="L361" t="s">
        <v>7</v>
      </c>
      <c r="M361" t="s">
        <v>8</v>
      </c>
      <c r="N361" t="s">
        <v>7</v>
      </c>
      <c r="P361">
        <f t="shared" si="969"/>
        <v>0.91862682771773851</v>
      </c>
      <c r="Q361">
        <f t="shared" si="970"/>
        <v>180586.41684647204</v>
      </c>
      <c r="R361">
        <f t="shared" si="971"/>
        <v>8384268.3036901373</v>
      </c>
      <c r="S361">
        <f t="shared" si="972"/>
        <v>83.842683036901377</v>
      </c>
      <c r="T361">
        <f t="shared" si="973"/>
        <v>8.3842683036901372E-2</v>
      </c>
    </row>
    <row r="362" spans="1:20" x14ac:dyDescent="0.25">
      <c r="A362" s="5">
        <v>44231</v>
      </c>
      <c r="B362">
        <v>446.13</v>
      </c>
      <c r="C362">
        <v>454.94</v>
      </c>
      <c r="D362">
        <v>412.74</v>
      </c>
      <c r="E362">
        <v>420.91</v>
      </c>
      <c r="F362">
        <v>237044.73323000001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-0.61279620853080485</v>
      </c>
      <c r="Q362">
        <f t="shared" si="970"/>
        <v>-145260.11377554009</v>
      </c>
      <c r="R362">
        <f t="shared" si="971"/>
        <v>8203681.8868436655</v>
      </c>
      <c r="S362">
        <f t="shared" si="972"/>
        <v>82.036818868436654</v>
      </c>
      <c r="T362">
        <f t="shared" si="973"/>
        <v>8.2036818868436653E-2</v>
      </c>
    </row>
    <row r="363" spans="1:20" x14ac:dyDescent="0.25">
      <c r="A363" s="5">
        <v>44230</v>
      </c>
      <c r="B363">
        <v>430.23</v>
      </c>
      <c r="C363">
        <v>449.8</v>
      </c>
      <c r="D363">
        <v>428.09</v>
      </c>
      <c r="E363">
        <v>446.1</v>
      </c>
      <c r="F363">
        <v>213884.22722999999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0.6591432519576248</v>
      </c>
      <c r="Q363">
        <f t="shared" si="970"/>
        <v>140980.34507882575</v>
      </c>
      <c r="R363">
        <f t="shared" si="971"/>
        <v>8348942.0006192056</v>
      </c>
      <c r="S363">
        <f t="shared" si="972"/>
        <v>83.489420006192063</v>
      </c>
      <c r="T363">
        <f t="shared" si="973"/>
        <v>8.3489420006192069E-2</v>
      </c>
    </row>
    <row r="364" spans="1:20" x14ac:dyDescent="0.25">
      <c r="A364" s="5">
        <v>44229</v>
      </c>
      <c r="B364">
        <v>414.43</v>
      </c>
      <c r="C364">
        <v>434.94</v>
      </c>
      <c r="D364">
        <v>410.97</v>
      </c>
      <c r="E364">
        <v>430.31</v>
      </c>
      <c r="F364">
        <v>208441.09143999999</v>
      </c>
      <c r="G364">
        <v>0</v>
      </c>
      <c r="L364" t="s">
        <v>7</v>
      </c>
      <c r="M364" t="s">
        <v>8</v>
      </c>
      <c r="N364" t="s">
        <v>7</v>
      </c>
      <c r="P364">
        <f t="shared" si="969"/>
        <v>0.6136837713808927</v>
      </c>
      <c r="Q364">
        <f t="shared" si="970"/>
        <v>127916.9151056487</v>
      </c>
      <c r="R364">
        <f t="shared" si="971"/>
        <v>8207961.6555403797</v>
      </c>
      <c r="S364">
        <f t="shared" si="972"/>
        <v>82.079616555403803</v>
      </c>
      <c r="T364">
        <f t="shared" si="973"/>
        <v>8.20796165554038E-2</v>
      </c>
    </row>
    <row r="365" spans="1:20" x14ac:dyDescent="0.25">
      <c r="A365" s="5">
        <v>44228</v>
      </c>
      <c r="B365">
        <v>399.3</v>
      </c>
      <c r="C365">
        <v>445.72</v>
      </c>
      <c r="D365">
        <v>389.51</v>
      </c>
      <c r="E365">
        <v>414.48</v>
      </c>
      <c r="F365">
        <v>319432.99763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-0.11154598825831663</v>
      </c>
      <c r="Q365">
        <f t="shared" si="970"/>
        <v>-35631.469402954863</v>
      </c>
      <c r="R365">
        <f t="shared" si="971"/>
        <v>8080044.7404347314</v>
      </c>
      <c r="S365">
        <f t="shared" si="972"/>
        <v>80.80044740434731</v>
      </c>
      <c r="T365">
        <f t="shared" si="973"/>
        <v>8.0800447404347303E-2</v>
      </c>
    </row>
    <row r="366" spans="1:20" x14ac:dyDescent="0.25">
      <c r="A366" s="5">
        <v>44227</v>
      </c>
      <c r="B366">
        <v>417</v>
      </c>
      <c r="C366">
        <v>417.05</v>
      </c>
      <c r="D366">
        <v>390.51</v>
      </c>
      <c r="E366">
        <v>399.3</v>
      </c>
      <c r="F366">
        <v>150953.57725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-0.33760361718161164</v>
      </c>
      <c r="Q366">
        <f t="shared" si="970"/>
        <v>-50962.47370610384</v>
      </c>
      <c r="R366">
        <f t="shared" si="971"/>
        <v>8115676.2098376863</v>
      </c>
      <c r="S366">
        <f t="shared" si="972"/>
        <v>81.156762098376859</v>
      </c>
      <c r="T366">
        <f t="shared" si="973"/>
        <v>8.1156762098376856E-2</v>
      </c>
    </row>
    <row r="367" spans="1:20" x14ac:dyDescent="0.25">
      <c r="A367" s="5">
        <v>44226</v>
      </c>
      <c r="B367">
        <v>407.09</v>
      </c>
      <c r="C367">
        <v>419.91</v>
      </c>
      <c r="D367">
        <v>392.13</v>
      </c>
      <c r="E367">
        <v>417.02</v>
      </c>
      <c r="F367">
        <v>212546.27867999999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0.79193664506839168</v>
      </c>
      <c r="Q367">
        <f t="shared" si="970"/>
        <v>168323.18685961061</v>
      </c>
      <c r="R367">
        <f t="shared" si="971"/>
        <v>8166638.6835437901</v>
      </c>
      <c r="S367">
        <f t="shared" si="972"/>
        <v>81.666386835437905</v>
      </c>
      <c r="T367">
        <f t="shared" si="973"/>
        <v>8.1666386835437907E-2</v>
      </c>
    </row>
    <row r="368" spans="1:20" x14ac:dyDescent="0.25">
      <c r="A368" s="5">
        <v>44225</v>
      </c>
      <c r="B368">
        <v>404.77</v>
      </c>
      <c r="C368">
        <v>435.08</v>
      </c>
      <c r="D368">
        <v>391.12</v>
      </c>
      <c r="E368">
        <v>407.03</v>
      </c>
      <c r="F368">
        <v>413125.53863000002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-0.27616014558689828</v>
      </c>
      <c r="Q368">
        <f t="shared" si="970"/>
        <v>-114088.80889372657</v>
      </c>
      <c r="R368">
        <f t="shared" si="971"/>
        <v>7998315.4966841796</v>
      </c>
      <c r="S368">
        <f t="shared" si="972"/>
        <v>79.983154966841795</v>
      </c>
      <c r="T368">
        <f t="shared" si="973"/>
        <v>7.9983154966841802E-2</v>
      </c>
    </row>
    <row r="369" spans="1:20" x14ac:dyDescent="0.25">
      <c r="A369" s="5">
        <v>44224</v>
      </c>
      <c r="B369">
        <v>377.25</v>
      </c>
      <c r="C369">
        <v>414.66</v>
      </c>
      <c r="D369">
        <v>370.14</v>
      </c>
      <c r="E369">
        <v>404.75</v>
      </c>
      <c r="F369">
        <v>199449.34452000001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0.55480682839173334</v>
      </c>
      <c r="Q369">
        <f t="shared" si="970"/>
        <v>110655.85825795135</v>
      </c>
      <c r="R369">
        <f t="shared" si="971"/>
        <v>8112404.3055779058</v>
      </c>
      <c r="S369">
        <f t="shared" si="972"/>
        <v>81.124043055779055</v>
      </c>
      <c r="T369">
        <f t="shared" si="973"/>
        <v>8.1124043055779055E-2</v>
      </c>
    </row>
    <row r="370" spans="1:20" x14ac:dyDescent="0.25">
      <c r="A370" s="5">
        <v>44223</v>
      </c>
      <c r="B370">
        <v>427.6</v>
      </c>
      <c r="C370">
        <v>428.08</v>
      </c>
      <c r="D370">
        <v>369.79</v>
      </c>
      <c r="E370">
        <v>377.17</v>
      </c>
      <c r="F370">
        <v>277907.15104999999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-0.74678332475553266</v>
      </c>
      <c r="Q370">
        <f t="shared" si="970"/>
        <v>-207536.426234457</v>
      </c>
      <c r="R370">
        <f t="shared" si="971"/>
        <v>8001748.4473199546</v>
      </c>
      <c r="S370">
        <f t="shared" si="972"/>
        <v>80.017484473199545</v>
      </c>
      <c r="T370">
        <f t="shared" si="973"/>
        <v>8.0017484473199549E-2</v>
      </c>
    </row>
    <row r="371" spans="1:20" x14ac:dyDescent="0.25">
      <c r="A371" s="5">
        <v>44222</v>
      </c>
      <c r="B371">
        <v>432.2</v>
      </c>
      <c r="C371">
        <v>438.69</v>
      </c>
      <c r="D371">
        <v>413.02</v>
      </c>
      <c r="E371">
        <v>427.46</v>
      </c>
      <c r="F371">
        <v>178944.06096999999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0.12504869497467774</v>
      </c>
      <c r="Q371">
        <f t="shared" si="970"/>
        <v>22376.721297767665</v>
      </c>
      <c r="R371">
        <f t="shared" si="971"/>
        <v>8209284.8735544113</v>
      </c>
      <c r="S371">
        <f t="shared" si="972"/>
        <v>82.092848735544109</v>
      </c>
      <c r="T371">
        <f t="shared" si="973"/>
        <v>8.2092848735544108E-2</v>
      </c>
    </row>
    <row r="372" spans="1:20" x14ac:dyDescent="0.25">
      <c r="A372" s="5">
        <v>44221</v>
      </c>
      <c r="B372">
        <v>439.67</v>
      </c>
      <c r="C372">
        <v>465.2</v>
      </c>
      <c r="D372">
        <v>430.43</v>
      </c>
      <c r="E372">
        <v>432.28</v>
      </c>
      <c r="F372">
        <v>215535.24161999999</v>
      </c>
      <c r="G372">
        <v>0</v>
      </c>
      <c r="L372" t="s">
        <v>8</v>
      </c>
      <c r="M372" t="s">
        <v>7</v>
      </c>
      <c r="N372" t="s">
        <v>7</v>
      </c>
      <c r="P372">
        <f t="shared" si="969"/>
        <v>-0.89358642507909303</v>
      </c>
      <c r="Q372">
        <f t="shared" si="970"/>
        <v>-192599.36603777434</v>
      </c>
      <c r="R372">
        <f t="shared" si="971"/>
        <v>8186908.1522566434</v>
      </c>
      <c r="S372">
        <f t="shared" si="972"/>
        <v>81.869081522566432</v>
      </c>
      <c r="T372">
        <f t="shared" si="973"/>
        <v>8.1869081522566431E-2</v>
      </c>
    </row>
    <row r="373" spans="1:20" x14ac:dyDescent="0.25">
      <c r="A373" s="5">
        <v>44220</v>
      </c>
      <c r="B373">
        <v>431.34</v>
      </c>
      <c r="C373">
        <v>448.84</v>
      </c>
      <c r="D373">
        <v>421.4</v>
      </c>
      <c r="E373">
        <v>439.52</v>
      </c>
      <c r="F373">
        <v>142813.31791000001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0.32069970845481094</v>
      </c>
      <c r="Q373">
        <f t="shared" si="970"/>
        <v>45800.189417201233</v>
      </c>
      <c r="R373">
        <f t="shared" si="971"/>
        <v>8379507.5182944173</v>
      </c>
      <c r="S373">
        <f t="shared" si="972"/>
        <v>83.795075182944174</v>
      </c>
      <c r="T373">
        <f t="shared" si="973"/>
        <v>8.379507518294417E-2</v>
      </c>
    </row>
    <row r="374" spans="1:20" x14ac:dyDescent="0.25">
      <c r="A374" s="5">
        <v>44219</v>
      </c>
      <c r="B374">
        <v>439.79</v>
      </c>
      <c r="C374">
        <v>444</v>
      </c>
      <c r="D374">
        <v>416.05</v>
      </c>
      <c r="E374">
        <v>431.36</v>
      </c>
      <c r="F374">
        <v>167946.08757999999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9.5527728085868235E-2</v>
      </c>
      <c r="Q374">
        <f t="shared" si="970"/>
        <v>16043.508187427651</v>
      </c>
      <c r="R374">
        <f t="shared" si="971"/>
        <v>8333707.3288772162</v>
      </c>
      <c r="S374">
        <f t="shared" si="972"/>
        <v>83.33707328877216</v>
      </c>
      <c r="T374">
        <f t="shared" si="973"/>
        <v>8.3337073288772157E-2</v>
      </c>
    </row>
    <row r="375" spans="1:20" x14ac:dyDescent="0.25">
      <c r="A375" s="5">
        <v>44218</v>
      </c>
      <c r="B375">
        <v>418.41</v>
      </c>
      <c r="C375">
        <v>450.46</v>
      </c>
      <c r="D375">
        <v>391.77</v>
      </c>
      <c r="E375">
        <v>439.79</v>
      </c>
      <c r="F375">
        <v>358565.41933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0.63639461577781697</v>
      </c>
      <c r="Q375">
        <f t="shared" si="970"/>
        <v>228189.10226572718</v>
      </c>
      <c r="R375">
        <f t="shared" si="971"/>
        <v>8317663.8206897881</v>
      </c>
      <c r="S375">
        <f t="shared" si="972"/>
        <v>83.176638206897877</v>
      </c>
      <c r="T375">
        <f t="shared" si="973"/>
        <v>8.3176638206897871E-2</v>
      </c>
    </row>
    <row r="376" spans="1:20" x14ac:dyDescent="0.25">
      <c r="A376" s="5">
        <v>44217</v>
      </c>
      <c r="B376">
        <v>496.96</v>
      </c>
      <c r="C376">
        <v>499.4</v>
      </c>
      <c r="D376">
        <v>405.48</v>
      </c>
      <c r="E376">
        <v>418.68</v>
      </c>
      <c r="F376">
        <v>392151.83809999999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-0.71890971039182294</v>
      </c>
      <c r="Q376">
        <f t="shared" si="970"/>
        <v>-281921.76435809204</v>
      </c>
      <c r="R376">
        <f t="shared" si="971"/>
        <v>8089474.7184240613</v>
      </c>
      <c r="S376">
        <f t="shared" si="972"/>
        <v>80.894747184240615</v>
      </c>
      <c r="T376">
        <f t="shared" si="973"/>
        <v>8.0894747184240612E-2</v>
      </c>
    </row>
    <row r="377" spans="1:20" x14ac:dyDescent="0.25">
      <c r="A377" s="5">
        <v>44216</v>
      </c>
      <c r="B377">
        <v>507.14</v>
      </c>
      <c r="C377">
        <v>518.62</v>
      </c>
      <c r="D377">
        <v>470.01</v>
      </c>
      <c r="E377">
        <v>496.95</v>
      </c>
      <c r="F377">
        <v>372676.36060999997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0.10841390660357911</v>
      </c>
      <c r="Q377">
        <f t="shared" si="970"/>
        <v>40403.300152534306</v>
      </c>
      <c r="R377">
        <f t="shared" si="971"/>
        <v>8371396.4827821534</v>
      </c>
      <c r="S377">
        <f t="shared" si="972"/>
        <v>83.713964827821528</v>
      </c>
      <c r="T377">
        <f t="shared" si="973"/>
        <v>8.3713964827821521E-2</v>
      </c>
    </row>
    <row r="378" spans="1:20" x14ac:dyDescent="0.25">
      <c r="A378" s="5">
        <v>44215</v>
      </c>
      <c r="B378">
        <v>508.83</v>
      </c>
      <c r="C378">
        <v>553.73</v>
      </c>
      <c r="D378">
        <v>502.76</v>
      </c>
      <c r="E378">
        <v>507.04</v>
      </c>
      <c r="F378">
        <v>484274.08507999999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-0.83205807337649496</v>
      </c>
      <c r="Q378">
        <f t="shared" si="970"/>
        <v>-402944.16221782961</v>
      </c>
      <c r="R378">
        <f t="shared" si="971"/>
        <v>8330993.1826296188</v>
      </c>
      <c r="S378">
        <f t="shared" si="972"/>
        <v>83.309931826296193</v>
      </c>
      <c r="T378">
        <f t="shared" si="973"/>
        <v>8.3309931826296188E-2</v>
      </c>
    </row>
    <row r="379" spans="1:20" x14ac:dyDescent="0.25">
      <c r="A379" s="5">
        <v>44214</v>
      </c>
      <c r="B379">
        <v>479.32</v>
      </c>
      <c r="C379">
        <v>514.54</v>
      </c>
      <c r="D379">
        <v>469.28</v>
      </c>
      <c r="E379">
        <v>508.95</v>
      </c>
      <c r="F379">
        <v>310010.56705999997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0.75298276623950611</v>
      </c>
      <c r="Q379">
        <f t="shared" si="970"/>
        <v>233432.61434831668</v>
      </c>
      <c r="R379">
        <f t="shared" si="971"/>
        <v>8733937.3448474482</v>
      </c>
      <c r="S379">
        <f t="shared" si="972"/>
        <v>87.339373448474475</v>
      </c>
      <c r="T379">
        <f t="shared" si="973"/>
        <v>8.7339373448474478E-2</v>
      </c>
    </row>
    <row r="380" spans="1:20" x14ac:dyDescent="0.25">
      <c r="A380" s="5">
        <v>44213</v>
      </c>
      <c r="B380">
        <v>489.78</v>
      </c>
      <c r="C380">
        <v>495.84</v>
      </c>
      <c r="D380">
        <v>461.45</v>
      </c>
      <c r="E380">
        <v>479.37</v>
      </c>
      <c r="F380">
        <v>256429.15291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4.2163419598721899E-2</v>
      </c>
      <c r="Q380">
        <f t="shared" si="970"/>
        <v>10811.929971489149</v>
      </c>
      <c r="R380">
        <f t="shared" si="971"/>
        <v>8500504.7304991316</v>
      </c>
      <c r="S380">
        <f t="shared" si="972"/>
        <v>85.005047304991322</v>
      </c>
      <c r="T380">
        <f t="shared" si="973"/>
        <v>8.5005047304991324E-2</v>
      </c>
    </row>
    <row r="381" spans="1:20" x14ac:dyDescent="0.25">
      <c r="A381" s="5">
        <v>44212</v>
      </c>
      <c r="B381">
        <v>490.7</v>
      </c>
      <c r="C381">
        <v>515.54999999999995</v>
      </c>
      <c r="D381">
        <v>473.41</v>
      </c>
      <c r="E381">
        <v>489.74</v>
      </c>
      <c r="F381">
        <v>405440.86849999998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-0.22496440436639717</v>
      </c>
      <c r="Q381">
        <f t="shared" si="970"/>
        <v>-91209.76348789726</v>
      </c>
      <c r="R381">
        <f t="shared" si="971"/>
        <v>8489692.8005276415</v>
      </c>
      <c r="S381">
        <f t="shared" si="972"/>
        <v>84.896928005276422</v>
      </c>
      <c r="T381">
        <f t="shared" si="973"/>
        <v>8.4896928005276429E-2</v>
      </c>
    </row>
    <row r="382" spans="1:20" x14ac:dyDescent="0.25">
      <c r="A382" s="5">
        <v>44211</v>
      </c>
      <c r="B382">
        <v>527.15</v>
      </c>
      <c r="C382">
        <v>536.39</v>
      </c>
      <c r="D382">
        <v>452.61</v>
      </c>
      <c r="E382">
        <v>490.7</v>
      </c>
      <c r="F382">
        <v>488575.14311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-9.0713774170446709E-2</v>
      </c>
      <c r="Q382">
        <f t="shared" si="970"/>
        <v>-44320.495197374221</v>
      </c>
      <c r="R382">
        <f t="shared" si="971"/>
        <v>8580902.5640155394</v>
      </c>
      <c r="S382">
        <f t="shared" si="972"/>
        <v>85.809025640155397</v>
      </c>
      <c r="T382">
        <f t="shared" si="973"/>
        <v>8.5809025640155398E-2</v>
      </c>
    </row>
    <row r="383" spans="1:20" x14ac:dyDescent="0.25">
      <c r="A383" s="5">
        <v>44210</v>
      </c>
      <c r="B383">
        <v>496.11</v>
      </c>
      <c r="C383">
        <v>538.88</v>
      </c>
      <c r="D383">
        <v>483.5</v>
      </c>
      <c r="E383">
        <v>527</v>
      </c>
      <c r="F383">
        <v>476933.70922999998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0.57096424702058513</v>
      </c>
      <c r="Q383">
        <f t="shared" si="970"/>
        <v>272312.09616924165</v>
      </c>
      <c r="R383">
        <f t="shared" si="971"/>
        <v>8625223.0592129137</v>
      </c>
      <c r="S383">
        <f t="shared" si="972"/>
        <v>86.252230592129138</v>
      </c>
      <c r="T383">
        <f t="shared" si="973"/>
        <v>8.6252230592129137E-2</v>
      </c>
    </row>
    <row r="384" spans="1:20" x14ac:dyDescent="0.25">
      <c r="A384" s="5">
        <v>44209</v>
      </c>
      <c r="B384">
        <v>451.81</v>
      </c>
      <c r="C384">
        <v>500.88</v>
      </c>
      <c r="D384">
        <v>435.1</v>
      </c>
      <c r="E384">
        <v>496.06</v>
      </c>
      <c r="F384">
        <v>469471.02204000001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0.85345089692915799</v>
      </c>
      <c r="Q384">
        <f t="shared" si="970"/>
        <v>400670.46484228648</v>
      </c>
      <c r="R384">
        <f t="shared" si="971"/>
        <v>8352910.963043673</v>
      </c>
      <c r="S384">
        <f t="shared" si="972"/>
        <v>83.529109630436736</v>
      </c>
      <c r="T384">
        <f t="shared" si="973"/>
        <v>8.3529109630436735E-2</v>
      </c>
    </row>
    <row r="385" spans="1:20" x14ac:dyDescent="0.25">
      <c r="A385" s="5">
        <v>44208</v>
      </c>
      <c r="B385">
        <v>476.87</v>
      </c>
      <c r="C385">
        <v>510</v>
      </c>
      <c r="D385">
        <v>443.01</v>
      </c>
      <c r="E385">
        <v>451.88</v>
      </c>
      <c r="F385">
        <v>628843.80709999998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-0.73518435587401099</v>
      </c>
      <c r="Q385">
        <f t="shared" si="970"/>
        <v>-462316.12926817429</v>
      </c>
      <c r="R385">
        <f t="shared" si="971"/>
        <v>7952240.4982013861</v>
      </c>
      <c r="S385">
        <f t="shared" si="972"/>
        <v>79.522404982013867</v>
      </c>
      <c r="T385">
        <f t="shared" si="973"/>
        <v>7.9522404982013864E-2</v>
      </c>
    </row>
    <row r="386" spans="1:20" x14ac:dyDescent="0.25">
      <c r="A386" s="5">
        <v>44207</v>
      </c>
      <c r="B386">
        <v>599.94000000000005</v>
      </c>
      <c r="C386">
        <v>602.91999999999996</v>
      </c>
      <c r="D386">
        <v>400</v>
      </c>
      <c r="E386">
        <v>476.78</v>
      </c>
      <c r="F386">
        <v>1332756.4617600001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-0.24324857086536578</v>
      </c>
      <c r="Q386">
        <f t="shared" si="970"/>
        <v>-324191.10463470151</v>
      </c>
      <c r="R386">
        <f t="shared" si="971"/>
        <v>8414556.6274695601</v>
      </c>
      <c r="S386">
        <f t="shared" si="972"/>
        <v>84.145566274695597</v>
      </c>
      <c r="T386">
        <f t="shared" si="973"/>
        <v>8.4145566274695591E-2</v>
      </c>
    </row>
    <row r="387" spans="1:20" x14ac:dyDescent="0.25">
      <c r="A387" s="5">
        <v>44206</v>
      </c>
      <c r="B387">
        <v>574.97</v>
      </c>
      <c r="C387">
        <v>629.79</v>
      </c>
      <c r="D387">
        <v>548.4</v>
      </c>
      <c r="E387">
        <v>599.98</v>
      </c>
      <c r="F387">
        <v>1365089.9023500001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0.2674775770979248</v>
      </c>
      <c r="Q387">
        <f t="shared" si="970"/>
        <v>365130.93960142077</v>
      </c>
      <c r="R387">
        <f t="shared" si="971"/>
        <v>8738747.7321042623</v>
      </c>
      <c r="S387">
        <f t="shared" si="972"/>
        <v>87.387477321042624</v>
      </c>
      <c r="T387">
        <f t="shared" si="973"/>
        <v>8.7387477321042628E-2</v>
      </c>
    </row>
    <row r="388" spans="1:20" x14ac:dyDescent="0.25">
      <c r="A388" s="5">
        <v>44205</v>
      </c>
      <c r="B388">
        <v>437.14</v>
      </c>
      <c r="C388">
        <v>588.66999999999996</v>
      </c>
      <c r="D388">
        <v>417.52</v>
      </c>
      <c r="E388">
        <v>574.88</v>
      </c>
      <c r="F388">
        <v>825506.02864999999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0.83885480572597182</v>
      </c>
      <c r="Q388">
        <f t="shared" si="970"/>
        <v>692479.69928881433</v>
      </c>
      <c r="R388">
        <f t="shared" si="971"/>
        <v>8373616.7925028419</v>
      </c>
      <c r="S388">
        <f t="shared" si="972"/>
        <v>83.736167925028425</v>
      </c>
      <c r="T388">
        <f t="shared" si="973"/>
        <v>8.3736167925028429E-2</v>
      </c>
    </row>
    <row r="389" spans="1:20" x14ac:dyDescent="0.25">
      <c r="A389" s="5">
        <v>44204</v>
      </c>
      <c r="B389">
        <v>448.01</v>
      </c>
      <c r="C389">
        <v>454.41</v>
      </c>
      <c r="D389">
        <v>401.95</v>
      </c>
      <c r="E389">
        <v>436.98</v>
      </c>
      <c r="F389">
        <v>449738.24625000003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0.33549370949294721</v>
      </c>
      <c r="Q389">
        <f t="shared" si="970"/>
        <v>150884.35253526506</v>
      </c>
      <c r="R389">
        <f t="shared" si="971"/>
        <v>7681137.0932140276</v>
      </c>
      <c r="S389">
        <f t="shared" si="972"/>
        <v>76.811370932140278</v>
      </c>
      <c r="T389">
        <f t="shared" si="973"/>
        <v>7.6811370932140272E-2</v>
      </c>
    </row>
    <row r="390" spans="1:20" x14ac:dyDescent="0.25">
      <c r="A390" s="5">
        <v>44203</v>
      </c>
      <c r="B390">
        <v>453.72</v>
      </c>
      <c r="C390">
        <v>484</v>
      </c>
      <c r="D390">
        <v>426.82</v>
      </c>
      <c r="E390">
        <v>448</v>
      </c>
      <c r="F390">
        <v>471462.86752000003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-0.25918153200419713</v>
      </c>
      <c r="Q390">
        <f t="shared" ref="Q390:Q453" si="975">F390*P390</f>
        <v>-122194.46828692545</v>
      </c>
      <c r="R390">
        <f t="shared" ref="R390:R453" si="976">R391+Q390</f>
        <v>7530252.7406787621</v>
      </c>
      <c r="S390">
        <f t="shared" ref="S390:S453" si="977">R390/100000</f>
        <v>75.302527406787618</v>
      </c>
      <c r="T390">
        <f t="shared" ref="T390:T453" si="978">S390/1000</f>
        <v>7.5302527406787612E-2</v>
      </c>
    </row>
    <row r="391" spans="1:20" x14ac:dyDescent="0.25">
      <c r="A391" s="5">
        <v>44202</v>
      </c>
      <c r="B391">
        <v>418.49</v>
      </c>
      <c r="C391">
        <v>458</v>
      </c>
      <c r="D391">
        <v>410.63</v>
      </c>
      <c r="E391">
        <v>453.44</v>
      </c>
      <c r="F391">
        <v>368396.77695999999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0.80747308423052555</v>
      </c>
      <c r="Q391">
        <f t="shared" si="975"/>
        <v>297470.48171247623</v>
      </c>
      <c r="R391">
        <f t="shared" si="976"/>
        <v>7652447.2089656871</v>
      </c>
      <c r="S391">
        <f t="shared" si="977"/>
        <v>76.524472089656868</v>
      </c>
      <c r="T391">
        <f t="shared" si="978"/>
        <v>7.6524472089656861E-2</v>
      </c>
    </row>
    <row r="392" spans="1:20" x14ac:dyDescent="0.25">
      <c r="A392" s="5">
        <v>44201</v>
      </c>
      <c r="B392">
        <v>405.61</v>
      </c>
      <c r="C392">
        <v>425.44</v>
      </c>
      <c r="D392">
        <v>389.46</v>
      </c>
      <c r="E392">
        <v>418.09</v>
      </c>
      <c r="F392">
        <v>351147.81644000002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0.59143968871595221</v>
      </c>
      <c r="Q392">
        <f t="shared" si="975"/>
        <v>207682.75524855993</v>
      </c>
      <c r="R392">
        <f t="shared" si="976"/>
        <v>7354976.7272532107</v>
      </c>
      <c r="S392">
        <f t="shared" si="977"/>
        <v>73.549767272532108</v>
      </c>
      <c r="T392">
        <f t="shared" si="978"/>
        <v>7.354976727253211E-2</v>
      </c>
    </row>
    <row r="393" spans="1:20" x14ac:dyDescent="0.25">
      <c r="A393" s="5">
        <v>44200</v>
      </c>
      <c r="B393">
        <v>423.72</v>
      </c>
      <c r="C393">
        <v>464.33</v>
      </c>
      <c r="D393">
        <v>380.42</v>
      </c>
      <c r="E393">
        <v>405.49</v>
      </c>
      <c r="F393">
        <v>711761.91463000001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-0.40245501132165407</v>
      </c>
      <c r="Q393">
        <f t="shared" si="975"/>
        <v>-286452.14941073884</v>
      </c>
      <c r="R393">
        <f t="shared" si="976"/>
        <v>7147293.9720046511</v>
      </c>
      <c r="S393">
        <f t="shared" si="977"/>
        <v>71.472939720046512</v>
      </c>
      <c r="T393">
        <f t="shared" si="978"/>
        <v>7.1472939720046508E-2</v>
      </c>
    </row>
    <row r="394" spans="1:20" x14ac:dyDescent="0.25">
      <c r="A394" s="5">
        <v>44199</v>
      </c>
      <c r="B394">
        <v>354.35</v>
      </c>
      <c r="C394">
        <v>433.83</v>
      </c>
      <c r="D394">
        <v>354.22</v>
      </c>
      <c r="E394">
        <v>423.61</v>
      </c>
      <c r="F394">
        <v>739824.85152999999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0.74324833563622716</v>
      </c>
      <c r="Q394">
        <f t="shared" si="975"/>
        <v>549873.58956199139</v>
      </c>
      <c r="R394">
        <f t="shared" si="976"/>
        <v>7433746.1214153897</v>
      </c>
      <c r="S394">
        <f t="shared" si="977"/>
        <v>74.33746121415389</v>
      </c>
      <c r="T394">
        <f t="shared" si="978"/>
        <v>7.4337461214153897E-2</v>
      </c>
    </row>
    <row r="395" spans="1:20" x14ac:dyDescent="0.25">
      <c r="A395" s="5">
        <v>44198</v>
      </c>
      <c r="B395">
        <v>341.74</v>
      </c>
      <c r="C395">
        <v>368</v>
      </c>
      <c r="D395">
        <v>333.05</v>
      </c>
      <c r="E395">
        <v>354.55</v>
      </c>
      <c r="F395">
        <v>342010.72593999997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0.23032904148784017</v>
      </c>
      <c r="Q395">
        <f t="shared" si="975"/>
        <v>78775.002684320585</v>
      </c>
      <c r="R395">
        <f t="shared" si="976"/>
        <v>6883872.5318533983</v>
      </c>
      <c r="S395">
        <f t="shared" si="977"/>
        <v>68.838725318533989</v>
      </c>
      <c r="T395">
        <f t="shared" si="978"/>
        <v>6.8838725318533994E-2</v>
      </c>
    </row>
    <row r="396" spans="1:20" x14ac:dyDescent="0.25">
      <c r="A396" s="5">
        <v>44197</v>
      </c>
      <c r="B396">
        <v>342.05</v>
      </c>
      <c r="C396">
        <v>355.4</v>
      </c>
      <c r="D396">
        <v>331.16</v>
      </c>
      <c r="E396">
        <v>341.83</v>
      </c>
      <c r="F396">
        <v>195655.5926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-0.11963696369637128</v>
      </c>
      <c r="Q396">
        <f t="shared" si="975"/>
        <v>-23407.64102887821</v>
      </c>
      <c r="R396">
        <f t="shared" si="976"/>
        <v>6805097.529169078</v>
      </c>
      <c r="S396">
        <f t="shared" si="977"/>
        <v>68.050975291690776</v>
      </c>
      <c r="T396">
        <f t="shared" si="978"/>
        <v>6.8050975291690782E-2</v>
      </c>
    </row>
    <row r="397" spans="1:20" x14ac:dyDescent="0.25">
      <c r="A397" s="5">
        <v>44196</v>
      </c>
      <c r="B397">
        <v>358.87</v>
      </c>
      <c r="C397">
        <v>361.52</v>
      </c>
      <c r="D397">
        <v>334.33</v>
      </c>
      <c r="E397">
        <v>342.15</v>
      </c>
      <c r="F397">
        <v>223697.38539000001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-0.42478852519308613</v>
      </c>
      <c r="Q397">
        <f t="shared" si="975"/>
        <v>-95024.08242936751</v>
      </c>
      <c r="R397">
        <f t="shared" si="976"/>
        <v>6828505.1701979563</v>
      </c>
      <c r="S397">
        <f t="shared" si="977"/>
        <v>68.285051701979569</v>
      </c>
      <c r="T397">
        <f t="shared" si="978"/>
        <v>6.8285051701979571E-2</v>
      </c>
    </row>
    <row r="398" spans="1:20" x14ac:dyDescent="0.25">
      <c r="A398" s="5">
        <v>44195</v>
      </c>
      <c r="B398">
        <v>352.88</v>
      </c>
      <c r="C398">
        <v>366.88</v>
      </c>
      <c r="D398">
        <v>341.33</v>
      </c>
      <c r="E398">
        <v>358.69</v>
      </c>
      <c r="F398">
        <v>293073.51627000002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0.35890410958904156</v>
      </c>
      <c r="Q398">
        <f t="shared" si="975"/>
        <v>105185.28940101384</v>
      </c>
      <c r="R398">
        <f t="shared" si="976"/>
        <v>6923529.2526273234</v>
      </c>
      <c r="S398">
        <f t="shared" si="977"/>
        <v>69.235292526273227</v>
      </c>
      <c r="T398">
        <f t="shared" si="978"/>
        <v>6.9235292526273223E-2</v>
      </c>
    </row>
    <row r="399" spans="1:20" x14ac:dyDescent="0.25">
      <c r="A399" s="5">
        <v>44194</v>
      </c>
      <c r="B399">
        <v>360.77</v>
      </c>
      <c r="C399">
        <v>366.97</v>
      </c>
      <c r="D399">
        <v>330.01</v>
      </c>
      <c r="E399">
        <v>352.92</v>
      </c>
      <c r="F399">
        <v>361927.91113000002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0.23971861471861486</v>
      </c>
      <c r="Q399">
        <f t="shared" si="975"/>
        <v>86760.857484085558</v>
      </c>
      <c r="R399">
        <f t="shared" si="976"/>
        <v>6818343.96322631</v>
      </c>
      <c r="S399">
        <f t="shared" si="977"/>
        <v>68.183439632263102</v>
      </c>
      <c r="T399">
        <f t="shared" si="978"/>
        <v>6.8183439632263101E-2</v>
      </c>
    </row>
    <row r="400" spans="1:20" x14ac:dyDescent="0.25">
      <c r="A400" s="5">
        <v>44193</v>
      </c>
      <c r="B400">
        <v>337.92</v>
      </c>
      <c r="C400">
        <v>377</v>
      </c>
      <c r="D400">
        <v>334</v>
      </c>
      <c r="E400">
        <v>360.77</v>
      </c>
      <c r="F400">
        <v>460802.95879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0.2451162790697666</v>
      </c>
      <c r="Q400">
        <f t="shared" si="975"/>
        <v>112950.3066429438</v>
      </c>
      <c r="R400">
        <f t="shared" si="976"/>
        <v>6731583.1057422245</v>
      </c>
      <c r="S400">
        <f t="shared" si="977"/>
        <v>67.315831057422244</v>
      </c>
      <c r="T400">
        <f t="shared" si="978"/>
        <v>6.731583105742224E-2</v>
      </c>
    </row>
    <row r="401" spans="1:20" x14ac:dyDescent="0.25">
      <c r="A401" s="5">
        <v>44192</v>
      </c>
      <c r="B401">
        <v>323.70999999999998</v>
      </c>
      <c r="C401">
        <v>366.87</v>
      </c>
      <c r="D401">
        <v>307.01</v>
      </c>
      <c r="E401">
        <v>338.1</v>
      </c>
      <c r="F401">
        <v>649963.43391999998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3.8757099899766945E-2</v>
      </c>
      <c r="Q401">
        <f t="shared" si="975"/>
        <v>25190.697739633011</v>
      </c>
      <c r="R401">
        <f t="shared" si="976"/>
        <v>6618632.7990992805</v>
      </c>
      <c r="S401">
        <f t="shared" si="977"/>
        <v>66.186327990992808</v>
      </c>
      <c r="T401">
        <f t="shared" si="978"/>
        <v>6.6186327990992805E-2</v>
      </c>
    </row>
    <row r="402" spans="1:20" x14ac:dyDescent="0.25">
      <c r="A402" s="5">
        <v>44191</v>
      </c>
      <c r="B402">
        <v>319.29000000000002</v>
      </c>
      <c r="C402">
        <v>330.39</v>
      </c>
      <c r="D402">
        <v>310</v>
      </c>
      <c r="E402">
        <v>323.60000000000002</v>
      </c>
      <c r="F402">
        <v>405661.17252000002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0.3339872486513028</v>
      </c>
      <c r="Q402">
        <f t="shared" si="975"/>
        <v>135485.6588946163</v>
      </c>
      <c r="R402">
        <f t="shared" si="976"/>
        <v>6593442.1013596477</v>
      </c>
      <c r="S402">
        <f t="shared" si="977"/>
        <v>65.934421013596477</v>
      </c>
      <c r="T402">
        <f t="shared" si="978"/>
        <v>6.5934421013596478E-2</v>
      </c>
    </row>
    <row r="403" spans="1:20" x14ac:dyDescent="0.25">
      <c r="A403" s="5">
        <v>44190</v>
      </c>
      <c r="B403">
        <v>296.89999999999998</v>
      </c>
      <c r="C403">
        <v>325.33</v>
      </c>
      <c r="D403">
        <v>293.10000000000002</v>
      </c>
      <c r="E403">
        <v>319.14</v>
      </c>
      <c r="F403">
        <v>364106.38124000002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0.61588582066397735</v>
      </c>
      <c r="Q403">
        <f t="shared" si="975"/>
        <v>224247.95741898843</v>
      </c>
      <c r="R403">
        <f t="shared" si="976"/>
        <v>6457956.4424650315</v>
      </c>
      <c r="S403">
        <f t="shared" si="977"/>
        <v>64.579564424650314</v>
      </c>
      <c r="T403">
        <f t="shared" si="978"/>
        <v>6.4579564424650321E-2</v>
      </c>
    </row>
    <row r="404" spans="1:20" x14ac:dyDescent="0.25">
      <c r="A404" s="5">
        <v>44189</v>
      </c>
      <c r="B404">
        <v>275.48</v>
      </c>
      <c r="C404">
        <v>299.63</v>
      </c>
      <c r="D404">
        <v>270.56</v>
      </c>
      <c r="E404">
        <v>296.99</v>
      </c>
      <c r="F404">
        <v>352851.38968000002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0.81836945304437658</v>
      </c>
      <c r="Q404">
        <f t="shared" si="975"/>
        <v>288762.79877836979</v>
      </c>
      <c r="R404">
        <f t="shared" si="976"/>
        <v>6233708.4850460431</v>
      </c>
      <c r="S404">
        <f t="shared" si="977"/>
        <v>62.337084850460428</v>
      </c>
      <c r="T404">
        <f t="shared" si="978"/>
        <v>6.2337084850460425E-2</v>
      </c>
    </row>
    <row r="405" spans="1:20" x14ac:dyDescent="0.25">
      <c r="A405" s="5">
        <v>44188</v>
      </c>
      <c r="B405">
        <v>322.73</v>
      </c>
      <c r="C405">
        <v>326.43</v>
      </c>
      <c r="D405">
        <v>266.16000000000003</v>
      </c>
      <c r="E405">
        <v>275.48</v>
      </c>
      <c r="F405">
        <v>535898.96368000004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-0.6907250705160114</v>
      </c>
      <c r="Q405">
        <f t="shared" si="975"/>
        <v>-370158.84947732545</v>
      </c>
      <c r="R405">
        <f t="shared" si="976"/>
        <v>5944945.686267673</v>
      </c>
      <c r="S405">
        <f t="shared" si="977"/>
        <v>59.449456862676733</v>
      </c>
      <c r="T405">
        <f t="shared" si="978"/>
        <v>5.9449456862676733E-2</v>
      </c>
    </row>
    <row r="406" spans="1:20" x14ac:dyDescent="0.25">
      <c r="A406" s="5">
        <v>44187</v>
      </c>
      <c r="B406">
        <v>313.47000000000003</v>
      </c>
      <c r="C406">
        <v>324.86</v>
      </c>
      <c r="D406">
        <v>298</v>
      </c>
      <c r="E406">
        <v>322.69</v>
      </c>
      <c r="F406">
        <v>471124.45166000002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0.83842144452717682</v>
      </c>
      <c r="Q406">
        <f t="shared" si="975"/>
        <v>395000.84331285133</v>
      </c>
      <c r="R406">
        <f t="shared" si="976"/>
        <v>6315104.5357449986</v>
      </c>
      <c r="S406">
        <f t="shared" si="977"/>
        <v>63.151045357449988</v>
      </c>
      <c r="T406">
        <f t="shared" si="978"/>
        <v>6.3151045357449989E-2</v>
      </c>
    </row>
    <row r="407" spans="1:20" x14ac:dyDescent="0.25">
      <c r="A407" s="5">
        <v>44186</v>
      </c>
      <c r="B407">
        <v>348.98</v>
      </c>
      <c r="C407">
        <v>380.47</v>
      </c>
      <c r="D407">
        <v>307</v>
      </c>
      <c r="E407">
        <v>313.41000000000003</v>
      </c>
      <c r="F407">
        <v>814909.10334999999</v>
      </c>
      <c r="G407">
        <v>0</v>
      </c>
      <c r="L407" t="s">
        <v>8</v>
      </c>
      <c r="M407" t="s">
        <v>7</v>
      </c>
      <c r="N407" t="s">
        <v>8</v>
      </c>
      <c r="P407">
        <f t="shared" si="974"/>
        <v>-0.82550700966380774</v>
      </c>
      <c r="Q407">
        <f t="shared" si="975"/>
        <v>-672713.17705427331</v>
      </c>
      <c r="R407">
        <f t="shared" si="976"/>
        <v>5920103.6924321475</v>
      </c>
      <c r="S407">
        <f t="shared" si="977"/>
        <v>59.201036924321471</v>
      </c>
      <c r="T407">
        <f t="shared" si="978"/>
        <v>5.9201036924321472E-2</v>
      </c>
    </row>
    <row r="408" spans="1:20" x14ac:dyDescent="0.25">
      <c r="A408" s="5">
        <v>44185</v>
      </c>
      <c r="B408">
        <v>317.97000000000003</v>
      </c>
      <c r="C408">
        <v>368.52</v>
      </c>
      <c r="D408">
        <v>310.05</v>
      </c>
      <c r="E408">
        <v>349.21</v>
      </c>
      <c r="F408">
        <v>659808.11286999995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0.33949033692491837</v>
      </c>
      <c r="Q408">
        <f t="shared" si="975"/>
        <v>223998.47854403086</v>
      </c>
      <c r="R408">
        <f t="shared" si="976"/>
        <v>6592816.8694864204</v>
      </c>
      <c r="S408">
        <f t="shared" si="977"/>
        <v>65.928168694864198</v>
      </c>
      <c r="T408">
        <f t="shared" si="978"/>
        <v>6.5928168694864203E-2</v>
      </c>
    </row>
    <row r="409" spans="1:20" x14ac:dyDescent="0.25">
      <c r="A409" s="5">
        <v>44184</v>
      </c>
      <c r="B409">
        <v>313.33</v>
      </c>
      <c r="C409">
        <v>325.5</v>
      </c>
      <c r="D409">
        <v>309.2</v>
      </c>
      <c r="E409">
        <v>318.13</v>
      </c>
      <c r="F409">
        <v>280722.81543999998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9.570552147239271E-2</v>
      </c>
      <c r="Q409">
        <f t="shared" si="975"/>
        <v>26866.723440883452</v>
      </c>
      <c r="R409">
        <f t="shared" si="976"/>
        <v>6368818.3909423891</v>
      </c>
      <c r="S409">
        <f t="shared" si="977"/>
        <v>63.688183909423891</v>
      </c>
      <c r="T409">
        <f t="shared" si="978"/>
        <v>6.3688183909423893E-2</v>
      </c>
    </row>
    <row r="410" spans="1:20" x14ac:dyDescent="0.25">
      <c r="A410" s="5">
        <v>44183</v>
      </c>
      <c r="B410">
        <v>310.58</v>
      </c>
      <c r="C410">
        <v>323.11</v>
      </c>
      <c r="D410">
        <v>305</v>
      </c>
      <c r="E410">
        <v>313.33</v>
      </c>
      <c r="F410">
        <v>260821.41237000001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-8.0066261733851146E-2</v>
      </c>
      <c r="Q410">
        <f t="shared" si="975"/>
        <v>-20882.995468609141</v>
      </c>
      <c r="R410">
        <f t="shared" si="976"/>
        <v>6341951.6675015055</v>
      </c>
      <c r="S410">
        <f t="shared" si="977"/>
        <v>63.419516675015053</v>
      </c>
      <c r="T410">
        <f t="shared" si="978"/>
        <v>6.3419516675015053E-2</v>
      </c>
    </row>
    <row r="411" spans="1:20" x14ac:dyDescent="0.25">
      <c r="A411" s="5">
        <v>44182</v>
      </c>
      <c r="B411">
        <v>312</v>
      </c>
      <c r="C411">
        <v>331.34</v>
      </c>
      <c r="D411">
        <v>300.89999999999998</v>
      </c>
      <c r="E411">
        <v>310.73</v>
      </c>
      <c r="F411">
        <v>481220.58438999997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-0.35413929040735598</v>
      </c>
      <c r="Q411">
        <f t="shared" si="975"/>
        <v>-170419.11628528775</v>
      </c>
      <c r="R411">
        <f t="shared" si="976"/>
        <v>6362834.6629701145</v>
      </c>
      <c r="S411">
        <f t="shared" si="977"/>
        <v>63.628346629701142</v>
      </c>
      <c r="T411">
        <f t="shared" si="978"/>
        <v>6.3628346629701141E-2</v>
      </c>
    </row>
    <row r="412" spans="1:20" x14ac:dyDescent="0.25">
      <c r="A412" s="5">
        <v>44181</v>
      </c>
      <c r="B412">
        <v>288.86</v>
      </c>
      <c r="C412">
        <v>314.39999999999998</v>
      </c>
      <c r="D412">
        <v>281.69</v>
      </c>
      <c r="E412">
        <v>312.07</v>
      </c>
      <c r="F412">
        <v>327142.83360999997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0.85753592173647286</v>
      </c>
      <c r="Q412">
        <f t="shared" si="975"/>
        <v>280536.73135923292</v>
      </c>
      <c r="R412">
        <f t="shared" si="976"/>
        <v>6533253.7792554023</v>
      </c>
      <c r="S412">
        <f t="shared" si="977"/>
        <v>65.332537792554021</v>
      </c>
      <c r="T412">
        <f t="shared" si="978"/>
        <v>6.5332537792554018E-2</v>
      </c>
    </row>
    <row r="413" spans="1:20" x14ac:dyDescent="0.25">
      <c r="A413" s="5">
        <v>44180</v>
      </c>
      <c r="B413">
        <v>277</v>
      </c>
      <c r="C413">
        <v>299</v>
      </c>
      <c r="D413">
        <v>270.3</v>
      </c>
      <c r="E413">
        <v>288.85000000000002</v>
      </c>
      <c r="F413">
        <v>268961.55712999997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0.29268292682926961</v>
      </c>
      <c r="Q413">
        <f t="shared" si="975"/>
        <v>78720.455745366198</v>
      </c>
      <c r="R413">
        <f t="shared" si="976"/>
        <v>6252717.0478961691</v>
      </c>
      <c r="S413">
        <f t="shared" si="977"/>
        <v>62.527170478961693</v>
      </c>
      <c r="T413">
        <f t="shared" si="978"/>
        <v>6.2527170478961697E-2</v>
      </c>
    </row>
    <row r="414" spans="1:20" x14ac:dyDescent="0.25">
      <c r="A414" s="5">
        <v>44179</v>
      </c>
      <c r="B414">
        <v>275.95999999999998</v>
      </c>
      <c r="C414">
        <v>280.37</v>
      </c>
      <c r="D414">
        <v>265.02999999999997</v>
      </c>
      <c r="E414">
        <v>276.94</v>
      </c>
      <c r="F414">
        <v>102754.79724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0.5528031290743155</v>
      </c>
      <c r="Q414">
        <f t="shared" si="975"/>
        <v>56803.173441668841</v>
      </c>
      <c r="R414">
        <f t="shared" si="976"/>
        <v>6173996.5921508027</v>
      </c>
      <c r="S414">
        <f t="shared" si="977"/>
        <v>61.739965921508031</v>
      </c>
      <c r="T414">
        <f t="shared" si="978"/>
        <v>6.173996592150803E-2</v>
      </c>
    </row>
    <row r="415" spans="1:20" x14ac:dyDescent="0.25">
      <c r="A415" s="5">
        <v>44178</v>
      </c>
      <c r="B415">
        <v>267.74</v>
      </c>
      <c r="C415">
        <v>282.60000000000002</v>
      </c>
      <c r="D415">
        <v>265.7</v>
      </c>
      <c r="E415">
        <v>276.02</v>
      </c>
      <c r="F415">
        <v>113669.80321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0.22130177514792573</v>
      </c>
      <c r="Q415">
        <f t="shared" si="975"/>
        <v>25155.329231088388</v>
      </c>
      <c r="R415">
        <f t="shared" si="976"/>
        <v>6117193.4187091338</v>
      </c>
      <c r="S415">
        <f t="shared" si="977"/>
        <v>61.171934187091338</v>
      </c>
      <c r="T415">
        <f t="shared" si="978"/>
        <v>6.117193418709134E-2</v>
      </c>
    </row>
    <row r="416" spans="1:20" x14ac:dyDescent="0.25">
      <c r="A416" s="5">
        <v>44177</v>
      </c>
      <c r="B416">
        <v>259.3</v>
      </c>
      <c r="C416">
        <v>269.73</v>
      </c>
      <c r="D416">
        <v>257.95999999999998</v>
      </c>
      <c r="E416">
        <v>267.89</v>
      </c>
      <c r="F416">
        <v>104091.46321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0.68734069668648667</v>
      </c>
      <c r="Q416">
        <f t="shared" si="975"/>
        <v>71546.2988418772</v>
      </c>
      <c r="R416">
        <f t="shared" si="976"/>
        <v>6092038.0894780457</v>
      </c>
      <c r="S416">
        <f t="shared" si="977"/>
        <v>60.920380894780457</v>
      </c>
      <c r="T416">
        <f t="shared" si="978"/>
        <v>6.0920380894780454E-2</v>
      </c>
    </row>
    <row r="417" spans="1:20" x14ac:dyDescent="0.25">
      <c r="A417" s="5">
        <v>44176</v>
      </c>
      <c r="B417">
        <v>265.77</v>
      </c>
      <c r="C417">
        <v>266.93</v>
      </c>
      <c r="D417">
        <v>256</v>
      </c>
      <c r="E417">
        <v>259.24</v>
      </c>
      <c r="F417">
        <v>137006.88402999999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-0.40713632204940403</v>
      </c>
      <c r="Q417">
        <f t="shared" si="975"/>
        <v>-55780.478859423427</v>
      </c>
      <c r="R417">
        <f t="shared" si="976"/>
        <v>6020491.7906361688</v>
      </c>
      <c r="S417">
        <f t="shared" si="977"/>
        <v>60.204917906361686</v>
      </c>
      <c r="T417">
        <f t="shared" si="978"/>
        <v>6.0204917906361684E-2</v>
      </c>
    </row>
    <row r="418" spans="1:20" x14ac:dyDescent="0.25">
      <c r="A418" s="5">
        <v>44175</v>
      </c>
      <c r="B418">
        <v>268.60000000000002</v>
      </c>
      <c r="C418">
        <v>269.33</v>
      </c>
      <c r="D418">
        <v>261.33</v>
      </c>
      <c r="E418">
        <v>265.75</v>
      </c>
      <c r="F418">
        <v>85390.427849999993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0.10500000000000398</v>
      </c>
      <c r="Q418">
        <f t="shared" si="975"/>
        <v>8965.994924250339</v>
      </c>
      <c r="R418">
        <f t="shared" si="976"/>
        <v>6076272.2694955925</v>
      </c>
      <c r="S418">
        <f t="shared" si="977"/>
        <v>60.762722694955926</v>
      </c>
      <c r="T418">
        <f t="shared" si="978"/>
        <v>6.0762722694955924E-2</v>
      </c>
    </row>
    <row r="419" spans="1:20" x14ac:dyDescent="0.25">
      <c r="A419" s="5">
        <v>44174</v>
      </c>
      <c r="B419">
        <v>267.8</v>
      </c>
      <c r="C419">
        <v>271.19</v>
      </c>
      <c r="D419">
        <v>255</v>
      </c>
      <c r="E419">
        <v>268.7</v>
      </c>
      <c r="F419">
        <v>157133.45628000001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0.6924027177269908</v>
      </c>
      <c r="Q419">
        <f t="shared" si="975"/>
        <v>108799.6321741073</v>
      </c>
      <c r="R419">
        <f t="shared" si="976"/>
        <v>6067306.2745713424</v>
      </c>
      <c r="S419">
        <f t="shared" si="977"/>
        <v>60.673062745713423</v>
      </c>
      <c r="T419">
        <f t="shared" si="978"/>
        <v>6.0673062745713421E-2</v>
      </c>
    </row>
    <row r="420" spans="1:20" x14ac:dyDescent="0.25">
      <c r="A420" s="5">
        <v>44173</v>
      </c>
      <c r="B420">
        <v>283.89999999999998</v>
      </c>
      <c r="C420">
        <v>284.95999999999998</v>
      </c>
      <c r="D420">
        <v>262.72000000000003</v>
      </c>
      <c r="E420">
        <v>267.7</v>
      </c>
      <c r="F420">
        <v>128987.98699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-0.55215827338129753</v>
      </c>
      <c r="Q420">
        <f t="shared" si="975"/>
        <v>-71221.784183327676</v>
      </c>
      <c r="R420">
        <f t="shared" si="976"/>
        <v>5958506.6423972351</v>
      </c>
      <c r="S420">
        <f t="shared" si="977"/>
        <v>59.58506642397235</v>
      </c>
      <c r="T420">
        <f t="shared" si="978"/>
        <v>5.9585066423972349E-2</v>
      </c>
    </row>
    <row r="421" spans="1:20" x14ac:dyDescent="0.25">
      <c r="A421" s="5">
        <v>44172</v>
      </c>
      <c r="B421">
        <v>286.2</v>
      </c>
      <c r="C421">
        <v>290.87</v>
      </c>
      <c r="D421">
        <v>281.02999999999997</v>
      </c>
      <c r="E421">
        <v>283.86</v>
      </c>
      <c r="F421">
        <v>98217.224589999998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-0.42479674796747324</v>
      </c>
      <c r="Q421">
        <f t="shared" si="975"/>
        <v>-41722.357600222946</v>
      </c>
      <c r="R421">
        <f t="shared" si="976"/>
        <v>6029728.4265805632</v>
      </c>
      <c r="S421">
        <f t="shared" si="977"/>
        <v>60.297284265805629</v>
      </c>
      <c r="T421">
        <f t="shared" si="978"/>
        <v>6.0297284265805627E-2</v>
      </c>
    </row>
    <row r="422" spans="1:20" x14ac:dyDescent="0.25">
      <c r="A422" s="5">
        <v>44171</v>
      </c>
      <c r="B422">
        <v>289.58999999999997</v>
      </c>
      <c r="C422">
        <v>293.64999999999998</v>
      </c>
      <c r="D422">
        <v>279.24</v>
      </c>
      <c r="E422">
        <v>286.24</v>
      </c>
      <c r="F422">
        <v>110403.41767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-2.8452463566965236E-2</v>
      </c>
      <c r="Q422">
        <f t="shared" si="975"/>
        <v>-3141.2492189241207</v>
      </c>
      <c r="R422">
        <f t="shared" si="976"/>
        <v>6071450.7841807865</v>
      </c>
      <c r="S422">
        <f t="shared" si="977"/>
        <v>60.714507841807865</v>
      </c>
      <c r="T422">
        <f t="shared" si="978"/>
        <v>6.0714507841807867E-2</v>
      </c>
    </row>
    <row r="423" spans="1:20" x14ac:dyDescent="0.25">
      <c r="A423" s="5">
        <v>44170</v>
      </c>
      <c r="B423">
        <v>279.47000000000003</v>
      </c>
      <c r="C423">
        <v>289.98</v>
      </c>
      <c r="D423">
        <v>274.43</v>
      </c>
      <c r="E423">
        <v>289.57</v>
      </c>
      <c r="F423">
        <v>124587.00682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0.94726688102893575</v>
      </c>
      <c r="Q423">
        <f t="shared" si="975"/>
        <v>118017.14536711214</v>
      </c>
      <c r="R423">
        <f t="shared" si="976"/>
        <v>6074592.0333997104</v>
      </c>
      <c r="S423">
        <f t="shared" si="977"/>
        <v>60.745920333997105</v>
      </c>
      <c r="T423">
        <f t="shared" si="978"/>
        <v>6.0745920333997103E-2</v>
      </c>
    </row>
    <row r="424" spans="1:20" x14ac:dyDescent="0.25">
      <c r="A424" s="5">
        <v>44169</v>
      </c>
      <c r="B424">
        <v>292.07</v>
      </c>
      <c r="C424">
        <v>307.64999999999998</v>
      </c>
      <c r="D424">
        <v>276.64</v>
      </c>
      <c r="E424">
        <v>279.56</v>
      </c>
      <c r="F424">
        <v>306549.78921000002</v>
      </c>
      <c r="G424">
        <v>0</v>
      </c>
      <c r="L424" t="s">
        <v>8</v>
      </c>
      <c r="M424" t="s">
        <v>7</v>
      </c>
      <c r="N424" t="s">
        <v>7</v>
      </c>
      <c r="P424">
        <f t="shared" si="974"/>
        <v>-0.81167365366010857</v>
      </c>
      <c r="Q424">
        <f t="shared" si="975"/>
        <v>-248818.38743681685</v>
      </c>
      <c r="R424">
        <f t="shared" si="976"/>
        <v>5956574.8880325984</v>
      </c>
      <c r="S424">
        <f t="shared" si="977"/>
        <v>59.565748880325984</v>
      </c>
      <c r="T424">
        <f t="shared" si="978"/>
        <v>5.956574888032598E-2</v>
      </c>
    </row>
    <row r="425" spans="1:20" x14ac:dyDescent="0.25">
      <c r="A425" s="5">
        <v>44168</v>
      </c>
      <c r="B425">
        <v>294.22000000000003</v>
      </c>
      <c r="C425">
        <v>297.38</v>
      </c>
      <c r="D425">
        <v>285.48</v>
      </c>
      <c r="E425">
        <v>292.10000000000002</v>
      </c>
      <c r="F425">
        <v>141969.44742000001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0.11260504201680961</v>
      </c>
      <c r="Q425">
        <f t="shared" si="975"/>
        <v>15986.475591832344</v>
      </c>
      <c r="R425">
        <f t="shared" si="976"/>
        <v>6205393.2754694149</v>
      </c>
      <c r="S425">
        <f t="shared" si="977"/>
        <v>62.053932754694152</v>
      </c>
      <c r="T425">
        <f t="shared" si="978"/>
        <v>6.2053932754694154E-2</v>
      </c>
    </row>
    <row r="426" spans="1:20" x14ac:dyDescent="0.25">
      <c r="A426" s="5">
        <v>44167</v>
      </c>
      <c r="B426">
        <v>287.47000000000003</v>
      </c>
      <c r="C426">
        <v>298</v>
      </c>
      <c r="D426">
        <v>280</v>
      </c>
      <c r="E426">
        <v>294.14999999999998</v>
      </c>
      <c r="F426">
        <v>194628.47034999999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0.57222222222221975</v>
      </c>
      <c r="Q426">
        <f t="shared" si="975"/>
        <v>111370.7358113884</v>
      </c>
      <c r="R426">
        <f t="shared" si="976"/>
        <v>6189406.7998775821</v>
      </c>
      <c r="S426">
        <f t="shared" si="977"/>
        <v>61.894067998775824</v>
      </c>
      <c r="T426">
        <f t="shared" si="978"/>
        <v>6.1894067998775823E-2</v>
      </c>
    </row>
    <row r="427" spans="1:20" x14ac:dyDescent="0.25">
      <c r="A427" s="5">
        <v>44166</v>
      </c>
      <c r="B427">
        <v>317.37</v>
      </c>
      <c r="C427">
        <v>320.87</v>
      </c>
      <c r="D427">
        <v>271.38</v>
      </c>
      <c r="E427">
        <v>287.61</v>
      </c>
      <c r="F427">
        <v>539030.71352999995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-0.34410992119620065</v>
      </c>
      <c r="Q427">
        <f t="shared" si="975"/>
        <v>-185485.81635514009</v>
      </c>
      <c r="R427">
        <f t="shared" si="976"/>
        <v>6078036.064066194</v>
      </c>
      <c r="S427">
        <f t="shared" si="977"/>
        <v>60.780360640661939</v>
      </c>
      <c r="T427">
        <f t="shared" si="978"/>
        <v>6.0780360640661939E-2</v>
      </c>
    </row>
    <row r="428" spans="1:20" x14ac:dyDescent="0.25">
      <c r="A428" s="5">
        <v>44165</v>
      </c>
      <c r="B428">
        <v>285.17</v>
      </c>
      <c r="C428">
        <v>322.37</v>
      </c>
      <c r="D428">
        <v>280.07</v>
      </c>
      <c r="E428">
        <v>317.49</v>
      </c>
      <c r="F428">
        <v>405407.27074000001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0.76926713947990566</v>
      </c>
      <c r="Q428">
        <f t="shared" si="975"/>
        <v>311866.49148651544</v>
      </c>
      <c r="R428">
        <f t="shared" si="976"/>
        <v>6263521.8804213339</v>
      </c>
      <c r="S428">
        <f t="shared" si="977"/>
        <v>62.635218804213338</v>
      </c>
      <c r="T428">
        <f t="shared" si="978"/>
        <v>6.2635218804213341E-2</v>
      </c>
    </row>
    <row r="429" spans="1:20" x14ac:dyDescent="0.25">
      <c r="A429" s="5">
        <v>44164</v>
      </c>
      <c r="B429">
        <v>275.98</v>
      </c>
      <c r="C429">
        <v>289.10000000000002</v>
      </c>
      <c r="D429">
        <v>272</v>
      </c>
      <c r="E429">
        <v>285.04000000000002</v>
      </c>
      <c r="F429">
        <v>226833.85125000001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0.52514619883040969</v>
      </c>
      <c r="Q429">
        <f t="shared" si="975"/>
        <v>119120.93475000007</v>
      </c>
      <c r="R429">
        <f t="shared" si="976"/>
        <v>5951655.3889348181</v>
      </c>
      <c r="S429">
        <f t="shared" si="977"/>
        <v>59.516553889348181</v>
      </c>
      <c r="T429">
        <f t="shared" si="978"/>
        <v>5.9516553889348178E-2</v>
      </c>
    </row>
    <row r="430" spans="1:20" x14ac:dyDescent="0.25">
      <c r="A430" s="5">
        <v>44163</v>
      </c>
      <c r="B430">
        <v>265.55</v>
      </c>
      <c r="C430">
        <v>284.98</v>
      </c>
      <c r="D430">
        <v>260.74</v>
      </c>
      <c r="E430">
        <v>275.97000000000003</v>
      </c>
      <c r="F430">
        <v>274278.38907999999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0.25660066006600762</v>
      </c>
      <c r="Q430">
        <f t="shared" si="975"/>
        <v>70380.015679769262</v>
      </c>
      <c r="R430">
        <f t="shared" si="976"/>
        <v>5832534.4541848181</v>
      </c>
      <c r="S430">
        <f t="shared" si="977"/>
        <v>58.325344541848182</v>
      </c>
      <c r="T430">
        <f t="shared" si="978"/>
        <v>5.8325344541848179E-2</v>
      </c>
    </row>
    <row r="431" spans="1:20" x14ac:dyDescent="0.25">
      <c r="A431" s="5">
        <v>44162</v>
      </c>
      <c r="B431">
        <v>271.49</v>
      </c>
      <c r="C431">
        <v>279.11</v>
      </c>
      <c r="D431">
        <v>255.57</v>
      </c>
      <c r="E431">
        <v>265.45</v>
      </c>
      <c r="F431">
        <v>328389.02241999999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-0.16057774001699346</v>
      </c>
      <c r="Q431">
        <f t="shared" si="975"/>
        <v>-52731.967066593395</v>
      </c>
      <c r="R431">
        <f t="shared" si="976"/>
        <v>5762154.4385050489</v>
      </c>
      <c r="S431">
        <f t="shared" si="977"/>
        <v>57.621544385050491</v>
      </c>
      <c r="T431">
        <f t="shared" si="978"/>
        <v>5.7621544385050488E-2</v>
      </c>
    </row>
    <row r="432" spans="1:20" x14ac:dyDescent="0.25">
      <c r="A432" s="5">
        <v>44161</v>
      </c>
      <c r="B432">
        <v>312.86</v>
      </c>
      <c r="C432">
        <v>321.5</v>
      </c>
      <c r="D432">
        <v>250.4</v>
      </c>
      <c r="E432">
        <v>271.44</v>
      </c>
      <c r="F432">
        <v>841742.99737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-0.40815752461322097</v>
      </c>
      <c r="Q432">
        <f t="shared" si="975"/>
        <v>-343563.73816705216</v>
      </c>
      <c r="R432">
        <f t="shared" si="976"/>
        <v>5814886.4055716423</v>
      </c>
      <c r="S432">
        <f t="shared" si="977"/>
        <v>58.148864055716423</v>
      </c>
      <c r="T432">
        <f t="shared" si="978"/>
        <v>5.8148864055716426E-2</v>
      </c>
    </row>
    <row r="433" spans="1:20" x14ac:dyDescent="0.25">
      <c r="A433" s="5">
        <v>44160</v>
      </c>
      <c r="B433">
        <v>347.74</v>
      </c>
      <c r="C433">
        <v>363.61</v>
      </c>
      <c r="D433">
        <v>297.89999999999998</v>
      </c>
      <c r="E433">
        <v>312.99</v>
      </c>
      <c r="F433">
        <v>544153.84002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-0.54070917668543528</v>
      </c>
      <c r="Q433">
        <f t="shared" si="975"/>
        <v>-294228.97482743225</v>
      </c>
      <c r="R433">
        <f t="shared" si="976"/>
        <v>6158450.1437386945</v>
      </c>
      <c r="S433">
        <f t="shared" si="977"/>
        <v>61.584501437386947</v>
      </c>
      <c r="T433">
        <f t="shared" si="978"/>
        <v>6.1584501437386946E-2</v>
      </c>
    </row>
    <row r="434" spans="1:20" x14ac:dyDescent="0.25">
      <c r="A434" s="5">
        <v>44159</v>
      </c>
      <c r="B434">
        <v>323.08999999999997</v>
      </c>
      <c r="C434">
        <v>372</v>
      </c>
      <c r="D434">
        <v>318</v>
      </c>
      <c r="E434">
        <v>348.06</v>
      </c>
      <c r="F434">
        <v>812068.67388999998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0.11333333333333341</v>
      </c>
      <c r="Q434">
        <f t="shared" si="975"/>
        <v>92034.449707533393</v>
      </c>
      <c r="R434">
        <f t="shared" si="976"/>
        <v>6452679.1185661266</v>
      </c>
      <c r="S434">
        <f t="shared" si="977"/>
        <v>64.526791185661267</v>
      </c>
      <c r="T434">
        <f t="shared" si="978"/>
        <v>6.4526791185661264E-2</v>
      </c>
    </row>
    <row r="435" spans="1:20" x14ac:dyDescent="0.25">
      <c r="A435" s="5">
        <v>44158</v>
      </c>
      <c r="B435">
        <v>288.95</v>
      </c>
      <c r="C435">
        <v>327.12</v>
      </c>
      <c r="D435">
        <v>282.33</v>
      </c>
      <c r="E435">
        <v>323.22000000000003</v>
      </c>
      <c r="F435">
        <v>504293.36368000001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0.8258539852645691</v>
      </c>
      <c r="Q435">
        <f t="shared" si="975"/>
        <v>416472.68413760269</v>
      </c>
      <c r="R435">
        <f t="shared" si="976"/>
        <v>6360644.6688585933</v>
      </c>
      <c r="S435">
        <f t="shared" si="977"/>
        <v>63.606446688585933</v>
      </c>
      <c r="T435">
        <f t="shared" si="978"/>
        <v>6.3606446688585935E-2</v>
      </c>
    </row>
    <row r="436" spans="1:20" x14ac:dyDescent="0.25">
      <c r="A436" s="5">
        <v>44157</v>
      </c>
      <c r="B436">
        <v>305.07</v>
      </c>
      <c r="C436">
        <v>312.97000000000003</v>
      </c>
      <c r="D436">
        <v>273.81</v>
      </c>
      <c r="E436">
        <v>288.91000000000003</v>
      </c>
      <c r="F436">
        <v>471820.83590000001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-0.22880490296220565</v>
      </c>
      <c r="Q436">
        <f t="shared" si="975"/>
        <v>-107954.92057364626</v>
      </c>
      <c r="R436">
        <f t="shared" si="976"/>
        <v>5944171.984720991</v>
      </c>
      <c r="S436">
        <f t="shared" si="977"/>
        <v>59.44171984720991</v>
      </c>
      <c r="T436">
        <f t="shared" si="978"/>
        <v>5.944171984720991E-2</v>
      </c>
    </row>
    <row r="437" spans="1:20" x14ac:dyDescent="0.25">
      <c r="A437" s="5">
        <v>44156</v>
      </c>
      <c r="B437">
        <v>260</v>
      </c>
      <c r="C437">
        <v>309.35000000000002</v>
      </c>
      <c r="D437">
        <v>256.08999999999997</v>
      </c>
      <c r="E437">
        <v>305.06</v>
      </c>
      <c r="F437">
        <v>554751.82729000004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0.83890349230191452</v>
      </c>
      <c r="Q437">
        <f t="shared" si="975"/>
        <v>465383.24527444958</v>
      </c>
      <c r="R437">
        <f t="shared" si="976"/>
        <v>6052126.9052946372</v>
      </c>
      <c r="S437">
        <f t="shared" si="977"/>
        <v>60.521269052946373</v>
      </c>
      <c r="T437">
        <f t="shared" si="978"/>
        <v>6.0521269052946372E-2</v>
      </c>
    </row>
    <row r="438" spans="1:20" x14ac:dyDescent="0.25">
      <c r="A438" s="5">
        <v>44155</v>
      </c>
      <c r="B438">
        <v>245.93</v>
      </c>
      <c r="C438">
        <v>260.16000000000003</v>
      </c>
      <c r="D438">
        <v>245.57</v>
      </c>
      <c r="E438">
        <v>260.01</v>
      </c>
      <c r="F438">
        <v>186253.42913999999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0.97943797121315512</v>
      </c>
      <c r="Q438">
        <f t="shared" si="975"/>
        <v>182423.68076837473</v>
      </c>
      <c r="R438">
        <f t="shared" si="976"/>
        <v>5586743.6600201875</v>
      </c>
      <c r="S438">
        <f t="shared" si="977"/>
        <v>55.867436600201877</v>
      </c>
      <c r="T438">
        <f t="shared" si="978"/>
        <v>5.5867436600201874E-2</v>
      </c>
    </row>
    <row r="439" spans="1:20" x14ac:dyDescent="0.25">
      <c r="A439" s="5">
        <v>44154</v>
      </c>
      <c r="B439">
        <v>246.27</v>
      </c>
      <c r="C439">
        <v>250.03</v>
      </c>
      <c r="D439">
        <v>241.23</v>
      </c>
      <c r="E439">
        <v>245.88</v>
      </c>
      <c r="F439">
        <v>94942.869070000001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5.6818181818181747E-2</v>
      </c>
      <c r="Q439">
        <f t="shared" si="975"/>
        <v>5394.4811971590843</v>
      </c>
      <c r="R439">
        <f t="shared" si="976"/>
        <v>5404319.9792518131</v>
      </c>
      <c r="S439">
        <f t="shared" si="977"/>
        <v>54.043199792518131</v>
      </c>
      <c r="T439">
        <f t="shared" si="978"/>
        <v>5.4043199792518128E-2</v>
      </c>
    </row>
    <row r="440" spans="1:20" x14ac:dyDescent="0.25">
      <c r="A440" s="5">
        <v>44153</v>
      </c>
      <c r="B440">
        <v>255.29</v>
      </c>
      <c r="C440">
        <v>260</v>
      </c>
      <c r="D440">
        <v>241.69</v>
      </c>
      <c r="E440">
        <v>246.23</v>
      </c>
      <c r="F440">
        <v>164845.09667999999</v>
      </c>
      <c r="G440">
        <v>0</v>
      </c>
      <c r="L440" t="s">
        <v>8</v>
      </c>
      <c r="M440" t="s">
        <v>7</v>
      </c>
      <c r="N440" t="s">
        <v>8</v>
      </c>
      <c r="P440">
        <f t="shared" si="974"/>
        <v>-0.50409612233752144</v>
      </c>
      <c r="Q440">
        <f t="shared" si="975"/>
        <v>-83097.774022741825</v>
      </c>
      <c r="R440">
        <f t="shared" si="976"/>
        <v>5398925.4980546543</v>
      </c>
      <c r="S440">
        <f t="shared" si="977"/>
        <v>53.989254980546541</v>
      </c>
      <c r="T440">
        <f t="shared" si="978"/>
        <v>5.398925498054654E-2</v>
      </c>
    </row>
    <row r="441" spans="1:20" x14ac:dyDescent="0.25">
      <c r="A441" s="5">
        <v>44152</v>
      </c>
      <c r="B441">
        <v>249.67</v>
      </c>
      <c r="C441">
        <v>259.62</v>
      </c>
      <c r="D441">
        <v>248.25</v>
      </c>
      <c r="E441">
        <v>255.39</v>
      </c>
      <c r="F441">
        <v>149020.89034000001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0.25593667546173854</v>
      </c>
      <c r="Q441">
        <f t="shared" si="975"/>
        <v>38139.91124796791</v>
      </c>
      <c r="R441">
        <f t="shared" si="976"/>
        <v>5482023.2720773965</v>
      </c>
      <c r="S441">
        <f t="shared" si="977"/>
        <v>54.820232720773966</v>
      </c>
      <c r="T441">
        <f t="shared" si="978"/>
        <v>5.4820232720773965E-2</v>
      </c>
    </row>
    <row r="442" spans="1:20" x14ac:dyDescent="0.25">
      <c r="A442" s="5">
        <v>44151</v>
      </c>
      <c r="B442">
        <v>240.4</v>
      </c>
      <c r="C442">
        <v>253.19</v>
      </c>
      <c r="D442">
        <v>233.04</v>
      </c>
      <c r="E442">
        <v>249.6</v>
      </c>
      <c r="F442">
        <v>200360.70939999999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0.64367245657568217</v>
      </c>
      <c r="Q442">
        <f t="shared" si="975"/>
        <v>128966.67002074436</v>
      </c>
      <c r="R442">
        <f t="shared" si="976"/>
        <v>5443883.3608294288</v>
      </c>
      <c r="S442">
        <f t="shared" si="977"/>
        <v>54.438833608294289</v>
      </c>
      <c r="T442">
        <f t="shared" si="978"/>
        <v>5.4438833608294289E-2</v>
      </c>
    </row>
    <row r="443" spans="1:20" x14ac:dyDescent="0.25">
      <c r="A443" s="5">
        <v>44150</v>
      </c>
      <c r="B443">
        <v>255.13</v>
      </c>
      <c r="C443">
        <v>260.29000000000002</v>
      </c>
      <c r="D443">
        <v>235</v>
      </c>
      <c r="E443">
        <v>240.43</v>
      </c>
      <c r="F443">
        <v>227544.07561999999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-0.57058125741399746</v>
      </c>
      <c r="Q443">
        <f t="shared" si="975"/>
        <v>-129832.38478436532</v>
      </c>
      <c r="R443">
        <f t="shared" si="976"/>
        <v>5314916.6908086846</v>
      </c>
      <c r="S443">
        <f t="shared" si="977"/>
        <v>53.149166908086848</v>
      </c>
      <c r="T443">
        <f t="shared" si="978"/>
        <v>5.3149166908086846E-2</v>
      </c>
    </row>
    <row r="444" spans="1:20" x14ac:dyDescent="0.25">
      <c r="A444" s="5">
        <v>44149</v>
      </c>
      <c r="B444">
        <v>259.22000000000003</v>
      </c>
      <c r="C444">
        <v>263</v>
      </c>
      <c r="D444">
        <v>253.64</v>
      </c>
      <c r="E444">
        <v>255.12</v>
      </c>
      <c r="F444">
        <v>93655.514779999998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-0.68376068376068033</v>
      </c>
      <c r="Q444">
        <f t="shared" si="975"/>
        <v>-64037.958823931302</v>
      </c>
      <c r="R444">
        <f t="shared" si="976"/>
        <v>5444749.0755930496</v>
      </c>
      <c r="S444">
        <f t="shared" si="977"/>
        <v>54.447490755930495</v>
      </c>
      <c r="T444">
        <f t="shared" si="978"/>
        <v>5.4447490755930493E-2</v>
      </c>
    </row>
    <row r="445" spans="1:20" x14ac:dyDescent="0.25">
      <c r="A445" s="5">
        <v>44148</v>
      </c>
      <c r="B445">
        <v>260.01</v>
      </c>
      <c r="C445">
        <v>262.5</v>
      </c>
      <c r="D445">
        <v>247.91</v>
      </c>
      <c r="E445">
        <v>259.22000000000003</v>
      </c>
      <c r="F445">
        <v>159229.51658</v>
      </c>
      <c r="G445">
        <v>0</v>
      </c>
      <c r="L445" t="s">
        <v>7</v>
      </c>
      <c r="M445" t="s">
        <v>8</v>
      </c>
      <c r="N445" t="s">
        <v>8</v>
      </c>
      <c r="P445">
        <f t="shared" si="974"/>
        <v>0.55037697052776258</v>
      </c>
      <c r="Q445">
        <f t="shared" si="975"/>
        <v>87636.258953900542</v>
      </c>
      <c r="R445">
        <f t="shared" si="976"/>
        <v>5508787.034416981</v>
      </c>
      <c r="S445">
        <f t="shared" si="977"/>
        <v>55.087870344169808</v>
      </c>
      <c r="T445">
        <f t="shared" si="978"/>
        <v>5.5087870344169808E-2</v>
      </c>
    </row>
    <row r="446" spans="1:20" x14ac:dyDescent="0.25">
      <c r="A446" s="5">
        <v>44147</v>
      </c>
      <c r="B446">
        <v>256.87</v>
      </c>
      <c r="C446">
        <v>264.89999999999998</v>
      </c>
      <c r="D446">
        <v>251.69</v>
      </c>
      <c r="E446">
        <v>259.99</v>
      </c>
      <c r="F446">
        <v>143611.95611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0.2566237698713133</v>
      </c>
      <c r="Q446">
        <f t="shared" si="975"/>
        <v>36854.241575541782</v>
      </c>
      <c r="R446">
        <f t="shared" si="976"/>
        <v>5421150.775463081</v>
      </c>
      <c r="S446">
        <f t="shared" si="977"/>
        <v>54.211507754630809</v>
      </c>
      <c r="T446">
        <f t="shared" si="978"/>
        <v>5.4211507754630808E-2</v>
      </c>
    </row>
    <row r="447" spans="1:20" x14ac:dyDescent="0.25">
      <c r="A447" s="5">
        <v>44146</v>
      </c>
      <c r="B447">
        <v>257.19</v>
      </c>
      <c r="C447">
        <v>262.5</v>
      </c>
      <c r="D447">
        <v>255.16</v>
      </c>
      <c r="E447">
        <v>256.86</v>
      </c>
      <c r="F447">
        <v>109661.41370999999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-0.53678474114440977</v>
      </c>
      <c r="Q447">
        <f t="shared" si="975"/>
        <v>-58864.573571852372</v>
      </c>
      <c r="R447">
        <f t="shared" si="976"/>
        <v>5384296.5338875391</v>
      </c>
      <c r="S447">
        <f t="shared" si="977"/>
        <v>53.842965338875388</v>
      </c>
      <c r="T447">
        <f t="shared" si="978"/>
        <v>5.3842965338875386E-2</v>
      </c>
    </row>
    <row r="448" spans="1:20" x14ac:dyDescent="0.25">
      <c r="A448" s="5">
        <v>44145</v>
      </c>
      <c r="B448">
        <v>264.26</v>
      </c>
      <c r="C448">
        <v>266.52999999999997</v>
      </c>
      <c r="D448">
        <v>254.72</v>
      </c>
      <c r="E448">
        <v>257.19</v>
      </c>
      <c r="F448">
        <v>129833.02885</v>
      </c>
      <c r="G448">
        <v>0</v>
      </c>
      <c r="L448" t="s">
        <v>7</v>
      </c>
      <c r="M448" t="s">
        <v>8</v>
      </c>
      <c r="N448" t="s">
        <v>8</v>
      </c>
      <c r="P448">
        <f t="shared" si="974"/>
        <v>-0.58171041490262421</v>
      </c>
      <c r="Q448">
        <f t="shared" si="975"/>
        <v>-75525.225080397882</v>
      </c>
      <c r="R448">
        <f t="shared" si="976"/>
        <v>5443161.1074593915</v>
      </c>
      <c r="S448">
        <f t="shared" si="977"/>
        <v>54.431611074593917</v>
      </c>
      <c r="T448">
        <f t="shared" si="978"/>
        <v>5.4431611074593919E-2</v>
      </c>
    </row>
    <row r="449" spans="1:20" x14ac:dyDescent="0.25">
      <c r="A449" s="5">
        <v>44144</v>
      </c>
      <c r="B449">
        <v>270.73</v>
      </c>
      <c r="C449">
        <v>274.24</v>
      </c>
      <c r="D449">
        <v>257.44</v>
      </c>
      <c r="E449">
        <v>264.27</v>
      </c>
      <c r="F449">
        <v>200850.06156999999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-0.18690476190476435</v>
      </c>
      <c r="Q449">
        <f t="shared" si="975"/>
        <v>-37539.832936298109</v>
      </c>
      <c r="R449">
        <f t="shared" si="976"/>
        <v>5518686.3325397894</v>
      </c>
      <c r="S449">
        <f t="shared" si="977"/>
        <v>55.186863325397894</v>
      </c>
      <c r="T449">
        <f t="shared" si="978"/>
        <v>5.5186863325397892E-2</v>
      </c>
    </row>
    <row r="450" spans="1:20" x14ac:dyDescent="0.25">
      <c r="A450" s="5">
        <v>44143</v>
      </c>
      <c r="B450">
        <v>253.9</v>
      </c>
      <c r="C450">
        <v>278</v>
      </c>
      <c r="D450">
        <v>247.01</v>
      </c>
      <c r="E450">
        <v>270.8</v>
      </c>
      <c r="F450">
        <v>214982.91704999999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0.53533397870280819</v>
      </c>
      <c r="Q450">
        <f t="shared" si="975"/>
        <v>115087.66033751228</v>
      </c>
      <c r="R450">
        <f t="shared" si="976"/>
        <v>5556226.1654760875</v>
      </c>
      <c r="S450">
        <f t="shared" si="977"/>
        <v>55.562261654760874</v>
      </c>
      <c r="T450">
        <f t="shared" si="978"/>
        <v>5.5562261654760872E-2</v>
      </c>
    </row>
    <row r="451" spans="1:20" x14ac:dyDescent="0.25">
      <c r="A451" s="5">
        <v>44142</v>
      </c>
      <c r="B451">
        <v>257.77999999999997</v>
      </c>
      <c r="C451">
        <v>277.06</v>
      </c>
      <c r="D451">
        <v>245.11</v>
      </c>
      <c r="E451">
        <v>253.91</v>
      </c>
      <c r="F451">
        <v>350878.09678999998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-0.44913928012519649</v>
      </c>
      <c r="Q451">
        <f t="shared" si="975"/>
        <v>-157593.13580395962</v>
      </c>
      <c r="R451">
        <f t="shared" si="976"/>
        <v>5441138.5051385751</v>
      </c>
      <c r="S451">
        <f t="shared" si="977"/>
        <v>54.41138505138575</v>
      </c>
      <c r="T451">
        <f t="shared" si="978"/>
        <v>5.4411385051385749E-2</v>
      </c>
    </row>
    <row r="452" spans="1:20" x14ac:dyDescent="0.25">
      <c r="A452" s="5">
        <v>44141</v>
      </c>
      <c r="B452">
        <v>249.52</v>
      </c>
      <c r="C452">
        <v>259.51</v>
      </c>
      <c r="D452">
        <v>248.01</v>
      </c>
      <c r="E452">
        <v>257.79000000000002</v>
      </c>
      <c r="F452">
        <v>204240.32550000001</v>
      </c>
      <c r="G452">
        <v>0</v>
      </c>
      <c r="L452" t="s">
        <v>8</v>
      </c>
      <c r="M452" t="s">
        <v>7</v>
      </c>
      <c r="N452" t="s">
        <v>8</v>
      </c>
      <c r="P452">
        <f t="shared" si="974"/>
        <v>0.70086956521739641</v>
      </c>
      <c r="Q452">
        <f t="shared" si="975"/>
        <v>143145.82813304453</v>
      </c>
      <c r="R452">
        <f t="shared" si="976"/>
        <v>5598731.6409425344</v>
      </c>
      <c r="S452">
        <f t="shared" si="977"/>
        <v>55.987316409425347</v>
      </c>
      <c r="T452">
        <f t="shared" si="978"/>
        <v>5.598731640942535E-2</v>
      </c>
    </row>
    <row r="453" spans="1:20" x14ac:dyDescent="0.25">
      <c r="A453" s="5">
        <v>44140</v>
      </c>
      <c r="B453">
        <v>241.14</v>
      </c>
      <c r="C453">
        <v>252</v>
      </c>
      <c r="D453">
        <v>240.34</v>
      </c>
      <c r="E453">
        <v>249.53</v>
      </c>
      <c r="F453">
        <v>229778.00262000001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0.57632933104631223</v>
      </c>
      <c r="Q453">
        <f t="shared" si="975"/>
        <v>132427.8025391424</v>
      </c>
      <c r="R453">
        <f t="shared" si="976"/>
        <v>5455585.8128094897</v>
      </c>
      <c r="S453">
        <f t="shared" si="977"/>
        <v>54.555858128094897</v>
      </c>
      <c r="T453">
        <f t="shared" si="978"/>
        <v>5.4555858128094895E-2</v>
      </c>
    </row>
    <row r="454" spans="1:20" x14ac:dyDescent="0.25">
      <c r="A454" s="5">
        <v>44139</v>
      </c>
      <c r="B454">
        <v>244.21</v>
      </c>
      <c r="C454">
        <v>244.5</v>
      </c>
      <c r="D454">
        <v>231</v>
      </c>
      <c r="E454">
        <v>241.14</v>
      </c>
      <c r="F454">
        <v>197644.26822999999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0.50222222222222024</v>
      </c>
      <c r="Q454">
        <f t="shared" ref="Q454:Q517" si="980">F454*P454</f>
        <v>99261.343599955158</v>
      </c>
      <c r="R454">
        <f t="shared" ref="R454:R517" si="981">R455+Q454</f>
        <v>5323158.0102703469</v>
      </c>
      <c r="S454">
        <f t="shared" ref="S454:S517" si="982">R454/100000</f>
        <v>53.231580102703468</v>
      </c>
      <c r="T454">
        <f t="shared" ref="T454:T517" si="983">S454/1000</f>
        <v>5.3231580102703471E-2</v>
      </c>
    </row>
    <row r="455" spans="1:20" x14ac:dyDescent="0.25">
      <c r="A455" s="5">
        <v>44138</v>
      </c>
      <c r="B455">
        <v>257.31</v>
      </c>
      <c r="C455">
        <v>258.81</v>
      </c>
      <c r="D455">
        <v>230</v>
      </c>
      <c r="E455">
        <v>244.22</v>
      </c>
      <c r="F455">
        <v>331235.04430000001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-1.2842762929538511E-2</v>
      </c>
      <c r="Q455">
        <f t="shared" si="980"/>
        <v>-4253.9731479000866</v>
      </c>
      <c r="R455">
        <f t="shared" si="981"/>
        <v>5223896.6666703913</v>
      </c>
      <c r="S455">
        <f t="shared" si="982"/>
        <v>52.238966666703917</v>
      </c>
      <c r="T455">
        <f t="shared" si="983"/>
        <v>5.2238966666703919E-2</v>
      </c>
    </row>
    <row r="456" spans="1:20" x14ac:dyDescent="0.25">
      <c r="A456" s="5">
        <v>44137</v>
      </c>
      <c r="B456">
        <v>268.02999999999997</v>
      </c>
      <c r="C456">
        <v>271.66000000000003</v>
      </c>
      <c r="D456">
        <v>253.58</v>
      </c>
      <c r="E456">
        <v>257.27999999999997</v>
      </c>
      <c r="F456">
        <v>186173.01845</v>
      </c>
      <c r="G456">
        <v>0</v>
      </c>
      <c r="L456" t="s">
        <v>8</v>
      </c>
      <c r="M456" t="s">
        <v>8</v>
      </c>
      <c r="N456" t="s">
        <v>8</v>
      </c>
      <c r="P456">
        <f t="shared" si="979"/>
        <v>-0.59070796460177455</v>
      </c>
      <c r="Q456">
        <f t="shared" si="980"/>
        <v>-109973.88479236812</v>
      </c>
      <c r="R456">
        <f t="shared" si="981"/>
        <v>5228150.6398182912</v>
      </c>
      <c r="S456">
        <f t="shared" si="982"/>
        <v>52.281506398182913</v>
      </c>
      <c r="T456">
        <f t="shared" si="983"/>
        <v>5.2281506398182916E-2</v>
      </c>
    </row>
    <row r="457" spans="1:20" x14ac:dyDescent="0.25">
      <c r="A457" s="5">
        <v>44136</v>
      </c>
      <c r="B457">
        <v>262</v>
      </c>
      <c r="C457">
        <v>270.83</v>
      </c>
      <c r="D457">
        <v>260.16000000000003</v>
      </c>
      <c r="E457">
        <v>268.02999999999997</v>
      </c>
      <c r="F457">
        <v>89388.181679999994</v>
      </c>
      <c r="G457">
        <v>0</v>
      </c>
      <c r="L457" t="s">
        <v>7</v>
      </c>
      <c r="M457" t="s">
        <v>8</v>
      </c>
      <c r="N457" t="s">
        <v>8</v>
      </c>
      <c r="P457">
        <f t="shared" si="979"/>
        <v>0.47516401124648133</v>
      </c>
      <c r="Q457">
        <f t="shared" si="980"/>
        <v>42474.04696509803</v>
      </c>
      <c r="R457">
        <f t="shared" si="981"/>
        <v>5338124.5246106591</v>
      </c>
      <c r="S457">
        <f t="shared" si="982"/>
        <v>53.381245246106594</v>
      </c>
      <c r="T457">
        <f t="shared" si="983"/>
        <v>5.3381245246106594E-2</v>
      </c>
    </row>
    <row r="458" spans="1:20" x14ac:dyDescent="0.25">
      <c r="A458" s="5">
        <v>44135</v>
      </c>
      <c r="B458">
        <v>262</v>
      </c>
      <c r="C458">
        <v>266.31</v>
      </c>
      <c r="D458">
        <v>259.60000000000002</v>
      </c>
      <c r="E458">
        <v>262.01</v>
      </c>
      <c r="F458">
        <v>110123.40360999999</v>
      </c>
      <c r="G458">
        <v>0</v>
      </c>
      <c r="L458" t="s">
        <v>7</v>
      </c>
      <c r="M458" t="s">
        <v>8</v>
      </c>
      <c r="N458" t="s">
        <v>8</v>
      </c>
      <c r="P458">
        <f t="shared" si="979"/>
        <v>-0.28166915052161684</v>
      </c>
      <c r="Q458">
        <f t="shared" si="980"/>
        <v>-31018.365547377853</v>
      </c>
      <c r="R458">
        <f t="shared" si="981"/>
        <v>5295650.4776455611</v>
      </c>
      <c r="S458">
        <f t="shared" si="982"/>
        <v>52.95650477645561</v>
      </c>
      <c r="T458">
        <f t="shared" si="983"/>
        <v>5.295650477645561E-2</v>
      </c>
    </row>
    <row r="459" spans="1:20" x14ac:dyDescent="0.25">
      <c r="A459" s="5">
        <v>44134</v>
      </c>
      <c r="B459">
        <v>267.35000000000002</v>
      </c>
      <c r="C459">
        <v>270.62</v>
      </c>
      <c r="D459">
        <v>254.98</v>
      </c>
      <c r="E459">
        <v>261.89999999999998</v>
      </c>
      <c r="F459">
        <v>210810.92485000001</v>
      </c>
      <c r="G459">
        <v>0</v>
      </c>
      <c r="L459" t="s">
        <v>7</v>
      </c>
      <c r="M459" t="s">
        <v>8</v>
      </c>
      <c r="N459" t="s">
        <v>8</v>
      </c>
      <c r="P459">
        <f t="shared" si="979"/>
        <v>-0.1150895140664986</v>
      </c>
      <c r="Q459">
        <f t="shared" si="980"/>
        <v>-24262.126900895655</v>
      </c>
      <c r="R459">
        <f t="shared" si="981"/>
        <v>5326668.8431929387</v>
      </c>
      <c r="S459">
        <f t="shared" si="982"/>
        <v>53.266688431929389</v>
      </c>
      <c r="T459">
        <f t="shared" si="983"/>
        <v>5.3266688431929388E-2</v>
      </c>
    </row>
    <row r="460" spans="1:20" x14ac:dyDescent="0.25">
      <c r="A460" s="5">
        <v>44133</v>
      </c>
      <c r="B460">
        <v>268.10000000000002</v>
      </c>
      <c r="C460">
        <v>271.56</v>
      </c>
      <c r="D460">
        <v>257.56</v>
      </c>
      <c r="E460">
        <v>267.42</v>
      </c>
      <c r="F460">
        <v>165667.34057999999</v>
      </c>
      <c r="G460">
        <v>0</v>
      </c>
      <c r="L460" t="s">
        <v>7</v>
      </c>
      <c r="M460" t="s">
        <v>8</v>
      </c>
      <c r="N460" t="s">
        <v>8</v>
      </c>
      <c r="P460">
        <f t="shared" si="979"/>
        <v>0.40857142857143053</v>
      </c>
      <c r="Q460">
        <f t="shared" si="980"/>
        <v>67686.942008400321</v>
      </c>
      <c r="R460">
        <f t="shared" si="981"/>
        <v>5350930.9700938342</v>
      </c>
      <c r="S460">
        <f t="shared" si="982"/>
        <v>53.509309700938346</v>
      </c>
      <c r="T460">
        <f t="shared" si="983"/>
        <v>5.3509309700938347E-2</v>
      </c>
    </row>
    <row r="461" spans="1:20" x14ac:dyDescent="0.25">
      <c r="A461" s="5">
        <v>44132</v>
      </c>
      <c r="B461">
        <v>264.08</v>
      </c>
      <c r="C461">
        <v>280.98</v>
      </c>
      <c r="D461">
        <v>258.33</v>
      </c>
      <c r="E461">
        <v>268.06</v>
      </c>
      <c r="F461">
        <v>344773.09855</v>
      </c>
      <c r="G461">
        <v>0</v>
      </c>
      <c r="L461" t="s">
        <v>8</v>
      </c>
      <c r="M461" t="s">
        <v>8</v>
      </c>
      <c r="N461" t="s">
        <v>8</v>
      </c>
      <c r="P461">
        <f t="shared" si="979"/>
        <v>-0.14083885209712993</v>
      </c>
      <c r="Q461">
        <f t="shared" si="980"/>
        <v>-48557.447433752648</v>
      </c>
      <c r="R461">
        <f t="shared" si="981"/>
        <v>5283244.0280854339</v>
      </c>
      <c r="S461">
        <f t="shared" si="982"/>
        <v>52.832440280854335</v>
      </c>
      <c r="T461">
        <f t="shared" si="983"/>
        <v>5.2832440280854334E-2</v>
      </c>
    </row>
    <row r="462" spans="1:20" x14ac:dyDescent="0.25">
      <c r="A462" s="5">
        <v>44131</v>
      </c>
      <c r="B462">
        <v>259.35000000000002</v>
      </c>
      <c r="C462">
        <v>268</v>
      </c>
      <c r="D462">
        <v>257.12</v>
      </c>
      <c r="E462">
        <v>264.11</v>
      </c>
      <c r="F462">
        <v>170495.07368</v>
      </c>
      <c r="G462">
        <v>0</v>
      </c>
      <c r="L462" t="s">
        <v>7</v>
      </c>
      <c r="M462" t="s">
        <v>8</v>
      </c>
      <c r="N462" t="s">
        <v>8</v>
      </c>
      <c r="P462">
        <f t="shared" si="979"/>
        <v>0.2849264705882375</v>
      </c>
      <c r="Q462">
        <f t="shared" si="980"/>
        <v>48578.559596323903</v>
      </c>
      <c r="R462">
        <f t="shared" si="981"/>
        <v>5331801.4755191868</v>
      </c>
      <c r="S462">
        <f t="shared" si="982"/>
        <v>53.318014755191868</v>
      </c>
      <c r="T462">
        <f t="shared" si="983"/>
        <v>5.3318014755191871E-2</v>
      </c>
    </row>
    <row r="463" spans="1:20" x14ac:dyDescent="0.25">
      <c r="A463" s="5">
        <v>44130</v>
      </c>
      <c r="B463">
        <v>271.07</v>
      </c>
      <c r="C463">
        <v>273.31</v>
      </c>
      <c r="D463">
        <v>252.61</v>
      </c>
      <c r="E463">
        <v>259.36</v>
      </c>
      <c r="F463">
        <v>196483.76115999999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-0.3478260869565214</v>
      </c>
      <c r="Q463">
        <f t="shared" si="980"/>
        <v>-68342.177794782547</v>
      </c>
      <c r="R463">
        <f t="shared" si="981"/>
        <v>5283222.9159228625</v>
      </c>
      <c r="S463">
        <f t="shared" si="982"/>
        <v>52.832229159228625</v>
      </c>
      <c r="T463">
        <f t="shared" si="983"/>
        <v>5.2832229159228625E-2</v>
      </c>
    </row>
    <row r="464" spans="1:20" x14ac:dyDescent="0.25">
      <c r="A464" s="5">
        <v>44129</v>
      </c>
      <c r="B464">
        <v>275.79000000000002</v>
      </c>
      <c r="C464">
        <v>276.05</v>
      </c>
      <c r="D464">
        <v>268.19</v>
      </c>
      <c r="E464">
        <v>271.11</v>
      </c>
      <c r="F464">
        <v>93327.775169999994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-0.25699745547073516</v>
      </c>
      <c r="Q464">
        <f t="shared" si="980"/>
        <v>-23985.000743434855</v>
      </c>
      <c r="R464">
        <f t="shared" si="981"/>
        <v>5351565.0937176449</v>
      </c>
      <c r="S464">
        <f t="shared" si="982"/>
        <v>53.515650937176446</v>
      </c>
      <c r="T464">
        <f t="shared" si="983"/>
        <v>5.3515650937176446E-2</v>
      </c>
    </row>
    <row r="465" spans="1:20" x14ac:dyDescent="0.25">
      <c r="A465" s="5">
        <v>44128</v>
      </c>
      <c r="B465">
        <v>270.39</v>
      </c>
      <c r="C465">
        <v>278.63</v>
      </c>
      <c r="D465">
        <v>267.60000000000002</v>
      </c>
      <c r="E465">
        <v>275.8</v>
      </c>
      <c r="F465">
        <v>108002.4406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0.48685403445149755</v>
      </c>
      <c r="Q465">
        <f t="shared" si="980"/>
        <v>52581.423936718216</v>
      </c>
      <c r="R465">
        <f t="shared" si="981"/>
        <v>5375550.0944610797</v>
      </c>
      <c r="S465">
        <f t="shared" si="982"/>
        <v>53.755500944610795</v>
      </c>
      <c r="T465">
        <f t="shared" si="983"/>
        <v>5.3755500944610797E-2</v>
      </c>
    </row>
    <row r="466" spans="1:20" x14ac:dyDescent="0.25">
      <c r="A466" s="5">
        <v>44127</v>
      </c>
      <c r="B466">
        <v>268</v>
      </c>
      <c r="C466">
        <v>276</v>
      </c>
      <c r="D466">
        <v>264.2</v>
      </c>
      <c r="E466">
        <v>270.42</v>
      </c>
      <c r="F466">
        <v>169969.69123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5.4237288135596827E-2</v>
      </c>
      <c r="Q466">
        <f t="shared" si="980"/>
        <v>9218.6951175599352</v>
      </c>
      <c r="R466">
        <f t="shared" si="981"/>
        <v>5322968.6705243615</v>
      </c>
      <c r="S466">
        <f t="shared" si="982"/>
        <v>53.229686705243616</v>
      </c>
      <c r="T466">
        <f t="shared" si="983"/>
        <v>5.3229686705243619E-2</v>
      </c>
    </row>
    <row r="467" spans="1:20" x14ac:dyDescent="0.25">
      <c r="A467" s="5">
        <v>44126</v>
      </c>
      <c r="B467">
        <v>258.38</v>
      </c>
      <c r="C467">
        <v>274.64999999999998</v>
      </c>
      <c r="D467">
        <v>258.26</v>
      </c>
      <c r="E467">
        <v>267.97000000000003</v>
      </c>
      <c r="F467">
        <v>225831.90200999999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0.18486882245272049</v>
      </c>
      <c r="Q467">
        <f t="shared" si="980"/>
        <v>41749.277796846858</v>
      </c>
      <c r="R467">
        <f t="shared" si="981"/>
        <v>5313749.9754068013</v>
      </c>
      <c r="S467">
        <f t="shared" si="982"/>
        <v>53.13749975406801</v>
      </c>
      <c r="T467">
        <f t="shared" si="983"/>
        <v>5.3137499754068007E-2</v>
      </c>
    </row>
    <row r="468" spans="1:20" x14ac:dyDescent="0.25">
      <c r="A468" s="5">
        <v>44125</v>
      </c>
      <c r="B468">
        <v>240.75</v>
      </c>
      <c r="C468">
        <v>264.11</v>
      </c>
      <c r="D468">
        <v>239.98</v>
      </c>
      <c r="E468">
        <v>258.49</v>
      </c>
      <c r="F468">
        <v>265322.02727999998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0.53418980522171577</v>
      </c>
      <c r="Q468">
        <f t="shared" si="980"/>
        <v>141732.32207373396</v>
      </c>
      <c r="R468">
        <f t="shared" si="981"/>
        <v>5272000.6976099545</v>
      </c>
      <c r="S468">
        <f t="shared" si="982"/>
        <v>52.720006976099548</v>
      </c>
      <c r="T468">
        <f t="shared" si="983"/>
        <v>5.2720006976099548E-2</v>
      </c>
    </row>
    <row r="469" spans="1:20" x14ac:dyDescent="0.25">
      <c r="A469" s="5">
        <v>44124</v>
      </c>
      <c r="B469">
        <v>249.82</v>
      </c>
      <c r="C469">
        <v>250.05</v>
      </c>
      <c r="D469">
        <v>237.67</v>
      </c>
      <c r="E469">
        <v>240.74</v>
      </c>
      <c r="F469">
        <v>139172.67277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-0.50403877221324467</v>
      </c>
      <c r="Q469">
        <f t="shared" si="980"/>
        <v>-70148.423108626477</v>
      </c>
      <c r="R469">
        <f t="shared" si="981"/>
        <v>5130268.3755362201</v>
      </c>
      <c r="S469">
        <f t="shared" si="982"/>
        <v>51.302683755362203</v>
      </c>
      <c r="T469">
        <f t="shared" si="983"/>
        <v>5.1302683755362205E-2</v>
      </c>
    </row>
    <row r="470" spans="1:20" x14ac:dyDescent="0.25">
      <c r="A470" s="5">
        <v>44123</v>
      </c>
      <c r="B470">
        <v>249.3</v>
      </c>
      <c r="C470">
        <v>252.7</v>
      </c>
      <c r="D470">
        <v>245</v>
      </c>
      <c r="E470">
        <v>249.87</v>
      </c>
      <c r="F470">
        <v>105468.60457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0.26493506493506797</v>
      </c>
      <c r="Q470">
        <f t="shared" si="980"/>
        <v>27942.331600363956</v>
      </c>
      <c r="R470">
        <f t="shared" si="981"/>
        <v>5200416.7986448463</v>
      </c>
      <c r="S470">
        <f t="shared" si="982"/>
        <v>52.004167986448465</v>
      </c>
      <c r="T470">
        <f t="shared" si="983"/>
        <v>5.2004167986448462E-2</v>
      </c>
    </row>
    <row r="471" spans="1:20" x14ac:dyDescent="0.25">
      <c r="A471" s="5">
        <v>44122</v>
      </c>
      <c r="B471">
        <v>244.66</v>
      </c>
      <c r="C471">
        <v>251.01</v>
      </c>
      <c r="D471">
        <v>243.64</v>
      </c>
      <c r="E471">
        <v>249.32</v>
      </c>
      <c r="F471">
        <v>72484.491890000005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0.54138398914518404</v>
      </c>
      <c r="Q471">
        <f t="shared" si="980"/>
        <v>39241.943370569941</v>
      </c>
      <c r="R471">
        <f t="shared" si="981"/>
        <v>5172474.467044482</v>
      </c>
      <c r="S471">
        <f t="shared" si="982"/>
        <v>51.724744670444821</v>
      </c>
      <c r="T471">
        <f t="shared" si="983"/>
        <v>5.1724744670444821E-2</v>
      </c>
    </row>
    <row r="472" spans="1:20" x14ac:dyDescent="0.25">
      <c r="A472" s="5">
        <v>44121</v>
      </c>
      <c r="B472">
        <v>250.3</v>
      </c>
      <c r="C472">
        <v>252.6</v>
      </c>
      <c r="D472">
        <v>241.01</v>
      </c>
      <c r="E472">
        <v>244.66</v>
      </c>
      <c r="F472">
        <v>119757.0408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-0.37014667817083613</v>
      </c>
      <c r="Q472">
        <f t="shared" si="980"/>
        <v>-44327.670839689294</v>
      </c>
      <c r="R472">
        <f t="shared" si="981"/>
        <v>5133232.5236739125</v>
      </c>
      <c r="S472">
        <f t="shared" si="982"/>
        <v>51.332325236739123</v>
      </c>
      <c r="T472">
        <f t="shared" si="983"/>
        <v>5.1332325236739126E-2</v>
      </c>
    </row>
    <row r="473" spans="1:20" x14ac:dyDescent="0.25">
      <c r="A473" s="5">
        <v>44120</v>
      </c>
      <c r="B473">
        <v>262.25</v>
      </c>
      <c r="C473">
        <v>266.54000000000002</v>
      </c>
      <c r="D473">
        <v>243.51</v>
      </c>
      <c r="E473">
        <v>250.3</v>
      </c>
      <c r="F473">
        <v>281236.35132000002</v>
      </c>
      <c r="G473">
        <v>0</v>
      </c>
      <c r="L473" t="s">
        <v>8</v>
      </c>
      <c r="M473" t="s">
        <v>8</v>
      </c>
      <c r="N473" t="s">
        <v>7</v>
      </c>
      <c r="P473">
        <f t="shared" si="979"/>
        <v>-0.41033434650455824</v>
      </c>
      <c r="Q473">
        <f t="shared" si="980"/>
        <v>-115400.93443221856</v>
      </c>
      <c r="R473">
        <f t="shared" si="981"/>
        <v>5177560.1945136022</v>
      </c>
      <c r="S473">
        <f t="shared" si="982"/>
        <v>51.775601945136025</v>
      </c>
      <c r="T473">
        <f t="shared" si="983"/>
        <v>5.1775601945136022E-2</v>
      </c>
    </row>
    <row r="474" spans="1:20" x14ac:dyDescent="0.25">
      <c r="A474" s="5">
        <v>44119</v>
      </c>
      <c r="B474">
        <v>259.12</v>
      </c>
      <c r="C474">
        <v>265.2</v>
      </c>
      <c r="D474">
        <v>255.5</v>
      </c>
      <c r="E474">
        <v>262.26</v>
      </c>
      <c r="F474">
        <v>228272.68085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0.39381443298969049</v>
      </c>
      <c r="Q474">
        <f t="shared" si="980"/>
        <v>89897.076375979334</v>
      </c>
      <c r="R474">
        <f t="shared" si="981"/>
        <v>5292961.128945821</v>
      </c>
      <c r="S474">
        <f t="shared" si="982"/>
        <v>52.929611289458208</v>
      </c>
      <c r="T474">
        <f t="shared" si="983"/>
        <v>5.2929611289458209E-2</v>
      </c>
    </row>
    <row r="475" spans="1:20" x14ac:dyDescent="0.25">
      <c r="A475" s="5">
        <v>44118</v>
      </c>
      <c r="B475">
        <v>253.37</v>
      </c>
      <c r="C475">
        <v>260.48</v>
      </c>
      <c r="D475">
        <v>249.75</v>
      </c>
      <c r="E475">
        <v>259.07</v>
      </c>
      <c r="F475">
        <v>190868.59750999999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0.73718546132338814</v>
      </c>
      <c r="Q475">
        <f t="shared" si="980"/>
        <v>140705.55510755745</v>
      </c>
      <c r="R475">
        <f t="shared" si="981"/>
        <v>5203064.052569842</v>
      </c>
      <c r="S475">
        <f t="shared" si="982"/>
        <v>52.030640525698416</v>
      </c>
      <c r="T475">
        <f t="shared" si="983"/>
        <v>5.2030640525698418E-2</v>
      </c>
    </row>
    <row r="476" spans="1:20" x14ac:dyDescent="0.25">
      <c r="A476" s="5">
        <v>44117</v>
      </c>
      <c r="B476">
        <v>239.63</v>
      </c>
      <c r="C476">
        <v>255.43</v>
      </c>
      <c r="D476">
        <v>237.42</v>
      </c>
      <c r="E476">
        <v>253.46</v>
      </c>
      <c r="F476">
        <v>220515.24110000001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0.78123264852859564</v>
      </c>
      <c r="Q476">
        <f t="shared" si="980"/>
        <v>172273.70584547485</v>
      </c>
      <c r="R476">
        <f t="shared" si="981"/>
        <v>5062358.4974622848</v>
      </c>
      <c r="S476">
        <f t="shared" si="982"/>
        <v>50.623584974622851</v>
      </c>
      <c r="T476">
        <f t="shared" si="983"/>
        <v>5.0623584974622854E-2</v>
      </c>
    </row>
    <row r="477" spans="1:20" x14ac:dyDescent="0.25">
      <c r="A477" s="5">
        <v>44116</v>
      </c>
      <c r="B477">
        <v>238.97</v>
      </c>
      <c r="C477">
        <v>243.99</v>
      </c>
      <c r="D477">
        <v>232.7</v>
      </c>
      <c r="E477">
        <v>239.66</v>
      </c>
      <c r="F477">
        <v>146387.94808999999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0.23294951284322327</v>
      </c>
      <c r="Q477">
        <f t="shared" si="980"/>
        <v>34101.001193684555</v>
      </c>
      <c r="R477">
        <f t="shared" si="981"/>
        <v>4890084.7916168096</v>
      </c>
      <c r="S477">
        <f t="shared" si="982"/>
        <v>48.900847916168097</v>
      </c>
      <c r="T477">
        <f t="shared" si="983"/>
        <v>4.8900847916168097E-2</v>
      </c>
    </row>
    <row r="478" spans="1:20" x14ac:dyDescent="0.25">
      <c r="A478" s="5">
        <v>44115</v>
      </c>
      <c r="B478">
        <v>237.27</v>
      </c>
      <c r="C478">
        <v>243.77</v>
      </c>
      <c r="D478">
        <v>236.1</v>
      </c>
      <c r="E478">
        <v>238.97</v>
      </c>
      <c r="F478">
        <v>122148.72130999999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-0.25162972620599777</v>
      </c>
      <c r="Q478">
        <f t="shared" si="980"/>
        <v>-30736.249299648025</v>
      </c>
      <c r="R478">
        <f t="shared" si="981"/>
        <v>4855983.790423125</v>
      </c>
      <c r="S478">
        <f t="shared" si="982"/>
        <v>48.559837904231252</v>
      </c>
      <c r="T478">
        <f t="shared" si="983"/>
        <v>4.8559837904231254E-2</v>
      </c>
    </row>
    <row r="479" spans="1:20" x14ac:dyDescent="0.25">
      <c r="A479" s="5">
        <v>44114</v>
      </c>
      <c r="B479">
        <v>237.14</v>
      </c>
      <c r="C479">
        <v>246.45</v>
      </c>
      <c r="D479">
        <v>235.73</v>
      </c>
      <c r="E479">
        <v>237.26</v>
      </c>
      <c r="F479">
        <v>142096.72771000001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-0.71455223880596985</v>
      </c>
      <c r="Q479">
        <f t="shared" si="980"/>
        <v>-101535.5349121828</v>
      </c>
      <c r="R479">
        <f t="shared" si="981"/>
        <v>4886720.0397227732</v>
      </c>
      <c r="S479">
        <f t="shared" si="982"/>
        <v>48.867200397227734</v>
      </c>
      <c r="T479">
        <f t="shared" si="983"/>
        <v>4.8867200397227736E-2</v>
      </c>
    </row>
    <row r="480" spans="1:20" x14ac:dyDescent="0.25">
      <c r="A480" s="5">
        <v>44113</v>
      </c>
      <c r="B480">
        <v>233.92</v>
      </c>
      <c r="C480">
        <v>240.18</v>
      </c>
      <c r="D480">
        <v>231.87</v>
      </c>
      <c r="E480">
        <v>237.13</v>
      </c>
      <c r="F480">
        <v>157554.96963000001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0.26594464500601434</v>
      </c>
      <c r="Q480">
        <f t="shared" si="980"/>
        <v>41900.900467183725</v>
      </c>
      <c r="R480">
        <f t="shared" si="981"/>
        <v>4988255.5746349562</v>
      </c>
      <c r="S480">
        <f t="shared" si="982"/>
        <v>49.88255574634956</v>
      </c>
      <c r="T480">
        <f t="shared" si="983"/>
        <v>4.9882555746349561E-2</v>
      </c>
    </row>
    <row r="481" spans="1:20" x14ac:dyDescent="0.25">
      <c r="A481" s="5">
        <v>44112</v>
      </c>
      <c r="B481">
        <v>222.98</v>
      </c>
      <c r="C481">
        <v>236.44</v>
      </c>
      <c r="D481">
        <v>221.23</v>
      </c>
      <c r="E481">
        <v>233.95</v>
      </c>
      <c r="F481">
        <v>197435.16524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0.67258382642997927</v>
      </c>
      <c r="Q481">
        <f t="shared" si="980"/>
        <v>132791.69890895445</v>
      </c>
      <c r="R481">
        <f t="shared" si="981"/>
        <v>4946354.6741677728</v>
      </c>
      <c r="S481">
        <f t="shared" si="982"/>
        <v>49.463546741677725</v>
      </c>
      <c r="T481">
        <f t="shared" si="983"/>
        <v>4.9463546741677723E-2</v>
      </c>
    </row>
    <row r="482" spans="1:20" x14ac:dyDescent="0.25">
      <c r="A482" s="5">
        <v>44111</v>
      </c>
      <c r="B482">
        <v>219.59</v>
      </c>
      <c r="C482">
        <v>224.63</v>
      </c>
      <c r="D482">
        <v>216.18</v>
      </c>
      <c r="E482">
        <v>222.98</v>
      </c>
      <c r="F482">
        <v>93831.308109999998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0.60946745562129989</v>
      </c>
      <c r="Q482">
        <f t="shared" si="980"/>
        <v>57187.128611419939</v>
      </c>
      <c r="R482">
        <f t="shared" si="981"/>
        <v>4813562.9752588179</v>
      </c>
      <c r="S482">
        <f t="shared" si="982"/>
        <v>48.13562975258818</v>
      </c>
      <c r="T482">
        <f t="shared" si="983"/>
        <v>4.8135629752588178E-2</v>
      </c>
    </row>
    <row r="483" spans="1:20" x14ac:dyDescent="0.25">
      <c r="A483" s="5">
        <v>44110</v>
      </c>
      <c r="B483">
        <v>221.79</v>
      </c>
      <c r="C483">
        <v>230.41</v>
      </c>
      <c r="D483">
        <v>215.5</v>
      </c>
      <c r="E483">
        <v>219.63</v>
      </c>
      <c r="F483">
        <v>158747.51496999999</v>
      </c>
      <c r="G483">
        <v>0</v>
      </c>
      <c r="L483" t="s">
        <v>8</v>
      </c>
      <c r="M483" t="s">
        <v>7</v>
      </c>
      <c r="N483" t="s">
        <v>7</v>
      </c>
      <c r="P483">
        <f t="shared" si="979"/>
        <v>-0.446009389671362</v>
      </c>
      <c r="Q483">
        <f t="shared" si="980"/>
        <v>-70802.882263615102</v>
      </c>
      <c r="R483">
        <f t="shared" si="981"/>
        <v>4756375.8466473976</v>
      </c>
      <c r="S483">
        <f t="shared" si="982"/>
        <v>47.563758466473978</v>
      </c>
      <c r="T483">
        <f t="shared" si="983"/>
        <v>4.7563758466473975E-2</v>
      </c>
    </row>
    <row r="484" spans="1:20" x14ac:dyDescent="0.25">
      <c r="A484" s="5">
        <v>44109</v>
      </c>
      <c r="B484">
        <v>220.88</v>
      </c>
      <c r="C484">
        <v>222.8</v>
      </c>
      <c r="D484">
        <v>218.06</v>
      </c>
      <c r="E484">
        <v>221.75</v>
      </c>
      <c r="F484">
        <v>67277.287270000001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0.55696202531645178</v>
      </c>
      <c r="Q484">
        <f t="shared" si="980"/>
        <v>37470.894175695939</v>
      </c>
      <c r="R484">
        <f t="shared" si="981"/>
        <v>4827178.7289110124</v>
      </c>
      <c r="S484">
        <f t="shared" si="982"/>
        <v>48.271787289110122</v>
      </c>
      <c r="T484">
        <f t="shared" si="983"/>
        <v>4.8271787289110121E-2</v>
      </c>
    </row>
    <row r="485" spans="1:20" x14ac:dyDescent="0.25">
      <c r="A485" s="5">
        <v>44108</v>
      </c>
      <c r="B485">
        <v>218.5</v>
      </c>
      <c r="C485">
        <v>222.93</v>
      </c>
      <c r="D485">
        <v>216.37</v>
      </c>
      <c r="E485">
        <v>220.89</v>
      </c>
      <c r="F485">
        <v>47612.610119999998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0.37804878048779883</v>
      </c>
      <c r="Q485">
        <f t="shared" si="980"/>
        <v>17999.889191707029</v>
      </c>
      <c r="R485">
        <f t="shared" si="981"/>
        <v>4789707.8347353162</v>
      </c>
      <c r="S485">
        <f t="shared" si="982"/>
        <v>47.897078347353165</v>
      </c>
      <c r="T485">
        <f t="shared" si="983"/>
        <v>4.7897078347353163E-2</v>
      </c>
    </row>
    <row r="486" spans="1:20" x14ac:dyDescent="0.25">
      <c r="A486" s="5">
        <v>44107</v>
      </c>
      <c r="B486">
        <v>219.67</v>
      </c>
      <c r="C486">
        <v>221.49</v>
      </c>
      <c r="D486">
        <v>217.61</v>
      </c>
      <c r="E486">
        <v>218.53</v>
      </c>
      <c r="F486">
        <v>41315.77003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-0.52577319587629456</v>
      </c>
      <c r="Q486">
        <f t="shared" si="980"/>
        <v>-21722.724448763129</v>
      </c>
      <c r="R486">
        <f t="shared" si="981"/>
        <v>4771707.9455436096</v>
      </c>
      <c r="S486">
        <f t="shared" si="982"/>
        <v>47.717079455436092</v>
      </c>
      <c r="T486">
        <f t="shared" si="983"/>
        <v>4.7717079455436094E-2</v>
      </c>
    </row>
    <row r="487" spans="1:20" x14ac:dyDescent="0.25">
      <c r="A487" s="5">
        <v>44106</v>
      </c>
      <c r="B487">
        <v>228.07</v>
      </c>
      <c r="C487">
        <v>228.44</v>
      </c>
      <c r="D487">
        <v>212.14</v>
      </c>
      <c r="E487">
        <v>219.66</v>
      </c>
      <c r="F487">
        <v>127977.88751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-7.7300613496931903E-2</v>
      </c>
      <c r="Q487">
        <f t="shared" si="980"/>
        <v>-9892.7692185643391</v>
      </c>
      <c r="R487">
        <f t="shared" si="981"/>
        <v>4793430.6699923724</v>
      </c>
      <c r="S487">
        <f t="shared" si="982"/>
        <v>47.934306699923724</v>
      </c>
      <c r="T487">
        <f t="shared" si="983"/>
        <v>4.7934306699923726E-2</v>
      </c>
    </row>
    <row r="488" spans="1:20" x14ac:dyDescent="0.25">
      <c r="A488" s="5">
        <v>44105</v>
      </c>
      <c r="B488">
        <v>227.97</v>
      </c>
      <c r="C488">
        <v>234.35</v>
      </c>
      <c r="D488">
        <v>221.7</v>
      </c>
      <c r="E488">
        <v>228.12</v>
      </c>
      <c r="F488">
        <v>145134.24919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1.5019762845851863E-2</v>
      </c>
      <c r="Q488">
        <f t="shared" si="980"/>
        <v>2179.8820036445677</v>
      </c>
      <c r="R488">
        <f t="shared" si="981"/>
        <v>4803323.4392109364</v>
      </c>
      <c r="S488">
        <f t="shared" si="982"/>
        <v>48.033234392109364</v>
      </c>
      <c r="T488">
        <f t="shared" si="983"/>
        <v>4.8033234392109367E-2</v>
      </c>
    </row>
    <row r="489" spans="1:20" x14ac:dyDescent="0.25">
      <c r="A489" s="5">
        <v>44104</v>
      </c>
      <c r="B489">
        <v>229.04</v>
      </c>
      <c r="C489">
        <v>231.47</v>
      </c>
      <c r="D489">
        <v>225</v>
      </c>
      <c r="E489">
        <v>227.96</v>
      </c>
      <c r="F489">
        <v>100046.07232000001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-8.5007727975267858E-2</v>
      </c>
      <c r="Q489">
        <f t="shared" si="980"/>
        <v>-8504.6893007725357</v>
      </c>
      <c r="R489">
        <f t="shared" si="981"/>
        <v>4801143.5572072919</v>
      </c>
      <c r="S489">
        <f t="shared" si="982"/>
        <v>48.011435572072919</v>
      </c>
      <c r="T489">
        <f t="shared" si="983"/>
        <v>4.8011435572072922E-2</v>
      </c>
    </row>
    <row r="490" spans="1:20" x14ac:dyDescent="0.25">
      <c r="A490" s="5">
        <v>44103</v>
      </c>
      <c r="B490">
        <v>225.76</v>
      </c>
      <c r="C490">
        <v>230.5</v>
      </c>
      <c r="D490">
        <v>224.36</v>
      </c>
      <c r="E490">
        <v>229.06</v>
      </c>
      <c r="F490">
        <v>91593.586679999993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0.5309446254071658</v>
      </c>
      <c r="Q490">
        <f t="shared" si="980"/>
        <v>48631.122569511368</v>
      </c>
      <c r="R490">
        <f t="shared" si="981"/>
        <v>4809648.2465080647</v>
      </c>
      <c r="S490">
        <f t="shared" si="982"/>
        <v>48.096482465080648</v>
      </c>
      <c r="T490">
        <f t="shared" si="983"/>
        <v>4.8096482465080651E-2</v>
      </c>
    </row>
    <row r="491" spans="1:20" x14ac:dyDescent="0.25">
      <c r="A491" s="5">
        <v>44102</v>
      </c>
      <c r="B491">
        <v>229.37</v>
      </c>
      <c r="C491">
        <v>234.86</v>
      </c>
      <c r="D491">
        <v>223.71</v>
      </c>
      <c r="E491">
        <v>225.75</v>
      </c>
      <c r="F491">
        <v>142750.65255999999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-0.6340807174887908</v>
      </c>
      <c r="Q491">
        <f t="shared" si="980"/>
        <v>-90515.436197237883</v>
      </c>
      <c r="R491">
        <f t="shared" si="981"/>
        <v>4761017.123938553</v>
      </c>
      <c r="S491">
        <f t="shared" si="982"/>
        <v>47.610171239385529</v>
      </c>
      <c r="T491">
        <f t="shared" si="983"/>
        <v>4.7610171239385532E-2</v>
      </c>
    </row>
    <row r="492" spans="1:20" x14ac:dyDescent="0.25">
      <c r="A492" s="5">
        <v>44101</v>
      </c>
      <c r="B492">
        <v>221.31</v>
      </c>
      <c r="C492">
        <v>231.97</v>
      </c>
      <c r="D492">
        <v>216.23</v>
      </c>
      <c r="E492">
        <v>229.33</v>
      </c>
      <c r="F492">
        <v>107758.28822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0.66454891994917598</v>
      </c>
      <c r="Q492">
        <f t="shared" si="980"/>
        <v>71610.65405217302</v>
      </c>
      <c r="R492">
        <f t="shared" si="981"/>
        <v>4851532.5601357911</v>
      </c>
      <c r="S492">
        <f t="shared" si="982"/>
        <v>48.515325601357908</v>
      </c>
      <c r="T492">
        <f t="shared" si="983"/>
        <v>4.8515325601357906E-2</v>
      </c>
    </row>
    <row r="493" spans="1:20" x14ac:dyDescent="0.25">
      <c r="A493" s="5">
        <v>44100</v>
      </c>
      <c r="B493">
        <v>216.54</v>
      </c>
      <c r="C493">
        <v>224.39</v>
      </c>
      <c r="D493">
        <v>212.44</v>
      </c>
      <c r="E493">
        <v>221.32</v>
      </c>
      <c r="F493">
        <v>74651.156369999997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0.48619246861924753</v>
      </c>
      <c r="Q493">
        <f t="shared" si="980"/>
        <v>36294.830000811766</v>
      </c>
      <c r="R493">
        <f t="shared" si="981"/>
        <v>4779921.9060836183</v>
      </c>
      <c r="S493">
        <f t="shared" si="982"/>
        <v>47.79921906083618</v>
      </c>
      <c r="T493">
        <f t="shared" si="983"/>
        <v>4.779921906083618E-2</v>
      </c>
    </row>
    <row r="494" spans="1:20" x14ac:dyDescent="0.25">
      <c r="A494" s="5">
        <v>44099</v>
      </c>
      <c r="B494">
        <v>216.22</v>
      </c>
      <c r="C494">
        <v>218</v>
      </c>
      <c r="D494">
        <v>210.81</v>
      </c>
      <c r="E494">
        <v>216.52</v>
      </c>
      <c r="F494">
        <v>82751.863329999993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0.58831710709318774</v>
      </c>
      <c r="Q494">
        <f t="shared" si="980"/>
        <v>48684.336840876444</v>
      </c>
      <c r="R494">
        <f t="shared" si="981"/>
        <v>4743627.0760828061</v>
      </c>
      <c r="S494">
        <f t="shared" si="982"/>
        <v>47.436270760828059</v>
      </c>
      <c r="T494">
        <f t="shared" si="983"/>
        <v>4.7436270760828056E-2</v>
      </c>
    </row>
    <row r="495" spans="1:20" x14ac:dyDescent="0.25">
      <c r="A495" s="5">
        <v>44098</v>
      </c>
      <c r="B495">
        <v>207.99</v>
      </c>
      <c r="C495">
        <v>218.9</v>
      </c>
      <c r="D495">
        <v>206.27</v>
      </c>
      <c r="E495">
        <v>216.22</v>
      </c>
      <c r="F495">
        <v>80128.860910000003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0.57561361836896152</v>
      </c>
      <c r="Q495">
        <f t="shared" si="980"/>
        <v>46123.263564188339</v>
      </c>
      <c r="R495">
        <f t="shared" si="981"/>
        <v>4694942.7392419297</v>
      </c>
      <c r="S495">
        <f t="shared" si="982"/>
        <v>46.949427392419295</v>
      </c>
      <c r="T495">
        <f t="shared" si="983"/>
        <v>4.6949427392419293E-2</v>
      </c>
    </row>
    <row r="496" spans="1:20" x14ac:dyDescent="0.25">
      <c r="A496" s="5">
        <v>44097</v>
      </c>
      <c r="B496">
        <v>220.08</v>
      </c>
      <c r="C496">
        <v>220.09</v>
      </c>
      <c r="D496">
        <v>203.07</v>
      </c>
      <c r="E496">
        <v>207.97</v>
      </c>
      <c r="F496">
        <v>82400.182809999998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-0.42420681551116302</v>
      </c>
      <c r="Q496">
        <f t="shared" si="980"/>
        <v>-34954.719147367774</v>
      </c>
      <c r="R496">
        <f t="shared" si="981"/>
        <v>4648819.4756777417</v>
      </c>
      <c r="S496">
        <f t="shared" si="982"/>
        <v>46.488194756777418</v>
      </c>
      <c r="T496">
        <f t="shared" si="983"/>
        <v>4.6488194756777415E-2</v>
      </c>
    </row>
    <row r="497" spans="1:20" x14ac:dyDescent="0.25">
      <c r="A497" s="5">
        <v>44096</v>
      </c>
      <c r="B497">
        <v>212.52</v>
      </c>
      <c r="C497">
        <v>220.3</v>
      </c>
      <c r="D497">
        <v>210.48</v>
      </c>
      <c r="E497">
        <v>220.08</v>
      </c>
      <c r="F497">
        <v>75236.437680000003</v>
      </c>
      <c r="G497">
        <v>0</v>
      </c>
      <c r="L497" t="s">
        <v>7</v>
      </c>
      <c r="M497" t="s">
        <v>8</v>
      </c>
      <c r="N497" t="s">
        <v>7</v>
      </c>
      <c r="P497">
        <f t="shared" si="979"/>
        <v>0.95519348268839133</v>
      </c>
      <c r="Q497">
        <f t="shared" si="980"/>
        <v>71865.354932627321</v>
      </c>
      <c r="R497">
        <f t="shared" si="981"/>
        <v>4683774.1948251091</v>
      </c>
      <c r="S497">
        <f t="shared" si="982"/>
        <v>46.837741948251093</v>
      </c>
      <c r="T497">
        <f t="shared" si="983"/>
        <v>4.6837741948251091E-2</v>
      </c>
    </row>
    <row r="498" spans="1:20" x14ac:dyDescent="0.25">
      <c r="A498" s="5">
        <v>44095</v>
      </c>
      <c r="B498">
        <v>226.25</v>
      </c>
      <c r="C498">
        <v>229</v>
      </c>
      <c r="D498">
        <v>207.46</v>
      </c>
      <c r="E498">
        <v>212.48</v>
      </c>
      <c r="F498">
        <v>162247.47829999999</v>
      </c>
      <c r="G498">
        <v>0</v>
      </c>
      <c r="L498" t="s">
        <v>7</v>
      </c>
      <c r="M498" t="s">
        <v>8</v>
      </c>
      <c r="N498" t="s">
        <v>7</v>
      </c>
      <c r="P498">
        <f t="shared" si="979"/>
        <v>-0.53389043639740175</v>
      </c>
      <c r="Q498">
        <f t="shared" si="980"/>
        <v>-86622.376993964965</v>
      </c>
      <c r="R498">
        <f t="shared" si="981"/>
        <v>4611908.8398924815</v>
      </c>
      <c r="S498">
        <f t="shared" si="982"/>
        <v>46.119088398924816</v>
      </c>
      <c r="T498">
        <f t="shared" si="983"/>
        <v>4.6119088398924819E-2</v>
      </c>
    </row>
    <row r="499" spans="1:20" x14ac:dyDescent="0.25">
      <c r="A499" s="5">
        <v>44094</v>
      </c>
      <c r="B499">
        <v>233.16</v>
      </c>
      <c r="C499">
        <v>233.39</v>
      </c>
      <c r="D499">
        <v>222.02</v>
      </c>
      <c r="E499">
        <v>226.24</v>
      </c>
      <c r="F499">
        <v>83900.403520000007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-0.25769569041336715</v>
      </c>
      <c r="Q499">
        <f t="shared" si="980"/>
        <v>-21620.772411046502</v>
      </c>
      <c r="R499">
        <f t="shared" si="981"/>
        <v>4698531.2168864468</v>
      </c>
      <c r="S499">
        <f t="shared" si="982"/>
        <v>46.985312168864468</v>
      </c>
      <c r="T499">
        <f t="shared" si="983"/>
        <v>4.6985312168864465E-2</v>
      </c>
    </row>
    <row r="500" spans="1:20" x14ac:dyDescent="0.25">
      <c r="A500" s="5">
        <v>44093</v>
      </c>
      <c r="B500">
        <v>234</v>
      </c>
      <c r="C500">
        <v>237.8</v>
      </c>
      <c r="D500">
        <v>231.5</v>
      </c>
      <c r="E500">
        <v>233.16</v>
      </c>
      <c r="F500">
        <v>90683.083209999997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-0.47301587301587505</v>
      </c>
      <c r="Q500">
        <f t="shared" si="980"/>
        <v>-42894.537772349388</v>
      </c>
      <c r="R500">
        <f t="shared" si="981"/>
        <v>4720151.9892974934</v>
      </c>
      <c r="S500">
        <f t="shared" si="982"/>
        <v>47.201519892974936</v>
      </c>
      <c r="T500">
        <f t="shared" si="983"/>
        <v>4.7201519892974934E-2</v>
      </c>
    </row>
    <row r="501" spans="1:20" x14ac:dyDescent="0.25">
      <c r="A501" s="5">
        <v>44092</v>
      </c>
      <c r="B501">
        <v>232.9</v>
      </c>
      <c r="C501">
        <v>238.9</v>
      </c>
      <c r="D501">
        <v>230</v>
      </c>
      <c r="E501">
        <v>234</v>
      </c>
      <c r="F501">
        <v>100204.89148999999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-0.10112359550561856</v>
      </c>
      <c r="Q501">
        <f t="shared" si="980"/>
        <v>-10133.078914719159</v>
      </c>
      <c r="R501">
        <f t="shared" si="981"/>
        <v>4763046.5270698424</v>
      </c>
      <c r="S501">
        <f t="shared" si="982"/>
        <v>47.630465270698423</v>
      </c>
      <c r="T501">
        <f t="shared" si="983"/>
        <v>4.7630465270698426E-2</v>
      </c>
    </row>
    <row r="502" spans="1:20" x14ac:dyDescent="0.25">
      <c r="A502" s="5">
        <v>44091</v>
      </c>
      <c r="B502">
        <v>230.83</v>
      </c>
      <c r="C502">
        <v>239.39</v>
      </c>
      <c r="D502">
        <v>229.6</v>
      </c>
      <c r="E502">
        <v>232.91</v>
      </c>
      <c r="F502">
        <v>119522.85705999999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-0.32379979570990708</v>
      </c>
      <c r="Q502">
        <f t="shared" si="980"/>
        <v>-38701.476698692422</v>
      </c>
      <c r="R502">
        <f t="shared" si="981"/>
        <v>4773179.6059845611</v>
      </c>
      <c r="S502">
        <f t="shared" si="982"/>
        <v>47.731796059845614</v>
      </c>
      <c r="T502">
        <f t="shared" si="983"/>
        <v>4.7731796059845615E-2</v>
      </c>
    </row>
    <row r="503" spans="1:20" x14ac:dyDescent="0.25">
      <c r="A503" s="5">
        <v>44090</v>
      </c>
      <c r="B503">
        <v>235.17</v>
      </c>
      <c r="C503">
        <v>235.47</v>
      </c>
      <c r="D503">
        <v>226.21</v>
      </c>
      <c r="E503">
        <v>230.85</v>
      </c>
      <c r="F503">
        <v>145579.03889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2.1598272138209319E-3</v>
      </c>
      <c r="Q503">
        <f t="shared" si="980"/>
        <v>314.42556995651779</v>
      </c>
      <c r="R503">
        <f t="shared" si="981"/>
        <v>4811881.0826832531</v>
      </c>
      <c r="S503">
        <f t="shared" si="982"/>
        <v>48.118810826832529</v>
      </c>
      <c r="T503">
        <f t="shared" si="983"/>
        <v>4.8118810826832531E-2</v>
      </c>
    </row>
    <row r="504" spans="1:20" x14ac:dyDescent="0.25">
      <c r="A504" s="5">
        <v>44089</v>
      </c>
      <c r="B504">
        <v>225.73</v>
      </c>
      <c r="C504">
        <v>241.91</v>
      </c>
      <c r="D504">
        <v>224.76</v>
      </c>
      <c r="E504">
        <v>235.19</v>
      </c>
      <c r="F504">
        <v>231104.51732000001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0.2163265306122453</v>
      </c>
      <c r="Q504">
        <f t="shared" si="980"/>
        <v>49994.038440653159</v>
      </c>
      <c r="R504">
        <f t="shared" si="981"/>
        <v>4811566.6571132969</v>
      </c>
      <c r="S504">
        <f t="shared" si="982"/>
        <v>48.115666571132969</v>
      </c>
      <c r="T504">
        <f t="shared" si="983"/>
        <v>4.8115666571132969E-2</v>
      </c>
    </row>
    <row r="505" spans="1:20" x14ac:dyDescent="0.25">
      <c r="A505" s="5">
        <v>44088</v>
      </c>
      <c r="B505">
        <v>222.1</v>
      </c>
      <c r="C505">
        <v>228.85</v>
      </c>
      <c r="D505">
        <v>218.88</v>
      </c>
      <c r="E505">
        <v>225.83</v>
      </c>
      <c r="F505">
        <v>113473.91585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0.39418254764293237</v>
      </c>
      <c r="Q505">
        <f t="shared" si="980"/>
        <v>44729.437240772728</v>
      </c>
      <c r="R505">
        <f t="shared" si="981"/>
        <v>4761572.6186726438</v>
      </c>
      <c r="S505">
        <f t="shared" si="982"/>
        <v>47.615726186726441</v>
      </c>
      <c r="T505">
        <f t="shared" si="983"/>
        <v>4.7615726186726444E-2</v>
      </c>
    </row>
    <row r="506" spans="1:20" x14ac:dyDescent="0.25">
      <c r="A506" s="5">
        <v>44087</v>
      </c>
      <c r="B506">
        <v>230.18</v>
      </c>
      <c r="C506">
        <v>234.8</v>
      </c>
      <c r="D506">
        <v>219.15</v>
      </c>
      <c r="E506">
        <v>222.1</v>
      </c>
      <c r="F506">
        <v>120800.90227000001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-0.62300319488818046</v>
      </c>
      <c r="Q506">
        <f t="shared" si="980"/>
        <v>-75259.348059584852</v>
      </c>
      <c r="R506">
        <f t="shared" si="981"/>
        <v>4716843.1814318709</v>
      </c>
      <c r="S506">
        <f t="shared" si="982"/>
        <v>47.168431814318708</v>
      </c>
      <c r="T506">
        <f t="shared" si="983"/>
        <v>4.7168431814318706E-2</v>
      </c>
    </row>
    <row r="507" spans="1:20" x14ac:dyDescent="0.25">
      <c r="A507" s="5">
        <v>44086</v>
      </c>
      <c r="B507">
        <v>225.19</v>
      </c>
      <c r="C507">
        <v>230.33</v>
      </c>
      <c r="D507">
        <v>222.41</v>
      </c>
      <c r="E507">
        <v>230.23</v>
      </c>
      <c r="F507">
        <v>84278.978409999996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0.97474747474746903</v>
      </c>
      <c r="Q507">
        <f t="shared" si="980"/>
        <v>82150.721379443959</v>
      </c>
      <c r="R507">
        <f t="shared" si="981"/>
        <v>4792102.5294914562</v>
      </c>
      <c r="S507">
        <f t="shared" si="982"/>
        <v>47.921025294914564</v>
      </c>
      <c r="T507">
        <f t="shared" si="983"/>
        <v>4.7921025294914564E-2</v>
      </c>
    </row>
    <row r="508" spans="1:20" x14ac:dyDescent="0.25">
      <c r="A508" s="5">
        <v>44085</v>
      </c>
      <c r="B508">
        <v>227.36</v>
      </c>
      <c r="C508">
        <v>228.47</v>
      </c>
      <c r="D508">
        <v>220.39</v>
      </c>
      <c r="E508">
        <v>225.2</v>
      </c>
      <c r="F508">
        <v>77133.942909999998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0.19059405940593932</v>
      </c>
      <c r="Q508">
        <f t="shared" si="980"/>
        <v>14701.271297202871</v>
      </c>
      <c r="R508">
        <f t="shared" si="981"/>
        <v>4709951.8081120122</v>
      </c>
      <c r="S508">
        <f t="shared" si="982"/>
        <v>47.099518081120124</v>
      </c>
      <c r="T508">
        <f t="shared" si="983"/>
        <v>4.7099518081120124E-2</v>
      </c>
    </row>
    <row r="509" spans="1:20" x14ac:dyDescent="0.25">
      <c r="A509" s="5">
        <v>44084</v>
      </c>
      <c r="B509">
        <v>224.05</v>
      </c>
      <c r="C509">
        <v>230.72</v>
      </c>
      <c r="D509">
        <v>223.74</v>
      </c>
      <c r="E509">
        <v>227.38</v>
      </c>
      <c r="F509">
        <v>103271.62362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4.2979942693407359E-2</v>
      </c>
      <c r="Q509">
        <f t="shared" si="980"/>
        <v>4438.6084650427338</v>
      </c>
      <c r="R509">
        <f t="shared" si="981"/>
        <v>4695250.5368148098</v>
      </c>
      <c r="S509">
        <f t="shared" si="982"/>
        <v>46.952505368148095</v>
      </c>
      <c r="T509">
        <f t="shared" si="983"/>
        <v>4.6952505368148094E-2</v>
      </c>
    </row>
    <row r="510" spans="1:20" x14ac:dyDescent="0.25">
      <c r="A510" s="5">
        <v>44083</v>
      </c>
      <c r="B510">
        <v>222.47</v>
      </c>
      <c r="C510">
        <v>228.39</v>
      </c>
      <c r="D510">
        <v>218.48</v>
      </c>
      <c r="E510">
        <v>224.09</v>
      </c>
      <c r="F510">
        <v>82681.915210000006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0.13218970736629981</v>
      </c>
      <c r="Q510">
        <f t="shared" si="980"/>
        <v>10929.698176095115</v>
      </c>
      <c r="R510">
        <f t="shared" si="981"/>
        <v>4690811.9283497669</v>
      </c>
      <c r="S510">
        <f t="shared" si="982"/>
        <v>46.908119283497669</v>
      </c>
      <c r="T510">
        <f t="shared" si="983"/>
        <v>4.6908119283497668E-2</v>
      </c>
    </row>
    <row r="511" spans="1:20" x14ac:dyDescent="0.25">
      <c r="A511" s="5">
        <v>44082</v>
      </c>
      <c r="B511">
        <v>228.77</v>
      </c>
      <c r="C511">
        <v>230.5</v>
      </c>
      <c r="D511">
        <v>215.66</v>
      </c>
      <c r="E511">
        <v>222.39</v>
      </c>
      <c r="F511">
        <v>145146.96536</v>
      </c>
      <c r="G511">
        <v>0</v>
      </c>
      <c r="L511" t="s">
        <v>7</v>
      </c>
      <c r="M511" t="s">
        <v>8</v>
      </c>
      <c r="N511" t="s">
        <v>7</v>
      </c>
      <c r="P511">
        <f t="shared" si="979"/>
        <v>-9.2991913746632321E-2</v>
      </c>
      <c r="Q511">
        <f t="shared" si="980"/>
        <v>-13497.49408334255</v>
      </c>
      <c r="R511">
        <f t="shared" si="981"/>
        <v>4679882.2301736716</v>
      </c>
      <c r="S511">
        <f t="shared" si="982"/>
        <v>46.798822301736713</v>
      </c>
      <c r="T511">
        <f t="shared" si="983"/>
        <v>4.6798822301736716E-2</v>
      </c>
    </row>
    <row r="512" spans="1:20" x14ac:dyDescent="0.25">
      <c r="A512" s="5">
        <v>44081</v>
      </c>
      <c r="B512">
        <v>227.76</v>
      </c>
      <c r="C512">
        <v>229.99</v>
      </c>
      <c r="D512">
        <v>215.44</v>
      </c>
      <c r="E512">
        <v>228.74</v>
      </c>
      <c r="F512">
        <v>181406.66681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0.82817869415807577</v>
      </c>
      <c r="Q512">
        <f t="shared" si="980"/>
        <v>150237.13643027493</v>
      </c>
      <c r="R512">
        <f t="shared" si="981"/>
        <v>4693379.7242570138</v>
      </c>
      <c r="S512">
        <f t="shared" si="982"/>
        <v>46.933797242570137</v>
      </c>
      <c r="T512">
        <f t="shared" si="983"/>
        <v>4.6933797242570137E-2</v>
      </c>
    </row>
    <row r="513" spans="1:20" x14ac:dyDescent="0.25">
      <c r="A513" s="5">
        <v>44080</v>
      </c>
      <c r="B513">
        <v>225.74</v>
      </c>
      <c r="C513">
        <v>233.45</v>
      </c>
      <c r="D513">
        <v>219.04</v>
      </c>
      <c r="E513">
        <v>227.67</v>
      </c>
      <c r="F513">
        <v>154472.60548999999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0.19777931991672415</v>
      </c>
      <c r="Q513">
        <f t="shared" si="980"/>
        <v>30551.486859576627</v>
      </c>
      <c r="R513">
        <f t="shared" si="981"/>
        <v>4543142.5878267391</v>
      </c>
      <c r="S513">
        <f t="shared" si="982"/>
        <v>45.43142587826739</v>
      </c>
      <c r="T513">
        <f t="shared" si="983"/>
        <v>4.5431425878267387E-2</v>
      </c>
    </row>
    <row r="514" spans="1:20" x14ac:dyDescent="0.25">
      <c r="A514" s="5">
        <v>44079</v>
      </c>
      <c r="B514">
        <v>229.98</v>
      </c>
      <c r="C514">
        <v>234.91</v>
      </c>
      <c r="D514">
        <v>214</v>
      </c>
      <c r="E514">
        <v>225.71</v>
      </c>
      <c r="F514">
        <v>291639.00414999999</v>
      </c>
      <c r="G514">
        <v>0</v>
      </c>
      <c r="L514" t="s">
        <v>7</v>
      </c>
      <c r="M514" t="s">
        <v>8</v>
      </c>
      <c r="N514" t="s">
        <v>7</v>
      </c>
      <c r="P514">
        <f t="shared" si="979"/>
        <v>0.12003825920612242</v>
      </c>
      <c r="Q514">
        <f t="shared" si="980"/>
        <v>35007.838374773113</v>
      </c>
      <c r="R514">
        <f t="shared" si="981"/>
        <v>4512591.1009671623</v>
      </c>
      <c r="S514">
        <f t="shared" si="982"/>
        <v>45.125911009671626</v>
      </c>
      <c r="T514">
        <f t="shared" si="983"/>
        <v>4.5125911009671622E-2</v>
      </c>
    </row>
    <row r="515" spans="1:20" x14ac:dyDescent="0.25">
      <c r="A515" s="5">
        <v>44078</v>
      </c>
      <c r="B515">
        <v>213.64</v>
      </c>
      <c r="C515">
        <v>239.91</v>
      </c>
      <c r="D515">
        <v>211.22</v>
      </c>
      <c r="E515">
        <v>229.98</v>
      </c>
      <c r="F515">
        <v>305119.21878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0.30777274311606778</v>
      </c>
      <c r="Q515">
        <f t="shared" si="980"/>
        <v>93907.378941352217</v>
      </c>
      <c r="R515">
        <f t="shared" si="981"/>
        <v>4477583.2625923892</v>
      </c>
      <c r="S515">
        <f t="shared" si="982"/>
        <v>44.77583262592389</v>
      </c>
      <c r="T515">
        <f t="shared" si="983"/>
        <v>4.4775832625923891E-2</v>
      </c>
    </row>
    <row r="516" spans="1:20" x14ac:dyDescent="0.25">
      <c r="A516" s="5">
        <v>44077</v>
      </c>
      <c r="B516">
        <v>263.94</v>
      </c>
      <c r="C516">
        <v>266.36</v>
      </c>
      <c r="D516">
        <v>200.73</v>
      </c>
      <c r="E516">
        <v>213.69</v>
      </c>
      <c r="F516">
        <v>341067.39889000001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-0.60505866219716586</v>
      </c>
      <c r="Q516">
        <f t="shared" si="980"/>
        <v>-206365.78409145054</v>
      </c>
      <c r="R516">
        <f t="shared" si="981"/>
        <v>4383675.8836510368</v>
      </c>
      <c r="S516">
        <f t="shared" si="982"/>
        <v>43.83675883651037</v>
      </c>
      <c r="T516">
        <f t="shared" si="983"/>
        <v>4.3836758836510371E-2</v>
      </c>
    </row>
    <row r="517" spans="1:20" x14ac:dyDescent="0.25">
      <c r="A517" s="5">
        <v>44076</v>
      </c>
      <c r="B517">
        <v>292.06</v>
      </c>
      <c r="C517">
        <v>295.17</v>
      </c>
      <c r="D517">
        <v>244</v>
      </c>
      <c r="E517">
        <v>263.83</v>
      </c>
      <c r="F517">
        <v>294314.69527999999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-0.22493648622239679</v>
      </c>
      <c r="Q517">
        <f t="shared" si="980"/>
        <v>-66202.113399898619</v>
      </c>
      <c r="R517">
        <f t="shared" si="981"/>
        <v>4590041.667742487</v>
      </c>
      <c r="S517">
        <f t="shared" si="982"/>
        <v>45.900416677424872</v>
      </c>
      <c r="T517">
        <f t="shared" si="983"/>
        <v>4.5900416677424873E-2</v>
      </c>
    </row>
    <row r="518" spans="1:20" x14ac:dyDescent="0.25">
      <c r="A518" s="5">
        <v>44075</v>
      </c>
      <c r="B518">
        <v>273.48</v>
      </c>
      <c r="C518">
        <v>298.05</v>
      </c>
      <c r="D518">
        <v>268.45999999999998</v>
      </c>
      <c r="E518">
        <v>292.07</v>
      </c>
      <c r="F518">
        <v>232587.92357000001</v>
      </c>
      <c r="G518">
        <v>0</v>
      </c>
      <c r="L518" t="s">
        <v>8</v>
      </c>
      <c r="M518" t="s">
        <v>7</v>
      </c>
      <c r="N518" t="s">
        <v>8</v>
      </c>
      <c r="P518">
        <f t="shared" ref="P518:P581" si="984">IF(C518=D518,0,((E518-D518)-(C518-E518))/(C518-D518))</f>
        <v>0.59580939506589981</v>
      </c>
      <c r="Q518">
        <f t="shared" ref="Q518:Q581" si="985">F518*P518</f>
        <v>138578.07004187544</v>
      </c>
      <c r="R518">
        <f t="shared" ref="R518:R581" si="986">R519+Q518</f>
        <v>4656243.7811423857</v>
      </c>
      <c r="S518">
        <f t="shared" ref="S518:S581" si="987">R518/100000</f>
        <v>46.562437811423855</v>
      </c>
      <c r="T518">
        <f t="shared" ref="T518:T581" si="988">S518/1000</f>
        <v>4.6562437811423857E-2</v>
      </c>
    </row>
    <row r="519" spans="1:20" x14ac:dyDescent="0.25">
      <c r="A519" s="5">
        <v>44074</v>
      </c>
      <c r="B519">
        <v>279.33</v>
      </c>
      <c r="C519">
        <v>281.45</v>
      </c>
      <c r="D519">
        <v>272.77</v>
      </c>
      <c r="E519">
        <v>273.5</v>
      </c>
      <c r="F519">
        <v>95088.984760000007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-0.83179723502303737</v>
      </c>
      <c r="Q519">
        <f t="shared" si="985"/>
        <v>-79094.754604515751</v>
      </c>
      <c r="R519">
        <f t="shared" si="986"/>
        <v>4517665.7111005103</v>
      </c>
      <c r="S519">
        <f t="shared" si="987"/>
        <v>45.176657111005106</v>
      </c>
      <c r="T519">
        <f t="shared" si="988"/>
        <v>4.5176657111005103E-2</v>
      </c>
    </row>
    <row r="520" spans="1:20" x14ac:dyDescent="0.25">
      <c r="A520" s="5">
        <v>44073</v>
      </c>
      <c r="B520">
        <v>268.02</v>
      </c>
      <c r="C520">
        <v>279.58</v>
      </c>
      <c r="D520">
        <v>267.64</v>
      </c>
      <c r="E520">
        <v>279.39</v>
      </c>
      <c r="F520">
        <v>86086.540110000002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0.96817420435510926</v>
      </c>
      <c r="Q520">
        <f t="shared" si="985"/>
        <v>83346.767476683453</v>
      </c>
      <c r="R520">
        <f t="shared" si="986"/>
        <v>4596760.4657050259</v>
      </c>
      <c r="S520">
        <f t="shared" si="987"/>
        <v>45.967604657050259</v>
      </c>
      <c r="T520">
        <f t="shared" si="988"/>
        <v>4.5967604657050257E-2</v>
      </c>
    </row>
    <row r="521" spans="1:20" x14ac:dyDescent="0.25">
      <c r="A521" s="5">
        <v>44072</v>
      </c>
      <c r="B521">
        <v>268.58999999999997</v>
      </c>
      <c r="C521">
        <v>272.64999999999998</v>
      </c>
      <c r="D521">
        <v>265.67</v>
      </c>
      <c r="E521">
        <v>268.04000000000002</v>
      </c>
      <c r="F521">
        <v>78192.336249999993</v>
      </c>
      <c r="G521">
        <v>0</v>
      </c>
      <c r="L521" t="s">
        <v>7</v>
      </c>
      <c r="M521" t="s">
        <v>7</v>
      </c>
      <c r="N521" t="s">
        <v>8</v>
      </c>
      <c r="P521">
        <f t="shared" si="984"/>
        <v>-0.32091690544412099</v>
      </c>
      <c r="Q521">
        <f t="shared" si="985"/>
        <v>-25093.242578796162</v>
      </c>
      <c r="R521">
        <f t="shared" si="986"/>
        <v>4513413.6982283425</v>
      </c>
      <c r="S521">
        <f t="shared" si="987"/>
        <v>45.134136982283422</v>
      </c>
      <c r="T521">
        <f t="shared" si="988"/>
        <v>4.513413698228342E-2</v>
      </c>
    </row>
    <row r="522" spans="1:20" x14ac:dyDescent="0.25">
      <c r="A522" s="5">
        <v>44071</v>
      </c>
      <c r="B522">
        <v>264.79000000000002</v>
      </c>
      <c r="C522">
        <v>271.93</v>
      </c>
      <c r="D522">
        <v>261.07</v>
      </c>
      <c r="E522">
        <v>268.66000000000003</v>
      </c>
      <c r="F522">
        <v>102440.04289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0.39779005524862288</v>
      </c>
      <c r="Q522">
        <f t="shared" si="985"/>
        <v>40749.630320884396</v>
      </c>
      <c r="R522">
        <f t="shared" si="986"/>
        <v>4538506.9408071386</v>
      </c>
      <c r="S522">
        <f t="shared" si="987"/>
        <v>45.385069408071388</v>
      </c>
      <c r="T522">
        <f t="shared" si="988"/>
        <v>4.5385069408071389E-2</v>
      </c>
    </row>
    <row r="523" spans="1:20" x14ac:dyDescent="0.25">
      <c r="A523" s="5">
        <v>44070</v>
      </c>
      <c r="B523">
        <v>274.83</v>
      </c>
      <c r="C523">
        <v>277.16000000000003</v>
      </c>
      <c r="D523">
        <v>258.12</v>
      </c>
      <c r="E523">
        <v>264.70999999999998</v>
      </c>
      <c r="F523">
        <v>165869.72283000001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-0.30777310924370083</v>
      </c>
      <c r="Q523">
        <f t="shared" si="985"/>
        <v>-51050.240324779974</v>
      </c>
      <c r="R523">
        <f t="shared" si="986"/>
        <v>4497757.3104862543</v>
      </c>
      <c r="S523">
        <f t="shared" si="987"/>
        <v>44.977573104862543</v>
      </c>
      <c r="T523">
        <f t="shared" si="988"/>
        <v>4.4977573104862542E-2</v>
      </c>
    </row>
    <row r="524" spans="1:20" x14ac:dyDescent="0.25">
      <c r="A524" s="5">
        <v>44069</v>
      </c>
      <c r="B524">
        <v>275.52</v>
      </c>
      <c r="C524">
        <v>279</v>
      </c>
      <c r="D524">
        <v>271</v>
      </c>
      <c r="E524">
        <v>274.81</v>
      </c>
      <c r="F524">
        <v>101109.15836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-4.7499999999999432E-2</v>
      </c>
      <c r="Q524">
        <f t="shared" si="985"/>
        <v>-4802.6850220999422</v>
      </c>
      <c r="R524">
        <f t="shared" si="986"/>
        <v>4548807.5508110346</v>
      </c>
      <c r="S524">
        <f t="shared" si="987"/>
        <v>45.488075508110349</v>
      </c>
      <c r="T524">
        <f t="shared" si="988"/>
        <v>4.5488075508110348E-2</v>
      </c>
    </row>
    <row r="525" spans="1:20" x14ac:dyDescent="0.25">
      <c r="A525" s="5">
        <v>44068</v>
      </c>
      <c r="B525">
        <v>290.63</v>
      </c>
      <c r="C525">
        <v>291.62</v>
      </c>
      <c r="D525">
        <v>268.20999999999998</v>
      </c>
      <c r="E525">
        <v>275.52</v>
      </c>
      <c r="F525">
        <v>146100.61556999999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-0.37548056386159806</v>
      </c>
      <c r="Q525">
        <f t="shared" si="985"/>
        <v>-54857.941514750171</v>
      </c>
      <c r="R525">
        <f t="shared" si="986"/>
        <v>4553610.2358331345</v>
      </c>
      <c r="S525">
        <f t="shared" si="987"/>
        <v>45.536102358331348</v>
      </c>
      <c r="T525">
        <f t="shared" si="988"/>
        <v>4.5536102358331346E-2</v>
      </c>
    </row>
    <row r="526" spans="1:20" x14ac:dyDescent="0.25">
      <c r="A526" s="5">
        <v>44067</v>
      </c>
      <c r="B526">
        <v>284.73</v>
      </c>
      <c r="C526">
        <v>295.10000000000002</v>
      </c>
      <c r="D526">
        <v>281.97000000000003</v>
      </c>
      <c r="E526">
        <v>290.63</v>
      </c>
      <c r="F526">
        <v>95194.727129999999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0.31911652703731475</v>
      </c>
      <c r="Q526">
        <f t="shared" si="985"/>
        <v>30378.210713990444</v>
      </c>
      <c r="R526">
        <f t="shared" si="986"/>
        <v>4608468.1773478845</v>
      </c>
      <c r="S526">
        <f t="shared" si="987"/>
        <v>46.084681773478842</v>
      </c>
      <c r="T526">
        <f t="shared" si="988"/>
        <v>4.6084681773478839E-2</v>
      </c>
    </row>
    <row r="527" spans="1:20" x14ac:dyDescent="0.25">
      <c r="A527" s="5">
        <v>44066</v>
      </c>
      <c r="B527">
        <v>286.44</v>
      </c>
      <c r="C527">
        <v>288.2</v>
      </c>
      <c r="D527">
        <v>278.62</v>
      </c>
      <c r="E527">
        <v>284.67</v>
      </c>
      <c r="F527">
        <v>69576.697079999998</v>
      </c>
      <c r="G527">
        <v>0</v>
      </c>
      <c r="L527" t="s">
        <v>7</v>
      </c>
      <c r="M527" t="s">
        <v>8</v>
      </c>
      <c r="N527" t="s">
        <v>8</v>
      </c>
      <c r="P527">
        <f t="shared" si="984"/>
        <v>0.26304801670146583</v>
      </c>
      <c r="Q527">
        <f t="shared" si="985"/>
        <v>18302.012175532669</v>
      </c>
      <c r="R527">
        <f t="shared" si="986"/>
        <v>4578089.9666338945</v>
      </c>
      <c r="S527">
        <f t="shared" si="987"/>
        <v>45.780899666338946</v>
      </c>
      <c r="T527">
        <f t="shared" si="988"/>
        <v>4.5780899666338949E-2</v>
      </c>
    </row>
    <row r="528" spans="1:20" x14ac:dyDescent="0.25">
      <c r="A528" s="5">
        <v>44065</v>
      </c>
      <c r="B528">
        <v>282.99</v>
      </c>
      <c r="C528">
        <v>287.74</v>
      </c>
      <c r="D528">
        <v>275.89999999999998</v>
      </c>
      <c r="E528">
        <v>286.44</v>
      </c>
      <c r="F528">
        <v>97009.604430000007</v>
      </c>
      <c r="G528">
        <v>0</v>
      </c>
      <c r="L528" t="s">
        <v>7</v>
      </c>
      <c r="M528" t="s">
        <v>8</v>
      </c>
      <c r="N528" t="s">
        <v>8</v>
      </c>
      <c r="P528">
        <f t="shared" si="984"/>
        <v>0.78040540540540404</v>
      </c>
      <c r="Q528">
        <f t="shared" si="985"/>
        <v>75706.819673412028</v>
      </c>
      <c r="R528">
        <f t="shared" si="986"/>
        <v>4559787.9544583615</v>
      </c>
      <c r="S528">
        <f t="shared" si="987"/>
        <v>45.597879544583613</v>
      </c>
      <c r="T528">
        <f t="shared" si="988"/>
        <v>4.5597879544583615E-2</v>
      </c>
    </row>
    <row r="529" spans="1:20" x14ac:dyDescent="0.25">
      <c r="A529" s="5">
        <v>44064</v>
      </c>
      <c r="B529">
        <v>294.69</v>
      </c>
      <c r="C529">
        <v>305.60000000000002</v>
      </c>
      <c r="D529">
        <v>281.27999999999997</v>
      </c>
      <c r="E529">
        <v>283.02</v>
      </c>
      <c r="F529">
        <v>174621.87664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-0.8569078947368417</v>
      </c>
      <c r="Q529">
        <f t="shared" si="985"/>
        <v>-149634.86468657889</v>
      </c>
      <c r="R529">
        <f t="shared" si="986"/>
        <v>4484081.134784949</v>
      </c>
      <c r="S529">
        <f t="shared" si="987"/>
        <v>44.840811347849488</v>
      </c>
      <c r="T529">
        <f t="shared" si="988"/>
        <v>4.4840811347849487E-2</v>
      </c>
    </row>
    <row r="530" spans="1:20" x14ac:dyDescent="0.25">
      <c r="A530" s="5">
        <v>44063</v>
      </c>
      <c r="B530">
        <v>292.74</v>
      </c>
      <c r="C530">
        <v>296.32</v>
      </c>
      <c r="D530">
        <v>288.63</v>
      </c>
      <c r="E530">
        <v>294.69</v>
      </c>
      <c r="F530">
        <v>103320.74748999999</v>
      </c>
      <c r="G530">
        <v>0</v>
      </c>
      <c r="L530" t="s">
        <v>7</v>
      </c>
      <c r="M530" t="s">
        <v>8</v>
      </c>
      <c r="N530" t="s">
        <v>8</v>
      </c>
      <c r="P530">
        <f t="shared" si="984"/>
        <v>0.57607282184655506</v>
      </c>
      <c r="Q530">
        <f t="shared" si="985"/>
        <v>59520.274561859667</v>
      </c>
      <c r="R530">
        <f t="shared" si="986"/>
        <v>4633715.9994715275</v>
      </c>
      <c r="S530">
        <f t="shared" si="987"/>
        <v>46.337159994715272</v>
      </c>
      <c r="T530">
        <f t="shared" si="988"/>
        <v>4.6337159994715271E-2</v>
      </c>
    </row>
    <row r="531" spans="1:20" x14ac:dyDescent="0.25">
      <c r="A531" s="5">
        <v>44062</v>
      </c>
      <c r="B531">
        <v>303.14999999999998</v>
      </c>
      <c r="C531">
        <v>309.16000000000003</v>
      </c>
      <c r="D531">
        <v>280.8</v>
      </c>
      <c r="E531">
        <v>292.73</v>
      </c>
      <c r="F531">
        <v>185910.32206000001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-0.15867418899858948</v>
      </c>
      <c r="Q531">
        <f t="shared" si="985"/>
        <v>-29499.169579337082</v>
      </c>
      <c r="R531">
        <f t="shared" si="986"/>
        <v>4574195.7249096679</v>
      </c>
      <c r="S531">
        <f t="shared" si="987"/>
        <v>45.741957249096679</v>
      </c>
      <c r="T531">
        <f t="shared" si="988"/>
        <v>4.5741957249096681E-2</v>
      </c>
    </row>
    <row r="532" spans="1:20" x14ac:dyDescent="0.25">
      <c r="A532" s="5">
        <v>44061</v>
      </c>
      <c r="B532">
        <v>318.02</v>
      </c>
      <c r="C532">
        <v>324.44</v>
      </c>
      <c r="D532">
        <v>300.5</v>
      </c>
      <c r="E532">
        <v>303.14</v>
      </c>
      <c r="F532">
        <v>214416.37809000001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-0.77944862155388583</v>
      </c>
      <c r="Q532">
        <f t="shared" si="985"/>
        <v>-167126.55034082732</v>
      </c>
      <c r="R532">
        <f t="shared" si="986"/>
        <v>4603694.8944890052</v>
      </c>
      <c r="S532">
        <f t="shared" si="987"/>
        <v>46.03694894489005</v>
      </c>
      <c r="T532">
        <f t="shared" si="988"/>
        <v>4.6036948944890049E-2</v>
      </c>
    </row>
    <row r="533" spans="1:20" x14ac:dyDescent="0.25">
      <c r="A533" s="5">
        <v>44060</v>
      </c>
      <c r="B533">
        <v>308.32</v>
      </c>
      <c r="C533">
        <v>325</v>
      </c>
      <c r="D533">
        <v>301.01</v>
      </c>
      <c r="E533">
        <v>318.08999999999997</v>
      </c>
      <c r="F533">
        <v>271033.89159999997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0.42392663609837244</v>
      </c>
      <c r="Q533">
        <f t="shared" si="985"/>
        <v>114898.48593463891</v>
      </c>
      <c r="R533">
        <f t="shared" si="986"/>
        <v>4770821.4448298328</v>
      </c>
      <c r="S533">
        <f t="shared" si="987"/>
        <v>47.708214448298328</v>
      </c>
      <c r="T533">
        <f t="shared" si="988"/>
        <v>4.7708214448298328E-2</v>
      </c>
    </row>
    <row r="534" spans="1:20" x14ac:dyDescent="0.25">
      <c r="A534" s="5">
        <v>44059</v>
      </c>
      <c r="B534">
        <v>302.25</v>
      </c>
      <c r="C534">
        <v>313.92</v>
      </c>
      <c r="D534">
        <v>293.74</v>
      </c>
      <c r="E534">
        <v>308.23</v>
      </c>
      <c r="F534">
        <v>216695.57321999999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0.43607532210109062</v>
      </c>
      <c r="Q534">
        <f t="shared" si="985"/>
        <v>94495.591889791962</v>
      </c>
      <c r="R534">
        <f t="shared" si="986"/>
        <v>4655922.9588951934</v>
      </c>
      <c r="S534">
        <f t="shared" si="987"/>
        <v>46.559229588951936</v>
      </c>
      <c r="T534">
        <f t="shared" si="988"/>
        <v>4.6559229588951936E-2</v>
      </c>
    </row>
    <row r="535" spans="1:20" x14ac:dyDescent="0.25">
      <c r="A535" s="5">
        <v>44058</v>
      </c>
      <c r="B535">
        <v>293.3</v>
      </c>
      <c r="C535">
        <v>308.62</v>
      </c>
      <c r="D535">
        <v>290.5</v>
      </c>
      <c r="E535">
        <v>302.17</v>
      </c>
      <c r="F535">
        <v>211183.74445999999</v>
      </c>
      <c r="G535">
        <v>0</v>
      </c>
      <c r="L535" t="s">
        <v>8</v>
      </c>
      <c r="M535" t="s">
        <v>7</v>
      </c>
      <c r="N535" t="s">
        <v>8</v>
      </c>
      <c r="P535">
        <f t="shared" si="984"/>
        <v>0.28807947019867691</v>
      </c>
      <c r="Q535">
        <f t="shared" si="985"/>
        <v>60837.701218609567</v>
      </c>
      <c r="R535">
        <f t="shared" si="986"/>
        <v>4561427.3670054013</v>
      </c>
      <c r="S535">
        <f t="shared" si="987"/>
        <v>45.614273670054011</v>
      </c>
      <c r="T535">
        <f t="shared" si="988"/>
        <v>4.5614273670054009E-2</v>
      </c>
    </row>
    <row r="536" spans="1:20" x14ac:dyDescent="0.25">
      <c r="A536" s="5">
        <v>44057</v>
      </c>
      <c r="B536">
        <v>295.77999999999997</v>
      </c>
      <c r="C536">
        <v>297.97000000000003</v>
      </c>
      <c r="D536">
        <v>287.02</v>
      </c>
      <c r="E536">
        <v>293.38</v>
      </c>
      <c r="F536">
        <v>169930.75534999999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0.16164383561643603</v>
      </c>
      <c r="Q536">
        <f t="shared" si="985"/>
        <v>27468.259083972207</v>
      </c>
      <c r="R536">
        <f t="shared" si="986"/>
        <v>4500589.6657867916</v>
      </c>
      <c r="S536">
        <f t="shared" si="987"/>
        <v>45.005896657867915</v>
      </c>
      <c r="T536">
        <f t="shared" si="988"/>
        <v>4.5005896657867916E-2</v>
      </c>
    </row>
    <row r="537" spans="1:20" x14ac:dyDescent="0.25">
      <c r="A537" s="5">
        <v>44056</v>
      </c>
      <c r="B537">
        <v>284.70999999999998</v>
      </c>
      <c r="C537">
        <v>297.12</v>
      </c>
      <c r="D537">
        <v>274.27</v>
      </c>
      <c r="E537">
        <v>295.75</v>
      </c>
      <c r="F537">
        <v>176241.93325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0.88008752735229734</v>
      </c>
      <c r="Q537">
        <f t="shared" si="985"/>
        <v>155108.32724978114</v>
      </c>
      <c r="R537">
        <f t="shared" si="986"/>
        <v>4473121.4067028193</v>
      </c>
      <c r="S537">
        <f t="shared" si="987"/>
        <v>44.731214067028191</v>
      </c>
      <c r="T537">
        <f t="shared" si="988"/>
        <v>4.4731214067028194E-2</v>
      </c>
    </row>
    <row r="538" spans="1:20" x14ac:dyDescent="0.25">
      <c r="A538" s="5">
        <v>44055</v>
      </c>
      <c r="B538">
        <v>281.8</v>
      </c>
      <c r="C538">
        <v>290.2</v>
      </c>
      <c r="D538">
        <v>270.48</v>
      </c>
      <c r="E538">
        <v>284.67</v>
      </c>
      <c r="F538">
        <v>163517.54801999999</v>
      </c>
      <c r="G538">
        <v>0</v>
      </c>
      <c r="L538" t="s">
        <v>8</v>
      </c>
      <c r="M538" t="s">
        <v>7</v>
      </c>
      <c r="N538" t="s">
        <v>8</v>
      </c>
      <c r="P538">
        <f t="shared" si="984"/>
        <v>0.43914807302231429</v>
      </c>
      <c r="Q538">
        <f t="shared" si="985"/>
        <v>71808.416118316731</v>
      </c>
      <c r="R538">
        <f t="shared" si="986"/>
        <v>4318013.0794530381</v>
      </c>
      <c r="S538">
        <f t="shared" si="987"/>
        <v>43.180130794530378</v>
      </c>
      <c r="T538">
        <f t="shared" si="988"/>
        <v>4.3180130794530376E-2</v>
      </c>
    </row>
    <row r="539" spans="1:20" x14ac:dyDescent="0.25">
      <c r="A539" s="5">
        <v>44054</v>
      </c>
      <c r="B539">
        <v>302.37</v>
      </c>
      <c r="C539">
        <v>305.81</v>
      </c>
      <c r="D539">
        <v>269.58999999999997</v>
      </c>
      <c r="E539">
        <v>281.83</v>
      </c>
      <c r="F539">
        <v>232065.22636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-0.32413031474323578</v>
      </c>
      <c r="Q539">
        <f t="shared" si="985"/>
        <v>-75219.374861027056</v>
      </c>
      <c r="R539">
        <f t="shared" si="986"/>
        <v>4246204.6633347217</v>
      </c>
      <c r="S539">
        <f t="shared" si="987"/>
        <v>42.462046633347214</v>
      </c>
      <c r="T539">
        <f t="shared" si="988"/>
        <v>4.2462046633347211E-2</v>
      </c>
    </row>
    <row r="540" spans="1:20" x14ac:dyDescent="0.25">
      <c r="A540" s="5">
        <v>44053</v>
      </c>
      <c r="B540">
        <v>299.95</v>
      </c>
      <c r="C540">
        <v>309.17</v>
      </c>
      <c r="D540">
        <v>283.75</v>
      </c>
      <c r="E540">
        <v>302.39999999999998</v>
      </c>
      <c r="F540">
        <v>198749.83351999999</v>
      </c>
      <c r="G540">
        <v>0</v>
      </c>
      <c r="L540" t="s">
        <v>7</v>
      </c>
      <c r="M540" t="s">
        <v>7</v>
      </c>
      <c r="N540" t="s">
        <v>8</v>
      </c>
      <c r="P540">
        <f t="shared" si="984"/>
        <v>0.46734854445318375</v>
      </c>
      <c r="Q540">
        <f t="shared" si="985"/>
        <v>92885.445405884588</v>
      </c>
      <c r="R540">
        <f t="shared" si="986"/>
        <v>4321424.0381957488</v>
      </c>
      <c r="S540">
        <f t="shared" si="987"/>
        <v>43.214240381957488</v>
      </c>
      <c r="T540">
        <f t="shared" si="988"/>
        <v>4.3214240381957487E-2</v>
      </c>
    </row>
    <row r="541" spans="1:20" x14ac:dyDescent="0.25">
      <c r="A541" s="5">
        <v>44052</v>
      </c>
      <c r="B541">
        <v>305.33</v>
      </c>
      <c r="C541">
        <v>309.02</v>
      </c>
      <c r="D541">
        <v>291.51</v>
      </c>
      <c r="E541">
        <v>299.94</v>
      </c>
      <c r="F541">
        <v>141005.25536000001</v>
      </c>
      <c r="G541">
        <v>0</v>
      </c>
      <c r="L541" t="s">
        <v>7</v>
      </c>
      <c r="M541" t="s">
        <v>7</v>
      </c>
      <c r="N541" t="s">
        <v>8</v>
      </c>
      <c r="P541">
        <f t="shared" si="984"/>
        <v>-3.7121644774413341E-2</v>
      </c>
      <c r="Q541">
        <f t="shared" si="985"/>
        <v>-5234.3470007993628</v>
      </c>
      <c r="R541">
        <f t="shared" si="986"/>
        <v>4228538.5927898642</v>
      </c>
      <c r="S541">
        <f t="shared" si="987"/>
        <v>42.285385927898645</v>
      </c>
      <c r="T541">
        <f t="shared" si="988"/>
        <v>4.2285385927898642E-2</v>
      </c>
    </row>
    <row r="542" spans="1:20" x14ac:dyDescent="0.25">
      <c r="A542" s="5">
        <v>44051</v>
      </c>
      <c r="B542">
        <v>302.2</v>
      </c>
      <c r="C542">
        <v>309.58</v>
      </c>
      <c r="D542">
        <v>297.07</v>
      </c>
      <c r="E542">
        <v>305.33</v>
      </c>
      <c r="F542">
        <v>160729.77705</v>
      </c>
      <c r="G542">
        <v>0</v>
      </c>
      <c r="L542" t="s">
        <v>7</v>
      </c>
      <c r="M542" t="s">
        <v>7</v>
      </c>
      <c r="N542" t="s">
        <v>8</v>
      </c>
      <c r="P542">
        <f t="shared" si="984"/>
        <v>0.32054356514788118</v>
      </c>
      <c r="Q542">
        <f t="shared" si="985"/>
        <v>51520.895761031097</v>
      </c>
      <c r="R542">
        <f t="shared" si="986"/>
        <v>4233772.9397906633</v>
      </c>
      <c r="S542">
        <f t="shared" si="987"/>
        <v>42.337729397906635</v>
      </c>
      <c r="T542">
        <f t="shared" si="988"/>
        <v>4.2337729397906636E-2</v>
      </c>
    </row>
    <row r="543" spans="1:20" x14ac:dyDescent="0.25">
      <c r="A543" s="5">
        <v>44050</v>
      </c>
      <c r="B543">
        <v>309</v>
      </c>
      <c r="C543">
        <v>326.33</v>
      </c>
      <c r="D543">
        <v>277.06</v>
      </c>
      <c r="E543">
        <v>302.2</v>
      </c>
      <c r="F543">
        <v>322693.60595</v>
      </c>
      <c r="G543">
        <v>0</v>
      </c>
      <c r="L543" t="s">
        <v>8</v>
      </c>
      <c r="M543" t="s">
        <v>7</v>
      </c>
      <c r="N543" t="s">
        <v>8</v>
      </c>
      <c r="P543">
        <f t="shared" si="984"/>
        <v>2.0499289628577052E-2</v>
      </c>
      <c r="Q543">
        <f t="shared" si="985"/>
        <v>6614.9896896589653</v>
      </c>
      <c r="R543">
        <f t="shared" si="986"/>
        <v>4182252.0440296326</v>
      </c>
      <c r="S543">
        <f t="shared" si="987"/>
        <v>41.822520440296323</v>
      </c>
      <c r="T543">
        <f t="shared" si="988"/>
        <v>4.1822520440296322E-2</v>
      </c>
    </row>
    <row r="544" spans="1:20" x14ac:dyDescent="0.25">
      <c r="A544" s="5">
        <v>44049</v>
      </c>
      <c r="B544">
        <v>293.56</v>
      </c>
      <c r="C544">
        <v>320</v>
      </c>
      <c r="D544">
        <v>287.33</v>
      </c>
      <c r="E544">
        <v>309</v>
      </c>
      <c r="F544">
        <v>269135.29624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0.32659932659932694</v>
      </c>
      <c r="Q544">
        <f t="shared" si="985"/>
        <v>87899.406516094372</v>
      </c>
      <c r="R544">
        <f t="shared" si="986"/>
        <v>4175637.0543399737</v>
      </c>
      <c r="S544">
        <f t="shared" si="987"/>
        <v>41.75637054339974</v>
      </c>
      <c r="T544">
        <f t="shared" si="988"/>
        <v>4.1756370543399743E-2</v>
      </c>
    </row>
    <row r="545" spans="1:20" x14ac:dyDescent="0.25">
      <c r="A545" s="5">
        <v>44048</v>
      </c>
      <c r="B545">
        <v>288.07</v>
      </c>
      <c r="C545">
        <v>298.25</v>
      </c>
      <c r="D545">
        <v>284</v>
      </c>
      <c r="E545">
        <v>293.5</v>
      </c>
      <c r="F545">
        <v>191543.19553999999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0.33333333333333331</v>
      </c>
      <c r="Q545">
        <f t="shared" si="985"/>
        <v>63847.731846666662</v>
      </c>
      <c r="R545">
        <f t="shared" si="986"/>
        <v>4087737.6478238795</v>
      </c>
      <c r="S545">
        <f t="shared" si="987"/>
        <v>40.877376478238794</v>
      </c>
      <c r="T545">
        <f t="shared" si="988"/>
        <v>4.0877376478238796E-2</v>
      </c>
    </row>
    <row r="546" spans="1:20" x14ac:dyDescent="0.25">
      <c r="A546" s="5">
        <v>44047</v>
      </c>
      <c r="B546">
        <v>296.79000000000002</v>
      </c>
      <c r="C546">
        <v>303.14</v>
      </c>
      <c r="D546">
        <v>281.02</v>
      </c>
      <c r="E546">
        <v>288.07</v>
      </c>
      <c r="F546">
        <v>153926.10948000001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-0.36256781193489962</v>
      </c>
      <c r="Q546">
        <f t="shared" si="985"/>
        <v>-55808.652713815412</v>
      </c>
      <c r="R546">
        <f t="shared" si="986"/>
        <v>4023889.9159772131</v>
      </c>
      <c r="S546">
        <f t="shared" si="987"/>
        <v>40.238899159772131</v>
      </c>
      <c r="T546">
        <f t="shared" si="988"/>
        <v>4.0238899159772135E-2</v>
      </c>
    </row>
    <row r="547" spans="1:20" x14ac:dyDescent="0.25">
      <c r="A547" s="5">
        <v>44046</v>
      </c>
      <c r="B547">
        <v>284.10000000000002</v>
      </c>
      <c r="C547">
        <v>304.69</v>
      </c>
      <c r="D547">
        <v>278.99</v>
      </c>
      <c r="E547">
        <v>296.77</v>
      </c>
      <c r="F547">
        <v>207048.17314</v>
      </c>
      <c r="G547">
        <v>0</v>
      </c>
      <c r="L547" t="s">
        <v>7</v>
      </c>
      <c r="M547" t="s">
        <v>7</v>
      </c>
      <c r="N547" t="s">
        <v>8</v>
      </c>
      <c r="P547">
        <f t="shared" si="984"/>
        <v>0.3836575875486366</v>
      </c>
      <c r="Q547">
        <f t="shared" si="985"/>
        <v>79435.602613244817</v>
      </c>
      <c r="R547">
        <f t="shared" si="986"/>
        <v>4079698.5686910283</v>
      </c>
      <c r="S547">
        <f t="shared" si="987"/>
        <v>40.796985686910283</v>
      </c>
      <c r="T547">
        <f t="shared" si="988"/>
        <v>4.079698568691028E-2</v>
      </c>
    </row>
    <row r="548" spans="1:20" x14ac:dyDescent="0.25">
      <c r="A548" s="5">
        <v>44045</v>
      </c>
      <c r="B548">
        <v>319.38</v>
      </c>
      <c r="C548">
        <v>337.9</v>
      </c>
      <c r="D548">
        <v>235.5</v>
      </c>
      <c r="E548">
        <v>284.10000000000002</v>
      </c>
      <c r="F548">
        <v>430392.32287999999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-5.0781249999999348E-2</v>
      </c>
      <c r="Q548">
        <f t="shared" si="985"/>
        <v>-21855.860146249717</v>
      </c>
      <c r="R548">
        <f t="shared" si="986"/>
        <v>4000262.9660777836</v>
      </c>
      <c r="S548">
        <f t="shared" si="987"/>
        <v>40.002629660777835</v>
      </c>
      <c r="T548">
        <f t="shared" si="988"/>
        <v>4.0002629660777833E-2</v>
      </c>
    </row>
    <row r="549" spans="1:20" x14ac:dyDescent="0.25">
      <c r="A549" s="5">
        <v>44044</v>
      </c>
      <c r="B549">
        <v>300.48</v>
      </c>
      <c r="C549">
        <v>321.19</v>
      </c>
      <c r="D549">
        <v>298</v>
      </c>
      <c r="E549">
        <v>319.39</v>
      </c>
      <c r="F549">
        <v>224854.88370000001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0.84476067270375066</v>
      </c>
      <c r="Q549">
        <f t="shared" si="985"/>
        <v>189948.56281513564</v>
      </c>
      <c r="R549">
        <f t="shared" si="986"/>
        <v>4022118.8262240333</v>
      </c>
      <c r="S549">
        <f t="shared" si="987"/>
        <v>40.221188262240332</v>
      </c>
      <c r="T549">
        <f t="shared" si="988"/>
        <v>4.0221188262240332E-2</v>
      </c>
    </row>
    <row r="550" spans="1:20" x14ac:dyDescent="0.25">
      <c r="A550" s="5">
        <v>44043</v>
      </c>
      <c r="B550">
        <v>291.62</v>
      </c>
      <c r="C550">
        <v>306.56</v>
      </c>
      <c r="D550">
        <v>287</v>
      </c>
      <c r="E550">
        <v>300.5</v>
      </c>
      <c r="F550">
        <v>157367.52645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0.38036809815950906</v>
      </c>
      <c r="Q550">
        <f t="shared" si="985"/>
        <v>59857.586747852743</v>
      </c>
      <c r="R550">
        <f t="shared" si="986"/>
        <v>3832170.2634088974</v>
      </c>
      <c r="S550">
        <f t="shared" si="987"/>
        <v>38.321702634088972</v>
      </c>
      <c r="T550">
        <f t="shared" si="988"/>
        <v>3.8321702634088975E-2</v>
      </c>
    </row>
    <row r="551" spans="1:20" x14ac:dyDescent="0.25">
      <c r="A551" s="5">
        <v>44042</v>
      </c>
      <c r="B551">
        <v>287.69</v>
      </c>
      <c r="C551">
        <v>300.29000000000002</v>
      </c>
      <c r="D551">
        <v>280.55</v>
      </c>
      <c r="E551">
        <v>291.62</v>
      </c>
      <c r="F551">
        <v>188439.29175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0.1215805471124608</v>
      </c>
      <c r="Q551">
        <f t="shared" si="985"/>
        <v>22910.552188449623</v>
      </c>
      <c r="R551">
        <f t="shared" si="986"/>
        <v>3772312.6766610448</v>
      </c>
      <c r="S551">
        <f t="shared" si="987"/>
        <v>37.723126766610449</v>
      </c>
      <c r="T551">
        <f t="shared" si="988"/>
        <v>3.7723126766610451E-2</v>
      </c>
    </row>
    <row r="552" spans="1:20" x14ac:dyDescent="0.25">
      <c r="A552" s="5">
        <v>44041</v>
      </c>
      <c r="B552">
        <v>288.92</v>
      </c>
      <c r="C552">
        <v>294.5</v>
      </c>
      <c r="D552">
        <v>284.95</v>
      </c>
      <c r="E552">
        <v>287.69</v>
      </c>
      <c r="F552">
        <v>184409.18377999999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-0.42617801047120296</v>
      </c>
      <c r="Q552">
        <f t="shared" si="985"/>
        <v>-78591.139055978827</v>
      </c>
      <c r="R552">
        <f t="shared" si="986"/>
        <v>3749402.1244725953</v>
      </c>
      <c r="S552">
        <f t="shared" si="987"/>
        <v>37.49402124472595</v>
      </c>
      <c r="T552">
        <f t="shared" si="988"/>
        <v>3.749402124472595E-2</v>
      </c>
    </row>
    <row r="553" spans="1:20" x14ac:dyDescent="0.25">
      <c r="A553" s="5">
        <v>44040</v>
      </c>
      <c r="B553">
        <v>268.61</v>
      </c>
      <c r="C553">
        <v>297.44</v>
      </c>
      <c r="D553">
        <v>264.45</v>
      </c>
      <c r="E553">
        <v>288.94</v>
      </c>
      <c r="F553">
        <v>307746.91185999999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0.4846923310093969</v>
      </c>
      <c r="Q553">
        <f t="shared" si="985"/>
        <v>149162.5680703668</v>
      </c>
      <c r="R553">
        <f t="shared" si="986"/>
        <v>3827993.2635285743</v>
      </c>
      <c r="S553">
        <f t="shared" si="987"/>
        <v>38.279932635285739</v>
      </c>
      <c r="T553">
        <f t="shared" si="988"/>
        <v>3.8279932635285736E-2</v>
      </c>
    </row>
    <row r="554" spans="1:20" x14ac:dyDescent="0.25">
      <c r="A554" s="5">
        <v>44039</v>
      </c>
      <c r="B554">
        <v>247.47</v>
      </c>
      <c r="C554">
        <v>275.27999999999997</v>
      </c>
      <c r="D554">
        <v>247.04</v>
      </c>
      <c r="E554">
        <v>268.62</v>
      </c>
      <c r="F554">
        <v>274806.43059</v>
      </c>
      <c r="G554">
        <v>0</v>
      </c>
      <c r="L554" t="s">
        <v>8</v>
      </c>
      <c r="M554" t="s">
        <v>8</v>
      </c>
      <c r="N554" t="s">
        <v>7</v>
      </c>
      <c r="P554">
        <f t="shared" si="984"/>
        <v>0.52832861189801894</v>
      </c>
      <c r="Q554">
        <f t="shared" si="985"/>
        <v>145188.100014264</v>
      </c>
      <c r="R554">
        <f t="shared" si="986"/>
        <v>3678830.6954582073</v>
      </c>
      <c r="S554">
        <f t="shared" si="987"/>
        <v>36.788306954582076</v>
      </c>
      <c r="T554">
        <f t="shared" si="988"/>
        <v>3.6788306954582073E-2</v>
      </c>
    </row>
    <row r="555" spans="1:20" x14ac:dyDescent="0.25">
      <c r="A555" s="5">
        <v>44038</v>
      </c>
      <c r="B555">
        <v>251.24</v>
      </c>
      <c r="C555">
        <v>257.29000000000002</v>
      </c>
      <c r="D555">
        <v>244.03</v>
      </c>
      <c r="E555">
        <v>247.45</v>
      </c>
      <c r="F555">
        <v>156020.64077999999</v>
      </c>
      <c r="G555">
        <v>0</v>
      </c>
      <c r="L555" t="s">
        <v>8</v>
      </c>
      <c r="M555" t="s">
        <v>8</v>
      </c>
      <c r="N555" t="s">
        <v>7</v>
      </c>
      <c r="P555">
        <f t="shared" si="984"/>
        <v>-0.48416289592760448</v>
      </c>
      <c r="Q555">
        <f t="shared" si="985"/>
        <v>-75539.405264525296</v>
      </c>
      <c r="R555">
        <f t="shared" si="986"/>
        <v>3533642.5954439435</v>
      </c>
      <c r="S555">
        <f t="shared" si="987"/>
        <v>35.336425954439434</v>
      </c>
      <c r="T555">
        <f t="shared" si="988"/>
        <v>3.5336425954439435E-2</v>
      </c>
    </row>
    <row r="556" spans="1:20" x14ac:dyDescent="0.25">
      <c r="A556" s="5">
        <v>44037</v>
      </c>
      <c r="B556">
        <v>235.04</v>
      </c>
      <c r="C556">
        <v>253.58</v>
      </c>
      <c r="D556">
        <v>234.77</v>
      </c>
      <c r="E556">
        <v>251.22</v>
      </c>
      <c r="F556">
        <v>170214.47420999999</v>
      </c>
      <c r="G556">
        <v>0</v>
      </c>
      <c r="L556" t="s">
        <v>8</v>
      </c>
      <c r="M556" t="s">
        <v>8</v>
      </c>
      <c r="N556" t="s">
        <v>7</v>
      </c>
      <c r="P556">
        <f t="shared" si="984"/>
        <v>0.74906964380648444</v>
      </c>
      <c r="Q556">
        <f t="shared" si="985"/>
        <v>127502.49556719272</v>
      </c>
      <c r="R556">
        <f t="shared" si="986"/>
        <v>3609182.0007084687</v>
      </c>
      <c r="S556">
        <f t="shared" si="987"/>
        <v>36.091820007084685</v>
      </c>
      <c r="T556">
        <f t="shared" si="988"/>
        <v>3.6091820007084684E-2</v>
      </c>
    </row>
    <row r="557" spans="1:20" x14ac:dyDescent="0.25">
      <c r="A557" s="5">
        <v>44036</v>
      </c>
      <c r="B557">
        <v>238.33</v>
      </c>
      <c r="C557">
        <v>238.97</v>
      </c>
      <c r="D557">
        <v>232.49</v>
      </c>
      <c r="E557">
        <v>235.03</v>
      </c>
      <c r="F557">
        <v>84930.964829999997</v>
      </c>
      <c r="G557">
        <v>0</v>
      </c>
      <c r="L557" t="s">
        <v>8</v>
      </c>
      <c r="M557" t="s">
        <v>7</v>
      </c>
      <c r="N557" t="s">
        <v>7</v>
      </c>
      <c r="P557">
        <f t="shared" si="984"/>
        <v>-0.21604938271605059</v>
      </c>
      <c r="Q557">
        <f t="shared" si="985"/>
        <v>-18349.282525000101</v>
      </c>
      <c r="R557">
        <f t="shared" si="986"/>
        <v>3481679.5051412759</v>
      </c>
      <c r="S557">
        <f t="shared" si="987"/>
        <v>34.816795051412761</v>
      </c>
      <c r="T557">
        <f t="shared" si="988"/>
        <v>3.4816795051412761E-2</v>
      </c>
    </row>
    <row r="558" spans="1:20" x14ac:dyDescent="0.25">
      <c r="A558" s="5">
        <v>44035</v>
      </c>
      <c r="B558">
        <v>239.8</v>
      </c>
      <c r="C558">
        <v>243.05</v>
      </c>
      <c r="D558">
        <v>234.43</v>
      </c>
      <c r="E558">
        <v>238.39</v>
      </c>
      <c r="F558">
        <v>103466.54674000001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-8.1206496519726806E-2</v>
      </c>
      <c r="Q558">
        <f t="shared" si="985"/>
        <v>-8402.1557677499623</v>
      </c>
      <c r="R558">
        <f t="shared" si="986"/>
        <v>3500028.7876662761</v>
      </c>
      <c r="S558">
        <f t="shared" si="987"/>
        <v>35.00028787666276</v>
      </c>
      <c r="T558">
        <f t="shared" si="988"/>
        <v>3.5000287876662761E-2</v>
      </c>
    </row>
    <row r="559" spans="1:20" x14ac:dyDescent="0.25">
      <c r="A559" s="5">
        <v>44034</v>
      </c>
      <c r="B559">
        <v>230.34</v>
      </c>
      <c r="C559">
        <v>239.93</v>
      </c>
      <c r="D559">
        <v>227.66</v>
      </c>
      <c r="E559">
        <v>239.8</v>
      </c>
      <c r="F559">
        <v>94442.915670000002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0.97881010594947104</v>
      </c>
      <c r="Q559">
        <f t="shared" si="985"/>
        <v>92441.680293129655</v>
      </c>
      <c r="R559">
        <f t="shared" si="986"/>
        <v>3508430.9434340261</v>
      </c>
      <c r="S559">
        <f t="shared" si="987"/>
        <v>35.084309434340263</v>
      </c>
      <c r="T559">
        <f t="shared" si="988"/>
        <v>3.5084309434340259E-2</v>
      </c>
    </row>
    <row r="560" spans="1:20" x14ac:dyDescent="0.25">
      <c r="A560" s="5">
        <v>44033</v>
      </c>
      <c r="B560">
        <v>222.76</v>
      </c>
      <c r="C560">
        <v>232.5</v>
      </c>
      <c r="D560">
        <v>222.22</v>
      </c>
      <c r="E560">
        <v>230.34</v>
      </c>
      <c r="F560">
        <v>84436.481629999995</v>
      </c>
      <c r="G560">
        <v>0</v>
      </c>
      <c r="L560" t="s">
        <v>8</v>
      </c>
      <c r="M560" t="s">
        <v>7</v>
      </c>
      <c r="N560" t="s">
        <v>7</v>
      </c>
      <c r="P560">
        <f t="shared" si="984"/>
        <v>0.57976653696498126</v>
      </c>
      <c r="Q560">
        <f t="shared" si="985"/>
        <v>48953.44654813235</v>
      </c>
      <c r="R560">
        <f t="shared" si="986"/>
        <v>3415989.2631408963</v>
      </c>
      <c r="S560">
        <f t="shared" si="987"/>
        <v>34.159892631408965</v>
      </c>
      <c r="T560">
        <f t="shared" si="988"/>
        <v>3.4159892631408964E-2</v>
      </c>
    </row>
    <row r="561" spans="1:104" x14ac:dyDescent="0.25">
      <c r="A561" s="5">
        <v>44032</v>
      </c>
      <c r="B561">
        <v>227.78</v>
      </c>
      <c r="C561">
        <v>228.5</v>
      </c>
      <c r="D561">
        <v>220.73</v>
      </c>
      <c r="E561">
        <v>222.76</v>
      </c>
      <c r="F561">
        <v>51299.41373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-0.47747747747747787</v>
      </c>
      <c r="Q561">
        <f t="shared" si="985"/>
        <v>-24494.314663873894</v>
      </c>
      <c r="R561">
        <f t="shared" si="986"/>
        <v>3367035.8165927641</v>
      </c>
      <c r="S561">
        <f t="shared" si="987"/>
        <v>33.670358165927638</v>
      </c>
      <c r="T561">
        <f t="shared" si="988"/>
        <v>3.3670358165927637E-2</v>
      </c>
      <c r="CZ561" t="s">
        <v>7</v>
      </c>
    </row>
    <row r="562" spans="1:104" x14ac:dyDescent="0.25">
      <c r="A562" s="5">
        <v>44031</v>
      </c>
      <c r="B562">
        <v>224.33</v>
      </c>
      <c r="C562">
        <v>228.85</v>
      </c>
      <c r="D562">
        <v>220.14</v>
      </c>
      <c r="E562">
        <v>227.73</v>
      </c>
      <c r="F562">
        <v>60296.569380000001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0.74282433983926444</v>
      </c>
      <c r="Q562">
        <f t="shared" si="985"/>
        <v>44789.759344270904</v>
      </c>
      <c r="R562">
        <f t="shared" si="986"/>
        <v>3391530.1312566381</v>
      </c>
      <c r="S562">
        <f t="shared" si="987"/>
        <v>33.915301312566378</v>
      </c>
      <c r="T562">
        <f t="shared" si="988"/>
        <v>3.3915301312566377E-2</v>
      </c>
      <c r="CZ562" t="s">
        <v>7</v>
      </c>
    </row>
    <row r="563" spans="1:104" x14ac:dyDescent="0.25">
      <c r="A563" s="5">
        <v>44030</v>
      </c>
      <c r="B563">
        <v>222.59</v>
      </c>
      <c r="C563">
        <v>226.63</v>
      </c>
      <c r="D563">
        <v>222.18</v>
      </c>
      <c r="E563">
        <v>224.33</v>
      </c>
      <c r="F563">
        <v>40614.602919999998</v>
      </c>
      <c r="G563">
        <v>0</v>
      </c>
      <c r="L563" t="s">
        <v>7</v>
      </c>
      <c r="M563" t="s">
        <v>7</v>
      </c>
      <c r="N563" t="s">
        <v>7</v>
      </c>
      <c r="P563">
        <f t="shared" si="984"/>
        <v>-3.3707865168534301E-2</v>
      </c>
      <c r="Q563">
        <f t="shared" si="985"/>
        <v>-1369.0315591009194</v>
      </c>
      <c r="R563">
        <f t="shared" si="986"/>
        <v>3346740.3719123672</v>
      </c>
      <c r="S563">
        <f t="shared" si="987"/>
        <v>33.467403719123674</v>
      </c>
      <c r="T563">
        <f t="shared" si="988"/>
        <v>3.346740371912367E-2</v>
      </c>
      <c r="CZ563" t="s">
        <v>7</v>
      </c>
    </row>
    <row r="564" spans="1:104" x14ac:dyDescent="0.25">
      <c r="A564" s="5">
        <v>44029</v>
      </c>
      <c r="B564">
        <v>224.21</v>
      </c>
      <c r="C564">
        <v>225.6</v>
      </c>
      <c r="D564">
        <v>221.88</v>
      </c>
      <c r="E564">
        <v>222.6</v>
      </c>
      <c r="F564">
        <v>55534.172030000002</v>
      </c>
      <c r="G564">
        <v>0</v>
      </c>
      <c r="L564" t="s">
        <v>7</v>
      </c>
      <c r="M564" t="s">
        <v>7</v>
      </c>
      <c r="N564" t="s">
        <v>7</v>
      </c>
      <c r="P564">
        <f t="shared" si="984"/>
        <v>-0.61290322580645207</v>
      </c>
      <c r="Q564">
        <f t="shared" si="985"/>
        <v>-34037.073179677449</v>
      </c>
      <c r="R564">
        <f t="shared" si="986"/>
        <v>3348109.403471468</v>
      </c>
      <c r="S564">
        <f t="shared" si="987"/>
        <v>33.48109403471468</v>
      </c>
      <c r="T564">
        <f t="shared" si="988"/>
        <v>3.3481094034714678E-2</v>
      </c>
    </row>
    <row r="565" spans="1:104" x14ac:dyDescent="0.25">
      <c r="A565" s="5">
        <v>44028</v>
      </c>
      <c r="B565">
        <v>227.42</v>
      </c>
      <c r="C565">
        <v>228.09</v>
      </c>
      <c r="D565">
        <v>216.55</v>
      </c>
      <c r="E565">
        <v>224.21</v>
      </c>
      <c r="F565">
        <v>86708.820200000002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0.32755632582322391</v>
      </c>
      <c r="Q565">
        <f t="shared" si="985"/>
        <v>28402.022561178539</v>
      </c>
      <c r="R565">
        <f t="shared" si="986"/>
        <v>3382146.4766511456</v>
      </c>
      <c r="S565">
        <f t="shared" si="987"/>
        <v>33.821464766511454</v>
      </c>
      <c r="T565">
        <f t="shared" si="988"/>
        <v>3.3821464766511454E-2</v>
      </c>
    </row>
    <row r="566" spans="1:104" x14ac:dyDescent="0.25">
      <c r="A566" s="5">
        <v>44027</v>
      </c>
      <c r="B566">
        <v>230.12</v>
      </c>
      <c r="C566">
        <v>230.8</v>
      </c>
      <c r="D566">
        <v>225.91</v>
      </c>
      <c r="E566">
        <v>227.4</v>
      </c>
      <c r="F566">
        <v>62972.02102</v>
      </c>
      <c r="G566">
        <v>0</v>
      </c>
      <c r="L566" t="s">
        <v>7</v>
      </c>
      <c r="M566" t="s">
        <v>7</v>
      </c>
      <c r="N566" t="s">
        <v>7</v>
      </c>
      <c r="P566">
        <f t="shared" si="984"/>
        <v>-0.39059304703476294</v>
      </c>
      <c r="Q566">
        <f t="shared" si="985"/>
        <v>-24596.433568138942</v>
      </c>
      <c r="R566">
        <f t="shared" si="986"/>
        <v>3353744.4540899671</v>
      </c>
      <c r="S566">
        <f t="shared" si="987"/>
        <v>33.537444540899671</v>
      </c>
      <c r="T566">
        <f t="shared" si="988"/>
        <v>3.3537444540899672E-2</v>
      </c>
    </row>
    <row r="567" spans="1:104" x14ac:dyDescent="0.25">
      <c r="A567" s="5">
        <v>44026</v>
      </c>
      <c r="B567">
        <v>232.15</v>
      </c>
      <c r="C567">
        <v>232.2</v>
      </c>
      <c r="D567">
        <v>226.38</v>
      </c>
      <c r="E567">
        <v>230.12</v>
      </c>
      <c r="F567">
        <v>80836.42813</v>
      </c>
      <c r="G567">
        <v>0</v>
      </c>
      <c r="L567" t="s">
        <v>7</v>
      </c>
      <c r="M567" t="s">
        <v>7</v>
      </c>
      <c r="N567" t="s">
        <v>7</v>
      </c>
      <c r="P567">
        <f t="shared" si="984"/>
        <v>0.28522336769759915</v>
      </c>
      <c r="Q567">
        <f t="shared" si="985"/>
        <v>23056.438263883538</v>
      </c>
      <c r="R567">
        <f t="shared" si="986"/>
        <v>3378340.8876581062</v>
      </c>
      <c r="S567">
        <f t="shared" si="987"/>
        <v>33.783408876581063</v>
      </c>
      <c r="T567">
        <f t="shared" si="988"/>
        <v>3.3783408876581066E-2</v>
      </c>
    </row>
    <row r="568" spans="1:104" x14ac:dyDescent="0.25">
      <c r="A568" s="5">
        <v>44025</v>
      </c>
      <c r="B568">
        <v>237.44</v>
      </c>
      <c r="C568">
        <v>237.89</v>
      </c>
      <c r="D568">
        <v>223.83</v>
      </c>
      <c r="E568">
        <v>232.19</v>
      </c>
      <c r="F568">
        <v>121159.41214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0.18918918918918931</v>
      </c>
      <c r="Q568">
        <f t="shared" si="985"/>
        <v>22922.050945405419</v>
      </c>
      <c r="R568">
        <f t="shared" si="986"/>
        <v>3355284.4493942228</v>
      </c>
      <c r="S568">
        <f t="shared" si="987"/>
        <v>33.552844493942231</v>
      </c>
      <c r="T568">
        <f t="shared" si="988"/>
        <v>3.3552844493942233E-2</v>
      </c>
    </row>
    <row r="569" spans="1:104" x14ac:dyDescent="0.25">
      <c r="A569" s="5">
        <v>44024</v>
      </c>
      <c r="B569">
        <v>236.59</v>
      </c>
      <c r="C569">
        <v>239.36</v>
      </c>
      <c r="D569">
        <v>231.82</v>
      </c>
      <c r="E569">
        <v>237.42</v>
      </c>
      <c r="F569">
        <v>62877.756009999997</v>
      </c>
      <c r="G569">
        <v>0</v>
      </c>
      <c r="L569" t="s">
        <v>8</v>
      </c>
      <c r="M569" t="s">
        <v>7</v>
      </c>
      <c r="N569" t="s">
        <v>7</v>
      </c>
      <c r="P569">
        <f t="shared" si="984"/>
        <v>0.48541114058354884</v>
      </c>
      <c r="Q569">
        <f t="shared" si="985"/>
        <v>30521.563262148193</v>
      </c>
      <c r="R569">
        <f t="shared" si="986"/>
        <v>3332362.3984488174</v>
      </c>
      <c r="S569">
        <f t="shared" si="987"/>
        <v>33.323623984488172</v>
      </c>
      <c r="T569">
        <f t="shared" si="988"/>
        <v>3.3323623984488175E-2</v>
      </c>
    </row>
    <row r="570" spans="1:104" x14ac:dyDescent="0.25">
      <c r="A570" s="5">
        <v>44023</v>
      </c>
      <c r="B570">
        <v>238.41</v>
      </c>
      <c r="C570">
        <v>239.4</v>
      </c>
      <c r="D570">
        <v>234.61</v>
      </c>
      <c r="E570">
        <v>236.59</v>
      </c>
      <c r="F570">
        <v>46642.734129999997</v>
      </c>
      <c r="G570">
        <v>0</v>
      </c>
      <c r="L570" t="s">
        <v>8</v>
      </c>
      <c r="M570" t="s">
        <v>7</v>
      </c>
      <c r="N570" t="s">
        <v>7</v>
      </c>
      <c r="P570">
        <f t="shared" si="984"/>
        <v>-0.17327766179540999</v>
      </c>
      <c r="Q570">
        <f t="shared" si="985"/>
        <v>-8082.1439097913662</v>
      </c>
      <c r="R570">
        <f t="shared" si="986"/>
        <v>3301840.8351866691</v>
      </c>
      <c r="S570">
        <f t="shared" si="987"/>
        <v>33.01840835186669</v>
      </c>
      <c r="T570">
        <f t="shared" si="988"/>
        <v>3.3018408351866688E-2</v>
      </c>
    </row>
    <row r="571" spans="1:104" x14ac:dyDescent="0.25">
      <c r="A571" s="5">
        <v>44022</v>
      </c>
      <c r="B571">
        <v>238.15</v>
      </c>
      <c r="C571">
        <v>240.35</v>
      </c>
      <c r="D571">
        <v>232.5</v>
      </c>
      <c r="E571">
        <v>238.38</v>
      </c>
      <c r="F571">
        <v>82400.940449999995</v>
      </c>
      <c r="G571">
        <v>0</v>
      </c>
      <c r="L571" t="s">
        <v>8</v>
      </c>
      <c r="M571" t="s">
        <v>7</v>
      </c>
      <c r="N571" t="s">
        <v>7</v>
      </c>
      <c r="P571">
        <f t="shared" si="984"/>
        <v>0.49808917197452224</v>
      </c>
      <c r="Q571">
        <f t="shared" si="985"/>
        <v>41043.016198662415</v>
      </c>
      <c r="R571">
        <f t="shared" si="986"/>
        <v>3309922.9790964606</v>
      </c>
      <c r="S571">
        <f t="shared" si="987"/>
        <v>33.099229790964607</v>
      </c>
      <c r="T571">
        <f t="shared" si="988"/>
        <v>3.3099229790964607E-2</v>
      </c>
    </row>
    <row r="572" spans="1:104" x14ac:dyDescent="0.25">
      <c r="A572" s="5">
        <v>44021</v>
      </c>
      <c r="B572">
        <v>243.29</v>
      </c>
      <c r="C572">
        <v>245.68</v>
      </c>
      <c r="D572">
        <v>232.99</v>
      </c>
      <c r="E572">
        <v>238.13</v>
      </c>
      <c r="F572">
        <v>115469.48625</v>
      </c>
      <c r="G572">
        <v>0</v>
      </c>
      <c r="L572" t="s">
        <v>8</v>
      </c>
      <c r="M572" t="s">
        <v>7</v>
      </c>
      <c r="N572" t="s">
        <v>7</v>
      </c>
      <c r="P572">
        <f t="shared" si="984"/>
        <v>-0.18991331757289404</v>
      </c>
      <c r="Q572">
        <f t="shared" si="985"/>
        <v>-21929.193212175171</v>
      </c>
      <c r="R572">
        <f t="shared" si="986"/>
        <v>3268879.962897798</v>
      </c>
      <c r="S572">
        <f t="shared" si="987"/>
        <v>32.688799628977982</v>
      </c>
      <c r="T572">
        <f t="shared" si="988"/>
        <v>3.2688799628977985E-2</v>
      </c>
    </row>
    <row r="573" spans="1:104" x14ac:dyDescent="0.25">
      <c r="A573" s="5">
        <v>44020</v>
      </c>
      <c r="B573">
        <v>237.84</v>
      </c>
      <c r="C573">
        <v>245.98</v>
      </c>
      <c r="D573">
        <v>235.93</v>
      </c>
      <c r="E573">
        <v>243.31</v>
      </c>
      <c r="F573">
        <v>114603.48673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0.46865671641791201</v>
      </c>
      <c r="Q573">
        <f t="shared" si="985"/>
        <v>53709.693780925554</v>
      </c>
      <c r="R573">
        <f t="shared" si="986"/>
        <v>3290809.1561099733</v>
      </c>
      <c r="S573">
        <f t="shared" si="987"/>
        <v>32.908091561099731</v>
      </c>
      <c r="T573">
        <f t="shared" si="988"/>
        <v>3.290809156109973E-2</v>
      </c>
    </row>
    <row r="574" spans="1:104" x14ac:dyDescent="0.25">
      <c r="A574" s="5">
        <v>44019</v>
      </c>
      <c r="B574">
        <v>242.35</v>
      </c>
      <c r="C574">
        <v>244.39</v>
      </c>
      <c r="D574">
        <v>235</v>
      </c>
      <c r="E574">
        <v>237.83</v>
      </c>
      <c r="F574">
        <v>96506.705109999995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-0.39723109691160458</v>
      </c>
      <c r="Q574">
        <f t="shared" si="985"/>
        <v>-38335.464330170056</v>
      </c>
      <c r="R574">
        <f t="shared" si="986"/>
        <v>3237099.4623290477</v>
      </c>
      <c r="S574">
        <f t="shared" si="987"/>
        <v>32.370994623290478</v>
      </c>
      <c r="T574">
        <f t="shared" si="988"/>
        <v>3.2370994623290475E-2</v>
      </c>
    </row>
    <row r="575" spans="1:104" x14ac:dyDescent="0.25">
      <c r="A575" s="5">
        <v>44018</v>
      </c>
      <c r="B575">
        <v>222.24</v>
      </c>
      <c r="C575">
        <v>243.59</v>
      </c>
      <c r="D575">
        <v>221.7</v>
      </c>
      <c r="E575">
        <v>242.34</v>
      </c>
      <c r="F575">
        <v>137713.99269000001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0.88579259936043864</v>
      </c>
      <c r="Q575">
        <f t="shared" si="985"/>
        <v>121986.03555317955</v>
      </c>
      <c r="R575">
        <f t="shared" si="986"/>
        <v>3275434.9266592176</v>
      </c>
      <c r="S575">
        <f t="shared" si="987"/>
        <v>32.754349266592179</v>
      </c>
      <c r="T575">
        <f t="shared" si="988"/>
        <v>3.2754349266592181E-2</v>
      </c>
    </row>
    <row r="576" spans="1:104" x14ac:dyDescent="0.25">
      <c r="A576" s="5">
        <v>44017</v>
      </c>
      <c r="B576">
        <v>225.26</v>
      </c>
      <c r="C576">
        <v>225.87</v>
      </c>
      <c r="D576">
        <v>214.52</v>
      </c>
      <c r="E576">
        <v>222.23</v>
      </c>
      <c r="F576">
        <v>69746.319749999995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0.35859030837004113</v>
      </c>
      <c r="Q576">
        <f t="shared" si="985"/>
        <v>25010.354306827987</v>
      </c>
      <c r="R576">
        <f t="shared" si="986"/>
        <v>3153448.8911060379</v>
      </c>
      <c r="S576">
        <f t="shared" si="987"/>
        <v>31.534488911060379</v>
      </c>
      <c r="T576">
        <f t="shared" si="988"/>
        <v>3.1534488911060379E-2</v>
      </c>
    </row>
    <row r="577" spans="1:20" x14ac:dyDescent="0.25">
      <c r="A577" s="5">
        <v>44016</v>
      </c>
      <c r="B577">
        <v>220.71</v>
      </c>
      <c r="C577">
        <v>226.86</v>
      </c>
      <c r="D577">
        <v>220.19</v>
      </c>
      <c r="E577">
        <v>225.26</v>
      </c>
      <c r="F577">
        <v>60882.289940000002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0.52023988005996435</v>
      </c>
      <c r="Q577">
        <f t="shared" si="985"/>
        <v>31673.395216161574</v>
      </c>
      <c r="R577">
        <f t="shared" si="986"/>
        <v>3128438.5367992101</v>
      </c>
      <c r="S577">
        <f t="shared" si="987"/>
        <v>31.284385367992101</v>
      </c>
      <c r="T577">
        <f t="shared" si="988"/>
        <v>3.12843853679921E-2</v>
      </c>
    </row>
    <row r="578" spans="1:20" x14ac:dyDescent="0.25">
      <c r="A578" s="5">
        <v>44015</v>
      </c>
      <c r="B578">
        <v>219.63</v>
      </c>
      <c r="C578">
        <v>223.8</v>
      </c>
      <c r="D578">
        <v>218.96</v>
      </c>
      <c r="E578">
        <v>220.73</v>
      </c>
      <c r="F578">
        <v>55468.828889999997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-0.26859504132232209</v>
      </c>
      <c r="Q578">
        <f t="shared" si="985"/>
        <v>-14898.652387810364</v>
      </c>
      <c r="R578">
        <f t="shared" si="986"/>
        <v>3096765.1415830487</v>
      </c>
      <c r="S578">
        <f t="shared" si="987"/>
        <v>30.967651415830488</v>
      </c>
      <c r="T578">
        <f t="shared" si="988"/>
        <v>3.0967651415830487E-2</v>
      </c>
    </row>
    <row r="579" spans="1:20" x14ac:dyDescent="0.25">
      <c r="A579" s="5">
        <v>44014</v>
      </c>
      <c r="B579">
        <v>223.77</v>
      </c>
      <c r="C579">
        <v>225.83</v>
      </c>
      <c r="D579">
        <v>217.11</v>
      </c>
      <c r="E579">
        <v>219.65</v>
      </c>
      <c r="F579">
        <v>88532.960779999994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-0.41743119266055223</v>
      </c>
      <c r="Q579">
        <f t="shared" si="985"/>
        <v>-36956.419408165289</v>
      </c>
      <c r="R579">
        <f t="shared" si="986"/>
        <v>3111663.7939708591</v>
      </c>
      <c r="S579">
        <f t="shared" si="987"/>
        <v>31.116637939708593</v>
      </c>
      <c r="T579">
        <f t="shared" si="988"/>
        <v>3.1116637939708591E-2</v>
      </c>
    </row>
    <row r="580" spans="1:20" x14ac:dyDescent="0.25">
      <c r="A580" s="5">
        <v>44013</v>
      </c>
      <c r="B580">
        <v>222.11</v>
      </c>
      <c r="C580">
        <v>226.76</v>
      </c>
      <c r="D580">
        <v>220.56</v>
      </c>
      <c r="E580">
        <v>223.78</v>
      </c>
      <c r="F580">
        <v>80148.491299999994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3.8709677419356374E-2</v>
      </c>
      <c r="Q580">
        <f t="shared" si="985"/>
        <v>3102.5222438710907</v>
      </c>
      <c r="R580">
        <f t="shared" si="986"/>
        <v>3148620.2133790245</v>
      </c>
      <c r="S580">
        <f t="shared" si="987"/>
        <v>31.486202133790247</v>
      </c>
      <c r="T580">
        <f t="shared" si="988"/>
        <v>3.1486202133790248E-2</v>
      </c>
    </row>
    <row r="581" spans="1:20" x14ac:dyDescent="0.25">
      <c r="A581" s="5">
        <v>44012</v>
      </c>
      <c r="B581">
        <v>225.33</v>
      </c>
      <c r="C581">
        <v>226.1</v>
      </c>
      <c r="D581">
        <v>220.44</v>
      </c>
      <c r="E581">
        <v>222.12</v>
      </c>
      <c r="F581">
        <v>51309.43015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-0.40636042402826578</v>
      </c>
      <c r="Q581">
        <f t="shared" si="985"/>
        <v>-20850.121792402686</v>
      </c>
      <c r="R581">
        <f t="shared" si="986"/>
        <v>3145517.6911351536</v>
      </c>
      <c r="S581">
        <f t="shared" si="987"/>
        <v>31.455176911351536</v>
      </c>
      <c r="T581">
        <f t="shared" si="988"/>
        <v>3.1455176911351537E-2</v>
      </c>
    </row>
    <row r="582" spans="1:20" x14ac:dyDescent="0.25">
      <c r="A582" s="5">
        <v>44011</v>
      </c>
      <c r="B582">
        <v>222.67</v>
      </c>
      <c r="C582">
        <v>227.5</v>
      </c>
      <c r="D582">
        <v>218.28</v>
      </c>
      <c r="E582">
        <v>225.28</v>
      </c>
      <c r="F582">
        <v>82675.062579999998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0.51843817787418678</v>
      </c>
      <c r="Q582">
        <f t="shared" ref="Q582:Q645" si="990">F582*P582</f>
        <v>42861.908799609562</v>
      </c>
      <c r="R582">
        <f t="shared" ref="R582:R645" si="991">R583+Q582</f>
        <v>3166367.8129275562</v>
      </c>
      <c r="S582">
        <f t="shared" ref="S582:S645" si="992">R582/100000</f>
        <v>31.663678129275564</v>
      </c>
      <c r="T582">
        <f t="shared" ref="T582:T645" si="993">S582/1000</f>
        <v>3.1663678129275563E-2</v>
      </c>
    </row>
    <row r="583" spans="1:20" x14ac:dyDescent="0.25">
      <c r="A583" s="5">
        <v>44010</v>
      </c>
      <c r="B583">
        <v>216.34</v>
      </c>
      <c r="C583">
        <v>225.41</v>
      </c>
      <c r="D583">
        <v>213.4</v>
      </c>
      <c r="E583">
        <v>222.67</v>
      </c>
      <c r="F583">
        <v>56776.290959999998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0.54371357202331205</v>
      </c>
      <c r="Q583">
        <f t="shared" si="990"/>
        <v>30870.039964096479</v>
      </c>
      <c r="R583">
        <f t="shared" si="991"/>
        <v>3123505.9041279466</v>
      </c>
      <c r="S583">
        <f t="shared" si="992"/>
        <v>31.235059041279467</v>
      </c>
      <c r="T583">
        <f t="shared" si="993"/>
        <v>3.1235059041279465E-2</v>
      </c>
    </row>
    <row r="584" spans="1:20" x14ac:dyDescent="0.25">
      <c r="A584" s="5">
        <v>44009</v>
      </c>
      <c r="B584">
        <v>230.72</v>
      </c>
      <c r="C584">
        <v>231.57</v>
      </c>
      <c r="D584">
        <v>204.77</v>
      </c>
      <c r="E584">
        <v>216.37</v>
      </c>
      <c r="F584">
        <v>108856.82037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-0.13432835820895508</v>
      </c>
      <c r="Q584">
        <f t="shared" si="990"/>
        <v>-14622.557960149239</v>
      </c>
      <c r="R584">
        <f t="shared" si="991"/>
        <v>3092635.86416385</v>
      </c>
      <c r="S584">
        <f t="shared" si="992"/>
        <v>30.926358641638501</v>
      </c>
      <c r="T584">
        <f t="shared" si="993"/>
        <v>3.09263586416385E-2</v>
      </c>
    </row>
    <row r="585" spans="1:20" x14ac:dyDescent="0.25">
      <c r="A585" s="5">
        <v>44008</v>
      </c>
      <c r="B585">
        <v>232.45</v>
      </c>
      <c r="C585">
        <v>233.72</v>
      </c>
      <c r="D585">
        <v>228.13</v>
      </c>
      <c r="E585">
        <v>230.65</v>
      </c>
      <c r="F585">
        <v>75857.140509999997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-9.8389982110909227E-2</v>
      </c>
      <c r="Q585">
        <f t="shared" si="990"/>
        <v>-7463.582697763627</v>
      </c>
      <c r="R585">
        <f t="shared" si="991"/>
        <v>3107258.4221239993</v>
      </c>
      <c r="S585">
        <f t="shared" si="992"/>
        <v>31.072584221239993</v>
      </c>
      <c r="T585">
        <f t="shared" si="993"/>
        <v>3.1072584221239992E-2</v>
      </c>
    </row>
    <row r="586" spans="1:20" x14ac:dyDescent="0.25">
      <c r="A586" s="5">
        <v>44007</v>
      </c>
      <c r="B586">
        <v>232.72</v>
      </c>
      <c r="C586">
        <v>235.09</v>
      </c>
      <c r="D586">
        <v>226.23</v>
      </c>
      <c r="E586">
        <v>232.45</v>
      </c>
      <c r="F586">
        <v>72028.672030000002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0.40406320541760482</v>
      </c>
      <c r="Q586">
        <f t="shared" si="990"/>
        <v>29104.136102415177</v>
      </c>
      <c r="R586">
        <f t="shared" si="991"/>
        <v>3114722.0048217629</v>
      </c>
      <c r="S586">
        <f t="shared" si="992"/>
        <v>31.14722004821763</v>
      </c>
      <c r="T586">
        <f t="shared" si="993"/>
        <v>3.1147220048217631E-2</v>
      </c>
    </row>
    <row r="587" spans="1:20" x14ac:dyDescent="0.25">
      <c r="A587" s="5">
        <v>44006</v>
      </c>
      <c r="B587">
        <v>240.68</v>
      </c>
      <c r="C587">
        <v>245.62</v>
      </c>
      <c r="D587">
        <v>229.34</v>
      </c>
      <c r="E587">
        <v>232.8</v>
      </c>
      <c r="F587">
        <v>118724.24935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-0.57493857493857403</v>
      </c>
      <c r="Q587">
        <f t="shared" si="990"/>
        <v>-68259.150731940928</v>
      </c>
      <c r="R587">
        <f t="shared" si="991"/>
        <v>3085617.8687193478</v>
      </c>
      <c r="S587">
        <f t="shared" si="992"/>
        <v>30.856178687193477</v>
      </c>
      <c r="T587">
        <f t="shared" si="993"/>
        <v>3.0856178687193477E-2</v>
      </c>
    </row>
    <row r="588" spans="1:20" x14ac:dyDescent="0.25">
      <c r="A588" s="5">
        <v>44005</v>
      </c>
      <c r="B588">
        <v>241.04</v>
      </c>
      <c r="C588">
        <v>244.45</v>
      </c>
      <c r="D588">
        <v>239.18</v>
      </c>
      <c r="E588">
        <v>240.69</v>
      </c>
      <c r="F588">
        <v>80116.623689999993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-0.42694497153700339</v>
      </c>
      <c r="Q588">
        <f t="shared" si="990"/>
        <v>-34205.389620967857</v>
      </c>
      <c r="R588">
        <f t="shared" si="991"/>
        <v>3153877.0194512885</v>
      </c>
      <c r="S588">
        <f t="shared" si="992"/>
        <v>31.538770194512885</v>
      </c>
      <c r="T588">
        <f t="shared" si="993"/>
        <v>3.1538770194512886E-2</v>
      </c>
    </row>
    <row r="589" spans="1:20" x14ac:dyDescent="0.25">
      <c r="A589" s="5">
        <v>44004</v>
      </c>
      <c r="B589">
        <v>230.33</v>
      </c>
      <c r="C589">
        <v>243.98</v>
      </c>
      <c r="D589">
        <v>229.75</v>
      </c>
      <c r="E589">
        <v>241.03</v>
      </c>
      <c r="F589">
        <v>101177.89114000001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0.58538299367533508</v>
      </c>
      <c r="Q589">
        <f t="shared" si="990"/>
        <v>59227.816809290365</v>
      </c>
      <c r="R589">
        <f t="shared" si="991"/>
        <v>3188082.4090722562</v>
      </c>
      <c r="S589">
        <f t="shared" si="992"/>
        <v>31.880824090722562</v>
      </c>
      <c r="T589">
        <f t="shared" si="993"/>
        <v>3.1880824090722563E-2</v>
      </c>
    </row>
    <row r="590" spans="1:20" x14ac:dyDescent="0.25">
      <c r="A590" s="5">
        <v>44003</v>
      </c>
      <c r="B590">
        <v>232.8</v>
      </c>
      <c r="C590">
        <v>234.16</v>
      </c>
      <c r="D590">
        <v>229.71</v>
      </c>
      <c r="E590">
        <v>230.31</v>
      </c>
      <c r="F590">
        <v>49052.688300000002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-0.73033707865168729</v>
      </c>
      <c r="Q590">
        <f t="shared" si="990"/>
        <v>-35824.997073033803</v>
      </c>
      <c r="R590">
        <f t="shared" si="991"/>
        <v>3128854.5922629656</v>
      </c>
      <c r="S590">
        <f t="shared" si="992"/>
        <v>31.288545922629655</v>
      </c>
      <c r="T590">
        <f t="shared" si="993"/>
        <v>3.1288545922629654E-2</v>
      </c>
    </row>
    <row r="591" spans="1:20" x14ac:dyDescent="0.25">
      <c r="A591" s="5">
        <v>44002</v>
      </c>
      <c r="B591">
        <v>233.39</v>
      </c>
      <c r="C591">
        <v>235.19</v>
      </c>
      <c r="D591">
        <v>228.62</v>
      </c>
      <c r="E591">
        <v>232.8</v>
      </c>
      <c r="F591">
        <v>67102.654370000004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0.2724505327245087</v>
      </c>
      <c r="Q591">
        <f t="shared" si="990"/>
        <v>18282.153930335084</v>
      </c>
      <c r="R591">
        <f t="shared" si="991"/>
        <v>3164679.5893359995</v>
      </c>
      <c r="S591">
        <f t="shared" si="992"/>
        <v>31.646795893359993</v>
      </c>
      <c r="T591">
        <f t="shared" si="993"/>
        <v>3.1646795893359995E-2</v>
      </c>
    </row>
    <row r="592" spans="1:20" x14ac:dyDescent="0.25">
      <c r="A592" s="5">
        <v>44001</v>
      </c>
      <c r="B592">
        <v>236.05</v>
      </c>
      <c r="C592">
        <v>236.54</v>
      </c>
      <c r="D592">
        <v>230.46</v>
      </c>
      <c r="E592">
        <v>233.39</v>
      </c>
      <c r="F592">
        <v>64051.956879999998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-3.6184210526320371E-2</v>
      </c>
      <c r="Q592">
        <f t="shared" si="990"/>
        <v>-2317.6694923687146</v>
      </c>
      <c r="R592">
        <f t="shared" si="991"/>
        <v>3146397.4354056641</v>
      </c>
      <c r="S592">
        <f t="shared" si="992"/>
        <v>31.463974354056642</v>
      </c>
      <c r="T592">
        <f t="shared" si="993"/>
        <v>3.1463974354056644E-2</v>
      </c>
    </row>
    <row r="593" spans="1:20" x14ac:dyDescent="0.25">
      <c r="A593" s="5">
        <v>44000</v>
      </c>
      <c r="B593">
        <v>240.4</v>
      </c>
      <c r="C593">
        <v>240.7</v>
      </c>
      <c r="D593">
        <v>232.53</v>
      </c>
      <c r="E593">
        <v>236.04</v>
      </c>
      <c r="F593">
        <v>52913.481699999997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-0.14075887392900949</v>
      </c>
      <c r="Q593">
        <f t="shared" si="990"/>
        <v>-7448.0420997552501</v>
      </c>
      <c r="R593">
        <f t="shared" si="991"/>
        <v>3148715.1048980327</v>
      </c>
      <c r="S593">
        <f t="shared" si="992"/>
        <v>31.487151048980326</v>
      </c>
      <c r="T593">
        <f t="shared" si="993"/>
        <v>3.1487151048980325E-2</v>
      </c>
    </row>
    <row r="594" spans="1:20" x14ac:dyDescent="0.25">
      <c r="A594" s="5">
        <v>43999</v>
      </c>
      <c r="B594">
        <v>237.47</v>
      </c>
      <c r="C594">
        <v>246</v>
      </c>
      <c r="D594">
        <v>235.06</v>
      </c>
      <c r="E594">
        <v>240.39</v>
      </c>
      <c r="F594">
        <v>80189.726899999994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-2.5594149908595029E-2</v>
      </c>
      <c r="Q594">
        <f t="shared" si="990"/>
        <v>-2052.387891407895</v>
      </c>
      <c r="R594">
        <f t="shared" si="991"/>
        <v>3156163.146997788</v>
      </c>
      <c r="S594">
        <f t="shared" si="992"/>
        <v>31.561631469977879</v>
      </c>
      <c r="T594">
        <f t="shared" si="993"/>
        <v>3.1561631469977876E-2</v>
      </c>
    </row>
    <row r="595" spans="1:20" x14ac:dyDescent="0.25">
      <c r="A595" s="5">
        <v>43998</v>
      </c>
      <c r="B595">
        <v>235.64</v>
      </c>
      <c r="C595">
        <v>239</v>
      </c>
      <c r="D595">
        <v>232.5</v>
      </c>
      <c r="E595">
        <v>237.46</v>
      </c>
      <c r="F595">
        <v>57655.109259999997</v>
      </c>
      <c r="G595">
        <v>0</v>
      </c>
      <c r="L595" t="s">
        <v>7</v>
      </c>
      <c r="M595" t="s">
        <v>7</v>
      </c>
      <c r="N595" t="s">
        <v>8</v>
      </c>
      <c r="P595">
        <f t="shared" si="989"/>
        <v>0.52615384615384864</v>
      </c>
      <c r="Q595">
        <f t="shared" si="990"/>
        <v>30335.457487569372</v>
      </c>
      <c r="R595">
        <f t="shared" si="991"/>
        <v>3158215.534889196</v>
      </c>
      <c r="S595">
        <f t="shared" si="992"/>
        <v>31.582155348891959</v>
      </c>
      <c r="T595">
        <f t="shared" si="993"/>
        <v>3.1582155348891958E-2</v>
      </c>
    </row>
    <row r="596" spans="1:20" x14ac:dyDescent="0.25">
      <c r="A596" s="5">
        <v>43997</v>
      </c>
      <c r="B596">
        <v>237.47</v>
      </c>
      <c r="C596">
        <v>238.32</v>
      </c>
      <c r="D596">
        <v>224.41</v>
      </c>
      <c r="E596">
        <v>235.64</v>
      </c>
      <c r="F596">
        <v>99741.292360000007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0.61466570812365096</v>
      </c>
      <c r="Q596">
        <f t="shared" si="990"/>
        <v>61307.5520976275</v>
      </c>
      <c r="R596">
        <f t="shared" si="991"/>
        <v>3127880.0774016269</v>
      </c>
      <c r="S596">
        <f t="shared" si="992"/>
        <v>31.278800774016268</v>
      </c>
      <c r="T596">
        <f t="shared" si="993"/>
        <v>3.127880077401627E-2</v>
      </c>
    </row>
    <row r="597" spans="1:20" x14ac:dyDescent="0.25">
      <c r="A597" s="5">
        <v>43996</v>
      </c>
      <c r="B597">
        <v>240.7</v>
      </c>
      <c r="C597">
        <v>240.84</v>
      </c>
      <c r="D597">
        <v>234.93</v>
      </c>
      <c r="E597">
        <v>237.48</v>
      </c>
      <c r="F597">
        <v>40676.314859999999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-0.13705583756345704</v>
      </c>
      <c r="Q597">
        <f t="shared" si="990"/>
        <v>-5574.9264021321942</v>
      </c>
      <c r="R597">
        <f t="shared" si="991"/>
        <v>3066572.5253039994</v>
      </c>
      <c r="S597">
        <f t="shared" si="992"/>
        <v>30.665725253039994</v>
      </c>
      <c r="T597">
        <f t="shared" si="993"/>
        <v>3.0665725253039993E-2</v>
      </c>
    </row>
    <row r="598" spans="1:20" x14ac:dyDescent="0.25">
      <c r="A598" s="5">
        <v>43995</v>
      </c>
      <c r="B598">
        <v>240.85</v>
      </c>
      <c r="C598">
        <v>242.25</v>
      </c>
      <c r="D598">
        <v>237.29</v>
      </c>
      <c r="E598">
        <v>240.69</v>
      </c>
      <c r="F598">
        <v>38019.76311</v>
      </c>
      <c r="G598">
        <v>0</v>
      </c>
      <c r="L598" t="s">
        <v>7</v>
      </c>
      <c r="M598" t="s">
        <v>8</v>
      </c>
      <c r="N598" t="s">
        <v>8</v>
      </c>
      <c r="P598">
        <f t="shared" si="989"/>
        <v>0.37096774193548399</v>
      </c>
      <c r="Q598">
        <f t="shared" si="990"/>
        <v>14104.105669838715</v>
      </c>
      <c r="R598">
        <f t="shared" si="991"/>
        <v>3072147.4517061315</v>
      </c>
      <c r="S598">
        <f t="shared" si="992"/>
        <v>30.721474517061313</v>
      </c>
      <c r="T598">
        <f t="shared" si="993"/>
        <v>3.0721474517061313E-2</v>
      </c>
    </row>
    <row r="599" spans="1:20" x14ac:dyDescent="0.25">
      <c r="A599" s="5">
        <v>43994</v>
      </c>
      <c r="B599">
        <v>234.73</v>
      </c>
      <c r="C599">
        <v>243.66</v>
      </c>
      <c r="D599">
        <v>233.08</v>
      </c>
      <c r="E599">
        <v>240.85</v>
      </c>
      <c r="F599">
        <v>62740.155129999999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0.46880907372400632</v>
      </c>
      <c r="Q599">
        <f t="shared" si="990"/>
        <v>29413.154011795763</v>
      </c>
      <c r="R599">
        <f t="shared" si="991"/>
        <v>3058043.3460362926</v>
      </c>
      <c r="S599">
        <f t="shared" si="992"/>
        <v>30.580433460362926</v>
      </c>
      <c r="T599">
        <f t="shared" si="993"/>
        <v>3.0580433460362925E-2</v>
      </c>
    </row>
    <row r="600" spans="1:20" x14ac:dyDescent="0.25">
      <c r="A600" s="5">
        <v>43993</v>
      </c>
      <c r="B600">
        <v>256.95</v>
      </c>
      <c r="C600">
        <v>258</v>
      </c>
      <c r="D600">
        <v>231.28</v>
      </c>
      <c r="E600">
        <v>234.74</v>
      </c>
      <c r="F600">
        <v>128129.81168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-0.74101796407185572</v>
      </c>
      <c r="Q600">
        <f t="shared" si="990"/>
        <v>-94946.492188023884</v>
      </c>
      <c r="R600">
        <f t="shared" si="991"/>
        <v>3028630.1920244968</v>
      </c>
      <c r="S600">
        <f t="shared" si="992"/>
        <v>30.28630192024497</v>
      </c>
      <c r="T600">
        <f t="shared" si="993"/>
        <v>3.0286301920244969E-2</v>
      </c>
    </row>
    <row r="601" spans="1:20" x14ac:dyDescent="0.25">
      <c r="A601" s="5">
        <v>43992</v>
      </c>
      <c r="B601">
        <v>254.02</v>
      </c>
      <c r="C601">
        <v>258.76</v>
      </c>
      <c r="D601">
        <v>250.6</v>
      </c>
      <c r="E601">
        <v>256.94</v>
      </c>
      <c r="F601">
        <v>83425.147219999999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0.55392156862745245</v>
      </c>
      <c r="Q601">
        <f t="shared" si="990"/>
        <v>46210.988411078557</v>
      </c>
      <c r="R601">
        <f t="shared" si="991"/>
        <v>3123576.6842125207</v>
      </c>
      <c r="S601">
        <f t="shared" si="992"/>
        <v>31.235766842125209</v>
      </c>
      <c r="T601">
        <f t="shared" si="993"/>
        <v>3.1235766842125208E-2</v>
      </c>
    </row>
    <row r="602" spans="1:20" x14ac:dyDescent="0.25">
      <c r="A602" s="5">
        <v>43991</v>
      </c>
      <c r="B602">
        <v>255.3</v>
      </c>
      <c r="C602">
        <v>257.14999999999998</v>
      </c>
      <c r="D602">
        <v>250.5</v>
      </c>
      <c r="E602">
        <v>254.05</v>
      </c>
      <c r="F602">
        <v>59892.012900000002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6.7669172932337901E-2</v>
      </c>
      <c r="Q602">
        <f t="shared" si="990"/>
        <v>4052.8429781959126</v>
      </c>
      <c r="R602">
        <f t="shared" si="991"/>
        <v>3077365.695801442</v>
      </c>
      <c r="S602">
        <f t="shared" si="992"/>
        <v>30.773656958014421</v>
      </c>
      <c r="T602">
        <f t="shared" si="993"/>
        <v>3.0773656958014421E-2</v>
      </c>
    </row>
    <row r="603" spans="1:20" x14ac:dyDescent="0.25">
      <c r="A603" s="5">
        <v>43990</v>
      </c>
      <c r="B603">
        <v>253.56</v>
      </c>
      <c r="C603">
        <v>256.72000000000003</v>
      </c>
      <c r="D603">
        <v>251.3</v>
      </c>
      <c r="E603">
        <v>255.24</v>
      </c>
      <c r="F603">
        <v>63486.196089999998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0.45387453874538236</v>
      </c>
      <c r="Q603">
        <f t="shared" si="990"/>
        <v>28814.767967047646</v>
      </c>
      <c r="R603">
        <f t="shared" si="991"/>
        <v>3073312.8528232463</v>
      </c>
      <c r="S603">
        <f t="shared" si="992"/>
        <v>30.733128528232463</v>
      </c>
      <c r="T603">
        <f t="shared" si="993"/>
        <v>3.0733128528232463E-2</v>
      </c>
    </row>
    <row r="604" spans="1:20" x14ac:dyDescent="0.25">
      <c r="A604" s="5">
        <v>43989</v>
      </c>
      <c r="B604">
        <v>253.21</v>
      </c>
      <c r="C604">
        <v>255.78</v>
      </c>
      <c r="D604">
        <v>245.22</v>
      </c>
      <c r="E604">
        <v>253.56</v>
      </c>
      <c r="F604">
        <v>95042.993900000001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0.57954545454545481</v>
      </c>
      <c r="Q604">
        <f t="shared" si="990"/>
        <v>55081.735101136386</v>
      </c>
      <c r="R604">
        <f t="shared" si="991"/>
        <v>3044498.0848561986</v>
      </c>
      <c r="S604">
        <f t="shared" si="992"/>
        <v>30.444980848561986</v>
      </c>
      <c r="T604">
        <f t="shared" si="993"/>
        <v>3.0444980848561985E-2</v>
      </c>
    </row>
    <row r="605" spans="1:20" x14ac:dyDescent="0.25">
      <c r="A605" s="5">
        <v>43988</v>
      </c>
      <c r="B605">
        <v>256.11</v>
      </c>
      <c r="C605">
        <v>258.26</v>
      </c>
      <c r="D605">
        <v>250.88</v>
      </c>
      <c r="E605">
        <v>253.23</v>
      </c>
      <c r="F605">
        <v>90657.050229999993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-0.36314363143631551</v>
      </c>
      <c r="Q605">
        <f t="shared" si="990"/>
        <v>-32921.530435826659</v>
      </c>
      <c r="R605">
        <f t="shared" si="991"/>
        <v>2989416.3497550623</v>
      </c>
      <c r="S605">
        <f t="shared" si="992"/>
        <v>29.894163497550622</v>
      </c>
      <c r="T605">
        <f t="shared" si="993"/>
        <v>2.989416349755062E-2</v>
      </c>
    </row>
    <row r="606" spans="1:20" x14ac:dyDescent="0.25">
      <c r="A606" s="5">
        <v>43987</v>
      </c>
      <c r="B606">
        <v>256.17</v>
      </c>
      <c r="C606">
        <v>263.45</v>
      </c>
      <c r="D606">
        <v>254.49</v>
      </c>
      <c r="E606">
        <v>256.05</v>
      </c>
      <c r="F606">
        <v>116026.08527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-0.65178571428571297</v>
      </c>
      <c r="Q606">
        <f t="shared" si="990"/>
        <v>-75624.144863481983</v>
      </c>
      <c r="R606">
        <f t="shared" si="991"/>
        <v>3022337.8801908889</v>
      </c>
      <c r="S606">
        <f t="shared" si="992"/>
        <v>30.22337880190889</v>
      </c>
      <c r="T606">
        <f t="shared" si="993"/>
        <v>3.0223378801908889E-2</v>
      </c>
    </row>
    <row r="607" spans="1:20" x14ac:dyDescent="0.25">
      <c r="A607" s="5">
        <v>43986</v>
      </c>
      <c r="B607">
        <v>253.17</v>
      </c>
      <c r="C607">
        <v>260.92</v>
      </c>
      <c r="D607">
        <v>247.5</v>
      </c>
      <c r="E607">
        <v>256.18</v>
      </c>
      <c r="F607">
        <v>151733.53412999999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0.29359165424739142</v>
      </c>
      <c r="Q607">
        <f t="shared" si="990"/>
        <v>44547.699290029719</v>
      </c>
      <c r="R607">
        <f t="shared" si="991"/>
        <v>3097962.025054371</v>
      </c>
      <c r="S607">
        <f t="shared" si="992"/>
        <v>30.979620250543711</v>
      </c>
      <c r="T607">
        <f t="shared" si="993"/>
        <v>3.097962025054371E-2</v>
      </c>
    </row>
    <row r="608" spans="1:20" x14ac:dyDescent="0.25">
      <c r="A608" s="5">
        <v>43985</v>
      </c>
      <c r="B608">
        <v>250.86</v>
      </c>
      <c r="C608">
        <v>254</v>
      </c>
      <c r="D608">
        <v>246.25</v>
      </c>
      <c r="E608">
        <v>253.23</v>
      </c>
      <c r="F608">
        <v>95425.521080000006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0.80129032258064248</v>
      </c>
      <c r="Q608">
        <f t="shared" si="990"/>
        <v>76463.546568619102</v>
      </c>
      <c r="R608">
        <f t="shared" si="991"/>
        <v>3053414.3257643413</v>
      </c>
      <c r="S608">
        <f t="shared" si="992"/>
        <v>30.534143257643414</v>
      </c>
      <c r="T608">
        <f t="shared" si="993"/>
        <v>3.0534143257643413E-2</v>
      </c>
    </row>
    <row r="609" spans="1:20" x14ac:dyDescent="0.25">
      <c r="A609" s="5">
        <v>43984</v>
      </c>
      <c r="B609">
        <v>253.29</v>
      </c>
      <c r="C609">
        <v>269.61</v>
      </c>
      <c r="D609">
        <v>241.67</v>
      </c>
      <c r="E609">
        <v>250.85</v>
      </c>
      <c r="F609">
        <v>264191.59594999999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-0.34287759484609892</v>
      </c>
      <c r="Q609">
        <f t="shared" si="990"/>
        <v>-90585.378997888358</v>
      </c>
      <c r="R609">
        <f t="shared" si="991"/>
        <v>2976950.7791957222</v>
      </c>
      <c r="S609">
        <f t="shared" si="992"/>
        <v>29.769507791957221</v>
      </c>
      <c r="T609">
        <f t="shared" si="993"/>
        <v>2.9769507791957219E-2</v>
      </c>
    </row>
    <row r="610" spans="1:20" x14ac:dyDescent="0.25">
      <c r="A610" s="5">
        <v>43983</v>
      </c>
      <c r="B610">
        <v>238.67</v>
      </c>
      <c r="C610">
        <v>255</v>
      </c>
      <c r="D610">
        <v>237.42</v>
      </c>
      <c r="E610">
        <v>253.19</v>
      </c>
      <c r="F610">
        <v>137868.09636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0.79408418657565405</v>
      </c>
      <c r="Q610">
        <f t="shared" si="990"/>
        <v>109478.87515276449</v>
      </c>
      <c r="R610">
        <f t="shared" si="991"/>
        <v>3067536.1581936106</v>
      </c>
      <c r="S610">
        <f t="shared" si="992"/>
        <v>30.675361581936105</v>
      </c>
      <c r="T610">
        <f t="shared" si="993"/>
        <v>3.0675361581936105E-2</v>
      </c>
    </row>
    <row r="611" spans="1:20" x14ac:dyDescent="0.25">
      <c r="A611" s="5">
        <v>43982</v>
      </c>
      <c r="B611">
        <v>252.41</v>
      </c>
      <c r="C611">
        <v>252.76</v>
      </c>
      <c r="D611">
        <v>236</v>
      </c>
      <c r="E611">
        <v>238.69</v>
      </c>
      <c r="F611">
        <v>134759.41776000001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-0.67899761336515518</v>
      </c>
      <c r="Q611">
        <f t="shared" si="990"/>
        <v>-91501.323037517912</v>
      </c>
      <c r="R611">
        <f t="shared" si="991"/>
        <v>2958057.2830408462</v>
      </c>
      <c r="S611">
        <f t="shared" si="992"/>
        <v>29.580572830408464</v>
      </c>
      <c r="T611">
        <f t="shared" si="993"/>
        <v>2.9580572830408464E-2</v>
      </c>
    </row>
    <row r="612" spans="1:20" x14ac:dyDescent="0.25">
      <c r="A612" s="5">
        <v>43981</v>
      </c>
      <c r="B612">
        <v>238.35</v>
      </c>
      <c r="C612">
        <v>253.75</v>
      </c>
      <c r="D612">
        <v>236.2</v>
      </c>
      <c r="E612">
        <v>252.38</v>
      </c>
      <c r="F612">
        <v>129920.53092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0.8438746438746435</v>
      </c>
      <c r="Q612">
        <f t="shared" si="990"/>
        <v>109636.64176211962</v>
      </c>
      <c r="R612">
        <f t="shared" si="991"/>
        <v>3049558.606078364</v>
      </c>
      <c r="S612">
        <f t="shared" si="992"/>
        <v>30.495586060783641</v>
      </c>
      <c r="T612">
        <f t="shared" si="993"/>
        <v>3.049558606078364E-2</v>
      </c>
    </row>
    <row r="613" spans="1:20" x14ac:dyDescent="0.25">
      <c r="A613" s="5">
        <v>43980</v>
      </c>
      <c r="B613">
        <v>239.91</v>
      </c>
      <c r="C613">
        <v>243.99</v>
      </c>
      <c r="D613">
        <v>233.05</v>
      </c>
      <c r="E613">
        <v>238.43</v>
      </c>
      <c r="F613">
        <v>84354.788950000002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-1.6453382084095691E-2</v>
      </c>
      <c r="Q613">
        <f t="shared" si="990"/>
        <v>-1387.9215732176033</v>
      </c>
      <c r="R613">
        <f t="shared" si="991"/>
        <v>2939921.9643162442</v>
      </c>
      <c r="S613">
        <f t="shared" si="992"/>
        <v>29.399219643162443</v>
      </c>
      <c r="T613">
        <f t="shared" si="993"/>
        <v>2.9399219643162444E-2</v>
      </c>
    </row>
    <row r="614" spans="1:20" x14ac:dyDescent="0.25">
      <c r="A614" s="5">
        <v>43979</v>
      </c>
      <c r="B614">
        <v>232.85</v>
      </c>
      <c r="C614">
        <v>241</v>
      </c>
      <c r="D614">
        <v>228.85</v>
      </c>
      <c r="E614">
        <v>239.86</v>
      </c>
      <c r="F614">
        <v>112645.49877000001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0.812345679012348</v>
      </c>
      <c r="Q614">
        <f t="shared" si="990"/>
        <v>91507.084186000269</v>
      </c>
      <c r="R614">
        <f t="shared" si="991"/>
        <v>2941309.8858894617</v>
      </c>
      <c r="S614">
        <f t="shared" si="992"/>
        <v>29.413098858894617</v>
      </c>
      <c r="T614">
        <f t="shared" si="993"/>
        <v>2.9413098858894617E-2</v>
      </c>
    </row>
    <row r="615" spans="1:20" x14ac:dyDescent="0.25">
      <c r="A615" s="5">
        <v>43978</v>
      </c>
      <c r="B615">
        <v>228</v>
      </c>
      <c r="C615">
        <v>234.8</v>
      </c>
      <c r="D615">
        <v>227.03</v>
      </c>
      <c r="E615">
        <v>232.85</v>
      </c>
      <c r="F615">
        <v>74807.732480000006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0.49806949806949435</v>
      </c>
      <c r="Q615">
        <f t="shared" si="990"/>
        <v>37259.449768030616</v>
      </c>
      <c r="R615">
        <f t="shared" si="991"/>
        <v>2849802.8017034614</v>
      </c>
      <c r="S615">
        <f t="shared" si="992"/>
        <v>28.498028017034613</v>
      </c>
      <c r="T615">
        <f t="shared" si="993"/>
        <v>2.8498028017034615E-2</v>
      </c>
    </row>
    <row r="616" spans="1:20" x14ac:dyDescent="0.25">
      <c r="A616" s="5">
        <v>43977</v>
      </c>
      <c r="B616">
        <v>230.56</v>
      </c>
      <c r="C616">
        <v>231.27</v>
      </c>
      <c r="D616">
        <v>223.91</v>
      </c>
      <c r="E616">
        <v>228.01</v>
      </c>
      <c r="F616">
        <v>68127.541639999996</v>
      </c>
      <c r="G616">
        <v>0</v>
      </c>
      <c r="L616" t="s">
        <v>7</v>
      </c>
      <c r="M616" t="s">
        <v>7</v>
      </c>
      <c r="N616" t="s">
        <v>8</v>
      </c>
      <c r="P616">
        <f t="shared" si="989"/>
        <v>0.11413043478260508</v>
      </c>
      <c r="Q616">
        <f t="shared" si="990"/>
        <v>7775.4259480432311</v>
      </c>
      <c r="R616">
        <f t="shared" si="991"/>
        <v>2812543.3519354309</v>
      </c>
      <c r="S616">
        <f t="shared" si="992"/>
        <v>28.12543351935431</v>
      </c>
      <c r="T616">
        <f t="shared" si="993"/>
        <v>2.8125433519354311E-2</v>
      </c>
    </row>
    <row r="617" spans="1:20" x14ac:dyDescent="0.25">
      <c r="A617" s="5">
        <v>43976</v>
      </c>
      <c r="B617">
        <v>222.91</v>
      </c>
      <c r="C617">
        <v>233.28</v>
      </c>
      <c r="D617">
        <v>220.96</v>
      </c>
      <c r="E617">
        <v>230.55</v>
      </c>
      <c r="F617">
        <v>80902.691500000001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0.55681818181818321</v>
      </c>
      <c r="Q617">
        <f t="shared" si="990"/>
        <v>45048.089585227382</v>
      </c>
      <c r="R617">
        <f t="shared" si="991"/>
        <v>2804767.9259873875</v>
      </c>
      <c r="S617">
        <f t="shared" si="992"/>
        <v>28.047679259873874</v>
      </c>
      <c r="T617">
        <f t="shared" si="993"/>
        <v>2.8047679259873875E-2</v>
      </c>
    </row>
    <row r="618" spans="1:20" x14ac:dyDescent="0.25">
      <c r="A618" s="5">
        <v>43975</v>
      </c>
      <c r="B618">
        <v>234.12</v>
      </c>
      <c r="C618">
        <v>237.48</v>
      </c>
      <c r="D618">
        <v>222.41</v>
      </c>
      <c r="E618">
        <v>223</v>
      </c>
      <c r="F618">
        <v>91313.859719999993</v>
      </c>
      <c r="G618">
        <v>0</v>
      </c>
      <c r="L618" t="s">
        <v>7</v>
      </c>
      <c r="M618" t="s">
        <v>7</v>
      </c>
      <c r="N618" t="s">
        <v>8</v>
      </c>
      <c r="P618">
        <f t="shared" si="989"/>
        <v>-0.92169873921698686</v>
      </c>
      <c r="Q618">
        <f t="shared" si="990"/>
        <v>-84163.869376960793</v>
      </c>
      <c r="R618">
        <f t="shared" si="991"/>
        <v>2759719.8364021601</v>
      </c>
      <c r="S618">
        <f t="shared" si="992"/>
        <v>27.597198364021601</v>
      </c>
      <c r="T618">
        <f t="shared" si="993"/>
        <v>2.7597198364021601E-2</v>
      </c>
    </row>
    <row r="619" spans="1:20" x14ac:dyDescent="0.25">
      <c r="A619" s="5">
        <v>43974</v>
      </c>
      <c r="B619">
        <v>234.67</v>
      </c>
      <c r="C619">
        <v>240</v>
      </c>
      <c r="D619">
        <v>231.96</v>
      </c>
      <c r="E619">
        <v>234.11</v>
      </c>
      <c r="F619">
        <v>89247.902449999994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-0.46517412935323188</v>
      </c>
      <c r="Q619">
        <f t="shared" si="990"/>
        <v>-41515.815318780915</v>
      </c>
      <c r="R619">
        <f t="shared" si="991"/>
        <v>2843883.7057791208</v>
      </c>
      <c r="S619">
        <f t="shared" si="992"/>
        <v>28.438837057791208</v>
      </c>
      <c r="T619">
        <f t="shared" si="993"/>
        <v>2.8438837057791207E-2</v>
      </c>
    </row>
    <row r="620" spans="1:20" x14ac:dyDescent="0.25">
      <c r="A620" s="5">
        <v>43973</v>
      </c>
      <c r="B620">
        <v>228.17</v>
      </c>
      <c r="C620">
        <v>236.69</v>
      </c>
      <c r="D620">
        <v>225</v>
      </c>
      <c r="E620">
        <v>234.67</v>
      </c>
      <c r="F620">
        <v>111783.65323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0.65440547476475441</v>
      </c>
      <c r="Q620">
        <f t="shared" si="990"/>
        <v>73151.834662916823</v>
      </c>
      <c r="R620">
        <f t="shared" si="991"/>
        <v>2885399.5210979017</v>
      </c>
      <c r="S620">
        <f t="shared" si="992"/>
        <v>28.853995210979019</v>
      </c>
      <c r="T620">
        <f t="shared" si="993"/>
        <v>2.8853995210979019E-2</v>
      </c>
    </row>
    <row r="621" spans="1:20" x14ac:dyDescent="0.25">
      <c r="A621" s="5">
        <v>43972</v>
      </c>
      <c r="B621">
        <v>239.79</v>
      </c>
      <c r="C621">
        <v>243</v>
      </c>
      <c r="D621">
        <v>220.65</v>
      </c>
      <c r="E621">
        <v>228.22</v>
      </c>
      <c r="F621">
        <v>149841.8009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-0.32259507829977674</v>
      </c>
      <c r="Q621">
        <f t="shared" si="990"/>
        <v>-48338.227493915059</v>
      </c>
      <c r="R621">
        <f t="shared" si="991"/>
        <v>2812247.6864349851</v>
      </c>
      <c r="S621">
        <f t="shared" si="992"/>
        <v>28.122476864349853</v>
      </c>
      <c r="T621">
        <f t="shared" si="993"/>
        <v>2.8122476864349853E-2</v>
      </c>
    </row>
    <row r="622" spans="1:20" x14ac:dyDescent="0.25">
      <c r="A622" s="5">
        <v>43971</v>
      </c>
      <c r="B622">
        <v>246.83</v>
      </c>
      <c r="C622">
        <v>247.66</v>
      </c>
      <c r="D622">
        <v>235</v>
      </c>
      <c r="E622">
        <v>239.85</v>
      </c>
      <c r="F622">
        <v>127884.72984</v>
      </c>
      <c r="G622">
        <v>0</v>
      </c>
      <c r="L622" t="s">
        <v>7</v>
      </c>
      <c r="M622" t="s">
        <v>7</v>
      </c>
      <c r="N622" t="s">
        <v>8</v>
      </c>
      <c r="P622">
        <f t="shared" si="989"/>
        <v>-0.23380726698262314</v>
      </c>
      <c r="Q622">
        <f t="shared" si="990"/>
        <v>-29900.379172701512</v>
      </c>
      <c r="R622">
        <f t="shared" si="991"/>
        <v>2860585.9139289004</v>
      </c>
      <c r="S622">
        <f t="shared" si="992"/>
        <v>28.605859139289002</v>
      </c>
      <c r="T622">
        <f t="shared" si="993"/>
        <v>2.8605859139289001E-2</v>
      </c>
    </row>
    <row r="623" spans="1:20" x14ac:dyDescent="0.25">
      <c r="A623" s="5">
        <v>43970</v>
      </c>
      <c r="B623">
        <v>248.49</v>
      </c>
      <c r="C623">
        <v>250.94</v>
      </c>
      <c r="D623">
        <v>242.36</v>
      </c>
      <c r="E623">
        <v>246.74</v>
      </c>
      <c r="F623">
        <v>110402.72203999999</v>
      </c>
      <c r="G623">
        <v>0</v>
      </c>
      <c r="L623" t="s">
        <v>8</v>
      </c>
      <c r="M623" t="s">
        <v>7</v>
      </c>
      <c r="N623" t="s">
        <v>8</v>
      </c>
      <c r="P623">
        <f t="shared" si="989"/>
        <v>2.0979020979021813E-2</v>
      </c>
      <c r="Q623">
        <f t="shared" si="990"/>
        <v>2316.1410218182737</v>
      </c>
      <c r="R623">
        <f t="shared" si="991"/>
        <v>2890486.2931016018</v>
      </c>
      <c r="S623">
        <f t="shared" si="992"/>
        <v>28.904862931016019</v>
      </c>
      <c r="T623">
        <f t="shared" si="993"/>
        <v>2.8904862931016021E-2</v>
      </c>
    </row>
    <row r="624" spans="1:20" x14ac:dyDescent="0.25">
      <c r="A624" s="5">
        <v>43969</v>
      </c>
      <c r="B624">
        <v>240.74</v>
      </c>
      <c r="C624">
        <v>255.75</v>
      </c>
      <c r="D624">
        <v>240.25</v>
      </c>
      <c r="E624">
        <v>248.5</v>
      </c>
      <c r="F624">
        <v>159970.51045999999</v>
      </c>
      <c r="G624">
        <v>0</v>
      </c>
      <c r="L624" t="s">
        <v>8</v>
      </c>
      <c r="M624" t="s">
        <v>7</v>
      </c>
      <c r="N624" t="s">
        <v>8</v>
      </c>
      <c r="P624">
        <f t="shared" si="989"/>
        <v>6.4516129032258063E-2</v>
      </c>
      <c r="Q624">
        <f t="shared" si="990"/>
        <v>10320.678094193547</v>
      </c>
      <c r="R624">
        <f t="shared" si="991"/>
        <v>2888170.1520797834</v>
      </c>
      <c r="S624">
        <f t="shared" si="992"/>
        <v>28.881701520797833</v>
      </c>
      <c r="T624">
        <f t="shared" si="993"/>
        <v>2.8881701520797835E-2</v>
      </c>
    </row>
    <row r="625" spans="1:20" x14ac:dyDescent="0.25">
      <c r="A625" s="5">
        <v>43968</v>
      </c>
      <c r="B625">
        <v>236.45</v>
      </c>
      <c r="C625">
        <v>247.43</v>
      </c>
      <c r="D625">
        <v>235.61</v>
      </c>
      <c r="E625">
        <v>240.73</v>
      </c>
      <c r="F625">
        <v>105516.29912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-0.13367174280880217</v>
      </c>
      <c r="Q625">
        <f t="shared" si="990"/>
        <v>-14104.547598105279</v>
      </c>
      <c r="R625">
        <f t="shared" si="991"/>
        <v>2877849.47398559</v>
      </c>
      <c r="S625">
        <f t="shared" si="992"/>
        <v>28.778494739855901</v>
      </c>
      <c r="T625">
        <f t="shared" si="993"/>
        <v>2.87784947398559E-2</v>
      </c>
    </row>
    <row r="626" spans="1:20" x14ac:dyDescent="0.25">
      <c r="A626" s="5">
        <v>43967</v>
      </c>
      <c r="B626">
        <v>235.11</v>
      </c>
      <c r="C626">
        <v>240.9</v>
      </c>
      <c r="D626">
        <v>233.64</v>
      </c>
      <c r="E626">
        <v>236.45</v>
      </c>
      <c r="F626">
        <v>106699.94829</v>
      </c>
      <c r="G626">
        <v>0</v>
      </c>
      <c r="L626" t="s">
        <v>8</v>
      </c>
      <c r="M626" t="s">
        <v>7</v>
      </c>
      <c r="N626" t="s">
        <v>8</v>
      </c>
      <c r="P626">
        <f t="shared" si="989"/>
        <v>-0.22589531680440914</v>
      </c>
      <c r="Q626">
        <f t="shared" si="990"/>
        <v>-24103.018621983621</v>
      </c>
      <c r="R626">
        <f t="shared" si="991"/>
        <v>2891954.0215836954</v>
      </c>
      <c r="S626">
        <f t="shared" si="992"/>
        <v>28.919540215836953</v>
      </c>
      <c r="T626">
        <f t="shared" si="993"/>
        <v>2.8919540215836953E-2</v>
      </c>
    </row>
    <row r="627" spans="1:20" x14ac:dyDescent="0.25">
      <c r="A627" s="5">
        <v>43966</v>
      </c>
      <c r="B627">
        <v>242.51</v>
      </c>
      <c r="C627">
        <v>243.39</v>
      </c>
      <c r="D627">
        <v>230.93</v>
      </c>
      <c r="E627">
        <v>235.21</v>
      </c>
      <c r="F627">
        <v>115625.77262</v>
      </c>
      <c r="G627">
        <v>0</v>
      </c>
      <c r="L627" t="s">
        <v>8</v>
      </c>
      <c r="M627" t="s">
        <v>7</v>
      </c>
      <c r="N627" t="s">
        <v>8</v>
      </c>
      <c r="P627">
        <f t="shared" si="989"/>
        <v>-0.31300160513643527</v>
      </c>
      <c r="Q627">
        <f t="shared" si="990"/>
        <v>-36191.052425200491</v>
      </c>
      <c r="R627">
        <f t="shared" si="991"/>
        <v>2916057.0402056789</v>
      </c>
      <c r="S627">
        <f t="shared" si="992"/>
        <v>29.160570402056788</v>
      </c>
      <c r="T627">
        <f t="shared" si="993"/>
        <v>2.9160570402056787E-2</v>
      </c>
    </row>
    <row r="628" spans="1:20" x14ac:dyDescent="0.25">
      <c r="A628" s="5">
        <v>43965</v>
      </c>
      <c r="B628">
        <v>239.34</v>
      </c>
      <c r="C628">
        <v>245.82</v>
      </c>
      <c r="D628">
        <v>233.83</v>
      </c>
      <c r="E628">
        <v>242.61</v>
      </c>
      <c r="F628">
        <v>173327.58715000001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0.46455379482902676</v>
      </c>
      <c r="Q628">
        <f t="shared" si="990"/>
        <v>80519.988359091352</v>
      </c>
      <c r="R628">
        <f t="shared" si="991"/>
        <v>2952248.0926308795</v>
      </c>
      <c r="S628">
        <f t="shared" si="992"/>
        <v>29.522480926308795</v>
      </c>
      <c r="T628">
        <f t="shared" si="993"/>
        <v>2.9522480926308794E-2</v>
      </c>
    </row>
    <row r="629" spans="1:20" x14ac:dyDescent="0.25">
      <c r="A629" s="5">
        <v>43964</v>
      </c>
      <c r="B629">
        <v>233.25</v>
      </c>
      <c r="C629">
        <v>242</v>
      </c>
      <c r="D629">
        <v>231.74</v>
      </c>
      <c r="E629">
        <v>239.41</v>
      </c>
      <c r="F629">
        <v>104151.89988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0.4951267056530203</v>
      </c>
      <c r="Q629">
        <f t="shared" si="990"/>
        <v>51568.387075087601</v>
      </c>
      <c r="R629">
        <f t="shared" si="991"/>
        <v>2871728.1042717882</v>
      </c>
      <c r="S629">
        <f t="shared" si="992"/>
        <v>28.717281042717882</v>
      </c>
      <c r="T629">
        <f t="shared" si="993"/>
        <v>2.8717281042717882E-2</v>
      </c>
    </row>
    <row r="630" spans="1:20" x14ac:dyDescent="0.25">
      <c r="A630" s="5">
        <v>43963</v>
      </c>
      <c r="B630">
        <v>235.17</v>
      </c>
      <c r="C630">
        <v>239.4</v>
      </c>
      <c r="D630">
        <v>228.42</v>
      </c>
      <c r="E630">
        <v>233.23</v>
      </c>
      <c r="F630">
        <v>146776.56599999999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-0.12386156648451835</v>
      </c>
      <c r="Q630">
        <f t="shared" si="990"/>
        <v>-18179.975387978295</v>
      </c>
      <c r="R630">
        <f t="shared" si="991"/>
        <v>2820159.7171967006</v>
      </c>
      <c r="S630">
        <f t="shared" si="992"/>
        <v>28.201597171967006</v>
      </c>
      <c r="T630">
        <f t="shared" si="993"/>
        <v>2.8201597171967005E-2</v>
      </c>
    </row>
    <row r="631" spans="1:20" x14ac:dyDescent="0.25">
      <c r="A631" s="5">
        <v>43962</v>
      </c>
      <c r="B631">
        <v>232.68</v>
      </c>
      <c r="C631">
        <v>238</v>
      </c>
      <c r="D631">
        <v>216.52</v>
      </c>
      <c r="E631">
        <v>235.16</v>
      </c>
      <c r="F631">
        <v>264827.64400999999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0.73556797020484121</v>
      </c>
      <c r="Q631">
        <f t="shared" si="990"/>
        <v>194798.73255856597</v>
      </c>
      <c r="R631">
        <f t="shared" si="991"/>
        <v>2838339.692584679</v>
      </c>
      <c r="S631">
        <f t="shared" si="992"/>
        <v>28.383396925846789</v>
      </c>
      <c r="T631">
        <f t="shared" si="993"/>
        <v>2.838339692584679E-2</v>
      </c>
    </row>
    <row r="632" spans="1:20" x14ac:dyDescent="0.25">
      <c r="A632" s="5">
        <v>43961</v>
      </c>
      <c r="B632">
        <v>265.26</v>
      </c>
      <c r="C632">
        <v>265.72000000000003</v>
      </c>
      <c r="D632">
        <v>221.33</v>
      </c>
      <c r="E632">
        <v>232.56</v>
      </c>
      <c r="F632">
        <v>364945.21343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-0.49403018697904999</v>
      </c>
      <c r="Q632">
        <f t="shared" si="990"/>
        <v>-180293.95202793222</v>
      </c>
      <c r="R632">
        <f t="shared" si="991"/>
        <v>2643540.9600261129</v>
      </c>
      <c r="S632">
        <f t="shared" si="992"/>
        <v>26.435409600261128</v>
      </c>
      <c r="T632">
        <f t="shared" si="993"/>
        <v>2.6435409600261129E-2</v>
      </c>
    </row>
    <row r="633" spans="1:20" x14ac:dyDescent="0.25">
      <c r="A633" s="5">
        <v>43960</v>
      </c>
      <c r="B633">
        <v>260.16000000000003</v>
      </c>
      <c r="C633">
        <v>277.45999999999998</v>
      </c>
      <c r="D633">
        <v>258.51</v>
      </c>
      <c r="E633">
        <v>265.24</v>
      </c>
      <c r="F633">
        <v>265358.79287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-0.2897097625329792</v>
      </c>
      <c r="Q633">
        <f t="shared" si="990"/>
        <v>-76877.032868405717</v>
      </c>
      <c r="R633">
        <f t="shared" si="991"/>
        <v>2823834.9120540451</v>
      </c>
      <c r="S633">
        <f t="shared" si="992"/>
        <v>28.238349120540452</v>
      </c>
      <c r="T633">
        <f t="shared" si="993"/>
        <v>2.8238349120540452E-2</v>
      </c>
    </row>
    <row r="634" spans="1:20" x14ac:dyDescent="0.25">
      <c r="A634" s="5">
        <v>43959</v>
      </c>
      <c r="B634">
        <v>251.94</v>
      </c>
      <c r="C634">
        <v>265.83</v>
      </c>
      <c r="D634">
        <v>247.85</v>
      </c>
      <c r="E634">
        <v>260.3</v>
      </c>
      <c r="F634">
        <v>199500.21611000001</v>
      </c>
      <c r="G634">
        <v>0</v>
      </c>
      <c r="L634" t="s">
        <v>8</v>
      </c>
      <c r="M634" t="s">
        <v>7</v>
      </c>
      <c r="N634" t="s">
        <v>7</v>
      </c>
      <c r="P634">
        <f t="shared" si="989"/>
        <v>0.38487208008899043</v>
      </c>
      <c r="Q634">
        <f t="shared" si="990"/>
        <v>76782.063152458824</v>
      </c>
      <c r="R634">
        <f t="shared" si="991"/>
        <v>2900711.9449224509</v>
      </c>
      <c r="S634">
        <f t="shared" si="992"/>
        <v>29.007119449224508</v>
      </c>
      <c r="T634">
        <f t="shared" si="993"/>
        <v>2.9007119449224506E-2</v>
      </c>
    </row>
    <row r="635" spans="1:20" x14ac:dyDescent="0.25">
      <c r="A635" s="5">
        <v>43958</v>
      </c>
      <c r="B635">
        <v>241.32</v>
      </c>
      <c r="C635">
        <v>256.62</v>
      </c>
      <c r="D635">
        <v>235.5</v>
      </c>
      <c r="E635">
        <v>251.9</v>
      </c>
      <c r="F635">
        <v>165995.03320000001</v>
      </c>
      <c r="G635">
        <v>0</v>
      </c>
      <c r="L635" t="s">
        <v>8</v>
      </c>
      <c r="M635" t="s">
        <v>7</v>
      </c>
      <c r="N635" t="s">
        <v>7</v>
      </c>
      <c r="P635">
        <f t="shared" si="989"/>
        <v>0.55303030303030321</v>
      </c>
      <c r="Q635">
        <f t="shared" si="990"/>
        <v>91800.283512121241</v>
      </c>
      <c r="R635">
        <f t="shared" si="991"/>
        <v>2823929.8817699919</v>
      </c>
      <c r="S635">
        <f t="shared" si="992"/>
        <v>28.239298817699918</v>
      </c>
      <c r="T635">
        <f t="shared" si="993"/>
        <v>2.8239298817699918E-2</v>
      </c>
    </row>
    <row r="636" spans="1:20" x14ac:dyDescent="0.25">
      <c r="A636" s="5">
        <v>43957</v>
      </c>
      <c r="B636">
        <v>246.92</v>
      </c>
      <c r="C636">
        <v>253.91</v>
      </c>
      <c r="D636">
        <v>239.95</v>
      </c>
      <c r="E636">
        <v>241.32</v>
      </c>
      <c r="F636">
        <v>119023.73336</v>
      </c>
      <c r="G636">
        <v>0</v>
      </c>
      <c r="L636" t="s">
        <v>8</v>
      </c>
      <c r="M636" t="s">
        <v>7</v>
      </c>
      <c r="N636" t="s">
        <v>7</v>
      </c>
      <c r="P636">
        <f t="shared" si="989"/>
        <v>-0.80372492836676168</v>
      </c>
      <c r="Q636">
        <f t="shared" si="990"/>
        <v>-95662.341568710544</v>
      </c>
      <c r="R636">
        <f t="shared" si="991"/>
        <v>2732129.5982578709</v>
      </c>
      <c r="S636">
        <f t="shared" si="992"/>
        <v>27.321295982578707</v>
      </c>
      <c r="T636">
        <f t="shared" si="993"/>
        <v>2.7321295982578708E-2</v>
      </c>
    </row>
    <row r="637" spans="1:20" x14ac:dyDescent="0.25">
      <c r="A637" s="5">
        <v>43956</v>
      </c>
      <c r="B637">
        <v>245.77</v>
      </c>
      <c r="C637">
        <v>252.28</v>
      </c>
      <c r="D637">
        <v>240.96</v>
      </c>
      <c r="E637">
        <v>246.9</v>
      </c>
      <c r="F637">
        <v>94957.680540000001</v>
      </c>
      <c r="G637">
        <v>0</v>
      </c>
      <c r="L637" t="s">
        <v>8</v>
      </c>
      <c r="M637" t="s">
        <v>7</v>
      </c>
      <c r="N637" t="s">
        <v>7</v>
      </c>
      <c r="P637">
        <f t="shared" si="989"/>
        <v>4.9469964664311188E-2</v>
      </c>
      <c r="Q637">
        <f t="shared" si="990"/>
        <v>4697.5531009187498</v>
      </c>
      <c r="R637">
        <f t="shared" si="991"/>
        <v>2827791.9398265816</v>
      </c>
      <c r="S637">
        <f t="shared" si="992"/>
        <v>28.277919398265816</v>
      </c>
      <c r="T637">
        <f t="shared" si="993"/>
        <v>2.8277919398265815E-2</v>
      </c>
    </row>
    <row r="638" spans="1:20" x14ac:dyDescent="0.25">
      <c r="A638" s="5">
        <v>43955</v>
      </c>
      <c r="B638">
        <v>251.69</v>
      </c>
      <c r="C638">
        <v>252.61</v>
      </c>
      <c r="D638">
        <v>236</v>
      </c>
      <c r="E638">
        <v>245.75</v>
      </c>
      <c r="F638">
        <v>151932.20063000001</v>
      </c>
      <c r="G638">
        <v>0</v>
      </c>
      <c r="L638" t="s">
        <v>7</v>
      </c>
      <c r="M638" t="s">
        <v>7</v>
      </c>
      <c r="N638" t="s">
        <v>7</v>
      </c>
      <c r="P638">
        <f t="shared" si="989"/>
        <v>0.17399157134256377</v>
      </c>
      <c r="Q638">
        <f t="shared" si="990"/>
        <v>26434.92232514736</v>
      </c>
      <c r="R638">
        <f t="shared" si="991"/>
        <v>2823094.3867256627</v>
      </c>
      <c r="S638">
        <f t="shared" si="992"/>
        <v>28.230943867256627</v>
      </c>
      <c r="T638">
        <f t="shared" si="993"/>
        <v>2.8230943867256629E-2</v>
      </c>
    </row>
    <row r="639" spans="1:20" x14ac:dyDescent="0.25">
      <c r="A639" s="5">
        <v>43954</v>
      </c>
      <c r="B639">
        <v>260.83999999999997</v>
      </c>
      <c r="C639">
        <v>267.76</v>
      </c>
      <c r="D639">
        <v>245.7</v>
      </c>
      <c r="E639">
        <v>251.65</v>
      </c>
      <c r="F639">
        <v>166679.52234</v>
      </c>
      <c r="G639">
        <v>0</v>
      </c>
      <c r="L639" t="s">
        <v>7</v>
      </c>
      <c r="M639" t="s">
        <v>8</v>
      </c>
      <c r="N639" t="s">
        <v>7</v>
      </c>
      <c r="P639">
        <f t="shared" si="989"/>
        <v>-0.46056210335448627</v>
      </c>
      <c r="Q639">
        <f t="shared" si="990"/>
        <v>-76766.271395031479</v>
      </c>
      <c r="R639">
        <f t="shared" si="991"/>
        <v>2796659.4644005154</v>
      </c>
      <c r="S639">
        <f t="shared" si="992"/>
        <v>27.966594644005156</v>
      </c>
      <c r="T639">
        <f t="shared" si="993"/>
        <v>2.7966594644005156E-2</v>
      </c>
    </row>
    <row r="640" spans="1:20" x14ac:dyDescent="0.25">
      <c r="A640" s="5">
        <v>43953</v>
      </c>
      <c r="B640">
        <v>254.79</v>
      </c>
      <c r="C640">
        <v>261</v>
      </c>
      <c r="D640">
        <v>252.2</v>
      </c>
      <c r="E640">
        <v>260.83999999999997</v>
      </c>
      <c r="F640">
        <v>103409.54201999999</v>
      </c>
      <c r="G640">
        <v>0</v>
      </c>
      <c r="L640" t="s">
        <v>7</v>
      </c>
      <c r="M640" t="s">
        <v>8</v>
      </c>
      <c r="N640" t="s">
        <v>7</v>
      </c>
      <c r="P640">
        <f t="shared" si="989"/>
        <v>0.96363636363635796</v>
      </c>
      <c r="Q640">
        <f t="shared" si="990"/>
        <v>99649.195037453959</v>
      </c>
      <c r="R640">
        <f t="shared" si="991"/>
        <v>2873425.7357955468</v>
      </c>
      <c r="S640">
        <f t="shared" si="992"/>
        <v>28.734257357955467</v>
      </c>
      <c r="T640">
        <f t="shared" si="993"/>
        <v>2.8734257357955467E-2</v>
      </c>
    </row>
    <row r="641" spans="1:20" x14ac:dyDescent="0.25">
      <c r="A641" s="5">
        <v>43952</v>
      </c>
      <c r="B641">
        <v>250.05</v>
      </c>
      <c r="C641">
        <v>260.22000000000003</v>
      </c>
      <c r="D641">
        <v>250.05</v>
      </c>
      <c r="E641">
        <v>254.79</v>
      </c>
      <c r="F641">
        <v>153693.78915</v>
      </c>
      <c r="G641">
        <v>0</v>
      </c>
      <c r="L641" t="s">
        <v>7</v>
      </c>
      <c r="M641" t="s">
        <v>8</v>
      </c>
      <c r="N641" t="s">
        <v>7</v>
      </c>
      <c r="P641">
        <f t="shared" si="989"/>
        <v>-6.7846607669621778E-2</v>
      </c>
      <c r="Q641">
        <f t="shared" si="990"/>
        <v>-10427.602213717622</v>
      </c>
      <c r="R641">
        <f t="shared" si="991"/>
        <v>2773776.5407580929</v>
      </c>
      <c r="S641">
        <f t="shared" si="992"/>
        <v>27.73776540758093</v>
      </c>
      <c r="T641">
        <f t="shared" si="993"/>
        <v>2.7737765407580932E-2</v>
      </c>
    </row>
    <row r="642" spans="1:20" x14ac:dyDescent="0.25">
      <c r="A642" s="5">
        <v>43951</v>
      </c>
      <c r="B642">
        <v>257.70999999999998</v>
      </c>
      <c r="C642">
        <v>275.57</v>
      </c>
      <c r="D642">
        <v>245.01</v>
      </c>
      <c r="E642">
        <v>250.05</v>
      </c>
      <c r="F642">
        <v>331828.19055</v>
      </c>
      <c r="G642">
        <v>0</v>
      </c>
      <c r="L642" t="s">
        <v>8</v>
      </c>
      <c r="M642" t="s">
        <v>8</v>
      </c>
      <c r="N642" t="s">
        <v>7</v>
      </c>
      <c r="P642">
        <f t="shared" si="989"/>
        <v>-0.67015706806282593</v>
      </c>
      <c r="Q642">
        <f t="shared" si="990"/>
        <v>-222377.00727958072</v>
      </c>
      <c r="R642">
        <f t="shared" si="991"/>
        <v>2784204.1429718104</v>
      </c>
      <c r="S642">
        <f t="shared" si="992"/>
        <v>27.842041429718105</v>
      </c>
      <c r="T642">
        <f t="shared" si="993"/>
        <v>2.7842041429718106E-2</v>
      </c>
    </row>
    <row r="643" spans="1:20" x14ac:dyDescent="0.25">
      <c r="A643" s="5">
        <v>43950</v>
      </c>
      <c r="B643">
        <v>241.14</v>
      </c>
      <c r="C643">
        <v>262.81</v>
      </c>
      <c r="D643">
        <v>241.03</v>
      </c>
      <c r="E643">
        <v>257.77</v>
      </c>
      <c r="F643">
        <v>267847.69582999998</v>
      </c>
      <c r="G643">
        <v>0</v>
      </c>
      <c r="L643" t="s">
        <v>8</v>
      </c>
      <c r="M643" t="s">
        <v>8</v>
      </c>
      <c r="N643" t="s">
        <v>7</v>
      </c>
      <c r="P643">
        <f t="shared" si="989"/>
        <v>0.5371900826446262</v>
      </c>
      <c r="Q643">
        <f t="shared" si="990"/>
        <v>143885.12585909039</v>
      </c>
      <c r="R643">
        <f t="shared" si="991"/>
        <v>3006581.1502513913</v>
      </c>
      <c r="S643">
        <f t="shared" si="992"/>
        <v>30.065811502513913</v>
      </c>
      <c r="T643">
        <f t="shared" si="993"/>
        <v>3.0065811502513914E-2</v>
      </c>
    </row>
    <row r="644" spans="1:20" x14ac:dyDescent="0.25">
      <c r="A644" s="5">
        <v>43949</v>
      </c>
      <c r="B644">
        <v>242.77</v>
      </c>
      <c r="C644">
        <v>243.13</v>
      </c>
      <c r="D644">
        <v>236.94</v>
      </c>
      <c r="E644">
        <v>241.14</v>
      </c>
      <c r="F644">
        <v>112366.41789</v>
      </c>
      <c r="G644">
        <v>0</v>
      </c>
      <c r="L644" t="s">
        <v>8</v>
      </c>
      <c r="M644" t="s">
        <v>8</v>
      </c>
      <c r="N644" t="s">
        <v>7</v>
      </c>
      <c r="P644">
        <f t="shared" si="989"/>
        <v>0.35702746365104693</v>
      </c>
      <c r="Q644">
        <f t="shared" si="990"/>
        <v>40117.89717882032</v>
      </c>
      <c r="R644">
        <f t="shared" si="991"/>
        <v>2862696.0243923008</v>
      </c>
      <c r="S644">
        <f t="shared" si="992"/>
        <v>28.626960243923008</v>
      </c>
      <c r="T644">
        <f t="shared" si="993"/>
        <v>2.8626960243923007E-2</v>
      </c>
    </row>
    <row r="645" spans="1:20" x14ac:dyDescent="0.25">
      <c r="A645" s="5">
        <v>43948</v>
      </c>
      <c r="B645">
        <v>246.35</v>
      </c>
      <c r="C645">
        <v>248.07</v>
      </c>
      <c r="D645">
        <v>234.02</v>
      </c>
      <c r="E645">
        <v>242.75</v>
      </c>
      <c r="F645">
        <v>187200.56808</v>
      </c>
      <c r="G645">
        <v>0</v>
      </c>
      <c r="L645" t="s">
        <v>8</v>
      </c>
      <c r="M645" t="s">
        <v>8</v>
      </c>
      <c r="N645" t="s">
        <v>7</v>
      </c>
      <c r="P645">
        <f t="shared" si="989"/>
        <v>0.24270462633451961</v>
      </c>
      <c r="Q645">
        <f t="shared" si="990"/>
        <v>45434.443925466199</v>
      </c>
      <c r="R645">
        <f t="shared" si="991"/>
        <v>2822578.1272134804</v>
      </c>
      <c r="S645">
        <f t="shared" si="992"/>
        <v>28.225781272134803</v>
      </c>
      <c r="T645">
        <f t="shared" si="993"/>
        <v>2.8225781272134803E-2</v>
      </c>
    </row>
    <row r="646" spans="1:20" x14ac:dyDescent="0.25">
      <c r="A646" s="5">
        <v>43947</v>
      </c>
      <c r="B646">
        <v>238.06</v>
      </c>
      <c r="C646">
        <v>249.42</v>
      </c>
      <c r="D646">
        <v>237.38</v>
      </c>
      <c r="E646">
        <v>246.36</v>
      </c>
      <c r="F646">
        <v>138116.36689999999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0.49169435215947244</v>
      </c>
      <c r="Q646">
        <f t="shared" ref="Q646:Q709" si="995">F646*P646</f>
        <v>67911.037545515501</v>
      </c>
      <c r="R646">
        <f t="shared" ref="R646:R709" si="996">R647+Q646</f>
        <v>2777143.683288014</v>
      </c>
      <c r="S646">
        <f t="shared" ref="S646:S709" si="997">R646/100000</f>
        <v>27.771436832880141</v>
      </c>
      <c r="T646">
        <f t="shared" ref="T646:T709" si="998">S646/1000</f>
        <v>2.777143683288014E-2</v>
      </c>
    </row>
    <row r="647" spans="1:20" x14ac:dyDescent="0.25">
      <c r="A647" s="5">
        <v>43946</v>
      </c>
      <c r="B647">
        <v>237.9</v>
      </c>
      <c r="C647">
        <v>245.76</v>
      </c>
      <c r="D647">
        <v>235.04</v>
      </c>
      <c r="E647">
        <v>238.07</v>
      </c>
      <c r="F647">
        <v>94591.409580000007</v>
      </c>
      <c r="G647">
        <v>0</v>
      </c>
      <c r="L647" t="s">
        <v>8</v>
      </c>
      <c r="M647" t="s">
        <v>7</v>
      </c>
      <c r="N647" t="s">
        <v>7</v>
      </c>
      <c r="P647">
        <f t="shared" si="994"/>
        <v>-0.43470149253731316</v>
      </c>
      <c r="Q647">
        <f t="shared" si="995"/>
        <v>-41119.026925634309</v>
      </c>
      <c r="R647">
        <f t="shared" si="996"/>
        <v>2709232.6457424983</v>
      </c>
      <c r="S647">
        <f t="shared" si="997"/>
        <v>27.092326457424985</v>
      </c>
      <c r="T647">
        <f t="shared" si="998"/>
        <v>2.7092326457424983E-2</v>
      </c>
    </row>
    <row r="648" spans="1:20" x14ac:dyDescent="0.25">
      <c r="A648" s="5">
        <v>43945</v>
      </c>
      <c r="B648">
        <v>237.36</v>
      </c>
      <c r="C648">
        <v>242.26</v>
      </c>
      <c r="D648">
        <v>233.31</v>
      </c>
      <c r="E648">
        <v>237.9</v>
      </c>
      <c r="F648">
        <v>122513.60090999999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2.5698324022348434E-2</v>
      </c>
      <c r="Q648">
        <f t="shared" si="995"/>
        <v>3148.3942133298619</v>
      </c>
      <c r="R648">
        <f t="shared" si="996"/>
        <v>2750351.6726681325</v>
      </c>
      <c r="S648">
        <f t="shared" si="997"/>
        <v>27.503516726681326</v>
      </c>
      <c r="T648">
        <f t="shared" si="998"/>
        <v>2.7503516726681325E-2</v>
      </c>
    </row>
    <row r="649" spans="1:20" x14ac:dyDescent="0.25">
      <c r="A649" s="5">
        <v>43944</v>
      </c>
      <c r="B649">
        <v>233.08</v>
      </c>
      <c r="C649">
        <v>247</v>
      </c>
      <c r="D649">
        <v>225.83</v>
      </c>
      <c r="E649">
        <v>237.4</v>
      </c>
      <c r="F649">
        <v>189880.75558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9.3056211620217294E-2</v>
      </c>
      <c r="Q649">
        <f t="shared" si="995"/>
        <v>17669.583773859234</v>
      </c>
      <c r="R649">
        <f t="shared" si="996"/>
        <v>2747203.2784548025</v>
      </c>
      <c r="S649">
        <f t="shared" si="997"/>
        <v>27.472032784548023</v>
      </c>
      <c r="T649">
        <f t="shared" si="998"/>
        <v>2.7472032784548024E-2</v>
      </c>
    </row>
    <row r="650" spans="1:20" x14ac:dyDescent="0.25">
      <c r="A650" s="5">
        <v>43943</v>
      </c>
      <c r="B650">
        <v>219.44</v>
      </c>
      <c r="C650">
        <v>235.95</v>
      </c>
      <c r="D650">
        <v>217.33</v>
      </c>
      <c r="E650">
        <v>232.94</v>
      </c>
      <c r="F650">
        <v>122547.73927999999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0.67669172932330879</v>
      </c>
      <c r="Q650">
        <f t="shared" si="995"/>
        <v>82927.041618045172</v>
      </c>
      <c r="R650">
        <f t="shared" si="996"/>
        <v>2729533.6946809432</v>
      </c>
      <c r="S650">
        <f t="shared" si="997"/>
        <v>27.295336946809432</v>
      </c>
      <c r="T650">
        <f t="shared" si="998"/>
        <v>2.7295336946809433E-2</v>
      </c>
    </row>
    <row r="651" spans="1:20" x14ac:dyDescent="0.25">
      <c r="A651" s="5">
        <v>43942</v>
      </c>
      <c r="B651">
        <v>219.02</v>
      </c>
      <c r="C651">
        <v>223.5</v>
      </c>
      <c r="D651">
        <v>215.03</v>
      </c>
      <c r="E651">
        <v>219.42</v>
      </c>
      <c r="F651">
        <v>126076.62108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3.6599763872488061E-2</v>
      </c>
      <c r="Q651">
        <f t="shared" si="995"/>
        <v>4614.3745613691508</v>
      </c>
      <c r="R651">
        <f t="shared" si="996"/>
        <v>2646606.6530628982</v>
      </c>
      <c r="S651">
        <f t="shared" si="997"/>
        <v>26.466066530628982</v>
      </c>
      <c r="T651">
        <f t="shared" si="998"/>
        <v>2.6466066530628982E-2</v>
      </c>
    </row>
    <row r="652" spans="1:20" x14ac:dyDescent="0.25">
      <c r="A652" s="5">
        <v>43941</v>
      </c>
      <c r="B652">
        <v>231.27</v>
      </c>
      <c r="C652">
        <v>238.5</v>
      </c>
      <c r="D652">
        <v>215.62</v>
      </c>
      <c r="E652">
        <v>219.02</v>
      </c>
      <c r="F652">
        <v>197183.19120999999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-0.70279720279720226</v>
      </c>
      <c r="Q652">
        <f t="shared" si="995"/>
        <v>-138579.79522101386</v>
      </c>
      <c r="R652">
        <f t="shared" si="996"/>
        <v>2641992.2785015292</v>
      </c>
      <c r="S652">
        <f t="shared" si="997"/>
        <v>26.419922785015292</v>
      </c>
      <c r="T652">
        <f t="shared" si="998"/>
        <v>2.6419922785015291E-2</v>
      </c>
    </row>
    <row r="653" spans="1:20" x14ac:dyDescent="0.25">
      <c r="A653" s="5">
        <v>43940</v>
      </c>
      <c r="B653">
        <v>243.63</v>
      </c>
      <c r="C653">
        <v>244.97</v>
      </c>
      <c r="D653">
        <v>229</v>
      </c>
      <c r="E653">
        <v>231.27</v>
      </c>
      <c r="F653">
        <v>124667.95811000001</v>
      </c>
      <c r="G653">
        <v>0</v>
      </c>
      <c r="L653" t="s">
        <v>7</v>
      </c>
      <c r="M653" t="s">
        <v>7</v>
      </c>
      <c r="N653" t="s">
        <v>7</v>
      </c>
      <c r="P653">
        <f t="shared" si="994"/>
        <v>-0.71571696931746898</v>
      </c>
      <c r="Q653">
        <f t="shared" si="995"/>
        <v>-89226.973149486381</v>
      </c>
      <c r="R653">
        <f t="shared" si="996"/>
        <v>2780572.0737225432</v>
      </c>
      <c r="S653">
        <f t="shared" si="997"/>
        <v>27.805720737225432</v>
      </c>
      <c r="T653">
        <f t="shared" si="998"/>
        <v>2.7805720737225433E-2</v>
      </c>
    </row>
    <row r="654" spans="1:20" x14ac:dyDescent="0.25">
      <c r="A654" s="5">
        <v>43939</v>
      </c>
      <c r="B654">
        <v>231.83</v>
      </c>
      <c r="C654">
        <v>247.59</v>
      </c>
      <c r="D654">
        <v>231.54</v>
      </c>
      <c r="E654">
        <v>243.64</v>
      </c>
      <c r="F654">
        <v>148102.99343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0.50778816199376764</v>
      </c>
      <c r="Q654">
        <f t="shared" si="995"/>
        <v>75204.946819594741</v>
      </c>
      <c r="R654">
        <f t="shared" si="996"/>
        <v>2869799.0468720295</v>
      </c>
      <c r="S654">
        <f t="shared" si="997"/>
        <v>28.697990468720295</v>
      </c>
      <c r="T654">
        <f t="shared" si="998"/>
        <v>2.8697990468720295E-2</v>
      </c>
    </row>
    <row r="655" spans="1:20" x14ac:dyDescent="0.25">
      <c r="A655" s="5">
        <v>43938</v>
      </c>
      <c r="B655">
        <v>235</v>
      </c>
      <c r="C655">
        <v>236.94</v>
      </c>
      <c r="D655">
        <v>229.17</v>
      </c>
      <c r="E655">
        <v>231.88</v>
      </c>
      <c r="F655">
        <v>119139.34792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-0.30244530244530132</v>
      </c>
      <c r="Q655">
        <f t="shared" si="995"/>
        <v>-36033.136114800378</v>
      </c>
      <c r="R655">
        <f t="shared" si="996"/>
        <v>2794594.100052435</v>
      </c>
      <c r="S655">
        <f t="shared" si="997"/>
        <v>27.94594100052435</v>
      </c>
      <c r="T655">
        <f t="shared" si="998"/>
        <v>2.794594100052435E-2</v>
      </c>
    </row>
    <row r="656" spans="1:20" x14ac:dyDescent="0.25">
      <c r="A656" s="5">
        <v>43937</v>
      </c>
      <c r="B656">
        <v>214.97</v>
      </c>
      <c r="C656">
        <v>239.85</v>
      </c>
      <c r="D656">
        <v>206.3</v>
      </c>
      <c r="E656">
        <v>234.95</v>
      </c>
      <c r="F656">
        <v>298870.03798999998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0.70789865871833035</v>
      </c>
      <c r="Q656">
        <f t="shared" si="995"/>
        <v>211569.69902421744</v>
      </c>
      <c r="R656">
        <f t="shared" si="996"/>
        <v>2830627.2361672353</v>
      </c>
      <c r="S656">
        <f t="shared" si="997"/>
        <v>28.306272361672352</v>
      </c>
      <c r="T656">
        <f t="shared" si="998"/>
        <v>2.8306272361672352E-2</v>
      </c>
    </row>
    <row r="657" spans="1:20" x14ac:dyDescent="0.25">
      <c r="A657" s="5">
        <v>43936</v>
      </c>
      <c r="B657">
        <v>223.04</v>
      </c>
      <c r="C657">
        <v>225.28</v>
      </c>
      <c r="D657">
        <v>213.86</v>
      </c>
      <c r="E657">
        <v>215.04</v>
      </c>
      <c r="F657">
        <v>122359.78773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-0.79334500875657099</v>
      </c>
      <c r="Q657">
        <f t="shared" si="995"/>
        <v>-97073.526868109009</v>
      </c>
      <c r="R657">
        <f t="shared" si="996"/>
        <v>2619057.5371430181</v>
      </c>
      <c r="S657">
        <f t="shared" si="997"/>
        <v>26.190575371430182</v>
      </c>
      <c r="T657">
        <f t="shared" si="998"/>
        <v>2.6190575371430182E-2</v>
      </c>
    </row>
    <row r="658" spans="1:20" x14ac:dyDescent="0.25">
      <c r="A658" s="5">
        <v>43935</v>
      </c>
      <c r="B658">
        <v>223.44</v>
      </c>
      <c r="C658">
        <v>228.56</v>
      </c>
      <c r="D658">
        <v>219</v>
      </c>
      <c r="E658">
        <v>223.2</v>
      </c>
      <c r="F658">
        <v>203075.54042999999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-0.12133891213389381</v>
      </c>
      <c r="Q658">
        <f t="shared" si="995"/>
        <v>-24640.96515677877</v>
      </c>
      <c r="R658">
        <f t="shared" si="996"/>
        <v>2716131.0640111272</v>
      </c>
      <c r="S658">
        <f t="shared" si="997"/>
        <v>27.161310640111271</v>
      </c>
      <c r="T658">
        <f t="shared" si="998"/>
        <v>2.7161310640111271E-2</v>
      </c>
    </row>
    <row r="659" spans="1:20" x14ac:dyDescent="0.25">
      <c r="A659" s="5">
        <v>43934</v>
      </c>
      <c r="B659">
        <v>233.09</v>
      </c>
      <c r="C659">
        <v>233.14</v>
      </c>
      <c r="D659">
        <v>215.12</v>
      </c>
      <c r="E659">
        <v>223.49</v>
      </c>
      <c r="F659">
        <v>305494.57383000001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-7.1032186459488014E-2</v>
      </c>
      <c r="Q659">
        <f t="shared" si="995"/>
        <v>-21699.947530654386</v>
      </c>
      <c r="R659">
        <f t="shared" si="996"/>
        <v>2740772.0291679059</v>
      </c>
      <c r="S659">
        <f t="shared" si="997"/>
        <v>27.407720291679059</v>
      </c>
      <c r="T659">
        <f t="shared" si="998"/>
        <v>2.7407720291679059E-2</v>
      </c>
    </row>
    <row r="660" spans="1:20" x14ac:dyDescent="0.25">
      <c r="A660" s="5">
        <v>43933</v>
      </c>
      <c r="B660">
        <v>232.93</v>
      </c>
      <c r="C660">
        <v>244.79</v>
      </c>
      <c r="D660">
        <v>226.88</v>
      </c>
      <c r="E660">
        <v>233.09</v>
      </c>
      <c r="F660">
        <v>172737.77898999999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-0.30653266331658191</v>
      </c>
      <c r="Q660">
        <f t="shared" si="995"/>
        <v>-52949.771449195803</v>
      </c>
      <c r="R660">
        <f t="shared" si="996"/>
        <v>2762471.9766985602</v>
      </c>
      <c r="S660">
        <f t="shared" si="997"/>
        <v>27.624719766985603</v>
      </c>
      <c r="T660">
        <f t="shared" si="998"/>
        <v>2.7624719766985602E-2</v>
      </c>
    </row>
    <row r="661" spans="1:20" x14ac:dyDescent="0.25">
      <c r="A661" s="5">
        <v>43932</v>
      </c>
      <c r="B661">
        <v>232.61</v>
      </c>
      <c r="C661">
        <v>240.08</v>
      </c>
      <c r="D661">
        <v>221.75</v>
      </c>
      <c r="E661">
        <v>232.94</v>
      </c>
      <c r="F661">
        <v>178953.21376000001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0.22094926350245392</v>
      </c>
      <c r="Q661">
        <f t="shared" si="995"/>
        <v>39539.580781669203</v>
      </c>
      <c r="R661">
        <f t="shared" si="996"/>
        <v>2815421.7481477559</v>
      </c>
      <c r="S661">
        <f t="shared" si="997"/>
        <v>28.154217481477559</v>
      </c>
      <c r="T661">
        <f t="shared" si="998"/>
        <v>2.8154217481477558E-2</v>
      </c>
    </row>
    <row r="662" spans="1:20" x14ac:dyDescent="0.25">
      <c r="A662" s="5">
        <v>43931</v>
      </c>
      <c r="B662">
        <v>255.88</v>
      </c>
      <c r="C662">
        <v>258.89999999999998</v>
      </c>
      <c r="D662">
        <v>225.35</v>
      </c>
      <c r="E662">
        <v>232.7</v>
      </c>
      <c r="F662">
        <v>328217.27947000001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-0.56184798807749636</v>
      </c>
      <c r="Q662">
        <f t="shared" si="995"/>
        <v>-184408.21812248885</v>
      </c>
      <c r="R662">
        <f t="shared" si="996"/>
        <v>2775882.1673660865</v>
      </c>
      <c r="S662">
        <f t="shared" si="997"/>
        <v>27.758821673660865</v>
      </c>
      <c r="T662">
        <f t="shared" si="998"/>
        <v>2.7758821673660866E-2</v>
      </c>
    </row>
    <row r="663" spans="1:20" x14ac:dyDescent="0.25">
      <c r="A663" s="5">
        <v>43930</v>
      </c>
      <c r="B663">
        <v>267.33999999999997</v>
      </c>
      <c r="C663">
        <v>274.74</v>
      </c>
      <c r="D663">
        <v>253.27</v>
      </c>
      <c r="E663">
        <v>255.91</v>
      </c>
      <c r="F663">
        <v>199027.37846000001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-0.75407545412203203</v>
      </c>
      <c r="Q663">
        <f t="shared" si="995"/>
        <v>-150081.66079494203</v>
      </c>
      <c r="R663">
        <f t="shared" si="996"/>
        <v>2960290.3854885753</v>
      </c>
      <c r="S663">
        <f t="shared" si="997"/>
        <v>29.602903854885753</v>
      </c>
      <c r="T663">
        <f t="shared" si="998"/>
        <v>2.9602903854885752E-2</v>
      </c>
    </row>
    <row r="664" spans="1:20" x14ac:dyDescent="0.25">
      <c r="A664" s="5">
        <v>43929</v>
      </c>
      <c r="B664">
        <v>252.52</v>
      </c>
      <c r="C664">
        <v>280.25</v>
      </c>
      <c r="D664">
        <v>250.01</v>
      </c>
      <c r="E664">
        <v>267.31</v>
      </c>
      <c r="F664">
        <v>486782.30826000002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0.14417989417989457</v>
      </c>
      <c r="Q664">
        <f t="shared" si="995"/>
        <v>70184.221693571628</v>
      </c>
      <c r="R664">
        <f t="shared" si="996"/>
        <v>3110372.0462835175</v>
      </c>
      <c r="S664">
        <f t="shared" si="997"/>
        <v>31.103720462835174</v>
      </c>
      <c r="T664">
        <f t="shared" si="998"/>
        <v>3.1103720462835174E-2</v>
      </c>
    </row>
    <row r="665" spans="1:20" x14ac:dyDescent="0.25">
      <c r="A665" s="5">
        <v>43928</v>
      </c>
      <c r="B665">
        <v>258.08</v>
      </c>
      <c r="C665">
        <v>265.64999999999998</v>
      </c>
      <c r="D665">
        <v>246.7</v>
      </c>
      <c r="E665">
        <v>252.52</v>
      </c>
      <c r="F665">
        <v>241539.45207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-0.38575197889181795</v>
      </c>
      <c r="Q665">
        <f t="shared" si="995"/>
        <v>-93174.321616447909</v>
      </c>
      <c r="R665">
        <f t="shared" si="996"/>
        <v>3040187.8245899458</v>
      </c>
      <c r="S665">
        <f t="shared" si="997"/>
        <v>30.401878245899457</v>
      </c>
      <c r="T665">
        <f t="shared" si="998"/>
        <v>3.0401878245899457E-2</v>
      </c>
    </row>
    <row r="666" spans="1:20" x14ac:dyDescent="0.25">
      <c r="A666" s="5">
        <v>43927</v>
      </c>
      <c r="B666">
        <v>231.02</v>
      </c>
      <c r="C666">
        <v>259.86</v>
      </c>
      <c r="D666">
        <v>230.71</v>
      </c>
      <c r="E666">
        <v>258.08999999999997</v>
      </c>
      <c r="F666">
        <v>282642.74261999998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0.87855917667238159</v>
      </c>
      <c r="Q666">
        <f t="shared" si="995"/>
        <v>248318.37524865105</v>
      </c>
      <c r="R666">
        <f t="shared" si="996"/>
        <v>3133362.1462063938</v>
      </c>
      <c r="S666">
        <f t="shared" si="997"/>
        <v>31.333621462063938</v>
      </c>
      <c r="T666">
        <f t="shared" si="998"/>
        <v>3.1333621462063935E-2</v>
      </c>
    </row>
    <row r="667" spans="1:20" x14ac:dyDescent="0.25">
      <c r="A667" s="5">
        <v>43926</v>
      </c>
      <c r="B667">
        <v>238.05</v>
      </c>
      <c r="C667">
        <v>239.75</v>
      </c>
      <c r="D667">
        <v>223.19</v>
      </c>
      <c r="E667">
        <v>230.99</v>
      </c>
      <c r="F667">
        <v>110988.28015000001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-5.7971014492752382E-2</v>
      </c>
      <c r="Q667">
        <f t="shared" si="995"/>
        <v>-6434.1031971013117</v>
      </c>
      <c r="R667">
        <f t="shared" si="996"/>
        <v>2885043.7709577428</v>
      </c>
      <c r="S667">
        <f t="shared" si="997"/>
        <v>28.850437709577427</v>
      </c>
      <c r="T667">
        <f t="shared" si="998"/>
        <v>2.8850437709577428E-2</v>
      </c>
    </row>
    <row r="668" spans="1:20" x14ac:dyDescent="0.25">
      <c r="A668" s="5">
        <v>43925</v>
      </c>
      <c r="B668">
        <v>236.09</v>
      </c>
      <c r="C668">
        <v>242.17</v>
      </c>
      <c r="D668">
        <v>231.88</v>
      </c>
      <c r="E668">
        <v>238.02</v>
      </c>
      <c r="F668">
        <v>130943.67133</v>
      </c>
      <c r="G668">
        <v>0</v>
      </c>
      <c r="L668" t="s">
        <v>8</v>
      </c>
      <c r="M668" t="s">
        <v>7</v>
      </c>
      <c r="N668" t="s">
        <v>8</v>
      </c>
      <c r="P668">
        <f t="shared" si="994"/>
        <v>0.19339164237123802</v>
      </c>
      <c r="Q668">
        <f t="shared" si="995"/>
        <v>25323.411656628294</v>
      </c>
      <c r="R668">
        <f t="shared" si="996"/>
        <v>2891477.8741548443</v>
      </c>
      <c r="S668">
        <f t="shared" si="997"/>
        <v>28.914778741548442</v>
      </c>
      <c r="T668">
        <f t="shared" si="998"/>
        <v>2.8914778741548443E-2</v>
      </c>
    </row>
    <row r="669" spans="1:20" x14ac:dyDescent="0.25">
      <c r="A669" s="5">
        <v>43924</v>
      </c>
      <c r="B669">
        <v>231.84</v>
      </c>
      <c r="C669">
        <v>241.96</v>
      </c>
      <c r="D669">
        <v>214</v>
      </c>
      <c r="E669">
        <v>236.09</v>
      </c>
      <c r="F669">
        <v>191323.60359000001</v>
      </c>
      <c r="G669">
        <v>0</v>
      </c>
      <c r="L669" t="s">
        <v>7</v>
      </c>
      <c r="M669" t="s">
        <v>7</v>
      </c>
      <c r="N669" t="s">
        <v>8</v>
      </c>
      <c r="P669">
        <f t="shared" si="994"/>
        <v>0.58011444921316146</v>
      </c>
      <c r="Q669">
        <f t="shared" si="995"/>
        <v>110989.58691809011</v>
      </c>
      <c r="R669">
        <f t="shared" si="996"/>
        <v>2866154.462498216</v>
      </c>
      <c r="S669">
        <f t="shared" si="997"/>
        <v>28.661544624982159</v>
      </c>
      <c r="T669">
        <f t="shared" si="998"/>
        <v>2.866154462498216E-2</v>
      </c>
    </row>
    <row r="670" spans="1:20" x14ac:dyDescent="0.25">
      <c r="A670" s="5">
        <v>43923</v>
      </c>
      <c r="B670">
        <v>223.72</v>
      </c>
      <c r="C670">
        <v>248.77</v>
      </c>
      <c r="D670">
        <v>221.99</v>
      </c>
      <c r="E670">
        <v>231.72</v>
      </c>
      <c r="F670">
        <v>277839.53951999999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-0.27333831217326443</v>
      </c>
      <c r="Q670">
        <f t="shared" si="995"/>
        <v>-75944.190787393803</v>
      </c>
      <c r="R670">
        <f t="shared" si="996"/>
        <v>2755164.875580126</v>
      </c>
      <c r="S670">
        <f t="shared" si="997"/>
        <v>27.55164875580126</v>
      </c>
      <c r="T670">
        <f t="shared" si="998"/>
        <v>2.755164875580126E-2</v>
      </c>
    </row>
    <row r="671" spans="1:20" x14ac:dyDescent="0.25">
      <c r="A671" s="5">
        <v>43922</v>
      </c>
      <c r="B671">
        <v>218.44</v>
      </c>
      <c r="C671">
        <v>224.96</v>
      </c>
      <c r="D671">
        <v>211.24</v>
      </c>
      <c r="E671">
        <v>223.74</v>
      </c>
      <c r="F671">
        <v>198134.24067999999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0.82215743440233247</v>
      </c>
      <c r="Q671">
        <f t="shared" si="995"/>
        <v>162897.53898472304</v>
      </c>
      <c r="R671">
        <f t="shared" si="996"/>
        <v>2831109.0663675196</v>
      </c>
      <c r="S671">
        <f t="shared" si="997"/>
        <v>28.311090663675195</v>
      </c>
      <c r="T671">
        <f t="shared" si="998"/>
        <v>2.8311090663675195E-2</v>
      </c>
    </row>
    <row r="672" spans="1:20" x14ac:dyDescent="0.25">
      <c r="A672" s="5">
        <v>43921</v>
      </c>
      <c r="B672">
        <v>220</v>
      </c>
      <c r="C672">
        <v>223.88</v>
      </c>
      <c r="D672">
        <v>215.76</v>
      </c>
      <c r="E672">
        <v>218.36</v>
      </c>
      <c r="F672">
        <v>152582.60740000001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-0.35960591133004399</v>
      </c>
      <c r="Q672">
        <f t="shared" si="995"/>
        <v>-54869.60758719132</v>
      </c>
      <c r="R672">
        <f t="shared" si="996"/>
        <v>2668211.5273827966</v>
      </c>
      <c r="S672">
        <f t="shared" si="997"/>
        <v>26.682115273827968</v>
      </c>
      <c r="T672">
        <f t="shared" si="998"/>
        <v>2.6682115273827967E-2</v>
      </c>
    </row>
    <row r="673" spans="1:20" x14ac:dyDescent="0.25">
      <c r="A673" s="5">
        <v>43920</v>
      </c>
      <c r="B673">
        <v>205.51</v>
      </c>
      <c r="C673">
        <v>226.8</v>
      </c>
      <c r="D673">
        <v>205.32</v>
      </c>
      <c r="E673">
        <v>219.97</v>
      </c>
      <c r="F673">
        <v>201359.31912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0.36405959031657292</v>
      </c>
      <c r="Q673">
        <f t="shared" si="995"/>
        <v>73306.791225251276</v>
      </c>
      <c r="R673">
        <f t="shared" si="996"/>
        <v>2723081.1349699879</v>
      </c>
      <c r="S673">
        <f t="shared" si="997"/>
        <v>27.230811349699881</v>
      </c>
      <c r="T673">
        <f t="shared" si="998"/>
        <v>2.7230811349699881E-2</v>
      </c>
    </row>
    <row r="674" spans="1:20" x14ac:dyDescent="0.25">
      <c r="A674" s="5">
        <v>43919</v>
      </c>
      <c r="B674">
        <v>213.86</v>
      </c>
      <c r="C674">
        <v>217.34</v>
      </c>
      <c r="D674">
        <v>204.5</v>
      </c>
      <c r="E674">
        <v>205.54</v>
      </c>
      <c r="F674">
        <v>153829.50915999999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-0.83800623052959633</v>
      </c>
      <c r="Q674">
        <f t="shared" si="995"/>
        <v>-128910.0871153896</v>
      </c>
      <c r="R674">
        <f t="shared" si="996"/>
        <v>2649774.3437447366</v>
      </c>
      <c r="S674">
        <f t="shared" si="997"/>
        <v>26.497743437447365</v>
      </c>
      <c r="T674">
        <f t="shared" si="998"/>
        <v>2.6497743437447364E-2</v>
      </c>
    </row>
    <row r="675" spans="1:20" x14ac:dyDescent="0.25">
      <c r="A675" s="5">
        <v>43918</v>
      </c>
      <c r="B675">
        <v>213.32</v>
      </c>
      <c r="C675">
        <v>217.13</v>
      </c>
      <c r="D675">
        <v>201.82</v>
      </c>
      <c r="E675">
        <v>213.89</v>
      </c>
      <c r="F675">
        <v>225434.50560999999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0.5767472240365763</v>
      </c>
      <c r="Q675">
        <f t="shared" si="995"/>
        <v>130018.72531262548</v>
      </c>
      <c r="R675">
        <f t="shared" si="996"/>
        <v>2778684.4308601264</v>
      </c>
      <c r="S675">
        <f t="shared" si="997"/>
        <v>27.786844308601264</v>
      </c>
      <c r="T675">
        <f t="shared" si="998"/>
        <v>2.7786844308601264E-2</v>
      </c>
    </row>
    <row r="676" spans="1:20" x14ac:dyDescent="0.25">
      <c r="A676" s="5">
        <v>43917</v>
      </c>
      <c r="B676">
        <v>227.78</v>
      </c>
      <c r="C676">
        <v>233.81</v>
      </c>
      <c r="D676">
        <v>208.24</v>
      </c>
      <c r="E676">
        <v>213.21</v>
      </c>
      <c r="F676">
        <v>194988.91289000001</v>
      </c>
      <c r="G676">
        <v>0</v>
      </c>
      <c r="L676" t="s">
        <v>8</v>
      </c>
      <c r="M676" t="s">
        <v>7</v>
      </c>
      <c r="N676" t="s">
        <v>8</v>
      </c>
      <c r="P676">
        <f t="shared" si="994"/>
        <v>-0.61126319906140003</v>
      </c>
      <c r="Q676">
        <f t="shared" si="995"/>
        <v>-119189.54667464606</v>
      </c>
      <c r="R676">
        <f t="shared" si="996"/>
        <v>2648665.7055475009</v>
      </c>
      <c r="S676">
        <f t="shared" si="997"/>
        <v>26.486657055475007</v>
      </c>
      <c r="T676">
        <f t="shared" si="998"/>
        <v>2.6486657055475007E-2</v>
      </c>
    </row>
    <row r="677" spans="1:20" x14ac:dyDescent="0.25">
      <c r="A677" s="5">
        <v>43916</v>
      </c>
      <c r="B677">
        <v>220.71</v>
      </c>
      <c r="C677">
        <v>228.43</v>
      </c>
      <c r="D677">
        <v>218.11</v>
      </c>
      <c r="E677">
        <v>227.76</v>
      </c>
      <c r="F677">
        <v>162334.97321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0.87015503875968681</v>
      </c>
      <c r="Q677">
        <f t="shared" si="995"/>
        <v>141256.59490560027</v>
      </c>
      <c r="R677">
        <f t="shared" si="996"/>
        <v>2767855.2522221468</v>
      </c>
      <c r="S677">
        <f t="shared" si="997"/>
        <v>27.678552522221469</v>
      </c>
      <c r="T677">
        <f t="shared" si="998"/>
        <v>2.767855252222147E-2</v>
      </c>
    </row>
    <row r="678" spans="1:20" x14ac:dyDescent="0.25">
      <c r="A678" s="5">
        <v>43915</v>
      </c>
      <c r="B678">
        <v>227.26</v>
      </c>
      <c r="C678">
        <v>231.45</v>
      </c>
      <c r="D678">
        <v>213.09</v>
      </c>
      <c r="E678">
        <v>220.68</v>
      </c>
      <c r="F678">
        <v>196578.91406000001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-0.17320261437908394</v>
      </c>
      <c r="Q678">
        <f t="shared" si="995"/>
        <v>-34047.981846993265</v>
      </c>
      <c r="R678">
        <f t="shared" si="996"/>
        <v>2626598.6573165464</v>
      </c>
      <c r="S678">
        <f t="shared" si="997"/>
        <v>26.265986573165463</v>
      </c>
      <c r="T678">
        <f t="shared" si="998"/>
        <v>2.6265986573165465E-2</v>
      </c>
    </row>
    <row r="679" spans="1:20" x14ac:dyDescent="0.25">
      <c r="A679" s="5">
        <v>43914</v>
      </c>
      <c r="B679">
        <v>221.23</v>
      </c>
      <c r="C679">
        <v>230.47</v>
      </c>
      <c r="D679">
        <v>217.37</v>
      </c>
      <c r="E679">
        <v>227.24</v>
      </c>
      <c r="F679">
        <v>226641.50959999999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0.5068702290076349</v>
      </c>
      <c r="Q679">
        <f t="shared" si="995"/>
        <v>114877.83387358808</v>
      </c>
      <c r="R679">
        <f t="shared" si="996"/>
        <v>2660646.6391635397</v>
      </c>
      <c r="S679">
        <f t="shared" si="997"/>
        <v>26.606466391635397</v>
      </c>
      <c r="T679">
        <f t="shared" si="998"/>
        <v>2.6606466391635396E-2</v>
      </c>
    </row>
    <row r="680" spans="1:20" x14ac:dyDescent="0.25">
      <c r="A680" s="5">
        <v>43913</v>
      </c>
      <c r="B680">
        <v>202.65</v>
      </c>
      <c r="C680">
        <v>227.44</v>
      </c>
      <c r="D680">
        <v>198.09</v>
      </c>
      <c r="E680">
        <v>221.26</v>
      </c>
      <c r="F680">
        <v>331523.29314000002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0.57887563884156679</v>
      </c>
      <c r="Q680">
        <f t="shared" si="995"/>
        <v>191910.75810727754</v>
      </c>
      <c r="R680">
        <f t="shared" si="996"/>
        <v>2545768.8052899516</v>
      </c>
      <c r="S680">
        <f t="shared" si="997"/>
        <v>25.457688052899517</v>
      </c>
      <c r="T680">
        <f t="shared" si="998"/>
        <v>2.5457688052899517E-2</v>
      </c>
    </row>
    <row r="681" spans="1:20" x14ac:dyDescent="0.25">
      <c r="A681" s="5">
        <v>43912</v>
      </c>
      <c r="B681">
        <v>219.96</v>
      </c>
      <c r="C681">
        <v>233</v>
      </c>
      <c r="D681">
        <v>199.58</v>
      </c>
      <c r="E681">
        <v>202.73</v>
      </c>
      <c r="F681">
        <v>308827.69076000003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-0.81149012567325085</v>
      </c>
      <c r="Q681">
        <f t="shared" si="995"/>
        <v>-250610.62158621228</v>
      </c>
      <c r="R681">
        <f t="shared" si="996"/>
        <v>2353858.0471826741</v>
      </c>
      <c r="S681">
        <f t="shared" si="997"/>
        <v>23.538580471826741</v>
      </c>
      <c r="T681">
        <f t="shared" si="998"/>
        <v>2.3538580471826741E-2</v>
      </c>
    </row>
    <row r="682" spans="1:20" x14ac:dyDescent="0.25">
      <c r="A682" s="5">
        <v>43911</v>
      </c>
      <c r="B682">
        <v>215.05</v>
      </c>
      <c r="C682">
        <v>230</v>
      </c>
      <c r="D682">
        <v>206.35</v>
      </c>
      <c r="E682">
        <v>220.04</v>
      </c>
      <c r="F682">
        <v>308157.88052000001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0.15771670190274795</v>
      </c>
      <c r="Q682">
        <f t="shared" si="995"/>
        <v>48601.644580955457</v>
      </c>
      <c r="R682">
        <f t="shared" si="996"/>
        <v>2604468.6687688865</v>
      </c>
      <c r="S682">
        <f t="shared" si="997"/>
        <v>26.044686687688866</v>
      </c>
      <c r="T682">
        <f t="shared" si="998"/>
        <v>2.6044686687688865E-2</v>
      </c>
    </row>
    <row r="683" spans="1:20" x14ac:dyDescent="0.25">
      <c r="A683" s="5">
        <v>43910</v>
      </c>
      <c r="B683">
        <v>220.83</v>
      </c>
      <c r="C683">
        <v>246.06</v>
      </c>
      <c r="D683">
        <v>190.44</v>
      </c>
      <c r="E683">
        <v>215.1</v>
      </c>
      <c r="F683">
        <v>534721.29657000001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-0.11326860841423968</v>
      </c>
      <c r="Q683">
        <f t="shared" si="995"/>
        <v>-60567.137151941854</v>
      </c>
      <c r="R683">
        <f t="shared" si="996"/>
        <v>2555867.0241879309</v>
      </c>
      <c r="S683">
        <f t="shared" si="997"/>
        <v>25.558670241879309</v>
      </c>
      <c r="T683">
        <f t="shared" si="998"/>
        <v>2.555867024187931E-2</v>
      </c>
    </row>
    <row r="684" spans="1:20" x14ac:dyDescent="0.25">
      <c r="A684" s="5">
        <v>43909</v>
      </c>
      <c r="B684">
        <v>184.76</v>
      </c>
      <c r="C684">
        <v>233.6</v>
      </c>
      <c r="D684">
        <v>177.62</v>
      </c>
      <c r="E684">
        <v>220.83</v>
      </c>
      <c r="F684">
        <v>461455.13329999999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0.54376563058235139</v>
      </c>
      <c r="Q684">
        <f t="shared" si="995"/>
        <v>250923.44154433752</v>
      </c>
      <c r="R684">
        <f t="shared" si="996"/>
        <v>2616434.1613398725</v>
      </c>
      <c r="S684">
        <f t="shared" si="997"/>
        <v>26.164341613398726</v>
      </c>
      <c r="T684">
        <f t="shared" si="998"/>
        <v>2.6164341613398725E-2</v>
      </c>
    </row>
    <row r="685" spans="1:20" x14ac:dyDescent="0.25">
      <c r="A685" s="5">
        <v>43908</v>
      </c>
      <c r="B685">
        <v>182.5</v>
      </c>
      <c r="C685">
        <v>186</v>
      </c>
      <c r="D685">
        <v>169</v>
      </c>
      <c r="E685">
        <v>184.84</v>
      </c>
      <c r="F685">
        <v>244333.93913000001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0.86352941176470632</v>
      </c>
      <c r="Q685">
        <f t="shared" si="995"/>
        <v>210989.54273108247</v>
      </c>
      <c r="R685">
        <f t="shared" si="996"/>
        <v>2365510.7197955349</v>
      </c>
      <c r="S685">
        <f t="shared" si="997"/>
        <v>23.655107197955349</v>
      </c>
      <c r="T685">
        <f t="shared" si="998"/>
        <v>2.3655107197955348E-2</v>
      </c>
    </row>
    <row r="686" spans="1:20" x14ac:dyDescent="0.25">
      <c r="A686" s="5">
        <v>43907</v>
      </c>
      <c r="B686">
        <v>172.45</v>
      </c>
      <c r="C686">
        <v>188.27</v>
      </c>
      <c r="D686">
        <v>168.73</v>
      </c>
      <c r="E686">
        <v>182.41</v>
      </c>
      <c r="F686">
        <v>306472.09152000002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0.400204708290685</v>
      </c>
      <c r="Q686">
        <f t="shared" si="995"/>
        <v>122651.57398599772</v>
      </c>
      <c r="R686">
        <f t="shared" si="996"/>
        <v>2154521.1770644523</v>
      </c>
      <c r="S686">
        <f t="shared" si="997"/>
        <v>21.545211770644524</v>
      </c>
      <c r="T686">
        <f t="shared" si="998"/>
        <v>2.1545211770644526E-2</v>
      </c>
    </row>
    <row r="687" spans="1:20" x14ac:dyDescent="0.25">
      <c r="A687" s="5">
        <v>43906</v>
      </c>
      <c r="B687">
        <v>178.2</v>
      </c>
      <c r="C687">
        <v>184.41</v>
      </c>
      <c r="D687">
        <v>147.13999999999999</v>
      </c>
      <c r="E687">
        <v>172.41</v>
      </c>
      <c r="F687">
        <v>472884.60249000002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0.35605044271532083</v>
      </c>
      <c r="Q687">
        <f t="shared" si="995"/>
        <v>168370.77206982303</v>
      </c>
      <c r="R687">
        <f t="shared" si="996"/>
        <v>2031869.6030784545</v>
      </c>
      <c r="S687">
        <f t="shared" si="997"/>
        <v>20.318696030784544</v>
      </c>
      <c r="T687">
        <f t="shared" si="998"/>
        <v>2.0318696030784542E-2</v>
      </c>
    </row>
    <row r="688" spans="1:20" x14ac:dyDescent="0.25">
      <c r="A688" s="5">
        <v>43905</v>
      </c>
      <c r="B688">
        <v>167.08</v>
      </c>
      <c r="C688">
        <v>190.69</v>
      </c>
      <c r="D688">
        <v>165.44</v>
      </c>
      <c r="E688">
        <v>178.2</v>
      </c>
      <c r="F688">
        <v>263894.36498999997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1.0693069306929972E-2</v>
      </c>
      <c r="Q688">
        <f t="shared" si="995"/>
        <v>2821.8407345463443</v>
      </c>
      <c r="R688">
        <f t="shared" si="996"/>
        <v>1863498.8310086315</v>
      </c>
      <c r="S688">
        <f t="shared" si="997"/>
        <v>18.634988310086314</v>
      </c>
      <c r="T688">
        <f t="shared" si="998"/>
        <v>1.8634988310086312E-2</v>
      </c>
    </row>
    <row r="689" spans="1:20" x14ac:dyDescent="0.25">
      <c r="A689" s="5">
        <v>43904</v>
      </c>
      <c r="B689">
        <v>177.46</v>
      </c>
      <c r="C689">
        <v>180.4</v>
      </c>
      <c r="D689">
        <v>163.94</v>
      </c>
      <c r="E689">
        <v>167.2</v>
      </c>
      <c r="F689">
        <v>272980.24732000002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-0.60388821385176317</v>
      </c>
      <c r="Q689">
        <f t="shared" si="995"/>
        <v>-164849.55397088738</v>
      </c>
      <c r="R689">
        <f t="shared" si="996"/>
        <v>1860676.9902740852</v>
      </c>
      <c r="S689">
        <f t="shared" si="997"/>
        <v>18.606769902740851</v>
      </c>
      <c r="T689">
        <f t="shared" si="998"/>
        <v>1.860676990274085E-2</v>
      </c>
    </row>
    <row r="690" spans="1:20" x14ac:dyDescent="0.25">
      <c r="A690" s="5">
        <v>43903</v>
      </c>
      <c r="B690">
        <v>144.13</v>
      </c>
      <c r="C690">
        <v>189.67</v>
      </c>
      <c r="D690">
        <v>129</v>
      </c>
      <c r="E690">
        <v>177.46</v>
      </c>
      <c r="F690">
        <v>1012301.98599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0.59749464315147582</v>
      </c>
      <c r="Q690">
        <f t="shared" si="995"/>
        <v>604845.01388062525</v>
      </c>
      <c r="R690">
        <f t="shared" si="996"/>
        <v>2025526.5442449725</v>
      </c>
      <c r="S690">
        <f t="shared" si="997"/>
        <v>20.255265442449726</v>
      </c>
      <c r="T690">
        <f t="shared" si="998"/>
        <v>2.0255265442449728E-2</v>
      </c>
    </row>
    <row r="691" spans="1:20" x14ac:dyDescent="0.25">
      <c r="A691" s="5">
        <v>43902</v>
      </c>
      <c r="B691">
        <v>267.08</v>
      </c>
      <c r="C691">
        <v>267.82</v>
      </c>
      <c r="D691">
        <v>136</v>
      </c>
      <c r="E691">
        <v>144.13</v>
      </c>
      <c r="F691">
        <v>708864.98115999997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-0.87664997724169325</v>
      </c>
      <c r="Q691">
        <f t="shared" si="995"/>
        <v>-621426.46960134723</v>
      </c>
      <c r="R691">
        <f t="shared" si="996"/>
        <v>1420681.5303643472</v>
      </c>
      <c r="S691">
        <f t="shared" si="997"/>
        <v>14.206815303643472</v>
      </c>
      <c r="T691">
        <f t="shared" si="998"/>
        <v>1.4206815303643473E-2</v>
      </c>
    </row>
    <row r="692" spans="1:20" x14ac:dyDescent="0.25">
      <c r="A692" s="5">
        <v>43901</v>
      </c>
      <c r="B692">
        <v>271.85000000000002</v>
      </c>
      <c r="C692">
        <v>275</v>
      </c>
      <c r="D692">
        <v>250.02</v>
      </c>
      <c r="E692">
        <v>266.98</v>
      </c>
      <c r="F692">
        <v>149899.32355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0.357886309047239</v>
      </c>
      <c r="Q692">
        <f t="shared" si="995"/>
        <v>53646.915633987373</v>
      </c>
      <c r="R692">
        <f t="shared" si="996"/>
        <v>2042107.9999656943</v>
      </c>
      <c r="S692">
        <f t="shared" si="997"/>
        <v>20.421079999656943</v>
      </c>
      <c r="T692">
        <f t="shared" si="998"/>
        <v>2.0421079999656942E-2</v>
      </c>
    </row>
    <row r="693" spans="1:20" x14ac:dyDescent="0.25">
      <c r="A693" s="5">
        <v>43900</v>
      </c>
      <c r="B693">
        <v>273.04000000000002</v>
      </c>
      <c r="C693">
        <v>277.95</v>
      </c>
      <c r="D693">
        <v>262.8</v>
      </c>
      <c r="E693">
        <v>271.79000000000002</v>
      </c>
      <c r="F693">
        <v>160017.40439000001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0.18679867986798979</v>
      </c>
      <c r="Q693">
        <f t="shared" si="995"/>
        <v>29891.039895954276</v>
      </c>
      <c r="R693">
        <f t="shared" si="996"/>
        <v>1988461.0843317069</v>
      </c>
      <c r="S693">
        <f t="shared" si="997"/>
        <v>19.88461084331707</v>
      </c>
      <c r="T693">
        <f t="shared" si="998"/>
        <v>1.9884610843317069E-2</v>
      </c>
    </row>
    <row r="694" spans="1:20" x14ac:dyDescent="0.25">
      <c r="A694" s="5">
        <v>43899</v>
      </c>
      <c r="B694">
        <v>272.89999999999998</v>
      </c>
      <c r="C694">
        <v>280.29000000000002</v>
      </c>
      <c r="D694">
        <v>252.13</v>
      </c>
      <c r="E694">
        <v>273</v>
      </c>
      <c r="F694">
        <v>382248.99618999998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0.48224431818181718</v>
      </c>
      <c r="Q694">
        <f t="shared" si="995"/>
        <v>184337.40654333058</v>
      </c>
      <c r="R694">
        <f t="shared" si="996"/>
        <v>1958570.0444357526</v>
      </c>
      <c r="S694">
        <f t="shared" si="997"/>
        <v>19.585700444357524</v>
      </c>
      <c r="T694">
        <f t="shared" si="998"/>
        <v>1.9585700444357524E-2</v>
      </c>
    </row>
    <row r="695" spans="1:20" x14ac:dyDescent="0.25">
      <c r="A695" s="5">
        <v>43898</v>
      </c>
      <c r="B695">
        <v>330.77</v>
      </c>
      <c r="C695">
        <v>330.77</v>
      </c>
      <c r="D695">
        <v>268.05</v>
      </c>
      <c r="E695">
        <v>272.77</v>
      </c>
      <c r="F695">
        <v>270727.90032999997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-0.84948979591836826</v>
      </c>
      <c r="Q695">
        <f t="shared" si="995"/>
        <v>-229980.58880074002</v>
      </c>
      <c r="R695">
        <f t="shared" si="996"/>
        <v>1774232.637892422</v>
      </c>
      <c r="S695">
        <f t="shared" si="997"/>
        <v>17.742326378924222</v>
      </c>
      <c r="T695">
        <f t="shared" si="998"/>
        <v>1.7742326378924221E-2</v>
      </c>
    </row>
    <row r="696" spans="1:20" x14ac:dyDescent="0.25">
      <c r="A696" s="5">
        <v>43897</v>
      </c>
      <c r="B696">
        <v>350.74</v>
      </c>
      <c r="C696">
        <v>351.11</v>
      </c>
      <c r="D696">
        <v>327.08999999999997</v>
      </c>
      <c r="E696">
        <v>330.92</v>
      </c>
      <c r="F696">
        <v>116341.38746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-0.68109908409658326</v>
      </c>
      <c r="Q696">
        <f t="shared" si="995"/>
        <v>-79240.012441531711</v>
      </c>
      <c r="R696">
        <f t="shared" si="996"/>
        <v>2004213.226693162</v>
      </c>
      <c r="S696">
        <f t="shared" si="997"/>
        <v>20.04213226693162</v>
      </c>
      <c r="T696">
        <f t="shared" si="998"/>
        <v>2.004213226693162E-2</v>
      </c>
    </row>
    <row r="697" spans="1:20" x14ac:dyDescent="0.25">
      <c r="A697" s="5">
        <v>43896</v>
      </c>
      <c r="B697">
        <v>337.08</v>
      </c>
      <c r="C697">
        <v>353.61</v>
      </c>
      <c r="D697">
        <v>332.3</v>
      </c>
      <c r="E697">
        <v>350.73</v>
      </c>
      <c r="F697">
        <v>157186.64747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0.72970436414828765</v>
      </c>
      <c r="Q697">
        <f t="shared" si="995"/>
        <v>114699.78264469739</v>
      </c>
      <c r="R697">
        <f t="shared" si="996"/>
        <v>2083453.2391346938</v>
      </c>
      <c r="S697">
        <f t="shared" si="997"/>
        <v>20.834532391346936</v>
      </c>
      <c r="T697">
        <f t="shared" si="998"/>
        <v>2.0834532391346937E-2</v>
      </c>
    </row>
    <row r="698" spans="1:20" x14ac:dyDescent="0.25">
      <c r="A698" s="5">
        <v>43895</v>
      </c>
      <c r="B698">
        <v>319.58</v>
      </c>
      <c r="C698">
        <v>343.46</v>
      </c>
      <c r="D698">
        <v>319.36</v>
      </c>
      <c r="E698">
        <v>337.1</v>
      </c>
      <c r="F698">
        <v>152373.42593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0.47219917012448415</v>
      </c>
      <c r="Q698">
        <f t="shared" si="995"/>
        <v>71950.605273170557</v>
      </c>
      <c r="R698">
        <f t="shared" si="996"/>
        <v>1968753.4564899963</v>
      </c>
      <c r="S698">
        <f t="shared" si="997"/>
        <v>19.687534564899963</v>
      </c>
      <c r="T698">
        <f t="shared" si="998"/>
        <v>1.9687534564899963E-2</v>
      </c>
    </row>
    <row r="699" spans="1:20" x14ac:dyDescent="0.25">
      <c r="A699" s="5">
        <v>43894</v>
      </c>
      <c r="B699">
        <v>329.66</v>
      </c>
      <c r="C699">
        <v>332.19</v>
      </c>
      <c r="D699">
        <v>308.35000000000002</v>
      </c>
      <c r="E699">
        <v>319.45999999999998</v>
      </c>
      <c r="F699">
        <v>104895.17055</v>
      </c>
      <c r="G699">
        <v>0</v>
      </c>
      <c r="L699" t="s">
        <v>7</v>
      </c>
      <c r="M699" t="s">
        <v>7</v>
      </c>
      <c r="N699" t="s">
        <v>7</v>
      </c>
      <c r="P699">
        <f t="shared" si="994"/>
        <v>-6.7953020134230838E-2</v>
      </c>
      <c r="Q699">
        <f t="shared" si="995"/>
        <v>-7127.9436363677269</v>
      </c>
      <c r="R699">
        <f t="shared" si="996"/>
        <v>1896802.8512168257</v>
      </c>
      <c r="S699">
        <f t="shared" si="997"/>
        <v>18.968028512168257</v>
      </c>
      <c r="T699">
        <f t="shared" si="998"/>
        <v>1.8968028512168257E-2</v>
      </c>
    </row>
    <row r="700" spans="1:20" x14ac:dyDescent="0.25">
      <c r="A700" s="5">
        <v>43893</v>
      </c>
      <c r="B700">
        <v>339.33</v>
      </c>
      <c r="C700">
        <v>339.38</v>
      </c>
      <c r="D700">
        <v>321.13</v>
      </c>
      <c r="E700">
        <v>329.61</v>
      </c>
      <c r="F700">
        <v>175358.92439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-7.0684931506847321E-2</v>
      </c>
      <c r="Q700">
        <f t="shared" si="995"/>
        <v>-12395.233559621569</v>
      </c>
      <c r="R700">
        <f t="shared" si="996"/>
        <v>1903930.7948531935</v>
      </c>
      <c r="S700">
        <f t="shared" si="997"/>
        <v>19.039307948531935</v>
      </c>
      <c r="T700">
        <f t="shared" si="998"/>
        <v>1.9039307948531935E-2</v>
      </c>
    </row>
    <row r="701" spans="1:20" x14ac:dyDescent="0.25">
      <c r="A701" s="5">
        <v>43892</v>
      </c>
      <c r="B701">
        <v>311.89999999999998</v>
      </c>
      <c r="C701">
        <v>343</v>
      </c>
      <c r="D701">
        <v>310.68</v>
      </c>
      <c r="E701">
        <v>339.33</v>
      </c>
      <c r="F701">
        <v>227311.54962000001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0.77289603960395936</v>
      </c>
      <c r="Q701">
        <f t="shared" si="995"/>
        <v>175688.19645753689</v>
      </c>
      <c r="R701">
        <f t="shared" si="996"/>
        <v>1916326.028412815</v>
      </c>
      <c r="S701">
        <f t="shared" si="997"/>
        <v>19.16326028412815</v>
      </c>
      <c r="T701">
        <f t="shared" si="998"/>
        <v>1.9163260284128149E-2</v>
      </c>
    </row>
    <row r="702" spans="1:20" x14ac:dyDescent="0.25">
      <c r="A702" s="5">
        <v>43891</v>
      </c>
      <c r="B702">
        <v>305.89999999999998</v>
      </c>
      <c r="C702">
        <v>325</v>
      </c>
      <c r="D702">
        <v>304.13</v>
      </c>
      <c r="E702">
        <v>311.89999999999998</v>
      </c>
      <c r="F702">
        <v>150571.38912000001</v>
      </c>
      <c r="G702">
        <v>0</v>
      </c>
      <c r="L702" t="s">
        <v>8</v>
      </c>
      <c r="M702" t="s">
        <v>7</v>
      </c>
      <c r="N702" t="s">
        <v>7</v>
      </c>
      <c r="P702">
        <f t="shared" si="994"/>
        <v>-0.25539051269765406</v>
      </c>
      <c r="Q702">
        <f t="shared" si="995"/>
        <v>-38454.504264954769</v>
      </c>
      <c r="R702">
        <f t="shared" si="996"/>
        <v>1740637.8319552781</v>
      </c>
      <c r="S702">
        <f t="shared" si="997"/>
        <v>17.406378319552779</v>
      </c>
      <c r="T702">
        <f t="shared" si="998"/>
        <v>1.740637831955278E-2</v>
      </c>
    </row>
    <row r="703" spans="1:20" x14ac:dyDescent="0.25">
      <c r="A703" s="5">
        <v>43890</v>
      </c>
      <c r="B703">
        <v>315.08999999999997</v>
      </c>
      <c r="C703">
        <v>322.58999999999997</v>
      </c>
      <c r="D703">
        <v>305</v>
      </c>
      <c r="E703">
        <v>306.11</v>
      </c>
      <c r="F703">
        <v>139466.90437999999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-0.87379192723137977</v>
      </c>
      <c r="Q703">
        <f t="shared" si="995"/>
        <v>-121865.05516319476</v>
      </c>
      <c r="R703">
        <f t="shared" si="996"/>
        <v>1779092.3362202328</v>
      </c>
      <c r="S703">
        <f t="shared" si="997"/>
        <v>17.790923362202328</v>
      </c>
      <c r="T703">
        <f t="shared" si="998"/>
        <v>1.7790923362202327E-2</v>
      </c>
    </row>
    <row r="704" spans="1:20" x14ac:dyDescent="0.25">
      <c r="A704" s="5">
        <v>43889</v>
      </c>
      <c r="B704">
        <v>324.48</v>
      </c>
      <c r="C704">
        <v>329.34</v>
      </c>
      <c r="D704">
        <v>298.95</v>
      </c>
      <c r="E704">
        <v>314.97000000000003</v>
      </c>
      <c r="F704">
        <v>224510.28774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5.4294175715698972E-2</v>
      </c>
      <c r="Q704">
        <f t="shared" si="995"/>
        <v>12189.601012537696</v>
      </c>
      <c r="R704">
        <f t="shared" si="996"/>
        <v>1900957.3913834274</v>
      </c>
      <c r="S704">
        <f t="shared" si="997"/>
        <v>19.009573913834274</v>
      </c>
      <c r="T704">
        <f t="shared" si="998"/>
        <v>1.9009573913834274E-2</v>
      </c>
    </row>
    <row r="705" spans="1:20" x14ac:dyDescent="0.25">
      <c r="A705" s="5">
        <v>43888</v>
      </c>
      <c r="B705">
        <v>316.77</v>
      </c>
      <c r="C705">
        <v>335.4</v>
      </c>
      <c r="D705">
        <v>307.16000000000003</v>
      </c>
      <c r="E705">
        <v>324.62</v>
      </c>
      <c r="F705">
        <v>240590.21234999999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0.23654390934844258</v>
      </c>
      <c r="Q705">
        <f t="shared" si="995"/>
        <v>56910.149380240946</v>
      </c>
      <c r="R705">
        <f t="shared" si="996"/>
        <v>1888767.7903708897</v>
      </c>
      <c r="S705">
        <f t="shared" si="997"/>
        <v>18.887677903708898</v>
      </c>
      <c r="T705">
        <f t="shared" si="998"/>
        <v>1.8887677903708898E-2</v>
      </c>
    </row>
    <row r="706" spans="1:20" x14ac:dyDescent="0.25">
      <c r="A706" s="5">
        <v>43887</v>
      </c>
      <c r="B706">
        <v>353.01</v>
      </c>
      <c r="C706">
        <v>362.41</v>
      </c>
      <c r="D706">
        <v>301.10000000000002</v>
      </c>
      <c r="E706">
        <v>316.67</v>
      </c>
      <c r="F706">
        <v>426041.48888000002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-0.4920893818300443</v>
      </c>
      <c r="Q706">
        <f t="shared" si="995"/>
        <v>-209650.4928969109</v>
      </c>
      <c r="R706">
        <f t="shared" si="996"/>
        <v>1831857.6409906487</v>
      </c>
      <c r="S706">
        <f t="shared" si="997"/>
        <v>18.318576409906488</v>
      </c>
      <c r="T706">
        <f t="shared" si="998"/>
        <v>1.8318576409906487E-2</v>
      </c>
    </row>
    <row r="707" spans="1:20" x14ac:dyDescent="0.25">
      <c r="A707" s="5">
        <v>43886</v>
      </c>
      <c r="B707">
        <v>378.08</v>
      </c>
      <c r="C707">
        <v>379.85</v>
      </c>
      <c r="D707">
        <v>343.99</v>
      </c>
      <c r="E707">
        <v>353.07</v>
      </c>
      <c r="F707">
        <v>181646.01154000001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-0.49358616843279529</v>
      </c>
      <c r="Q707">
        <f t="shared" si="995"/>
        <v>-89657.958847127928</v>
      </c>
      <c r="R707">
        <f t="shared" si="996"/>
        <v>2041508.1338875596</v>
      </c>
      <c r="S707">
        <f t="shared" si="997"/>
        <v>20.415081338875595</v>
      </c>
      <c r="T707">
        <f t="shared" si="998"/>
        <v>2.0415081338875596E-2</v>
      </c>
    </row>
    <row r="708" spans="1:20" x14ac:dyDescent="0.25">
      <c r="A708" s="5">
        <v>43885</v>
      </c>
      <c r="B708">
        <v>401.5</v>
      </c>
      <c r="C708">
        <v>408.43</v>
      </c>
      <c r="D708">
        <v>363</v>
      </c>
      <c r="E708">
        <v>378.22</v>
      </c>
      <c r="F708">
        <v>192156.78539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-0.32995817741580341</v>
      </c>
      <c r="Q708">
        <f t="shared" si="995"/>
        <v>-63403.702685364085</v>
      </c>
      <c r="R708">
        <f t="shared" si="996"/>
        <v>2131166.0927346875</v>
      </c>
      <c r="S708">
        <f t="shared" si="997"/>
        <v>21.311660927346875</v>
      </c>
      <c r="T708">
        <f t="shared" si="998"/>
        <v>2.1311660927346876E-2</v>
      </c>
    </row>
    <row r="709" spans="1:20" x14ac:dyDescent="0.25">
      <c r="A709" s="5">
        <v>43884</v>
      </c>
      <c r="B709">
        <v>372.99</v>
      </c>
      <c r="C709">
        <v>404.42</v>
      </c>
      <c r="D709">
        <v>372.24</v>
      </c>
      <c r="E709">
        <v>401.57</v>
      </c>
      <c r="F709">
        <v>119949.80434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0.82287134866376499</v>
      </c>
      <c r="Q709">
        <f t="shared" si="995"/>
        <v>98703.257269210531</v>
      </c>
      <c r="R709">
        <f t="shared" si="996"/>
        <v>2194569.7954200516</v>
      </c>
      <c r="S709">
        <f t="shared" si="997"/>
        <v>21.945697954200515</v>
      </c>
      <c r="T709">
        <f t="shared" si="998"/>
        <v>2.1945697954200514E-2</v>
      </c>
    </row>
    <row r="710" spans="1:20" x14ac:dyDescent="0.25">
      <c r="A710" s="5">
        <v>43883</v>
      </c>
      <c r="B710">
        <v>377.93</v>
      </c>
      <c r="C710">
        <v>380.43</v>
      </c>
      <c r="D710">
        <v>366.93</v>
      </c>
      <c r="E710">
        <v>373.14</v>
      </c>
      <c r="F710">
        <v>90739.127489999999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-8.0000000000003027E-2</v>
      </c>
      <c r="Q710">
        <f t="shared" ref="Q710:Q766" si="1000">F710*P710</f>
        <v>-7259.1301992002745</v>
      </c>
      <c r="R710">
        <f t="shared" ref="R710:R766" si="1001">R711+Q710</f>
        <v>2095866.5381508411</v>
      </c>
      <c r="S710">
        <f t="shared" ref="S710:S766" si="1002">R710/100000</f>
        <v>20.958665381508411</v>
      </c>
      <c r="T710">
        <f t="shared" ref="T710:T766" si="1003">S710/1000</f>
        <v>2.095866538150841E-2</v>
      </c>
    </row>
    <row r="711" spans="1:20" x14ac:dyDescent="0.25">
      <c r="A711" s="5">
        <v>43882</v>
      </c>
      <c r="B711">
        <v>370.88</v>
      </c>
      <c r="C711">
        <v>388.88</v>
      </c>
      <c r="D711">
        <v>367.23</v>
      </c>
      <c r="E711">
        <v>377.74</v>
      </c>
      <c r="F711">
        <v>135650.11257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-2.9099307159353171E-2</v>
      </c>
      <c r="Q711">
        <f t="shared" si="1000"/>
        <v>-3947.3242918752644</v>
      </c>
      <c r="R711">
        <f t="shared" si="1001"/>
        <v>2103125.6683500414</v>
      </c>
      <c r="S711">
        <f t="shared" si="1002"/>
        <v>21.031256683500413</v>
      </c>
      <c r="T711">
        <f t="shared" si="1003"/>
        <v>2.1031256683500414E-2</v>
      </c>
    </row>
    <row r="712" spans="1:20" x14ac:dyDescent="0.25">
      <c r="A712" s="5">
        <v>43881</v>
      </c>
      <c r="B712">
        <v>378.37</v>
      </c>
      <c r="C712">
        <v>388</v>
      </c>
      <c r="D712">
        <v>352.7</v>
      </c>
      <c r="E712">
        <v>371.1</v>
      </c>
      <c r="F712">
        <v>207799.23572999999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4.2492917847027092E-2</v>
      </c>
      <c r="Q712">
        <f t="shared" si="1000"/>
        <v>8829.995852549906</v>
      </c>
      <c r="R712">
        <f t="shared" si="1001"/>
        <v>2107072.9926419165</v>
      </c>
      <c r="S712">
        <f t="shared" si="1002"/>
        <v>21.070729926419165</v>
      </c>
      <c r="T712">
        <f t="shared" si="1003"/>
        <v>2.1070729926419167E-2</v>
      </c>
    </row>
    <row r="713" spans="1:20" x14ac:dyDescent="0.25">
      <c r="A713" s="5">
        <v>43880</v>
      </c>
      <c r="B713">
        <v>420.38</v>
      </c>
      <c r="C713">
        <v>423.7</v>
      </c>
      <c r="D713">
        <v>370</v>
      </c>
      <c r="E713">
        <v>378.46</v>
      </c>
      <c r="F713">
        <v>146767.64105000001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-0.6849162011173191</v>
      </c>
      <c r="Q713">
        <f t="shared" si="1000"/>
        <v>-100523.5351549163</v>
      </c>
      <c r="R713">
        <f t="shared" si="1001"/>
        <v>2098242.9967893665</v>
      </c>
      <c r="S713">
        <f t="shared" si="1002"/>
        <v>20.982429967893665</v>
      </c>
      <c r="T713">
        <f t="shared" si="1003"/>
        <v>2.0982429967893665E-2</v>
      </c>
    </row>
    <row r="714" spans="1:20" x14ac:dyDescent="0.25">
      <c r="A714" s="5">
        <v>43879</v>
      </c>
      <c r="B714">
        <v>412.99</v>
      </c>
      <c r="C714">
        <v>427.47</v>
      </c>
      <c r="D714">
        <v>385</v>
      </c>
      <c r="E714">
        <v>420.2</v>
      </c>
      <c r="F714">
        <v>243144.07689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0.65764068754414717</v>
      </c>
      <c r="Q714">
        <f t="shared" si="1000"/>
        <v>159901.43789822658</v>
      </c>
      <c r="R714">
        <f t="shared" si="1001"/>
        <v>2198766.5319442828</v>
      </c>
      <c r="S714">
        <f t="shared" si="1002"/>
        <v>21.987665319442829</v>
      </c>
      <c r="T714">
        <f t="shared" si="1003"/>
        <v>2.198766531944283E-2</v>
      </c>
    </row>
    <row r="715" spans="1:20" x14ac:dyDescent="0.25">
      <c r="A715" s="5">
        <v>43878</v>
      </c>
      <c r="B715">
        <v>411.81</v>
      </c>
      <c r="C715">
        <v>417.09</v>
      </c>
      <c r="D715">
        <v>367</v>
      </c>
      <c r="E715">
        <v>412.99</v>
      </c>
      <c r="F715">
        <v>366860.16592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0.83629466959473076</v>
      </c>
      <c r="Q715">
        <f t="shared" si="1000"/>
        <v>306803.20124553452</v>
      </c>
      <c r="R715">
        <f t="shared" si="1001"/>
        <v>2038865.0940460563</v>
      </c>
      <c r="S715">
        <f t="shared" si="1002"/>
        <v>20.388650940460561</v>
      </c>
      <c r="T715">
        <f t="shared" si="1003"/>
        <v>2.0388650940460561E-2</v>
      </c>
    </row>
    <row r="716" spans="1:20" x14ac:dyDescent="0.25">
      <c r="A716" s="5">
        <v>43877</v>
      </c>
      <c r="B716">
        <v>438.88</v>
      </c>
      <c r="C716">
        <v>458.22</v>
      </c>
      <c r="D716">
        <v>382.09</v>
      </c>
      <c r="E716">
        <v>411.68</v>
      </c>
      <c r="F716">
        <v>254154.92558000001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-0.22264547484565844</v>
      </c>
      <c r="Q716">
        <f t="shared" si="1000"/>
        <v>-56586.444090122088</v>
      </c>
      <c r="R716">
        <f t="shared" si="1001"/>
        <v>1732061.8928005218</v>
      </c>
      <c r="S716">
        <f t="shared" si="1002"/>
        <v>17.320618928005217</v>
      </c>
      <c r="T716">
        <f t="shared" si="1003"/>
        <v>1.7320618928005217E-2</v>
      </c>
    </row>
    <row r="717" spans="1:20" x14ac:dyDescent="0.25">
      <c r="A717" s="5">
        <v>43876</v>
      </c>
      <c r="B717">
        <v>493.77</v>
      </c>
      <c r="C717">
        <v>494.99</v>
      </c>
      <c r="D717">
        <v>414</v>
      </c>
      <c r="E717">
        <v>438.96</v>
      </c>
      <c r="F717">
        <v>202082.72430999999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-0.38362760834671006</v>
      </c>
      <c r="Q717">
        <f t="shared" si="1000"/>
        <v>-77524.512215232855</v>
      </c>
      <c r="R717">
        <f t="shared" si="1001"/>
        <v>1788648.3368906439</v>
      </c>
      <c r="S717">
        <f t="shared" si="1002"/>
        <v>17.88648336890644</v>
      </c>
      <c r="T717">
        <f t="shared" si="1003"/>
        <v>1.7886483368906438E-2</v>
      </c>
    </row>
    <row r="718" spans="1:20" x14ac:dyDescent="0.25">
      <c r="A718" s="5">
        <v>43875</v>
      </c>
      <c r="B718">
        <v>477.17</v>
      </c>
      <c r="C718">
        <v>498.23</v>
      </c>
      <c r="D718">
        <v>465.99</v>
      </c>
      <c r="E718">
        <v>493.77</v>
      </c>
      <c r="F718">
        <v>141147.43543000001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0.72332506203473723</v>
      </c>
      <c r="Q718">
        <f t="shared" si="1000"/>
        <v>102095.47748844883</v>
      </c>
      <c r="R718">
        <f t="shared" si="1001"/>
        <v>1866172.8491058769</v>
      </c>
      <c r="S718">
        <f t="shared" si="1002"/>
        <v>18.661728491058767</v>
      </c>
      <c r="T718">
        <f t="shared" si="1003"/>
        <v>1.8661728491058766E-2</v>
      </c>
    </row>
    <row r="719" spans="1:20" x14ac:dyDescent="0.25">
      <c r="A719" s="5">
        <v>43874</v>
      </c>
      <c r="B719">
        <v>473.55</v>
      </c>
      <c r="C719">
        <v>484.98</v>
      </c>
      <c r="D719">
        <v>457.7</v>
      </c>
      <c r="E719">
        <v>477.32</v>
      </c>
      <c r="F719">
        <v>174921.81401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0.43841642228738881</v>
      </c>
      <c r="Q719">
        <f t="shared" si="1000"/>
        <v>76688.59587828425</v>
      </c>
      <c r="R719">
        <f t="shared" si="1001"/>
        <v>1764077.371617428</v>
      </c>
      <c r="S719">
        <f t="shared" si="1002"/>
        <v>17.64077371617428</v>
      </c>
      <c r="T719">
        <f t="shared" si="1003"/>
        <v>1.7640773716174282E-2</v>
      </c>
    </row>
    <row r="720" spans="1:20" x14ac:dyDescent="0.25">
      <c r="A720" s="5">
        <v>43873</v>
      </c>
      <c r="B720">
        <v>462</v>
      </c>
      <c r="C720">
        <v>481.87</v>
      </c>
      <c r="D720">
        <v>462</v>
      </c>
      <c r="E720">
        <v>473.55</v>
      </c>
      <c r="F720">
        <v>163282.70277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0.1625566180171121</v>
      </c>
      <c r="Q720">
        <f t="shared" si="1000"/>
        <v>26542.683942984542</v>
      </c>
      <c r="R720">
        <f t="shared" si="1001"/>
        <v>1687388.7757391438</v>
      </c>
      <c r="S720">
        <f t="shared" si="1002"/>
        <v>16.87388775739144</v>
      </c>
      <c r="T720">
        <f t="shared" si="1003"/>
        <v>1.6873887757391438E-2</v>
      </c>
    </row>
    <row r="721" spans="1:20" x14ac:dyDescent="0.25">
      <c r="A721" s="5">
        <v>43872</v>
      </c>
      <c r="B721">
        <v>452</v>
      </c>
      <c r="C721">
        <v>469.32</v>
      </c>
      <c r="D721">
        <v>440.44</v>
      </c>
      <c r="E721">
        <v>461.89</v>
      </c>
      <c r="F721">
        <v>149039.05207000001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0.48545706371191083</v>
      </c>
      <c r="Q721">
        <f t="shared" si="1000"/>
        <v>72352.060596308787</v>
      </c>
      <c r="R721">
        <f t="shared" si="1001"/>
        <v>1660846.0917961593</v>
      </c>
      <c r="S721">
        <f t="shared" si="1002"/>
        <v>16.608460917961594</v>
      </c>
      <c r="T721">
        <f t="shared" si="1003"/>
        <v>1.6608460917961594E-2</v>
      </c>
    </row>
    <row r="722" spans="1:20" x14ac:dyDescent="0.25">
      <c r="A722" s="5">
        <v>43871</v>
      </c>
      <c r="B722">
        <v>449.77</v>
      </c>
      <c r="C722">
        <v>463.37</v>
      </c>
      <c r="D722">
        <v>435.86</v>
      </c>
      <c r="E722">
        <v>452.05</v>
      </c>
      <c r="F722">
        <v>150905.28805999999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0.17702653580516198</v>
      </c>
      <c r="Q722">
        <f t="shared" si="1000"/>
        <v>26714.240379941872</v>
      </c>
      <c r="R722">
        <f t="shared" si="1001"/>
        <v>1588494.0311998504</v>
      </c>
      <c r="S722">
        <f t="shared" si="1002"/>
        <v>15.884940311998504</v>
      </c>
      <c r="T722">
        <f t="shared" si="1003"/>
        <v>1.5884940311998504E-2</v>
      </c>
    </row>
    <row r="723" spans="1:20" x14ac:dyDescent="0.25">
      <c r="A723" s="5">
        <v>43870</v>
      </c>
      <c r="B723">
        <v>444.46</v>
      </c>
      <c r="C723">
        <v>460.55</v>
      </c>
      <c r="D723">
        <v>434.79</v>
      </c>
      <c r="E723">
        <v>449.72</v>
      </c>
      <c r="F723">
        <v>149967.53435999999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0.15916149068323077</v>
      </c>
      <c r="Q723">
        <f t="shared" si="1000"/>
        <v>23869.056322826229</v>
      </c>
      <c r="R723">
        <f t="shared" si="1001"/>
        <v>1561779.7908199085</v>
      </c>
      <c r="S723">
        <f t="shared" si="1002"/>
        <v>15.617797908199085</v>
      </c>
      <c r="T723">
        <f t="shared" si="1003"/>
        <v>1.5617797908199085E-2</v>
      </c>
    </row>
    <row r="724" spans="1:20" x14ac:dyDescent="0.25">
      <c r="A724" s="5">
        <v>43869</v>
      </c>
      <c r="B724">
        <v>439.39</v>
      </c>
      <c r="C724">
        <v>454.5</v>
      </c>
      <c r="D724">
        <v>425.16</v>
      </c>
      <c r="E724">
        <v>444.46</v>
      </c>
      <c r="F724">
        <v>147309.77991000001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0.31561008861622158</v>
      </c>
      <c r="Q724">
        <f t="shared" si="1000"/>
        <v>46492.452691431201</v>
      </c>
      <c r="R724">
        <f t="shared" si="1001"/>
        <v>1537910.7344970822</v>
      </c>
      <c r="S724">
        <f t="shared" si="1002"/>
        <v>15.379107344970821</v>
      </c>
      <c r="T724">
        <f t="shared" si="1003"/>
        <v>1.5379107344970821E-2</v>
      </c>
    </row>
    <row r="725" spans="1:20" x14ac:dyDescent="0.25">
      <c r="A725" s="5">
        <v>43868</v>
      </c>
      <c r="B725">
        <v>445.69</v>
      </c>
      <c r="C725">
        <v>459.7</v>
      </c>
      <c r="D725">
        <v>432.12</v>
      </c>
      <c r="E725">
        <v>439.21</v>
      </c>
      <c r="F725">
        <v>152210.53023999999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-0.48585931834662949</v>
      </c>
      <c r="Q725">
        <f t="shared" si="1000"/>
        <v>-73952.904467585424</v>
      </c>
      <c r="R725">
        <f t="shared" si="1001"/>
        <v>1491418.281805651</v>
      </c>
      <c r="S725">
        <f t="shared" si="1002"/>
        <v>14.91418281805651</v>
      </c>
      <c r="T725">
        <f t="shared" si="1003"/>
        <v>1.4914182818056509E-2</v>
      </c>
    </row>
    <row r="726" spans="1:20" x14ac:dyDescent="0.25">
      <c r="A726" s="5">
        <v>43867</v>
      </c>
      <c r="B726">
        <v>444.93</v>
      </c>
      <c r="C726">
        <v>448.43</v>
      </c>
      <c r="D726">
        <v>416.88</v>
      </c>
      <c r="E726">
        <v>445.76</v>
      </c>
      <c r="F726">
        <v>183772.05364999999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0.8307448494453239</v>
      </c>
      <c r="Q726">
        <f t="shared" si="1000"/>
        <v>152667.68704172721</v>
      </c>
      <c r="R726">
        <f t="shared" si="1001"/>
        <v>1565371.1862732365</v>
      </c>
      <c r="S726">
        <f t="shared" si="1002"/>
        <v>15.653711862732365</v>
      </c>
      <c r="T726">
        <f t="shared" si="1003"/>
        <v>1.5653711862732365E-2</v>
      </c>
    </row>
    <row r="727" spans="1:20" x14ac:dyDescent="0.25">
      <c r="A727" s="5">
        <v>43866</v>
      </c>
      <c r="B727">
        <v>380.95</v>
      </c>
      <c r="C727">
        <v>445.46</v>
      </c>
      <c r="D727">
        <v>378.72</v>
      </c>
      <c r="E727">
        <v>444.92</v>
      </c>
      <c r="F727">
        <v>254489.93106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0.98381780041953959</v>
      </c>
      <c r="Q727">
        <f t="shared" si="1000"/>
        <v>250371.72420436947</v>
      </c>
      <c r="R727">
        <f t="shared" si="1001"/>
        <v>1412703.4992315094</v>
      </c>
      <c r="S727">
        <f t="shared" si="1002"/>
        <v>14.127034992315094</v>
      </c>
      <c r="T727">
        <f t="shared" si="1003"/>
        <v>1.4127034992315095E-2</v>
      </c>
    </row>
    <row r="728" spans="1:20" x14ac:dyDescent="0.25">
      <c r="A728" s="5">
        <v>43865</v>
      </c>
      <c r="B728">
        <v>384.19</v>
      </c>
      <c r="C728">
        <v>389.5</v>
      </c>
      <c r="D728">
        <v>372.38</v>
      </c>
      <c r="E728">
        <v>380.93</v>
      </c>
      <c r="F728">
        <v>111599.02261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-1.1682242990643577E-3</v>
      </c>
      <c r="Q728">
        <f t="shared" si="1000"/>
        <v>-130.37268996483465</v>
      </c>
      <c r="R728">
        <f t="shared" si="1001"/>
        <v>1162331.7750271398</v>
      </c>
      <c r="S728">
        <f t="shared" si="1002"/>
        <v>11.623317750271399</v>
      </c>
      <c r="T728">
        <f t="shared" si="1003"/>
        <v>1.1623317750271398E-2</v>
      </c>
    </row>
    <row r="729" spans="1:20" x14ac:dyDescent="0.25">
      <c r="A729" s="5">
        <v>43864</v>
      </c>
      <c r="B729">
        <v>377.24</v>
      </c>
      <c r="C729">
        <v>392.84</v>
      </c>
      <c r="D729">
        <v>374.4</v>
      </c>
      <c r="E729">
        <v>384.25</v>
      </c>
      <c r="F729">
        <v>132459.04345</v>
      </c>
      <c r="G729">
        <v>0</v>
      </c>
      <c r="L729" t="s">
        <v>8</v>
      </c>
      <c r="M729" t="s">
        <v>8</v>
      </c>
      <c r="N729" t="s">
        <v>7</v>
      </c>
      <c r="P729">
        <f t="shared" si="999"/>
        <v>6.8329718004340997E-2</v>
      </c>
      <c r="Q729">
        <f t="shared" si="1000"/>
        <v>9050.8890860632509</v>
      </c>
      <c r="R729">
        <f t="shared" si="1001"/>
        <v>1162462.1477171048</v>
      </c>
      <c r="S729">
        <f t="shared" si="1002"/>
        <v>11.624621477171047</v>
      </c>
      <c r="T729">
        <f t="shared" si="1003"/>
        <v>1.1624621477171047E-2</v>
      </c>
    </row>
    <row r="730" spans="1:20" x14ac:dyDescent="0.25">
      <c r="A730" s="5">
        <v>43863</v>
      </c>
      <c r="B730">
        <v>380.16</v>
      </c>
      <c r="C730">
        <v>387.7</v>
      </c>
      <c r="D730">
        <v>368.91</v>
      </c>
      <c r="E730">
        <v>377.34</v>
      </c>
      <c r="F730">
        <v>98738.975269999995</v>
      </c>
      <c r="G730">
        <v>0</v>
      </c>
      <c r="L730" t="s">
        <v>8</v>
      </c>
      <c r="M730" t="s">
        <v>8</v>
      </c>
      <c r="N730" t="s">
        <v>7</v>
      </c>
      <c r="P730">
        <f t="shared" si="999"/>
        <v>-0.10271420968600678</v>
      </c>
      <c r="Q730">
        <f t="shared" si="1000"/>
        <v>-10141.895810064218</v>
      </c>
      <c r="R730">
        <f t="shared" si="1001"/>
        <v>1153411.2586310415</v>
      </c>
      <c r="S730">
        <f t="shared" si="1002"/>
        <v>11.534112586310416</v>
      </c>
      <c r="T730">
        <f t="shared" si="1003"/>
        <v>1.1534112586310416E-2</v>
      </c>
    </row>
    <row r="731" spans="1:20" x14ac:dyDescent="0.25">
      <c r="A731" s="5">
        <v>43862</v>
      </c>
      <c r="B731">
        <v>374.89</v>
      </c>
      <c r="C731">
        <v>389.64</v>
      </c>
      <c r="D731">
        <v>372.31</v>
      </c>
      <c r="E731">
        <v>380.08</v>
      </c>
      <c r="F731">
        <v>106551.71789</v>
      </c>
      <c r="G731">
        <v>0</v>
      </c>
      <c r="L731" t="s">
        <v>8</v>
      </c>
      <c r="M731" t="s">
        <v>8</v>
      </c>
      <c r="N731" t="s">
        <v>7</v>
      </c>
      <c r="P731">
        <f t="shared" si="999"/>
        <v>-0.10328909405655061</v>
      </c>
      <c r="Q731">
        <f t="shared" si="1000"/>
        <v>-11005.630411027256</v>
      </c>
      <c r="R731">
        <f t="shared" si="1001"/>
        <v>1163553.1544411057</v>
      </c>
      <c r="S731">
        <f t="shared" si="1002"/>
        <v>11.635531544411057</v>
      </c>
      <c r="T731">
        <f t="shared" si="1003"/>
        <v>1.1635531544411057E-2</v>
      </c>
    </row>
    <row r="732" spans="1:20" x14ac:dyDescent="0.25">
      <c r="A732" s="5">
        <v>43861</v>
      </c>
      <c r="B732">
        <v>392.52</v>
      </c>
      <c r="C732">
        <v>394.99</v>
      </c>
      <c r="D732">
        <v>364.16</v>
      </c>
      <c r="E732">
        <v>374.86</v>
      </c>
      <c r="F732">
        <v>146704.06245999999</v>
      </c>
      <c r="G732">
        <v>0</v>
      </c>
      <c r="L732" t="s">
        <v>7</v>
      </c>
      <c r="M732" t="s">
        <v>8</v>
      </c>
      <c r="N732" t="s">
        <v>7</v>
      </c>
      <c r="P732">
        <f t="shared" si="999"/>
        <v>-0.30587090496269903</v>
      </c>
      <c r="Q732">
        <f t="shared" si="1000"/>
        <v>-44872.504346344518</v>
      </c>
      <c r="R732">
        <f t="shared" si="1001"/>
        <v>1174558.7848521329</v>
      </c>
      <c r="S732">
        <f t="shared" si="1002"/>
        <v>11.745587848521328</v>
      </c>
      <c r="T732">
        <f t="shared" si="1003"/>
        <v>1.1745587848521328E-2</v>
      </c>
    </row>
    <row r="733" spans="1:20" x14ac:dyDescent="0.25">
      <c r="A733" s="5">
        <v>43860</v>
      </c>
      <c r="B733">
        <v>380.24</v>
      </c>
      <c r="C733">
        <v>399.34</v>
      </c>
      <c r="D733">
        <v>370.88</v>
      </c>
      <c r="E733">
        <v>392.69</v>
      </c>
      <c r="F733">
        <v>197841.16172999999</v>
      </c>
      <c r="G733">
        <v>0</v>
      </c>
      <c r="L733" t="s">
        <v>7</v>
      </c>
      <c r="M733" t="s">
        <v>8</v>
      </c>
      <c r="N733" t="s">
        <v>7</v>
      </c>
      <c r="P733">
        <f t="shared" si="999"/>
        <v>0.53267744202389444</v>
      </c>
      <c r="Q733">
        <f t="shared" si="1000"/>
        <v>105385.52395737199</v>
      </c>
      <c r="R733">
        <f t="shared" si="1001"/>
        <v>1219431.2891984775</v>
      </c>
      <c r="S733">
        <f t="shared" si="1002"/>
        <v>12.194312891984776</v>
      </c>
      <c r="T733">
        <f t="shared" si="1003"/>
        <v>1.2194312891984777E-2</v>
      </c>
    </row>
    <row r="734" spans="1:20" x14ac:dyDescent="0.25">
      <c r="A734" s="5">
        <v>43859</v>
      </c>
      <c r="B734">
        <v>378.43</v>
      </c>
      <c r="C734">
        <v>396.31</v>
      </c>
      <c r="D734">
        <v>375.8</v>
      </c>
      <c r="E734">
        <v>380.26</v>
      </c>
      <c r="F734">
        <v>200640.19639999999</v>
      </c>
      <c r="G734">
        <v>0</v>
      </c>
      <c r="L734" t="s">
        <v>8</v>
      </c>
      <c r="M734" t="s">
        <v>8</v>
      </c>
      <c r="N734" t="s">
        <v>7</v>
      </c>
      <c r="P734">
        <f t="shared" si="999"/>
        <v>-0.56509019990248843</v>
      </c>
      <c r="Q734">
        <f t="shared" si="1000"/>
        <v>-113379.80869215053</v>
      </c>
      <c r="R734">
        <f t="shared" si="1001"/>
        <v>1114045.7652411056</v>
      </c>
      <c r="S734">
        <f t="shared" si="1002"/>
        <v>11.140457652411056</v>
      </c>
      <c r="T734">
        <f t="shared" si="1003"/>
        <v>1.1140457652411057E-2</v>
      </c>
    </row>
    <row r="735" spans="1:20" x14ac:dyDescent="0.25">
      <c r="A735" s="5">
        <v>43858</v>
      </c>
      <c r="B735">
        <v>362.9</v>
      </c>
      <c r="C735">
        <v>385.38</v>
      </c>
      <c r="D735">
        <v>360.26</v>
      </c>
      <c r="E735">
        <v>378.6</v>
      </c>
      <c r="F735">
        <v>210830.79139</v>
      </c>
      <c r="G735">
        <v>0</v>
      </c>
      <c r="L735" t="s">
        <v>8</v>
      </c>
      <c r="M735" t="s">
        <v>8</v>
      </c>
      <c r="N735" t="s">
        <v>7</v>
      </c>
      <c r="P735">
        <f t="shared" si="999"/>
        <v>0.46019108280255006</v>
      </c>
      <c r="Q735">
        <f t="shared" si="1000"/>
        <v>97022.450177882652</v>
      </c>
      <c r="R735">
        <f t="shared" si="1001"/>
        <v>1227425.5739332561</v>
      </c>
      <c r="S735">
        <f t="shared" si="1002"/>
        <v>12.274255739332562</v>
      </c>
      <c r="T735">
        <f t="shared" si="1003"/>
        <v>1.2274255739332562E-2</v>
      </c>
    </row>
    <row r="736" spans="1:20" x14ac:dyDescent="0.25">
      <c r="A736" s="5">
        <v>43857</v>
      </c>
      <c r="B736">
        <v>348.25</v>
      </c>
      <c r="C736">
        <v>378.19</v>
      </c>
      <c r="D736">
        <v>347.65</v>
      </c>
      <c r="E736">
        <v>362.86</v>
      </c>
      <c r="F736">
        <v>248777.01991</v>
      </c>
      <c r="G736">
        <v>0</v>
      </c>
      <c r="L736" t="s">
        <v>8</v>
      </c>
      <c r="M736" t="s">
        <v>8</v>
      </c>
      <c r="N736" t="s">
        <v>7</v>
      </c>
      <c r="P736">
        <f t="shared" si="999"/>
        <v>-3.9292730844776563E-3</v>
      </c>
      <c r="Q736">
        <f t="shared" si="1000"/>
        <v>-977.51284836892501</v>
      </c>
      <c r="R736">
        <f t="shared" si="1001"/>
        <v>1130403.1237553735</v>
      </c>
      <c r="S736">
        <f t="shared" si="1002"/>
        <v>11.304031237553735</v>
      </c>
      <c r="T736">
        <f t="shared" si="1003"/>
        <v>1.1304031237553734E-2</v>
      </c>
    </row>
    <row r="737" spans="1:20" x14ac:dyDescent="0.25">
      <c r="A737" s="5">
        <v>43856</v>
      </c>
      <c r="B737">
        <v>310.29000000000002</v>
      </c>
      <c r="C737">
        <v>349.96</v>
      </c>
      <c r="D737">
        <v>307.43</v>
      </c>
      <c r="E737">
        <v>348.24</v>
      </c>
      <c r="F737">
        <v>176481.76156000001</v>
      </c>
      <c r="G737">
        <v>0</v>
      </c>
      <c r="L737" t="s">
        <v>8</v>
      </c>
      <c r="M737" t="s">
        <v>8</v>
      </c>
      <c r="N737" t="s">
        <v>7</v>
      </c>
      <c r="P737">
        <f t="shared" si="999"/>
        <v>0.91911591817540694</v>
      </c>
      <c r="Q737">
        <f t="shared" si="1000"/>
        <v>162207.19631743265</v>
      </c>
      <c r="R737">
        <f t="shared" si="1001"/>
        <v>1131380.6366037424</v>
      </c>
      <c r="S737">
        <f t="shared" si="1002"/>
        <v>11.313806366037424</v>
      </c>
      <c r="T737">
        <f t="shared" si="1003"/>
        <v>1.1313806366037423E-2</v>
      </c>
    </row>
    <row r="738" spans="1:20" x14ac:dyDescent="0.25">
      <c r="A738" s="5">
        <v>43855</v>
      </c>
      <c r="B738">
        <v>318.82</v>
      </c>
      <c r="C738">
        <v>319.27</v>
      </c>
      <c r="D738">
        <v>305.10000000000002</v>
      </c>
      <c r="E738">
        <v>310.13</v>
      </c>
      <c r="F738">
        <v>100771.89962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-0.29004940014114505</v>
      </c>
      <c r="Q738">
        <f t="shared" si="1000"/>
        <v>-29228.829035864681</v>
      </c>
      <c r="R738">
        <f t="shared" si="1001"/>
        <v>969173.44028630969</v>
      </c>
      <c r="S738">
        <f t="shared" si="1002"/>
        <v>9.6917344028630961</v>
      </c>
      <c r="T738">
        <f t="shared" si="1003"/>
        <v>9.6917344028630958E-3</v>
      </c>
    </row>
    <row r="739" spans="1:20" x14ac:dyDescent="0.25">
      <c r="A739" s="5">
        <v>43854</v>
      </c>
      <c r="B739">
        <v>325.08999999999997</v>
      </c>
      <c r="C739">
        <v>327.95</v>
      </c>
      <c r="D739">
        <v>297</v>
      </c>
      <c r="E739">
        <v>318.83</v>
      </c>
      <c r="F739">
        <v>217601.81697000001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0.41066235864297201</v>
      </c>
      <c r="Q739">
        <f t="shared" si="1000"/>
        <v>89360.875401896497</v>
      </c>
      <c r="R739">
        <f t="shared" si="1001"/>
        <v>998402.26932217437</v>
      </c>
      <c r="S739">
        <f t="shared" si="1002"/>
        <v>9.9840226932217444</v>
      </c>
      <c r="T739">
        <f t="shared" si="1003"/>
        <v>9.9840226932217443E-3</v>
      </c>
    </row>
    <row r="740" spans="1:20" x14ac:dyDescent="0.25">
      <c r="A740" s="5">
        <v>43853</v>
      </c>
      <c r="B740">
        <v>349.11</v>
      </c>
      <c r="C740">
        <v>350.15</v>
      </c>
      <c r="D740">
        <v>316.36</v>
      </c>
      <c r="E740">
        <v>325.20999999999998</v>
      </c>
      <c r="F740">
        <v>135190.02823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-0.47617638354542907</v>
      </c>
      <c r="Q740">
        <f t="shared" si="1000"/>
        <v>-64374.298733965865</v>
      </c>
      <c r="R740">
        <f t="shared" si="1001"/>
        <v>909041.39392027783</v>
      </c>
      <c r="S740">
        <f t="shared" si="1002"/>
        <v>9.0904139392027776</v>
      </c>
      <c r="T740">
        <f t="shared" si="1003"/>
        <v>9.0904139392027784E-3</v>
      </c>
    </row>
    <row r="741" spans="1:20" x14ac:dyDescent="0.25">
      <c r="A741" s="5">
        <v>43852</v>
      </c>
      <c r="B741">
        <v>343.5</v>
      </c>
      <c r="C741">
        <v>354.52</v>
      </c>
      <c r="D741">
        <v>339.16</v>
      </c>
      <c r="E741">
        <v>349.22</v>
      </c>
      <c r="F741">
        <v>96093.493990000003</v>
      </c>
      <c r="G741">
        <v>0</v>
      </c>
      <c r="L741" t="s">
        <v>8</v>
      </c>
      <c r="M741" t="s">
        <v>7</v>
      </c>
      <c r="N741" t="s">
        <v>8</v>
      </c>
      <c r="P741">
        <f t="shared" si="999"/>
        <v>0.30989583333333731</v>
      </c>
      <c r="Q741">
        <f t="shared" si="1000"/>
        <v>29778.973397943093</v>
      </c>
      <c r="R741">
        <f t="shared" si="1001"/>
        <v>973415.69265424367</v>
      </c>
      <c r="S741">
        <f t="shared" si="1002"/>
        <v>9.7341569265424361</v>
      </c>
      <c r="T741">
        <f t="shared" si="1003"/>
        <v>9.7341569265424355E-3</v>
      </c>
    </row>
    <row r="742" spans="1:20" x14ac:dyDescent="0.25">
      <c r="A742" s="5">
        <v>43851</v>
      </c>
      <c r="B742">
        <v>343.38</v>
      </c>
      <c r="C742">
        <v>348.22</v>
      </c>
      <c r="D742">
        <v>332.05</v>
      </c>
      <c r="E742">
        <v>343.5</v>
      </c>
      <c r="F742">
        <v>107803.73807000001</v>
      </c>
      <c r="G742">
        <v>0</v>
      </c>
      <c r="L742" t="s">
        <v>8</v>
      </c>
      <c r="M742" t="s">
        <v>7</v>
      </c>
      <c r="N742" t="s">
        <v>8</v>
      </c>
      <c r="P742">
        <f t="shared" si="999"/>
        <v>0.41620284477427055</v>
      </c>
      <c r="Q742">
        <f t="shared" si="1000"/>
        <v>44868.222462034333</v>
      </c>
      <c r="R742">
        <f t="shared" si="1001"/>
        <v>943636.7192563006</v>
      </c>
      <c r="S742">
        <f t="shared" si="1002"/>
        <v>9.4363671925630062</v>
      </c>
      <c r="T742">
        <f t="shared" si="1003"/>
        <v>9.4363671925630065E-3</v>
      </c>
    </row>
    <row r="743" spans="1:20" x14ac:dyDescent="0.25">
      <c r="A743" s="5">
        <v>43850</v>
      </c>
      <c r="B743">
        <v>339.54</v>
      </c>
      <c r="C743">
        <v>352.94</v>
      </c>
      <c r="D743">
        <v>322.45999999999998</v>
      </c>
      <c r="E743">
        <v>343.39</v>
      </c>
      <c r="F743">
        <v>171058.37052</v>
      </c>
      <c r="G743">
        <v>0</v>
      </c>
      <c r="L743" t="s">
        <v>8</v>
      </c>
      <c r="M743" t="s">
        <v>7</v>
      </c>
      <c r="N743" t="s">
        <v>8</v>
      </c>
      <c r="P743">
        <f t="shared" si="999"/>
        <v>0.37335958005249309</v>
      </c>
      <c r="Q743">
        <f t="shared" si="1000"/>
        <v>63866.281381810964</v>
      </c>
      <c r="R743">
        <f t="shared" si="1001"/>
        <v>898768.49679426628</v>
      </c>
      <c r="S743">
        <f t="shared" si="1002"/>
        <v>8.9876849679426627</v>
      </c>
      <c r="T743">
        <f t="shared" si="1003"/>
        <v>8.9876849679426628E-3</v>
      </c>
    </row>
    <row r="744" spans="1:20" x14ac:dyDescent="0.25">
      <c r="A744" s="5">
        <v>43849</v>
      </c>
      <c r="B744">
        <v>338.79</v>
      </c>
      <c r="C744">
        <v>366.27</v>
      </c>
      <c r="D744">
        <v>319.77999999999997</v>
      </c>
      <c r="E744">
        <v>339.61</v>
      </c>
      <c r="F744">
        <v>305020.88338999997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-0.14691331469132987</v>
      </c>
      <c r="Q744">
        <f t="shared" si="1000"/>
        <v>-44811.629028902498</v>
      </c>
      <c r="R744">
        <f t="shared" si="1001"/>
        <v>834902.21541245526</v>
      </c>
      <c r="S744">
        <f t="shared" si="1002"/>
        <v>8.3490221541245528</v>
      </c>
      <c r="T744">
        <f t="shared" si="1003"/>
        <v>8.3490221541245527E-3</v>
      </c>
    </row>
    <row r="745" spans="1:20" x14ac:dyDescent="0.25">
      <c r="A745" s="5">
        <v>43848</v>
      </c>
      <c r="B745">
        <v>367.98</v>
      </c>
      <c r="C745">
        <v>405.86</v>
      </c>
      <c r="D745">
        <v>330</v>
      </c>
      <c r="E745">
        <v>339.01</v>
      </c>
      <c r="F745">
        <v>482356.86960999999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-0.76245715792248903</v>
      </c>
      <c r="Q745">
        <f t="shared" si="1000"/>
        <v>-367776.44790722919</v>
      </c>
      <c r="R745">
        <f t="shared" si="1001"/>
        <v>879713.84444135777</v>
      </c>
      <c r="S745">
        <f t="shared" si="1002"/>
        <v>8.7971384444135783</v>
      </c>
      <c r="T745">
        <f t="shared" si="1003"/>
        <v>8.7971384444135783E-3</v>
      </c>
    </row>
    <row r="746" spans="1:20" x14ac:dyDescent="0.25">
      <c r="A746" s="5">
        <v>43847</v>
      </c>
      <c r="B746">
        <v>326.58</v>
      </c>
      <c r="C746">
        <v>383.92</v>
      </c>
      <c r="D746">
        <v>319.45999999999998</v>
      </c>
      <c r="E746">
        <v>368</v>
      </c>
      <c r="F746">
        <v>395293.42180000001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0.50605026372944439</v>
      </c>
      <c r="Q746">
        <f t="shared" si="1000"/>
        <v>200038.34035240451</v>
      </c>
      <c r="R746">
        <f t="shared" si="1001"/>
        <v>1247490.292348587</v>
      </c>
      <c r="S746">
        <f t="shared" si="1002"/>
        <v>12.474902923485869</v>
      </c>
      <c r="T746">
        <f t="shared" si="1003"/>
        <v>1.2474902923485869E-2</v>
      </c>
    </row>
    <row r="747" spans="1:20" x14ac:dyDescent="0.25">
      <c r="A747" s="5">
        <v>43846</v>
      </c>
      <c r="B747">
        <v>340</v>
      </c>
      <c r="C747">
        <v>342.96</v>
      </c>
      <c r="D747">
        <v>309.2</v>
      </c>
      <c r="E747">
        <v>326.76</v>
      </c>
      <c r="F747">
        <v>247311.30454000001</v>
      </c>
      <c r="G747">
        <v>0</v>
      </c>
      <c r="L747" t="s">
        <v>7</v>
      </c>
      <c r="M747" t="s">
        <v>7</v>
      </c>
      <c r="N747" t="s">
        <v>8</v>
      </c>
      <c r="P747">
        <f t="shared" si="999"/>
        <v>4.0284360189573876E-2</v>
      </c>
      <c r="Q747">
        <f t="shared" si="1000"/>
        <v>9962.777671042757</v>
      </c>
      <c r="R747">
        <f t="shared" si="1001"/>
        <v>1047451.9519961823</v>
      </c>
      <c r="S747">
        <f t="shared" si="1002"/>
        <v>10.474519519961824</v>
      </c>
      <c r="T747">
        <f t="shared" si="1003"/>
        <v>1.0474519519961823E-2</v>
      </c>
    </row>
    <row r="748" spans="1:20" x14ac:dyDescent="0.25">
      <c r="A748" s="5">
        <v>43845</v>
      </c>
      <c r="B748">
        <v>348.35</v>
      </c>
      <c r="C748">
        <v>362.89</v>
      </c>
      <c r="D748">
        <v>312.62</v>
      </c>
      <c r="E748">
        <v>339.99</v>
      </c>
      <c r="F748">
        <v>498653.95613000001</v>
      </c>
      <c r="G748">
        <v>0</v>
      </c>
      <c r="L748" t="s">
        <v>7</v>
      </c>
      <c r="M748" t="s">
        <v>7</v>
      </c>
      <c r="N748" t="s">
        <v>8</v>
      </c>
      <c r="P748">
        <f t="shared" si="999"/>
        <v>8.8919832902328008E-2</v>
      </c>
      <c r="Q748">
        <f t="shared" si="1000"/>
        <v>44340.226455164404</v>
      </c>
      <c r="R748">
        <f t="shared" si="1001"/>
        <v>1037489.1743251396</v>
      </c>
      <c r="S748">
        <f t="shared" si="1002"/>
        <v>10.374891743251396</v>
      </c>
      <c r="T748">
        <f t="shared" si="1003"/>
        <v>1.0374891743251397E-2</v>
      </c>
    </row>
    <row r="749" spans="1:20" x14ac:dyDescent="0.25">
      <c r="A749" s="5">
        <v>43844</v>
      </c>
      <c r="B749">
        <v>267.24</v>
      </c>
      <c r="C749">
        <v>368.08</v>
      </c>
      <c r="D749">
        <v>267.14</v>
      </c>
      <c r="E749">
        <v>348.35</v>
      </c>
      <c r="F749">
        <v>827847.55896000005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0.60907469784030188</v>
      </c>
      <c r="Q749">
        <f t="shared" si="1000"/>
        <v>504221.00183139351</v>
      </c>
      <c r="R749">
        <f t="shared" si="1001"/>
        <v>993148.94786997524</v>
      </c>
      <c r="S749">
        <f t="shared" si="1002"/>
        <v>9.9314894786997527</v>
      </c>
      <c r="T749">
        <f t="shared" si="1003"/>
        <v>9.9314894786997534E-3</v>
      </c>
    </row>
    <row r="750" spans="1:20" x14ac:dyDescent="0.25">
      <c r="A750" s="5">
        <v>43843</v>
      </c>
      <c r="B750">
        <v>270.85000000000002</v>
      </c>
      <c r="C750">
        <v>272.99</v>
      </c>
      <c r="D750">
        <v>261.06</v>
      </c>
      <c r="E750">
        <v>267.20999999999998</v>
      </c>
      <c r="F750">
        <v>91495.509229999996</v>
      </c>
      <c r="G750">
        <v>0</v>
      </c>
      <c r="L750" t="s">
        <v>7</v>
      </c>
      <c r="M750" t="s">
        <v>8</v>
      </c>
      <c r="N750" t="s">
        <v>8</v>
      </c>
      <c r="P750">
        <f t="shared" si="999"/>
        <v>3.1014249790439857E-2</v>
      </c>
      <c r="Q750">
        <f t="shared" si="1000"/>
        <v>2837.6645779627152</v>
      </c>
      <c r="R750">
        <f t="shared" si="1001"/>
        <v>488927.94603858172</v>
      </c>
      <c r="S750">
        <f t="shared" si="1002"/>
        <v>4.8892794603858176</v>
      </c>
      <c r="T750">
        <f t="shared" si="1003"/>
        <v>4.8892794603858179E-3</v>
      </c>
    </row>
    <row r="751" spans="1:20" x14ac:dyDescent="0.25">
      <c r="A751" s="5">
        <v>43842</v>
      </c>
      <c r="B751">
        <v>260.69</v>
      </c>
      <c r="C751">
        <v>271.39</v>
      </c>
      <c r="D751">
        <v>257.85000000000002</v>
      </c>
      <c r="E751">
        <v>270.77</v>
      </c>
      <c r="F751">
        <v>105180.61526000001</v>
      </c>
      <c r="G751">
        <v>0</v>
      </c>
      <c r="L751" t="s">
        <v>7</v>
      </c>
      <c r="M751" t="s">
        <v>8</v>
      </c>
      <c r="N751" t="s">
        <v>8</v>
      </c>
      <c r="P751">
        <f t="shared" si="999"/>
        <v>0.90841949778434172</v>
      </c>
      <c r="Q751">
        <f t="shared" si="1000"/>
        <v>95548.121691137276</v>
      </c>
      <c r="R751">
        <f t="shared" si="1001"/>
        <v>486090.28146061901</v>
      </c>
      <c r="S751">
        <f t="shared" si="1002"/>
        <v>4.8609028146061899</v>
      </c>
      <c r="T751">
        <f t="shared" si="1003"/>
        <v>4.8609028146061901E-3</v>
      </c>
    </row>
    <row r="752" spans="1:20" x14ac:dyDescent="0.25">
      <c r="A752" s="5">
        <v>43841</v>
      </c>
      <c r="B752">
        <v>271.95</v>
      </c>
      <c r="C752">
        <v>279.49</v>
      </c>
      <c r="D752">
        <v>258.68</v>
      </c>
      <c r="E752">
        <v>260.83</v>
      </c>
      <c r="F752">
        <v>199691.49268</v>
      </c>
      <c r="G752">
        <v>0</v>
      </c>
      <c r="L752" t="s">
        <v>8</v>
      </c>
      <c r="M752" t="s">
        <v>8</v>
      </c>
      <c r="N752" t="s">
        <v>8</v>
      </c>
      <c r="P752">
        <f t="shared" si="999"/>
        <v>-0.79336857280153994</v>
      </c>
      <c r="Q752">
        <f t="shared" si="1000"/>
        <v>-158428.95454814075</v>
      </c>
      <c r="R752">
        <f t="shared" si="1001"/>
        <v>390542.15976948175</v>
      </c>
      <c r="S752">
        <f t="shared" si="1002"/>
        <v>3.9054215976948177</v>
      </c>
      <c r="T752">
        <f t="shared" si="1003"/>
        <v>3.9054215976948178E-3</v>
      </c>
    </row>
    <row r="753" spans="1:20" x14ac:dyDescent="0.25">
      <c r="A753" s="5">
        <v>43840</v>
      </c>
      <c r="B753">
        <v>238.06</v>
      </c>
      <c r="C753">
        <v>275</v>
      </c>
      <c r="D753">
        <v>231.13</v>
      </c>
      <c r="E753">
        <v>271.83</v>
      </c>
      <c r="F753">
        <v>311448.58074</v>
      </c>
      <c r="G753">
        <v>0</v>
      </c>
      <c r="L753" t="s">
        <v>8</v>
      </c>
      <c r="M753" t="s">
        <v>8</v>
      </c>
      <c r="N753" t="s">
        <v>8</v>
      </c>
      <c r="P753">
        <f t="shared" si="999"/>
        <v>0.85548210622293064</v>
      </c>
      <c r="Q753">
        <f t="shared" si="1000"/>
        <v>266438.68783159769</v>
      </c>
      <c r="R753">
        <f t="shared" si="1001"/>
        <v>548971.1143176225</v>
      </c>
      <c r="S753">
        <f t="shared" si="1002"/>
        <v>5.4897111431762253</v>
      </c>
      <c r="T753">
        <f t="shared" si="1003"/>
        <v>5.4897111431762256E-3</v>
      </c>
    </row>
    <row r="754" spans="1:20" x14ac:dyDescent="0.25">
      <c r="A754" s="5">
        <v>43839</v>
      </c>
      <c r="B754">
        <v>240.13</v>
      </c>
      <c r="C754">
        <v>243.89</v>
      </c>
      <c r="D754">
        <v>231.26</v>
      </c>
      <c r="E754">
        <v>238.01</v>
      </c>
      <c r="F754">
        <v>109003.33057000001</v>
      </c>
      <c r="G754">
        <v>0</v>
      </c>
      <c r="L754" t="s">
        <v>7</v>
      </c>
      <c r="M754" t="s">
        <v>8</v>
      </c>
      <c r="N754" t="s">
        <v>8</v>
      </c>
      <c r="P754">
        <f t="shared" si="999"/>
        <v>6.8883610451306795E-2</v>
      </c>
      <c r="Q754">
        <f t="shared" si="1000"/>
        <v>7508.5429608789018</v>
      </c>
      <c r="R754">
        <f t="shared" si="1001"/>
        <v>282532.42648602487</v>
      </c>
      <c r="S754">
        <f t="shared" si="1002"/>
        <v>2.8253242648602486</v>
      </c>
      <c r="T754">
        <f t="shared" si="1003"/>
        <v>2.8253242648602485E-3</v>
      </c>
    </row>
    <row r="755" spans="1:20" x14ac:dyDescent="0.25">
      <c r="A755" s="5">
        <v>43838</v>
      </c>
      <c r="B755">
        <v>242.48</v>
      </c>
      <c r="C755">
        <v>255.19</v>
      </c>
      <c r="D755">
        <v>229.59</v>
      </c>
      <c r="E755">
        <v>240.19</v>
      </c>
      <c r="F755">
        <v>238290.07034999999</v>
      </c>
      <c r="G755">
        <v>0</v>
      </c>
      <c r="L755" t="s">
        <v>8</v>
      </c>
      <c r="M755" t="s">
        <v>8</v>
      </c>
      <c r="N755" t="s">
        <v>8</v>
      </c>
      <c r="P755">
        <f t="shared" si="999"/>
        <v>-0.17187500000000025</v>
      </c>
      <c r="Q755">
        <f t="shared" si="1000"/>
        <v>-40956.105841406308</v>
      </c>
      <c r="R755">
        <f t="shared" si="1001"/>
        <v>275023.88352514594</v>
      </c>
      <c r="S755">
        <f t="shared" si="1002"/>
        <v>2.7502388352514595</v>
      </c>
      <c r="T755">
        <f t="shared" si="1003"/>
        <v>2.7502388352514595E-3</v>
      </c>
    </row>
    <row r="756" spans="1:20" x14ac:dyDescent="0.25">
      <c r="A756" s="5">
        <v>43837</v>
      </c>
      <c r="B756">
        <v>244.26</v>
      </c>
      <c r="C756">
        <v>246.9</v>
      </c>
      <c r="D756">
        <v>232</v>
      </c>
      <c r="E756">
        <v>242.3</v>
      </c>
      <c r="F756">
        <v>180860.80127</v>
      </c>
      <c r="G756">
        <v>0</v>
      </c>
      <c r="L756" t="s">
        <v>8</v>
      </c>
      <c r="M756" t="s">
        <v>8</v>
      </c>
      <c r="N756" t="s">
        <v>8</v>
      </c>
      <c r="P756">
        <f t="shared" si="999"/>
        <v>0.3825503355704708</v>
      </c>
      <c r="Q756">
        <f t="shared" si="1000"/>
        <v>69188.360217382724</v>
      </c>
      <c r="R756">
        <f t="shared" si="1001"/>
        <v>315979.98936655227</v>
      </c>
      <c r="S756">
        <f t="shared" si="1002"/>
        <v>3.1597998936655225</v>
      </c>
      <c r="T756">
        <f t="shared" si="1003"/>
        <v>3.1597998936655227E-3</v>
      </c>
    </row>
    <row r="757" spans="1:20" x14ac:dyDescent="0.25">
      <c r="A757" s="5">
        <v>43836</v>
      </c>
      <c r="B757">
        <v>222.82</v>
      </c>
      <c r="C757">
        <v>247</v>
      </c>
      <c r="D757">
        <v>222.2</v>
      </c>
      <c r="E757">
        <v>244.25</v>
      </c>
      <c r="F757">
        <v>177504.59026</v>
      </c>
      <c r="G757">
        <v>0</v>
      </c>
      <c r="L757" t="s">
        <v>8</v>
      </c>
      <c r="M757" t="s">
        <v>8</v>
      </c>
      <c r="N757" t="s">
        <v>8</v>
      </c>
      <c r="P757">
        <f t="shared" si="999"/>
        <v>0.77822580645161299</v>
      </c>
      <c r="Q757">
        <f t="shared" si="1000"/>
        <v>138138.65290395162</v>
      </c>
      <c r="R757">
        <f t="shared" si="1001"/>
        <v>246791.62914916954</v>
      </c>
      <c r="S757">
        <f t="shared" si="1002"/>
        <v>2.4679162914916954</v>
      </c>
      <c r="T757">
        <f t="shared" si="1003"/>
        <v>2.4679162914916955E-3</v>
      </c>
    </row>
    <row r="758" spans="1:20" x14ac:dyDescent="0.25">
      <c r="A758" s="5">
        <v>43835</v>
      </c>
      <c r="B758">
        <v>224.45</v>
      </c>
      <c r="C758">
        <v>227.63</v>
      </c>
      <c r="D758">
        <v>220.6</v>
      </c>
      <c r="E758">
        <v>222.79</v>
      </c>
      <c r="F758">
        <v>90338.284180000002</v>
      </c>
      <c r="G758">
        <v>0</v>
      </c>
      <c r="L758" t="s">
        <v>8</v>
      </c>
      <c r="M758" t="s">
        <v>8</v>
      </c>
      <c r="N758" t="s">
        <v>8</v>
      </c>
      <c r="P758">
        <f t="shared" si="999"/>
        <v>-0.37695590327169348</v>
      </c>
      <c r="Q758">
        <f t="shared" si="1000"/>
        <v>-34053.549513086837</v>
      </c>
      <c r="R758">
        <f t="shared" si="1001"/>
        <v>108652.97624521794</v>
      </c>
      <c r="S758">
        <f t="shared" si="1002"/>
        <v>1.0865297624521795</v>
      </c>
      <c r="T758">
        <f t="shared" si="1003"/>
        <v>1.0865297624521794E-3</v>
      </c>
    </row>
    <row r="759" spans="1:20" x14ac:dyDescent="0.25">
      <c r="A759" s="5">
        <v>43834</v>
      </c>
      <c r="B759">
        <v>222.38</v>
      </c>
      <c r="C759">
        <v>227.64</v>
      </c>
      <c r="D759">
        <v>219.56</v>
      </c>
      <c r="E759">
        <v>224.47</v>
      </c>
      <c r="F759">
        <v>110315.64423000001</v>
      </c>
      <c r="G759">
        <v>0</v>
      </c>
      <c r="L759" t="s">
        <v>8</v>
      </c>
      <c r="M759" t="s">
        <v>8</v>
      </c>
      <c r="N759" t="s">
        <v>8</v>
      </c>
      <c r="P759">
        <f t="shared" si="999"/>
        <v>0.2153465346534669</v>
      </c>
      <c r="Q759">
        <f t="shared" si="1000"/>
        <v>23756.091702995222</v>
      </c>
      <c r="R759">
        <f t="shared" si="1001"/>
        <v>142706.52575830478</v>
      </c>
      <c r="S759">
        <f t="shared" si="1002"/>
        <v>1.4270652575830478</v>
      </c>
      <c r="T759">
        <f t="shared" si="1003"/>
        <v>1.4270652575830477E-3</v>
      </c>
    </row>
    <row r="760" spans="1:20" x14ac:dyDescent="0.25">
      <c r="A760" s="5">
        <v>43833</v>
      </c>
      <c r="B760">
        <v>195.49</v>
      </c>
      <c r="C760">
        <v>226</v>
      </c>
      <c r="D760">
        <v>191.9</v>
      </c>
      <c r="E760">
        <v>222.43</v>
      </c>
      <c r="F760">
        <v>236151.17473</v>
      </c>
      <c r="G760">
        <v>0</v>
      </c>
      <c r="L760" t="s">
        <v>8</v>
      </c>
      <c r="M760" t="s">
        <v>8</v>
      </c>
      <c r="N760" t="s">
        <v>8</v>
      </c>
      <c r="P760">
        <f t="shared" si="999"/>
        <v>0.79061583577712646</v>
      </c>
      <c r="Q760">
        <f t="shared" si="1000"/>
        <v>186704.85837890918</v>
      </c>
      <c r="R760">
        <f t="shared" si="1001"/>
        <v>118950.43405530955</v>
      </c>
      <c r="S760">
        <f t="shared" si="1002"/>
        <v>1.1895043405530956</v>
      </c>
      <c r="T760">
        <f t="shared" si="1003"/>
        <v>1.1895043405530956E-3</v>
      </c>
    </row>
    <row r="761" spans="1:20" x14ac:dyDescent="0.25">
      <c r="A761" s="5">
        <v>43832</v>
      </c>
      <c r="B761">
        <v>204.43</v>
      </c>
      <c r="C761">
        <v>205.53</v>
      </c>
      <c r="D761">
        <v>192.8</v>
      </c>
      <c r="E761">
        <v>195.49</v>
      </c>
      <c r="F761">
        <v>76481.140499999994</v>
      </c>
      <c r="G761">
        <v>0</v>
      </c>
      <c r="L761" t="s">
        <v>8</v>
      </c>
      <c r="M761" t="s">
        <v>8</v>
      </c>
      <c r="N761" t="s">
        <v>8</v>
      </c>
      <c r="P761">
        <f t="shared" si="999"/>
        <v>-0.57737627651217593</v>
      </c>
      <c r="Q761">
        <f t="shared" si="1000"/>
        <v>-44158.396125294574</v>
      </c>
      <c r="R761">
        <f t="shared" si="1001"/>
        <v>-67754.424323599625</v>
      </c>
      <c r="S761">
        <f t="shared" si="1002"/>
        <v>-0.67754424323599627</v>
      </c>
      <c r="T761">
        <f t="shared" si="1003"/>
        <v>-6.7754424323599632E-4</v>
      </c>
    </row>
    <row r="762" spans="1:20" x14ac:dyDescent="0.25">
      <c r="A762" s="5">
        <v>43831</v>
      </c>
      <c r="B762">
        <v>204.57</v>
      </c>
      <c r="C762">
        <v>209</v>
      </c>
      <c r="D762">
        <v>203.1</v>
      </c>
      <c r="E762">
        <v>204.44</v>
      </c>
      <c r="F762">
        <v>43234.958500000001</v>
      </c>
      <c r="G762">
        <v>0</v>
      </c>
      <c r="P762">
        <f t="shared" si="999"/>
        <v>-0.54576271186440606</v>
      </c>
      <c r="Q762">
        <f t="shared" si="1000"/>
        <v>-23596.028198305055</v>
      </c>
      <c r="R762">
        <f t="shared" si="1001"/>
        <v>-23596.028198305055</v>
      </c>
      <c r="S762">
        <f t="shared" si="1002"/>
        <v>-0.23596028198305055</v>
      </c>
      <c r="T762">
        <f t="shared" si="1003"/>
        <v>-2.3596028198305055E-4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L302" sqref="JL30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$A$301</v>
      </c>
      <c r="D111" s="1" t="str">
        <f>ADDRESS(C121-1,D121,1,1)</f>
        <v>$JL$301</v>
      </c>
      <c r="E111"/>
    </row>
    <row r="112" spans="1:5" x14ac:dyDescent="0.25">
      <c r="A112" s="7">
        <v>12164.144957890772</v>
      </c>
      <c r="C112" s="1" t="str">
        <f>ADDRESS(C121,1,1,1)</f>
        <v>$A$302</v>
      </c>
      <c r="D112" s="1" t="str">
        <f>ADDRESS(C121,D121-1,1,1)</f>
        <v>$JK$302</v>
      </c>
      <c r="E112"/>
    </row>
    <row r="113" spans="1:5" x14ac:dyDescent="0.25">
      <c r="A113" s="7">
        <v>11925.63231165762</v>
      </c>
      <c r="C113" s="1" t="str">
        <f>ADDRESS(C121+1,1,1,1)</f>
        <v>$A$303</v>
      </c>
      <c r="D113" s="1" t="str">
        <f>ADDRESS(C121-1,D121+1,1,1)</f>
        <v>$JM$301</v>
      </c>
    </row>
    <row r="114" spans="1:5" x14ac:dyDescent="0.25">
      <c r="A114" s="7">
        <v>11691.796383978059</v>
      </c>
      <c r="C114" s="1" t="str">
        <f>ADDRESS(C121,D121,1,1)</f>
        <v>$JL$302</v>
      </c>
      <c r="D114" s="1" t="str">
        <f>ADDRESS(C121+1,D121+1,1,1)</f>
        <v>$JM$303</v>
      </c>
    </row>
    <row r="115" spans="1:5" x14ac:dyDescent="0.25">
      <c r="A115" s="7">
        <v>11462.545474488292</v>
      </c>
      <c r="C115" s="1" t="str">
        <f>ADDRESS(C121+1,D121,1,1)</f>
        <v>$JL$303</v>
      </c>
    </row>
    <row r="116" spans="1:5" x14ac:dyDescent="0.25">
      <c r="A116" s="7">
        <v>11237.789680870874</v>
      </c>
      <c r="C116" s="1">
        <f>C117-1</f>
        <v>301</v>
      </c>
    </row>
    <row r="117" spans="1:5" x14ac:dyDescent="0.25">
      <c r="A117" s="7">
        <v>11017.440863598895</v>
      </c>
      <c r="C117" s="1">
        <f>C121</f>
        <v>302</v>
      </c>
      <c r="D117" s="1">
        <f>D121</f>
        <v>272</v>
      </c>
    </row>
    <row r="118" spans="1:5" x14ac:dyDescent="0.25">
      <c r="A118" s="7">
        <v>10801.412611371465</v>
      </c>
      <c r="C118" s="1">
        <f>C117+1</f>
        <v>303</v>
      </c>
      <c r="D118" s="1">
        <f>D117+1</f>
        <v>273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302</v>
      </c>
      <c r="D121" s="19">
        <v>272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R302</v>
      </c>
      <c r="D123" s="1" t="str">
        <f>"C"&amp;D121</f>
        <v>C272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282.51984033965925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186" x14ac:dyDescent="0.25">
      <c r="A209" s="7">
        <v>1781.8244993293558</v>
      </c>
      <c r="B209"/>
      <c r="C209"/>
      <c r="D209"/>
      <c r="E209"/>
    </row>
    <row r="210" spans="1:186" x14ac:dyDescent="0.25">
      <c r="A210" s="7">
        <v>1746.8867640483879</v>
      </c>
      <c r="B210"/>
      <c r="C210"/>
      <c r="D210"/>
      <c r="E210"/>
    </row>
    <row r="211" spans="1:186" x14ac:dyDescent="0.25">
      <c r="A211" s="7">
        <v>1712.6340824003803</v>
      </c>
      <c r="B211"/>
      <c r="C211"/>
      <c r="D211"/>
      <c r="E211"/>
    </row>
    <row r="212" spans="1:186" x14ac:dyDescent="0.25">
      <c r="A212" s="7">
        <v>1679.0530219611571</v>
      </c>
      <c r="B212"/>
      <c r="C212"/>
      <c r="D212"/>
      <c r="E212"/>
    </row>
    <row r="213" spans="1:186" x14ac:dyDescent="0.25">
      <c r="A213" s="7">
        <v>1646.1304136874089</v>
      </c>
      <c r="B213"/>
      <c r="C213"/>
      <c r="D213"/>
      <c r="E213"/>
      <c r="GA213" s="27" t="s">
        <v>8</v>
      </c>
    </row>
    <row r="214" spans="1:186" x14ac:dyDescent="0.25">
      <c r="A214" s="7">
        <v>1613.8533467523616</v>
      </c>
      <c r="B214"/>
      <c r="C214"/>
      <c r="D214"/>
      <c r="E214"/>
      <c r="GA214" s="27" t="s">
        <v>8</v>
      </c>
      <c r="GB214" s="27" t="s">
        <v>7</v>
      </c>
    </row>
    <row r="215" spans="1:186" x14ac:dyDescent="0.25">
      <c r="A215" s="7">
        <v>1582.2091634827075</v>
      </c>
      <c r="B215"/>
      <c r="C215"/>
      <c r="D215"/>
      <c r="E215"/>
      <c r="FW215" s="27" t="s">
        <v>8</v>
      </c>
      <c r="GA215" s="27" t="s">
        <v>8</v>
      </c>
      <c r="GB215" s="27" t="s">
        <v>7</v>
      </c>
    </row>
    <row r="216" spans="1:186" x14ac:dyDescent="0.25">
      <c r="A216" s="7">
        <v>1551.1854543948111</v>
      </c>
      <c r="B216"/>
      <c r="C216"/>
      <c r="D216"/>
      <c r="E216"/>
      <c r="FW216" s="27" t="s">
        <v>8</v>
      </c>
      <c r="FX216" s="27" t="s">
        <v>7</v>
      </c>
      <c r="GA216" s="27" t="s">
        <v>8</v>
      </c>
      <c r="GB216" s="27" t="s">
        <v>7</v>
      </c>
    </row>
    <row r="217" spans="1:186" x14ac:dyDescent="0.25">
      <c r="A217" s="7">
        <v>1520.7700533282461</v>
      </c>
      <c r="B217"/>
      <c r="C217"/>
      <c r="D217"/>
      <c r="E217"/>
      <c r="FW217" s="27" t="s">
        <v>8</v>
      </c>
      <c r="FX217" s="27" t="s">
        <v>7</v>
      </c>
      <c r="GA217" s="27" t="s">
        <v>8</v>
      </c>
      <c r="GB217" s="27" t="s">
        <v>7</v>
      </c>
    </row>
    <row r="218" spans="1:186" x14ac:dyDescent="0.25">
      <c r="A218" s="7">
        <v>1490.9510326747511</v>
      </c>
      <c r="B218"/>
      <c r="C218"/>
      <c r="D218"/>
      <c r="E218"/>
      <c r="FW218" s="27" t="s">
        <v>8</v>
      </c>
      <c r="FX218" s="27" t="s">
        <v>7</v>
      </c>
      <c r="GA218" s="27" t="s">
        <v>8</v>
      </c>
      <c r="GB218" s="27" t="s">
        <v>7</v>
      </c>
    </row>
    <row r="219" spans="1:186" x14ac:dyDescent="0.25">
      <c r="A219" s="7">
        <v>1461.7166987007363</v>
      </c>
      <c r="B219"/>
      <c r="C219"/>
      <c r="D219"/>
      <c r="E219"/>
      <c r="FW219" s="27" t="s">
        <v>8</v>
      </c>
      <c r="FX219" s="27" t="s">
        <v>7</v>
      </c>
      <c r="GA219" s="27" t="s">
        <v>8</v>
      </c>
      <c r="GB219" s="27" t="s">
        <v>7</v>
      </c>
    </row>
    <row r="220" spans="1:186" x14ac:dyDescent="0.25">
      <c r="A220" s="7">
        <v>1433.0555869615062</v>
      </c>
      <c r="B220"/>
      <c r="C220"/>
      <c r="D220"/>
      <c r="E220"/>
      <c r="FW220" s="27" t="s">
        <v>8</v>
      </c>
      <c r="FX220" s="27" t="s">
        <v>7</v>
      </c>
      <c r="FY220" s="27" t="s">
        <v>8</v>
      </c>
      <c r="GA220" s="27" t="s">
        <v>8</v>
      </c>
      <c r="GB220" s="27" t="s">
        <v>7</v>
      </c>
    </row>
    <row r="221" spans="1:186" x14ac:dyDescent="0.25">
      <c r="A221" s="7">
        <v>1404.9564578053983</v>
      </c>
      <c r="B221"/>
      <c r="C221"/>
      <c r="D221"/>
      <c r="E221"/>
      <c r="FW221" s="27" t="s">
        <v>8</v>
      </c>
      <c r="FX221" s="27" t="s">
        <v>7</v>
      </c>
      <c r="FY221" s="27" t="s">
        <v>8</v>
      </c>
      <c r="FZ221" s="27" t="s">
        <v>7</v>
      </c>
      <c r="GA221" s="27" t="s">
        <v>8</v>
      </c>
      <c r="GB221" s="27" t="s">
        <v>7</v>
      </c>
    </row>
    <row r="222" spans="1:186" x14ac:dyDescent="0.25">
      <c r="A222" s="7">
        <v>1377.4082919660766</v>
      </c>
      <c r="B222"/>
      <c r="C222"/>
      <c r="D222"/>
      <c r="E222"/>
      <c r="FW222" s="27" t="s">
        <v>8</v>
      </c>
      <c r="FX222" s="27" t="s">
        <v>7</v>
      </c>
      <c r="FY222" s="27" t="s">
        <v>8</v>
      </c>
      <c r="FZ222" s="27" t="s">
        <v>7</v>
      </c>
      <c r="GA222" s="27" t="s">
        <v>8</v>
      </c>
      <c r="GB222" s="27" t="s">
        <v>7</v>
      </c>
    </row>
    <row r="223" spans="1:186" x14ac:dyDescent="0.25">
      <c r="A223" s="7">
        <v>1350.4002862412515</v>
      </c>
      <c r="B223"/>
      <c r="C223"/>
      <c r="D223"/>
      <c r="E223"/>
      <c r="FW223" s="27" t="s">
        <v>8</v>
      </c>
      <c r="FX223" s="27" t="s">
        <v>7</v>
      </c>
      <c r="FY223" s="27" t="s">
        <v>8</v>
      </c>
      <c r="FZ223" s="27" t="s">
        <v>7</v>
      </c>
      <c r="GA223" s="27" t="s">
        <v>8</v>
      </c>
      <c r="GB223" s="27" t="s">
        <v>7</v>
      </c>
      <c r="GC223" s="27" t="s">
        <v>8</v>
      </c>
    </row>
    <row r="224" spans="1:186" x14ac:dyDescent="0.25">
      <c r="A224" s="7">
        <v>1323.9218492561288</v>
      </c>
      <c r="B224"/>
      <c r="C224"/>
      <c r="D224"/>
      <c r="E224"/>
      <c r="FW224" s="27" t="s">
        <v>8</v>
      </c>
      <c r="FX224" s="27" t="s">
        <v>7</v>
      </c>
      <c r="FY224" s="27" t="s">
        <v>8</v>
      </c>
      <c r="FZ224" s="27" t="s">
        <v>7</v>
      </c>
      <c r="GA224" s="27" t="s">
        <v>8</v>
      </c>
      <c r="GB224" s="27" t="s">
        <v>7</v>
      </c>
      <c r="GC224" s="27" t="s">
        <v>8</v>
      </c>
      <c r="GD224" s="27" t="s">
        <v>7</v>
      </c>
    </row>
    <row r="225" spans="1:188" x14ac:dyDescent="0.25">
      <c r="A225" s="7">
        <v>1297.9625973099301</v>
      </c>
      <c r="B225"/>
      <c r="C225"/>
      <c r="D225"/>
      <c r="E225"/>
      <c r="FW225" s="27" t="s">
        <v>8</v>
      </c>
      <c r="FX225" s="27" t="s">
        <v>7</v>
      </c>
      <c r="FY225" s="27" t="s">
        <v>8</v>
      </c>
      <c r="FZ225" s="27" t="s">
        <v>7</v>
      </c>
      <c r="GA225" s="27" t="s">
        <v>8</v>
      </c>
      <c r="GB225" s="27" t="s">
        <v>7</v>
      </c>
      <c r="GC225" s="27" t="s">
        <v>8</v>
      </c>
      <c r="GD225" s="27" t="s">
        <v>7</v>
      </c>
    </row>
    <row r="226" spans="1:188" x14ac:dyDescent="0.25">
      <c r="A226" s="7">
        <v>1272.5123503038531</v>
      </c>
      <c r="B226"/>
      <c r="C226"/>
      <c r="D226"/>
      <c r="E226"/>
      <c r="FW226" s="27" t="s">
        <v>8</v>
      </c>
      <c r="FX226" s="27" t="s">
        <v>7</v>
      </c>
      <c r="FZ226" s="27" t="s">
        <v>7</v>
      </c>
      <c r="GA226" s="27" t="s">
        <v>8</v>
      </c>
      <c r="GB226" s="27" t="s">
        <v>7</v>
      </c>
      <c r="GC226" s="27" t="s">
        <v>8</v>
      </c>
      <c r="GD226" s="27" t="s">
        <v>7</v>
      </c>
    </row>
    <row r="227" spans="1:188" x14ac:dyDescent="0.25">
      <c r="A227" s="7">
        <v>1247.5611277488756</v>
      </c>
      <c r="B227"/>
      <c r="C227"/>
      <c r="D227"/>
      <c r="E227"/>
      <c r="FW227" s="27" t="s">
        <v>8</v>
      </c>
      <c r="FZ227" s="27" t="s">
        <v>7</v>
      </c>
      <c r="GA227" s="27" t="s">
        <v>8</v>
      </c>
      <c r="GB227" s="27" t="s">
        <v>7</v>
      </c>
      <c r="GC227" s="27" t="s">
        <v>8</v>
      </c>
      <c r="GD227" s="27" t="s">
        <v>7</v>
      </c>
    </row>
    <row r="228" spans="1:188" x14ac:dyDescent="0.25">
      <c r="A228" s="7">
        <v>1223.0991448518389</v>
      </c>
      <c r="B228"/>
      <c r="C228"/>
      <c r="D228"/>
      <c r="E228"/>
      <c r="FW228" s="27" t="s">
        <v>8</v>
      </c>
      <c r="FZ228" s="27" t="s">
        <v>7</v>
      </c>
      <c r="GA228" s="27" t="s">
        <v>8</v>
      </c>
      <c r="GB228" s="27" t="s">
        <v>7</v>
      </c>
      <c r="GC228" s="27" t="s">
        <v>8</v>
      </c>
      <c r="GD228" s="27" t="s">
        <v>7</v>
      </c>
    </row>
    <row r="229" spans="1:188" x14ac:dyDescent="0.25">
      <c r="A229" s="7">
        <v>1199.1168086782734</v>
      </c>
      <c r="B229"/>
      <c r="C229"/>
      <c r="D229"/>
      <c r="E229"/>
      <c r="FI229" s="27" t="s">
        <v>8</v>
      </c>
      <c r="FW229" s="27" t="s">
        <v>8</v>
      </c>
      <c r="FZ229" s="27" t="s">
        <v>7</v>
      </c>
      <c r="GB229" s="27" t="s">
        <v>7</v>
      </c>
      <c r="GC229" s="27" t="s">
        <v>8</v>
      </c>
      <c r="GD229" s="27" t="s">
        <v>7</v>
      </c>
    </row>
    <row r="230" spans="1:188" x14ac:dyDescent="0.25">
      <c r="A230" s="7">
        <v>1175.6047143904641</v>
      </c>
      <c r="B230"/>
      <c r="C230"/>
      <c r="D230"/>
      <c r="E230"/>
      <c r="FI230" s="27" t="s">
        <v>8</v>
      </c>
      <c r="FJ230" s="27" t="s">
        <v>7</v>
      </c>
      <c r="FW230" s="27" t="s">
        <v>8</v>
      </c>
      <c r="GB230" s="27" t="s">
        <v>7</v>
      </c>
      <c r="GC230" s="27" t="s">
        <v>8</v>
      </c>
      <c r="GD230" s="27" t="s">
        <v>7</v>
      </c>
    </row>
    <row r="231" spans="1:188" x14ac:dyDescent="0.25">
      <c r="A231" s="7">
        <v>1152.5536415592785</v>
      </c>
      <c r="B231"/>
      <c r="C231"/>
      <c r="D231"/>
      <c r="E231"/>
      <c r="FI231" s="27" t="s">
        <v>8</v>
      </c>
      <c r="FJ231" s="27" t="s">
        <v>7</v>
      </c>
      <c r="FW231" s="27" t="s">
        <v>8</v>
      </c>
      <c r="GB231" s="27" t="s">
        <v>7</v>
      </c>
      <c r="GD231" s="27" t="s">
        <v>7</v>
      </c>
      <c r="GE231" s="27" t="s">
        <v>8</v>
      </c>
    </row>
    <row r="232" spans="1:188" x14ac:dyDescent="0.25">
      <c r="A232" s="7">
        <v>1129.9545505483122</v>
      </c>
      <c r="B232"/>
      <c r="C232"/>
      <c r="D232"/>
      <c r="E232"/>
      <c r="FI232" s="27" t="s">
        <v>8</v>
      </c>
      <c r="FJ232" s="27" t="s">
        <v>7</v>
      </c>
      <c r="FW232" s="27" t="s">
        <v>8</v>
      </c>
      <c r="GD232" s="27" t="s">
        <v>7</v>
      </c>
      <c r="GE232" s="27" t="s">
        <v>8</v>
      </c>
      <c r="GF232" s="27" t="s">
        <v>7</v>
      </c>
    </row>
    <row r="233" spans="1:188" x14ac:dyDescent="0.25">
      <c r="A233" s="7">
        <v>1107.7985789689335</v>
      </c>
      <c r="B233"/>
      <c r="C233"/>
      <c r="D233"/>
      <c r="E233"/>
      <c r="FI233" s="27" t="s">
        <v>8</v>
      </c>
      <c r="FJ233" s="27" t="s">
        <v>7</v>
      </c>
      <c r="FW233" s="27" t="s">
        <v>8</v>
      </c>
      <c r="GD233" s="27" t="s">
        <v>7</v>
      </c>
      <c r="GE233" s="27" t="s">
        <v>8</v>
      </c>
      <c r="GF233" s="27" t="s">
        <v>7</v>
      </c>
    </row>
    <row r="234" spans="1:188" x14ac:dyDescent="0.25">
      <c r="A234" s="7">
        <v>1086.0770382048368</v>
      </c>
      <c r="B234"/>
      <c r="C234"/>
      <c r="D234"/>
      <c r="E234"/>
      <c r="FI234" s="27" t="s">
        <v>8</v>
      </c>
      <c r="FJ234" s="27" t="s">
        <v>7</v>
      </c>
      <c r="FW234" s="27" t="s">
        <v>8</v>
      </c>
      <c r="GD234" s="27" t="s">
        <v>7</v>
      </c>
      <c r="GE234" s="27" t="s">
        <v>8</v>
      </c>
      <c r="GF234" s="27" t="s">
        <v>7</v>
      </c>
    </row>
    <row r="235" spans="1:188" x14ac:dyDescent="0.25">
      <c r="A235" s="7">
        <v>1064.7814100047419</v>
      </c>
      <c r="B235"/>
      <c r="C235"/>
      <c r="D235"/>
      <c r="E235"/>
      <c r="FI235" s="27" t="s">
        <v>8</v>
      </c>
      <c r="FJ235" s="27" t="s">
        <v>7</v>
      </c>
      <c r="FW235" s="27" t="s">
        <v>8</v>
      </c>
      <c r="GD235" s="27" t="s">
        <v>7</v>
      </c>
      <c r="GE235" s="27" t="s">
        <v>8</v>
      </c>
      <c r="GF235" s="27" t="s">
        <v>7</v>
      </c>
    </row>
    <row r="236" spans="1:188" x14ac:dyDescent="0.25">
      <c r="A236" s="7">
        <v>1043.9033431419039</v>
      </c>
      <c r="B236"/>
      <c r="C236"/>
      <c r="D236"/>
      <c r="E236"/>
      <c r="FI236" s="27" t="s">
        <v>8</v>
      </c>
      <c r="FJ236" s="27" t="s">
        <v>7</v>
      </c>
      <c r="FU236" s="27" t="s">
        <v>8</v>
      </c>
      <c r="FW236" s="27" t="s">
        <v>8</v>
      </c>
      <c r="GD236" s="27" t="s">
        <v>7</v>
      </c>
      <c r="GE236" s="27" t="s">
        <v>8</v>
      </c>
      <c r="GF236" s="27" t="s">
        <v>7</v>
      </c>
    </row>
    <row r="237" spans="1:188" x14ac:dyDescent="0.25">
      <c r="A237" s="7">
        <v>1023.4346501391215</v>
      </c>
      <c r="B237"/>
      <c r="C237"/>
      <c r="D237"/>
      <c r="E237"/>
      <c r="FI237" s="27" t="s">
        <v>8</v>
      </c>
      <c r="FJ237" s="27" t="s">
        <v>7</v>
      </c>
      <c r="FK237" s="27" t="s">
        <v>8</v>
      </c>
      <c r="FS237" s="27" t="s">
        <v>8</v>
      </c>
      <c r="FU237" s="27" t="s">
        <v>8</v>
      </c>
      <c r="FV237" s="27" t="s">
        <v>7</v>
      </c>
      <c r="FW237" s="27" t="s">
        <v>8</v>
      </c>
      <c r="GD237" s="27" t="s">
        <v>7</v>
      </c>
      <c r="GE237" s="27" t="s">
        <v>8</v>
      </c>
      <c r="GF237" s="27" t="s">
        <v>7</v>
      </c>
    </row>
    <row r="238" spans="1:188" x14ac:dyDescent="0.25">
      <c r="A238" s="7">
        <v>1003.3673040579622</v>
      </c>
      <c r="B238"/>
      <c r="C238"/>
      <c r="D238"/>
      <c r="E238"/>
      <c r="FI238" s="27" t="s">
        <v>8</v>
      </c>
      <c r="FJ238" s="27" t="s">
        <v>7</v>
      </c>
      <c r="FK238" s="27" t="s">
        <v>8</v>
      </c>
      <c r="FL238" s="27" t="s">
        <v>7</v>
      </c>
      <c r="FS238" s="27" t="s">
        <v>8</v>
      </c>
      <c r="FT238" s="27" t="s">
        <v>7</v>
      </c>
      <c r="FU238" s="27" t="s">
        <v>8</v>
      </c>
      <c r="FV238" s="27" t="s">
        <v>7</v>
      </c>
      <c r="FW238" s="27" t="s">
        <v>8</v>
      </c>
      <c r="GD238" s="27" t="s">
        <v>7</v>
      </c>
      <c r="GF238" s="27" t="s">
        <v>7</v>
      </c>
    </row>
    <row r="239" spans="1:188" x14ac:dyDescent="0.25">
      <c r="A239" s="7">
        <v>983.69343535094333</v>
      </c>
      <c r="B239"/>
      <c r="C239"/>
      <c r="D239"/>
      <c r="E239"/>
      <c r="FI239" s="27" t="s">
        <v>8</v>
      </c>
      <c r="FJ239" s="27" t="s">
        <v>7</v>
      </c>
      <c r="FK239" s="27" t="s">
        <v>8</v>
      </c>
      <c r="FL239" s="27" t="s">
        <v>7</v>
      </c>
      <c r="FM239" s="27" t="s">
        <v>8</v>
      </c>
      <c r="FS239" s="27" t="s">
        <v>8</v>
      </c>
      <c r="FT239" s="27" t="s">
        <v>7</v>
      </c>
      <c r="FU239" s="27" t="s">
        <v>8</v>
      </c>
      <c r="FV239" s="27" t="s">
        <v>7</v>
      </c>
      <c r="FW239" s="27" t="s">
        <v>8</v>
      </c>
      <c r="GF239" s="27" t="s">
        <v>7</v>
      </c>
    </row>
    <row r="240" spans="1:188" x14ac:dyDescent="0.25">
      <c r="A240" s="7">
        <v>964.40532877543467</v>
      </c>
      <c r="B240"/>
      <c r="C240"/>
      <c r="D240"/>
      <c r="E240"/>
      <c r="FI240" s="27" t="s">
        <v>8</v>
      </c>
      <c r="FJ240" s="27" t="s">
        <v>7</v>
      </c>
      <c r="FK240" s="27" t="s">
        <v>8</v>
      </c>
      <c r="FL240" s="27" t="s">
        <v>7</v>
      </c>
      <c r="FM240" s="27" t="s">
        <v>8</v>
      </c>
      <c r="FN240" s="27" t="s">
        <v>7</v>
      </c>
      <c r="FS240" s="27" t="s">
        <v>8</v>
      </c>
      <c r="FT240" s="27" t="s">
        <v>7</v>
      </c>
      <c r="FV240" s="27" t="s">
        <v>7</v>
      </c>
      <c r="FW240" s="27" t="s">
        <v>8</v>
      </c>
      <c r="GF240" s="27" t="s">
        <v>7</v>
      </c>
    </row>
    <row r="241" spans="1:250" x14ac:dyDescent="0.25">
      <c r="A241" s="7">
        <v>945.49542036807316</v>
      </c>
      <c r="B241"/>
      <c r="C241"/>
      <c r="D241"/>
      <c r="E241"/>
      <c r="FI241" s="27" t="s">
        <v>8</v>
      </c>
      <c r="FJ241" s="27" t="s">
        <v>7</v>
      </c>
      <c r="FK241" s="27" t="s">
        <v>8</v>
      </c>
      <c r="FL241" s="27" t="s">
        <v>7</v>
      </c>
      <c r="FM241" s="27" t="s">
        <v>8</v>
      </c>
      <c r="FN241" s="27" t="s">
        <v>7</v>
      </c>
      <c r="FS241" s="27" t="s">
        <v>8</v>
      </c>
      <c r="FV241" s="27" t="s">
        <v>7</v>
      </c>
      <c r="GF241" s="27" t="s">
        <v>7</v>
      </c>
    </row>
    <row r="242" spans="1:250" x14ac:dyDescent="0.25">
      <c r="A242" s="7">
        <v>926.95629447850308</v>
      </c>
      <c r="B242"/>
      <c r="C242"/>
      <c r="D242"/>
      <c r="E242"/>
      <c r="FI242" s="27" t="s">
        <v>8</v>
      </c>
      <c r="FJ242" s="27" t="s">
        <v>7</v>
      </c>
      <c r="FK242" s="27" t="s">
        <v>8</v>
      </c>
      <c r="FL242" s="27" t="s">
        <v>7</v>
      </c>
      <c r="FM242" s="27" t="s">
        <v>8</v>
      </c>
      <c r="FN242" s="27" t="s">
        <v>7</v>
      </c>
      <c r="FQ242" s="27" t="s">
        <v>8</v>
      </c>
      <c r="FS242" s="27" t="s">
        <v>8</v>
      </c>
      <c r="GF242" s="27" t="s">
        <v>7</v>
      </c>
    </row>
    <row r="243" spans="1:250" x14ac:dyDescent="0.25">
      <c r="A243" s="7">
        <v>908.78068086127746</v>
      </c>
      <c r="B243"/>
      <c r="C243"/>
      <c r="D243"/>
      <c r="E243"/>
      <c r="FI243" s="27" t="s">
        <v>8</v>
      </c>
      <c r="FJ243" s="27" t="s">
        <v>7</v>
      </c>
      <c r="FK243" s="27" t="s">
        <v>8</v>
      </c>
      <c r="FL243" s="27" t="s">
        <v>7</v>
      </c>
      <c r="FM243" s="27" t="s">
        <v>8</v>
      </c>
      <c r="FN243" s="27" t="s">
        <v>7</v>
      </c>
      <c r="FQ243" s="27" t="s">
        <v>8</v>
      </c>
      <c r="FR243" s="27" t="s">
        <v>7</v>
      </c>
      <c r="FS243" s="27" t="s">
        <v>8</v>
      </c>
      <c r="GF243" s="27" t="s">
        <v>7</v>
      </c>
    </row>
    <row r="244" spans="1:250" x14ac:dyDescent="0.25">
      <c r="A244" s="7">
        <v>890.96145182478176</v>
      </c>
      <c r="B244"/>
      <c r="C244"/>
      <c r="D244"/>
      <c r="E244"/>
      <c r="FI244" s="27" t="s">
        <v>8</v>
      </c>
      <c r="FJ244" s="27" t="s">
        <v>7</v>
      </c>
      <c r="FK244" s="27" t="s">
        <v>8</v>
      </c>
      <c r="FL244" s="27" t="s">
        <v>7</v>
      </c>
      <c r="FM244" s="27" t="s">
        <v>8</v>
      </c>
      <c r="FN244" s="27" t="s">
        <v>7</v>
      </c>
      <c r="FQ244" s="27" t="s">
        <v>8</v>
      </c>
      <c r="FR244" s="27" t="s">
        <v>7</v>
      </c>
      <c r="FS244" s="27" t="s">
        <v>8</v>
      </c>
      <c r="GF244" s="27" t="s">
        <v>7</v>
      </c>
    </row>
    <row r="245" spans="1:250" x14ac:dyDescent="0.25">
      <c r="A245" s="7">
        <v>873.49161943606055</v>
      </c>
      <c r="B245"/>
      <c r="C245"/>
      <c r="D245"/>
      <c r="E245"/>
      <c r="FI245" s="27" t="s">
        <v>8</v>
      </c>
      <c r="FJ245" s="27" t="s">
        <v>7</v>
      </c>
      <c r="FK245" s="27" t="s">
        <v>8</v>
      </c>
      <c r="FL245" s="27" t="s">
        <v>7</v>
      </c>
      <c r="FM245" s="27" t="s">
        <v>8</v>
      </c>
      <c r="FN245" s="27" t="s">
        <v>7</v>
      </c>
      <c r="FQ245" s="27" t="s">
        <v>8</v>
      </c>
      <c r="FR245" s="27" t="s">
        <v>7</v>
      </c>
      <c r="GF245" s="27" t="s">
        <v>7</v>
      </c>
    </row>
    <row r="246" spans="1:250" x14ac:dyDescent="0.25">
      <c r="A246" s="7">
        <v>856.36433278045149</v>
      </c>
      <c r="B246"/>
      <c r="C246"/>
      <c r="D246"/>
      <c r="E246"/>
      <c r="FI246" s="27" t="s">
        <v>8</v>
      </c>
      <c r="FJ246" s="27" t="s">
        <v>7</v>
      </c>
      <c r="FK246" s="27" t="s">
        <v>8</v>
      </c>
      <c r="FL246" s="27" t="s">
        <v>7</v>
      </c>
      <c r="FM246" s="27" t="s">
        <v>8</v>
      </c>
      <c r="FN246" s="27" t="s">
        <v>7</v>
      </c>
      <c r="FQ246" s="27" t="s">
        <v>8</v>
      </c>
      <c r="GF246" s="27" t="s">
        <v>7</v>
      </c>
      <c r="GG246" s="27" t="s">
        <v>8</v>
      </c>
    </row>
    <row r="247" spans="1:250" x14ac:dyDescent="0.25">
      <c r="A247" s="7">
        <v>839.57287527495248</v>
      </c>
      <c r="B247"/>
      <c r="C247"/>
      <c r="D247"/>
      <c r="E247"/>
      <c r="FI247" s="27" t="s">
        <v>8</v>
      </c>
      <c r="FJ247" s="27" t="s">
        <v>7</v>
      </c>
      <c r="FK247" s="27" t="s">
        <v>8</v>
      </c>
      <c r="FL247" s="27" t="s">
        <v>7</v>
      </c>
      <c r="FN247" s="27" t="s">
        <v>7</v>
      </c>
      <c r="FO247" s="27" t="s">
        <v>8</v>
      </c>
      <c r="FQ247" s="27" t="s">
        <v>8</v>
      </c>
      <c r="GF247" s="27" t="s">
        <v>7</v>
      </c>
      <c r="GG247" s="27" t="s">
        <v>8</v>
      </c>
      <c r="GH247" s="27" t="s">
        <v>7</v>
      </c>
    </row>
    <row r="248" spans="1:250" x14ac:dyDescent="0.25">
      <c r="A248" s="7">
        <v>823.11066203426708</v>
      </c>
      <c r="B248"/>
      <c r="C248"/>
      <c r="D248"/>
      <c r="E248"/>
      <c r="FI248" s="27" t="s">
        <v>8</v>
      </c>
      <c r="FJ248" s="27" t="s">
        <v>7</v>
      </c>
      <c r="FK248" s="27" t="s">
        <v>8</v>
      </c>
      <c r="FN248" s="27" t="s">
        <v>7</v>
      </c>
      <c r="FO248" s="27" t="s">
        <v>8</v>
      </c>
      <c r="FP248" s="27" t="s">
        <v>7</v>
      </c>
      <c r="FQ248" s="27" t="s">
        <v>8</v>
      </c>
      <c r="GF248" s="27" t="s">
        <v>7</v>
      </c>
      <c r="GG248" s="27" t="s">
        <v>8</v>
      </c>
      <c r="GH248" s="27" t="s">
        <v>7</v>
      </c>
    </row>
    <row r="249" spans="1:250" x14ac:dyDescent="0.25">
      <c r="A249" s="7">
        <v>806.97123728849715</v>
      </c>
      <c r="B249"/>
      <c r="C249"/>
      <c r="D249"/>
      <c r="E249"/>
      <c r="FI249" s="27" t="s">
        <v>8</v>
      </c>
      <c r="FJ249" s="27" t="s">
        <v>7</v>
      </c>
      <c r="FN249" s="27" t="s">
        <v>7</v>
      </c>
      <c r="FO249" s="27" t="s">
        <v>8</v>
      </c>
      <c r="FP249" s="27" t="s">
        <v>7</v>
      </c>
      <c r="FQ249" s="27" t="s">
        <v>8</v>
      </c>
      <c r="GF249" s="27" t="s">
        <v>7</v>
      </c>
      <c r="GG249" s="27" t="s">
        <v>8</v>
      </c>
      <c r="GH249" s="27" t="s">
        <v>7</v>
      </c>
    </row>
    <row r="250" spans="1:250" x14ac:dyDescent="0.25">
      <c r="A250" s="7">
        <v>791.14827185146783</v>
      </c>
      <c r="B250"/>
      <c r="C250"/>
      <c r="D250"/>
      <c r="E250"/>
      <c r="FI250" s="27" t="s">
        <v>8</v>
      </c>
      <c r="FN250" s="27" t="s">
        <v>7</v>
      </c>
      <c r="FO250" s="27" t="s">
        <v>8</v>
      </c>
      <c r="FP250" s="27" t="s">
        <v>7</v>
      </c>
      <c r="FQ250" s="27" t="s">
        <v>8</v>
      </c>
      <c r="GF250" s="27" t="s">
        <v>7</v>
      </c>
      <c r="GG250" s="27" t="s">
        <v>8</v>
      </c>
      <c r="GH250" s="27" t="s">
        <v>7</v>
      </c>
      <c r="GI250" s="27" t="s">
        <v>8</v>
      </c>
      <c r="HS250" s="27" t="s">
        <v>8</v>
      </c>
    </row>
    <row r="251" spans="1:250" x14ac:dyDescent="0.25">
      <c r="A251" s="7">
        <v>775.63556063869396</v>
      </c>
      <c r="B251"/>
      <c r="C251"/>
      <c r="D251"/>
      <c r="E251"/>
      <c r="FI251" s="27" t="s">
        <v>8</v>
      </c>
      <c r="FN251" s="27" t="s">
        <v>7</v>
      </c>
      <c r="FO251" s="27" t="s">
        <v>8</v>
      </c>
      <c r="FP251" s="27" t="s">
        <v>7</v>
      </c>
      <c r="FQ251" s="27" t="s">
        <v>8</v>
      </c>
      <c r="GF251" s="27" t="s">
        <v>7</v>
      </c>
      <c r="GG251" s="27" t="s">
        <v>8</v>
      </c>
      <c r="GH251" s="27" t="s">
        <v>7</v>
      </c>
      <c r="GI251" s="27" t="s">
        <v>8</v>
      </c>
      <c r="GJ251" s="27" t="s">
        <v>7</v>
      </c>
      <c r="HS251" s="27" t="s">
        <v>8</v>
      </c>
      <c r="HT251" s="27" t="s">
        <v>7</v>
      </c>
    </row>
    <row r="252" spans="1:250" x14ac:dyDescent="0.25">
      <c r="A252" s="7">
        <v>760.42702023401364</v>
      </c>
      <c r="B252"/>
      <c r="C252"/>
      <c r="D252"/>
      <c r="E252"/>
      <c r="EM252" s="27" t="s">
        <v>8</v>
      </c>
      <c r="FI252" s="27" t="s">
        <v>8</v>
      </c>
      <c r="FN252" s="27" t="s">
        <v>7</v>
      </c>
      <c r="FO252" s="27" t="s">
        <v>8</v>
      </c>
      <c r="FP252" s="27" t="s">
        <v>7</v>
      </c>
      <c r="FQ252" s="27" t="s">
        <v>8</v>
      </c>
      <c r="GF252" s="27" t="s">
        <v>7</v>
      </c>
      <c r="GG252" s="27" t="s">
        <v>8</v>
      </c>
      <c r="GH252" s="27" t="s">
        <v>7</v>
      </c>
      <c r="GI252" s="27" t="s">
        <v>8</v>
      </c>
      <c r="GJ252" s="27" t="s">
        <v>7</v>
      </c>
      <c r="HS252" s="27" t="s">
        <v>8</v>
      </c>
      <c r="HT252" s="27" t="s">
        <v>7</v>
      </c>
    </row>
    <row r="253" spans="1:250" x14ac:dyDescent="0.25">
      <c r="A253" s="7">
        <v>745.51668650393492</v>
      </c>
      <c r="B253"/>
      <c r="C253"/>
      <c r="D253"/>
      <c r="E253"/>
      <c r="EM253" s="27" t="s">
        <v>8</v>
      </c>
      <c r="EN253" s="27" t="s">
        <v>7</v>
      </c>
      <c r="EO253" s="27" t="s">
        <v>8</v>
      </c>
      <c r="FI253" s="27" t="s">
        <v>8</v>
      </c>
      <c r="FN253" s="27" t="s">
        <v>7</v>
      </c>
      <c r="FO253" s="27" t="s">
        <v>8</v>
      </c>
      <c r="FP253" s="27" t="s">
        <v>7</v>
      </c>
      <c r="FQ253" s="27" t="s">
        <v>8</v>
      </c>
      <c r="GF253" s="27" t="s">
        <v>7</v>
      </c>
      <c r="GG253" s="27" t="s">
        <v>8</v>
      </c>
      <c r="GH253" s="27" t="s">
        <v>7</v>
      </c>
      <c r="GI253" s="27" t="s">
        <v>8</v>
      </c>
      <c r="GJ253" s="27" t="s">
        <v>7</v>
      </c>
      <c r="HS253" s="27" t="s">
        <v>8</v>
      </c>
      <c r="HT253" s="27" t="s">
        <v>7</v>
      </c>
    </row>
    <row r="254" spans="1:250" x14ac:dyDescent="0.25">
      <c r="A254" s="7">
        <v>730.8987122587597</v>
      </c>
      <c r="B254"/>
      <c r="C254"/>
      <c r="D254"/>
      <c r="E254"/>
      <c r="EM254" s="27" t="s">
        <v>8</v>
      </c>
      <c r="EN254" s="27" t="s">
        <v>7</v>
      </c>
      <c r="EO254" s="27" t="s">
        <v>8</v>
      </c>
      <c r="EP254" s="27" t="s">
        <v>7</v>
      </c>
      <c r="FI254" s="27" t="s">
        <v>8</v>
      </c>
      <c r="FN254" s="27" t="s">
        <v>7</v>
      </c>
      <c r="FO254" s="27" t="s">
        <v>8</v>
      </c>
      <c r="FP254" s="27" t="s">
        <v>7</v>
      </c>
      <c r="FQ254" s="27" t="s">
        <v>8</v>
      </c>
      <c r="GF254" s="27" t="s">
        <v>7</v>
      </c>
      <c r="GG254" s="27" t="s">
        <v>8</v>
      </c>
      <c r="GH254" s="27" t="s">
        <v>7</v>
      </c>
      <c r="GI254" s="27" t="s">
        <v>8</v>
      </c>
      <c r="GJ254" s="27" t="s">
        <v>7</v>
      </c>
      <c r="GM254" s="27" t="s">
        <v>8</v>
      </c>
      <c r="HS254" s="27" t="s">
        <v>8</v>
      </c>
      <c r="HT254" s="27" t="s">
        <v>7</v>
      </c>
      <c r="IO254" s="27" t="s">
        <v>8</v>
      </c>
    </row>
    <row r="255" spans="1:250" x14ac:dyDescent="0.25">
      <c r="A255" s="7">
        <v>716.56736495956829</v>
      </c>
      <c r="B255"/>
      <c r="C255"/>
      <c r="D255"/>
      <c r="E255"/>
      <c r="EM255" s="27" t="s">
        <v>8</v>
      </c>
      <c r="EN255" s="27" t="s">
        <v>7</v>
      </c>
      <c r="EO255" s="27" t="s">
        <v>8</v>
      </c>
      <c r="EP255" s="27" t="s">
        <v>7</v>
      </c>
      <c r="FI255" s="27" t="s">
        <v>8</v>
      </c>
      <c r="FN255" s="27" t="s">
        <v>7</v>
      </c>
      <c r="FO255" s="27" t="s">
        <v>8</v>
      </c>
      <c r="FP255" s="27" t="s">
        <v>7</v>
      </c>
      <c r="GF255" s="27" t="s">
        <v>7</v>
      </c>
      <c r="GG255" s="27" t="s">
        <v>8</v>
      </c>
      <c r="GH255" s="27" t="s">
        <v>7</v>
      </c>
      <c r="GI255" s="27" t="s">
        <v>8</v>
      </c>
      <c r="GJ255" s="27" t="s">
        <v>7</v>
      </c>
      <c r="GK255" s="27" t="s">
        <v>8</v>
      </c>
      <c r="GM255" s="27" t="s">
        <v>8</v>
      </c>
      <c r="GN255" s="27" t="s">
        <v>7</v>
      </c>
      <c r="HS255" s="27" t="s">
        <v>8</v>
      </c>
      <c r="HT255" s="27" t="s">
        <v>7</v>
      </c>
      <c r="IO255" s="27" t="s">
        <v>8</v>
      </c>
      <c r="IP255" s="27" t="s">
        <v>7</v>
      </c>
    </row>
    <row r="256" spans="1:250" x14ac:dyDescent="0.25">
      <c r="A256" s="7">
        <v>702.51702447016498</v>
      </c>
      <c r="B256"/>
      <c r="C256"/>
      <c r="D256"/>
      <c r="E256"/>
      <c r="EM256" s="27" t="s">
        <v>8</v>
      </c>
      <c r="EN256" s="27" t="s">
        <v>7</v>
      </c>
      <c r="EO256" s="27" t="s">
        <v>8</v>
      </c>
      <c r="EP256" s="27" t="s">
        <v>7</v>
      </c>
      <c r="FG256" s="27" t="s">
        <v>8</v>
      </c>
      <c r="FI256" s="27" t="s">
        <v>8</v>
      </c>
      <c r="FN256" s="27" t="s">
        <v>7</v>
      </c>
      <c r="FO256" s="27" t="s">
        <v>8</v>
      </c>
      <c r="GF256" s="27" t="s">
        <v>7</v>
      </c>
      <c r="GG256" s="27" t="s">
        <v>8</v>
      </c>
      <c r="GH256" s="27" t="s">
        <v>7</v>
      </c>
      <c r="GI256" s="27" t="s">
        <v>8</v>
      </c>
      <c r="GJ256" s="27" t="s">
        <v>7</v>
      </c>
      <c r="GK256" s="27" t="s">
        <v>8</v>
      </c>
      <c r="GL256" s="27" t="s">
        <v>7</v>
      </c>
      <c r="GM256" s="27" t="s">
        <v>8</v>
      </c>
      <c r="GN256" s="27" t="s">
        <v>7</v>
      </c>
      <c r="HM256" s="27" t="s">
        <v>8</v>
      </c>
      <c r="HS256" s="27" t="s">
        <v>8</v>
      </c>
      <c r="HT256" s="27" t="s">
        <v>7</v>
      </c>
      <c r="IO256" s="27" t="s">
        <v>8</v>
      </c>
      <c r="IP256" s="27" t="s">
        <v>7</v>
      </c>
    </row>
    <row r="257" spans="1:256" x14ac:dyDescent="0.25">
      <c r="A257" s="7">
        <v>688.74218085310292</v>
      </c>
      <c r="B257"/>
      <c r="C257"/>
      <c r="D257"/>
      <c r="E257"/>
      <c r="EM257" s="27" t="s">
        <v>8</v>
      </c>
      <c r="EN257" s="27" t="s">
        <v>7</v>
      </c>
      <c r="EO257" s="27" t="s">
        <v>8</v>
      </c>
      <c r="EP257" s="27" t="s">
        <v>7</v>
      </c>
      <c r="FE257" s="27" t="s">
        <v>8</v>
      </c>
      <c r="FG257" s="27" t="s">
        <v>8</v>
      </c>
      <c r="FH257" s="27" t="s">
        <v>7</v>
      </c>
      <c r="FI257" s="27" t="s">
        <v>8</v>
      </c>
      <c r="FN257" s="27" t="s">
        <v>7</v>
      </c>
      <c r="GF257" s="27" t="s">
        <v>7</v>
      </c>
      <c r="GG257" s="27" t="s">
        <v>8</v>
      </c>
      <c r="GH257" s="27" t="s">
        <v>7</v>
      </c>
      <c r="GI257" s="27" t="s">
        <v>8</v>
      </c>
      <c r="GJ257" s="27" t="s">
        <v>7</v>
      </c>
      <c r="GK257" s="27" t="s">
        <v>8</v>
      </c>
      <c r="GL257" s="27" t="s">
        <v>7</v>
      </c>
      <c r="GM257" s="27" t="s">
        <v>8</v>
      </c>
      <c r="GN257" s="27" t="s">
        <v>7</v>
      </c>
      <c r="HM257" s="27" t="s">
        <v>8</v>
      </c>
      <c r="HN257" s="27" t="s">
        <v>7</v>
      </c>
      <c r="HO257" s="27" t="s">
        <v>8</v>
      </c>
      <c r="HQ257" s="27" t="s">
        <v>8</v>
      </c>
      <c r="HS257" s="27" t="s">
        <v>8</v>
      </c>
      <c r="HT257" s="27" t="s">
        <v>7</v>
      </c>
      <c r="IO257" s="27" t="s">
        <v>8</v>
      </c>
      <c r="IP257" s="27" t="s">
        <v>7</v>
      </c>
    </row>
    <row r="258" spans="1:256" x14ac:dyDescent="0.25">
      <c r="A258" s="7">
        <v>675.23743220892447</v>
      </c>
      <c r="B258"/>
      <c r="C258"/>
      <c r="D258"/>
      <c r="E258"/>
      <c r="EM258" s="27" t="s">
        <v>8</v>
      </c>
      <c r="EN258" s="27" t="s">
        <v>7</v>
      </c>
      <c r="EP258" s="27" t="s">
        <v>7</v>
      </c>
      <c r="FE258" s="27" t="s">
        <v>8</v>
      </c>
      <c r="FF258" s="27" t="s">
        <v>7</v>
      </c>
      <c r="FG258" s="27" t="s">
        <v>8</v>
      </c>
      <c r="FH258" s="27" t="s">
        <v>7</v>
      </c>
      <c r="FI258" s="27" t="s">
        <v>8</v>
      </c>
      <c r="GF258" s="27" t="s">
        <v>7</v>
      </c>
      <c r="GG258" s="27" t="s">
        <v>8</v>
      </c>
      <c r="GH258" s="27" t="s">
        <v>7</v>
      </c>
      <c r="GI258" s="27" t="s">
        <v>8</v>
      </c>
      <c r="GJ258" s="27" t="s">
        <v>7</v>
      </c>
      <c r="GK258" s="27" t="s">
        <v>8</v>
      </c>
      <c r="GL258" s="27" t="s">
        <v>7</v>
      </c>
      <c r="GN258" s="27" t="s">
        <v>7</v>
      </c>
      <c r="HM258" s="27" t="s">
        <v>8</v>
      </c>
      <c r="HN258" s="27" t="s">
        <v>7</v>
      </c>
      <c r="HO258" s="27" t="s">
        <v>8</v>
      </c>
      <c r="HP258" s="27" t="s">
        <v>7</v>
      </c>
      <c r="HQ258" s="27" t="s">
        <v>8</v>
      </c>
      <c r="HR258" s="27" t="s">
        <v>7</v>
      </c>
      <c r="HS258" s="27" t="s">
        <v>8</v>
      </c>
      <c r="HT258" s="27" t="s">
        <v>7</v>
      </c>
      <c r="HU258" s="27" t="s">
        <v>8</v>
      </c>
      <c r="IO258" s="27" t="s">
        <v>8</v>
      </c>
      <c r="IP258" s="27" t="s">
        <v>7</v>
      </c>
    </row>
    <row r="259" spans="1:256" x14ac:dyDescent="0.25">
      <c r="A259" s="7">
        <v>661.9974825577691</v>
      </c>
      <c r="B259"/>
      <c r="C259"/>
      <c r="D259"/>
      <c r="E259"/>
      <c r="EM259" s="27" t="s">
        <v>8</v>
      </c>
      <c r="EP259" s="27" t="s">
        <v>7</v>
      </c>
      <c r="FE259" s="27" t="s">
        <v>8</v>
      </c>
      <c r="FF259" s="27" t="s">
        <v>7</v>
      </c>
      <c r="FG259" s="27" t="s">
        <v>8</v>
      </c>
      <c r="FH259" s="27" t="s">
        <v>7</v>
      </c>
      <c r="GF259" s="27" t="s">
        <v>7</v>
      </c>
      <c r="GG259" s="27" t="s">
        <v>8</v>
      </c>
      <c r="GH259" s="27" t="s">
        <v>7</v>
      </c>
      <c r="GI259" s="27" t="s">
        <v>8</v>
      </c>
      <c r="GJ259" s="27" t="s">
        <v>7</v>
      </c>
      <c r="GK259" s="27" t="s">
        <v>8</v>
      </c>
      <c r="GN259" s="27" t="s">
        <v>7</v>
      </c>
      <c r="HM259" s="27" t="s">
        <v>8</v>
      </c>
      <c r="HN259" s="27" t="s">
        <v>7</v>
      </c>
      <c r="HO259" s="27" t="s">
        <v>8</v>
      </c>
      <c r="HP259" s="27" t="s">
        <v>7</v>
      </c>
      <c r="HQ259" s="27" t="s">
        <v>8</v>
      </c>
      <c r="HR259" s="27" t="s">
        <v>7</v>
      </c>
      <c r="HS259" s="27" t="s">
        <v>8</v>
      </c>
      <c r="HT259" s="27" t="s">
        <v>7</v>
      </c>
      <c r="HU259" s="27" t="s">
        <v>8</v>
      </c>
      <c r="HV259" s="27" t="s">
        <v>7</v>
      </c>
      <c r="IO259" s="27" t="s">
        <v>8</v>
      </c>
      <c r="IP259" s="27" t="s">
        <v>7</v>
      </c>
    </row>
    <row r="260" spans="1:256" x14ac:dyDescent="0.25">
      <c r="A260" s="7">
        <v>649.0171397625187</v>
      </c>
      <c r="B260"/>
      <c r="C260"/>
      <c r="D260"/>
      <c r="E260"/>
      <c r="EM260" s="27" t="s">
        <v>8</v>
      </c>
      <c r="EP260" s="27" t="s">
        <v>7</v>
      </c>
      <c r="FE260" s="27" t="s">
        <v>8</v>
      </c>
      <c r="FF260" s="27" t="s">
        <v>7</v>
      </c>
      <c r="FG260" s="27" t="s">
        <v>8</v>
      </c>
      <c r="GF260" s="27" t="s">
        <v>7</v>
      </c>
      <c r="GG260" s="27" t="s">
        <v>8</v>
      </c>
      <c r="GH260" s="27" t="s">
        <v>7</v>
      </c>
      <c r="GI260" s="27" t="s">
        <v>8</v>
      </c>
      <c r="GJ260" s="27" t="s">
        <v>7</v>
      </c>
      <c r="GK260" s="27" t="s">
        <v>8</v>
      </c>
      <c r="GN260" s="27" t="s">
        <v>7</v>
      </c>
      <c r="GQ260" s="27" t="s">
        <v>8</v>
      </c>
      <c r="HK260" s="27" t="s">
        <v>8</v>
      </c>
      <c r="HM260" s="27" t="s">
        <v>8</v>
      </c>
      <c r="HN260" s="27" t="s">
        <v>7</v>
      </c>
      <c r="HO260" s="27" t="s">
        <v>8</v>
      </c>
      <c r="HP260" s="27" t="s">
        <v>7</v>
      </c>
      <c r="HQ260" s="27" t="s">
        <v>8</v>
      </c>
      <c r="HR260" s="27" t="s">
        <v>7</v>
      </c>
      <c r="HS260" s="27" t="s">
        <v>8</v>
      </c>
      <c r="HT260" s="27" t="s">
        <v>7</v>
      </c>
      <c r="HU260" s="27" t="s">
        <v>8</v>
      </c>
      <c r="HV260" s="27" t="s">
        <v>7</v>
      </c>
      <c r="HW260" s="27" t="s">
        <v>8</v>
      </c>
      <c r="II260" s="27" t="s">
        <v>8</v>
      </c>
      <c r="IK260" s="27" t="s">
        <v>8</v>
      </c>
      <c r="IO260" s="27" t="s">
        <v>8</v>
      </c>
      <c r="IP260" s="27" t="s">
        <v>7</v>
      </c>
    </row>
    <row r="261" spans="1:256" x14ac:dyDescent="0.25">
      <c r="A261" s="7">
        <v>636.29131349266538</v>
      </c>
      <c r="B261"/>
      <c r="C261"/>
      <c r="D261"/>
      <c r="E261"/>
      <c r="EM261" s="27" t="s">
        <v>8</v>
      </c>
      <c r="EP261" s="27" t="s">
        <v>7</v>
      </c>
      <c r="FE261" s="27" t="s">
        <v>8</v>
      </c>
      <c r="FF261" s="27" t="s">
        <v>7</v>
      </c>
      <c r="FG261" s="27" t="s">
        <v>8</v>
      </c>
      <c r="GF261" s="27" t="s">
        <v>7</v>
      </c>
      <c r="GG261" s="27" t="s">
        <v>8</v>
      </c>
      <c r="GH261" s="27" t="s">
        <v>7</v>
      </c>
      <c r="GI261" s="27" t="s">
        <v>8</v>
      </c>
      <c r="GJ261" s="27" t="s">
        <v>7</v>
      </c>
      <c r="GK261" s="27" t="s">
        <v>8</v>
      </c>
      <c r="GN261" s="27" t="s">
        <v>7</v>
      </c>
      <c r="GO261" s="27" t="s">
        <v>8</v>
      </c>
      <c r="GQ261" s="27" t="s">
        <v>8</v>
      </c>
      <c r="GR261" s="27" t="s">
        <v>7</v>
      </c>
      <c r="HK261" s="27" t="s">
        <v>8</v>
      </c>
      <c r="HL261" s="27" t="s">
        <v>7</v>
      </c>
      <c r="HM261" s="27" t="s">
        <v>8</v>
      </c>
      <c r="HN261" s="27" t="s">
        <v>7</v>
      </c>
      <c r="HO261" s="27" t="s">
        <v>8</v>
      </c>
      <c r="HP261" s="27" t="s">
        <v>7</v>
      </c>
      <c r="HQ261" s="27" t="s">
        <v>8</v>
      </c>
      <c r="HR261" s="27" t="s">
        <v>7</v>
      </c>
      <c r="HT261" s="27" t="s">
        <v>7</v>
      </c>
      <c r="HU261" s="27" t="s">
        <v>8</v>
      </c>
      <c r="HV261" s="27" t="s">
        <v>7</v>
      </c>
      <c r="HW261" s="27" t="s">
        <v>8</v>
      </c>
      <c r="HX261" s="27" t="s">
        <v>7</v>
      </c>
      <c r="IE261" s="27" t="s">
        <v>8</v>
      </c>
      <c r="II261" s="27" t="s">
        <v>8</v>
      </c>
      <c r="IJ261" s="27" t="s">
        <v>7</v>
      </c>
      <c r="IK261" s="27" t="s">
        <v>8</v>
      </c>
      <c r="IL261" s="27" t="s">
        <v>7</v>
      </c>
      <c r="IO261" s="27" t="s">
        <v>8</v>
      </c>
      <c r="IP261" s="27" t="s">
        <v>7</v>
      </c>
    </row>
    <row r="262" spans="1:256" x14ac:dyDescent="0.25">
      <c r="A262" s="7">
        <v>623.81501322810334</v>
      </c>
      <c r="B262"/>
      <c r="C262"/>
      <c r="D262"/>
      <c r="E262"/>
      <c r="DQ262" s="27" t="s">
        <v>8</v>
      </c>
      <c r="EM262" s="27" t="s">
        <v>8</v>
      </c>
      <c r="EP262" s="27" t="s">
        <v>7</v>
      </c>
      <c r="FE262" s="27" t="s">
        <v>8</v>
      </c>
      <c r="FF262" s="27" t="s">
        <v>7</v>
      </c>
      <c r="FG262" s="27" t="s">
        <v>8</v>
      </c>
      <c r="GF262" s="27" t="s">
        <v>7</v>
      </c>
      <c r="GG262" s="27" t="s">
        <v>8</v>
      </c>
      <c r="GH262" s="27" t="s">
        <v>7</v>
      </c>
      <c r="GI262" s="27" t="s">
        <v>8</v>
      </c>
      <c r="GJ262" s="27" t="s">
        <v>7</v>
      </c>
      <c r="GN262" s="27" t="s">
        <v>7</v>
      </c>
      <c r="GO262" s="27" t="s">
        <v>8</v>
      </c>
      <c r="GP262" s="27" t="s">
        <v>7</v>
      </c>
      <c r="GQ262" s="27" t="s">
        <v>8</v>
      </c>
      <c r="GR262" s="27" t="s">
        <v>7</v>
      </c>
      <c r="HK262" s="27" t="s">
        <v>8</v>
      </c>
      <c r="HL262" s="27" t="s">
        <v>7</v>
      </c>
      <c r="HM262" s="27" t="s">
        <v>8</v>
      </c>
      <c r="HN262" s="27" t="s">
        <v>7</v>
      </c>
      <c r="HP262" s="27" t="s">
        <v>7</v>
      </c>
      <c r="HQ262" s="27" t="s">
        <v>8</v>
      </c>
      <c r="HT262" s="27" t="s">
        <v>7</v>
      </c>
      <c r="HU262" s="27" t="s">
        <v>8</v>
      </c>
      <c r="HV262" s="27" t="s">
        <v>7</v>
      </c>
      <c r="HW262" s="27" t="s">
        <v>8</v>
      </c>
      <c r="HX262" s="27" t="s">
        <v>7</v>
      </c>
      <c r="IE262" s="27" t="s">
        <v>8</v>
      </c>
      <c r="IF262" s="27" t="s">
        <v>7</v>
      </c>
      <c r="IG262" s="27" t="s">
        <v>8</v>
      </c>
      <c r="II262" s="27" t="s">
        <v>8</v>
      </c>
      <c r="IJ262" s="27" t="s">
        <v>7</v>
      </c>
      <c r="IK262" s="27" t="s">
        <v>8</v>
      </c>
      <c r="IL262" s="27" t="s">
        <v>7</v>
      </c>
      <c r="IM262" s="27" t="s">
        <v>8</v>
      </c>
      <c r="IO262" s="27" t="s">
        <v>8</v>
      </c>
      <c r="IP262" s="27" t="s">
        <v>7</v>
      </c>
      <c r="IS262" s="27" t="s">
        <v>8</v>
      </c>
    </row>
    <row r="263" spans="1:256" x14ac:dyDescent="0.25">
      <c r="A263" s="7">
        <v>611.58334630206207</v>
      </c>
      <c r="B263"/>
      <c r="C263"/>
      <c r="D263"/>
      <c r="E263"/>
      <c r="DQ263" s="27" t="s">
        <v>8</v>
      </c>
      <c r="DR263" s="27" t="s">
        <v>7</v>
      </c>
      <c r="EM263" s="27" t="s">
        <v>8</v>
      </c>
      <c r="EP263" s="27" t="s">
        <v>7</v>
      </c>
      <c r="FE263" s="27" t="s">
        <v>8</v>
      </c>
      <c r="FF263" s="27" t="s">
        <v>7</v>
      </c>
      <c r="GF263" s="27" t="s">
        <v>7</v>
      </c>
      <c r="GG263" s="27" t="s">
        <v>8</v>
      </c>
      <c r="GH263" s="27" t="s">
        <v>7</v>
      </c>
      <c r="GI263" s="27" t="s">
        <v>8</v>
      </c>
      <c r="GN263" s="27" t="s">
        <v>7</v>
      </c>
      <c r="GO263" s="27" t="s">
        <v>8</v>
      </c>
      <c r="GP263" s="27" t="s">
        <v>7</v>
      </c>
      <c r="GQ263" s="27" t="s">
        <v>8</v>
      </c>
      <c r="GR263" s="27" t="s">
        <v>7</v>
      </c>
      <c r="HK263" s="27" t="s">
        <v>8</v>
      </c>
      <c r="HL263" s="27" t="s">
        <v>7</v>
      </c>
      <c r="HP263" s="27" t="s">
        <v>7</v>
      </c>
      <c r="HQ263" s="27" t="s">
        <v>8</v>
      </c>
      <c r="HT263" s="27" t="s">
        <v>7</v>
      </c>
      <c r="HU263" s="27" t="s">
        <v>8</v>
      </c>
      <c r="HV263" s="27" t="s">
        <v>7</v>
      </c>
      <c r="HW263" s="27" t="s">
        <v>8</v>
      </c>
      <c r="HX263" s="27" t="s">
        <v>7</v>
      </c>
      <c r="IE263" s="27" t="s">
        <v>8</v>
      </c>
      <c r="IF263" s="27" t="s">
        <v>7</v>
      </c>
      <c r="IG263" s="27" t="s">
        <v>8</v>
      </c>
      <c r="IH263" s="27" t="s">
        <v>7</v>
      </c>
      <c r="II263" s="27" t="s">
        <v>8</v>
      </c>
      <c r="IJ263" s="27" t="s">
        <v>7</v>
      </c>
      <c r="IK263" s="27" t="s">
        <v>8</v>
      </c>
      <c r="IL263" s="27" t="s">
        <v>7</v>
      </c>
      <c r="IM263" s="27" t="s">
        <v>8</v>
      </c>
      <c r="IN263" s="27" t="s">
        <v>7</v>
      </c>
      <c r="IO263" s="27" t="s">
        <v>8</v>
      </c>
      <c r="IP263" s="27" t="s">
        <v>7</v>
      </c>
      <c r="IS263" s="27" t="s">
        <v>8</v>
      </c>
      <c r="IT263" s="27" t="s">
        <v>7</v>
      </c>
    </row>
    <row r="264" spans="1:256" x14ac:dyDescent="0.25">
      <c r="A264" s="7">
        <v>599.59151598241374</v>
      </c>
      <c r="B264"/>
      <c r="C264"/>
      <c r="D264"/>
      <c r="E264"/>
      <c r="DQ264" s="27" t="s">
        <v>8</v>
      </c>
      <c r="DR264" s="27" t="s">
        <v>7</v>
      </c>
      <c r="EM264" s="27" t="s">
        <v>8</v>
      </c>
      <c r="EP264" s="27" t="s">
        <v>7</v>
      </c>
      <c r="EY264" s="27" t="s">
        <v>8</v>
      </c>
      <c r="FE264" s="27" t="s">
        <v>8</v>
      </c>
      <c r="GF264" s="27" t="s">
        <v>7</v>
      </c>
      <c r="GG264" s="27" t="s">
        <v>8</v>
      </c>
      <c r="GH264" s="27" t="s">
        <v>7</v>
      </c>
      <c r="GI264" s="27" t="s">
        <v>8</v>
      </c>
      <c r="GN264" s="27" t="s">
        <v>7</v>
      </c>
      <c r="GO264" s="27" t="s">
        <v>8</v>
      </c>
      <c r="GP264" s="27" t="s">
        <v>7</v>
      </c>
      <c r="GQ264" s="27" t="s">
        <v>8</v>
      </c>
      <c r="GR264" s="27" t="s">
        <v>7</v>
      </c>
      <c r="HK264" s="27" t="s">
        <v>8</v>
      </c>
      <c r="HP264" s="27" t="s">
        <v>7</v>
      </c>
      <c r="HT264" s="27" t="s">
        <v>7</v>
      </c>
      <c r="HU264" s="27" t="s">
        <v>8</v>
      </c>
      <c r="HV264" s="27" t="s">
        <v>7</v>
      </c>
      <c r="HX264" s="27" t="s">
        <v>7</v>
      </c>
      <c r="IE264" s="27" t="s">
        <v>8</v>
      </c>
      <c r="IF264" s="27" t="s">
        <v>7</v>
      </c>
      <c r="IG264" s="27" t="s">
        <v>8</v>
      </c>
      <c r="IH264" s="27" t="s">
        <v>7</v>
      </c>
      <c r="II264" s="27" t="s">
        <v>8</v>
      </c>
      <c r="IJ264" s="27" t="s">
        <v>7</v>
      </c>
      <c r="IL264" s="27" t="s">
        <v>7</v>
      </c>
      <c r="IM264" s="27" t="s">
        <v>8</v>
      </c>
      <c r="IN264" s="27" t="s">
        <v>7</v>
      </c>
      <c r="IO264" s="27" t="s">
        <v>8</v>
      </c>
      <c r="IP264" s="27" t="s">
        <v>7</v>
      </c>
      <c r="IS264" s="27" t="s">
        <v>8</v>
      </c>
      <c r="IT264" s="27" t="s">
        <v>7</v>
      </c>
    </row>
    <row r="265" spans="1:256" x14ac:dyDescent="0.25">
      <c r="A265" s="7">
        <v>587.83481959060168</v>
      </c>
      <c r="B265"/>
      <c r="C265"/>
      <c r="D265"/>
      <c r="E265"/>
      <c r="DQ265" s="27" t="s">
        <v>8</v>
      </c>
      <c r="DR265" s="27" t="s">
        <v>7</v>
      </c>
      <c r="EM265" s="27" t="s">
        <v>8</v>
      </c>
      <c r="EP265" s="27" t="s">
        <v>7</v>
      </c>
      <c r="EY265" s="27" t="s">
        <v>8</v>
      </c>
      <c r="EZ265" s="27" t="s">
        <v>7</v>
      </c>
      <c r="FC265" s="27" t="s">
        <v>8</v>
      </c>
      <c r="FE265" s="27" t="s">
        <v>8</v>
      </c>
      <c r="GF265" s="27" t="s">
        <v>7</v>
      </c>
      <c r="GG265" s="27" t="s">
        <v>8</v>
      </c>
      <c r="GH265" s="27" t="s">
        <v>7</v>
      </c>
      <c r="GI265" s="27" t="s">
        <v>8</v>
      </c>
      <c r="GN265" s="27" t="s">
        <v>7</v>
      </c>
      <c r="GO265" s="27" t="s">
        <v>8</v>
      </c>
      <c r="GP265" s="27" t="s">
        <v>7</v>
      </c>
      <c r="GQ265" s="27" t="s">
        <v>8</v>
      </c>
      <c r="GR265" s="27" t="s">
        <v>7</v>
      </c>
      <c r="HK265" s="27" t="s">
        <v>8</v>
      </c>
      <c r="HT265" s="27" t="s">
        <v>7</v>
      </c>
      <c r="HX265" s="27" t="s">
        <v>7</v>
      </c>
      <c r="IE265" s="27" t="s">
        <v>8</v>
      </c>
      <c r="IF265" s="27" t="s">
        <v>7</v>
      </c>
      <c r="IH265" s="27" t="s">
        <v>7</v>
      </c>
      <c r="II265" s="27" t="s">
        <v>8</v>
      </c>
      <c r="IL265" s="27" t="s">
        <v>7</v>
      </c>
      <c r="IM265" s="27" t="s">
        <v>8</v>
      </c>
      <c r="IN265" s="27" t="s">
        <v>7</v>
      </c>
      <c r="IO265" s="27" t="s">
        <v>8</v>
      </c>
      <c r="IP265" s="27" t="s">
        <v>7</v>
      </c>
      <c r="IQ265" s="27" t="s">
        <v>8</v>
      </c>
      <c r="IS265" s="27" t="s">
        <v>8</v>
      </c>
      <c r="IT265" s="27" t="s">
        <v>7</v>
      </c>
    </row>
    <row r="266" spans="1:256" x14ac:dyDescent="0.25">
      <c r="A266" s="7">
        <v>576.30864665745264</v>
      </c>
      <c r="B266"/>
      <c r="C266"/>
      <c r="D266"/>
      <c r="E266"/>
      <c r="DQ266" s="27" t="s">
        <v>8</v>
      </c>
      <c r="DR266" s="27" t="s">
        <v>7</v>
      </c>
      <c r="EM266" s="27" t="s">
        <v>8</v>
      </c>
      <c r="EP266" s="27" t="s">
        <v>7</v>
      </c>
      <c r="EY266" s="27" t="s">
        <v>8</v>
      </c>
      <c r="EZ266" s="27" t="s">
        <v>7</v>
      </c>
      <c r="FC266" s="27" t="s">
        <v>8</v>
      </c>
      <c r="FD266" s="27" t="s">
        <v>7</v>
      </c>
      <c r="FE266" s="27" t="s">
        <v>8</v>
      </c>
      <c r="GF266" s="27" t="s">
        <v>7</v>
      </c>
      <c r="GG266" s="27" t="s">
        <v>8</v>
      </c>
      <c r="GH266" s="27" t="s">
        <v>7</v>
      </c>
      <c r="GI266" s="27" t="s">
        <v>8</v>
      </c>
      <c r="GN266" s="27" t="s">
        <v>7</v>
      </c>
      <c r="GO266" s="27" t="s">
        <v>8</v>
      </c>
      <c r="GP266" s="27" t="s">
        <v>7</v>
      </c>
      <c r="GQ266" s="27" t="s">
        <v>8</v>
      </c>
      <c r="GR266" s="27" t="s">
        <v>7</v>
      </c>
      <c r="HK266" s="27" t="s">
        <v>8</v>
      </c>
      <c r="HX266" s="27" t="s">
        <v>7</v>
      </c>
      <c r="IC266" s="27" t="s">
        <v>8</v>
      </c>
      <c r="IE266" s="27" t="s">
        <v>8</v>
      </c>
      <c r="IH266" s="27" t="s">
        <v>7</v>
      </c>
      <c r="IL266" s="27" t="s">
        <v>7</v>
      </c>
      <c r="IM266" s="27" t="s">
        <v>8</v>
      </c>
      <c r="IN266" s="27" t="s">
        <v>7</v>
      </c>
      <c r="IP266" s="27" t="s">
        <v>7</v>
      </c>
      <c r="IQ266" s="27" t="s">
        <v>8</v>
      </c>
      <c r="IR266" s="27" t="s">
        <v>7</v>
      </c>
      <c r="IS266" s="27" t="s">
        <v>8</v>
      </c>
      <c r="IT266" s="27" t="s">
        <v>7</v>
      </c>
      <c r="IU266" s="27" t="s">
        <v>8</v>
      </c>
    </row>
    <row r="267" spans="1:256" x14ac:dyDescent="0.25">
      <c r="A267" s="7">
        <v>565.00847711514962</v>
      </c>
      <c r="B267"/>
      <c r="C267"/>
      <c r="D267"/>
      <c r="E267"/>
      <c r="DQ267" s="27" t="s">
        <v>8</v>
      </c>
      <c r="DR267" s="27" t="s">
        <v>7</v>
      </c>
      <c r="EM267" s="27" t="s">
        <v>8</v>
      </c>
      <c r="EP267" s="27" t="s">
        <v>7</v>
      </c>
      <c r="EW267" s="27" t="s">
        <v>8</v>
      </c>
      <c r="EY267" s="27" t="s">
        <v>8</v>
      </c>
      <c r="EZ267" s="27" t="s">
        <v>7</v>
      </c>
      <c r="FC267" s="27" t="s">
        <v>8</v>
      </c>
      <c r="FD267" s="27" t="s">
        <v>7</v>
      </c>
      <c r="FE267" s="27" t="s">
        <v>8</v>
      </c>
      <c r="GF267" s="27" t="s">
        <v>7</v>
      </c>
      <c r="GG267" s="27" t="s">
        <v>8</v>
      </c>
      <c r="GH267" s="27" t="s">
        <v>7</v>
      </c>
      <c r="GI267" s="27" t="s">
        <v>8</v>
      </c>
      <c r="GN267" s="27" t="s">
        <v>7</v>
      </c>
      <c r="GO267" s="27" t="s">
        <v>8</v>
      </c>
      <c r="GP267" s="27" t="s">
        <v>7</v>
      </c>
      <c r="GQ267" s="27" t="s">
        <v>8</v>
      </c>
      <c r="GR267" s="27" t="s">
        <v>7</v>
      </c>
      <c r="HI267" s="27" t="s">
        <v>8</v>
      </c>
      <c r="HK267" s="27" t="s">
        <v>8</v>
      </c>
      <c r="HX267" s="27" t="s">
        <v>7</v>
      </c>
      <c r="IC267" s="27" t="s">
        <v>8</v>
      </c>
      <c r="ID267" s="27" t="s">
        <v>7</v>
      </c>
      <c r="IE267" s="27" t="s">
        <v>8</v>
      </c>
      <c r="IL267" s="27" t="s">
        <v>7</v>
      </c>
      <c r="IM267" s="27" t="s">
        <v>8</v>
      </c>
      <c r="IP267" s="27" t="s">
        <v>7</v>
      </c>
      <c r="IQ267" s="27" t="s">
        <v>8</v>
      </c>
      <c r="IR267" s="27" t="s">
        <v>7</v>
      </c>
      <c r="IS267" s="27" t="s">
        <v>8</v>
      </c>
      <c r="IT267" s="27" t="s">
        <v>7</v>
      </c>
      <c r="IU267" s="27" t="s">
        <v>8</v>
      </c>
      <c r="IV267" s="27" t="s">
        <v>7</v>
      </c>
    </row>
    <row r="268" spans="1:256" x14ac:dyDescent="0.25">
      <c r="A268" s="7">
        <v>553.92987952465649</v>
      </c>
      <c r="B268"/>
      <c r="C268"/>
      <c r="D268"/>
      <c r="E268"/>
      <c r="DQ268" s="27" t="s">
        <v>8</v>
      </c>
      <c r="DR268" s="27" t="s">
        <v>7</v>
      </c>
      <c r="EM268" s="27" t="s">
        <v>8</v>
      </c>
      <c r="EP268" s="27" t="s">
        <v>7</v>
      </c>
      <c r="EQ268" s="27" t="s">
        <v>8</v>
      </c>
      <c r="EU268" s="27" t="s">
        <v>8</v>
      </c>
      <c r="EW268" s="27" t="s">
        <v>8</v>
      </c>
      <c r="EX268" s="27" t="s">
        <v>7</v>
      </c>
      <c r="EY268" s="27" t="s">
        <v>8</v>
      </c>
      <c r="EZ268" s="27" t="s">
        <v>7</v>
      </c>
      <c r="FC268" s="27" t="s">
        <v>8</v>
      </c>
      <c r="FD268" s="27" t="s">
        <v>7</v>
      </c>
      <c r="FE268" s="27" t="s">
        <v>8</v>
      </c>
      <c r="GF268" s="27" t="s">
        <v>7</v>
      </c>
      <c r="GG268" s="27" t="s">
        <v>8</v>
      </c>
      <c r="GH268" s="27" t="s">
        <v>7</v>
      </c>
      <c r="GI268" s="27" t="s">
        <v>8</v>
      </c>
      <c r="GN268" s="27" t="s">
        <v>7</v>
      </c>
      <c r="GO268" s="27" t="s">
        <v>8</v>
      </c>
      <c r="GP268" s="27" t="s">
        <v>7</v>
      </c>
      <c r="GR268" s="27" t="s">
        <v>7</v>
      </c>
      <c r="HG268" s="27" t="s">
        <v>8</v>
      </c>
      <c r="HI268" s="27" t="s">
        <v>8</v>
      </c>
      <c r="HJ268" s="27" t="s">
        <v>7</v>
      </c>
      <c r="HK268" s="27" t="s">
        <v>8</v>
      </c>
      <c r="HX268" s="27" t="s">
        <v>7</v>
      </c>
      <c r="HY268" s="27" t="s">
        <v>8</v>
      </c>
      <c r="IC268" s="27" t="s">
        <v>8</v>
      </c>
      <c r="ID268" s="27" t="s">
        <v>7</v>
      </c>
      <c r="IE268" s="27" t="s">
        <v>8</v>
      </c>
      <c r="IL268" s="27" t="s">
        <v>7</v>
      </c>
      <c r="IM268" s="27" t="s">
        <v>8</v>
      </c>
      <c r="IP268" s="27" t="s">
        <v>7</v>
      </c>
      <c r="IQ268" s="27" t="s">
        <v>8</v>
      </c>
      <c r="IR268" s="27" t="s">
        <v>7</v>
      </c>
      <c r="IT268" s="27" t="s">
        <v>7</v>
      </c>
      <c r="IU268" s="27" t="s">
        <v>8</v>
      </c>
      <c r="IV268" s="27" t="s">
        <v>7</v>
      </c>
    </row>
    <row r="269" spans="1:256" x14ac:dyDescent="0.25">
      <c r="A269" s="7">
        <v>543.06850933789849</v>
      </c>
      <c r="B269"/>
      <c r="C269"/>
      <c r="D269"/>
      <c r="E269"/>
      <c r="DQ269" s="27" t="s">
        <v>8</v>
      </c>
      <c r="DR269" s="27" t="s">
        <v>7</v>
      </c>
      <c r="DY269" s="27" t="s">
        <v>8</v>
      </c>
      <c r="EM269" s="27" t="s">
        <v>8</v>
      </c>
      <c r="EP269" s="27" t="s">
        <v>7</v>
      </c>
      <c r="EQ269" s="27" t="s">
        <v>8</v>
      </c>
      <c r="ER269" s="27" t="s">
        <v>7</v>
      </c>
      <c r="EU269" s="27" t="s">
        <v>8</v>
      </c>
      <c r="EV269" s="27" t="s">
        <v>7</v>
      </c>
      <c r="EW269" s="27" t="s">
        <v>8</v>
      </c>
      <c r="EX269" s="27" t="s">
        <v>7</v>
      </c>
      <c r="EY269" s="27" t="s">
        <v>8</v>
      </c>
      <c r="EZ269" s="27" t="s">
        <v>7</v>
      </c>
      <c r="FA269" s="27" t="s">
        <v>8</v>
      </c>
      <c r="FC269" s="27" t="s">
        <v>8</v>
      </c>
      <c r="FD269" s="27" t="s">
        <v>7</v>
      </c>
      <c r="FE269" s="27" t="s">
        <v>8</v>
      </c>
      <c r="GF269" s="27" t="s">
        <v>7</v>
      </c>
      <c r="GG269" s="27" t="s">
        <v>8</v>
      </c>
      <c r="GH269" s="27" t="s">
        <v>7</v>
      </c>
      <c r="GI269" s="27" t="s">
        <v>8</v>
      </c>
      <c r="GN269" s="27" t="s">
        <v>7</v>
      </c>
      <c r="GR269" s="27" t="s">
        <v>7</v>
      </c>
      <c r="GU269" s="27" t="s">
        <v>8</v>
      </c>
      <c r="HG269" s="27" t="s">
        <v>8</v>
      </c>
      <c r="HH269" s="27" t="s">
        <v>7</v>
      </c>
      <c r="HI269" s="27" t="s">
        <v>8</v>
      </c>
      <c r="HJ269" s="27" t="s">
        <v>7</v>
      </c>
      <c r="HK269" s="27" t="s">
        <v>8</v>
      </c>
      <c r="HX269" s="27" t="s">
        <v>7</v>
      </c>
      <c r="HY269" s="27" t="s">
        <v>8</v>
      </c>
      <c r="HZ269" s="27" t="s">
        <v>7</v>
      </c>
      <c r="IC269" s="27" t="s">
        <v>8</v>
      </c>
      <c r="ID269" s="27" t="s">
        <v>7</v>
      </c>
      <c r="IE269" s="27" t="s">
        <v>8</v>
      </c>
      <c r="IL269" s="27" t="s">
        <v>7</v>
      </c>
      <c r="IM269" s="27" t="s">
        <v>8</v>
      </c>
      <c r="IP269" s="27" t="s">
        <v>7</v>
      </c>
      <c r="IT269" s="27" t="s">
        <v>7</v>
      </c>
      <c r="IU269" s="27" t="s">
        <v>8</v>
      </c>
      <c r="IV269" s="27" t="s">
        <v>7</v>
      </c>
    </row>
    <row r="270" spans="1:256" x14ac:dyDescent="0.25">
      <c r="A270" s="7">
        <v>532.4201071940181</v>
      </c>
      <c r="B270"/>
      <c r="C270"/>
      <c r="D270"/>
      <c r="E270"/>
      <c r="DQ270" s="27" t="s">
        <v>8</v>
      </c>
      <c r="DR270" s="27" t="s">
        <v>7</v>
      </c>
      <c r="DU270" s="27" t="s">
        <v>8</v>
      </c>
      <c r="DY270" s="27" t="s">
        <v>8</v>
      </c>
      <c r="DZ270" s="27" t="s">
        <v>7</v>
      </c>
      <c r="EK270" s="27" t="s">
        <v>8</v>
      </c>
      <c r="EM270" s="27" t="s">
        <v>8</v>
      </c>
      <c r="EP270" s="27" t="s">
        <v>7</v>
      </c>
      <c r="EQ270" s="27" t="s">
        <v>8</v>
      </c>
      <c r="ER270" s="27" t="s">
        <v>7</v>
      </c>
      <c r="EU270" s="27" t="s">
        <v>8</v>
      </c>
      <c r="EV270" s="27" t="s">
        <v>7</v>
      </c>
      <c r="EW270" s="27" t="s">
        <v>8</v>
      </c>
      <c r="EX270" s="27" t="s">
        <v>7</v>
      </c>
      <c r="EY270" s="27" t="s">
        <v>8</v>
      </c>
      <c r="EZ270" s="27" t="s">
        <v>7</v>
      </c>
      <c r="FA270" s="27" t="s">
        <v>8</v>
      </c>
      <c r="FB270" s="27" t="s">
        <v>7</v>
      </c>
      <c r="FC270" s="27" t="s">
        <v>8</v>
      </c>
      <c r="FD270" s="27" t="s">
        <v>7</v>
      </c>
      <c r="FE270" s="27" t="s">
        <v>8</v>
      </c>
      <c r="GF270" s="27" t="s">
        <v>7</v>
      </c>
      <c r="GG270" s="27" t="s">
        <v>8</v>
      </c>
      <c r="GH270" s="27" t="s">
        <v>7</v>
      </c>
      <c r="GI270" s="27" t="s">
        <v>8</v>
      </c>
      <c r="GR270" s="27" t="s">
        <v>7</v>
      </c>
      <c r="GU270" s="27" t="s">
        <v>8</v>
      </c>
      <c r="GV270" s="27" t="s">
        <v>7</v>
      </c>
      <c r="GW270" s="27" t="s">
        <v>8</v>
      </c>
      <c r="GY270" s="27" t="s">
        <v>8</v>
      </c>
      <c r="HG270" s="27" t="s">
        <v>8</v>
      </c>
      <c r="HH270" s="27" t="s">
        <v>7</v>
      </c>
      <c r="HI270" s="27" t="s">
        <v>8</v>
      </c>
      <c r="HJ270" s="27" t="s">
        <v>7</v>
      </c>
      <c r="HK270" s="27" t="s">
        <v>8</v>
      </c>
      <c r="HX270" s="27" t="s">
        <v>7</v>
      </c>
      <c r="HY270" s="27" t="s">
        <v>8</v>
      </c>
      <c r="HZ270" s="27" t="s">
        <v>7</v>
      </c>
      <c r="IC270" s="27" t="s">
        <v>8</v>
      </c>
      <c r="ID270" s="27" t="s">
        <v>7</v>
      </c>
      <c r="IL270" s="27" t="s">
        <v>7</v>
      </c>
      <c r="IT270" s="27" t="s">
        <v>7</v>
      </c>
      <c r="IV270" s="27" t="s">
        <v>7</v>
      </c>
    </row>
    <row r="271" spans="1:256" x14ac:dyDescent="0.25">
      <c r="A271" s="7">
        <v>521.9804972490374</v>
      </c>
      <c r="B271"/>
      <c r="C271"/>
      <c r="D271"/>
      <c r="E271"/>
      <c r="DQ271" s="27" t="s">
        <v>8</v>
      </c>
      <c r="DR271" s="27" t="s">
        <v>7</v>
      </c>
      <c r="DU271" s="27" t="s">
        <v>8</v>
      </c>
      <c r="DV271" s="27" t="s">
        <v>7</v>
      </c>
      <c r="DY271" s="27" t="s">
        <v>8</v>
      </c>
      <c r="DZ271" s="27" t="s">
        <v>7</v>
      </c>
      <c r="EK271" s="27" t="s">
        <v>8</v>
      </c>
      <c r="EL271" s="27" t="s">
        <v>7</v>
      </c>
      <c r="EM271" s="27" t="s">
        <v>8</v>
      </c>
      <c r="EP271" s="27" t="s">
        <v>7</v>
      </c>
      <c r="EQ271" s="27" t="s">
        <v>8</v>
      </c>
      <c r="ER271" s="27" t="s">
        <v>7</v>
      </c>
      <c r="EU271" s="27" t="s">
        <v>8</v>
      </c>
      <c r="EV271" s="27" t="s">
        <v>7</v>
      </c>
      <c r="EW271" s="27" t="s">
        <v>8</v>
      </c>
      <c r="EX271" s="27" t="s">
        <v>7</v>
      </c>
      <c r="EY271" s="27" t="s">
        <v>8</v>
      </c>
      <c r="EZ271" s="27" t="s">
        <v>7</v>
      </c>
      <c r="FA271" s="27" t="s">
        <v>8</v>
      </c>
      <c r="FB271" s="27" t="s">
        <v>7</v>
      </c>
      <c r="FC271" s="27" t="s">
        <v>8</v>
      </c>
      <c r="FD271" s="27" t="s">
        <v>7</v>
      </c>
      <c r="GF271" s="27" t="s">
        <v>7</v>
      </c>
      <c r="GG271" s="27" t="s">
        <v>8</v>
      </c>
      <c r="GH271" s="27" t="s">
        <v>7</v>
      </c>
      <c r="GI271" s="27" t="s">
        <v>8</v>
      </c>
      <c r="GR271" s="27" t="s">
        <v>7</v>
      </c>
      <c r="GU271" s="27" t="s">
        <v>8</v>
      </c>
      <c r="GV271" s="27" t="s">
        <v>7</v>
      </c>
      <c r="GW271" s="27" t="s">
        <v>8</v>
      </c>
      <c r="GX271" s="27" t="s">
        <v>7</v>
      </c>
      <c r="GY271" s="27" t="s">
        <v>8</v>
      </c>
      <c r="GZ271" s="27" t="s">
        <v>7</v>
      </c>
      <c r="HG271" s="27" t="s">
        <v>8</v>
      </c>
      <c r="HH271" s="27" t="s">
        <v>7</v>
      </c>
      <c r="HJ271" s="27" t="s">
        <v>7</v>
      </c>
      <c r="HX271" s="27" t="s">
        <v>7</v>
      </c>
      <c r="HY271" s="27" t="s">
        <v>8</v>
      </c>
      <c r="HZ271" s="27" t="s">
        <v>7</v>
      </c>
      <c r="IC271" s="27" t="s">
        <v>8</v>
      </c>
      <c r="IV271" s="27" t="s">
        <v>7</v>
      </c>
    </row>
    <row r="272" spans="1:256" x14ac:dyDescent="0.25">
      <c r="A272" s="7">
        <v>511.74558553827194</v>
      </c>
      <c r="B272"/>
      <c r="C272"/>
      <c r="D272"/>
      <c r="E272"/>
      <c r="DQ272" s="27" t="s">
        <v>8</v>
      </c>
      <c r="DR272" s="27" t="s">
        <v>7</v>
      </c>
      <c r="DU272" s="27" t="s">
        <v>8</v>
      </c>
      <c r="DV272" s="27" t="s">
        <v>7</v>
      </c>
      <c r="DW272" s="27" t="s">
        <v>8</v>
      </c>
      <c r="DY272" s="27" t="s">
        <v>8</v>
      </c>
      <c r="DZ272" s="27" t="s">
        <v>7</v>
      </c>
      <c r="EK272" s="27" t="s">
        <v>8</v>
      </c>
      <c r="EL272" s="27" t="s">
        <v>7</v>
      </c>
      <c r="EM272" s="27" t="s">
        <v>8</v>
      </c>
      <c r="EP272" s="27" t="s">
        <v>7</v>
      </c>
      <c r="EQ272" s="27" t="s">
        <v>8</v>
      </c>
      <c r="ER272" s="27" t="s">
        <v>7</v>
      </c>
      <c r="EU272" s="27" t="s">
        <v>8</v>
      </c>
      <c r="EV272" s="27" t="s">
        <v>7</v>
      </c>
      <c r="EW272" s="27" t="s">
        <v>8</v>
      </c>
      <c r="EX272" s="27" t="s">
        <v>7</v>
      </c>
      <c r="EZ272" s="27" t="s">
        <v>7</v>
      </c>
      <c r="FB272" s="27" t="s">
        <v>7</v>
      </c>
      <c r="FC272" s="27" t="s">
        <v>8</v>
      </c>
      <c r="GF272" s="27" t="s">
        <v>7</v>
      </c>
      <c r="GG272" s="27" t="s">
        <v>8</v>
      </c>
      <c r="GH272" s="27" t="s">
        <v>7</v>
      </c>
      <c r="GI272" s="27" t="s">
        <v>8</v>
      </c>
      <c r="GR272" s="27" t="s">
        <v>7</v>
      </c>
      <c r="GU272" s="27" t="s">
        <v>8</v>
      </c>
      <c r="GV272" s="27" t="s">
        <v>7</v>
      </c>
      <c r="GW272" s="27" t="s">
        <v>8</v>
      </c>
      <c r="GX272" s="27" t="s">
        <v>7</v>
      </c>
      <c r="GY272" s="27" t="s">
        <v>8</v>
      </c>
      <c r="GZ272" s="27" t="s">
        <v>7</v>
      </c>
      <c r="HE272" s="27" t="s">
        <v>8</v>
      </c>
      <c r="HG272" s="27" t="s">
        <v>8</v>
      </c>
      <c r="HX272" s="27" t="s">
        <v>7</v>
      </c>
      <c r="HY272" s="27" t="s">
        <v>8</v>
      </c>
      <c r="HZ272" s="27" t="s">
        <v>7</v>
      </c>
      <c r="IA272" s="27" t="s">
        <v>8</v>
      </c>
      <c r="IC272" s="27" t="s">
        <v>8</v>
      </c>
      <c r="IV272" s="27" t="s">
        <v>7</v>
      </c>
    </row>
    <row r="273" spans="1:268" x14ac:dyDescent="0.25">
      <c r="A273" s="7">
        <v>501.71135837085484</v>
      </c>
      <c r="B273"/>
      <c r="C273"/>
      <c r="D273"/>
      <c r="E273"/>
      <c r="DQ273" s="27" t="s">
        <v>8</v>
      </c>
      <c r="DR273" s="27" t="s">
        <v>7</v>
      </c>
      <c r="DS273" s="27" t="s">
        <v>8</v>
      </c>
      <c r="DU273" s="27" t="s">
        <v>8</v>
      </c>
      <c r="DV273" s="27" t="s">
        <v>7</v>
      </c>
      <c r="DW273" s="27" t="s">
        <v>8</v>
      </c>
      <c r="DX273" s="27" t="s">
        <v>7</v>
      </c>
      <c r="DY273" s="27" t="s">
        <v>8</v>
      </c>
      <c r="DZ273" s="27" t="s">
        <v>7</v>
      </c>
      <c r="EK273" s="27" t="s">
        <v>8</v>
      </c>
      <c r="EL273" s="27" t="s">
        <v>7</v>
      </c>
      <c r="EM273" s="27" t="s">
        <v>8</v>
      </c>
      <c r="EP273" s="27" t="s">
        <v>7</v>
      </c>
      <c r="EQ273" s="27" t="s">
        <v>8</v>
      </c>
      <c r="ER273" s="27" t="s">
        <v>7</v>
      </c>
      <c r="ES273" s="27" t="s">
        <v>8</v>
      </c>
      <c r="EU273" s="27" t="s">
        <v>8</v>
      </c>
      <c r="EV273" s="27" t="s">
        <v>7</v>
      </c>
      <c r="EW273" s="27" t="s">
        <v>8</v>
      </c>
      <c r="FB273" s="27" t="s">
        <v>7</v>
      </c>
      <c r="FC273" s="27" t="s">
        <v>8</v>
      </c>
      <c r="GF273" s="27" t="s">
        <v>7</v>
      </c>
      <c r="GG273" s="27" t="s">
        <v>8</v>
      </c>
      <c r="GH273" s="27" t="s">
        <v>7</v>
      </c>
      <c r="GI273" s="27" t="s">
        <v>8</v>
      </c>
      <c r="GR273" s="27" t="s">
        <v>7</v>
      </c>
      <c r="GU273" s="27" t="s">
        <v>8</v>
      </c>
      <c r="GV273" s="27" t="s">
        <v>7</v>
      </c>
      <c r="GW273" s="27" t="s">
        <v>8</v>
      </c>
      <c r="GX273" s="27" t="s">
        <v>7</v>
      </c>
      <c r="GY273" s="27" t="s">
        <v>8</v>
      </c>
      <c r="GZ273" s="27" t="s">
        <v>7</v>
      </c>
      <c r="HA273" s="27" t="s">
        <v>8</v>
      </c>
      <c r="HE273" s="27" t="s">
        <v>8</v>
      </c>
      <c r="HF273" s="27" t="s">
        <v>7</v>
      </c>
      <c r="HG273" s="27" t="s">
        <v>8</v>
      </c>
      <c r="HX273" s="27" t="s">
        <v>7</v>
      </c>
      <c r="HZ273" s="27" t="s">
        <v>7</v>
      </c>
      <c r="IA273" s="27" t="s">
        <v>8</v>
      </c>
      <c r="IB273" s="27" t="s">
        <v>7</v>
      </c>
      <c r="IC273" s="27" t="s">
        <v>8</v>
      </c>
      <c r="IV273" s="27" t="s">
        <v>7</v>
      </c>
      <c r="IY273" s="27" t="s">
        <v>8</v>
      </c>
    </row>
    <row r="274" spans="1:268" x14ac:dyDescent="0.25">
      <c r="A274" s="7">
        <v>491.87388075574</v>
      </c>
      <c r="B274"/>
      <c r="C274"/>
      <c r="D274"/>
      <c r="E274"/>
      <c r="S274" s="27" t="s">
        <v>8</v>
      </c>
      <c r="DQ274" s="27" t="s">
        <v>8</v>
      </c>
      <c r="DR274" s="27" t="s">
        <v>7</v>
      </c>
      <c r="DS274" s="27" t="s">
        <v>8</v>
      </c>
      <c r="DT274" s="27" t="s">
        <v>7</v>
      </c>
      <c r="DU274" s="27" t="s">
        <v>8</v>
      </c>
      <c r="DV274" s="27" t="s">
        <v>7</v>
      </c>
      <c r="DW274" s="27" t="s">
        <v>8</v>
      </c>
      <c r="DX274" s="27" t="s">
        <v>7</v>
      </c>
      <c r="DY274" s="27" t="s">
        <v>8</v>
      </c>
      <c r="DZ274" s="27" t="s">
        <v>7</v>
      </c>
      <c r="EK274" s="27" t="s">
        <v>8</v>
      </c>
      <c r="EL274" s="27" t="s">
        <v>7</v>
      </c>
      <c r="EP274" s="27" t="s">
        <v>7</v>
      </c>
      <c r="EQ274" s="27" t="s">
        <v>8</v>
      </c>
      <c r="ER274" s="27" t="s">
        <v>7</v>
      </c>
      <c r="ES274" s="27" t="s">
        <v>8</v>
      </c>
      <c r="ET274" s="27" t="s">
        <v>7</v>
      </c>
      <c r="EU274" s="27" t="s">
        <v>8</v>
      </c>
      <c r="EV274" s="27" t="s">
        <v>7</v>
      </c>
      <c r="EW274" s="27" t="s">
        <v>8</v>
      </c>
      <c r="FB274" s="27" t="s">
        <v>7</v>
      </c>
      <c r="FC274" s="27" t="s">
        <v>8</v>
      </c>
      <c r="GF274" s="27" t="s">
        <v>7</v>
      </c>
      <c r="GH274" s="27" t="s">
        <v>7</v>
      </c>
      <c r="GI274" s="27" t="s">
        <v>8</v>
      </c>
      <c r="GR274" s="27" t="s">
        <v>7</v>
      </c>
      <c r="GS274" s="27" t="s">
        <v>8</v>
      </c>
      <c r="GU274" s="27" t="s">
        <v>8</v>
      </c>
      <c r="GV274" s="27" t="s">
        <v>7</v>
      </c>
      <c r="GW274" s="27" t="s">
        <v>8</v>
      </c>
      <c r="GX274" s="27" t="s">
        <v>7</v>
      </c>
      <c r="GZ274" s="27" t="s">
        <v>7</v>
      </c>
      <c r="HA274" s="27" t="s">
        <v>8</v>
      </c>
      <c r="HB274" s="27" t="s">
        <v>7</v>
      </c>
      <c r="HE274" s="27" t="s">
        <v>8</v>
      </c>
      <c r="HF274" s="27" t="s">
        <v>7</v>
      </c>
      <c r="HG274" s="27" t="s">
        <v>8</v>
      </c>
      <c r="HZ274" s="27" t="s">
        <v>7</v>
      </c>
      <c r="IA274" s="27" t="s">
        <v>8</v>
      </c>
      <c r="IB274" s="27" t="s">
        <v>7</v>
      </c>
      <c r="IC274" s="27" t="s">
        <v>8</v>
      </c>
      <c r="IV274" s="27" t="s">
        <v>7</v>
      </c>
      <c r="IY274" s="27" t="s">
        <v>8</v>
      </c>
      <c r="IZ274" s="27" t="s">
        <v>7</v>
      </c>
    </row>
    <row r="275" spans="1:268" x14ac:dyDescent="0.25">
      <c r="A275" s="7">
        <v>482.22929485856861</v>
      </c>
      <c r="B275"/>
      <c r="C275"/>
      <c r="D275"/>
      <c r="E275"/>
      <c r="S275" s="27" t="s">
        <v>8</v>
      </c>
      <c r="T275" s="27" t="s">
        <v>7</v>
      </c>
      <c r="DO275" s="27" t="s">
        <v>8</v>
      </c>
      <c r="DQ275" s="27" t="s">
        <v>8</v>
      </c>
      <c r="DR275" s="27" t="s">
        <v>7</v>
      </c>
      <c r="DS275" s="27" t="s">
        <v>8</v>
      </c>
      <c r="DT275" s="27" t="s">
        <v>7</v>
      </c>
      <c r="DU275" s="27" t="s">
        <v>8</v>
      </c>
      <c r="DV275" s="27" t="s">
        <v>7</v>
      </c>
      <c r="DW275" s="27" t="s">
        <v>8</v>
      </c>
      <c r="DX275" s="27" t="s">
        <v>7</v>
      </c>
      <c r="DY275" s="27" t="s">
        <v>8</v>
      </c>
      <c r="DZ275" s="27" t="s">
        <v>7</v>
      </c>
      <c r="EI275" s="27" t="s">
        <v>8</v>
      </c>
      <c r="EK275" s="27" t="s">
        <v>8</v>
      </c>
      <c r="EP275" s="27" t="s">
        <v>7</v>
      </c>
      <c r="EQ275" s="27" t="s">
        <v>8</v>
      </c>
      <c r="ER275" s="27" t="s">
        <v>7</v>
      </c>
      <c r="ES275" s="27" t="s">
        <v>8</v>
      </c>
      <c r="ET275" s="27" t="s">
        <v>7</v>
      </c>
      <c r="EU275" s="27" t="s">
        <v>8</v>
      </c>
      <c r="EV275" s="27" t="s">
        <v>7</v>
      </c>
      <c r="EW275" s="27" t="s">
        <v>8</v>
      </c>
      <c r="FB275" s="27" t="s">
        <v>7</v>
      </c>
      <c r="FC275" s="27" t="s">
        <v>8</v>
      </c>
      <c r="GH275" s="27" t="s">
        <v>7</v>
      </c>
      <c r="GI275" s="27" t="s">
        <v>8</v>
      </c>
      <c r="GR275" s="27" t="s">
        <v>7</v>
      </c>
      <c r="GS275" s="27" t="s">
        <v>8</v>
      </c>
      <c r="GT275" s="27" t="s">
        <v>7</v>
      </c>
      <c r="GU275" s="27" t="s">
        <v>8</v>
      </c>
      <c r="GV275" s="27" t="s">
        <v>7</v>
      </c>
      <c r="GZ275" s="27" t="s">
        <v>7</v>
      </c>
      <c r="HA275" s="27" t="s">
        <v>8</v>
      </c>
      <c r="HB275" s="27" t="s">
        <v>7</v>
      </c>
      <c r="HE275" s="27" t="s">
        <v>8</v>
      </c>
      <c r="HF275" s="27" t="s">
        <v>7</v>
      </c>
      <c r="HG275" s="27" t="s">
        <v>8</v>
      </c>
      <c r="HZ275" s="27" t="s">
        <v>7</v>
      </c>
      <c r="IB275" s="27" t="s">
        <v>7</v>
      </c>
      <c r="IC275" s="27" t="s">
        <v>8</v>
      </c>
      <c r="IV275" s="27" t="s">
        <v>7</v>
      </c>
      <c r="IY275" s="27" t="s">
        <v>8</v>
      </c>
      <c r="IZ275" s="27" t="s">
        <v>7</v>
      </c>
    </row>
    <row r="276" spans="1:268" x14ac:dyDescent="0.25">
      <c r="A276" s="7">
        <v>472.77381848879276</v>
      </c>
      <c r="B276"/>
      <c r="C276"/>
      <c r="D276"/>
      <c r="E276"/>
      <c r="S276" s="27" t="s">
        <v>8</v>
      </c>
      <c r="T276" s="27" t="s">
        <v>7</v>
      </c>
      <c r="DO276" s="27" t="s">
        <v>8</v>
      </c>
      <c r="DP276" s="27" t="s">
        <v>7</v>
      </c>
      <c r="DQ276" s="27" t="s">
        <v>8</v>
      </c>
      <c r="DR276" s="27" t="s">
        <v>7</v>
      </c>
      <c r="DS276" s="27" t="s">
        <v>8</v>
      </c>
      <c r="DT276" s="27" t="s">
        <v>7</v>
      </c>
      <c r="DU276" s="27" t="s">
        <v>8</v>
      </c>
      <c r="DV276" s="27" t="s">
        <v>7</v>
      </c>
      <c r="DW276" s="27" t="s">
        <v>8</v>
      </c>
      <c r="DX276" s="27" t="s">
        <v>7</v>
      </c>
      <c r="DY276" s="27" t="s">
        <v>8</v>
      </c>
      <c r="DZ276" s="27" t="s">
        <v>7</v>
      </c>
      <c r="EI276" s="27" t="s">
        <v>8</v>
      </c>
      <c r="EJ276" s="27" t="s">
        <v>7</v>
      </c>
      <c r="EK276" s="27" t="s">
        <v>8</v>
      </c>
      <c r="EP276" s="27" t="s">
        <v>7</v>
      </c>
      <c r="EQ276" s="27" t="s">
        <v>8</v>
      </c>
      <c r="ER276" s="27" t="s">
        <v>7</v>
      </c>
      <c r="ES276" s="27" t="s">
        <v>8</v>
      </c>
      <c r="ET276" s="27" t="s">
        <v>7</v>
      </c>
      <c r="EU276" s="27" t="s">
        <v>8</v>
      </c>
      <c r="EV276" s="27" t="s">
        <v>7</v>
      </c>
      <c r="FB276" s="27" t="s">
        <v>7</v>
      </c>
      <c r="FC276" s="27" t="s">
        <v>8</v>
      </c>
      <c r="GH276" s="27" t="s">
        <v>7</v>
      </c>
      <c r="GR276" s="27" t="s">
        <v>7</v>
      </c>
      <c r="GS276" s="27" t="s">
        <v>8</v>
      </c>
      <c r="GT276" s="27" t="s">
        <v>7</v>
      </c>
      <c r="GU276" s="27" t="s">
        <v>8</v>
      </c>
      <c r="GZ276" s="27" t="s">
        <v>7</v>
      </c>
      <c r="HB276" s="27" t="s">
        <v>7</v>
      </c>
      <c r="HC276" s="27" t="s">
        <v>8</v>
      </c>
      <c r="HE276" s="27" t="s">
        <v>8</v>
      </c>
      <c r="HF276" s="27" t="s">
        <v>7</v>
      </c>
      <c r="IB276" s="27" t="s">
        <v>7</v>
      </c>
      <c r="IV276" s="27" t="s">
        <v>7</v>
      </c>
      <c r="IW276" s="27" t="s">
        <v>8</v>
      </c>
      <c r="IY276" s="27" t="s">
        <v>8</v>
      </c>
      <c r="IZ276" s="27" t="s">
        <v>7</v>
      </c>
      <c r="JC276" s="27" t="s">
        <v>8</v>
      </c>
    </row>
    <row r="277" spans="1:268" x14ac:dyDescent="0.25">
      <c r="A277" s="7">
        <v>463.50374361646345</v>
      </c>
      <c r="B277"/>
      <c r="C277"/>
      <c r="D277"/>
      <c r="E277"/>
      <c r="S277" s="27" t="s">
        <v>8</v>
      </c>
      <c r="T277" s="27" t="s">
        <v>7</v>
      </c>
      <c r="DM277" s="27" t="s">
        <v>8</v>
      </c>
      <c r="DO277" s="27" t="s">
        <v>8</v>
      </c>
      <c r="DP277" s="27" t="s">
        <v>7</v>
      </c>
      <c r="DQ277" s="27" t="s">
        <v>8</v>
      </c>
      <c r="DR277" s="27" t="s">
        <v>7</v>
      </c>
      <c r="DS277" s="27" t="s">
        <v>8</v>
      </c>
      <c r="DT277" s="27" t="s">
        <v>7</v>
      </c>
      <c r="DU277" s="27" t="s">
        <v>8</v>
      </c>
      <c r="DV277" s="27" t="s">
        <v>7</v>
      </c>
      <c r="DW277" s="27" t="s">
        <v>8</v>
      </c>
      <c r="DX277" s="27" t="s">
        <v>7</v>
      </c>
      <c r="DZ277" s="27" t="s">
        <v>7</v>
      </c>
      <c r="EA277" s="27" t="s">
        <v>8</v>
      </c>
      <c r="EI277" s="27" t="s">
        <v>8</v>
      </c>
      <c r="EJ277" s="27" t="s">
        <v>7</v>
      </c>
      <c r="EK277" s="27" t="s">
        <v>8</v>
      </c>
      <c r="EP277" s="27" t="s">
        <v>7</v>
      </c>
      <c r="EQ277" s="27" t="s">
        <v>8</v>
      </c>
      <c r="ER277" s="27" t="s">
        <v>7</v>
      </c>
      <c r="ET277" s="27" t="s">
        <v>7</v>
      </c>
      <c r="EU277" s="27" t="s">
        <v>8</v>
      </c>
      <c r="FB277" s="27" t="s">
        <v>7</v>
      </c>
      <c r="FC277" s="27" t="s">
        <v>8</v>
      </c>
      <c r="GR277" s="27" t="s">
        <v>7</v>
      </c>
      <c r="GS277" s="27" t="s">
        <v>8</v>
      </c>
      <c r="GT277" s="27" t="s">
        <v>7</v>
      </c>
      <c r="GU277" s="27" t="s">
        <v>8</v>
      </c>
      <c r="HB277" s="27" t="s">
        <v>7</v>
      </c>
      <c r="HC277" s="27" t="s">
        <v>8</v>
      </c>
      <c r="HD277" s="27" t="s">
        <v>7</v>
      </c>
      <c r="HE277" s="27" t="s">
        <v>8</v>
      </c>
      <c r="IV277" s="27" t="s">
        <v>7</v>
      </c>
      <c r="IW277" s="27" t="s">
        <v>8</v>
      </c>
      <c r="IX277" s="27" t="s">
        <v>7</v>
      </c>
      <c r="IY277" s="27" t="s">
        <v>8</v>
      </c>
      <c r="IZ277" s="27" t="s">
        <v>7</v>
      </c>
      <c r="JC277" s="27" t="s">
        <v>8</v>
      </c>
      <c r="JD277" s="27" t="s">
        <v>7</v>
      </c>
    </row>
    <row r="278" spans="1:268" x14ac:dyDescent="0.25">
      <c r="A278" s="7">
        <v>454.41543491810143</v>
      </c>
      <c r="B278"/>
      <c r="C278"/>
      <c r="D278"/>
      <c r="E278"/>
      <c r="Q278" s="27" t="s">
        <v>8</v>
      </c>
      <c r="S278" s="27" t="s">
        <v>8</v>
      </c>
      <c r="T278" s="27" t="s">
        <v>7</v>
      </c>
      <c r="DM278" s="27" t="s">
        <v>8</v>
      </c>
      <c r="DN278" s="27" t="s">
        <v>7</v>
      </c>
      <c r="DO278" s="27" t="s">
        <v>8</v>
      </c>
      <c r="DP278" s="27" t="s">
        <v>7</v>
      </c>
      <c r="DQ278" s="27" t="s">
        <v>8</v>
      </c>
      <c r="DR278" s="27" t="s">
        <v>7</v>
      </c>
      <c r="DS278" s="27" t="s">
        <v>8</v>
      </c>
      <c r="DT278" s="27" t="s">
        <v>7</v>
      </c>
      <c r="DU278" s="27" t="s">
        <v>8</v>
      </c>
      <c r="DV278" s="27" t="s">
        <v>7</v>
      </c>
      <c r="DZ278" s="27" t="s">
        <v>7</v>
      </c>
      <c r="EA278" s="27" t="s">
        <v>8</v>
      </c>
      <c r="EB278" s="27" t="s">
        <v>7</v>
      </c>
      <c r="EG278" s="27" t="s">
        <v>8</v>
      </c>
      <c r="EI278" s="27" t="s">
        <v>8</v>
      </c>
      <c r="EJ278" s="27" t="s">
        <v>7</v>
      </c>
      <c r="EK278" s="27" t="s">
        <v>8</v>
      </c>
      <c r="EP278" s="27" t="s">
        <v>7</v>
      </c>
      <c r="EQ278" s="27" t="s">
        <v>8</v>
      </c>
      <c r="ET278" s="27" t="s">
        <v>7</v>
      </c>
      <c r="EU278" s="27" t="s">
        <v>8</v>
      </c>
      <c r="FB278" s="27" t="s">
        <v>7</v>
      </c>
      <c r="FC278" s="27" t="s">
        <v>8</v>
      </c>
      <c r="GR278" s="27" t="s">
        <v>7</v>
      </c>
      <c r="GS278" s="27" t="s">
        <v>8</v>
      </c>
      <c r="GT278" s="27" t="s">
        <v>7</v>
      </c>
      <c r="GU278" s="27" t="s">
        <v>8</v>
      </c>
      <c r="HB278" s="27" t="s">
        <v>7</v>
      </c>
      <c r="HC278" s="27" t="s">
        <v>8</v>
      </c>
      <c r="HD278" s="27" t="s">
        <v>7</v>
      </c>
      <c r="HE278" s="27" t="s">
        <v>8</v>
      </c>
      <c r="IV278" s="27" t="s">
        <v>7</v>
      </c>
      <c r="IW278" s="27" t="s">
        <v>8</v>
      </c>
      <c r="IX278" s="27" t="s">
        <v>7</v>
      </c>
      <c r="IY278" s="27" t="s">
        <v>8</v>
      </c>
      <c r="IZ278" s="27" t="s">
        <v>7</v>
      </c>
      <c r="JC278" s="27" t="s">
        <v>8</v>
      </c>
      <c r="JD278" s="27" t="s">
        <v>7</v>
      </c>
    </row>
    <row r="279" spans="1:268" x14ac:dyDescent="0.25">
      <c r="A279" s="7">
        <v>445.50532835107981</v>
      </c>
      <c r="B279"/>
      <c r="C279"/>
      <c r="D279"/>
      <c r="E279"/>
      <c r="Q279" s="27" t="s">
        <v>8</v>
      </c>
      <c r="R279" s="27" t="s">
        <v>7</v>
      </c>
      <c r="S279" s="27" t="s">
        <v>8</v>
      </c>
      <c r="T279" s="27" t="s">
        <v>7</v>
      </c>
      <c r="DM279" s="27" t="s">
        <v>8</v>
      </c>
      <c r="DN279" s="27" t="s">
        <v>7</v>
      </c>
      <c r="DO279" s="27" t="s">
        <v>8</v>
      </c>
      <c r="DP279" s="27" t="s">
        <v>7</v>
      </c>
      <c r="DQ279" s="27" t="s">
        <v>8</v>
      </c>
      <c r="DR279" s="27" t="s">
        <v>7</v>
      </c>
      <c r="DS279" s="27" t="s">
        <v>8</v>
      </c>
      <c r="DT279" s="27" t="s">
        <v>7</v>
      </c>
      <c r="DU279" s="27" t="s">
        <v>8</v>
      </c>
      <c r="DZ279" s="27" t="s">
        <v>7</v>
      </c>
      <c r="EA279" s="27" t="s">
        <v>8</v>
      </c>
      <c r="EB279" s="27" t="s">
        <v>7</v>
      </c>
      <c r="EE279" s="27" t="s">
        <v>8</v>
      </c>
      <c r="EG279" s="27" t="s">
        <v>8</v>
      </c>
      <c r="EH279" s="27" t="s">
        <v>7</v>
      </c>
      <c r="EI279" s="27" t="s">
        <v>8</v>
      </c>
      <c r="EJ279" s="27" t="s">
        <v>7</v>
      </c>
      <c r="EK279" s="27" t="s">
        <v>8</v>
      </c>
      <c r="EP279" s="27" t="s">
        <v>7</v>
      </c>
      <c r="EQ279" s="27" t="s">
        <v>8</v>
      </c>
      <c r="ET279" s="27" t="s">
        <v>7</v>
      </c>
      <c r="EU279" s="27" t="s">
        <v>8</v>
      </c>
      <c r="FB279" s="27" t="s">
        <v>7</v>
      </c>
      <c r="GR279" s="27" t="s">
        <v>7</v>
      </c>
      <c r="GS279" s="27" t="s">
        <v>8</v>
      </c>
      <c r="GT279" s="27" t="s">
        <v>7</v>
      </c>
      <c r="GU279" s="27" t="s">
        <v>8</v>
      </c>
      <c r="HB279" s="27" t="s">
        <v>7</v>
      </c>
      <c r="HD279" s="27" t="s">
        <v>7</v>
      </c>
      <c r="HE279" s="27" t="s">
        <v>8</v>
      </c>
      <c r="IV279" s="27" t="s">
        <v>7</v>
      </c>
      <c r="IW279" s="27" t="s">
        <v>8</v>
      </c>
      <c r="IX279" s="27" t="s">
        <v>7</v>
      </c>
      <c r="IY279" s="27" t="s">
        <v>8</v>
      </c>
      <c r="IZ279" s="27" t="s">
        <v>7</v>
      </c>
      <c r="JA279" s="27" t="s">
        <v>8</v>
      </c>
      <c r="JC279" s="27" t="s">
        <v>8</v>
      </c>
      <c r="JD279" s="27" t="s">
        <v>7</v>
      </c>
      <c r="JE279" s="27" t="s">
        <v>8</v>
      </c>
    </row>
    <row r="280" spans="1:268" x14ac:dyDescent="0.25">
      <c r="A280" s="7">
        <v>436.76992975596062</v>
      </c>
      <c r="B280"/>
      <c r="C280"/>
      <c r="D280"/>
      <c r="E280"/>
      <c r="Q280" s="27" t="s">
        <v>8</v>
      </c>
      <c r="R280" s="27" t="s">
        <v>7</v>
      </c>
      <c r="S280" s="27" t="s">
        <v>8</v>
      </c>
      <c r="T280" s="27" t="s">
        <v>7</v>
      </c>
      <c r="DM280" s="27" t="s">
        <v>8</v>
      </c>
      <c r="DN280" s="27" t="s">
        <v>7</v>
      </c>
      <c r="DO280" s="27" t="s">
        <v>8</v>
      </c>
      <c r="DP280" s="27" t="s">
        <v>7</v>
      </c>
      <c r="DQ280" s="27" t="s">
        <v>8</v>
      </c>
      <c r="DR280" s="27" t="s">
        <v>7</v>
      </c>
      <c r="DS280" s="27" t="s">
        <v>8</v>
      </c>
      <c r="DT280" s="27" t="s">
        <v>7</v>
      </c>
      <c r="DZ280" s="27" t="s">
        <v>7</v>
      </c>
      <c r="EA280" s="27" t="s">
        <v>8</v>
      </c>
      <c r="EB280" s="27" t="s">
        <v>7</v>
      </c>
      <c r="EE280" s="27" t="s">
        <v>8</v>
      </c>
      <c r="EF280" s="27" t="s">
        <v>7</v>
      </c>
      <c r="EG280" s="27" t="s">
        <v>8</v>
      </c>
      <c r="EH280" s="27" t="s">
        <v>7</v>
      </c>
      <c r="EI280" s="27" t="s">
        <v>8</v>
      </c>
      <c r="EJ280" s="27" t="s">
        <v>7</v>
      </c>
      <c r="EP280" s="27" t="s">
        <v>7</v>
      </c>
      <c r="EQ280" s="27" t="s">
        <v>8</v>
      </c>
      <c r="ET280" s="27" t="s">
        <v>7</v>
      </c>
      <c r="GR280" s="27" t="s">
        <v>7</v>
      </c>
      <c r="GS280" s="27" t="s">
        <v>8</v>
      </c>
      <c r="GT280" s="27" t="s">
        <v>7</v>
      </c>
      <c r="HD280" s="27" t="s">
        <v>7</v>
      </c>
      <c r="HE280" s="27" t="s">
        <v>8</v>
      </c>
      <c r="IV280" s="27" t="s">
        <v>7</v>
      </c>
      <c r="IW280" s="27" t="s">
        <v>8</v>
      </c>
      <c r="IX280" s="27" t="s">
        <v>7</v>
      </c>
      <c r="IY280" s="27" t="s">
        <v>8</v>
      </c>
      <c r="IZ280" s="27" t="s">
        <v>7</v>
      </c>
      <c r="JA280" s="27" t="s">
        <v>8</v>
      </c>
      <c r="JB280" s="27" t="s">
        <v>7</v>
      </c>
      <c r="JC280" s="27" t="s">
        <v>8</v>
      </c>
      <c r="JD280" s="27" t="s">
        <v>7</v>
      </c>
      <c r="JE280" s="27" t="s">
        <v>8</v>
      </c>
      <c r="JF280" s="27" t="s">
        <v>7</v>
      </c>
    </row>
    <row r="281" spans="1:268" x14ac:dyDescent="0.25">
      <c r="A281" s="7">
        <v>428.20581348623591</v>
      </c>
      <c r="B281"/>
      <c r="C281"/>
      <c r="D281"/>
      <c r="E281"/>
      <c r="Q281" s="27" t="s">
        <v>8</v>
      </c>
      <c r="R281" s="27" t="s">
        <v>7</v>
      </c>
      <c r="T281" s="27" t="s">
        <v>7</v>
      </c>
      <c r="DM281" s="27" t="s">
        <v>8</v>
      </c>
      <c r="DN281" s="27" t="s">
        <v>7</v>
      </c>
      <c r="DO281" s="27" t="s">
        <v>8</v>
      </c>
      <c r="DP281" s="27" t="s">
        <v>7</v>
      </c>
      <c r="DQ281" s="27" t="s">
        <v>8</v>
      </c>
      <c r="DR281" s="27" t="s">
        <v>7</v>
      </c>
      <c r="DS281" s="27" t="s">
        <v>8</v>
      </c>
      <c r="DZ281" s="27" t="s">
        <v>7</v>
      </c>
      <c r="EA281" s="27" t="s">
        <v>8</v>
      </c>
      <c r="EB281" s="27" t="s">
        <v>7</v>
      </c>
      <c r="EC281" s="27" t="s">
        <v>8</v>
      </c>
      <c r="EE281" s="27" t="s">
        <v>8</v>
      </c>
      <c r="EF281" s="27" t="s">
        <v>7</v>
      </c>
      <c r="EG281" s="27" t="s">
        <v>8</v>
      </c>
      <c r="EH281" s="27" t="s">
        <v>7</v>
      </c>
      <c r="EI281" s="27" t="s">
        <v>8</v>
      </c>
      <c r="EP281" s="27" t="s">
        <v>7</v>
      </c>
      <c r="EQ281" s="27" t="s">
        <v>8</v>
      </c>
      <c r="GR281" s="27" t="s">
        <v>7</v>
      </c>
      <c r="GS281" s="27" t="s">
        <v>8</v>
      </c>
      <c r="HD281" s="27" t="s">
        <v>7</v>
      </c>
      <c r="HE281" s="27" t="s">
        <v>8</v>
      </c>
      <c r="IV281" s="27" t="s">
        <v>7</v>
      </c>
      <c r="IW281" s="27" t="s">
        <v>8</v>
      </c>
      <c r="IX281" s="27" t="s">
        <v>7</v>
      </c>
      <c r="IY281" s="27" t="s">
        <v>8</v>
      </c>
      <c r="IZ281" s="27" t="s">
        <v>7</v>
      </c>
      <c r="JA281" s="27" t="s">
        <v>8</v>
      </c>
      <c r="JB281" s="27" t="s">
        <v>7</v>
      </c>
      <c r="JC281" s="27" t="s">
        <v>8</v>
      </c>
      <c r="JD281" s="27" t="s">
        <v>7</v>
      </c>
      <c r="JE281" s="27" t="s">
        <v>8</v>
      </c>
      <c r="JF281" s="27" t="s">
        <v>7</v>
      </c>
    </row>
    <row r="282" spans="1:268" x14ac:dyDescent="0.25">
      <c r="A282" s="7">
        <v>419.80962106493718</v>
      </c>
      <c r="B282"/>
      <c r="C282"/>
      <c r="D282"/>
      <c r="E282"/>
      <c r="Q282" s="27" t="s">
        <v>8</v>
      </c>
      <c r="T282" s="27" t="s">
        <v>7</v>
      </c>
      <c r="U282" s="27" t="s">
        <v>8</v>
      </c>
      <c r="DM282" s="27" t="s">
        <v>8</v>
      </c>
      <c r="DN282" s="27" t="s">
        <v>7</v>
      </c>
      <c r="DO282" s="27" t="s">
        <v>8</v>
      </c>
      <c r="DP282" s="27" t="s">
        <v>7</v>
      </c>
      <c r="DQ282" s="27" t="s">
        <v>8</v>
      </c>
      <c r="DR282" s="27" t="s">
        <v>7</v>
      </c>
      <c r="DS282" s="27" t="s">
        <v>8</v>
      </c>
      <c r="DZ282" s="27" t="s">
        <v>7</v>
      </c>
      <c r="EA282" s="27" t="s">
        <v>8</v>
      </c>
      <c r="EB282" s="27" t="s">
        <v>7</v>
      </c>
      <c r="EC282" s="27" t="s">
        <v>8</v>
      </c>
      <c r="ED282" s="27" t="s">
        <v>7</v>
      </c>
      <c r="EE282" s="27" t="s">
        <v>8</v>
      </c>
      <c r="EF282" s="27" t="s">
        <v>7</v>
      </c>
      <c r="EG282" s="27" t="s">
        <v>8</v>
      </c>
      <c r="EH282" s="27" t="s">
        <v>7</v>
      </c>
      <c r="EP282" s="27" t="s">
        <v>7</v>
      </c>
      <c r="EQ282" s="27" t="s">
        <v>8</v>
      </c>
      <c r="GR282" s="27" t="s">
        <v>7</v>
      </c>
      <c r="GS282" s="27" t="s">
        <v>8</v>
      </c>
      <c r="HD282" s="18" t="s">
        <v>7</v>
      </c>
      <c r="HE282" s="27" t="s">
        <v>8</v>
      </c>
      <c r="IV282" s="27" t="s">
        <v>7</v>
      </c>
      <c r="IW282" s="27" t="s">
        <v>8</v>
      </c>
      <c r="IX282" s="27" t="s">
        <v>7</v>
      </c>
      <c r="IZ282" s="27" t="s">
        <v>7</v>
      </c>
      <c r="JB282" s="27" t="s">
        <v>7</v>
      </c>
      <c r="JD282" s="27" t="s">
        <v>7</v>
      </c>
      <c r="JF282" s="27" t="s">
        <v>7</v>
      </c>
    </row>
    <row r="283" spans="1:268" x14ac:dyDescent="0.25">
      <c r="A283" s="7">
        <v>411.57805986758547</v>
      </c>
      <c r="B283"/>
      <c r="C283"/>
      <c r="D283"/>
      <c r="E283"/>
      <c r="Q283" s="27" t="s">
        <v>8</v>
      </c>
      <c r="T283" s="27" t="s">
        <v>7</v>
      </c>
      <c r="U283" s="27" t="s">
        <v>8</v>
      </c>
      <c r="V283" s="27" t="s">
        <v>7</v>
      </c>
      <c r="DM283" s="27" t="s">
        <v>8</v>
      </c>
      <c r="DN283" s="27" t="s">
        <v>7</v>
      </c>
      <c r="DO283" s="27" t="s">
        <v>8</v>
      </c>
      <c r="DP283" s="27" t="s">
        <v>7</v>
      </c>
      <c r="DQ283" s="27" t="s">
        <v>8</v>
      </c>
      <c r="DR283" s="27" t="s">
        <v>7</v>
      </c>
      <c r="DS283" s="27" t="s">
        <v>8</v>
      </c>
      <c r="DZ283" s="27" t="s">
        <v>7</v>
      </c>
      <c r="EA283" s="27" t="s">
        <v>8</v>
      </c>
      <c r="EB283" s="27" t="s">
        <v>7</v>
      </c>
      <c r="EC283" s="27" t="s">
        <v>8</v>
      </c>
      <c r="ED283" s="27" t="s">
        <v>7</v>
      </c>
      <c r="EE283" s="27" t="s">
        <v>8</v>
      </c>
      <c r="EF283" s="27" t="s">
        <v>7</v>
      </c>
      <c r="EP283" s="27" t="s">
        <v>7</v>
      </c>
      <c r="GR283" s="27" t="s">
        <v>7</v>
      </c>
      <c r="GS283" s="27" t="s">
        <v>8</v>
      </c>
      <c r="HD283" s="27" t="s">
        <v>7</v>
      </c>
      <c r="HE283" s="27" t="s">
        <v>8</v>
      </c>
      <c r="IV283" s="27" t="s">
        <v>7</v>
      </c>
      <c r="IW283" s="27" t="s">
        <v>8</v>
      </c>
      <c r="JF283" s="27" t="s">
        <v>7</v>
      </c>
    </row>
    <row r="284" spans="1:268" x14ac:dyDescent="0.25">
      <c r="A284" s="7">
        <v>403.50790183096615</v>
      </c>
      <c r="B284"/>
      <c r="C284"/>
      <c r="D284"/>
      <c r="E284"/>
      <c r="K284" s="27" t="s">
        <v>8</v>
      </c>
      <c r="Q284" s="27" t="s">
        <v>8</v>
      </c>
      <c r="T284" s="27" t="s">
        <v>7</v>
      </c>
      <c r="U284" s="27" t="s">
        <v>8</v>
      </c>
      <c r="V284" s="27" t="s">
        <v>7</v>
      </c>
      <c r="W284" s="27" t="s">
        <v>8</v>
      </c>
      <c r="DM284" s="27" t="s">
        <v>8</v>
      </c>
      <c r="DN284" s="27" t="s">
        <v>7</v>
      </c>
      <c r="DO284" s="27" t="s">
        <v>8</v>
      </c>
      <c r="DP284" s="27" t="s">
        <v>7</v>
      </c>
      <c r="DR284" s="27" t="s">
        <v>7</v>
      </c>
      <c r="DZ284" s="27" t="s">
        <v>7</v>
      </c>
      <c r="EA284" s="27" t="s">
        <v>8</v>
      </c>
      <c r="EB284" s="27" t="s">
        <v>7</v>
      </c>
      <c r="EC284" s="27" t="s">
        <v>8</v>
      </c>
      <c r="ED284" s="27" t="s">
        <v>7</v>
      </c>
      <c r="EE284" s="27" t="s">
        <v>8</v>
      </c>
      <c r="GR284" s="27" t="s">
        <v>7</v>
      </c>
      <c r="GS284" s="27" t="s">
        <v>8</v>
      </c>
      <c r="HD284" s="27" t="s">
        <v>7</v>
      </c>
      <c r="HE284" s="27" t="s">
        <v>8</v>
      </c>
      <c r="IV284" s="27" t="s">
        <v>7</v>
      </c>
      <c r="IW284" s="27" t="s">
        <v>8</v>
      </c>
      <c r="JF284" s="27" t="s">
        <v>7</v>
      </c>
    </row>
    <row r="285" spans="1:268" x14ac:dyDescent="0.25">
      <c r="A285" s="7">
        <v>395.59598218722169</v>
      </c>
      <c r="B285"/>
      <c r="C285"/>
      <c r="D285"/>
      <c r="E285"/>
      <c r="K285" s="27" t="s">
        <v>8</v>
      </c>
      <c r="L285" s="27" t="s">
        <v>7</v>
      </c>
      <c r="O285" s="27" t="s">
        <v>8</v>
      </c>
      <c r="Q285" s="27" t="s">
        <v>8</v>
      </c>
      <c r="T285" s="27" t="s">
        <v>7</v>
      </c>
      <c r="U285" s="27" t="s">
        <v>8</v>
      </c>
      <c r="V285" s="27" t="s">
        <v>7</v>
      </c>
      <c r="W285" s="27" t="s">
        <v>8</v>
      </c>
      <c r="X285" s="27" t="s">
        <v>7</v>
      </c>
      <c r="DM285" s="27" t="s">
        <v>8</v>
      </c>
      <c r="DN285" s="27" t="s">
        <v>7</v>
      </c>
      <c r="DZ285" s="27" t="s">
        <v>7</v>
      </c>
      <c r="EB285" s="27" t="s">
        <v>7</v>
      </c>
      <c r="EC285" s="27" t="s">
        <v>8</v>
      </c>
      <c r="ED285" s="27" t="s">
        <v>7</v>
      </c>
      <c r="GR285" s="27" t="s">
        <v>7</v>
      </c>
      <c r="GS285" s="27" t="s">
        <v>8</v>
      </c>
      <c r="HD285" s="27" t="s">
        <v>7</v>
      </c>
      <c r="HE285" s="27" t="s">
        <v>8</v>
      </c>
      <c r="IV285" s="27" t="s">
        <v>7</v>
      </c>
      <c r="IW285" s="27" t="s">
        <v>8</v>
      </c>
      <c r="JF285" s="27" t="s">
        <v>7</v>
      </c>
      <c r="JG285" s="27" t="s">
        <v>8</v>
      </c>
    </row>
    <row r="286" spans="1:268" x14ac:dyDescent="0.25">
      <c r="A286" s="7">
        <v>387.83919822276636</v>
      </c>
      <c r="B286"/>
      <c r="C286"/>
      <c r="D286"/>
      <c r="E286"/>
      <c r="K286" s="27" t="s">
        <v>8</v>
      </c>
      <c r="L286" s="27" t="s">
        <v>7</v>
      </c>
      <c r="O286" s="27" t="s">
        <v>8</v>
      </c>
      <c r="P286" s="27" t="s">
        <v>7</v>
      </c>
      <c r="Q286" s="27" t="s">
        <v>8</v>
      </c>
      <c r="T286" s="27" t="s">
        <v>7</v>
      </c>
      <c r="U286" s="27" t="s">
        <v>8</v>
      </c>
      <c r="V286" s="27" t="s">
        <v>7</v>
      </c>
      <c r="W286" s="27" t="s">
        <v>8</v>
      </c>
      <c r="X286" s="27" t="s">
        <v>7</v>
      </c>
      <c r="DM286" s="27" t="s">
        <v>8</v>
      </c>
      <c r="EB286" s="27" t="s">
        <v>7</v>
      </c>
      <c r="EC286" s="27" t="s">
        <v>8</v>
      </c>
      <c r="GR286" s="27" t="s">
        <v>7</v>
      </c>
      <c r="HD286" s="27" t="s">
        <v>7</v>
      </c>
      <c r="IV286" s="27" t="s">
        <v>7</v>
      </c>
      <c r="IW286" s="27" t="s">
        <v>8</v>
      </c>
      <c r="JF286" s="27" t="s">
        <v>7</v>
      </c>
      <c r="JG286" s="27" t="s">
        <v>8</v>
      </c>
      <c r="JH286" s="27" t="s">
        <v>7</v>
      </c>
    </row>
    <row r="287" spans="1:268" x14ac:dyDescent="0.25">
      <c r="A287" s="7">
        <v>380.23450806153562</v>
      </c>
      <c r="B287"/>
      <c r="C287"/>
      <c r="D287"/>
      <c r="E287"/>
      <c r="K287" s="27" t="s">
        <v>8</v>
      </c>
      <c r="L287" s="27" t="s">
        <v>7</v>
      </c>
      <c r="O287" s="27" t="s">
        <v>8</v>
      </c>
      <c r="P287" s="27" t="s">
        <v>7</v>
      </c>
      <c r="Q287" s="27" t="s">
        <v>8</v>
      </c>
      <c r="T287" s="27" t="s">
        <v>7</v>
      </c>
      <c r="U287" s="27" t="s">
        <v>8</v>
      </c>
      <c r="V287" s="27" t="s">
        <v>7</v>
      </c>
      <c r="W287" s="27" t="s">
        <v>8</v>
      </c>
      <c r="X287" s="27" t="s">
        <v>7</v>
      </c>
      <c r="DG287" s="27" t="s">
        <v>8</v>
      </c>
      <c r="DM287" s="27" t="s">
        <v>8</v>
      </c>
      <c r="EB287" s="27" t="s">
        <v>7</v>
      </c>
      <c r="EC287" s="27" t="s">
        <v>8</v>
      </c>
      <c r="IV287" s="27" t="s">
        <v>7</v>
      </c>
      <c r="IW287" s="27" t="s">
        <v>8</v>
      </c>
      <c r="JF287" s="27" t="s">
        <v>7</v>
      </c>
      <c r="JG287" s="27" t="s">
        <v>8</v>
      </c>
      <c r="JH287" s="27" t="s">
        <v>7</v>
      </c>
    </row>
    <row r="288" spans="1:268" x14ac:dyDescent="0.25">
      <c r="A288" s="7">
        <v>372.77892947209375</v>
      </c>
      <c r="B288"/>
      <c r="C288"/>
      <c r="D288"/>
      <c r="E288"/>
      <c r="K288" s="27" t="s">
        <v>8</v>
      </c>
      <c r="L288" s="27" t="s">
        <v>7</v>
      </c>
      <c r="O288" s="27" t="s">
        <v>8</v>
      </c>
      <c r="P288" s="27" t="s">
        <v>7</v>
      </c>
      <c r="Q288" s="27" t="s">
        <v>8</v>
      </c>
      <c r="T288" s="27" t="s">
        <v>7</v>
      </c>
      <c r="V288" s="27" t="s">
        <v>7</v>
      </c>
      <c r="W288" s="27" t="s">
        <v>8</v>
      </c>
      <c r="X288" s="27" t="s">
        <v>7</v>
      </c>
      <c r="DG288" s="27" t="s">
        <v>8</v>
      </c>
      <c r="DH288" s="27" t="s">
        <v>7</v>
      </c>
      <c r="DI288" s="27" t="s">
        <v>8</v>
      </c>
      <c r="DM288" s="27" t="s">
        <v>8</v>
      </c>
      <c r="EB288" s="27" t="s">
        <v>7</v>
      </c>
      <c r="IV288" s="27" t="s">
        <v>7</v>
      </c>
      <c r="IW288" s="27" t="s">
        <v>8</v>
      </c>
      <c r="JF288" s="27" t="s">
        <v>7</v>
      </c>
      <c r="JG288" s="27" t="s">
        <v>8</v>
      </c>
      <c r="JH288" s="27" t="s">
        <v>7</v>
      </c>
    </row>
    <row r="289" spans="1:272" x14ac:dyDescent="0.25">
      <c r="A289" s="7">
        <v>365.46953869813115</v>
      </c>
      <c r="B289"/>
      <c r="C289"/>
      <c r="D289"/>
      <c r="E289"/>
      <c r="I289" s="27" t="s">
        <v>8</v>
      </c>
      <c r="K289" s="27" t="s">
        <v>8</v>
      </c>
      <c r="L289" s="27" t="s">
        <v>7</v>
      </c>
      <c r="O289" s="27" t="s">
        <v>8</v>
      </c>
      <c r="P289" s="27" t="s">
        <v>7</v>
      </c>
      <c r="V289" s="27" t="s">
        <v>7</v>
      </c>
      <c r="W289" s="27" t="s">
        <v>8</v>
      </c>
      <c r="X289" s="27" t="s">
        <v>7</v>
      </c>
      <c r="CW289" s="27" t="s">
        <v>8</v>
      </c>
      <c r="DG289" s="27" t="s">
        <v>8</v>
      </c>
      <c r="DH289" s="27" t="s">
        <v>7</v>
      </c>
      <c r="DI289" s="27" t="s">
        <v>8</v>
      </c>
      <c r="DJ289" s="27" t="s">
        <v>7</v>
      </c>
      <c r="DK289" s="27" t="s">
        <v>8</v>
      </c>
      <c r="DM289" s="27" t="s">
        <v>8</v>
      </c>
      <c r="IV289" s="27" t="s">
        <v>7</v>
      </c>
      <c r="IW289" s="27" t="s">
        <v>8</v>
      </c>
      <c r="JF289" s="27" t="s">
        <v>7</v>
      </c>
      <c r="JG289" s="27" t="s">
        <v>8</v>
      </c>
      <c r="JH289" s="27" t="s">
        <v>7</v>
      </c>
    </row>
    <row r="290" spans="1:272" x14ac:dyDescent="0.25">
      <c r="A290" s="7">
        <v>358.30346931189325</v>
      </c>
      <c r="B290"/>
      <c r="C290"/>
      <c r="D290"/>
      <c r="E290"/>
      <c r="I290" s="27" t="s">
        <v>8</v>
      </c>
      <c r="J290" s="27" t="s">
        <v>7</v>
      </c>
      <c r="K290" s="27" t="s">
        <v>8</v>
      </c>
      <c r="L290" s="27" t="s">
        <v>7</v>
      </c>
      <c r="O290" s="27" t="s">
        <v>8</v>
      </c>
      <c r="V290" s="27" t="s">
        <v>7</v>
      </c>
      <c r="X290" s="27" t="s">
        <v>7</v>
      </c>
      <c r="CW290" s="27" t="s">
        <v>8</v>
      </c>
      <c r="CX290" s="27" t="s">
        <v>7</v>
      </c>
      <c r="DG290" s="27" t="s">
        <v>8</v>
      </c>
      <c r="DH290" s="27" t="s">
        <v>7</v>
      </c>
      <c r="DI290" s="27" t="s">
        <v>8</v>
      </c>
      <c r="DJ290" s="27" t="s">
        <v>7</v>
      </c>
      <c r="DK290" s="27" t="s">
        <v>8</v>
      </c>
      <c r="DL290" s="27" t="s">
        <v>7</v>
      </c>
      <c r="DM290" s="27" t="s">
        <v>8</v>
      </c>
      <c r="IV290" s="27" t="s">
        <v>7</v>
      </c>
      <c r="IW290" s="27" t="s">
        <v>8</v>
      </c>
      <c r="JF290" s="27" t="s">
        <v>7</v>
      </c>
      <c r="JG290" s="27" t="s">
        <v>8</v>
      </c>
      <c r="JH290" s="27" t="s">
        <v>7</v>
      </c>
    </row>
    <row r="291" spans="1:272" x14ac:dyDescent="0.25">
      <c r="A291" s="7">
        <v>351.27791109009144</v>
      </c>
      <c r="B291"/>
      <c r="C291"/>
      <c r="D291"/>
      <c r="E291"/>
      <c r="I291" s="27" t="s">
        <v>8</v>
      </c>
      <c r="J291" s="27" t="s">
        <v>7</v>
      </c>
      <c r="K291" s="27" t="s">
        <v>8</v>
      </c>
      <c r="L291" s="27" t="s">
        <v>7</v>
      </c>
      <c r="M291" s="27" t="s">
        <v>8</v>
      </c>
      <c r="O291" s="27" t="s">
        <v>8</v>
      </c>
      <c r="X291" s="27" t="s">
        <v>7</v>
      </c>
      <c r="AC291" s="27" t="s">
        <v>8</v>
      </c>
      <c r="CW291" s="27" t="s">
        <v>8</v>
      </c>
      <c r="CX291" s="27" t="s">
        <v>7</v>
      </c>
      <c r="DG291" s="27" t="s">
        <v>8</v>
      </c>
      <c r="DH291" s="27" t="s">
        <v>7</v>
      </c>
      <c r="DI291" s="27" t="s">
        <v>8</v>
      </c>
      <c r="DJ291" s="27" t="s">
        <v>7</v>
      </c>
      <c r="DK291" s="27" t="s">
        <v>8</v>
      </c>
      <c r="DL291" s="27" t="s">
        <v>7</v>
      </c>
      <c r="DM291" s="27" t="s">
        <v>8</v>
      </c>
      <c r="IV291" s="27" t="s">
        <v>7</v>
      </c>
      <c r="IW291" s="27" t="s">
        <v>8</v>
      </c>
      <c r="JF291" s="27" t="s">
        <v>7</v>
      </c>
      <c r="JH291" s="27" t="s">
        <v>7</v>
      </c>
    </row>
    <row r="292" spans="1:272" x14ac:dyDescent="0.25">
      <c r="A292" s="7">
        <v>344.39010891185433</v>
      </c>
      <c r="B292"/>
      <c r="C292"/>
      <c r="D292"/>
      <c r="E292"/>
      <c r="I292" s="27" t="s">
        <v>8</v>
      </c>
      <c r="J292" s="27" t="s">
        <v>7</v>
      </c>
      <c r="K292" s="27" t="s">
        <v>8</v>
      </c>
      <c r="L292" s="27" t="s">
        <v>7</v>
      </c>
      <c r="M292" s="27" t="s">
        <v>8</v>
      </c>
      <c r="N292" s="27" t="s">
        <v>7</v>
      </c>
      <c r="O292" s="27" t="s">
        <v>8</v>
      </c>
      <c r="X292" s="27" t="s">
        <v>7</v>
      </c>
      <c r="AC292" s="27" t="s">
        <v>8</v>
      </c>
      <c r="AD292" s="27" t="s">
        <v>7</v>
      </c>
      <c r="CW292" s="27" t="s">
        <v>8</v>
      </c>
      <c r="CX292" s="27" t="s">
        <v>7</v>
      </c>
      <c r="DG292" s="27" t="s">
        <v>8</v>
      </c>
      <c r="DH292" s="27" t="s">
        <v>7</v>
      </c>
      <c r="DI292" s="27" t="s">
        <v>8</v>
      </c>
      <c r="DJ292" s="27" t="s">
        <v>7</v>
      </c>
      <c r="DK292" s="27" t="s">
        <v>8</v>
      </c>
      <c r="DL292" s="27" t="s">
        <v>7</v>
      </c>
      <c r="DM292" s="27" t="s">
        <v>8</v>
      </c>
      <c r="IV292" s="27" t="s">
        <v>7</v>
      </c>
      <c r="JH292" s="27" t="s">
        <v>7</v>
      </c>
    </row>
    <row r="293" spans="1:272" x14ac:dyDescent="0.25">
      <c r="A293" s="7">
        <v>337.63736167828853</v>
      </c>
      <c r="B293"/>
      <c r="C293"/>
      <c r="D293"/>
      <c r="E293"/>
      <c r="I293" s="27" t="s">
        <v>8</v>
      </c>
      <c r="J293" s="27" t="s">
        <v>7</v>
      </c>
      <c r="K293" s="27" t="s">
        <v>8</v>
      </c>
      <c r="L293" s="27" t="s">
        <v>7</v>
      </c>
      <c r="M293" s="27" t="s">
        <v>8</v>
      </c>
      <c r="N293" s="27" t="s">
        <v>7</v>
      </c>
      <c r="O293" s="27" t="s">
        <v>8</v>
      </c>
      <c r="X293" s="27" t="s">
        <v>7</v>
      </c>
      <c r="AA293" s="27" t="s">
        <v>8</v>
      </c>
      <c r="AC293" s="27" t="s">
        <v>8</v>
      </c>
      <c r="AD293" s="27" t="s">
        <v>7</v>
      </c>
      <c r="BQ293" s="27" t="s">
        <v>8</v>
      </c>
      <c r="CW293" s="27" t="s">
        <v>8</v>
      </c>
      <c r="CX293" s="27" t="s">
        <v>7</v>
      </c>
      <c r="DG293" s="27" t="s">
        <v>8</v>
      </c>
      <c r="DH293" s="27" t="s">
        <v>7</v>
      </c>
      <c r="DI293" s="27" t="s">
        <v>8</v>
      </c>
      <c r="DJ293" s="27" t="s">
        <v>7</v>
      </c>
      <c r="DK293" s="27" t="s">
        <v>8</v>
      </c>
      <c r="DL293" s="27" t="s">
        <v>7</v>
      </c>
      <c r="JH293" s="27" t="s">
        <v>7</v>
      </c>
    </row>
    <row r="294" spans="1:272" x14ac:dyDescent="0.25">
      <c r="A294" s="7">
        <v>331.01702125322402</v>
      </c>
      <c r="B294"/>
      <c r="C294"/>
      <c r="D294"/>
      <c r="E294"/>
      <c r="I294" s="27" t="s">
        <v>8</v>
      </c>
      <c r="J294" s="27" t="s">
        <v>7</v>
      </c>
      <c r="K294" s="27" t="s">
        <v>8</v>
      </c>
      <c r="L294" s="27" t="s">
        <v>7</v>
      </c>
      <c r="M294" s="27" t="s">
        <v>8</v>
      </c>
      <c r="N294" s="27" t="s">
        <v>7</v>
      </c>
      <c r="O294" s="27" t="s">
        <v>8</v>
      </c>
      <c r="X294" s="27" t="s">
        <v>7</v>
      </c>
      <c r="Y294" s="27" t="s">
        <v>8</v>
      </c>
      <c r="AA294" s="27" t="s">
        <v>8</v>
      </c>
      <c r="AB294" s="27" t="s">
        <v>7</v>
      </c>
      <c r="AC294" s="27" t="s">
        <v>8</v>
      </c>
      <c r="AD294" s="27" t="s">
        <v>7</v>
      </c>
      <c r="BQ294" s="27" t="s">
        <v>8</v>
      </c>
      <c r="BR294" s="27" t="s">
        <v>7</v>
      </c>
      <c r="CW294" s="27" t="s">
        <v>8</v>
      </c>
      <c r="CX294" s="27" t="s">
        <v>7</v>
      </c>
      <c r="DE294" s="27" t="s">
        <v>8</v>
      </c>
      <c r="DG294" s="27" t="s">
        <v>8</v>
      </c>
      <c r="DH294" s="27" t="s">
        <v>7</v>
      </c>
      <c r="DI294" s="27" t="s">
        <v>8</v>
      </c>
      <c r="DJ294" s="27" t="s">
        <v>7</v>
      </c>
      <c r="JH294" s="27" t="s">
        <v>7</v>
      </c>
    </row>
    <row r="295" spans="1:272" x14ac:dyDescent="0.25">
      <c r="A295" s="7">
        <v>324.52649142472944</v>
      </c>
      <c r="B295"/>
      <c r="C295"/>
      <c r="D295"/>
      <c r="E295"/>
      <c r="I295" s="27" t="s">
        <v>8</v>
      </c>
      <c r="J295" s="27" t="s">
        <v>7</v>
      </c>
      <c r="K295" s="27" t="s">
        <v>8</v>
      </c>
      <c r="L295" s="27" t="s">
        <v>7</v>
      </c>
      <c r="N295" s="27" t="s">
        <v>7</v>
      </c>
      <c r="O295" s="27" t="s">
        <v>8</v>
      </c>
      <c r="X295" s="27" t="s">
        <v>7</v>
      </c>
      <c r="Y295" s="27" t="s">
        <v>8</v>
      </c>
      <c r="Z295" s="27" t="s">
        <v>7</v>
      </c>
      <c r="AA295" s="27" t="s">
        <v>8</v>
      </c>
      <c r="AB295" s="27" t="s">
        <v>7</v>
      </c>
      <c r="AC295" s="27" t="s">
        <v>8</v>
      </c>
      <c r="AD295" s="27" t="s">
        <v>7</v>
      </c>
      <c r="BQ295" s="27" t="s">
        <v>8</v>
      </c>
      <c r="BR295" s="27" t="s">
        <v>7</v>
      </c>
      <c r="BS295" s="27" t="s">
        <v>8</v>
      </c>
      <c r="BU295" s="27" t="s">
        <v>8</v>
      </c>
      <c r="CW295" s="27" t="s">
        <v>8</v>
      </c>
      <c r="CX295" s="27" t="s">
        <v>7</v>
      </c>
      <c r="DE295" s="27" t="s">
        <v>8</v>
      </c>
      <c r="DF295" s="27" t="s">
        <v>7</v>
      </c>
      <c r="DG295" s="27" t="s">
        <v>8</v>
      </c>
      <c r="DH295" s="27" t="s">
        <v>7</v>
      </c>
      <c r="DI295" s="27" t="s">
        <v>8</v>
      </c>
      <c r="JH295" s="27" t="s">
        <v>7</v>
      </c>
    </row>
    <row r="296" spans="1:272" x14ac:dyDescent="0.25">
      <c r="A296" s="7">
        <v>318.16322688698966</v>
      </c>
      <c r="B296"/>
      <c r="C296"/>
      <c r="D296"/>
      <c r="E296"/>
      <c r="I296" s="27" t="s">
        <v>8</v>
      </c>
      <c r="J296" s="27" t="s">
        <v>7</v>
      </c>
      <c r="K296" s="27" t="s">
        <v>8</v>
      </c>
      <c r="N296" s="27" t="s">
        <v>7</v>
      </c>
      <c r="O296" s="27" t="s">
        <v>8</v>
      </c>
      <c r="X296" s="27" t="s">
        <v>7</v>
      </c>
      <c r="Y296" s="27" t="s">
        <v>8</v>
      </c>
      <c r="Z296" s="27" t="s">
        <v>7</v>
      </c>
      <c r="AA296" s="27" t="s">
        <v>8</v>
      </c>
      <c r="AB296" s="27" t="s">
        <v>7</v>
      </c>
      <c r="AC296" s="27" t="s">
        <v>8</v>
      </c>
      <c r="AD296" s="27" t="s">
        <v>7</v>
      </c>
      <c r="BQ296" s="27" t="s">
        <v>8</v>
      </c>
      <c r="BR296" s="27" t="s">
        <v>7</v>
      </c>
      <c r="BS296" s="27" t="s">
        <v>8</v>
      </c>
      <c r="BT296" s="27" t="s">
        <v>7</v>
      </c>
      <c r="BU296" s="27" t="s">
        <v>8</v>
      </c>
      <c r="BV296" s="27" t="s">
        <v>7</v>
      </c>
      <c r="CW296" s="27" t="s">
        <v>8</v>
      </c>
      <c r="CX296" s="27" t="s">
        <v>7</v>
      </c>
      <c r="CY296" s="27" t="s">
        <v>8</v>
      </c>
      <c r="DE296" s="27" t="s">
        <v>8</v>
      </c>
      <c r="DF296" s="27" t="s">
        <v>7</v>
      </c>
      <c r="DG296" s="27" t="s">
        <v>8</v>
      </c>
      <c r="DH296" s="27" t="s">
        <v>7</v>
      </c>
      <c r="DI296" s="27" t="s">
        <v>8</v>
      </c>
      <c r="JH296" s="27" t="s">
        <v>7</v>
      </c>
    </row>
    <row r="297" spans="1:272" x14ac:dyDescent="0.25">
      <c r="A297" s="7">
        <v>311.92473224214672</v>
      </c>
      <c r="B297"/>
      <c r="C297"/>
      <c r="D297"/>
      <c r="E297"/>
      <c r="I297" s="27" t="s">
        <v>8</v>
      </c>
      <c r="J297" s="27" t="s">
        <v>7</v>
      </c>
      <c r="N297" s="27" t="s">
        <v>7</v>
      </c>
      <c r="O297" s="27" t="s">
        <v>8</v>
      </c>
      <c r="X297" s="27" t="s">
        <v>7</v>
      </c>
      <c r="Y297" s="27" t="s">
        <v>8</v>
      </c>
      <c r="Z297" s="27" t="s">
        <v>7</v>
      </c>
      <c r="AA297" s="27" t="s">
        <v>8</v>
      </c>
      <c r="AB297" s="27" t="s">
        <v>7</v>
      </c>
      <c r="AD297" s="27" t="s">
        <v>7</v>
      </c>
      <c r="BQ297" s="27" t="s">
        <v>8</v>
      </c>
      <c r="BR297" s="27" t="s">
        <v>7</v>
      </c>
      <c r="BS297" s="27" t="s">
        <v>8</v>
      </c>
      <c r="BT297" s="27" t="s">
        <v>7</v>
      </c>
      <c r="BU297" s="27" t="s">
        <v>8</v>
      </c>
      <c r="BV297" s="27" t="s">
        <v>7</v>
      </c>
      <c r="CW297" s="27" t="s">
        <v>8</v>
      </c>
      <c r="CX297" s="27" t="s">
        <v>7</v>
      </c>
      <c r="CY297" s="27" t="s">
        <v>8</v>
      </c>
      <c r="CZ297" s="27" t="s">
        <v>7</v>
      </c>
      <c r="DE297" s="27" t="s">
        <v>8</v>
      </c>
      <c r="DF297" s="27" t="s">
        <v>7</v>
      </c>
      <c r="DG297" s="27" t="s">
        <v>8</v>
      </c>
      <c r="DH297" s="27" t="s">
        <v>7</v>
      </c>
      <c r="DI297" s="27" t="s">
        <v>8</v>
      </c>
      <c r="JH297" s="27" t="s">
        <v>7</v>
      </c>
      <c r="JK297" s="27" t="s">
        <v>8</v>
      </c>
    </row>
    <row r="298" spans="1:272" x14ac:dyDescent="0.25">
      <c r="A298" s="7">
        <v>305.80856102171248</v>
      </c>
      <c r="B298"/>
      <c r="C298"/>
      <c r="D298"/>
      <c r="E298"/>
      <c r="I298" s="27" t="s">
        <v>8</v>
      </c>
      <c r="N298" s="27" t="s">
        <v>7</v>
      </c>
      <c r="O298" s="27" t="s">
        <v>8</v>
      </c>
      <c r="X298" s="27" t="s">
        <v>7</v>
      </c>
      <c r="Z298" s="27" t="s">
        <v>7</v>
      </c>
      <c r="AA298" s="27" t="s">
        <v>8</v>
      </c>
      <c r="AD298" s="27" t="s">
        <v>7</v>
      </c>
      <c r="BQ298" s="27" t="s">
        <v>8</v>
      </c>
      <c r="BR298" s="27" t="s">
        <v>7</v>
      </c>
      <c r="BS298" s="27" t="s">
        <v>8</v>
      </c>
      <c r="BT298" s="27" t="s">
        <v>7</v>
      </c>
      <c r="BU298" s="27" t="s">
        <v>8</v>
      </c>
      <c r="BV298" s="27" t="s">
        <v>7</v>
      </c>
      <c r="CW298" s="27" t="s">
        <v>8</v>
      </c>
      <c r="CX298" s="27" t="s">
        <v>7</v>
      </c>
      <c r="CY298" s="27" t="s">
        <v>8</v>
      </c>
      <c r="CZ298" s="27" t="s">
        <v>7</v>
      </c>
      <c r="DA298" s="27" t="s">
        <v>8</v>
      </c>
      <c r="DE298" s="27" t="s">
        <v>8</v>
      </c>
      <c r="DF298" s="27" t="s">
        <v>7</v>
      </c>
      <c r="DH298" s="27" t="s">
        <v>7</v>
      </c>
      <c r="DI298" s="27" t="s">
        <v>8</v>
      </c>
      <c r="JH298" s="27" t="s">
        <v>7</v>
      </c>
      <c r="JK298" s="27" t="s">
        <v>8</v>
      </c>
      <c r="JL298" s="27" t="s">
        <v>7</v>
      </c>
    </row>
    <row r="299" spans="1:272" x14ac:dyDescent="0.25">
      <c r="A299" s="7">
        <v>299.81231472716911</v>
      </c>
      <c r="B299"/>
      <c r="C299"/>
      <c r="D299"/>
      <c r="E299"/>
      <c r="I299" s="27" t="s">
        <v>8</v>
      </c>
      <c r="N299" s="27" t="s">
        <v>7</v>
      </c>
      <c r="Z299" s="27" t="s">
        <v>7</v>
      </c>
      <c r="AD299" s="27" t="s">
        <v>7</v>
      </c>
      <c r="BQ299" s="27" t="s">
        <v>8</v>
      </c>
      <c r="BR299" s="27" t="s">
        <v>7</v>
      </c>
      <c r="BS299" s="27" t="s">
        <v>8</v>
      </c>
      <c r="BT299" s="27" t="s">
        <v>7</v>
      </c>
      <c r="BU299" s="27" t="s">
        <v>8</v>
      </c>
      <c r="BV299" s="27" t="s">
        <v>7</v>
      </c>
      <c r="BW299" s="27" t="s">
        <v>8</v>
      </c>
      <c r="CW299" s="27" t="s">
        <v>8</v>
      </c>
      <c r="CX299" s="27" t="s">
        <v>7</v>
      </c>
      <c r="CY299" s="27" t="s">
        <v>8</v>
      </c>
      <c r="CZ299" s="27" t="s">
        <v>7</v>
      </c>
      <c r="DA299" s="27" t="s">
        <v>8</v>
      </c>
      <c r="DB299" s="27" t="s">
        <v>7</v>
      </c>
      <c r="DE299" s="27" t="s">
        <v>8</v>
      </c>
      <c r="DH299" s="27" t="s">
        <v>7</v>
      </c>
      <c r="DI299" s="27" t="s">
        <v>8</v>
      </c>
      <c r="JH299" s="27" t="s">
        <v>7</v>
      </c>
      <c r="JI299" s="27" t="s">
        <v>8</v>
      </c>
      <c r="JK299" s="27" t="s">
        <v>8</v>
      </c>
      <c r="JL299" s="27" t="s">
        <v>7</v>
      </c>
    </row>
    <row r="300" spans="1:272" x14ac:dyDescent="0.25">
      <c r="A300" s="7">
        <v>293.93364188938148</v>
      </c>
      <c r="B300"/>
      <c r="C300"/>
      <c r="D300"/>
      <c r="E300"/>
      <c r="I300" s="27" t="s">
        <v>8</v>
      </c>
      <c r="AD300" s="27" t="s">
        <v>7</v>
      </c>
      <c r="BQ300" s="27" t="s">
        <v>8</v>
      </c>
      <c r="BR300" s="27" t="s">
        <v>7</v>
      </c>
      <c r="BS300" s="27" t="s">
        <v>8</v>
      </c>
      <c r="BT300" s="27" t="s">
        <v>7</v>
      </c>
      <c r="BU300" s="27" t="s">
        <v>8</v>
      </c>
      <c r="BV300" s="27" t="s">
        <v>7</v>
      </c>
      <c r="BW300" s="27" t="s">
        <v>8</v>
      </c>
      <c r="BX300" s="27" t="s">
        <v>7</v>
      </c>
      <c r="BY300" s="27" t="s">
        <v>8</v>
      </c>
      <c r="CA300" s="27" t="s">
        <v>8</v>
      </c>
      <c r="CW300" s="27" t="s">
        <v>8</v>
      </c>
      <c r="CX300" s="27" t="s">
        <v>7</v>
      </c>
      <c r="CY300" s="27" t="s">
        <v>8</v>
      </c>
      <c r="CZ300" s="27" t="s">
        <v>7</v>
      </c>
      <c r="DA300" s="27" t="s">
        <v>8</v>
      </c>
      <c r="DB300" s="27" t="s">
        <v>7</v>
      </c>
      <c r="DE300" s="27" t="s">
        <v>8</v>
      </c>
      <c r="DH300" s="27" t="s">
        <v>7</v>
      </c>
      <c r="DI300" s="27" t="s">
        <v>8</v>
      </c>
      <c r="JH300" s="27" t="s">
        <v>7</v>
      </c>
      <c r="JI300" s="27" t="s">
        <v>8</v>
      </c>
      <c r="JJ300" s="27" t="s">
        <v>7</v>
      </c>
      <c r="JK300" s="27" t="s">
        <v>8</v>
      </c>
      <c r="JL300" s="27" t="s">
        <v>7</v>
      </c>
    </row>
    <row r="301" spans="1:272" x14ac:dyDescent="0.25">
      <c r="A301" s="7">
        <v>288.17023714645245</v>
      </c>
      <c r="B301"/>
      <c r="C301"/>
      <c r="D301"/>
      <c r="E301"/>
      <c r="I301" s="27" t="s">
        <v>8</v>
      </c>
      <c r="AD301" s="27" t="s">
        <v>7</v>
      </c>
      <c r="BQ301" s="27" t="s">
        <v>8</v>
      </c>
      <c r="BR301" s="27" t="s">
        <v>7</v>
      </c>
      <c r="BS301" s="27" t="s">
        <v>8</v>
      </c>
      <c r="BT301" s="27" t="s">
        <v>7</v>
      </c>
      <c r="BU301" s="27" t="s">
        <v>8</v>
      </c>
      <c r="BV301" s="27" t="s">
        <v>7</v>
      </c>
      <c r="BW301" s="27" t="s">
        <v>8</v>
      </c>
      <c r="BX301" s="27" t="s">
        <v>7</v>
      </c>
      <c r="BY301" s="27" t="s">
        <v>8</v>
      </c>
      <c r="BZ301" s="27" t="s">
        <v>7</v>
      </c>
      <c r="CA301" s="27" t="s">
        <v>8</v>
      </c>
      <c r="CB301" s="27" t="s">
        <v>7</v>
      </c>
      <c r="CW301" s="27" t="s">
        <v>8</v>
      </c>
      <c r="CX301" s="27" t="s">
        <v>7</v>
      </c>
      <c r="CY301" s="27" t="s">
        <v>8</v>
      </c>
      <c r="CZ301" s="27" t="s">
        <v>7</v>
      </c>
      <c r="DA301" s="27" t="s">
        <v>8</v>
      </c>
      <c r="DB301" s="27" t="s">
        <v>7</v>
      </c>
      <c r="DE301" s="27" t="s">
        <v>8</v>
      </c>
      <c r="DH301" s="27" t="s">
        <v>7</v>
      </c>
      <c r="DI301" s="27" t="s">
        <v>8</v>
      </c>
      <c r="JH301" s="27" t="s">
        <v>7</v>
      </c>
      <c r="JI301" s="27" t="s">
        <v>8</v>
      </c>
      <c r="JJ301" s="27" t="s">
        <v>7</v>
      </c>
      <c r="JK301" s="27" t="s">
        <v>8</v>
      </c>
      <c r="JL301" s="27" t="s">
        <v>7</v>
      </c>
    </row>
    <row r="302" spans="1:272" x14ac:dyDescent="0.25">
      <c r="A302" s="7">
        <v>282.51984033965925</v>
      </c>
      <c r="B302"/>
      <c r="C302"/>
      <c r="D302"/>
      <c r="E302"/>
      <c r="I302" s="27" t="s">
        <v>8</v>
      </c>
      <c r="AD302" s="27" t="s">
        <v>7</v>
      </c>
      <c r="BQ302" s="27" t="s">
        <v>8</v>
      </c>
      <c r="BR302" s="27" t="s">
        <v>7</v>
      </c>
      <c r="BT302" s="27" t="s">
        <v>7</v>
      </c>
      <c r="BU302" s="27" t="s">
        <v>8</v>
      </c>
      <c r="BV302" s="27" t="s">
        <v>7</v>
      </c>
      <c r="BX302" s="27" t="s">
        <v>7</v>
      </c>
      <c r="BY302" s="27" t="s">
        <v>8</v>
      </c>
      <c r="BZ302" s="27" t="s">
        <v>7</v>
      </c>
      <c r="CA302" s="27" t="s">
        <v>8</v>
      </c>
      <c r="CB302" s="27" t="s">
        <v>7</v>
      </c>
      <c r="CW302" s="27" t="s">
        <v>8</v>
      </c>
      <c r="CX302" s="27" t="s">
        <v>7</v>
      </c>
      <c r="CY302" s="27" t="s">
        <v>8</v>
      </c>
      <c r="CZ302" s="27" t="s">
        <v>7</v>
      </c>
      <c r="DA302" s="27" t="s">
        <v>8</v>
      </c>
      <c r="DB302" s="27" t="s">
        <v>7</v>
      </c>
      <c r="DC302" s="27" t="s">
        <v>8</v>
      </c>
      <c r="DE302" s="27" t="s">
        <v>8</v>
      </c>
      <c r="DH302" s="27" t="s">
        <v>7</v>
      </c>
      <c r="DI302" s="27" t="s">
        <v>8</v>
      </c>
      <c r="JH302" s="27" t="s">
        <v>7</v>
      </c>
      <c r="JI302" s="27" t="s">
        <v>8</v>
      </c>
      <c r="JJ302" s="27" t="s">
        <v>7</v>
      </c>
      <c r="JK302" s="27" t="s">
        <v>8</v>
      </c>
      <c r="JL302" s="27" t="s">
        <v>7</v>
      </c>
    </row>
    <row r="303" spans="1:272" x14ac:dyDescent="0.25">
      <c r="A303" s="7">
        <v>276.98023562711688</v>
      </c>
      <c r="B303"/>
      <c r="C303"/>
      <c r="D303"/>
      <c r="E303"/>
      <c r="G303" s="27" t="s">
        <v>8</v>
      </c>
      <c r="I303" s="27" t="s">
        <v>8</v>
      </c>
      <c r="AD303" s="27" t="s">
        <v>7</v>
      </c>
      <c r="AE303" s="27" t="s">
        <v>8</v>
      </c>
      <c r="AU303" s="27" t="s">
        <v>8</v>
      </c>
      <c r="BC303" s="27" t="s">
        <v>8</v>
      </c>
      <c r="BQ303" s="27" t="s">
        <v>8</v>
      </c>
      <c r="BT303" s="27" t="s">
        <v>7</v>
      </c>
      <c r="BU303" s="27" t="s">
        <v>8</v>
      </c>
      <c r="BX303" s="27" t="s">
        <v>7</v>
      </c>
      <c r="BZ303" s="27" t="s">
        <v>7</v>
      </c>
      <c r="CA303" s="27" t="s">
        <v>8</v>
      </c>
      <c r="CB303" s="27" t="s">
        <v>7</v>
      </c>
      <c r="CM303" s="27" t="s">
        <v>8</v>
      </c>
      <c r="CO303" s="27" t="s">
        <v>8</v>
      </c>
      <c r="CS303" s="27" t="s">
        <v>8</v>
      </c>
      <c r="CW303" s="27" t="s">
        <v>8</v>
      </c>
      <c r="CX303" s="27" t="s">
        <v>7</v>
      </c>
      <c r="CY303" s="27" t="s">
        <v>8</v>
      </c>
      <c r="CZ303" s="27" t="s">
        <v>7</v>
      </c>
      <c r="DA303" s="27" t="s">
        <v>8</v>
      </c>
      <c r="DB303" s="27" t="s">
        <v>7</v>
      </c>
      <c r="DC303" s="27" t="s">
        <v>8</v>
      </c>
      <c r="DD303" s="27" t="s">
        <v>7</v>
      </c>
      <c r="DE303" s="27" t="s">
        <v>8</v>
      </c>
      <c r="DH303" s="27" t="s">
        <v>7</v>
      </c>
      <c r="DI303" s="27" t="s">
        <v>8</v>
      </c>
      <c r="JH303" s="27" t="s">
        <v>7</v>
      </c>
      <c r="JI303" s="27" t="s">
        <v>8</v>
      </c>
      <c r="JJ303" s="27" t="s">
        <v>7</v>
      </c>
      <c r="JK303" s="27" t="s">
        <v>8</v>
      </c>
    </row>
    <row r="304" spans="1:272" x14ac:dyDescent="0.25">
      <c r="A304" s="7">
        <v>271.54925061482049</v>
      </c>
      <c r="B304"/>
      <c r="C304"/>
      <c r="D304"/>
      <c r="E304"/>
      <c r="G304" s="27" t="s">
        <v>8</v>
      </c>
      <c r="H304" s="27" t="s">
        <v>7</v>
      </c>
      <c r="I304" s="27" t="s">
        <v>8</v>
      </c>
      <c r="AD304" s="27" t="s">
        <v>7</v>
      </c>
      <c r="AE304" s="27" t="s">
        <v>8</v>
      </c>
      <c r="AF304" s="27" t="s">
        <v>7</v>
      </c>
      <c r="AU304" s="27" t="s">
        <v>8</v>
      </c>
      <c r="AV304" s="27" t="s">
        <v>7</v>
      </c>
      <c r="BA304" s="27" t="s">
        <v>8</v>
      </c>
      <c r="BC304" s="27" t="s">
        <v>8</v>
      </c>
      <c r="BD304" s="27" t="s">
        <v>7</v>
      </c>
      <c r="BQ304" s="27" t="s">
        <v>8</v>
      </c>
      <c r="BT304" s="27" t="s">
        <v>7</v>
      </c>
      <c r="BZ304" s="27" t="s">
        <v>7</v>
      </c>
      <c r="CA304" s="27" t="s">
        <v>8</v>
      </c>
      <c r="CB304" s="27" t="s">
        <v>7</v>
      </c>
      <c r="CM304" s="27" t="s">
        <v>8</v>
      </c>
      <c r="CN304" s="27" t="s">
        <v>7</v>
      </c>
      <c r="CO304" s="27" t="s">
        <v>8</v>
      </c>
      <c r="CP304" s="27" t="s">
        <v>7</v>
      </c>
      <c r="CQ304" s="27" t="s">
        <v>8</v>
      </c>
      <c r="CS304" s="27" t="s">
        <v>8</v>
      </c>
      <c r="CT304" s="27" t="s">
        <v>7</v>
      </c>
      <c r="CU304" s="27" t="s">
        <v>8</v>
      </c>
      <c r="CW304" s="27" t="s">
        <v>8</v>
      </c>
      <c r="CX304" s="27" t="s">
        <v>7</v>
      </c>
      <c r="CY304" s="27" t="s">
        <v>8</v>
      </c>
      <c r="CZ304" s="27" t="s">
        <v>7</v>
      </c>
      <c r="DB304" s="27" t="s">
        <v>7</v>
      </c>
      <c r="DC304" s="27" t="s">
        <v>8</v>
      </c>
      <c r="DD304" s="27" t="s">
        <v>7</v>
      </c>
      <c r="DE304" s="27" t="s">
        <v>8</v>
      </c>
      <c r="DH304" s="27" t="s">
        <v>7</v>
      </c>
      <c r="DI304" s="27" t="s">
        <v>8</v>
      </c>
      <c r="JH304" s="27" t="s">
        <v>7</v>
      </c>
      <c r="JI304" s="27" t="s">
        <v>8</v>
      </c>
      <c r="JJ304" s="27" t="s">
        <v>7</v>
      </c>
      <c r="JK304" s="27" t="s">
        <v>8</v>
      </c>
    </row>
    <row r="305" spans="1:271" x14ac:dyDescent="0.25">
      <c r="A305" s="7">
        <v>266.22475550472598</v>
      </c>
      <c r="B305"/>
      <c r="C305"/>
      <c r="D305"/>
      <c r="E305"/>
      <c r="G305" s="27" t="s">
        <v>8</v>
      </c>
      <c r="H305" s="27" t="s">
        <v>7</v>
      </c>
      <c r="I305" s="27" t="s">
        <v>8</v>
      </c>
      <c r="AD305" s="27" t="s">
        <v>7</v>
      </c>
      <c r="AE305" s="27" t="s">
        <v>8</v>
      </c>
      <c r="AF305" s="27" t="s">
        <v>7</v>
      </c>
      <c r="AU305" s="27" t="s">
        <v>8</v>
      </c>
      <c r="AV305" s="27" t="s">
        <v>7</v>
      </c>
      <c r="BA305" s="27" t="s">
        <v>8</v>
      </c>
      <c r="BB305" s="27" t="s">
        <v>7</v>
      </c>
      <c r="BC305" s="27" t="s">
        <v>8</v>
      </c>
      <c r="BD305" s="27" t="s">
        <v>7</v>
      </c>
      <c r="BK305" s="27" t="s">
        <v>8</v>
      </c>
      <c r="BQ305" s="27" t="s">
        <v>8</v>
      </c>
      <c r="BZ305" s="27" t="s">
        <v>7</v>
      </c>
      <c r="CA305" s="27" t="s">
        <v>8</v>
      </c>
      <c r="CB305" s="27" t="s">
        <v>7</v>
      </c>
      <c r="CK305" s="27" t="s">
        <v>8</v>
      </c>
      <c r="CM305" s="27" t="s">
        <v>8</v>
      </c>
      <c r="CN305" s="27" t="s">
        <v>7</v>
      </c>
      <c r="CO305" s="27" t="s">
        <v>8</v>
      </c>
      <c r="CP305" s="27" t="s">
        <v>7</v>
      </c>
      <c r="CQ305" s="27" t="s">
        <v>8</v>
      </c>
      <c r="CR305" s="27" t="s">
        <v>7</v>
      </c>
      <c r="CS305" s="27" t="s">
        <v>8</v>
      </c>
      <c r="CT305" s="27" t="s">
        <v>7</v>
      </c>
      <c r="CU305" s="27" t="s">
        <v>8</v>
      </c>
      <c r="CV305" s="27" t="s">
        <v>7</v>
      </c>
      <c r="CW305" s="27" t="s">
        <v>8</v>
      </c>
      <c r="CX305" s="27" t="s">
        <v>7</v>
      </c>
      <c r="CY305" s="27" t="s">
        <v>8</v>
      </c>
      <c r="DB305" s="27" t="s">
        <v>7</v>
      </c>
      <c r="DC305" s="27" t="s">
        <v>8</v>
      </c>
      <c r="DD305" s="27" t="s">
        <v>7</v>
      </c>
      <c r="DH305" s="27" t="s">
        <v>7</v>
      </c>
      <c r="JH305" s="27" t="s">
        <v>7</v>
      </c>
      <c r="JJ305" s="27" t="s">
        <v>7</v>
      </c>
      <c r="JK305" s="27" t="s">
        <v>8</v>
      </c>
    </row>
    <row r="306" spans="1:271" x14ac:dyDescent="0.25">
      <c r="A306" s="7">
        <v>261.00466225953528</v>
      </c>
      <c r="B306"/>
      <c r="C306"/>
      <c r="D306"/>
      <c r="E306"/>
      <c r="G306" s="27" t="s">
        <v>8</v>
      </c>
      <c r="H306" s="27" t="s">
        <v>7</v>
      </c>
      <c r="AD306" s="27" t="s">
        <v>7</v>
      </c>
      <c r="AE306" s="27" t="s">
        <v>8</v>
      </c>
      <c r="AF306" s="27" t="s">
        <v>7</v>
      </c>
      <c r="AU306" s="27" t="s">
        <v>8</v>
      </c>
      <c r="AV306" s="27" t="s">
        <v>7</v>
      </c>
      <c r="BA306" s="27" t="s">
        <v>8</v>
      </c>
      <c r="BB306" s="27" t="s">
        <v>7</v>
      </c>
      <c r="BC306" s="27" t="s">
        <v>8</v>
      </c>
      <c r="BD306" s="27" t="s">
        <v>7</v>
      </c>
      <c r="BK306" s="27" t="s">
        <v>8</v>
      </c>
      <c r="BL306" s="27" t="s">
        <v>7</v>
      </c>
      <c r="BQ306" s="27" t="s">
        <v>8</v>
      </c>
      <c r="BZ306" s="27" t="s">
        <v>7</v>
      </c>
      <c r="CB306" s="27" t="s">
        <v>7</v>
      </c>
      <c r="CK306" s="27" t="s">
        <v>8</v>
      </c>
      <c r="CL306" s="27" t="s">
        <v>7</v>
      </c>
      <c r="CM306" s="27" t="s">
        <v>8</v>
      </c>
      <c r="CN306" s="27" t="s">
        <v>7</v>
      </c>
      <c r="CO306" s="27" t="s">
        <v>8</v>
      </c>
      <c r="CP306" s="27" t="s">
        <v>7</v>
      </c>
      <c r="CQ306" s="27" t="s">
        <v>8</v>
      </c>
      <c r="CR306" s="27" t="s">
        <v>7</v>
      </c>
      <c r="CS306" s="27" t="s">
        <v>8</v>
      </c>
      <c r="CT306" s="27" t="s">
        <v>7</v>
      </c>
      <c r="CU306" s="27" t="s">
        <v>8</v>
      </c>
      <c r="CV306" s="27" t="s">
        <v>7</v>
      </c>
      <c r="CW306" s="27" t="s">
        <v>8</v>
      </c>
      <c r="CX306" s="27" t="s">
        <v>7</v>
      </c>
      <c r="CY306" s="27" t="s">
        <v>8</v>
      </c>
      <c r="DB306" s="27" t="s">
        <v>7</v>
      </c>
      <c r="DC306" s="27" t="s">
        <v>8</v>
      </c>
      <c r="JJ306" s="27" t="s">
        <v>7</v>
      </c>
    </row>
    <row r="307" spans="1:271" x14ac:dyDescent="0.25">
      <c r="A307" s="7">
        <v>255.88692378385809</v>
      </c>
      <c r="B307"/>
      <c r="C307"/>
      <c r="D307"/>
      <c r="E307"/>
      <c r="G307" s="27" t="s">
        <v>8</v>
      </c>
      <c r="AD307" s="27" t="s">
        <v>7</v>
      </c>
      <c r="AF307" s="27" t="s">
        <v>7</v>
      </c>
      <c r="AU307" s="27" t="s">
        <v>8</v>
      </c>
      <c r="AV307" s="27" t="s">
        <v>7</v>
      </c>
      <c r="BA307" s="27" t="s">
        <v>8</v>
      </c>
      <c r="BB307" s="27" t="s">
        <v>7</v>
      </c>
      <c r="BC307" s="27" t="s">
        <v>8</v>
      </c>
      <c r="BD307" s="27" t="s">
        <v>7</v>
      </c>
      <c r="BK307" s="27" t="s">
        <v>8</v>
      </c>
      <c r="BL307" s="27" t="s">
        <v>7</v>
      </c>
      <c r="BQ307" s="27" t="s">
        <v>8</v>
      </c>
      <c r="CB307" s="27" t="s">
        <v>7</v>
      </c>
      <c r="CK307" s="27" t="s">
        <v>8</v>
      </c>
      <c r="CL307" s="27" t="s">
        <v>7</v>
      </c>
      <c r="CM307" s="27" t="s">
        <v>8</v>
      </c>
      <c r="CN307" s="27" t="s">
        <v>7</v>
      </c>
      <c r="CP307" s="27" t="s">
        <v>7</v>
      </c>
      <c r="CR307" s="27" t="s">
        <v>7</v>
      </c>
      <c r="CS307" s="27" t="s">
        <v>8</v>
      </c>
      <c r="CT307" s="27" t="s">
        <v>7</v>
      </c>
      <c r="CU307" s="27" t="s">
        <v>8</v>
      </c>
      <c r="CV307" s="27" t="s">
        <v>7</v>
      </c>
      <c r="CW307" s="27" t="s">
        <v>8</v>
      </c>
      <c r="CX307" s="27" t="s">
        <v>7</v>
      </c>
      <c r="CY307" s="27" t="s">
        <v>8</v>
      </c>
      <c r="DB307" s="27" t="s">
        <v>7</v>
      </c>
    </row>
    <row r="308" spans="1:271" x14ac:dyDescent="0.25">
      <c r="A308" s="7">
        <v>250.8695331214295</v>
      </c>
      <c r="B308"/>
      <c r="C308"/>
      <c r="D308"/>
      <c r="E308" t="s">
        <v>8</v>
      </c>
      <c r="G308" s="27" t="s">
        <v>8</v>
      </c>
      <c r="AF308" s="27" t="s">
        <v>7</v>
      </c>
      <c r="AU308" s="27" t="s">
        <v>8</v>
      </c>
      <c r="AV308" s="27" t="s">
        <v>7</v>
      </c>
      <c r="BA308" s="27" t="s">
        <v>8</v>
      </c>
      <c r="BB308" s="27" t="s">
        <v>7</v>
      </c>
      <c r="BC308" s="27" t="s">
        <v>8</v>
      </c>
      <c r="BD308" s="27" t="s">
        <v>7</v>
      </c>
      <c r="BE308" s="27" t="s">
        <v>8</v>
      </c>
      <c r="BI308" s="27" t="s">
        <v>8</v>
      </c>
      <c r="BK308" s="27" t="s">
        <v>8</v>
      </c>
      <c r="BL308" s="27" t="s">
        <v>7</v>
      </c>
      <c r="BQ308" s="27" t="s">
        <v>8</v>
      </c>
      <c r="CB308" s="27" t="s">
        <v>7</v>
      </c>
      <c r="CK308" s="27" t="s">
        <v>8</v>
      </c>
      <c r="CL308" s="27" t="s">
        <v>7</v>
      </c>
      <c r="CM308" s="27" t="s">
        <v>8</v>
      </c>
      <c r="CR308" s="27" t="s">
        <v>7</v>
      </c>
      <c r="CS308" s="27" t="s">
        <v>8</v>
      </c>
      <c r="CT308" s="27" t="s">
        <v>7</v>
      </c>
      <c r="CV308" s="27" t="s">
        <v>7</v>
      </c>
      <c r="CW308" s="27" t="s">
        <v>8</v>
      </c>
      <c r="CX308" s="27" t="s">
        <v>7</v>
      </c>
    </row>
    <row r="309" spans="1:271" x14ac:dyDescent="0.25">
      <c r="A309" s="7">
        <v>245.95052266806812</v>
      </c>
      <c r="B309"/>
      <c r="C309"/>
      <c r="D309"/>
      <c r="E309" t="s">
        <v>8</v>
      </c>
      <c r="F309" s="27" t="s">
        <v>7</v>
      </c>
      <c r="G309" s="27" t="s">
        <v>8</v>
      </c>
      <c r="AF309" s="27" t="s">
        <v>7</v>
      </c>
      <c r="AK309" s="27" t="s">
        <v>8</v>
      </c>
      <c r="AQ309" s="27" t="s">
        <v>8</v>
      </c>
      <c r="AU309" s="27" t="s">
        <v>8</v>
      </c>
      <c r="AV309" s="27" t="s">
        <v>7</v>
      </c>
      <c r="AY309" s="27" t="s">
        <v>8</v>
      </c>
      <c r="BA309" s="27" t="s">
        <v>8</v>
      </c>
      <c r="BB309" s="27" t="s">
        <v>7</v>
      </c>
      <c r="BC309" s="27" t="s">
        <v>8</v>
      </c>
      <c r="BD309" s="27" t="s">
        <v>7</v>
      </c>
      <c r="BE309" s="27" t="s">
        <v>8</v>
      </c>
      <c r="BF309" s="27" t="s">
        <v>7</v>
      </c>
      <c r="BI309" s="27" t="s">
        <v>8</v>
      </c>
      <c r="BJ309" s="27" t="s">
        <v>7</v>
      </c>
      <c r="BK309" s="27" t="s">
        <v>8</v>
      </c>
      <c r="BL309" s="27" t="s">
        <v>7</v>
      </c>
      <c r="BM309" s="27" t="s">
        <v>8</v>
      </c>
      <c r="BO309" s="27" t="s">
        <v>8</v>
      </c>
      <c r="BQ309" s="27" t="s">
        <v>8</v>
      </c>
      <c r="CB309" s="27" t="s">
        <v>7</v>
      </c>
      <c r="CK309" s="27" t="s">
        <v>8</v>
      </c>
      <c r="CL309" s="27" t="s">
        <v>7</v>
      </c>
      <c r="CM309" s="27" t="s">
        <v>8</v>
      </c>
      <c r="CR309" s="27" t="s">
        <v>7</v>
      </c>
      <c r="CS309" s="27" t="s">
        <v>8</v>
      </c>
      <c r="CV309" s="27" t="s">
        <v>7</v>
      </c>
      <c r="CW309" s="27" t="s">
        <v>8</v>
      </c>
    </row>
    <row r="310" spans="1:271" x14ac:dyDescent="0.25">
      <c r="A310" s="7">
        <v>241.12796340006679</v>
      </c>
      <c r="B310"/>
      <c r="C310"/>
      <c r="D310"/>
      <c r="E310" t="s">
        <v>8</v>
      </c>
      <c r="F310" s="27" t="s">
        <v>7</v>
      </c>
      <c r="G310" s="27" t="s">
        <v>8</v>
      </c>
      <c r="AF310" s="27" t="s">
        <v>7</v>
      </c>
      <c r="AK310" s="27" t="s">
        <v>8</v>
      </c>
      <c r="AL310" s="27" t="s">
        <v>7</v>
      </c>
      <c r="AQ310" s="27" t="s">
        <v>8</v>
      </c>
      <c r="AR310" s="27" t="s">
        <v>7</v>
      </c>
      <c r="AS310" s="27" t="s">
        <v>8</v>
      </c>
      <c r="AU310" s="27" t="s">
        <v>8</v>
      </c>
      <c r="AV310" s="27" t="s">
        <v>7</v>
      </c>
      <c r="AW310" s="27" t="s">
        <v>8</v>
      </c>
      <c r="AY310" s="27" t="s">
        <v>8</v>
      </c>
      <c r="AZ310" s="27" t="s">
        <v>7</v>
      </c>
      <c r="BA310" s="27" t="s">
        <v>8</v>
      </c>
      <c r="BB310" s="27" t="s">
        <v>7</v>
      </c>
      <c r="BC310" s="27" t="s">
        <v>8</v>
      </c>
      <c r="BD310" s="27" t="s">
        <v>7</v>
      </c>
      <c r="BE310" s="27" t="s">
        <v>8</v>
      </c>
      <c r="BF310" s="27" t="s">
        <v>7</v>
      </c>
      <c r="BI310" s="27" t="s">
        <v>8</v>
      </c>
      <c r="BJ310" s="27" t="s">
        <v>7</v>
      </c>
      <c r="BK310" s="27" t="s">
        <v>8</v>
      </c>
      <c r="BL310" s="27" t="s">
        <v>7</v>
      </c>
      <c r="BM310" s="27" t="s">
        <v>8</v>
      </c>
      <c r="BN310" s="27" t="s">
        <v>7</v>
      </c>
      <c r="BO310" s="27" t="s">
        <v>8</v>
      </c>
      <c r="BP310" s="27" t="s">
        <v>7</v>
      </c>
      <c r="BQ310" s="27" t="s">
        <v>8</v>
      </c>
      <c r="CB310" s="27" t="s">
        <v>7</v>
      </c>
      <c r="CG310" s="27" t="s">
        <v>8</v>
      </c>
      <c r="CK310" s="27" t="s">
        <v>8</v>
      </c>
      <c r="CL310" s="27" t="s">
        <v>7</v>
      </c>
      <c r="CR310" s="27" t="s">
        <v>7</v>
      </c>
      <c r="CS310" s="27" t="s">
        <v>8</v>
      </c>
      <c r="CV310" s="27" t="s">
        <v>7</v>
      </c>
      <c r="CW310" s="27" t="s">
        <v>8</v>
      </c>
    </row>
    <row r="311" spans="1:271" x14ac:dyDescent="0.25">
      <c r="A311" s="7">
        <v>236.39996411771253</v>
      </c>
      <c r="B311"/>
      <c r="C311"/>
      <c r="D311"/>
      <c r="E311" t="s">
        <v>8</v>
      </c>
      <c r="F311" s="27" t="s">
        <v>7</v>
      </c>
      <c r="G311" s="27" t="s">
        <v>8</v>
      </c>
      <c r="AF311" s="27" t="s">
        <v>7</v>
      </c>
      <c r="AK311" s="27" t="s">
        <v>8</v>
      </c>
      <c r="AL311" s="27" t="s">
        <v>7</v>
      </c>
      <c r="AQ311" s="27" t="s">
        <v>8</v>
      </c>
      <c r="AR311" s="27" t="s">
        <v>7</v>
      </c>
      <c r="AS311" s="27" t="s">
        <v>8</v>
      </c>
      <c r="AT311" s="27" t="s">
        <v>7</v>
      </c>
      <c r="AU311" s="27" t="s">
        <v>8</v>
      </c>
      <c r="AV311" s="27" t="s">
        <v>7</v>
      </c>
      <c r="AW311" s="27" t="s">
        <v>8</v>
      </c>
      <c r="AX311" s="27" t="s">
        <v>7</v>
      </c>
      <c r="AY311" s="27" t="s">
        <v>8</v>
      </c>
      <c r="AZ311" s="27" t="s">
        <v>7</v>
      </c>
      <c r="BA311" s="27" t="s">
        <v>8</v>
      </c>
      <c r="BB311" s="27" t="s">
        <v>7</v>
      </c>
      <c r="BD311" s="27" t="s">
        <v>7</v>
      </c>
      <c r="BE311" s="27" t="s">
        <v>8</v>
      </c>
      <c r="BF311" s="27" t="s">
        <v>7</v>
      </c>
      <c r="BG311" s="27" t="s">
        <v>8</v>
      </c>
      <c r="BI311" s="27" t="s">
        <v>8</v>
      </c>
      <c r="BJ311" s="27" t="s">
        <v>7</v>
      </c>
      <c r="BL311" s="27" t="s">
        <v>7</v>
      </c>
      <c r="BM311" s="27" t="s">
        <v>8</v>
      </c>
      <c r="BN311" s="27" t="s">
        <v>7</v>
      </c>
      <c r="BO311" s="27" t="s">
        <v>8</v>
      </c>
      <c r="BP311" s="27" t="s">
        <v>7</v>
      </c>
      <c r="BQ311" s="27" t="s">
        <v>8</v>
      </c>
      <c r="CB311" s="27" t="s">
        <v>7</v>
      </c>
      <c r="CC311" s="27" t="s">
        <v>8</v>
      </c>
      <c r="CG311" s="27" t="s">
        <v>8</v>
      </c>
      <c r="CH311" s="27" t="s">
        <v>7</v>
      </c>
      <c r="CK311" s="27" t="s">
        <v>8</v>
      </c>
      <c r="CR311" s="27" t="s">
        <v>7</v>
      </c>
      <c r="CS311" s="27" t="s">
        <v>8</v>
      </c>
      <c r="CV311" s="27" t="s">
        <v>7</v>
      </c>
    </row>
    <row r="312" spans="1:271" x14ac:dyDescent="0.25">
      <c r="A312" s="7">
        <v>231.76467070363972</v>
      </c>
      <c r="B312"/>
      <c r="C312"/>
      <c r="D312"/>
      <c r="E312" t="s">
        <v>8</v>
      </c>
      <c r="F312" s="27" t="s">
        <v>7</v>
      </c>
      <c r="AF312" s="27" t="s">
        <v>7</v>
      </c>
      <c r="AK312" s="27" t="s">
        <v>8</v>
      </c>
      <c r="AL312" s="27" t="s">
        <v>7</v>
      </c>
      <c r="AO312" s="27" t="s">
        <v>8</v>
      </c>
      <c r="AQ312" s="27" t="s">
        <v>8</v>
      </c>
      <c r="AR312" s="27" t="s">
        <v>7</v>
      </c>
      <c r="AS312" s="27" t="s">
        <v>8</v>
      </c>
      <c r="AT312" s="27" t="s">
        <v>7</v>
      </c>
      <c r="AU312" s="27" t="s">
        <v>8</v>
      </c>
      <c r="AV312" s="27" t="s">
        <v>7</v>
      </c>
      <c r="AW312" s="27" t="s">
        <v>8</v>
      </c>
      <c r="AX312" s="27" t="s">
        <v>7</v>
      </c>
      <c r="AY312" s="27" t="s">
        <v>8</v>
      </c>
      <c r="AZ312" s="27" t="s">
        <v>7</v>
      </c>
      <c r="BA312" s="27" t="s">
        <v>8</v>
      </c>
      <c r="BD312" s="27" t="s">
        <v>7</v>
      </c>
      <c r="BE312" s="27" t="s">
        <v>8</v>
      </c>
      <c r="BF312" s="27" t="s">
        <v>7</v>
      </c>
      <c r="BG312" s="27" t="s">
        <v>8</v>
      </c>
      <c r="BH312" s="27" t="s">
        <v>7</v>
      </c>
      <c r="BI312" s="27" t="s">
        <v>8</v>
      </c>
      <c r="BL312" s="27" t="s">
        <v>7</v>
      </c>
      <c r="BM312" s="27" t="s">
        <v>8</v>
      </c>
      <c r="BN312" s="27" t="s">
        <v>7</v>
      </c>
      <c r="BO312" s="27" t="s">
        <v>8</v>
      </c>
      <c r="BP312" s="27" t="s">
        <v>7</v>
      </c>
      <c r="BQ312" s="27" t="s">
        <v>8</v>
      </c>
      <c r="CB312" s="27" t="s">
        <v>7</v>
      </c>
      <c r="CC312" s="27" t="s">
        <v>8</v>
      </c>
      <c r="CD312" s="27" t="s">
        <v>7</v>
      </c>
      <c r="CE312" s="27" t="s">
        <v>8</v>
      </c>
      <c r="CG312" s="27" t="s">
        <v>8</v>
      </c>
      <c r="CH312" s="27" t="s">
        <v>7</v>
      </c>
      <c r="CI312" s="27" t="s">
        <v>8</v>
      </c>
      <c r="CK312" s="27" t="s">
        <v>8</v>
      </c>
      <c r="CR312" s="27" t="s">
        <v>7</v>
      </c>
    </row>
    <row r="313" spans="1:271" x14ac:dyDescent="0.25">
      <c r="A313" s="7">
        <v>227.22026539572522</v>
      </c>
      <c r="B313"/>
      <c r="C313"/>
      <c r="D313"/>
      <c r="E313" t="s">
        <v>8</v>
      </c>
      <c r="AF313" s="27" t="s">
        <v>7</v>
      </c>
      <c r="AK313" s="27" t="s">
        <v>8</v>
      </c>
      <c r="AL313" s="27" t="s">
        <v>7</v>
      </c>
      <c r="AM313" s="27" t="s">
        <v>8</v>
      </c>
      <c r="AO313" s="27" t="s">
        <v>8</v>
      </c>
      <c r="AP313" s="27" t="s">
        <v>7</v>
      </c>
      <c r="AQ313" s="27" t="s">
        <v>8</v>
      </c>
      <c r="AR313" s="27" t="s">
        <v>7</v>
      </c>
      <c r="AS313" s="27" t="s">
        <v>8</v>
      </c>
      <c r="AT313" s="27" t="s">
        <v>7</v>
      </c>
      <c r="AV313" s="27" t="s">
        <v>7</v>
      </c>
      <c r="AW313" s="27" t="s">
        <v>8</v>
      </c>
      <c r="AX313" s="27" t="s">
        <v>7</v>
      </c>
      <c r="AY313" s="27" t="s">
        <v>8</v>
      </c>
      <c r="AZ313" s="27" t="s">
        <v>7</v>
      </c>
      <c r="BA313" s="27" t="s">
        <v>8</v>
      </c>
      <c r="BD313" s="27" t="s">
        <v>7</v>
      </c>
      <c r="BE313" s="27" t="s">
        <v>8</v>
      </c>
      <c r="BF313" s="27" t="s">
        <v>7</v>
      </c>
      <c r="BG313" s="27" t="s">
        <v>8</v>
      </c>
      <c r="BH313" s="27" t="s">
        <v>7</v>
      </c>
      <c r="BI313" s="27" t="s">
        <v>8</v>
      </c>
      <c r="BL313" s="27" t="s">
        <v>7</v>
      </c>
      <c r="BN313" s="27" t="s">
        <v>7</v>
      </c>
      <c r="BO313" s="27" t="s">
        <v>8</v>
      </c>
      <c r="BP313" s="27" t="s">
        <v>7</v>
      </c>
      <c r="BQ313" s="27" t="s">
        <v>8</v>
      </c>
      <c r="CB313" s="27" t="s">
        <v>7</v>
      </c>
      <c r="CC313" s="27" t="s">
        <v>8</v>
      </c>
      <c r="CD313" s="27" t="s">
        <v>7</v>
      </c>
      <c r="CE313" s="27" t="s">
        <v>8</v>
      </c>
      <c r="CF313" s="27" t="s">
        <v>7</v>
      </c>
      <c r="CG313" s="27" t="s">
        <v>8</v>
      </c>
      <c r="CH313" s="27" t="s">
        <v>7</v>
      </c>
      <c r="CI313" s="27" t="s">
        <v>8</v>
      </c>
      <c r="CJ313" s="27" t="s">
        <v>7</v>
      </c>
      <c r="CK313" s="27" t="s">
        <v>8</v>
      </c>
    </row>
    <row r="314" spans="1:271" x14ac:dyDescent="0.25">
      <c r="A314" s="7">
        <v>222.76496607424042</v>
      </c>
      <c r="B314"/>
      <c r="C314"/>
      <c r="D314"/>
      <c r="E314" t="s">
        <v>8</v>
      </c>
      <c r="AF314" s="27" t="s">
        <v>7</v>
      </c>
      <c r="AK314" s="27" t="s">
        <v>8</v>
      </c>
      <c r="AL314" s="27" t="s">
        <v>7</v>
      </c>
      <c r="AM314" s="27" t="s">
        <v>8</v>
      </c>
      <c r="AN314" s="27" t="s">
        <v>7</v>
      </c>
      <c r="AO314" s="27" t="s">
        <v>8</v>
      </c>
      <c r="AP314" s="27" t="s">
        <v>7</v>
      </c>
      <c r="AQ314" s="27" t="s">
        <v>8</v>
      </c>
      <c r="AR314" s="27" t="s">
        <v>7</v>
      </c>
      <c r="AS314" s="27" t="s">
        <v>8</v>
      </c>
      <c r="AV314" s="27" t="s">
        <v>7</v>
      </c>
      <c r="AX314" s="27" t="s">
        <v>7</v>
      </c>
      <c r="AY314" s="27" t="s">
        <v>8</v>
      </c>
      <c r="AZ314" s="27" t="s">
        <v>7</v>
      </c>
      <c r="BA314" s="27" t="s">
        <v>8</v>
      </c>
      <c r="BD314" s="27" t="s">
        <v>7</v>
      </c>
      <c r="BE314" s="27" t="s">
        <v>8</v>
      </c>
      <c r="BF314" s="27" t="s">
        <v>7</v>
      </c>
      <c r="BH314" s="27" t="s">
        <v>7</v>
      </c>
      <c r="BN314" s="27" t="s">
        <v>7</v>
      </c>
      <c r="BO314" s="27" t="s">
        <v>8</v>
      </c>
      <c r="BP314" s="27" t="s">
        <v>7</v>
      </c>
      <c r="BQ314" s="27" t="s">
        <v>8</v>
      </c>
      <c r="CB314" s="27" t="s">
        <v>7</v>
      </c>
      <c r="CC314" s="27" t="s">
        <v>8</v>
      </c>
      <c r="CD314" s="27" t="s">
        <v>7</v>
      </c>
      <c r="CE314" s="27" t="s">
        <v>8</v>
      </c>
      <c r="CF314" s="27" t="s">
        <v>7</v>
      </c>
      <c r="CG314" s="27" t="s">
        <v>8</v>
      </c>
      <c r="CH314" s="27" t="s">
        <v>7</v>
      </c>
      <c r="CI314" s="27" t="s">
        <v>8</v>
      </c>
      <c r="CJ314" s="27" t="s">
        <v>7</v>
      </c>
      <c r="CK314" s="27" t="s">
        <v>8</v>
      </c>
    </row>
    <row r="315" spans="1:271" x14ac:dyDescent="0.25">
      <c r="A315" s="7">
        <v>218.39702556298079</v>
      </c>
      <c r="B315"/>
      <c r="C315"/>
      <c r="D315"/>
      <c r="E315" t="s">
        <v>8</v>
      </c>
      <c r="AF315" s="27" t="s">
        <v>7</v>
      </c>
      <c r="AK315" s="27" t="s">
        <v>8</v>
      </c>
      <c r="AL315" s="27" t="s">
        <v>7</v>
      </c>
      <c r="AM315" s="27" t="s">
        <v>8</v>
      </c>
      <c r="AN315" s="27" t="s">
        <v>7</v>
      </c>
      <c r="AO315" s="27" t="s">
        <v>8</v>
      </c>
      <c r="AP315" s="27" t="s">
        <v>7</v>
      </c>
      <c r="AQ315" s="27" t="s">
        <v>8</v>
      </c>
      <c r="AR315" s="27" t="s">
        <v>7</v>
      </c>
      <c r="AS315" s="27" t="s">
        <v>8</v>
      </c>
      <c r="AX315" s="27" t="s">
        <v>7</v>
      </c>
      <c r="AY315" s="27" t="s">
        <v>8</v>
      </c>
      <c r="AZ315" s="27" t="s">
        <v>7</v>
      </c>
      <c r="BD315" s="27" t="s">
        <v>7</v>
      </c>
      <c r="BN315" s="27" t="s">
        <v>7</v>
      </c>
      <c r="BO315" s="27" t="s">
        <v>8</v>
      </c>
      <c r="BP315" s="27" t="s">
        <v>7</v>
      </c>
      <c r="CB315" s="27" t="s">
        <v>7</v>
      </c>
      <c r="CC315" s="27" t="s">
        <v>8</v>
      </c>
      <c r="CD315" s="27" t="s">
        <v>7</v>
      </c>
      <c r="CE315" s="27" t="s">
        <v>8</v>
      </c>
      <c r="CF315" s="27" t="s">
        <v>7</v>
      </c>
      <c r="CH315" s="27" t="s">
        <v>7</v>
      </c>
      <c r="CI315" s="27" t="s">
        <v>8</v>
      </c>
      <c r="CJ315" s="27" t="s">
        <v>7</v>
      </c>
      <c r="CK315" s="27" t="s">
        <v>8</v>
      </c>
    </row>
    <row r="316" spans="1:271" x14ac:dyDescent="0.25">
      <c r="A316" s="7">
        <v>214.1147309440988</v>
      </c>
      <c r="B316"/>
      <c r="C316"/>
      <c r="D316"/>
      <c r="E316" t="s">
        <v>8</v>
      </c>
      <c r="AF316" s="27" t="s">
        <v>7</v>
      </c>
      <c r="AK316" s="27" t="s">
        <v>8</v>
      </c>
      <c r="AL316" s="27" t="s">
        <v>7</v>
      </c>
      <c r="AM316" s="27" t="s">
        <v>8</v>
      </c>
      <c r="AN316" s="27" t="s">
        <v>7</v>
      </c>
      <c r="AP316" s="27" t="s">
        <v>7</v>
      </c>
      <c r="AQ316" s="27" t="s">
        <v>8</v>
      </c>
      <c r="AR316" s="27" t="s">
        <v>7</v>
      </c>
      <c r="AX316" s="27" t="s">
        <v>7</v>
      </c>
      <c r="AY316" s="27" t="s">
        <v>8</v>
      </c>
      <c r="BN316" s="27" t="s">
        <v>7</v>
      </c>
      <c r="BO316" s="27" t="s">
        <v>8</v>
      </c>
      <c r="CB316" s="27" t="s">
        <v>7</v>
      </c>
      <c r="CC316" s="27" t="s">
        <v>8</v>
      </c>
      <c r="CD316" s="27" t="s">
        <v>7</v>
      </c>
      <c r="CH316" s="27" t="s">
        <v>7</v>
      </c>
      <c r="CI316" s="27" t="s">
        <v>8</v>
      </c>
      <c r="CJ316" s="27" t="s">
        <v>7</v>
      </c>
    </row>
    <row r="317" spans="1:271" x14ac:dyDescent="0.25">
      <c r="A317" s="7">
        <v>209.91640288637137</v>
      </c>
      <c r="B317"/>
      <c r="C317"/>
      <c r="D317"/>
      <c r="E317" t="s">
        <v>8</v>
      </c>
      <c r="AF317" s="27" t="s">
        <v>7</v>
      </c>
      <c r="AK317" s="27" t="s">
        <v>8</v>
      </c>
      <c r="AL317" s="27" t="s">
        <v>7</v>
      </c>
      <c r="AM317" s="27" t="s">
        <v>8</v>
      </c>
      <c r="AP317" s="27" t="s">
        <v>7</v>
      </c>
      <c r="AQ317" s="27" t="s">
        <v>8</v>
      </c>
      <c r="AX317" s="27" t="s">
        <v>7</v>
      </c>
      <c r="BN317" s="27" t="s">
        <v>7</v>
      </c>
      <c r="BO317" s="27" t="s">
        <v>8</v>
      </c>
      <c r="CB317" s="27" t="s">
        <v>7</v>
      </c>
      <c r="CC317" s="27" t="s">
        <v>8</v>
      </c>
      <c r="CH317" s="27" t="s">
        <v>7</v>
      </c>
      <c r="CI317" s="27" t="s">
        <v>8</v>
      </c>
    </row>
    <row r="318" spans="1:271" x14ac:dyDescent="0.25">
      <c r="A318" s="7">
        <v>205.80039498663859</v>
      </c>
      <c r="B318"/>
      <c r="C318"/>
      <c r="D318"/>
      <c r="E318" t="s">
        <v>8</v>
      </c>
      <c r="AF318" s="27" t="s">
        <v>7</v>
      </c>
      <c r="AK318" s="27" t="s">
        <v>8</v>
      </c>
      <c r="AL318" s="27" t="s">
        <v>7</v>
      </c>
      <c r="AM318" s="27" t="s">
        <v>8</v>
      </c>
      <c r="AP318" s="27" t="s">
        <v>7</v>
      </c>
      <c r="BN318" s="27" t="s">
        <v>7</v>
      </c>
      <c r="CB318" s="27" t="s">
        <v>7</v>
      </c>
      <c r="CC318" s="27" t="s">
        <v>8</v>
      </c>
      <c r="CH318" s="27" t="s">
        <v>7</v>
      </c>
    </row>
    <row r="319" spans="1:271" x14ac:dyDescent="0.25">
      <c r="A319" s="7">
        <v>201.76509312415547</v>
      </c>
      <c r="B319"/>
      <c r="C319"/>
      <c r="D319"/>
      <c r="E319" t="s">
        <v>8</v>
      </c>
      <c r="AF319" s="27" t="s">
        <v>7</v>
      </c>
      <c r="AK319" s="27" t="s">
        <v>8</v>
      </c>
      <c r="AL319" s="27" t="s">
        <v>7</v>
      </c>
      <c r="CB319" s="27" t="s">
        <v>7</v>
      </c>
    </row>
    <row r="320" spans="1:271" x14ac:dyDescent="0.25">
      <c r="A320" s="7">
        <v>197.80891482760339</v>
      </c>
      <c r="B320"/>
      <c r="C320"/>
      <c r="D320"/>
      <c r="E320" t="s">
        <v>8</v>
      </c>
      <c r="AF320" s="27" t="s">
        <v>7</v>
      </c>
      <c r="AK320" s="27" t="s">
        <v>8</v>
      </c>
    </row>
    <row r="321" spans="1:37" x14ac:dyDescent="0.25">
      <c r="A321" s="7">
        <v>193.93030865451311</v>
      </c>
      <c r="B321"/>
      <c r="C321"/>
      <c r="D321"/>
      <c r="E321" t="s">
        <v>8</v>
      </c>
      <c r="AF321" s="27" t="s">
        <v>7</v>
      </c>
      <c r="AK321" s="27" t="s">
        <v>8</v>
      </c>
    </row>
    <row r="322" spans="1:37" x14ac:dyDescent="0.25">
      <c r="A322" s="7">
        <v>190.127753582856</v>
      </c>
      <c r="B322"/>
      <c r="C322"/>
      <c r="D322"/>
      <c r="E322" t="s">
        <v>8</v>
      </c>
      <c r="AF322" s="27" t="s">
        <v>7</v>
      </c>
      <c r="AG322" s="27" t="s">
        <v>8</v>
      </c>
      <c r="AK322" s="27" t="s">
        <v>8</v>
      </c>
    </row>
    <row r="323" spans="1:37" x14ac:dyDescent="0.25">
      <c r="A323" s="7">
        <v>186.3997584145647</v>
      </c>
      <c r="B323"/>
      <c r="C323"/>
      <c r="D323"/>
      <c r="E323" t="s">
        <v>8</v>
      </c>
      <c r="AF323" s="27" t="s">
        <v>7</v>
      </c>
      <c r="AG323" s="27" t="s">
        <v>8</v>
      </c>
      <c r="AH323" s="27" t="s">
        <v>7</v>
      </c>
      <c r="AI323" s="27" t="s">
        <v>8</v>
      </c>
      <c r="AK323" s="27" t="s">
        <v>8</v>
      </c>
    </row>
    <row r="324" spans="1:37" x14ac:dyDescent="0.25">
      <c r="A324" s="7">
        <v>182.7448611907497</v>
      </c>
      <c r="B324"/>
      <c r="C324"/>
      <c r="D324"/>
      <c r="E324" t="s">
        <v>8</v>
      </c>
      <c r="AF324" s="27" t="s">
        <v>7</v>
      </c>
      <c r="AG324" s="27" t="s">
        <v>8</v>
      </c>
      <c r="AH324" s="27" t="s">
        <v>7</v>
      </c>
      <c r="AI324" s="27" t="s">
        <v>8</v>
      </c>
      <c r="AJ324" s="27" t="s">
        <v>7</v>
      </c>
      <c r="AK324" s="27" t="s">
        <v>8</v>
      </c>
    </row>
    <row r="325" spans="1:37" x14ac:dyDescent="0.25">
      <c r="A325" s="7">
        <v>179.16162861838205</v>
      </c>
      <c r="B325"/>
      <c r="C325"/>
      <c r="D325"/>
      <c r="E325" t="s">
        <v>8</v>
      </c>
      <c r="AF325" s="27" t="s">
        <v>7</v>
      </c>
      <c r="AG325" s="27" t="s">
        <v>8</v>
      </c>
      <c r="AH325" s="27" t="s">
        <v>7</v>
      </c>
      <c r="AI325" s="27" t="s">
        <v>8</v>
      </c>
      <c r="AJ325" s="27" t="s">
        <v>7</v>
      </c>
      <c r="AK325" s="27" t="s">
        <v>8</v>
      </c>
    </row>
    <row r="326" spans="1:37" x14ac:dyDescent="0.25">
      <c r="A326" s="7">
        <v>175.6486555082177</v>
      </c>
      <c r="B326"/>
      <c r="C326"/>
      <c r="D326"/>
      <c r="E326" t="s">
        <v>8</v>
      </c>
      <c r="AF326" s="27" t="s">
        <v>7</v>
      </c>
      <c r="AG326" s="27" t="s">
        <v>8</v>
      </c>
      <c r="AH326" s="27" t="s">
        <v>7</v>
      </c>
      <c r="AI326" s="27" t="s">
        <v>8</v>
      </c>
      <c r="AJ326" s="27" t="s">
        <v>7</v>
      </c>
      <c r="AK326" s="27" t="s">
        <v>8</v>
      </c>
    </row>
    <row r="327" spans="1:37" x14ac:dyDescent="0.25">
      <c r="A327" s="7">
        <v>172.20456422374284</v>
      </c>
      <c r="B327"/>
      <c r="C327"/>
      <c r="D327"/>
      <c r="E327" t="s">
        <v>8</v>
      </c>
      <c r="AF327" s="27" t="s">
        <v>7</v>
      </c>
      <c r="AG327" s="27" t="s">
        <v>8</v>
      </c>
      <c r="AH327" s="27" t="s">
        <v>7</v>
      </c>
      <c r="AI327" s="27" t="s">
        <v>8</v>
      </c>
      <c r="AJ327" s="27" t="s">
        <v>7</v>
      </c>
    </row>
    <row r="328" spans="1:37" x14ac:dyDescent="0.25">
      <c r="A328" s="7">
        <v>168.82800414092435</v>
      </c>
      <c r="B328"/>
      <c r="C328"/>
      <c r="D328"/>
      <c r="E328" t="s">
        <v>8</v>
      </c>
      <c r="AF328" s="27" t="s">
        <v>7</v>
      </c>
      <c r="AG328" s="27" t="s">
        <v>8</v>
      </c>
      <c r="AH328" s="27" t="s">
        <v>7</v>
      </c>
      <c r="AI328" s="27" t="s">
        <v>8</v>
      </c>
    </row>
    <row r="329" spans="1:37" x14ac:dyDescent="0.25">
      <c r="A329" s="7">
        <v>165.51765111855329</v>
      </c>
      <c r="B329"/>
      <c r="C329"/>
      <c r="D329"/>
      <c r="E329" t="s">
        <v>8</v>
      </c>
      <c r="AF329" s="27" t="s">
        <v>7</v>
      </c>
      <c r="AG329" s="27" t="s">
        <v>8</v>
      </c>
      <c r="AH329" s="27" t="s">
        <v>7</v>
      </c>
      <c r="AI329" s="27" t="s">
        <v>8</v>
      </c>
    </row>
    <row r="330" spans="1:37" x14ac:dyDescent="0.25">
      <c r="A330" s="7">
        <v>162.2722069789738</v>
      </c>
      <c r="B330"/>
      <c r="C330"/>
      <c r="D330"/>
      <c r="E330" t="s">
        <v>8</v>
      </c>
      <c r="AF330" s="27" t="s">
        <v>7</v>
      </c>
      <c r="AG330" s="27" t="s">
        <v>8</v>
      </c>
      <c r="AH330" s="27" t="s">
        <v>7</v>
      </c>
      <c r="AI330" s="27" t="s">
        <v>8</v>
      </c>
    </row>
    <row r="331" spans="1:37" x14ac:dyDescent="0.25">
      <c r="A331" s="7">
        <v>159.09039899899392</v>
      </c>
      <c r="B331"/>
      <c r="C331"/>
      <c r="D331"/>
      <c r="E331" t="s">
        <v>8</v>
      </c>
      <c r="AF331" s="27" t="s">
        <v>7</v>
      </c>
      <c r="AG331" s="27" t="s">
        <v>8</v>
      </c>
      <c r="AH331" s="27" t="s">
        <v>7</v>
      </c>
      <c r="AI331" s="27" t="s">
        <v>8</v>
      </c>
    </row>
    <row r="332" spans="1:37" x14ac:dyDescent="0.25">
      <c r="A332" s="7">
        <v>155.97097941077834</v>
      </c>
      <c r="B332"/>
      <c r="C332"/>
      <c r="D332"/>
      <c r="E332" t="s">
        <v>8</v>
      </c>
      <c r="AF332" s="27" t="s">
        <v>7</v>
      </c>
      <c r="AG332" s="27" t="s">
        <v>8</v>
      </c>
      <c r="AH332" s="27" t="s">
        <v>7</v>
      </c>
      <c r="AI332" s="27" t="s">
        <v>8</v>
      </c>
    </row>
    <row r="333" spans="1:37" x14ac:dyDescent="0.25">
      <c r="A333" s="7">
        <v>152.91272491252778</v>
      </c>
      <c r="B333"/>
      <c r="C333"/>
      <c r="D333"/>
      <c r="E333" t="s">
        <v>8</v>
      </c>
      <c r="AF333" s="27" t="s">
        <v>7</v>
      </c>
      <c r="AG333" s="27" t="s">
        <v>8</v>
      </c>
      <c r="AH333" s="27" t="s">
        <v>7</v>
      </c>
      <c r="AI333" s="27" t="s">
        <v>8</v>
      </c>
    </row>
    <row r="334" spans="1:37" x14ac:dyDescent="0.25">
      <c r="A334" s="7">
        <v>149.91443618875272</v>
      </c>
      <c r="B334"/>
      <c r="C334"/>
      <c r="D334"/>
      <c r="E334" t="s">
        <v>8</v>
      </c>
      <c r="AF334" s="27" t="s">
        <v>7</v>
      </c>
      <c r="AG334" s="27" t="s">
        <v>8</v>
      </c>
      <c r="AH334" s="27" t="s">
        <v>7</v>
      </c>
    </row>
    <row r="335" spans="1:37" x14ac:dyDescent="0.25">
      <c r="A335" s="7">
        <v>146.97493743995364</v>
      </c>
      <c r="B335"/>
      <c r="C335"/>
      <c r="D335"/>
      <c r="E335" t="s">
        <v>8</v>
      </c>
      <c r="AF335" s="27" t="s">
        <v>7</v>
      </c>
      <c r="AG335" s="27" t="s">
        <v>8</v>
      </c>
    </row>
    <row r="336" spans="1:37" x14ac:dyDescent="0.25">
      <c r="A336" s="7">
        <v>144.09307592152317</v>
      </c>
      <c r="B336"/>
      <c r="C336"/>
      <c r="D336"/>
      <c r="E336" t="s">
        <v>8</v>
      </c>
      <c r="AF336" s="27" t="s">
        <v>7</v>
      </c>
      <c r="AG336" s="27" t="s">
        <v>8</v>
      </c>
    </row>
    <row r="337" spans="1:33" x14ac:dyDescent="0.25">
      <c r="A337" s="7">
        <v>141.26772149168937</v>
      </c>
      <c r="B337"/>
      <c r="C337"/>
      <c r="D337"/>
      <c r="E337" t="s">
        <v>8</v>
      </c>
      <c r="AF337" s="27" t="s">
        <v>7</v>
      </c>
      <c r="AG337" s="27" t="s">
        <v>8</v>
      </c>
    </row>
    <row r="338" spans="1:33" x14ac:dyDescent="0.25">
      <c r="A338" s="7">
        <v>138.4977661683229</v>
      </c>
      <c r="B338"/>
      <c r="C338"/>
      <c r="D338"/>
      <c r="E338" t="s">
        <v>8</v>
      </c>
      <c r="AF338" s="27" t="s">
        <v>7</v>
      </c>
      <c r="AG338" s="27" t="s">
        <v>8</v>
      </c>
    </row>
    <row r="339" spans="1:33" x14ac:dyDescent="0.25">
      <c r="A339" s="7">
        <v>135.7821236944342</v>
      </c>
      <c r="B339"/>
      <c r="C339"/>
      <c r="D339"/>
      <c r="E339" t="s">
        <v>8</v>
      </c>
      <c r="AF339" s="27" t="s">
        <v>7</v>
      </c>
      <c r="AG339" s="27" t="s">
        <v>8</v>
      </c>
    </row>
    <row r="340" spans="1:33" x14ac:dyDescent="0.25">
      <c r="A340" s="7">
        <v>133.11972911219038</v>
      </c>
      <c r="B340"/>
      <c r="C340"/>
      <c r="D340"/>
      <c r="E340" t="s">
        <v>8</v>
      </c>
      <c r="AF340" s="27" t="s">
        <v>7</v>
      </c>
      <c r="AG340" s="27" t="s">
        <v>8</v>
      </c>
    </row>
    <row r="341" spans="1:33" x14ac:dyDescent="0.25">
      <c r="A341" s="7">
        <v>130.50953834528468</v>
      </c>
      <c r="B341"/>
      <c r="C341"/>
      <c r="D341"/>
      <c r="E341" t="s">
        <v>8</v>
      </c>
      <c r="AF341" s="27" t="s">
        <v>7</v>
      </c>
    </row>
    <row r="342" spans="1:33" x14ac:dyDescent="0.25">
      <c r="A342" s="7">
        <v>127.95052778949477</v>
      </c>
      <c r="B342"/>
      <c r="C342"/>
      <c r="D342"/>
      <c r="E342" t="s">
        <v>8</v>
      </c>
    </row>
    <row r="343" spans="1:33" x14ac:dyDescent="0.25">
      <c r="A343" s="7">
        <v>125.44169391126938</v>
      </c>
      <c r="B343"/>
      <c r="C343"/>
      <c r="D343"/>
      <c r="E343" t="s">
        <v>8</v>
      </c>
    </row>
    <row r="344" spans="1:33" x14ac:dyDescent="0.25">
      <c r="A344" s="7">
        <v>122.98205285418567</v>
      </c>
      <c r="B344"/>
      <c r="C344"/>
      <c r="D344"/>
      <c r="E344" t="s">
        <v>8</v>
      </c>
    </row>
    <row r="345" spans="1:33" x14ac:dyDescent="0.25">
      <c r="A345" s="7">
        <v>120.5706400531232</v>
      </c>
      <c r="B345"/>
      <c r="C345"/>
      <c r="D345"/>
      <c r="E345" t="s">
        <v>8</v>
      </c>
    </row>
    <row r="346" spans="1:33" x14ac:dyDescent="0.25">
      <c r="A346" s="7">
        <v>118.20650985600314</v>
      </c>
      <c r="B346"/>
      <c r="C346"/>
      <c r="D346"/>
      <c r="E346" t="s">
        <v>8</v>
      </c>
    </row>
    <row r="347" spans="1:33" x14ac:dyDescent="0.25">
      <c r="A347" s="7">
        <v>115.88873515294425</v>
      </c>
      <c r="B347"/>
      <c r="C347"/>
      <c r="D347"/>
      <c r="E347" t="s">
        <v>8</v>
      </c>
    </row>
    <row r="348" spans="1:33" x14ac:dyDescent="0.25">
      <c r="A348" s="7">
        <v>113.61640701269044</v>
      </c>
      <c r="B348"/>
      <c r="C348"/>
      <c r="D348"/>
      <c r="E348" t="s">
        <v>8</v>
      </c>
    </row>
    <row r="349" spans="1:33" x14ac:dyDescent="0.25">
      <c r="A349" s="7">
        <v>111.38863432616711</v>
      </c>
      <c r="B349"/>
      <c r="C349"/>
      <c r="D349"/>
      <c r="E349" t="s">
        <v>8</v>
      </c>
    </row>
    <row r="350" spans="1:33" x14ac:dyDescent="0.25">
      <c r="A350" s="7">
        <v>109.20454345702657</v>
      </c>
      <c r="B350"/>
      <c r="C350"/>
      <c r="D350"/>
      <c r="E350" t="s">
        <v>8</v>
      </c>
    </row>
    <row r="351" spans="1:33" x14ac:dyDescent="0.25">
      <c r="A351" s="7">
        <v>107.06327789904566</v>
      </c>
      <c r="B351"/>
      <c r="C351"/>
      <c r="D351"/>
      <c r="E351" t="s">
        <v>8</v>
      </c>
    </row>
    <row r="352" spans="1:33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95" zoomScale="90" zoomScaleNormal="90" workbookViewId="0">
      <pane xSplit="4" topLeftCell="BB1" activePane="topRight" state="frozen"/>
      <selection activeCell="A109" sqref="A109"/>
      <selection pane="topRight" activeCell="CG123" sqref="CG12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72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72" x14ac:dyDescent="0.25">
      <c r="A82" s="30">
        <v>2227.9695606549776</v>
      </c>
      <c r="E82"/>
    </row>
    <row r="83" spans="1:72" x14ac:dyDescent="0.25">
      <c r="A83" s="30">
        <v>2121.8757720523595</v>
      </c>
      <c r="E83"/>
    </row>
    <row r="84" spans="1:72" x14ac:dyDescent="0.25">
      <c r="A84" s="30">
        <v>2020.8340686212948</v>
      </c>
      <c r="E84"/>
    </row>
    <row r="85" spans="1:72" x14ac:dyDescent="0.25">
      <c r="A85" s="30">
        <v>1924.6038748774236</v>
      </c>
      <c r="E85"/>
    </row>
    <row r="86" spans="1:72" x14ac:dyDescent="0.25">
      <c r="A86" s="30">
        <v>1832.9560713118319</v>
      </c>
      <c r="E86"/>
    </row>
    <row r="87" spans="1:72" x14ac:dyDescent="0.25">
      <c r="A87" s="30">
        <v>1745.6724488684113</v>
      </c>
      <c r="E87"/>
    </row>
    <row r="88" spans="1:72" x14ac:dyDescent="0.25">
      <c r="A88" s="30">
        <v>1662.5451893984869</v>
      </c>
      <c r="E88"/>
    </row>
    <row r="89" spans="1:72" x14ac:dyDescent="0.25">
      <c r="A89" s="30">
        <v>1583.3763708557017</v>
      </c>
      <c r="E89"/>
      <c r="BK89" s="34" t="s">
        <v>8</v>
      </c>
      <c r="BM89" s="34" t="s">
        <v>8</v>
      </c>
    </row>
    <row r="90" spans="1:72" x14ac:dyDescent="0.25">
      <c r="A90" s="30">
        <v>1507.9774960530492</v>
      </c>
      <c r="E90"/>
      <c r="BK90" s="27" t="s">
        <v>8</v>
      </c>
      <c r="BL90" s="27" t="s">
        <v>7</v>
      </c>
      <c r="BM90" s="27" t="s">
        <v>8</v>
      </c>
      <c r="BN90" s="31" t="s">
        <v>7</v>
      </c>
    </row>
    <row r="91" spans="1:72" x14ac:dyDescent="0.25">
      <c r="A91" s="30">
        <v>1436.1690438600467</v>
      </c>
      <c r="E91"/>
      <c r="BK91" s="27" t="s">
        <v>8</v>
      </c>
      <c r="BL91" s="27" t="s">
        <v>7</v>
      </c>
      <c r="BM91" s="27" t="s">
        <v>8</v>
      </c>
      <c r="BN91" s="27" t="s">
        <v>7</v>
      </c>
      <c r="BO91" s="31"/>
    </row>
    <row r="92" spans="1:72" x14ac:dyDescent="0.25">
      <c r="A92" s="30">
        <v>1367.780041771473</v>
      </c>
      <c r="E92"/>
      <c r="BK92" s="27" t="s">
        <v>8</v>
      </c>
      <c r="BL92" s="27" t="s">
        <v>7</v>
      </c>
      <c r="BM92" s="27" t="s">
        <v>8</v>
      </c>
      <c r="BN92" s="27" t="s">
        <v>7</v>
      </c>
      <c r="BP92" s="31"/>
    </row>
    <row r="93" spans="1:72" x14ac:dyDescent="0.25">
      <c r="A93" s="30">
        <v>1302.6476588299743</v>
      </c>
      <c r="E93"/>
      <c r="BK93" s="27" t="s">
        <v>8</v>
      </c>
      <c r="BL93" s="27" t="s">
        <v>7</v>
      </c>
      <c r="BM93" s="27" t="s">
        <v>8</v>
      </c>
      <c r="BN93" s="27" t="s">
        <v>7</v>
      </c>
      <c r="BQ93" s="31"/>
    </row>
    <row r="94" spans="1:72" x14ac:dyDescent="0.25">
      <c r="A94" s="30">
        <v>1240.6168179333088</v>
      </c>
      <c r="E94"/>
      <c r="BK94" s="27" t="s">
        <v>8</v>
      </c>
      <c r="BL94" s="27" t="s">
        <v>7</v>
      </c>
      <c r="BN94" s="27" t="s">
        <v>7</v>
      </c>
      <c r="BR94" s="31"/>
    </row>
    <row r="95" spans="1:72" x14ac:dyDescent="0.25">
      <c r="A95" s="30">
        <v>1181.5398266031511</v>
      </c>
      <c r="E95"/>
      <c r="BC95" s="27" t="s">
        <v>8</v>
      </c>
      <c r="BK95" s="27" t="s">
        <v>8</v>
      </c>
      <c r="BN95" s="32" t="s">
        <v>7</v>
      </c>
      <c r="BS95" s="31"/>
    </row>
    <row r="96" spans="1:72" x14ac:dyDescent="0.25">
      <c r="A96" s="30">
        <v>1125.2760253363344</v>
      </c>
      <c r="C96" s="1" t="s">
        <v>15</v>
      </c>
      <c r="E96"/>
      <c r="BC96" s="27" t="s">
        <v>8</v>
      </c>
      <c r="BD96" s="27" t="s">
        <v>7</v>
      </c>
      <c r="BK96" s="27" t="s">
        <v>8</v>
      </c>
      <c r="BN96" s="27" t="s">
        <v>7</v>
      </c>
      <c r="BT96" s="31"/>
    </row>
    <row r="97" spans="1:82" x14ac:dyDescent="0.25">
      <c r="A97" s="30">
        <v>1071.6914527012709</v>
      </c>
      <c r="C97" s="7">
        <v>0.11686133436193799</v>
      </c>
      <c r="D97"/>
      <c r="E97"/>
      <c r="BC97" s="27" t="s">
        <v>8</v>
      </c>
      <c r="BD97" s="27" t="s">
        <v>7</v>
      </c>
      <c r="BK97" s="27" t="s">
        <v>8</v>
      </c>
      <c r="BN97" s="27" t="s">
        <v>7</v>
      </c>
      <c r="BU97" s="31"/>
    </row>
    <row r="98" spans="1:82" x14ac:dyDescent="0.25">
      <c r="A98" s="30">
        <v>1020.6585263821628</v>
      </c>
      <c r="E98"/>
      <c r="BC98" s="27" t="s">
        <v>8</v>
      </c>
      <c r="BD98" s="27" t="s">
        <v>7</v>
      </c>
      <c r="BE98" s="27" t="s">
        <v>8</v>
      </c>
      <c r="BK98" s="27" t="s">
        <v>8</v>
      </c>
      <c r="BN98" s="27" t="s">
        <v>7</v>
      </c>
      <c r="BV98" s="31"/>
    </row>
    <row r="99" spans="1:82" x14ac:dyDescent="0.25">
      <c r="A99" s="30">
        <v>972.05573941158355</v>
      </c>
      <c r="C99" s="1" t="s">
        <v>11</v>
      </c>
      <c r="D99" s="1" t="s">
        <v>12</v>
      </c>
      <c r="E99"/>
      <c r="BC99" s="27" t="s">
        <v>8</v>
      </c>
      <c r="BD99" s="27" t="s">
        <v>7</v>
      </c>
      <c r="BE99" s="27" t="s">
        <v>8</v>
      </c>
      <c r="BF99" s="27" t="s">
        <v>7</v>
      </c>
      <c r="BG99" s="27" t="s">
        <v>8</v>
      </c>
      <c r="BK99" s="27" t="s">
        <v>8</v>
      </c>
      <c r="BN99" s="27" t="s">
        <v>7</v>
      </c>
      <c r="BW99" s="31"/>
    </row>
    <row r="100" spans="1:82" x14ac:dyDescent="0.25">
      <c r="A100" s="30">
        <v>925.76737086817479</v>
      </c>
      <c r="C100"/>
      <c r="D100"/>
      <c r="E100"/>
      <c r="BC100" s="27" t="s">
        <v>8</v>
      </c>
      <c r="BD100" s="27" t="s">
        <v>7</v>
      </c>
      <c r="BE100" s="27" t="s">
        <v>8</v>
      </c>
      <c r="BF100" s="27" t="s">
        <v>7</v>
      </c>
      <c r="BG100" s="27" t="s">
        <v>8</v>
      </c>
      <c r="BH100" s="27" t="s">
        <v>7</v>
      </c>
      <c r="BK100" s="27" t="s">
        <v>8</v>
      </c>
      <c r="BN100" s="27" t="s">
        <v>7</v>
      </c>
      <c r="BX100" s="31"/>
    </row>
    <row r="101" spans="1:82" x14ac:dyDescent="0.25">
      <c r="A101" s="30">
        <v>881.68321035064264</v>
      </c>
      <c r="E101"/>
      <c r="BC101" s="27" t="s">
        <v>8</v>
      </c>
      <c r="BD101" s="27" t="s">
        <v>7</v>
      </c>
      <c r="BE101" s="27" t="s">
        <v>8</v>
      </c>
      <c r="BF101" s="27" t="s">
        <v>7</v>
      </c>
      <c r="BG101" s="27" t="s">
        <v>8</v>
      </c>
      <c r="BH101" s="27" t="s">
        <v>7</v>
      </c>
      <c r="BK101" s="33" t="s">
        <v>8</v>
      </c>
      <c r="BN101" s="27" t="s">
        <v>7</v>
      </c>
      <c r="BY101" s="31"/>
    </row>
    <row r="102" spans="1:82" x14ac:dyDescent="0.25">
      <c r="A102" s="30">
        <v>839.69829557204059</v>
      </c>
      <c r="C102" s="1" t="s">
        <v>13</v>
      </c>
      <c r="E102"/>
      <c r="BC102" s="27" t="s">
        <v>8</v>
      </c>
      <c r="BD102" s="34" t="s">
        <v>7</v>
      </c>
      <c r="BF102" s="34" t="s">
        <v>7</v>
      </c>
      <c r="BH102" s="27" t="s">
        <v>7</v>
      </c>
      <c r="BI102" s="27" t="s">
        <v>8</v>
      </c>
      <c r="BK102" s="27" t="s">
        <v>8</v>
      </c>
      <c r="BN102" s="27" t="s">
        <v>7</v>
      </c>
      <c r="BO102" s="27" t="s">
        <v>8</v>
      </c>
      <c r="BZ102" s="31"/>
    </row>
    <row r="103" spans="1:82" x14ac:dyDescent="0.25">
      <c r="A103" s="30">
        <v>799.71266244956246</v>
      </c>
      <c r="C103" s="1">
        <f>C92</f>
        <v>0</v>
      </c>
      <c r="E103"/>
      <c r="BC103" s="27" t="s">
        <v>8</v>
      </c>
      <c r="BH103" s="32" t="s">
        <v>7</v>
      </c>
      <c r="BI103" s="27" t="s">
        <v>8</v>
      </c>
      <c r="BJ103" s="27" t="s">
        <v>7</v>
      </c>
      <c r="BK103" s="27" t="s">
        <v>8</v>
      </c>
      <c r="BN103" s="31" t="s">
        <v>7</v>
      </c>
      <c r="BO103" s="27" t="s">
        <v>8</v>
      </c>
      <c r="BP103" s="27" t="s">
        <v>7</v>
      </c>
      <c r="BQ103" s="27" t="s">
        <v>8</v>
      </c>
      <c r="BY103" s="27" t="s">
        <v>8</v>
      </c>
      <c r="CA103" s="31"/>
    </row>
    <row r="104" spans="1:82" x14ac:dyDescent="0.25">
      <c r="A104" s="30">
        <v>761.63110709482135</v>
      </c>
      <c r="C104"/>
      <c r="E104"/>
      <c r="AW104" s="27" t="s">
        <v>8</v>
      </c>
      <c r="BC104" s="27" t="s">
        <v>8</v>
      </c>
      <c r="BH104" s="27" t="s">
        <v>7</v>
      </c>
      <c r="BI104" s="27" t="s">
        <v>8</v>
      </c>
      <c r="BJ104" s="27" t="s">
        <v>7</v>
      </c>
      <c r="BK104" s="27" t="s">
        <v>8</v>
      </c>
      <c r="BM104" s="31"/>
      <c r="BN104" s="27" t="s">
        <v>7</v>
      </c>
      <c r="BO104" s="27" t="s">
        <v>8</v>
      </c>
      <c r="BP104" s="27" t="s">
        <v>7</v>
      </c>
      <c r="BQ104" s="27" t="s">
        <v>8</v>
      </c>
      <c r="BR104" s="27" t="s">
        <v>7</v>
      </c>
      <c r="BY104" s="27" t="s">
        <v>8</v>
      </c>
      <c r="BZ104" s="27" t="s">
        <v>7</v>
      </c>
    </row>
    <row r="105" spans="1:82" x14ac:dyDescent="0.25">
      <c r="A105" s="30">
        <v>725.36295913792503</v>
      </c>
      <c r="C105" s="1" t="s">
        <v>14</v>
      </c>
      <c r="E105"/>
      <c r="AW105" s="27" t="s">
        <v>8</v>
      </c>
      <c r="AX105" s="27" t="s">
        <v>7</v>
      </c>
      <c r="BC105" s="27" t="s">
        <v>8</v>
      </c>
      <c r="BH105" s="27" t="s">
        <v>7</v>
      </c>
      <c r="BI105" s="27" t="s">
        <v>8</v>
      </c>
      <c r="BJ105" s="27" t="s">
        <v>7</v>
      </c>
      <c r="BL105" s="31"/>
      <c r="BN105" s="27" t="s">
        <v>7</v>
      </c>
      <c r="BO105" s="27" t="s">
        <v>8</v>
      </c>
      <c r="BP105" s="27" t="s">
        <v>7</v>
      </c>
      <c r="BQ105" s="27" t="s">
        <v>8</v>
      </c>
      <c r="BR105" s="27" t="s">
        <v>7</v>
      </c>
      <c r="BS105" s="27" t="s">
        <v>8</v>
      </c>
      <c r="BY105" s="27" t="s">
        <v>8</v>
      </c>
      <c r="BZ105" s="27" t="s">
        <v>7</v>
      </c>
      <c r="CC105" s="27" t="s">
        <v>8</v>
      </c>
    </row>
    <row r="106" spans="1:82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  <c r="AW106" s="27" t="s">
        <v>8</v>
      </c>
      <c r="AX106" s="27" t="s">
        <v>7</v>
      </c>
      <c r="BC106" s="27" t="s">
        <v>8</v>
      </c>
      <c r="BH106" s="27" t="s">
        <v>7</v>
      </c>
      <c r="BK106" s="31"/>
      <c r="BN106" s="27" t="s">
        <v>7</v>
      </c>
      <c r="BO106" s="27" t="s">
        <v>8</v>
      </c>
      <c r="BP106" s="27" t="s">
        <v>7</v>
      </c>
      <c r="BQ106" s="27" t="s">
        <v>8</v>
      </c>
      <c r="BR106" s="27" t="s">
        <v>7</v>
      </c>
      <c r="BS106" s="27" t="s">
        <v>8</v>
      </c>
      <c r="BT106" s="27" t="s">
        <v>7</v>
      </c>
      <c r="BW106" s="27" t="s">
        <v>8</v>
      </c>
      <c r="BY106" s="27" t="s">
        <v>8</v>
      </c>
      <c r="BZ106" s="27" t="s">
        <v>7</v>
      </c>
      <c r="CC106" s="27" t="s">
        <v>8</v>
      </c>
      <c r="CD106" s="27" t="s">
        <v>7</v>
      </c>
    </row>
    <row r="107" spans="1:82" x14ac:dyDescent="0.25">
      <c r="A107" s="30">
        <v>657.92558651965976</v>
      </c>
      <c r="E107"/>
      <c r="AW107" s="27" t="s">
        <v>8</v>
      </c>
      <c r="AX107" s="27" t="s">
        <v>7</v>
      </c>
      <c r="BC107" s="27" t="s">
        <v>8</v>
      </c>
      <c r="BJ107" s="31"/>
      <c r="BN107" s="27" t="s">
        <v>7</v>
      </c>
      <c r="BO107" s="27" t="s">
        <v>8</v>
      </c>
      <c r="BP107" s="27" t="s">
        <v>7</v>
      </c>
      <c r="BQ107" s="27" t="s">
        <v>8</v>
      </c>
      <c r="BR107" s="27" t="s">
        <v>7</v>
      </c>
      <c r="BS107" s="27" t="s">
        <v>8</v>
      </c>
      <c r="BT107" s="27" t="s">
        <v>7</v>
      </c>
      <c r="BW107" s="27" t="s">
        <v>8</v>
      </c>
      <c r="BX107" s="27" t="s">
        <v>7</v>
      </c>
      <c r="BY107" s="27" t="s">
        <v>8</v>
      </c>
      <c r="BZ107" s="27" t="s">
        <v>7</v>
      </c>
      <c r="CC107" s="27" t="s">
        <v>8</v>
      </c>
      <c r="CD107" s="27" t="s">
        <v>7</v>
      </c>
    </row>
    <row r="108" spans="1:82" x14ac:dyDescent="0.25">
      <c r="A108" s="30">
        <v>626.59579668539027</v>
      </c>
      <c r="E108"/>
      <c r="AS108" s="27" t="s">
        <v>8</v>
      </c>
      <c r="AW108" s="27" t="s">
        <v>8</v>
      </c>
      <c r="AX108" s="27" t="s">
        <v>7</v>
      </c>
      <c r="BC108" s="27" t="s">
        <v>8</v>
      </c>
      <c r="BI108" s="31"/>
      <c r="BN108" s="27" t="s">
        <v>7</v>
      </c>
      <c r="BO108" s="27" t="s">
        <v>8</v>
      </c>
      <c r="BP108" s="27" t="s">
        <v>7</v>
      </c>
      <c r="BQ108" s="27" t="s">
        <v>8</v>
      </c>
      <c r="BR108" s="27" t="s">
        <v>7</v>
      </c>
      <c r="BT108" s="27" t="s">
        <v>7</v>
      </c>
      <c r="BW108" s="27" t="s">
        <v>8</v>
      </c>
      <c r="BX108" s="27" t="s">
        <v>7</v>
      </c>
      <c r="BY108" s="27" t="s">
        <v>8</v>
      </c>
      <c r="BZ108" s="27" t="s">
        <v>7</v>
      </c>
      <c r="CA108" s="27" t="s">
        <v>8</v>
      </c>
      <c r="CC108" s="27" t="s">
        <v>8</v>
      </c>
      <c r="CD108" s="27" t="s">
        <v>7</v>
      </c>
    </row>
    <row r="109" spans="1:82" x14ac:dyDescent="0.25">
      <c r="A109" s="30">
        <v>596.75790160513361</v>
      </c>
      <c r="E109"/>
      <c r="AS109" s="27" t="s">
        <v>8</v>
      </c>
      <c r="AT109" s="27" t="s">
        <v>7</v>
      </c>
      <c r="AW109" s="27" t="s">
        <v>8</v>
      </c>
      <c r="AX109" s="27" t="s">
        <v>7</v>
      </c>
      <c r="BA109" s="27" t="s">
        <v>8</v>
      </c>
      <c r="BC109" s="27" t="s">
        <v>8</v>
      </c>
      <c r="BH109" s="31"/>
      <c r="BN109" s="27" t="s">
        <v>7</v>
      </c>
      <c r="BO109" s="27" t="s">
        <v>8</v>
      </c>
      <c r="BP109" s="27" t="s">
        <v>7</v>
      </c>
      <c r="BQ109" s="27" t="s">
        <v>8</v>
      </c>
      <c r="BT109" s="27" t="s">
        <v>7</v>
      </c>
      <c r="BW109" s="27" t="s">
        <v>8</v>
      </c>
      <c r="BX109" s="27" t="s">
        <v>7</v>
      </c>
      <c r="BZ109" s="27" t="s">
        <v>7</v>
      </c>
      <c r="CA109" s="27" t="s">
        <v>8</v>
      </c>
      <c r="CB109" s="27" t="s">
        <v>7</v>
      </c>
      <c r="CC109" s="27" t="s">
        <v>8</v>
      </c>
      <c r="CD109" s="27" t="s">
        <v>7</v>
      </c>
    </row>
    <row r="110" spans="1:82" x14ac:dyDescent="0.25">
      <c r="A110" s="30">
        <v>568.34085867155579</v>
      </c>
      <c r="E110"/>
      <c r="AS110" s="27" t="s">
        <v>8</v>
      </c>
      <c r="AT110" s="27" t="s">
        <v>7</v>
      </c>
      <c r="AW110" s="33" t="s">
        <v>8</v>
      </c>
      <c r="AX110" s="27" t="s">
        <v>7</v>
      </c>
      <c r="BA110" s="27" t="s">
        <v>8</v>
      </c>
      <c r="BB110" s="27" t="s">
        <v>7</v>
      </c>
      <c r="BC110" s="27" t="s">
        <v>8</v>
      </c>
      <c r="BG110" s="31"/>
      <c r="BN110" s="27" t="s">
        <v>7</v>
      </c>
      <c r="BO110" s="27" t="s">
        <v>8</v>
      </c>
      <c r="BP110" s="27" t="s">
        <v>7</v>
      </c>
      <c r="BQ110" s="27" t="s">
        <v>8</v>
      </c>
      <c r="BT110" s="27" t="s">
        <v>7</v>
      </c>
      <c r="BW110" s="33" t="s">
        <v>8</v>
      </c>
      <c r="BZ110" s="27" t="s">
        <v>7</v>
      </c>
      <c r="CA110" s="27" t="s">
        <v>8</v>
      </c>
      <c r="CB110" s="27" t="s">
        <v>7</v>
      </c>
      <c r="CC110" s="27" t="s">
        <v>8</v>
      </c>
      <c r="CD110" s="27" t="s">
        <v>7</v>
      </c>
    </row>
    <row r="111" spans="1:82" x14ac:dyDescent="0.25">
      <c r="A111" s="30">
        <v>541.27700825862451</v>
      </c>
      <c r="C111" s="1" t="str">
        <f>ADDRESS(C121-1,1,1,1)</f>
        <v>$A$122</v>
      </c>
      <c r="D111" s="1" t="str">
        <f>ADDRESS(C121-1,D121,1,1)</f>
        <v>$CG$122</v>
      </c>
      <c r="E111"/>
      <c r="AS111" s="27" t="s">
        <v>8</v>
      </c>
      <c r="AT111" s="27" t="s">
        <v>7</v>
      </c>
      <c r="AU111" s="27" t="s">
        <v>8</v>
      </c>
      <c r="AW111" s="27" t="s">
        <v>8</v>
      </c>
      <c r="AX111" s="27" t="s">
        <v>7</v>
      </c>
      <c r="AY111" s="27" t="s">
        <v>8</v>
      </c>
      <c r="BA111" s="27" t="s">
        <v>8</v>
      </c>
      <c r="BB111" s="27" t="s">
        <v>7</v>
      </c>
      <c r="BC111" s="27" t="s">
        <v>8</v>
      </c>
      <c r="BF111" s="31"/>
      <c r="BN111" s="27" t="s">
        <v>7</v>
      </c>
      <c r="BO111" s="27" t="s">
        <v>8</v>
      </c>
      <c r="BP111" s="27" t="s">
        <v>7</v>
      </c>
      <c r="BQ111" s="27" t="s">
        <v>8</v>
      </c>
      <c r="BT111" s="27" t="s">
        <v>7</v>
      </c>
      <c r="BU111" s="27" t="s">
        <v>8</v>
      </c>
      <c r="BW111" s="27" t="s">
        <v>8</v>
      </c>
      <c r="BZ111" s="27" t="s">
        <v>7</v>
      </c>
      <c r="CA111" s="27" t="s">
        <v>8</v>
      </c>
      <c r="CB111" s="27" t="s">
        <v>7</v>
      </c>
      <c r="CD111" s="27" t="s">
        <v>7</v>
      </c>
    </row>
    <row r="112" spans="1:82" x14ac:dyDescent="0.25">
      <c r="A112" s="30">
        <v>515.50191262726139</v>
      </c>
      <c r="C112" s="1" t="str">
        <f>ADDRESS(C121,1,1,1)</f>
        <v>$A$123</v>
      </c>
      <c r="D112" s="1" t="str">
        <f>ADDRESS(C121,D121-1,1,1)</f>
        <v>$CF$123</v>
      </c>
      <c r="E112"/>
      <c r="AS112" s="27" t="s">
        <v>8</v>
      </c>
      <c r="AT112" s="27" t="s">
        <v>7</v>
      </c>
      <c r="AU112" s="27" t="s">
        <v>8</v>
      </c>
      <c r="AV112" s="27" t="s">
        <v>7</v>
      </c>
      <c r="AW112" s="27" t="s">
        <v>8</v>
      </c>
      <c r="AX112" s="27" t="s">
        <v>7</v>
      </c>
      <c r="AY112" s="27" t="s">
        <v>8</v>
      </c>
      <c r="AZ112" s="27" t="s">
        <v>7</v>
      </c>
      <c r="BA112" s="27" t="s">
        <v>8</v>
      </c>
      <c r="BB112" s="27" t="s">
        <v>7</v>
      </c>
      <c r="BC112" s="27" t="s">
        <v>8</v>
      </c>
      <c r="BE112" s="31"/>
      <c r="BN112" s="27" t="s">
        <v>7</v>
      </c>
      <c r="BO112" s="27" t="s">
        <v>8</v>
      </c>
      <c r="BP112" s="27" t="s">
        <v>7</v>
      </c>
      <c r="BQ112" s="27" t="s">
        <v>8</v>
      </c>
      <c r="BT112" s="27" t="s">
        <v>7</v>
      </c>
      <c r="BU112" s="27" t="s">
        <v>8</v>
      </c>
      <c r="BV112" s="27" t="s">
        <v>7</v>
      </c>
      <c r="BW112" s="27" t="s">
        <v>8</v>
      </c>
      <c r="BZ112" s="27" t="s">
        <v>7</v>
      </c>
      <c r="CA112" s="27" t="s">
        <v>8</v>
      </c>
      <c r="CD112" s="27" t="s">
        <v>7</v>
      </c>
    </row>
    <row r="113" spans="1:85" x14ac:dyDescent="0.25">
      <c r="A113" s="30">
        <v>490.95420250215363</v>
      </c>
      <c r="C113" s="1" t="str">
        <f>ADDRESS(C121+1,1,1,1)</f>
        <v>$A$124</v>
      </c>
      <c r="D113" s="1" t="str">
        <f>ADDRESS(C121-1,D121+1,1,1)</f>
        <v>$CH$122</v>
      </c>
      <c r="I113" s="27" t="s">
        <v>8</v>
      </c>
      <c r="AS113" s="27" t="s">
        <v>8</v>
      </c>
      <c r="AT113" s="27" t="s">
        <v>7</v>
      </c>
      <c r="AU113" s="27" t="s">
        <v>8</v>
      </c>
      <c r="AV113" s="27" t="s">
        <v>7</v>
      </c>
      <c r="AW113" s="27" t="s">
        <v>8</v>
      </c>
      <c r="AX113" s="27" t="s">
        <v>7</v>
      </c>
      <c r="AY113" s="27" t="s">
        <v>8</v>
      </c>
      <c r="AZ113" s="27" t="s">
        <v>7</v>
      </c>
      <c r="BA113" s="27" t="s">
        <v>8</v>
      </c>
      <c r="BB113" s="27" t="s">
        <v>7</v>
      </c>
      <c r="BC113" s="27" t="s">
        <v>8</v>
      </c>
      <c r="BD113" s="31"/>
      <c r="BN113" s="34" t="s">
        <v>7</v>
      </c>
      <c r="BP113" s="34" t="s">
        <v>7</v>
      </c>
      <c r="BT113" s="27" t="s">
        <v>7</v>
      </c>
      <c r="BU113" s="27" t="s">
        <v>8</v>
      </c>
      <c r="BV113" s="27" t="s">
        <v>7</v>
      </c>
      <c r="BW113" s="27" t="s">
        <v>8</v>
      </c>
      <c r="BZ113" s="27" t="s">
        <v>7</v>
      </c>
      <c r="CA113" s="31"/>
      <c r="CD113" s="27" t="s">
        <v>7</v>
      </c>
      <c r="CE113" s="27" t="s">
        <v>8</v>
      </c>
    </row>
    <row r="114" spans="1:85" x14ac:dyDescent="0.25">
      <c r="A114" s="30">
        <v>467.57543095443202</v>
      </c>
      <c r="C114" s="1" t="str">
        <f>ADDRESS(C121,D121,1,1)</f>
        <v>$CG$123</v>
      </c>
      <c r="D114" s="1" t="str">
        <f>ADDRESS(C121+1,D121+1,1,1)</f>
        <v>$CH$124</v>
      </c>
      <c r="I114" s="27" t="s">
        <v>8</v>
      </c>
      <c r="J114" s="27" t="s">
        <v>7</v>
      </c>
      <c r="AQ114" s="27" t="s">
        <v>8</v>
      </c>
      <c r="AS114" s="27" t="s">
        <v>8</v>
      </c>
      <c r="AT114" s="27" t="s">
        <v>7</v>
      </c>
      <c r="AU114" s="27" t="s">
        <v>8</v>
      </c>
      <c r="AV114" s="27" t="s">
        <v>7</v>
      </c>
      <c r="AW114" s="27" t="s">
        <v>8</v>
      </c>
      <c r="AX114" s="27" t="s">
        <v>7</v>
      </c>
      <c r="AY114" s="27" t="s">
        <v>8</v>
      </c>
      <c r="AZ114" s="27" t="s">
        <v>7</v>
      </c>
      <c r="BA114" s="31" t="s">
        <v>8</v>
      </c>
      <c r="BB114" s="27" t="s">
        <v>7</v>
      </c>
      <c r="BC114" s="31" t="s">
        <v>8</v>
      </c>
      <c r="BT114" s="27" t="s">
        <v>7</v>
      </c>
      <c r="BU114" s="27" t="s">
        <v>8</v>
      </c>
      <c r="BV114" s="27" t="s">
        <v>7</v>
      </c>
      <c r="BW114" s="27" t="s">
        <v>8</v>
      </c>
      <c r="BZ114" s="31"/>
      <c r="CD114" s="27" t="s">
        <v>7</v>
      </c>
      <c r="CE114" s="27" t="s">
        <v>8</v>
      </c>
      <c r="CF114" s="27" t="s">
        <v>7</v>
      </c>
    </row>
    <row r="115" spans="1:85" x14ac:dyDescent="0.25">
      <c r="A115" s="30">
        <v>445.30993424231622</v>
      </c>
      <c r="C115" s="1" t="str">
        <f>ADDRESS(C121+1,D121,1,1)</f>
        <v>$CG$124</v>
      </c>
      <c r="I115" s="27" t="s">
        <v>8</v>
      </c>
      <c r="J115" s="27" t="s">
        <v>7</v>
      </c>
      <c r="AQ115" s="27" t="s">
        <v>8</v>
      </c>
      <c r="AR115" s="27" t="s">
        <v>7</v>
      </c>
      <c r="AS115" s="27" t="s">
        <v>8</v>
      </c>
      <c r="AT115" s="27" t="s">
        <v>7</v>
      </c>
      <c r="AU115" s="27" t="s">
        <v>8</v>
      </c>
      <c r="AV115" s="27" t="s">
        <v>7</v>
      </c>
      <c r="AW115" s="27" t="s">
        <v>8</v>
      </c>
      <c r="AX115" s="27" t="s">
        <v>7</v>
      </c>
      <c r="AY115" s="27" t="s">
        <v>8</v>
      </c>
      <c r="AZ115" s="34" t="s">
        <v>7</v>
      </c>
      <c r="BB115" s="34" t="s">
        <v>7</v>
      </c>
      <c r="BT115" s="27" t="s">
        <v>7</v>
      </c>
      <c r="BU115" s="27" t="s">
        <v>8</v>
      </c>
      <c r="BV115" s="27" t="s">
        <v>7</v>
      </c>
      <c r="BW115" s="27" t="s">
        <v>8</v>
      </c>
      <c r="BY115" s="31"/>
      <c r="CD115" s="27" t="s">
        <v>7</v>
      </c>
      <c r="CE115" s="27" t="s">
        <v>8</v>
      </c>
      <c r="CF115" s="27" t="s">
        <v>7</v>
      </c>
    </row>
    <row r="116" spans="1:85" x14ac:dyDescent="0.25">
      <c r="A116" s="30">
        <v>424.10469927839637</v>
      </c>
      <c r="C116" s="1">
        <f>C117-1</f>
        <v>122</v>
      </c>
      <c r="I116" s="27" t="s">
        <v>8</v>
      </c>
      <c r="J116" s="27" t="s">
        <v>7</v>
      </c>
      <c r="AQ116" s="27" t="s">
        <v>8</v>
      </c>
      <c r="AR116" s="27" t="s">
        <v>7</v>
      </c>
      <c r="AS116" s="27" t="s">
        <v>8</v>
      </c>
      <c r="AT116" s="27" t="s">
        <v>7</v>
      </c>
      <c r="AU116" s="27" t="s">
        <v>8</v>
      </c>
      <c r="AV116" s="27" t="s">
        <v>7</v>
      </c>
      <c r="AW116" s="27" t="s">
        <v>8</v>
      </c>
      <c r="AX116" s="27" t="s">
        <v>7</v>
      </c>
      <c r="AY116" s="31"/>
      <c r="BT116" s="27" t="s">
        <v>7</v>
      </c>
      <c r="BU116" s="27" t="s">
        <v>8</v>
      </c>
      <c r="BV116" s="18" t="s">
        <v>7</v>
      </c>
      <c r="BW116" s="27" t="s">
        <v>8</v>
      </c>
      <c r="BX116" s="31"/>
      <c r="CD116" s="27" t="s">
        <v>7</v>
      </c>
      <c r="CE116" s="27" t="s">
        <v>8</v>
      </c>
      <c r="CF116" s="27" t="s">
        <v>7</v>
      </c>
    </row>
    <row r="117" spans="1:85" x14ac:dyDescent="0.25">
      <c r="A117" s="30">
        <v>403.9092374079965</v>
      </c>
      <c r="C117" s="1">
        <f>C121</f>
        <v>123</v>
      </c>
      <c r="D117" s="1">
        <f>D121</f>
        <v>85</v>
      </c>
      <c r="G117" s="27" t="s">
        <v>8</v>
      </c>
      <c r="I117" s="27" t="s">
        <v>8</v>
      </c>
      <c r="J117" s="27" t="s">
        <v>7</v>
      </c>
      <c r="AQ117" s="27" t="s">
        <v>8</v>
      </c>
      <c r="AR117" s="34" t="s">
        <v>7</v>
      </c>
      <c r="AT117" s="34" t="s">
        <v>7</v>
      </c>
      <c r="AV117" s="27" t="s">
        <v>7</v>
      </c>
      <c r="AW117" s="27" t="s">
        <v>8</v>
      </c>
      <c r="AX117" s="31"/>
      <c r="BT117" s="27" t="s">
        <v>7</v>
      </c>
      <c r="BV117" s="27" t="s">
        <v>7</v>
      </c>
      <c r="BW117" s="31" t="s">
        <v>8</v>
      </c>
      <c r="CD117" s="27" t="s">
        <v>7</v>
      </c>
      <c r="CE117" s="27" t="s">
        <v>8</v>
      </c>
      <c r="CF117" s="27" t="s">
        <v>7</v>
      </c>
    </row>
    <row r="118" spans="1:85" x14ac:dyDescent="0.25">
      <c r="A118" s="30">
        <v>384.6754641980919</v>
      </c>
      <c r="C118" s="1">
        <f>C117+1</f>
        <v>124</v>
      </c>
      <c r="D118" s="1">
        <f>D117+1</f>
        <v>86</v>
      </c>
      <c r="G118" s="27" t="s">
        <v>8</v>
      </c>
      <c r="H118" s="27" t="s">
        <v>7</v>
      </c>
      <c r="I118" s="27" t="s">
        <v>8</v>
      </c>
      <c r="J118" s="27" t="s">
        <v>7</v>
      </c>
      <c r="AQ118" s="27" t="s">
        <v>8</v>
      </c>
      <c r="AV118" s="32" t="s">
        <v>7</v>
      </c>
      <c r="AW118" s="31"/>
      <c r="BV118" s="31" t="s">
        <v>7</v>
      </c>
      <c r="CD118" s="27" t="s">
        <v>7</v>
      </c>
      <c r="CE118" s="27" t="s">
        <v>8</v>
      </c>
      <c r="CF118" s="27" t="s">
        <v>7</v>
      </c>
    </row>
    <row r="119" spans="1:85" x14ac:dyDescent="0.25">
      <c r="A119" s="30">
        <v>366.35758495056371</v>
      </c>
      <c r="E119" s="1" t="s">
        <v>8</v>
      </c>
      <c r="G119" s="27" t="s">
        <v>8</v>
      </c>
      <c r="H119" s="27" t="s">
        <v>7</v>
      </c>
      <c r="I119" s="27" t="s">
        <v>8</v>
      </c>
      <c r="J119" s="27" t="s">
        <v>7</v>
      </c>
      <c r="AK119" s="27" t="s">
        <v>8</v>
      </c>
      <c r="AO119" s="27" t="s">
        <v>8</v>
      </c>
      <c r="AQ119" s="27" t="s">
        <v>8</v>
      </c>
      <c r="AV119" s="31"/>
      <c r="CD119" s="27" t="s">
        <v>7</v>
      </c>
      <c r="CE119" s="27" t="s">
        <v>8</v>
      </c>
      <c r="CF119" s="27" t="s">
        <v>7</v>
      </c>
    </row>
    <row r="120" spans="1:85" x14ac:dyDescent="0.25">
      <c r="A120" s="30">
        <v>348.91198566720351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  <c r="AK120" s="27" t="s">
        <v>8</v>
      </c>
      <c r="AL120" s="27" t="s">
        <v>7</v>
      </c>
      <c r="AO120" s="27" t="s">
        <v>8</v>
      </c>
      <c r="AP120" s="27" t="s">
        <v>7</v>
      </c>
      <c r="AQ120" s="27" t="s">
        <v>8</v>
      </c>
      <c r="AU120" s="31"/>
      <c r="CD120" s="27" t="s">
        <v>7</v>
      </c>
      <c r="CF120" s="27" t="s">
        <v>7</v>
      </c>
    </row>
    <row r="121" spans="1:85" x14ac:dyDescent="0.25">
      <c r="A121" s="30">
        <v>332.29712920686046</v>
      </c>
      <c r="C121" s="18">
        <v>123</v>
      </c>
      <c r="D121" s="19">
        <v>85</v>
      </c>
      <c r="E121" s="19" t="s">
        <v>8</v>
      </c>
      <c r="F121" s="27" t="s">
        <v>7</v>
      </c>
      <c r="G121" s="27" t="s">
        <v>8</v>
      </c>
      <c r="H121" s="27" t="s">
        <v>7</v>
      </c>
      <c r="I121" s="27" t="s">
        <v>8</v>
      </c>
      <c r="J121" s="27" t="s">
        <v>7</v>
      </c>
      <c r="K121" s="27" t="s">
        <v>8</v>
      </c>
      <c r="L121" s="27" t="s">
        <v>7</v>
      </c>
      <c r="AA121" s="27" t="s">
        <v>8</v>
      </c>
      <c r="AK121" s="27" t="s">
        <v>8</v>
      </c>
      <c r="AL121" s="27" t="s">
        <v>7</v>
      </c>
      <c r="AO121" s="27" t="s">
        <v>8</v>
      </c>
      <c r="AP121" s="27" t="s">
        <v>7</v>
      </c>
      <c r="AQ121" s="27" t="s">
        <v>8</v>
      </c>
      <c r="AT121" s="31"/>
      <c r="CF121" s="27" t="s">
        <v>7</v>
      </c>
    </row>
    <row r="122" spans="1:85" x14ac:dyDescent="0.25">
      <c r="A122" s="30">
        <v>316.47345638748612</v>
      </c>
      <c r="C122" s="1" t="str">
        <f>INDEX(1:1048576,C117,D117)</f>
        <v>X</v>
      </c>
      <c r="E122" s="1" t="s">
        <v>8</v>
      </c>
      <c r="F122" s="27" t="s">
        <v>7</v>
      </c>
      <c r="H122" s="27" t="s">
        <v>7</v>
      </c>
      <c r="I122" s="27" t="s">
        <v>8</v>
      </c>
      <c r="J122" s="27" t="s">
        <v>7</v>
      </c>
      <c r="K122" s="27" t="s">
        <v>8</v>
      </c>
      <c r="L122" s="27" t="s">
        <v>7</v>
      </c>
      <c r="AA122" s="27" t="s">
        <v>8</v>
      </c>
      <c r="AB122" s="27" t="s">
        <v>7</v>
      </c>
      <c r="AC122" s="27" t="s">
        <v>8</v>
      </c>
      <c r="AK122" s="27" t="s">
        <v>8</v>
      </c>
      <c r="AL122" s="27" t="s">
        <v>7</v>
      </c>
      <c r="AM122" s="27" t="s">
        <v>8</v>
      </c>
      <c r="AO122" s="27" t="s">
        <v>8</v>
      </c>
      <c r="AP122" s="27" t="s">
        <v>7</v>
      </c>
      <c r="AQ122" s="27" t="s">
        <v>8</v>
      </c>
      <c r="AS122" s="31"/>
      <c r="CF122" s="27" t="s">
        <v>7</v>
      </c>
    </row>
    <row r="123" spans="1:85" x14ac:dyDescent="0.25">
      <c r="A123" s="30">
        <v>301.40329179760585</v>
      </c>
      <c r="C123" s="1" t="str">
        <f>"R"&amp;C121</f>
        <v>R123</v>
      </c>
      <c r="D123" s="1" t="str">
        <f>"C"&amp;D121</f>
        <v>C85</v>
      </c>
      <c r="E123" s="1" t="s">
        <v>8</v>
      </c>
      <c r="H123" s="34" t="s">
        <v>7</v>
      </c>
      <c r="J123" s="34" t="s">
        <v>7</v>
      </c>
      <c r="L123" s="27" t="s">
        <v>7</v>
      </c>
      <c r="AA123" s="27" t="s">
        <v>8</v>
      </c>
      <c r="AB123" s="27" t="s">
        <v>7</v>
      </c>
      <c r="AC123" s="27" t="s">
        <v>8</v>
      </c>
      <c r="AD123" s="27" t="s">
        <v>7</v>
      </c>
      <c r="AK123" s="27" t="s">
        <v>8</v>
      </c>
      <c r="AL123" s="27" t="s">
        <v>7</v>
      </c>
      <c r="AM123" s="27" t="s">
        <v>8</v>
      </c>
      <c r="AN123" s="27" t="s">
        <v>7</v>
      </c>
      <c r="AO123" s="27" t="s">
        <v>8</v>
      </c>
      <c r="AP123" s="27" t="s">
        <v>7</v>
      </c>
      <c r="AQ123" s="27" t="s">
        <v>8</v>
      </c>
      <c r="AR123" s="31"/>
      <c r="CF123" s="27" t="s">
        <v>7</v>
      </c>
      <c r="CG123" s="27" t="s">
        <v>8</v>
      </c>
    </row>
    <row r="124" spans="1:85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  <c r="L124" s="27" t="s">
        <v>7</v>
      </c>
      <c r="AA124" s="27" t="s">
        <v>8</v>
      </c>
      <c r="AB124" s="27" t="s">
        <v>7</v>
      </c>
      <c r="AC124" s="27" t="s">
        <v>8</v>
      </c>
      <c r="AD124" s="27" t="s">
        <v>7</v>
      </c>
      <c r="AK124" s="27" t="s">
        <v>8</v>
      </c>
      <c r="AL124" s="27" t="s">
        <v>7</v>
      </c>
      <c r="AM124" s="27" t="s">
        <v>8</v>
      </c>
      <c r="AN124" s="27" t="s">
        <v>7</v>
      </c>
      <c r="AO124" s="27" t="s">
        <v>8</v>
      </c>
      <c r="AP124" s="27" t="s">
        <v>7</v>
      </c>
      <c r="AQ124" s="31" t="s">
        <v>8</v>
      </c>
      <c r="CF124" s="27" t="s">
        <v>7</v>
      </c>
      <c r="CG124" s="27" t="s">
        <v>8</v>
      </c>
    </row>
    <row r="125" spans="1:85" x14ac:dyDescent="0.25">
      <c r="A125" s="30">
        <v>273.38167056472184</v>
      </c>
      <c r="E125" s="1" t="s">
        <v>8</v>
      </c>
      <c r="L125" s="27" t="s">
        <v>7</v>
      </c>
      <c r="S125" s="34" t="s">
        <v>8</v>
      </c>
      <c r="U125" s="34" t="s">
        <v>8</v>
      </c>
      <c r="W125" s="34" t="s">
        <v>8</v>
      </c>
      <c r="AA125" s="27" t="s">
        <v>8</v>
      </c>
      <c r="AB125" s="27" t="s">
        <v>7</v>
      </c>
      <c r="AD125" s="27" t="s">
        <v>7</v>
      </c>
      <c r="AG125" s="34" t="s">
        <v>8</v>
      </c>
      <c r="AI125" s="34" t="s">
        <v>8</v>
      </c>
      <c r="AK125" s="27" t="s">
        <v>8</v>
      </c>
      <c r="AL125" s="27" t="s">
        <v>7</v>
      </c>
      <c r="AM125" s="27" t="s">
        <v>8</v>
      </c>
      <c r="AN125" s="27" t="s">
        <v>7</v>
      </c>
      <c r="AO125" s="27" t="s">
        <v>8</v>
      </c>
      <c r="AP125" s="31" t="s">
        <v>7</v>
      </c>
      <c r="CF125" s="27" t="s">
        <v>7</v>
      </c>
      <c r="CG125" s="27" t="s">
        <v>8</v>
      </c>
    </row>
    <row r="126" spans="1:85" x14ac:dyDescent="0.25">
      <c r="A126" s="30">
        <v>260.36349577592557</v>
      </c>
      <c r="C126" s="1" t="s">
        <v>10</v>
      </c>
      <c r="E126" s="1" t="s">
        <v>8</v>
      </c>
      <c r="L126" s="27" t="s">
        <v>7</v>
      </c>
      <c r="S126" s="27" t="s">
        <v>8</v>
      </c>
      <c r="T126" s="27" t="s">
        <v>7</v>
      </c>
      <c r="U126" s="27" t="s">
        <v>8</v>
      </c>
      <c r="V126" s="27" t="s">
        <v>7</v>
      </c>
      <c r="W126" s="27" t="s">
        <v>8</v>
      </c>
      <c r="X126" s="27" t="s">
        <v>7</v>
      </c>
      <c r="Y126" s="27" t="s">
        <v>8</v>
      </c>
      <c r="AA126" s="27" t="s">
        <v>8</v>
      </c>
      <c r="AD126" s="27" t="s">
        <v>7</v>
      </c>
      <c r="AG126" s="27" t="s">
        <v>8</v>
      </c>
      <c r="AH126" s="27" t="s">
        <v>7</v>
      </c>
      <c r="AI126" s="27" t="s">
        <v>8</v>
      </c>
      <c r="AJ126" s="27" t="s">
        <v>7</v>
      </c>
      <c r="AK126" s="27" t="s">
        <v>8</v>
      </c>
      <c r="AL126" s="34" t="s">
        <v>7</v>
      </c>
      <c r="AN126" s="34" t="s">
        <v>7</v>
      </c>
      <c r="CF126" s="27" t="s">
        <v>7</v>
      </c>
    </row>
    <row r="127" spans="1:85" x14ac:dyDescent="0.25">
      <c r="A127" s="30">
        <v>247.96523407231004</v>
      </c>
      <c r="C127" s="30">
        <v>301.40329179760585</v>
      </c>
      <c r="D127"/>
      <c r="E127" s="1" t="s">
        <v>8</v>
      </c>
      <c r="L127" s="27" t="s">
        <v>7</v>
      </c>
      <c r="Q127" s="27" t="s">
        <v>8</v>
      </c>
      <c r="S127" s="27" t="s">
        <v>8</v>
      </c>
      <c r="T127" s="27" t="s">
        <v>7</v>
      </c>
      <c r="U127" s="27" t="s">
        <v>8</v>
      </c>
      <c r="V127" s="27" t="s">
        <v>7</v>
      </c>
      <c r="W127" s="27" t="s">
        <v>8</v>
      </c>
      <c r="X127" s="27" t="s">
        <v>7</v>
      </c>
      <c r="Y127" s="27" t="s">
        <v>8</v>
      </c>
      <c r="Z127" s="27" t="s">
        <v>7</v>
      </c>
      <c r="AA127" s="27" t="s">
        <v>8</v>
      </c>
      <c r="AD127" s="27" t="s">
        <v>7</v>
      </c>
      <c r="AG127" s="27" t="s">
        <v>8</v>
      </c>
      <c r="AH127" s="27" t="s">
        <v>7</v>
      </c>
      <c r="AI127" s="27" t="s">
        <v>8</v>
      </c>
      <c r="AJ127" s="27" t="s">
        <v>7</v>
      </c>
      <c r="AK127" s="27" t="s">
        <v>8</v>
      </c>
    </row>
    <row r="128" spans="1:85" x14ac:dyDescent="0.25">
      <c r="A128" s="30">
        <v>236.15736578315241</v>
      </c>
      <c r="E128" s="1" t="s">
        <v>8</v>
      </c>
      <c r="L128" s="27" t="s">
        <v>7</v>
      </c>
      <c r="O128" s="27" t="s">
        <v>8</v>
      </c>
      <c r="Q128" s="27" t="s">
        <v>8</v>
      </c>
      <c r="R128" s="27" t="s">
        <v>7</v>
      </c>
      <c r="S128" s="27" t="s">
        <v>8</v>
      </c>
      <c r="T128" s="27" t="s">
        <v>7</v>
      </c>
      <c r="U128" s="27" t="s">
        <v>8</v>
      </c>
      <c r="V128" s="27" t="s">
        <v>7</v>
      </c>
      <c r="X128" s="27" t="s">
        <v>7</v>
      </c>
      <c r="Y128" s="27" t="s">
        <v>8</v>
      </c>
      <c r="Z128" s="27" t="s">
        <v>7</v>
      </c>
      <c r="AA128" s="27" t="s">
        <v>8</v>
      </c>
      <c r="AD128" s="27" t="s">
        <v>7</v>
      </c>
      <c r="AE128" s="27" t="s">
        <v>8</v>
      </c>
      <c r="AG128" s="27" t="s">
        <v>8</v>
      </c>
      <c r="AH128" s="34" t="s">
        <v>7</v>
      </c>
      <c r="AJ128" s="34" t="s">
        <v>7</v>
      </c>
    </row>
    <row r="129" spans="1:33" x14ac:dyDescent="0.25">
      <c r="A129" s="30">
        <v>224.91177693633563</v>
      </c>
      <c r="C129" s="1" t="s">
        <v>11</v>
      </c>
      <c r="D129" s="1" t="s">
        <v>12</v>
      </c>
      <c r="E129" t="s">
        <v>8</v>
      </c>
      <c r="L129" s="27" t="s">
        <v>7</v>
      </c>
      <c r="O129" s="27" t="s">
        <v>8</v>
      </c>
      <c r="P129" s="27" t="s">
        <v>7</v>
      </c>
      <c r="Q129" s="27" t="s">
        <v>8</v>
      </c>
      <c r="R129" s="27" t="s">
        <v>7</v>
      </c>
      <c r="S129" s="27" t="s">
        <v>8</v>
      </c>
      <c r="T129" s="27" t="s">
        <v>7</v>
      </c>
      <c r="U129" s="27" t="s">
        <v>8</v>
      </c>
      <c r="X129" s="27" t="s">
        <v>7</v>
      </c>
      <c r="Z129" s="27" t="s">
        <v>7</v>
      </c>
      <c r="AA129" s="27" t="s">
        <v>8</v>
      </c>
      <c r="AD129" s="27" t="s">
        <v>7</v>
      </c>
      <c r="AE129" s="27" t="s">
        <v>8</v>
      </c>
      <c r="AF129" s="27" t="s">
        <v>7</v>
      </c>
      <c r="AG129" s="27" t="s">
        <v>8</v>
      </c>
    </row>
    <row r="130" spans="1:33" x14ac:dyDescent="0.25">
      <c r="A130" s="30">
        <v>214.20169232031964</v>
      </c>
      <c r="C130" s="6"/>
      <c r="D130" s="6"/>
      <c r="E130" t="s">
        <v>8</v>
      </c>
      <c r="L130" s="27" t="s">
        <v>7</v>
      </c>
      <c r="O130" s="27" t="s">
        <v>8</v>
      </c>
      <c r="P130" s="27" t="s">
        <v>7</v>
      </c>
      <c r="Q130" s="27" t="s">
        <v>8</v>
      </c>
      <c r="R130" s="27" t="s">
        <v>7</v>
      </c>
      <c r="T130" s="27" t="s">
        <v>7</v>
      </c>
      <c r="Z130" s="27" t="s">
        <v>7</v>
      </c>
      <c r="AD130" s="27" t="s">
        <v>7</v>
      </c>
      <c r="AE130" s="27" t="s">
        <v>8</v>
      </c>
      <c r="AF130" s="27" t="s">
        <v>7</v>
      </c>
      <c r="AG130" s="27" t="s">
        <v>8</v>
      </c>
    </row>
    <row r="131" spans="1:33" x14ac:dyDescent="0.25">
      <c r="A131" s="30">
        <v>204.00161173363773</v>
      </c>
      <c r="E131" t="s">
        <v>8</v>
      </c>
      <c r="L131" s="27" t="s">
        <v>7</v>
      </c>
      <c r="O131" s="27" t="s">
        <v>8</v>
      </c>
      <c r="P131" s="27" t="s">
        <v>7</v>
      </c>
      <c r="AD131" s="34" t="s">
        <v>7</v>
      </c>
      <c r="AF131" s="34" t="s">
        <v>7</v>
      </c>
    </row>
    <row r="132" spans="1:33" x14ac:dyDescent="0.25">
      <c r="A132" s="30">
        <v>194.28724927013116</v>
      </c>
      <c r="C132" s="1" t="s">
        <v>13</v>
      </c>
      <c r="E132" t="s">
        <v>8</v>
      </c>
      <c r="L132" s="27" t="s">
        <v>7</v>
      </c>
      <c r="O132" s="27" t="s">
        <v>8</v>
      </c>
    </row>
    <row r="133" spans="1:33" x14ac:dyDescent="0.25">
      <c r="A133" s="30">
        <v>185.03547549536299</v>
      </c>
      <c r="C133" s="1" t="str">
        <f>C122</f>
        <v>X</v>
      </c>
      <c r="E133" t="s">
        <v>8</v>
      </c>
      <c r="L133" s="27" t="s">
        <v>7</v>
      </c>
      <c r="M133" s="27" t="s">
        <v>8</v>
      </c>
      <c r="O133" s="27" t="s">
        <v>8</v>
      </c>
    </row>
    <row r="134" spans="1:33" x14ac:dyDescent="0.25">
      <c r="A134" s="30">
        <v>176.22426237653616</v>
      </c>
      <c r="C134"/>
      <c r="E134" t="s">
        <v>8</v>
      </c>
      <c r="L134" s="27" t="s">
        <v>7</v>
      </c>
      <c r="M134" s="27" t="s">
        <v>8</v>
      </c>
      <c r="N134" s="27" t="s">
        <v>7</v>
      </c>
      <c r="O134" s="27" t="s">
        <v>8</v>
      </c>
    </row>
    <row r="135" spans="1:33" x14ac:dyDescent="0.25">
      <c r="A135" s="30">
        <v>167.83263083479633</v>
      </c>
      <c r="C135" s="1" t="s">
        <v>14</v>
      </c>
      <c r="E135" t="s">
        <v>8</v>
      </c>
      <c r="L135" s="27" t="s">
        <v>7</v>
      </c>
      <c r="M135" s="27" t="s">
        <v>8</v>
      </c>
      <c r="N135" s="27" t="s">
        <v>7</v>
      </c>
      <c r="O135" s="27" t="s">
        <v>8</v>
      </c>
    </row>
    <row r="136" spans="1:33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  <c r="L136" s="27" t="s">
        <v>7</v>
      </c>
      <c r="M136" s="27" t="s">
        <v>8</v>
      </c>
      <c r="N136" s="27" t="s">
        <v>7</v>
      </c>
      <c r="O136" s="27" t="s">
        <v>8</v>
      </c>
    </row>
    <row r="137" spans="1:33" x14ac:dyDescent="0.25">
      <c r="A137" s="30">
        <v>152.22914361432771</v>
      </c>
      <c r="E137" t="s">
        <v>8</v>
      </c>
      <c r="L137" s="27" t="s">
        <v>7</v>
      </c>
      <c r="M137" s="27" t="s">
        <v>8</v>
      </c>
      <c r="N137" s="27" t="s">
        <v>7</v>
      </c>
    </row>
    <row r="138" spans="1:33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 t="s">
        <v>8</v>
      </c>
      <c r="L138" s="27" t="s">
        <v>7</v>
      </c>
      <c r="M138" s="27" t="s">
        <v>8</v>
      </c>
    </row>
    <row r="139" spans="1:33" x14ac:dyDescent="0.25">
      <c r="A139" s="30">
        <v>138.07632073861922</v>
      </c>
      <c r="E139" t="s">
        <v>8</v>
      </c>
      <c r="L139" s="27" t="s">
        <v>7</v>
      </c>
      <c r="M139" s="27" t="s">
        <v>8</v>
      </c>
    </row>
    <row r="140" spans="1:33" x14ac:dyDescent="0.25">
      <c r="A140" s="30">
        <v>131.50125784630401</v>
      </c>
      <c r="C140" s="1">
        <v>0</v>
      </c>
      <c r="E140" t="s">
        <v>8</v>
      </c>
      <c r="L140" s="27" t="s">
        <v>7</v>
      </c>
    </row>
    <row r="141" spans="1:33" x14ac:dyDescent="0.25">
      <c r="A141" s="30">
        <v>125.23929318695619</v>
      </c>
      <c r="C141" s="1">
        <v>1</v>
      </c>
      <c r="E141" t="s">
        <v>8</v>
      </c>
    </row>
    <row r="142" spans="1:33" x14ac:dyDescent="0.25">
      <c r="A142" s="30">
        <v>119.27551732091065</v>
      </c>
      <c r="C142" s="1">
        <v>2</v>
      </c>
      <c r="E142" t="s">
        <v>8</v>
      </c>
    </row>
    <row r="143" spans="1:33" x14ac:dyDescent="0.25">
      <c r="A143" s="30">
        <v>113.59573078181967</v>
      </c>
      <c r="C143" s="1">
        <v>3</v>
      </c>
      <c r="E143" t="s">
        <v>8</v>
      </c>
    </row>
    <row r="144" spans="1:33" x14ac:dyDescent="0.25">
      <c r="A144" s="30">
        <v>108.18641026839968</v>
      </c>
      <c r="C144" s="1">
        <v>4</v>
      </c>
      <c r="E144" t="s">
        <v>8</v>
      </c>
    </row>
    <row r="145" spans="1:5" x14ac:dyDescent="0.25">
      <c r="A145" s="30">
        <v>103.03467644609493</v>
      </c>
      <c r="E145" t="s">
        <v>8</v>
      </c>
    </row>
    <row r="146" spans="1:5" x14ac:dyDescent="0.25">
      <c r="A146" s="30">
        <v>98.128263281995174</v>
      </c>
      <c r="E146" t="s">
        <v>8</v>
      </c>
    </row>
    <row r="147" spans="1:5" x14ac:dyDescent="0.25">
      <c r="A147" s="30">
        <v>93.455488839995397</v>
      </c>
      <c r="E147" t="s">
        <v>8</v>
      </c>
    </row>
    <row r="148" spans="1:5" x14ac:dyDescent="0.25">
      <c r="A148" s="30">
        <v>89.005227466662276</v>
      </c>
      <c r="E148" t="s">
        <v>8</v>
      </c>
    </row>
    <row r="149" spans="1:5" x14ac:dyDescent="0.25">
      <c r="A149" s="30">
        <v>84.766883301583121</v>
      </c>
      <c r="E149" t="s">
        <v>8</v>
      </c>
    </row>
    <row r="150" spans="1:5" x14ac:dyDescent="0.25">
      <c r="A150" s="30">
        <v>80.730365049126775</v>
      </c>
      <c r="E150" t="s">
        <v>8</v>
      </c>
    </row>
    <row r="151" spans="1:5" x14ac:dyDescent="0.25">
      <c r="A151" s="30">
        <v>76.886061951549308</v>
      </c>
      <c r="E151" t="s">
        <v>8</v>
      </c>
    </row>
    <row r="152" spans="1:5" x14ac:dyDescent="0.25">
      <c r="A152" s="30">
        <v>73.22482090623744</v>
      </c>
      <c r="E152" t="s">
        <v>8</v>
      </c>
    </row>
    <row r="153" spans="1:5" x14ac:dyDescent="0.25">
      <c r="A153" s="30">
        <v>69.737924672607079</v>
      </c>
      <c r="C153" s="7"/>
      <c r="D153"/>
      <c r="E153" t="s">
        <v>8</v>
      </c>
    </row>
    <row r="154" spans="1:5" x14ac:dyDescent="0.25">
      <c r="A154" s="30">
        <v>66.417071116768639</v>
      </c>
      <c r="E154" t="s">
        <v>8</v>
      </c>
    </row>
    <row r="155" spans="1:5" x14ac:dyDescent="0.25">
      <c r="A155" s="30">
        <v>63.254353444541557</v>
      </c>
      <c r="E155" t="s">
        <v>8</v>
      </c>
    </row>
    <row r="156" spans="1:5" x14ac:dyDescent="0.25">
      <c r="A156" s="30">
        <v>60.242241375753864</v>
      </c>
      <c r="C156"/>
      <c r="D156"/>
      <c r="E156" t="s">
        <v>8</v>
      </c>
    </row>
    <row r="157" spans="1:5" x14ac:dyDescent="0.25">
      <c r="A157" s="30">
        <v>57.373563215003678</v>
      </c>
      <c r="E157" t="s">
        <v>8</v>
      </c>
    </row>
    <row r="158" spans="1:5" x14ac:dyDescent="0.25">
      <c r="A158" s="30">
        <v>54.641488776193974</v>
      </c>
      <c r="E158" t="s">
        <v>8</v>
      </c>
    </row>
    <row r="159" spans="1:5" x14ac:dyDescent="0.25">
      <c r="A159" s="30">
        <v>52.039513120184736</v>
      </c>
      <c r="E159" t="s">
        <v>8</v>
      </c>
    </row>
    <row r="160" spans="1: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32" zoomScale="90" zoomScaleNormal="90" workbookViewId="0">
      <pane xSplit="4" topLeftCell="G1" activePane="topRight" state="frozen"/>
      <selection activeCell="A109" sqref="A109"/>
      <selection pane="topRight" activeCell="AP62" sqref="AP6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33" x14ac:dyDescent="0.25">
      <c r="A33" s="30">
        <v>4390.927778387033</v>
      </c>
      <c r="E33"/>
    </row>
    <row r="34" spans="1:33" x14ac:dyDescent="0.25">
      <c r="A34" s="30">
        <v>3991.7525258063934</v>
      </c>
      <c r="E34"/>
    </row>
    <row r="35" spans="1:33" x14ac:dyDescent="0.25">
      <c r="A35" s="30">
        <v>3628.8659325512663</v>
      </c>
      <c r="E35"/>
    </row>
    <row r="36" spans="1:33" x14ac:dyDescent="0.25">
      <c r="A36" s="30">
        <v>3298.96902959206</v>
      </c>
      <c r="E36"/>
    </row>
    <row r="37" spans="1:33" x14ac:dyDescent="0.25">
      <c r="A37" s="30">
        <v>2999.0627541745998</v>
      </c>
      <c r="E37"/>
    </row>
    <row r="38" spans="1:33" x14ac:dyDescent="0.25">
      <c r="A38" s="30">
        <v>2726.4206856132723</v>
      </c>
      <c r="E38"/>
    </row>
    <row r="39" spans="1:33" x14ac:dyDescent="0.25">
      <c r="A39" s="30">
        <v>2478.564259648429</v>
      </c>
      <c r="E39"/>
    </row>
    <row r="40" spans="1:33" x14ac:dyDescent="0.25">
      <c r="A40" s="30">
        <v>2253.240236044026</v>
      </c>
      <c r="E40"/>
    </row>
    <row r="41" spans="1:33" x14ac:dyDescent="0.25">
      <c r="A41" s="30">
        <v>2048.4002145854779</v>
      </c>
      <c r="E41"/>
    </row>
    <row r="42" spans="1:33" x14ac:dyDescent="0.25">
      <c r="A42" s="30">
        <v>1862.1820132595253</v>
      </c>
      <c r="C42" s="1" t="s">
        <v>15</v>
      </c>
      <c r="E42"/>
    </row>
    <row r="43" spans="1:33" x14ac:dyDescent="0.25">
      <c r="A43" s="30">
        <v>1692.8927393268411</v>
      </c>
      <c r="C43" s="7">
        <v>0.11167815779424731</v>
      </c>
      <c r="D43"/>
      <c r="E43"/>
    </row>
    <row r="44" spans="1:33" x14ac:dyDescent="0.25">
      <c r="A44" s="30">
        <v>1538.9933993880372</v>
      </c>
      <c r="E44"/>
      <c r="AC44" s="31" t="s">
        <v>8</v>
      </c>
    </row>
    <row r="45" spans="1:33" x14ac:dyDescent="0.25">
      <c r="A45" s="30">
        <v>1399.0849085345792</v>
      </c>
      <c r="C45" s="1" t="s">
        <v>11</v>
      </c>
      <c r="D45" s="1" t="s">
        <v>12</v>
      </c>
      <c r="E45"/>
      <c r="AC45" s="27" t="s">
        <v>8</v>
      </c>
      <c r="AD45" s="31" t="s">
        <v>7</v>
      </c>
    </row>
    <row r="46" spans="1:33" x14ac:dyDescent="0.25">
      <c r="A46" s="30">
        <v>1271.8953713950718</v>
      </c>
      <c r="C46"/>
      <c r="D46"/>
      <c r="E46"/>
      <c r="AC46" s="27" t="s">
        <v>8</v>
      </c>
      <c r="AD46" s="27" t="s">
        <v>7</v>
      </c>
      <c r="AE46" s="31"/>
    </row>
    <row r="47" spans="1:33" x14ac:dyDescent="0.25">
      <c r="A47" s="30">
        <v>1156.2685194500652</v>
      </c>
      <c r="E47"/>
      <c r="AA47" s="27" t="s">
        <v>8</v>
      </c>
      <c r="AC47" s="27" t="s">
        <v>8</v>
      </c>
      <c r="AD47" s="27" t="s">
        <v>7</v>
      </c>
      <c r="AF47" s="31"/>
    </row>
    <row r="48" spans="1:33" x14ac:dyDescent="0.25">
      <c r="A48" s="30">
        <v>1051.1531995000591</v>
      </c>
      <c r="C48" s="1" t="s">
        <v>13</v>
      </c>
      <c r="E48"/>
      <c r="AA48" s="27" t="s">
        <v>8</v>
      </c>
      <c r="AB48" s="27" t="s">
        <v>7</v>
      </c>
      <c r="AC48" s="27" t="s">
        <v>8</v>
      </c>
      <c r="AD48" s="27" t="s">
        <v>7</v>
      </c>
      <c r="AG48" s="31"/>
    </row>
    <row r="49" spans="1:42" x14ac:dyDescent="0.25">
      <c r="A49" s="30">
        <v>955.59381772732638</v>
      </c>
      <c r="C49" s="1">
        <f>C38</f>
        <v>0</v>
      </c>
      <c r="E49"/>
      <c r="AA49" s="27" t="s">
        <v>8</v>
      </c>
      <c r="AB49" s="27" t="s">
        <v>7</v>
      </c>
      <c r="AC49" s="27" t="s">
        <v>8</v>
      </c>
      <c r="AD49" s="27" t="s">
        <v>7</v>
      </c>
      <c r="AH49" s="31"/>
    </row>
    <row r="50" spans="1:42" x14ac:dyDescent="0.25">
      <c r="A50" s="30">
        <v>868.72165247938756</v>
      </c>
      <c r="C50"/>
      <c r="D50"/>
      <c r="E50"/>
      <c r="AA50" s="27" t="s">
        <v>8</v>
      </c>
      <c r="AB50" s="27" t="s">
        <v>7</v>
      </c>
      <c r="AC50" s="27" t="s">
        <v>8</v>
      </c>
      <c r="AD50" s="27" t="s">
        <v>7</v>
      </c>
      <c r="AI50" s="31"/>
    </row>
    <row r="51" spans="1:42" x14ac:dyDescent="0.25">
      <c r="A51" s="30">
        <v>789.74695679944318</v>
      </c>
      <c r="C51" s="1" t="s">
        <v>14</v>
      </c>
      <c r="E51"/>
      <c r="AA51" s="27" t="s">
        <v>8</v>
      </c>
      <c r="AB51" s="27" t="s">
        <v>7</v>
      </c>
      <c r="AC51" s="27" t="s">
        <v>8</v>
      </c>
      <c r="AD51" s="27" t="s">
        <v>7</v>
      </c>
      <c r="AE51" s="34" t="s">
        <v>8</v>
      </c>
      <c r="AG51" s="34" t="s">
        <v>8</v>
      </c>
      <c r="AJ51" s="31"/>
      <c r="AK51" s="27" t="s">
        <v>8</v>
      </c>
    </row>
    <row r="52" spans="1:42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  <c r="W52" s="27" t="s">
        <v>8</v>
      </c>
      <c r="AA52" s="27" t="s">
        <v>8</v>
      </c>
      <c r="AB52" s="27" t="s">
        <v>7</v>
      </c>
      <c r="AD52" s="27" t="s">
        <v>7</v>
      </c>
      <c r="AE52" s="27" t="s">
        <v>8</v>
      </c>
      <c r="AF52" s="27" t="s">
        <v>7</v>
      </c>
      <c r="AG52" s="27" t="s">
        <v>8</v>
      </c>
      <c r="AH52" s="27" t="s">
        <v>7</v>
      </c>
      <c r="AK52" s="31" t="s">
        <v>8</v>
      </c>
      <c r="AL52" s="27" t="s">
        <v>7</v>
      </c>
      <c r="AM52" s="27" t="s">
        <v>8</v>
      </c>
    </row>
    <row r="53" spans="1:42" x14ac:dyDescent="0.25">
      <c r="A53" s="30">
        <v>652.68343537144051</v>
      </c>
      <c r="E53"/>
      <c r="W53" s="27" t="s">
        <v>8</v>
      </c>
      <c r="X53" s="27" t="s">
        <v>7</v>
      </c>
      <c r="AA53" s="27" t="s">
        <v>8</v>
      </c>
      <c r="AD53" s="32" t="s">
        <v>7</v>
      </c>
      <c r="AE53" s="27" t="s">
        <v>8</v>
      </c>
      <c r="AF53" s="27" t="s">
        <v>7</v>
      </c>
      <c r="AG53" s="27" t="s">
        <v>8</v>
      </c>
      <c r="AH53" s="27" t="s">
        <v>7</v>
      </c>
      <c r="AK53" s="27" t="s">
        <v>8</v>
      </c>
      <c r="AL53" s="31" t="s">
        <v>7</v>
      </c>
      <c r="AM53" s="27" t="s">
        <v>8</v>
      </c>
      <c r="AN53" s="27" t="s">
        <v>7</v>
      </c>
    </row>
    <row r="54" spans="1:42" x14ac:dyDescent="0.25">
      <c r="A54" s="30">
        <v>593.34857761040041</v>
      </c>
      <c r="E54"/>
      <c r="S54" s="27" t="s">
        <v>8</v>
      </c>
      <c r="W54" s="27" t="s">
        <v>8</v>
      </c>
      <c r="X54" s="27" t="s">
        <v>7</v>
      </c>
      <c r="Y54" s="27" t="s">
        <v>8</v>
      </c>
      <c r="AA54" s="27" t="s">
        <v>8</v>
      </c>
      <c r="AC54" s="31"/>
      <c r="AD54" s="27" t="s">
        <v>7</v>
      </c>
      <c r="AE54" s="27" t="s">
        <v>8</v>
      </c>
      <c r="AF54" s="27" t="s">
        <v>7</v>
      </c>
      <c r="AG54" s="27" t="s">
        <v>8</v>
      </c>
      <c r="AH54" s="27" t="s">
        <v>7</v>
      </c>
      <c r="AK54" s="27" t="s">
        <v>8</v>
      </c>
      <c r="AL54" s="27" t="s">
        <v>7</v>
      </c>
      <c r="AM54" s="31" t="s">
        <v>8</v>
      </c>
      <c r="AN54" s="27" t="s">
        <v>7</v>
      </c>
    </row>
    <row r="55" spans="1:42" x14ac:dyDescent="0.25">
      <c r="A55" s="30">
        <v>539.40779782763673</v>
      </c>
      <c r="E55"/>
      <c r="S55" s="27" t="s">
        <v>8</v>
      </c>
      <c r="T55" s="27" t="s">
        <v>7</v>
      </c>
      <c r="U55" s="27" t="s">
        <v>8</v>
      </c>
      <c r="W55" s="27" t="s">
        <v>8</v>
      </c>
      <c r="X55" s="27" t="s">
        <v>7</v>
      </c>
      <c r="Y55" s="27" t="s">
        <v>8</v>
      </c>
      <c r="Z55" s="27" t="s">
        <v>7</v>
      </c>
      <c r="AA55" s="27" t="s">
        <v>8</v>
      </c>
      <c r="AB55" s="31"/>
      <c r="AD55" s="27" t="s">
        <v>7</v>
      </c>
      <c r="AE55" s="27" t="s">
        <v>8</v>
      </c>
      <c r="AF55" s="27" t="s">
        <v>7</v>
      </c>
      <c r="AG55" s="27" t="s">
        <v>8</v>
      </c>
      <c r="AH55" s="27" t="s">
        <v>7</v>
      </c>
      <c r="AI55" s="18" t="s">
        <v>8</v>
      </c>
      <c r="AK55" s="27" t="s">
        <v>8</v>
      </c>
      <c r="AL55" s="27" t="s">
        <v>7</v>
      </c>
      <c r="AM55" s="27" t="s">
        <v>8</v>
      </c>
      <c r="AN55" s="27" t="s">
        <v>7</v>
      </c>
    </row>
    <row r="56" spans="1:42" x14ac:dyDescent="0.25">
      <c r="A56" s="30">
        <v>490.37072529785149</v>
      </c>
      <c r="E56"/>
      <c r="G56" s="27" t="s">
        <v>8</v>
      </c>
      <c r="S56" s="27" t="s">
        <v>8</v>
      </c>
      <c r="T56" s="27" t="s">
        <v>7</v>
      </c>
      <c r="U56" s="27" t="s">
        <v>8</v>
      </c>
      <c r="V56" s="27" t="s">
        <v>7</v>
      </c>
      <c r="W56" s="27" t="s">
        <v>8</v>
      </c>
      <c r="X56" s="27" t="s">
        <v>7</v>
      </c>
      <c r="Y56" s="27" t="s">
        <v>8</v>
      </c>
      <c r="Z56" s="27" t="s">
        <v>7</v>
      </c>
      <c r="AA56" s="31" t="s">
        <v>8</v>
      </c>
      <c r="AD56" s="34" t="s">
        <v>7</v>
      </c>
      <c r="AF56" s="34" t="s">
        <v>7</v>
      </c>
      <c r="AH56" s="27" t="s">
        <v>7</v>
      </c>
      <c r="AI56" s="27" t="s">
        <v>8</v>
      </c>
      <c r="AJ56" s="27" t="s">
        <v>7</v>
      </c>
      <c r="AK56" s="27" t="s">
        <v>8</v>
      </c>
      <c r="AL56" s="27" t="s">
        <v>7</v>
      </c>
      <c r="AN56" s="27" t="s">
        <v>7</v>
      </c>
      <c r="AO56" s="27" t="s">
        <v>8</v>
      </c>
    </row>
    <row r="57" spans="1:42" x14ac:dyDescent="0.25">
      <c r="A57" s="30">
        <v>445.79156845259223</v>
      </c>
      <c r="E57"/>
      <c r="G57" s="27" t="s">
        <v>8</v>
      </c>
      <c r="H57" s="27" t="s">
        <v>7</v>
      </c>
      <c r="S57" s="27" t="s">
        <v>8</v>
      </c>
      <c r="T57" s="27" t="s">
        <v>7</v>
      </c>
      <c r="U57" s="27" t="s">
        <v>8</v>
      </c>
      <c r="V57" s="27" t="s">
        <v>7</v>
      </c>
      <c r="W57" s="27" t="s">
        <v>8</v>
      </c>
      <c r="X57" s="34" t="s">
        <v>7</v>
      </c>
      <c r="Z57" s="34" t="s">
        <v>7</v>
      </c>
      <c r="AH57" s="27" t="s">
        <v>7</v>
      </c>
      <c r="AI57" s="27" t="s">
        <v>8</v>
      </c>
      <c r="AJ57" s="27" t="s">
        <v>7</v>
      </c>
      <c r="AK57" s="27" t="s">
        <v>8</v>
      </c>
      <c r="AN57" s="27" t="s">
        <v>7</v>
      </c>
      <c r="AO57" s="27" t="s">
        <v>8</v>
      </c>
      <c r="AP57" s="27" t="s">
        <v>7</v>
      </c>
    </row>
    <row r="58" spans="1:42" x14ac:dyDescent="0.25">
      <c r="A58" s="30">
        <v>405.26506222962928</v>
      </c>
      <c r="E58" t="s">
        <v>8</v>
      </c>
      <c r="G58" s="27" t="s">
        <v>8</v>
      </c>
      <c r="H58" s="27" t="s">
        <v>7</v>
      </c>
      <c r="S58" s="27" t="s">
        <v>8</v>
      </c>
      <c r="T58" s="34" t="s">
        <v>7</v>
      </c>
      <c r="V58" s="34" t="s">
        <v>7</v>
      </c>
      <c r="AH58" s="34" t="s">
        <v>7</v>
      </c>
      <c r="AJ58" s="34" t="s">
        <v>7</v>
      </c>
      <c r="AN58" s="27" t="s">
        <v>7</v>
      </c>
      <c r="AO58" s="27" t="s">
        <v>8</v>
      </c>
      <c r="AP58" s="27" t="s">
        <v>7</v>
      </c>
    </row>
    <row r="59" spans="1:42" x14ac:dyDescent="0.25">
      <c r="A59" s="30">
        <v>368.42278384511752</v>
      </c>
      <c r="E59" t="s">
        <v>8</v>
      </c>
      <c r="F59" s="27" t="s">
        <v>7</v>
      </c>
      <c r="G59" s="27" t="s">
        <v>8</v>
      </c>
      <c r="H59" s="27" t="s">
        <v>7</v>
      </c>
      <c r="O59" s="34" t="s">
        <v>8</v>
      </c>
      <c r="Q59" s="34" t="s">
        <v>8</v>
      </c>
      <c r="S59" s="27" t="s">
        <v>8</v>
      </c>
      <c r="AN59" s="27" t="s">
        <v>7</v>
      </c>
      <c r="AP59" s="27" t="s">
        <v>7</v>
      </c>
    </row>
    <row r="60" spans="1:42" x14ac:dyDescent="0.25">
      <c r="A60" s="30">
        <v>334.92980349556137</v>
      </c>
      <c r="E60" t="s">
        <v>8</v>
      </c>
      <c r="F60" s="27" t="s">
        <v>7</v>
      </c>
      <c r="G60" s="27" t="s">
        <v>8</v>
      </c>
      <c r="H60" s="27" t="s">
        <v>7</v>
      </c>
      <c r="M60" s="27" t="s">
        <v>8</v>
      </c>
      <c r="O60" s="27" t="s">
        <v>8</v>
      </c>
      <c r="P60" s="27" t="s">
        <v>7</v>
      </c>
      <c r="Q60" s="27" t="s">
        <v>8</v>
      </c>
      <c r="R60" s="27" t="s">
        <v>7</v>
      </c>
      <c r="S60" s="27" t="s">
        <v>8</v>
      </c>
      <c r="AP60" s="27" t="s">
        <v>7</v>
      </c>
    </row>
    <row r="61" spans="1:42" x14ac:dyDescent="0.25">
      <c r="A61" s="30">
        <v>304.48163954141938</v>
      </c>
      <c r="E61" t="s">
        <v>8</v>
      </c>
      <c r="F61" s="27" t="s">
        <v>7</v>
      </c>
      <c r="H61" s="27" t="s">
        <v>7</v>
      </c>
      <c r="M61" s="33" t="s">
        <v>8</v>
      </c>
      <c r="N61" s="27" t="s">
        <v>7</v>
      </c>
      <c r="O61" s="27" t="s">
        <v>8</v>
      </c>
      <c r="P61" s="27" t="s">
        <v>7</v>
      </c>
      <c r="Q61" s="27" t="s">
        <v>8</v>
      </c>
      <c r="R61" s="27" t="s">
        <v>7</v>
      </c>
      <c r="S61" s="27" t="s">
        <v>8</v>
      </c>
      <c r="AP61" s="27" t="s">
        <v>7</v>
      </c>
    </row>
    <row r="62" spans="1:42" x14ac:dyDescent="0.25">
      <c r="A62" s="30">
        <v>276.80149049219943</v>
      </c>
      <c r="E62" t="s">
        <v>8</v>
      </c>
      <c r="H62" s="27" t="s">
        <v>7</v>
      </c>
      <c r="I62" s="34" t="s">
        <v>8</v>
      </c>
      <c r="K62" s="34" t="s">
        <v>8</v>
      </c>
      <c r="M62" s="27" t="s">
        <v>8</v>
      </c>
      <c r="N62" s="27" t="s">
        <v>7</v>
      </c>
      <c r="O62" s="27" t="s">
        <v>8</v>
      </c>
      <c r="P62" s="27" t="s">
        <v>7</v>
      </c>
      <c r="Q62" s="27" t="s">
        <v>8</v>
      </c>
      <c r="R62" s="27" t="s">
        <v>7</v>
      </c>
      <c r="AP62" s="27" t="s">
        <v>7</v>
      </c>
    </row>
    <row r="63" spans="1:42" x14ac:dyDescent="0.25">
      <c r="A63" s="30">
        <v>251.63771862927217</v>
      </c>
      <c r="E63" t="s">
        <v>8</v>
      </c>
      <c r="H63" s="27" t="s">
        <v>7</v>
      </c>
      <c r="I63" s="27" t="s">
        <v>8</v>
      </c>
      <c r="J63" s="27" t="s">
        <v>7</v>
      </c>
      <c r="K63" s="27" t="s">
        <v>8</v>
      </c>
      <c r="L63" s="27" t="s">
        <v>7</v>
      </c>
      <c r="M63" s="27" t="s">
        <v>8</v>
      </c>
      <c r="N63" s="27" t="s">
        <v>7</v>
      </c>
      <c r="O63" s="27" t="s">
        <v>8</v>
      </c>
      <c r="P63" s="27" t="s">
        <v>7</v>
      </c>
    </row>
    <row r="64" spans="1:42" x14ac:dyDescent="0.25">
      <c r="A64" s="30">
        <v>228.76156239024741</v>
      </c>
      <c r="E64" t="s">
        <v>8</v>
      </c>
      <c r="H64" s="27" t="s">
        <v>7</v>
      </c>
      <c r="I64" s="27" t="s">
        <v>8</v>
      </c>
      <c r="J64" s="27" t="s">
        <v>7</v>
      </c>
      <c r="K64" s="27" t="s">
        <v>8</v>
      </c>
      <c r="L64" s="27" t="s">
        <v>7</v>
      </c>
      <c r="M64" s="27" t="s">
        <v>8</v>
      </c>
      <c r="N64" s="27" t="s">
        <v>7</v>
      </c>
      <c r="O64" s="27" t="s">
        <v>8</v>
      </c>
    </row>
    <row r="65" spans="1:14" x14ac:dyDescent="0.25">
      <c r="A65" s="30">
        <v>207.96505671840671</v>
      </c>
      <c r="E65" t="s">
        <v>8</v>
      </c>
      <c r="H65" s="27" t="s">
        <v>7</v>
      </c>
      <c r="I65" s="27" t="s">
        <v>8</v>
      </c>
      <c r="J65" s="34" t="s">
        <v>7</v>
      </c>
      <c r="L65" s="34" t="s">
        <v>7</v>
      </c>
      <c r="N65" s="34" t="s">
        <v>7</v>
      </c>
    </row>
    <row r="66" spans="1:14" x14ac:dyDescent="0.25">
      <c r="A66" s="30">
        <v>189.05914247127882</v>
      </c>
      <c r="E66" t="s">
        <v>8</v>
      </c>
      <c r="H66" s="27" t="s">
        <v>7</v>
      </c>
      <c r="I66" s="27" t="s">
        <v>8</v>
      </c>
    </row>
    <row r="67" spans="1:14" x14ac:dyDescent="0.25">
      <c r="A67" s="30">
        <v>171.87194770116255</v>
      </c>
      <c r="C67" s="1" t="s">
        <v>15</v>
      </c>
      <c r="E67" t="s">
        <v>8</v>
      </c>
      <c r="H67" s="27" t="s">
        <v>7</v>
      </c>
      <c r="I67" s="27" t="s">
        <v>8</v>
      </c>
    </row>
    <row r="68" spans="1:14" x14ac:dyDescent="0.25">
      <c r="A68" s="30">
        <v>156.24722518287504</v>
      </c>
      <c r="C68" s="7">
        <v>0.11167815779424731</v>
      </c>
      <c r="D68"/>
      <c r="E68" t="s">
        <v>8</v>
      </c>
      <c r="H68" s="27" t="s">
        <v>7</v>
      </c>
      <c r="I68" s="27" t="s">
        <v>8</v>
      </c>
    </row>
    <row r="69" spans="1:14" x14ac:dyDescent="0.25">
      <c r="A69" s="30">
        <v>142.04293198443185</v>
      </c>
      <c r="E69" t="s">
        <v>8</v>
      </c>
      <c r="H69" s="27" t="s">
        <v>7</v>
      </c>
      <c r="I69" s="27" t="s">
        <v>8</v>
      </c>
    </row>
    <row r="70" spans="1:14" x14ac:dyDescent="0.25">
      <c r="A70" s="30">
        <v>129.1299381676653</v>
      </c>
      <c r="C70" s="1" t="s">
        <v>11</v>
      </c>
      <c r="D70" s="1" t="s">
        <v>12</v>
      </c>
      <c r="E70" t="s">
        <v>8</v>
      </c>
      <c r="H70" s="27" t="s">
        <v>7</v>
      </c>
    </row>
    <row r="71" spans="1:14" x14ac:dyDescent="0.25">
      <c r="A71" s="30">
        <v>117.39085287969573</v>
      </c>
      <c r="C71"/>
      <c r="D71"/>
      <c r="E71" t="s">
        <v>8</v>
      </c>
    </row>
    <row r="72" spans="1:14" x14ac:dyDescent="0.25">
      <c r="A72" s="30">
        <v>106.71895716335975</v>
      </c>
      <c r="E72" t="s">
        <v>8</v>
      </c>
    </row>
    <row r="73" spans="1:14" x14ac:dyDescent="0.25">
      <c r="A73" s="30">
        <v>97.017233784872488</v>
      </c>
      <c r="C73" s="1" t="s">
        <v>13</v>
      </c>
      <c r="E73" t="s">
        <v>8</v>
      </c>
    </row>
    <row r="74" spans="1:14" x14ac:dyDescent="0.25">
      <c r="A74" s="30">
        <v>88.197485258974979</v>
      </c>
      <c r="C74" s="1">
        <f>C63</f>
        <v>0</v>
      </c>
      <c r="E74" t="s">
        <v>8</v>
      </c>
    </row>
    <row r="75" spans="1:14" x14ac:dyDescent="0.25">
      <c r="A75" s="30">
        <v>80.179532053613613</v>
      </c>
      <c r="C75"/>
      <c r="D75"/>
      <c r="E75" t="s">
        <v>8</v>
      </c>
    </row>
    <row r="76" spans="1:14" x14ac:dyDescent="0.25">
      <c r="A76" s="30">
        <v>72.890483685103277</v>
      </c>
      <c r="C76" s="1" t="s">
        <v>14</v>
      </c>
      <c r="E76" t="s">
        <v>8</v>
      </c>
    </row>
    <row r="77" spans="1:14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14" x14ac:dyDescent="0.25">
      <c r="A78" s="30">
        <v>60.240069161242367</v>
      </c>
      <c r="E78" t="s">
        <v>8</v>
      </c>
    </row>
    <row r="79" spans="1:14" x14ac:dyDescent="0.25">
      <c r="A79" s="30">
        <v>54.763699237493057</v>
      </c>
      <c r="E79" t="s">
        <v>8</v>
      </c>
    </row>
    <row r="80" spans="1:14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$A$61</v>
      </c>
      <c r="D111" s="1" t="str">
        <f>ADDRESS(C121-1,D121,1,1)</f>
        <v>$AP$61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$A$62</v>
      </c>
      <c r="D112" s="1" t="str">
        <f>ADDRESS(C121,D121-1,1,1)</f>
        <v>$AO$62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$A$63</v>
      </c>
      <c r="D113" s="1" t="str">
        <f>ADDRESS(C121-1,D121+1,1,1)</f>
        <v>$AQ$61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$AP$62</v>
      </c>
      <c r="D114" s="1" t="str">
        <f>ADDRESS(C121+1,D121+1,1,1)</f>
        <v>$AQ$63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$AP$63</v>
      </c>
      <c r="E115" s="1" t="s">
        <v>8</v>
      </c>
    </row>
    <row r="116" spans="1:5" x14ac:dyDescent="0.25">
      <c r="A116" s="30">
        <v>1.6105100000000008</v>
      </c>
      <c r="C116" s="1">
        <f>C117-1</f>
        <v>61</v>
      </c>
      <c r="E116" s="1" t="s">
        <v>8</v>
      </c>
    </row>
    <row r="117" spans="1:5" x14ac:dyDescent="0.25">
      <c r="A117" s="30">
        <v>1.4641000000000006</v>
      </c>
      <c r="C117" s="1">
        <f>C121</f>
        <v>62</v>
      </c>
      <c r="D117" s="1">
        <f>D121</f>
        <v>42</v>
      </c>
      <c r="E117" s="1" t="s">
        <v>8</v>
      </c>
    </row>
    <row r="118" spans="1:5" x14ac:dyDescent="0.25">
      <c r="A118" s="30">
        <v>1.3310000000000004</v>
      </c>
      <c r="C118" s="1">
        <f>C117+1</f>
        <v>63</v>
      </c>
      <c r="D118" s="1">
        <f>D117+1</f>
        <v>43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62</v>
      </c>
      <c r="D121" s="19">
        <v>42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R62</v>
      </c>
      <c r="D123" s="1" t="str">
        <f>"C"&amp;D121</f>
        <v>C42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276.80149049219943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0.05</v>
      </c>
      <c r="E3" s="30">
        <v>384.6754641980919</v>
      </c>
      <c r="F3" s="30">
        <v>403.9092374079965</v>
      </c>
      <c r="G3" s="30">
        <v>690.82186584564283</v>
      </c>
      <c r="H3" s="25">
        <f>IF(G3="","",(3*(G3-F3))+E3)</f>
        <v>1245.4133495110309</v>
      </c>
      <c r="I3" s="7"/>
      <c r="J3" s="7">
        <f>(E3+G3)/2</f>
        <v>537.7486650218674</v>
      </c>
      <c r="K3" s="7">
        <f>H3/2</f>
        <v>622.70667475551545</v>
      </c>
      <c r="M3" s="26">
        <f>IF(OR(J3="",H3=""),"",H3/J3)</f>
        <v>2.3159766458190769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2022-01-28T01:14:20Z</dcterms:modified>
</cp:coreProperties>
</file>