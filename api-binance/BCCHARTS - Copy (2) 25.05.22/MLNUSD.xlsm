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4803E3D-0F39-4C66-939B-0E3C13D8EE35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16" i="5"/>
  <c r="C2" i="1" l="1"/>
  <c r="D2" i="1"/>
  <c r="C122" i="5"/>
  <c r="C133" i="5" s="1"/>
  <c r="D136" i="5" s="1"/>
  <c r="C118" i="4"/>
  <c r="C116" i="4"/>
  <c r="C136" i="4"/>
  <c r="D136" i="4"/>
  <c r="C122" i="3"/>
  <c r="C133" i="3" s="1"/>
  <c r="C136" i="3" s="1"/>
  <c r="C116" i="3"/>
  <c r="R765" i="1"/>
  <c r="C136" i="5" l="1"/>
  <c r="C138" i="5" s="1"/>
  <c r="C138" i="4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S80" i="1" l="1"/>
  <c r="T80" i="1" s="1"/>
  <c r="R79" i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R45" i="1" l="1"/>
  <c r="S46" i="1"/>
  <c r="T46" i="1" s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<sst xmlns="http://schemas.openxmlformats.org/spreadsheetml/2006/main" count="2452" uniqueCount="34">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</sst>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52.7</c:v>
                </c:pt>
                <c:pt idx="1">
                  <c:v>53.8</c:v>
                </c:pt>
                <c:pt idx="2">
                  <c:v>53.3</c:v>
                </c:pt>
                <c:pt idx="3">
                  <c:v>53.4</c:v>
                </c:pt>
                <c:pt idx="4">
                  <c:v>56.3</c:v>
                </c:pt>
                <c:pt idx="5">
                  <c:v>53.2</c:v>
                </c:pt>
                <c:pt idx="6">
                  <c:v>60.7</c:v>
                </c:pt>
                <c:pt idx="7">
                  <c:v>69.900000000000006</c:v>
                </c:pt>
                <c:pt idx="8">
                  <c:v>71.7</c:v>
                </c:pt>
                <c:pt idx="9">
                  <c:v>73.2</c:v>
                </c:pt>
                <c:pt idx="10">
                  <c:v>76.400000000000006</c:v>
                </c:pt>
                <c:pt idx="11">
                  <c:v>76.8</c:v>
                </c:pt>
                <c:pt idx="12">
                  <c:v>77</c:v>
                </c:pt>
                <c:pt idx="13">
                  <c:v>78.3</c:v>
                </c:pt>
                <c:pt idx="14">
                  <c:v>75.2</c:v>
                </c:pt>
                <c:pt idx="15">
                  <c:v>77.099999999999994</c:v>
                </c:pt>
                <c:pt idx="16">
                  <c:v>75.3</c:v>
                </c:pt>
                <c:pt idx="17">
                  <c:v>72.599999999999994</c:v>
                </c:pt>
                <c:pt idx="18">
                  <c:v>75.7</c:v>
                </c:pt>
                <c:pt idx="19">
                  <c:v>74.900000000000006</c:v>
                </c:pt>
                <c:pt idx="20">
                  <c:v>77.900000000000006</c:v>
                </c:pt>
                <c:pt idx="21">
                  <c:v>83.5</c:v>
                </c:pt>
                <c:pt idx="22">
                  <c:v>86.8</c:v>
                </c:pt>
                <c:pt idx="23">
                  <c:v>90.7</c:v>
                </c:pt>
                <c:pt idx="24">
                  <c:v>93.1</c:v>
                </c:pt>
                <c:pt idx="25">
                  <c:v>96.2</c:v>
                </c:pt>
                <c:pt idx="26">
                  <c:v>98.6</c:v>
                </c:pt>
                <c:pt idx="27">
                  <c:v>88.4</c:v>
                </c:pt>
                <c:pt idx="28">
                  <c:v>89.1</c:v>
                </c:pt>
                <c:pt idx="29">
                  <c:v>93.1</c:v>
                </c:pt>
                <c:pt idx="30">
                  <c:v>124.5</c:v>
                </c:pt>
                <c:pt idx="31">
                  <c:v>87.2</c:v>
                </c:pt>
                <c:pt idx="32">
                  <c:v>87</c:v>
                </c:pt>
                <c:pt idx="33">
                  <c:v>84.4</c:v>
                </c:pt>
                <c:pt idx="34">
                  <c:v>82.3</c:v>
                </c:pt>
                <c:pt idx="35">
                  <c:v>84.4</c:v>
                </c:pt>
                <c:pt idx="36">
                  <c:v>81.7</c:v>
                </c:pt>
                <c:pt idx="37">
                  <c:v>82.8</c:v>
                </c:pt>
                <c:pt idx="38">
                  <c:v>79.7</c:v>
                </c:pt>
                <c:pt idx="39">
                  <c:v>82.9</c:v>
                </c:pt>
                <c:pt idx="40">
                  <c:v>85.4</c:v>
                </c:pt>
                <c:pt idx="41">
                  <c:v>84.9</c:v>
                </c:pt>
                <c:pt idx="42">
                  <c:v>84.1</c:v>
                </c:pt>
                <c:pt idx="43">
                  <c:v>85</c:v>
                </c:pt>
                <c:pt idx="44">
                  <c:v>83.4</c:v>
                </c:pt>
                <c:pt idx="45">
                  <c:v>83.9</c:v>
                </c:pt>
                <c:pt idx="46">
                  <c:v>86.7</c:v>
                </c:pt>
                <c:pt idx="47">
                  <c:v>81.900000000000006</c:v>
                </c:pt>
                <c:pt idx="48">
                  <c:v>81.099999999999994</c:v>
                </c:pt>
                <c:pt idx="49">
                  <c:v>83.4</c:v>
                </c:pt>
                <c:pt idx="50">
                  <c:v>92.2</c:v>
                </c:pt>
                <c:pt idx="51">
                  <c:v>93.2</c:v>
                </c:pt>
                <c:pt idx="52">
                  <c:v>94</c:v>
                </c:pt>
                <c:pt idx="53">
                  <c:v>97.3</c:v>
                </c:pt>
                <c:pt idx="54">
                  <c:v>90.1</c:v>
                </c:pt>
                <c:pt idx="55">
                  <c:v>96.8</c:v>
                </c:pt>
                <c:pt idx="56">
                  <c:v>101.3</c:v>
                </c:pt>
                <c:pt idx="57">
                  <c:v>104.4</c:v>
                </c:pt>
                <c:pt idx="58">
                  <c:v>104.3</c:v>
                </c:pt>
                <c:pt idx="59">
                  <c:v>109.1</c:v>
                </c:pt>
                <c:pt idx="60">
                  <c:v>103.2</c:v>
                </c:pt>
                <c:pt idx="61">
                  <c:v>101.1</c:v>
                </c:pt>
                <c:pt idx="62">
                  <c:v>100.4</c:v>
                </c:pt>
                <c:pt idx="63">
                  <c:v>110.9</c:v>
                </c:pt>
                <c:pt idx="64">
                  <c:v>107.8</c:v>
                </c:pt>
                <c:pt idx="65">
                  <c:v>110</c:v>
                </c:pt>
                <c:pt idx="66">
                  <c:v>108.6</c:v>
                </c:pt>
                <c:pt idx="67">
                  <c:v>114.8</c:v>
                </c:pt>
                <c:pt idx="68">
                  <c:v>116.2</c:v>
                </c:pt>
                <c:pt idx="69">
                  <c:v>112.4</c:v>
                </c:pt>
                <c:pt idx="70">
                  <c:v>105.3</c:v>
                </c:pt>
                <c:pt idx="71">
                  <c:v>114</c:v>
                </c:pt>
                <c:pt idx="72">
                  <c:v>116.5</c:v>
                </c:pt>
                <c:pt idx="73">
                  <c:v>128.4</c:v>
                </c:pt>
                <c:pt idx="74">
                  <c:v>129</c:v>
                </c:pt>
                <c:pt idx="75">
                  <c:v>130.9</c:v>
                </c:pt>
                <c:pt idx="76">
                  <c:v>128.69999999999999</c:v>
                </c:pt>
                <c:pt idx="77">
                  <c:v>131</c:v>
                </c:pt>
                <c:pt idx="78">
                  <c:v>130</c:v>
                </c:pt>
                <c:pt idx="79">
                  <c:v>140.19999999999999</c:v>
                </c:pt>
                <c:pt idx="80">
                  <c:v>134.6</c:v>
                </c:pt>
                <c:pt idx="81">
                  <c:v>133.1</c:v>
                </c:pt>
                <c:pt idx="82">
                  <c:v>133.9</c:v>
                </c:pt>
                <c:pt idx="83">
                  <c:v>135.30000000000001</c:v>
                </c:pt>
                <c:pt idx="84">
                  <c:v>139.19999999999999</c:v>
                </c:pt>
                <c:pt idx="85">
                  <c:v>132.6</c:v>
                </c:pt>
                <c:pt idx="86">
                  <c:v>134</c:v>
                </c:pt>
                <c:pt idx="87">
                  <c:v>131.30000000000001</c:v>
                </c:pt>
                <c:pt idx="88">
                  <c:v>131.19999999999999</c:v>
                </c:pt>
                <c:pt idx="89">
                  <c:v>129.19999999999999</c:v>
                </c:pt>
                <c:pt idx="90">
                  <c:v>134.6</c:v>
                </c:pt>
                <c:pt idx="91">
                  <c:v>131.19999999999999</c:v>
                </c:pt>
                <c:pt idx="92">
                  <c:v>128.9</c:v>
                </c:pt>
                <c:pt idx="93">
                  <c:v>137.5</c:v>
                </c:pt>
                <c:pt idx="94">
                  <c:v>141.6</c:v>
                </c:pt>
                <c:pt idx="95">
                  <c:v>135.69999999999999</c:v>
                </c:pt>
                <c:pt idx="96">
                  <c:v>140.5</c:v>
                </c:pt>
                <c:pt idx="97">
                  <c:v>139.30000000000001</c:v>
                </c:pt>
                <c:pt idx="98">
                  <c:v>139.9</c:v>
                </c:pt>
                <c:pt idx="99">
                  <c:v>143.30000000000001</c:v>
                </c:pt>
                <c:pt idx="100">
                  <c:v>139.1</c:v>
                </c:pt>
                <c:pt idx="101">
                  <c:v>134.30000000000001</c:v>
                </c:pt>
                <c:pt idx="102">
                  <c:v>132.80000000000001</c:v>
                </c:pt>
                <c:pt idx="103">
                  <c:v>132.1</c:v>
                </c:pt>
                <c:pt idx="104">
                  <c:v>134.19999999999999</c:v>
                </c:pt>
                <c:pt idx="105">
                  <c:v>141.69999999999999</c:v>
                </c:pt>
                <c:pt idx="106">
                  <c:v>130.80000000000001</c:v>
                </c:pt>
                <c:pt idx="107">
                  <c:v>129.5</c:v>
                </c:pt>
                <c:pt idx="108">
                  <c:v>128.4</c:v>
                </c:pt>
                <c:pt idx="109">
                  <c:v>130.4</c:v>
                </c:pt>
                <c:pt idx="110">
                  <c:v>136</c:v>
                </c:pt>
                <c:pt idx="111">
                  <c:v>131.4</c:v>
                </c:pt>
                <c:pt idx="112">
                  <c:v>130.9</c:v>
                </c:pt>
                <c:pt idx="113">
                  <c:v>132</c:v>
                </c:pt>
                <c:pt idx="114">
                  <c:v>136.69999999999999</c:v>
                </c:pt>
                <c:pt idx="115">
                  <c:v>137.5</c:v>
                </c:pt>
                <c:pt idx="116">
                  <c:v>139.4</c:v>
                </c:pt>
                <c:pt idx="117">
                  <c:v>142.5</c:v>
                </c:pt>
                <c:pt idx="118">
                  <c:v>143.69999999999999</c:v>
                </c:pt>
                <c:pt idx="119">
                  <c:v>138.9</c:v>
                </c:pt>
                <c:pt idx="120">
                  <c:v>138.1</c:v>
                </c:pt>
                <c:pt idx="121">
                  <c:v>138.30000000000001</c:v>
                </c:pt>
                <c:pt idx="122">
                  <c:v>147.19999999999999</c:v>
                </c:pt>
                <c:pt idx="123">
                  <c:v>161.80000000000001</c:v>
                </c:pt>
                <c:pt idx="124">
                  <c:v>137.1</c:v>
                </c:pt>
                <c:pt idx="125">
                  <c:v>131.1</c:v>
                </c:pt>
                <c:pt idx="126">
                  <c:v>143</c:v>
                </c:pt>
                <c:pt idx="127">
                  <c:v>153.19999999999999</c:v>
                </c:pt>
                <c:pt idx="128">
                  <c:v>158.69999999999999</c:v>
                </c:pt>
                <c:pt idx="129">
                  <c:v>109.1</c:v>
                </c:pt>
                <c:pt idx="130">
                  <c:v>123.5</c:v>
                </c:pt>
                <c:pt idx="131">
                  <c:v>120.7</c:v>
                </c:pt>
                <c:pt idx="132">
                  <c:v>111.9</c:v>
                </c:pt>
                <c:pt idx="133">
                  <c:v>119.8</c:v>
                </c:pt>
                <c:pt idx="134">
                  <c:v>126.7</c:v>
                </c:pt>
                <c:pt idx="135">
                  <c:v>125.8</c:v>
                </c:pt>
                <c:pt idx="136">
                  <c:v>102.2</c:v>
                </c:pt>
                <c:pt idx="137">
                  <c:v>108.9</c:v>
                </c:pt>
                <c:pt idx="138">
                  <c:v>108.9</c:v>
                </c:pt>
                <c:pt idx="139">
                  <c:v>102.3</c:v>
                </c:pt>
                <c:pt idx="140">
                  <c:v>109.6</c:v>
                </c:pt>
                <c:pt idx="141">
                  <c:v>103.1</c:v>
                </c:pt>
                <c:pt idx="142">
                  <c:v>100.2</c:v>
                </c:pt>
                <c:pt idx="143">
                  <c:v>120.9</c:v>
                </c:pt>
                <c:pt idx="144">
                  <c:v>114.3</c:v>
                </c:pt>
                <c:pt idx="145">
                  <c:v>111.2</c:v>
                </c:pt>
                <c:pt idx="146">
                  <c:v>113.2</c:v>
                </c:pt>
                <c:pt idx="147">
                  <c:v>116.6</c:v>
                </c:pt>
                <c:pt idx="148">
                  <c:v>115.6</c:v>
                </c:pt>
                <c:pt idx="149">
                  <c:v>109.8</c:v>
                </c:pt>
                <c:pt idx="150">
                  <c:v>108.6</c:v>
                </c:pt>
                <c:pt idx="151">
                  <c:v>117.6</c:v>
                </c:pt>
                <c:pt idx="152">
                  <c:v>127</c:v>
                </c:pt>
                <c:pt idx="153">
                  <c:v>127.9</c:v>
                </c:pt>
                <c:pt idx="154">
                  <c:v>127.5</c:v>
                </c:pt>
                <c:pt idx="155">
                  <c:v>94.98</c:v>
                </c:pt>
                <c:pt idx="156">
                  <c:v>91.66</c:v>
                </c:pt>
                <c:pt idx="157">
                  <c:v>95.94</c:v>
                </c:pt>
                <c:pt idx="158">
                  <c:v>93.58</c:v>
                </c:pt>
                <c:pt idx="159">
                  <c:v>93.51</c:v>
                </c:pt>
                <c:pt idx="160">
                  <c:v>93.69</c:v>
                </c:pt>
                <c:pt idx="161">
                  <c:v>89.8</c:v>
                </c:pt>
                <c:pt idx="162">
                  <c:v>86.95</c:v>
                </c:pt>
                <c:pt idx="163">
                  <c:v>90.25</c:v>
                </c:pt>
                <c:pt idx="164">
                  <c:v>93.84</c:v>
                </c:pt>
                <c:pt idx="165">
                  <c:v>95.9</c:v>
                </c:pt>
                <c:pt idx="166">
                  <c:v>96.07</c:v>
                </c:pt>
                <c:pt idx="167">
                  <c:v>97.07</c:v>
                </c:pt>
                <c:pt idx="168">
                  <c:v>92.9</c:v>
                </c:pt>
                <c:pt idx="169">
                  <c:v>94.95</c:v>
                </c:pt>
                <c:pt idx="170">
                  <c:v>95.11</c:v>
                </c:pt>
                <c:pt idx="171">
                  <c:v>92.05</c:v>
                </c:pt>
                <c:pt idx="172">
                  <c:v>90.15</c:v>
                </c:pt>
                <c:pt idx="173">
                  <c:v>95.44</c:v>
                </c:pt>
                <c:pt idx="174">
                  <c:v>94.44</c:v>
                </c:pt>
                <c:pt idx="175">
                  <c:v>94.42</c:v>
                </c:pt>
                <c:pt idx="176">
                  <c:v>100.83</c:v>
                </c:pt>
                <c:pt idx="177">
                  <c:v>105.31</c:v>
                </c:pt>
                <c:pt idx="178">
                  <c:v>106.48</c:v>
                </c:pt>
                <c:pt idx="179">
                  <c:v>83.56</c:v>
                </c:pt>
                <c:pt idx="180">
                  <c:v>78.709999999999994</c:v>
                </c:pt>
                <c:pt idx="181">
                  <c:v>78.58</c:v>
                </c:pt>
                <c:pt idx="182">
                  <c:v>73</c:v>
                </c:pt>
                <c:pt idx="183">
                  <c:v>72.52</c:v>
                </c:pt>
                <c:pt idx="184">
                  <c:v>72.36</c:v>
                </c:pt>
                <c:pt idx="185">
                  <c:v>71.14</c:v>
                </c:pt>
                <c:pt idx="186">
                  <c:v>74.87</c:v>
                </c:pt>
                <c:pt idx="187">
                  <c:v>70.38</c:v>
                </c:pt>
                <c:pt idx="188">
                  <c:v>72.150000000000006</c:v>
                </c:pt>
                <c:pt idx="189">
                  <c:v>70.290000000000006</c:v>
                </c:pt>
                <c:pt idx="190">
                  <c:v>71.02</c:v>
                </c:pt>
                <c:pt idx="191">
                  <c:v>64.47</c:v>
                </c:pt>
                <c:pt idx="192">
                  <c:v>68.12</c:v>
                </c:pt>
                <c:pt idx="193">
                  <c:v>76.2</c:v>
                </c:pt>
                <c:pt idx="194">
                  <c:v>77.36</c:v>
                </c:pt>
                <c:pt idx="195">
                  <c:v>76.33</c:v>
                </c:pt>
                <c:pt idx="196">
                  <c:v>76.88</c:v>
                </c:pt>
                <c:pt idx="197">
                  <c:v>80.930000000000007</c:v>
                </c:pt>
                <c:pt idx="198">
                  <c:v>81.5</c:v>
                </c:pt>
                <c:pt idx="199">
                  <c:v>85.58</c:v>
                </c:pt>
                <c:pt idx="200">
                  <c:v>90.53</c:v>
                </c:pt>
                <c:pt idx="201">
                  <c:v>93.59</c:v>
                </c:pt>
                <c:pt idx="202">
                  <c:v>89.5</c:v>
                </c:pt>
                <c:pt idx="203">
                  <c:v>83.21</c:v>
                </c:pt>
                <c:pt idx="204">
                  <c:v>92.27</c:v>
                </c:pt>
                <c:pt idx="205">
                  <c:v>101.08</c:v>
                </c:pt>
                <c:pt idx="206">
                  <c:v>101.5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1A-48E4-81C6-440EC18F58F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-3.4977693570971552E-2</c:v>
                </c:pt>
                <c:pt idx="1">
                  <c:v>-3.4945222362971554E-2</c:v>
                </c:pt>
                <c:pt idx="2">
                  <c:v>-3.4857475277439633E-2</c:v>
                </c:pt>
                <c:pt idx="3">
                  <c:v>-3.4857475277439633E-2</c:v>
                </c:pt>
                <c:pt idx="4">
                  <c:v>-3.4692999110610363E-2</c:v>
                </c:pt>
                <c:pt idx="5">
                  <c:v>-3.4844153497020629E-2</c:v>
                </c:pt>
                <c:pt idx="6">
                  <c:v>-3.4604930882549081E-2</c:v>
                </c:pt>
                <c:pt idx="7">
                  <c:v>-3.4467316883492478E-2</c:v>
                </c:pt>
                <c:pt idx="8">
                  <c:v>-3.4418067457077386E-2</c:v>
                </c:pt>
                <c:pt idx="9">
                  <c:v>-3.4365414965259203E-2</c:v>
                </c:pt>
                <c:pt idx="10">
                  <c:v>-3.4309878993367314E-2</c:v>
                </c:pt>
                <c:pt idx="11">
                  <c:v>-3.4175115218779077E-2</c:v>
                </c:pt>
                <c:pt idx="12">
                  <c:v>-3.4158388971387774E-2</c:v>
                </c:pt>
                <c:pt idx="13">
                  <c:v>-3.4076293041387769E-2</c:v>
                </c:pt>
                <c:pt idx="14">
                  <c:v>-3.3963063784994335E-2</c:v>
                </c:pt>
                <c:pt idx="15">
                  <c:v>-3.3920768317794329E-2</c:v>
                </c:pt>
                <c:pt idx="16">
                  <c:v>-3.3970898084461E-2</c:v>
                </c:pt>
                <c:pt idx="17">
                  <c:v>-3.4018243434460999E-2</c:v>
                </c:pt>
                <c:pt idx="18">
                  <c:v>-3.3980741258827198E-2</c:v>
                </c:pt>
                <c:pt idx="19">
                  <c:v>-3.3944617282463556E-2</c:v>
                </c:pt>
                <c:pt idx="20">
                  <c:v>-3.3883757373195267E-2</c:v>
                </c:pt>
                <c:pt idx="21">
                  <c:v>-3.3736061770144418E-2</c:v>
                </c:pt>
                <c:pt idx="22">
                  <c:v>-3.3736061770144418E-2</c:v>
                </c:pt>
                <c:pt idx="23">
                  <c:v>-3.353647373233954E-2</c:v>
                </c:pt>
                <c:pt idx="24">
                  <c:v>-3.3439704555839542E-2</c:v>
                </c:pt>
                <c:pt idx="25">
                  <c:v>-3.3411734960070306E-2</c:v>
                </c:pt>
                <c:pt idx="26">
                  <c:v>-3.3285989639315589E-2</c:v>
                </c:pt>
                <c:pt idx="27">
                  <c:v>-3.2934284153747828E-2</c:v>
                </c:pt>
                <c:pt idx="28">
                  <c:v>-3.272723079374782E-2</c:v>
                </c:pt>
                <c:pt idx="29">
                  <c:v>-3.2354060992907482E-2</c:v>
                </c:pt>
                <c:pt idx="30">
                  <c:v>-3.054442943946396E-2</c:v>
                </c:pt>
                <c:pt idx="31">
                  <c:v>-3.3892851419718199E-2</c:v>
                </c:pt>
                <c:pt idx="32">
                  <c:v>-3.3864951586674713E-2</c:v>
                </c:pt>
                <c:pt idx="33">
                  <c:v>-3.3936754466674719E-2</c:v>
                </c:pt>
                <c:pt idx="34">
                  <c:v>-3.3962292227965041E-2</c:v>
                </c:pt>
                <c:pt idx="35">
                  <c:v>-3.3914984283298373E-2</c:v>
                </c:pt>
                <c:pt idx="36">
                  <c:v>-3.3964253237742818E-2</c:v>
                </c:pt>
                <c:pt idx="37">
                  <c:v>-3.3896683728177605E-2</c:v>
                </c:pt>
                <c:pt idx="38">
                  <c:v>-3.3936873410610031E-2</c:v>
                </c:pt>
                <c:pt idx="39">
                  <c:v>-3.392942522717253E-2</c:v>
                </c:pt>
                <c:pt idx="40">
                  <c:v>-3.3871614527172529E-2</c:v>
                </c:pt>
                <c:pt idx="41">
                  <c:v>-3.3722209395832328E-2</c:v>
                </c:pt>
                <c:pt idx="42">
                  <c:v>-3.37477856216944E-2</c:v>
                </c:pt>
                <c:pt idx="43">
                  <c:v>-3.3676322164194403E-2</c:v>
                </c:pt>
                <c:pt idx="44">
                  <c:v>-3.3724580144468379E-2</c:v>
                </c:pt>
                <c:pt idx="45">
                  <c:v>-3.2020582758444278E-2</c:v>
                </c:pt>
                <c:pt idx="46">
                  <c:v>-3.2026955830168416E-2</c:v>
                </c:pt>
                <c:pt idx="47">
                  <c:v>-3.1988573002390636E-2</c:v>
                </c:pt>
                <c:pt idx="48">
                  <c:v>-3.1993522142390637E-2</c:v>
                </c:pt>
                <c:pt idx="49">
                  <c:v>-3.1932806322390636E-2</c:v>
                </c:pt>
                <c:pt idx="50">
                  <c:v>-3.1711020734923968E-2</c:v>
                </c:pt>
                <c:pt idx="51">
                  <c:v>-3.1469441295740294E-2</c:v>
                </c:pt>
                <c:pt idx="52">
                  <c:v>-3.1068032374783772E-2</c:v>
                </c:pt>
                <c:pt idx="53">
                  <c:v>-3.1124373729956186E-2</c:v>
                </c:pt>
                <c:pt idx="54">
                  <c:v>-3.1009347235956188E-2</c:v>
                </c:pt>
                <c:pt idx="55">
                  <c:v>-3.0815591467101226E-2</c:v>
                </c:pt>
                <c:pt idx="56">
                  <c:v>-3.0752755784691586E-2</c:v>
                </c:pt>
                <c:pt idx="57">
                  <c:v>-3.0747928036120156E-2</c:v>
                </c:pt>
                <c:pt idx="58">
                  <c:v>-3.0705275434120157E-2</c:v>
                </c:pt>
                <c:pt idx="59">
                  <c:v>-3.0621225817327704E-2</c:v>
                </c:pt>
                <c:pt idx="60">
                  <c:v>-3.0533527780408787E-2</c:v>
                </c:pt>
                <c:pt idx="61">
                  <c:v>-3.0592700788980215E-2</c:v>
                </c:pt>
                <c:pt idx="62">
                  <c:v>-3.0531191147600906E-2</c:v>
                </c:pt>
                <c:pt idx="63">
                  <c:v>-3.0439067132083667E-2</c:v>
                </c:pt>
                <c:pt idx="64">
                  <c:v>-3.0509110031477604E-2</c:v>
                </c:pt>
                <c:pt idx="65">
                  <c:v>-3.049902990666279E-2</c:v>
                </c:pt>
                <c:pt idx="66">
                  <c:v>-3.0516559604844611E-2</c:v>
                </c:pt>
                <c:pt idx="67">
                  <c:v>-3.046032126421961E-2</c:v>
                </c:pt>
                <c:pt idx="68">
                  <c:v>-3.0407978972454907E-2</c:v>
                </c:pt>
                <c:pt idx="69">
                  <c:v>-3.0289844875863996E-2</c:v>
                </c:pt>
                <c:pt idx="70">
                  <c:v>-3.0321616180004125E-2</c:v>
                </c:pt>
                <c:pt idx="71">
                  <c:v>-3.0225759808004127E-2</c:v>
                </c:pt>
                <c:pt idx="72">
                  <c:v>-3.0192273324459822E-2</c:v>
                </c:pt>
                <c:pt idx="73">
                  <c:v>-3.0112520735368915E-2</c:v>
                </c:pt>
                <c:pt idx="74">
                  <c:v>-3.0087772749654625E-2</c:v>
                </c:pt>
                <c:pt idx="75">
                  <c:v>-3.0080211791321296E-2</c:v>
                </c:pt>
                <c:pt idx="76">
                  <c:v>-3.009267504439822E-2</c:v>
                </c:pt>
                <c:pt idx="77">
                  <c:v>-3.0070627822203096E-2</c:v>
                </c:pt>
                <c:pt idx="78">
                  <c:v>-3.0094535392203099E-2</c:v>
                </c:pt>
                <c:pt idx="79">
                  <c:v>-2.9987827975536431E-2</c:v>
                </c:pt>
                <c:pt idx="80">
                  <c:v>-2.9971048329822145E-2</c:v>
                </c:pt>
                <c:pt idx="81">
                  <c:v>-2.9940967601488816E-2</c:v>
                </c:pt>
                <c:pt idx="82">
                  <c:v>-2.9922973768288813E-2</c:v>
                </c:pt>
                <c:pt idx="83">
                  <c:v>-2.993391910384437E-2</c:v>
                </c:pt>
                <c:pt idx="84">
                  <c:v>-2.9901994732373788E-2</c:v>
                </c:pt>
                <c:pt idx="85">
                  <c:v>-2.9965935821001235E-2</c:v>
                </c:pt>
                <c:pt idx="86">
                  <c:v>-2.9907587500201234E-2</c:v>
                </c:pt>
                <c:pt idx="87">
                  <c:v>-2.9860006481042353E-2</c:v>
                </c:pt>
                <c:pt idx="88">
                  <c:v>-2.9825391856042355E-2</c:v>
                </c:pt>
                <c:pt idx="89">
                  <c:v>-2.9848555519085836E-2</c:v>
                </c:pt>
                <c:pt idx="90">
                  <c:v>-2.9774554202909365E-2</c:v>
                </c:pt>
                <c:pt idx="91">
                  <c:v>-2.9782219124260715E-2</c:v>
                </c:pt>
                <c:pt idx="92">
                  <c:v>-2.9802752680260711E-2</c:v>
                </c:pt>
                <c:pt idx="93">
                  <c:v>-2.9612836981669163E-2</c:v>
                </c:pt>
                <c:pt idx="94">
                  <c:v>-2.9535047334767753E-2</c:v>
                </c:pt>
                <c:pt idx="95">
                  <c:v>-2.9603695342767751E-2</c:v>
                </c:pt>
                <c:pt idx="96">
                  <c:v>-2.9561405338119864E-2</c:v>
                </c:pt>
                <c:pt idx="97">
                  <c:v>-2.9632877583610061E-2</c:v>
                </c:pt>
                <c:pt idx="98">
                  <c:v>-2.9569936359203283E-2</c:v>
                </c:pt>
                <c:pt idx="99">
                  <c:v>-2.931553688420328E-2</c:v>
                </c:pt>
                <c:pt idx="100">
                  <c:v>-2.9129758541737522E-2</c:v>
                </c:pt>
                <c:pt idx="101">
                  <c:v>-2.8849330381201809E-2</c:v>
                </c:pt>
                <c:pt idx="102">
                  <c:v>-2.7768747938236849E-2</c:v>
                </c:pt>
                <c:pt idx="103">
                  <c:v>-2.7790107509665426E-2</c:v>
                </c:pt>
                <c:pt idx="104">
                  <c:v>-2.76945455103631E-2</c:v>
                </c:pt>
                <c:pt idx="105">
                  <c:v>-2.7565083192971795E-2</c:v>
                </c:pt>
                <c:pt idx="106">
                  <c:v>-2.6698681333590355E-2</c:v>
                </c:pt>
                <c:pt idx="107">
                  <c:v>-2.6720637265018929E-2</c:v>
                </c:pt>
                <c:pt idx="108">
                  <c:v>-2.6736160111552262E-2</c:v>
                </c:pt>
                <c:pt idx="109">
                  <c:v>-2.6664706213630186E-2</c:v>
                </c:pt>
                <c:pt idx="110">
                  <c:v>-2.6571854351963516E-2</c:v>
                </c:pt>
                <c:pt idx="111">
                  <c:v>-2.6536179791963519E-2</c:v>
                </c:pt>
                <c:pt idx="112">
                  <c:v>-2.6522452339260816E-2</c:v>
                </c:pt>
                <c:pt idx="113">
                  <c:v>-2.6485541821422976E-2</c:v>
                </c:pt>
                <c:pt idx="114">
                  <c:v>-2.6245873527281565E-2</c:v>
                </c:pt>
                <c:pt idx="115">
                  <c:v>-2.6166137404455475E-2</c:v>
                </c:pt>
                <c:pt idx="116">
                  <c:v>-2.6166137404455475E-2</c:v>
                </c:pt>
                <c:pt idx="117">
                  <c:v>-2.6097033015364566E-2</c:v>
                </c:pt>
                <c:pt idx="118">
                  <c:v>-2.597288253921072E-2</c:v>
                </c:pt>
                <c:pt idx="119">
                  <c:v>-2.6064031143900983E-2</c:v>
                </c:pt>
                <c:pt idx="120">
                  <c:v>-2.5926963344420465E-2</c:v>
                </c:pt>
                <c:pt idx="121">
                  <c:v>-2.567941135971458E-2</c:v>
                </c:pt>
                <c:pt idx="122">
                  <c:v>-2.5570611573585551E-2</c:v>
                </c:pt>
                <c:pt idx="123">
                  <c:v>-2.5043663490125476E-2</c:v>
                </c:pt>
                <c:pt idx="124">
                  <c:v>-2.5076541400145126E-2</c:v>
                </c:pt>
                <c:pt idx="125">
                  <c:v>-2.5242207321302151E-2</c:v>
                </c:pt>
                <c:pt idx="126">
                  <c:v>-2.5019449577102146E-2</c:v>
                </c:pt>
                <c:pt idx="127">
                  <c:v>-2.4074809761214296E-2</c:v>
                </c:pt>
                <c:pt idx="128">
                  <c:v>-1.6141618100264127E-2</c:v>
                </c:pt>
                <c:pt idx="129">
                  <c:v>-1.7154633149592233E-2</c:v>
                </c:pt>
                <c:pt idx="130">
                  <c:v>-1.6854510784669156E-2</c:v>
                </c:pt>
                <c:pt idx="131">
                  <c:v>-1.6874408416758708E-2</c:v>
                </c:pt>
                <c:pt idx="132">
                  <c:v>-1.6534489702067352E-2</c:v>
                </c:pt>
                <c:pt idx="133">
                  <c:v>-1.6453488102247529E-2</c:v>
                </c:pt>
                <c:pt idx="134">
                  <c:v>-1.6286486503117096E-2</c:v>
                </c:pt>
                <c:pt idx="135">
                  <c:v>-1.5605210907416161E-2</c:v>
                </c:pt>
                <c:pt idx="136">
                  <c:v>-1.5501607741324207E-2</c:v>
                </c:pt>
                <c:pt idx="137">
                  <c:v>-1.5365016252276587E-2</c:v>
                </c:pt>
                <c:pt idx="138">
                  <c:v>-1.5281064363276588E-2</c:v>
                </c:pt>
                <c:pt idx="139">
                  <c:v>-1.5462827146609921E-2</c:v>
                </c:pt>
                <c:pt idx="140">
                  <c:v>-1.5357858231338601E-2</c:v>
                </c:pt>
                <c:pt idx="141">
                  <c:v>-1.5306206835494447E-2</c:v>
                </c:pt>
                <c:pt idx="142">
                  <c:v>-1.5339655060175296E-2</c:v>
                </c:pt>
                <c:pt idx="143">
                  <c:v>-1.5249385881357404E-2</c:v>
                </c:pt>
                <c:pt idx="144">
                  <c:v>-1.5264757787335059E-2</c:v>
                </c:pt>
                <c:pt idx="145">
                  <c:v>-1.5327729144504868E-2</c:v>
                </c:pt>
                <c:pt idx="146">
                  <c:v>-1.5270513354504869E-2</c:v>
                </c:pt>
                <c:pt idx="147">
                  <c:v>-1.5204316813838202E-2</c:v>
                </c:pt>
                <c:pt idx="148">
                  <c:v>-1.5288707058123916E-2</c:v>
                </c:pt>
                <c:pt idx="149">
                  <c:v>-1.5357545447763556E-2</c:v>
                </c:pt>
                <c:pt idx="150">
                  <c:v>-1.5140805165433459E-2</c:v>
                </c:pt>
                <c:pt idx="151">
                  <c:v>-1.4819490081871816E-2</c:v>
                </c:pt>
                <c:pt idx="152">
                  <c:v>-1.4517935766988094E-2</c:v>
                </c:pt>
                <c:pt idx="153">
                  <c:v>-1.4156834729318193E-2</c:v>
                </c:pt>
                <c:pt idx="154">
                  <c:v>-1.2197912754715018E-2</c:v>
                </c:pt>
                <c:pt idx="155">
                  <c:v>-1.0636812974535377E-2</c:v>
                </c:pt>
                <c:pt idx="156">
                  <c:v>-1.0625935065235279E-2</c:v>
                </c:pt>
                <c:pt idx="157">
                  <c:v>-1.0536418143910561E-2</c:v>
                </c:pt>
                <c:pt idx="158">
                  <c:v>-1.059142731241885E-2</c:v>
                </c:pt>
                <c:pt idx="159">
                  <c:v>-1.0596123251549284E-2</c:v>
                </c:pt>
                <c:pt idx="160">
                  <c:v>-1.0527054741226703E-2</c:v>
                </c:pt>
                <c:pt idx="161">
                  <c:v>-1.0576046972232861E-2</c:v>
                </c:pt>
                <c:pt idx="162">
                  <c:v>-1.0639300997454099E-2</c:v>
                </c:pt>
                <c:pt idx="163">
                  <c:v>-1.0585849489303009E-2</c:v>
                </c:pt>
                <c:pt idx="164">
                  <c:v>-1.0499892859371035E-2</c:v>
                </c:pt>
                <c:pt idx="165">
                  <c:v>-1.039201619071432E-2</c:v>
                </c:pt>
                <c:pt idx="166">
                  <c:v>-1.0448409915947962E-2</c:v>
                </c:pt>
                <c:pt idx="167">
                  <c:v>-1.0480285676110566E-2</c:v>
                </c:pt>
                <c:pt idx="168">
                  <c:v>-1.0588628477521499E-2</c:v>
                </c:pt>
                <c:pt idx="169">
                  <c:v>-1.0430596770378641E-2</c:v>
                </c:pt>
                <c:pt idx="170">
                  <c:v>-1.0096203855587646E-2</c:v>
                </c:pt>
                <c:pt idx="171">
                  <c:v>-1.009970911874554E-2</c:v>
                </c:pt>
                <c:pt idx="172">
                  <c:v>-1.0126659711053232E-2</c:v>
                </c:pt>
                <c:pt idx="173">
                  <c:v>-9.9448686181398457E-3</c:v>
                </c:pt>
                <c:pt idx="174">
                  <c:v>-9.8065940920015679E-3</c:v>
                </c:pt>
                <c:pt idx="175">
                  <c:v>-9.7385719004761413E-3</c:v>
                </c:pt>
                <c:pt idx="176">
                  <c:v>-9.3161101087276162E-3</c:v>
                </c:pt>
                <c:pt idx="177">
                  <c:v>-8.4058560962874222E-3</c:v>
                </c:pt>
                <c:pt idx="178">
                  <c:v>-5.0790905833954384E-3</c:v>
                </c:pt>
                <c:pt idx="179">
                  <c:v>-6.8385444169088211E-3</c:v>
                </c:pt>
                <c:pt idx="180">
                  <c:v>-6.5356032159121424E-3</c:v>
                </c:pt>
                <c:pt idx="181">
                  <c:v>-6.5726396245764018E-3</c:v>
                </c:pt>
                <c:pt idx="182">
                  <c:v>-6.6018975968788656E-3</c:v>
                </c:pt>
                <c:pt idx="183">
                  <c:v>-6.6247096126683391E-3</c:v>
                </c:pt>
                <c:pt idx="184">
                  <c:v>-6.628554458264194E-3</c:v>
                </c:pt>
                <c:pt idx="185">
                  <c:v>-6.683307395382098E-3</c:v>
                </c:pt>
                <c:pt idx="186">
                  <c:v>-6.5457328085979571E-3</c:v>
                </c:pt>
                <c:pt idx="187">
                  <c:v>-6.5821310085979572E-3</c:v>
                </c:pt>
                <c:pt idx="188">
                  <c:v>-6.5221035625270783E-3</c:v>
                </c:pt>
                <c:pt idx="189">
                  <c:v>-6.5849239080051141E-3</c:v>
                </c:pt>
                <c:pt idx="190">
                  <c:v>-6.5450090404998735E-3</c:v>
                </c:pt>
                <c:pt idx="191">
                  <c:v>-6.5363057032546603E-3</c:v>
                </c:pt>
                <c:pt idx="192">
                  <c:v>-6.4828681301203313E-3</c:v>
                </c:pt>
                <c:pt idx="193">
                  <c:v>-6.2481896512182862E-3</c:v>
                </c:pt>
                <c:pt idx="194">
                  <c:v>-6.2153976517182862E-3</c:v>
                </c:pt>
                <c:pt idx="195">
                  <c:v>-6.1026476375275977E-3</c:v>
                </c:pt>
                <c:pt idx="196">
                  <c:v>-5.7791041588962228E-3</c:v>
                </c:pt>
                <c:pt idx="197">
                  <c:v>-5.6928596253883702E-3</c:v>
                </c:pt>
                <c:pt idx="198">
                  <c:v>-5.6553847550111858E-3</c:v>
                </c:pt>
                <c:pt idx="199">
                  <c:v>-5.5225070519033257E-3</c:v>
                </c:pt>
                <c:pt idx="200">
                  <c:v>-5.4392802535494153E-3</c:v>
                </c:pt>
                <c:pt idx="201">
                  <c:v>-5.388855105241723E-3</c:v>
                </c:pt>
                <c:pt idx="202">
                  <c:v>-5.1025131015232641E-3</c:v>
                </c:pt>
                <c:pt idx="203">
                  <c:v>-5.2223175369481003E-3</c:v>
                </c:pt>
                <c:pt idx="204">
                  <c:v>-4.9621018266032728E-3</c:v>
                </c:pt>
                <c:pt idx="205">
                  <c:v>-4.4479895313175579E-3</c:v>
                </c:pt>
                <c:pt idx="206">
                  <c:v>-2.7587757159177545E-3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1A-48E4-81C6-440EC18F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9390016"/>
        <c:axId val="399397088"/>
      </c:lineChart>
      <c:dateAx>
        <c:axId val="3993900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97088"/>
        <c:crosses val="autoZero"/>
        <c:auto val="1"/>
        <c:lblOffset val="100"/>
        <c:baseTimeUnit val="days"/>
      </c:dateAx>
      <c:valAx>
        <c:axId val="39939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9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13B1D3C-6843-416E-AEF1-3E35018CA5D8}">
  <sheetPr/>
  <sheetViews>
    <sheetView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849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3297A0-5AA0-4DE1-8319-F0622E961E2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234.8</v>
      </c>
      <c r="D2" s="4">
        <f>MIN(D3:D1912)</f>
        <v>49.9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53.7</v>
      </c>
      <c r="C5">
        <v>55.6</v>
      </c>
      <c r="D5">
        <v>52.6</v>
      </c>
      <c r="E5">
        <v>52.7</v>
      </c>
      <c r="F5">
        <v>3479.058</v>
      </c>
      <c r="G5">
        <v>52.7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-0.93333333333333235</v>
      </c>
      <c r="Q5">
        <f t="shared" ref="Q5" si="1">F5*P5</f>
        <v>-3247.1207999999965</v>
      </c>
      <c r="R5">
        <f t="shared" ref="R5" si="2">R6+Q5</f>
        <v>-3497769.3570971554</v>
      </c>
      <c r="S5">
        <f t="shared" ref="S5" si="3">R5/100000</f>
        <v>-34.977693570971553</v>
      </c>
      <c r="T5">
        <f t="shared" ref="T5" si="4">S5/1000</f>
        <v>-3.4977693570971552E-2</v>
      </c>
    </row>
    <row r="6" spans="1:20" x14ac:dyDescent="0.25">
      <c r="A6" s="5">
        <v>44587</v>
      </c>
      <c r="B6">
        <v>53.3</v>
      </c>
      <c r="C6">
        <v>57.1</v>
      </c>
      <c r="D6">
        <v>52.4</v>
      </c>
      <c r="E6">
        <v>53.8</v>
      </c>
      <c r="F6">
        <v>21705.858</v>
      </c>
      <c r="G6">
        <v>53.8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-0.40425531914893714</v>
      </c>
      <c r="Q6">
        <f t="shared" ref="Q6" si="6">F6*P6</f>
        <v>-8774.7085531915109</v>
      </c>
      <c r="R6">
        <f t="shared" ref="R6" si="7">R7+Q6</f>
        <v>-3494522.2362971553</v>
      </c>
      <c r="S6">
        <f t="shared" ref="S6" si="8">R6/100000</f>
        <v>-34.945222362971556</v>
      </c>
      <c r="T6">
        <f t="shared" ref="T6" si="9">S6/1000</f>
        <v>-3.4945222362971554E-2</v>
      </c>
    </row>
    <row r="7" spans="1:20" x14ac:dyDescent="0.25">
      <c r="A7" s="5">
        <v>44586</v>
      </c>
      <c r="B7">
        <v>53.5</v>
      </c>
      <c r="C7">
        <v>55</v>
      </c>
      <c r="D7">
        <v>51.6</v>
      </c>
      <c r="E7">
        <v>53.3</v>
      </c>
      <c r="F7">
        <v>18214.753000000001</v>
      </c>
      <c r="G7">
        <v>53.3</v>
      </c>
      <c r="L7" t="s">
        <v>7</v>
      </c>
      <c r="M7" t="s">
        <v>7</v>
      </c>
      <c r="N7" t="s">
        <v>7</v>
      </c>
      <c r="P7">
        <f t="shared" ref="P7" si="10">IF(C7=D7,0,((E7-D7)-(C7-E7))/(C7-D7))</f>
        <v>-2.0898315757650014E-15</v>
      </c>
      <c r="Q7">
        <f t="shared" ref="Q7" si="11">F7*P7</f>
        <v>-3.8065765964160289E-11</v>
      </c>
      <c r="R7">
        <f t="shared" ref="R7" si="12">R8+Q7</f>
        <v>-3485747.5277439635</v>
      </c>
      <c r="S7">
        <f t="shared" ref="S7" si="13">R7/100000</f>
        <v>-34.857475277439633</v>
      </c>
      <c r="T7">
        <f t="shared" ref="T7" si="14">S7/1000</f>
        <v>-3.4857475277439633E-2</v>
      </c>
    </row>
    <row r="8" spans="1:20" x14ac:dyDescent="0.25">
      <c r="A8" s="5">
        <v>44585</v>
      </c>
      <c r="B8">
        <v>56.1</v>
      </c>
      <c r="C8">
        <v>62.2</v>
      </c>
      <c r="D8">
        <v>49.9</v>
      </c>
      <c r="E8">
        <v>53.4</v>
      </c>
      <c r="F8">
        <v>38170.883999999998</v>
      </c>
      <c r="G8">
        <v>53.4</v>
      </c>
      <c r="L8" t="s">
        <v>8</v>
      </c>
      <c r="M8" t="s">
        <v>8</v>
      </c>
      <c r="N8" t="s">
        <v>7</v>
      </c>
      <c r="P8">
        <f t="shared" ref="P8" si="15">IF(C8=D8,0,((E8-D8)-(C8-E8))/(C8-D8))</f>
        <v>-0.43089430894308961</v>
      </c>
      <c r="Q8">
        <f t="shared" ref="Q8" si="16">F8*P8</f>
        <v>-16447.616682926837</v>
      </c>
      <c r="R8">
        <f t="shared" ref="R8" si="17">R9+Q8</f>
        <v>-3485747.5277439635</v>
      </c>
      <c r="S8">
        <f t="shared" ref="S8" si="18">R8/100000</f>
        <v>-34.857475277439633</v>
      </c>
      <c r="T8">
        <f t="shared" ref="T8" si="19">S8/1000</f>
        <v>-3.4857475277439633E-2</v>
      </c>
    </row>
    <row r="9" spans="1:20" x14ac:dyDescent="0.25">
      <c r="A9" s="5">
        <v>44584</v>
      </c>
      <c r="B9">
        <v>53.2</v>
      </c>
      <c r="C9">
        <v>56.7</v>
      </c>
      <c r="D9">
        <v>52.8</v>
      </c>
      <c r="E9">
        <v>56.3</v>
      </c>
      <c r="F9">
        <v>19016.197</v>
      </c>
      <c r="G9">
        <v>56.3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0.79487179487179227</v>
      </c>
      <c r="Q9">
        <f t="shared" ref="Q9" si="21">F9*P9</f>
        <v>15115.438641025592</v>
      </c>
      <c r="R9">
        <f t="shared" ref="R9" si="22">R10+Q9</f>
        <v>-3469299.9110610369</v>
      </c>
      <c r="S9">
        <f t="shared" ref="S9" si="23">R9/100000</f>
        <v>-34.692999110610366</v>
      </c>
      <c r="T9">
        <f t="shared" ref="T9" si="24">S9/1000</f>
        <v>-3.4692999110610363E-2</v>
      </c>
    </row>
    <row r="10" spans="1:20" x14ac:dyDescent="0.25">
      <c r="A10" s="5">
        <v>44583</v>
      </c>
      <c r="B10">
        <v>60.7</v>
      </c>
      <c r="C10">
        <v>64.2</v>
      </c>
      <c r="D10">
        <v>51.9</v>
      </c>
      <c r="E10">
        <v>53.2</v>
      </c>
      <c r="F10">
        <v>30334.414000000001</v>
      </c>
      <c r="G10">
        <v>53.2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-0.78861788617886119</v>
      </c>
      <c r="Q10">
        <f t="shared" ref="Q10" si="26">F10*P10</f>
        <v>-23922.261447154455</v>
      </c>
      <c r="R10">
        <f t="shared" ref="R10" si="27">R11+Q10</f>
        <v>-3484415.3497020626</v>
      </c>
      <c r="S10">
        <f t="shared" ref="S10" si="28">R10/100000</f>
        <v>-34.844153497020628</v>
      </c>
      <c r="T10">
        <f t="shared" ref="T10" si="29">S10/1000</f>
        <v>-3.4844153497020629E-2</v>
      </c>
    </row>
    <row r="11" spans="1:20" x14ac:dyDescent="0.25">
      <c r="A11" s="5">
        <v>44582</v>
      </c>
      <c r="B11">
        <v>69.7</v>
      </c>
      <c r="C11">
        <v>70.5</v>
      </c>
      <c r="D11">
        <v>59.9</v>
      </c>
      <c r="E11">
        <v>60.7</v>
      </c>
      <c r="F11">
        <v>16207.870999999999</v>
      </c>
      <c r="G11">
        <v>60.7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-0.84905660377358416</v>
      </c>
      <c r="Q11">
        <f t="shared" ref="Q11" si="31">F11*P11</f>
        <v>-13761.399905660364</v>
      </c>
      <c r="R11">
        <f t="shared" ref="R11" si="32">R12+Q11</f>
        <v>-3460493.0882549081</v>
      </c>
      <c r="S11">
        <f t="shared" ref="S11" si="33">R11/100000</f>
        <v>-34.604930882549084</v>
      </c>
      <c r="T11">
        <f t="shared" ref="T11" si="34">S11/1000</f>
        <v>-3.4604930882549081E-2</v>
      </c>
    </row>
    <row r="12" spans="1:20" x14ac:dyDescent="0.25">
      <c r="A12" s="5">
        <v>44581</v>
      </c>
      <c r="B12">
        <v>71.7</v>
      </c>
      <c r="C12">
        <v>74.8</v>
      </c>
      <c r="D12">
        <v>69.5</v>
      </c>
      <c r="E12">
        <v>69.900000000000006</v>
      </c>
      <c r="F12">
        <v>5800.4880000000003</v>
      </c>
      <c r="G12">
        <v>69.900000000000006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-0.84905660377358272</v>
      </c>
      <c r="Q12">
        <f t="shared" ref="Q12" si="36">F12*P12</f>
        <v>-4924.9426415094213</v>
      </c>
      <c r="R12">
        <f t="shared" ref="R12" si="37">R13+Q12</f>
        <v>-3446731.6883492479</v>
      </c>
      <c r="S12">
        <f t="shared" ref="S12" si="38">R12/100000</f>
        <v>-34.467316883492479</v>
      </c>
      <c r="T12">
        <f t="shared" ref="T12" si="39">S12/1000</f>
        <v>-3.4467316883492478E-2</v>
      </c>
    </row>
    <row r="13" spans="1:20" x14ac:dyDescent="0.25">
      <c r="A13" s="5">
        <v>44580</v>
      </c>
      <c r="B13">
        <v>73.3</v>
      </c>
      <c r="C13">
        <v>73.5</v>
      </c>
      <c r="D13">
        <v>71.3</v>
      </c>
      <c r="E13">
        <v>71.7</v>
      </c>
      <c r="F13">
        <v>8273.9629999999997</v>
      </c>
      <c r="G13">
        <v>71.7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-0.63636363636363169</v>
      </c>
      <c r="Q13">
        <f t="shared" ref="Q13" si="41">F13*P13</f>
        <v>-5265.2491818181434</v>
      </c>
      <c r="R13">
        <f t="shared" ref="R13" si="42">R14+Q13</f>
        <v>-3441806.7457077387</v>
      </c>
      <c r="S13">
        <f t="shared" ref="S13" si="43">R13/100000</f>
        <v>-34.418067457077385</v>
      </c>
      <c r="T13">
        <f t="shared" ref="T13" si="44">S13/1000</f>
        <v>-3.4418067457077386E-2</v>
      </c>
    </row>
    <row r="14" spans="1:20" x14ac:dyDescent="0.25">
      <c r="A14" s="5">
        <v>44579</v>
      </c>
      <c r="B14">
        <v>76.2</v>
      </c>
      <c r="C14">
        <v>76.5</v>
      </c>
      <c r="D14">
        <v>72.8</v>
      </c>
      <c r="E14">
        <v>73.2</v>
      </c>
      <c r="F14">
        <v>7085.6239999999998</v>
      </c>
      <c r="G14">
        <v>73.2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-0.78378378378378089</v>
      </c>
      <c r="Q14">
        <f t="shared" ref="Q14" si="46">F14*P14</f>
        <v>-5553.5971891891686</v>
      </c>
      <c r="R14">
        <f t="shared" ref="R14" si="47">R15+Q14</f>
        <v>-3436541.4965259205</v>
      </c>
      <c r="S14">
        <f t="shared" ref="S14" si="48">R14/100000</f>
        <v>-34.365414965259205</v>
      </c>
      <c r="T14">
        <f t="shared" ref="T14" si="49">S14/1000</f>
        <v>-3.4365414965259203E-2</v>
      </c>
    </row>
    <row r="15" spans="1:20" x14ac:dyDescent="0.25">
      <c r="A15" s="5">
        <v>44578</v>
      </c>
      <c r="B15">
        <v>76.8</v>
      </c>
      <c r="C15">
        <v>83</v>
      </c>
      <c r="D15">
        <v>74.5</v>
      </c>
      <c r="E15">
        <v>76.400000000000006</v>
      </c>
      <c r="F15">
        <v>24372.171999999999</v>
      </c>
      <c r="G15">
        <v>76.400000000000006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-0.55294117647058694</v>
      </c>
      <c r="Q15">
        <f t="shared" ref="Q15" si="51">F15*P15</f>
        <v>-13476.377458823497</v>
      </c>
      <c r="R15">
        <f t="shared" ref="R15" si="52">R16+Q15</f>
        <v>-3430987.8993367311</v>
      </c>
      <c r="S15">
        <f t="shared" ref="S15" si="53">R15/100000</f>
        <v>-34.309878993367313</v>
      </c>
      <c r="T15">
        <f t="shared" ref="T15" si="54">S15/1000</f>
        <v>-3.4309878993367314E-2</v>
      </c>
    </row>
    <row r="16" spans="1:20" x14ac:dyDescent="0.25">
      <c r="A16" s="5">
        <v>44577</v>
      </c>
      <c r="B16">
        <v>76.900000000000006</v>
      </c>
      <c r="C16">
        <v>78.3</v>
      </c>
      <c r="D16">
        <v>76</v>
      </c>
      <c r="E16">
        <v>76.8</v>
      </c>
      <c r="F16">
        <v>5495.7669999999998</v>
      </c>
      <c r="G16">
        <v>76.8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-0.30434782608695815</v>
      </c>
      <c r="Q16">
        <f t="shared" ref="Q16" si="56">F16*P16</f>
        <v>-1672.6247391304437</v>
      </c>
      <c r="R16">
        <f t="shared" ref="R16" si="57">R17+Q16</f>
        <v>-3417511.5218779077</v>
      </c>
      <c r="S16">
        <f t="shared" ref="S16" si="58">R16/100000</f>
        <v>-34.175115218779077</v>
      </c>
      <c r="T16">
        <f t="shared" ref="T16" si="59">S16/1000</f>
        <v>-3.4175115218779077E-2</v>
      </c>
    </row>
    <row r="17" spans="1:20" x14ac:dyDescent="0.25">
      <c r="A17" s="5">
        <v>44576</v>
      </c>
      <c r="B17">
        <v>78.5</v>
      </c>
      <c r="C17">
        <v>80.400000000000006</v>
      </c>
      <c r="D17">
        <v>77</v>
      </c>
      <c r="E17">
        <v>77</v>
      </c>
      <c r="F17">
        <v>8209.5930000000008</v>
      </c>
      <c r="G17">
        <v>77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-1</v>
      </c>
      <c r="Q17">
        <f t="shared" ref="Q17" si="61">F17*P17</f>
        <v>-8209.5930000000008</v>
      </c>
      <c r="R17">
        <f t="shared" ref="R17" si="62">R18+Q17</f>
        <v>-3415838.8971387772</v>
      </c>
      <c r="S17">
        <f t="shared" ref="S17" si="63">R17/100000</f>
        <v>-34.158388971387772</v>
      </c>
      <c r="T17">
        <f t="shared" ref="T17" si="64">S17/1000</f>
        <v>-3.4158388971387774E-2</v>
      </c>
    </row>
    <row r="18" spans="1:20" x14ac:dyDescent="0.25">
      <c r="A18" s="5">
        <v>44575</v>
      </c>
      <c r="B18">
        <v>75.2</v>
      </c>
      <c r="C18">
        <v>86</v>
      </c>
      <c r="D18">
        <v>73.8</v>
      </c>
      <c r="E18">
        <v>78.3</v>
      </c>
      <c r="F18">
        <v>43168.654000000002</v>
      </c>
      <c r="G18">
        <v>78.3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-0.26229508196721329</v>
      </c>
      <c r="Q18">
        <f t="shared" ref="Q18" si="66">F18*P18</f>
        <v>-11322.92563934427</v>
      </c>
      <c r="R18">
        <f t="shared" ref="R18" si="67">R19+Q18</f>
        <v>-3407629.3041387773</v>
      </c>
      <c r="S18">
        <f t="shared" ref="S18" si="68">R18/100000</f>
        <v>-34.076293041387771</v>
      </c>
      <c r="T18">
        <f t="shared" ref="T18" si="69">S18/1000</f>
        <v>-3.4076293041387769E-2</v>
      </c>
    </row>
    <row r="19" spans="1:20" x14ac:dyDescent="0.25">
      <c r="A19" s="5">
        <v>44574</v>
      </c>
      <c r="B19">
        <v>77.099999999999994</v>
      </c>
      <c r="C19">
        <v>79.099999999999994</v>
      </c>
      <c r="D19">
        <v>74.099999999999994</v>
      </c>
      <c r="E19">
        <v>75.2</v>
      </c>
      <c r="F19">
        <v>7552.7619999999997</v>
      </c>
      <c r="G19">
        <v>75.2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-0.55999999999999661</v>
      </c>
      <c r="Q19">
        <f t="shared" ref="Q19" si="71">F19*P19</f>
        <v>-4229.5467199999739</v>
      </c>
      <c r="R19">
        <f t="shared" ref="R19" si="72">R20+Q19</f>
        <v>-3396306.3784994329</v>
      </c>
      <c r="S19">
        <f t="shared" ref="S19" si="73">R19/100000</f>
        <v>-33.963063784994333</v>
      </c>
      <c r="T19">
        <f t="shared" ref="T19" si="74">S19/1000</f>
        <v>-3.3963063784994335E-2</v>
      </c>
    </row>
    <row r="20" spans="1:20" x14ac:dyDescent="0.25">
      <c r="A20" s="5">
        <v>44573</v>
      </c>
      <c r="B20">
        <v>75.2</v>
      </c>
      <c r="C20">
        <v>77.7</v>
      </c>
      <c r="D20">
        <v>74.099999999999994</v>
      </c>
      <c r="E20">
        <v>77.099999999999994</v>
      </c>
      <c r="F20">
        <v>7519.4650000000001</v>
      </c>
      <c r="G20">
        <v>77.099999999999994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0.66666666666666274</v>
      </c>
      <c r="Q20">
        <f t="shared" ref="Q20" si="76">F20*P20</f>
        <v>5012.9766666666374</v>
      </c>
      <c r="R20">
        <f t="shared" ref="R20" si="77">R21+Q20</f>
        <v>-3392076.8317794329</v>
      </c>
      <c r="S20">
        <f t="shared" ref="S20" si="78">R20/100000</f>
        <v>-33.920768317794327</v>
      </c>
      <c r="T20">
        <f t="shared" ref="T20" si="79">S20/1000</f>
        <v>-3.3920768317794329E-2</v>
      </c>
    </row>
    <row r="21" spans="1:20" x14ac:dyDescent="0.25">
      <c r="A21" s="5">
        <v>44572</v>
      </c>
      <c r="B21">
        <v>72.7</v>
      </c>
      <c r="C21">
        <v>76.5</v>
      </c>
      <c r="D21">
        <v>72.099999999999994</v>
      </c>
      <c r="E21">
        <v>75.3</v>
      </c>
      <c r="F21">
        <v>10415.977000000001</v>
      </c>
      <c r="G21">
        <v>75.3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0.45454545454545398</v>
      </c>
      <c r="Q21">
        <f t="shared" ref="Q21" si="81">F21*P21</f>
        <v>4734.5349999999944</v>
      </c>
      <c r="R21">
        <f t="shared" ref="R21" si="82">R22+Q21</f>
        <v>-3397089.8084460995</v>
      </c>
      <c r="S21">
        <f t="shared" ref="S21" si="83">R21/100000</f>
        <v>-33.970898084460998</v>
      </c>
      <c r="T21">
        <f t="shared" ref="T21" si="84">S21/1000</f>
        <v>-3.3970898084461E-2</v>
      </c>
    </row>
    <row r="22" spans="1:20" x14ac:dyDescent="0.25">
      <c r="A22" s="5">
        <v>44571</v>
      </c>
      <c r="B22">
        <v>75.7</v>
      </c>
      <c r="C22">
        <v>77.2</v>
      </c>
      <c r="D22">
        <v>70.099999999999994</v>
      </c>
      <c r="E22">
        <v>72.599999999999994</v>
      </c>
      <c r="F22">
        <v>12679.307000000001</v>
      </c>
      <c r="G22">
        <v>72.599999999999994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-0.29577464788732477</v>
      </c>
      <c r="Q22">
        <f t="shared" ref="Q22" si="86">F22*P22</f>
        <v>-3750.2175633802922</v>
      </c>
      <c r="R22">
        <f t="shared" ref="R22" si="87">R23+Q22</f>
        <v>-3401824.3434460997</v>
      </c>
      <c r="S22">
        <f t="shared" ref="S22" si="88">R22/100000</f>
        <v>-34.018243434460999</v>
      </c>
      <c r="T22">
        <f t="shared" ref="T22" si="89">S22/1000</f>
        <v>-3.4018243434460999E-2</v>
      </c>
    </row>
    <row r="23" spans="1:20" x14ac:dyDescent="0.25">
      <c r="A23" s="5">
        <v>44570</v>
      </c>
      <c r="B23">
        <v>74.7</v>
      </c>
      <c r="C23">
        <v>78.5</v>
      </c>
      <c r="D23">
        <v>74.099999999999994</v>
      </c>
      <c r="E23">
        <v>75.7</v>
      </c>
      <c r="F23">
        <v>13245.458000000001</v>
      </c>
      <c r="G23">
        <v>75.7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-0.27272727272726976</v>
      </c>
      <c r="Q23">
        <f t="shared" ref="Q23" si="91">F23*P23</f>
        <v>-3612.3976363635975</v>
      </c>
      <c r="R23">
        <f t="shared" ref="R23" si="92">R24+Q23</f>
        <v>-3398074.1258827192</v>
      </c>
      <c r="S23">
        <f t="shared" ref="S23" si="93">R23/100000</f>
        <v>-33.980741258827194</v>
      </c>
      <c r="T23">
        <f t="shared" ref="T23" si="94">S23/1000</f>
        <v>-3.3980741258827198E-2</v>
      </c>
    </row>
    <row r="24" spans="1:20" x14ac:dyDescent="0.25">
      <c r="A24" s="5">
        <v>44569</v>
      </c>
      <c r="B24">
        <v>78</v>
      </c>
      <c r="C24">
        <v>81.2</v>
      </c>
      <c r="D24">
        <v>73</v>
      </c>
      <c r="E24">
        <v>74.900000000000006</v>
      </c>
      <c r="F24">
        <v>11342.074000000001</v>
      </c>
      <c r="G24">
        <v>74.900000000000006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-0.53658536585365735</v>
      </c>
      <c r="Q24">
        <f t="shared" ref="Q24" si="96">F24*P24</f>
        <v>-6085.9909268292549</v>
      </c>
      <c r="R24">
        <f t="shared" ref="R24" si="97">R25+Q24</f>
        <v>-3394461.7282463554</v>
      </c>
      <c r="S24">
        <f t="shared" ref="S24" si="98">R24/100000</f>
        <v>-33.944617282463554</v>
      </c>
      <c r="T24">
        <f t="shared" ref="T24" si="99">S24/1000</f>
        <v>-3.3944617282463556E-2</v>
      </c>
    </row>
    <row r="25" spans="1:20" x14ac:dyDescent="0.25">
      <c r="A25" s="5">
        <v>44568</v>
      </c>
      <c r="B25">
        <v>83.4</v>
      </c>
      <c r="C25">
        <v>83.5</v>
      </c>
      <c r="D25">
        <v>77.599999999999994</v>
      </c>
      <c r="E25">
        <v>77.900000000000006</v>
      </c>
      <c r="F25">
        <v>16441.585999999999</v>
      </c>
      <c r="G25">
        <v>77.900000000000006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-0.89830508474575899</v>
      </c>
      <c r="Q25">
        <f t="shared" ref="Q25" si="101">F25*P25</f>
        <v>-14769.560305084684</v>
      </c>
      <c r="R25">
        <f t="shared" ref="R25" si="102">R26+Q25</f>
        <v>-3388375.7373195263</v>
      </c>
      <c r="S25">
        <f t="shared" ref="S25" si="103">R25/100000</f>
        <v>-33.883757373195266</v>
      </c>
      <c r="T25">
        <f t="shared" ref="T25" si="104">S25/1000</f>
        <v>-3.3883757373195267E-2</v>
      </c>
    </row>
    <row r="26" spans="1:20" x14ac:dyDescent="0.25">
      <c r="A26" s="5">
        <v>44567</v>
      </c>
      <c r="B26">
        <v>86.8</v>
      </c>
      <c r="C26">
        <v>86.8</v>
      </c>
      <c r="D26">
        <v>80.2</v>
      </c>
      <c r="E26">
        <v>83.5</v>
      </c>
      <c r="F26">
        <v>27001.663</v>
      </c>
      <c r="G26">
        <v>83.5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</v>
      </c>
      <c r="Q26">
        <f t="shared" ref="Q26" si="106">F26*P26</f>
        <v>0</v>
      </c>
      <c r="R26">
        <f t="shared" ref="R26" si="107">R27+Q26</f>
        <v>-3373606.1770144417</v>
      </c>
      <c r="S26">
        <f t="shared" ref="S26" si="108">R26/100000</f>
        <v>-33.736061770144417</v>
      </c>
      <c r="T26">
        <f t="shared" ref="T26" si="109">S26/1000</f>
        <v>-3.3736061770144418E-2</v>
      </c>
    </row>
    <row r="27" spans="1:20" x14ac:dyDescent="0.25">
      <c r="A27" s="5">
        <v>44566</v>
      </c>
      <c r="B27">
        <v>90.7</v>
      </c>
      <c r="C27">
        <v>98.2</v>
      </c>
      <c r="D27">
        <v>85.9</v>
      </c>
      <c r="E27">
        <v>86.8</v>
      </c>
      <c r="F27">
        <v>23380.312999999998</v>
      </c>
      <c r="G27">
        <v>86.8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-0.85365853658536717</v>
      </c>
      <c r="Q27">
        <f t="shared" ref="Q27" si="111">F27*P27</f>
        <v>-19958.803780487833</v>
      </c>
      <c r="R27">
        <f t="shared" ref="R27" si="112">R28+Q27</f>
        <v>-3373606.1770144417</v>
      </c>
      <c r="S27">
        <f t="shared" ref="S27" si="113">R27/100000</f>
        <v>-33.736061770144417</v>
      </c>
      <c r="T27">
        <f t="shared" ref="T27" si="114">S27/1000</f>
        <v>-3.3736061770144418E-2</v>
      </c>
    </row>
    <row r="28" spans="1:20" x14ac:dyDescent="0.25">
      <c r="A28" s="5">
        <v>44565</v>
      </c>
      <c r="B28">
        <v>93.1</v>
      </c>
      <c r="C28">
        <v>94.4</v>
      </c>
      <c r="D28">
        <v>90.4</v>
      </c>
      <c r="E28">
        <v>90.7</v>
      </c>
      <c r="F28">
        <v>11384.609</v>
      </c>
      <c r="G28">
        <v>90.7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-0.85000000000000142</v>
      </c>
      <c r="Q28">
        <f t="shared" ref="Q28" si="116">F28*P28</f>
        <v>-9676.9176500000158</v>
      </c>
      <c r="R28">
        <f t="shared" ref="R28" si="117">R29+Q28</f>
        <v>-3353647.373233954</v>
      </c>
      <c r="S28">
        <f t="shared" ref="S28" si="118">R28/100000</f>
        <v>-33.536473732339537</v>
      </c>
      <c r="T28">
        <f t="shared" ref="T28" si="119">S28/1000</f>
        <v>-3.353647373233954E-2</v>
      </c>
    </row>
    <row r="29" spans="1:20" x14ac:dyDescent="0.25">
      <c r="A29" s="5">
        <v>44564</v>
      </c>
      <c r="B29">
        <v>96.1</v>
      </c>
      <c r="C29">
        <v>96.4</v>
      </c>
      <c r="D29">
        <v>91.2</v>
      </c>
      <c r="E29">
        <v>93.1</v>
      </c>
      <c r="F29">
        <v>10388.707</v>
      </c>
      <c r="G29">
        <v>93.1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-0.26923076923077294</v>
      </c>
      <c r="Q29">
        <f t="shared" ref="Q29" si="121">F29*P29</f>
        <v>-2796.9595769231155</v>
      </c>
      <c r="R29">
        <f t="shared" ref="R29" si="122">R30+Q29</f>
        <v>-3343970.4555839538</v>
      </c>
      <c r="S29">
        <f t="shared" ref="S29" si="123">R29/100000</f>
        <v>-33.43970455583954</v>
      </c>
      <c r="T29">
        <f t="shared" ref="T29" si="124">S29/1000</f>
        <v>-3.3439704555839542E-2</v>
      </c>
    </row>
    <row r="30" spans="1:20" x14ac:dyDescent="0.25">
      <c r="A30" s="5">
        <v>44563</v>
      </c>
      <c r="B30">
        <v>98.6</v>
      </c>
      <c r="C30">
        <v>100.1</v>
      </c>
      <c r="D30">
        <v>94.8</v>
      </c>
      <c r="E30">
        <v>96.2</v>
      </c>
      <c r="F30">
        <v>26658.008000000002</v>
      </c>
      <c r="G30">
        <v>96.2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-0.47169811320754473</v>
      </c>
      <c r="Q30">
        <f t="shared" ref="Q30" si="126">F30*P30</f>
        <v>-12574.532075471634</v>
      </c>
      <c r="R30">
        <f t="shared" ref="R30" si="127">R31+Q30</f>
        <v>-3341173.4960070308</v>
      </c>
      <c r="S30">
        <f t="shared" ref="S30" si="128">R30/100000</f>
        <v>-33.411734960070305</v>
      </c>
      <c r="T30">
        <f t="shared" ref="T30" si="129">S30/1000</f>
        <v>-3.3411734960070306E-2</v>
      </c>
    </row>
    <row r="31" spans="1:20" x14ac:dyDescent="0.25">
      <c r="A31" s="5">
        <v>44562</v>
      </c>
      <c r="B31">
        <v>88.7</v>
      </c>
      <c r="C31">
        <v>115.8</v>
      </c>
      <c r="D31">
        <v>88.5</v>
      </c>
      <c r="E31">
        <v>98.6</v>
      </c>
      <c r="F31">
        <v>135233.236</v>
      </c>
      <c r="G31">
        <v>98.6</v>
      </c>
      <c r="L31" t="s">
        <v>8</v>
      </c>
      <c r="M31" t="s">
        <v>8</v>
      </c>
      <c r="N31" t="s">
        <v>7</v>
      </c>
      <c r="P31">
        <f t="shared" ref="P31" si="130">IF(C31=D31,0,((E31-D31)-(C31-E31))/(C31-D31))</f>
        <v>-0.26007326007326043</v>
      </c>
      <c r="Q31">
        <f t="shared" ref="Q31" si="131">F31*P31</f>
        <v>-35170.548556776608</v>
      </c>
      <c r="R31">
        <f t="shared" ref="R31" si="132">R32+Q31</f>
        <v>-3328598.9639315591</v>
      </c>
      <c r="S31">
        <f t="shared" ref="S31" si="133">R31/100000</f>
        <v>-33.285989639315588</v>
      </c>
      <c r="T31">
        <f t="shared" ref="T31" si="134">S31/1000</f>
        <v>-3.3285989639315589E-2</v>
      </c>
    </row>
    <row r="32" spans="1:20" x14ac:dyDescent="0.25">
      <c r="A32" s="5">
        <v>44561</v>
      </c>
      <c r="B32">
        <v>89.1</v>
      </c>
      <c r="C32">
        <v>96.6</v>
      </c>
      <c r="D32">
        <v>88.4</v>
      </c>
      <c r="E32">
        <v>88.4</v>
      </c>
      <c r="F32">
        <v>20705.335999999999</v>
      </c>
      <c r="G32">
        <v>88.4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-1</v>
      </c>
      <c r="Q32">
        <f t="shared" ref="Q32" si="136">F32*P32</f>
        <v>-20705.335999999999</v>
      </c>
      <c r="R32">
        <f t="shared" ref="R32" si="137">R33+Q32</f>
        <v>-3293428.4153747824</v>
      </c>
      <c r="S32">
        <f t="shared" ref="S32" si="138">R32/100000</f>
        <v>-32.934284153747825</v>
      </c>
      <c r="T32">
        <f t="shared" ref="T32" si="139">S32/1000</f>
        <v>-3.2934284153747828E-2</v>
      </c>
    </row>
    <row r="33" spans="1:20" x14ac:dyDescent="0.25">
      <c r="A33" s="5">
        <v>44560</v>
      </c>
      <c r="B33">
        <v>92.9</v>
      </c>
      <c r="C33">
        <v>100.8</v>
      </c>
      <c r="D33">
        <v>88.9</v>
      </c>
      <c r="E33">
        <v>89.1</v>
      </c>
      <c r="F33">
        <v>38614.962</v>
      </c>
      <c r="G33">
        <v>89.1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-0.96638655462185064</v>
      </c>
      <c r="Q33">
        <f t="shared" ref="Q33" si="141">F33*P33</f>
        <v>-37316.980084033683</v>
      </c>
      <c r="R33">
        <f t="shared" ref="R33" si="142">R34+Q33</f>
        <v>-3272723.0793747823</v>
      </c>
      <c r="S33">
        <f t="shared" ref="S33" si="143">R33/100000</f>
        <v>-32.727230793747822</v>
      </c>
      <c r="T33">
        <f t="shared" ref="T33" si="144">S33/1000</f>
        <v>-3.272723079374782E-2</v>
      </c>
    </row>
    <row r="34" spans="1:20" x14ac:dyDescent="0.25">
      <c r="A34" s="5">
        <v>44559</v>
      </c>
      <c r="B34">
        <v>124.5</v>
      </c>
      <c r="C34">
        <v>128</v>
      </c>
      <c r="D34">
        <v>91.7</v>
      </c>
      <c r="E34">
        <v>93.1</v>
      </c>
      <c r="F34">
        <v>196088.43400000001</v>
      </c>
      <c r="G34">
        <v>93.1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-0.92286501377410513</v>
      </c>
      <c r="Q34">
        <f t="shared" ref="Q34" si="146">F34*P34</f>
        <v>-180963.15534435271</v>
      </c>
      <c r="R34">
        <f t="shared" ref="R34" si="147">R35+Q34</f>
        <v>-3235406.0992907486</v>
      </c>
      <c r="S34">
        <f t="shared" ref="S34" si="148">R34/100000</f>
        <v>-32.354060992907485</v>
      </c>
      <c r="T34">
        <f t="shared" ref="T34" si="149">S34/1000</f>
        <v>-3.2354060992907482E-2</v>
      </c>
    </row>
    <row r="35" spans="1:20" x14ac:dyDescent="0.25">
      <c r="A35" s="5">
        <v>44558</v>
      </c>
      <c r="B35">
        <v>87.2</v>
      </c>
      <c r="C35">
        <v>131.9</v>
      </c>
      <c r="D35">
        <v>84.7</v>
      </c>
      <c r="E35">
        <v>124.5</v>
      </c>
      <c r="F35">
        <v>487794.80699999997</v>
      </c>
      <c r="G35">
        <v>124.5</v>
      </c>
      <c r="L35" t="s">
        <v>8</v>
      </c>
      <c r="M35" t="s">
        <v>8</v>
      </c>
      <c r="N35" t="s">
        <v>8</v>
      </c>
      <c r="P35">
        <f t="shared" ref="P35" si="150">IF(C35=D35,0,((E35-D35)-(C35-E35))/(C35-D35))</f>
        <v>0.68644067796610142</v>
      </c>
      <c r="Q35">
        <f t="shared" ref="Q35" si="151">F35*P35</f>
        <v>334842.19802542357</v>
      </c>
      <c r="R35">
        <f t="shared" ref="R35" si="152">R36+Q35</f>
        <v>-3054442.943946396</v>
      </c>
      <c r="S35">
        <f t="shared" ref="S35" si="153">R35/100000</f>
        <v>-30.544429439463961</v>
      </c>
      <c r="T35">
        <f t="shared" ref="T35" si="154">S35/1000</f>
        <v>-3.054442943946396E-2</v>
      </c>
    </row>
    <row r="36" spans="1:20" x14ac:dyDescent="0.25">
      <c r="A36" s="5">
        <v>44557</v>
      </c>
      <c r="B36">
        <v>86.9</v>
      </c>
      <c r="C36">
        <v>90.2</v>
      </c>
      <c r="D36">
        <v>85.6</v>
      </c>
      <c r="E36">
        <v>87.2</v>
      </c>
      <c r="F36">
        <v>9167.0879999999997</v>
      </c>
      <c r="G36">
        <v>87.2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-0.3043478260869541</v>
      </c>
      <c r="Q36">
        <f t="shared" ref="Q36" si="156">F36*P36</f>
        <v>-2789.9833043478038</v>
      </c>
      <c r="R36">
        <f t="shared" ref="R36" si="157">R37+Q36</f>
        <v>-3389285.1419718196</v>
      </c>
      <c r="S36">
        <f t="shared" ref="S36" si="158">R36/100000</f>
        <v>-33.892851419718198</v>
      </c>
      <c r="T36">
        <f t="shared" ref="T36" si="159">S36/1000</f>
        <v>-3.3892851419718199E-2</v>
      </c>
    </row>
    <row r="37" spans="1:20" x14ac:dyDescent="0.25">
      <c r="A37" s="5">
        <v>44556</v>
      </c>
      <c r="B37">
        <v>84.4</v>
      </c>
      <c r="C37">
        <v>87</v>
      </c>
      <c r="D37">
        <v>82.5</v>
      </c>
      <c r="E37">
        <v>87</v>
      </c>
      <c r="F37">
        <v>7180.2879999999996</v>
      </c>
      <c r="G37">
        <v>87</v>
      </c>
      <c r="L37" t="s">
        <v>8</v>
      </c>
      <c r="M37" t="s">
        <v>7</v>
      </c>
      <c r="N37" t="s">
        <v>7</v>
      </c>
      <c r="P37">
        <f t="shared" ref="P37" si="160">IF(C37=D37,0,((E37-D37)-(C37-E37))/(C37-D37))</f>
        <v>1</v>
      </c>
      <c r="Q37">
        <f t="shared" ref="Q37" si="161">F37*P37</f>
        <v>7180.2879999999996</v>
      </c>
      <c r="R37">
        <f t="shared" ref="R37" si="162">R38+Q37</f>
        <v>-3386495.1586674717</v>
      </c>
      <c r="S37">
        <f t="shared" ref="S37" si="163">R37/100000</f>
        <v>-33.864951586674714</v>
      </c>
      <c r="T37">
        <f t="shared" ref="T37" si="164">S37/1000</f>
        <v>-3.3864951586674713E-2</v>
      </c>
    </row>
    <row r="38" spans="1:20" x14ac:dyDescent="0.25">
      <c r="A38" s="5">
        <v>44555</v>
      </c>
      <c r="B38">
        <v>82.3</v>
      </c>
      <c r="C38">
        <v>85.2</v>
      </c>
      <c r="D38">
        <v>82.1</v>
      </c>
      <c r="E38">
        <v>84.4</v>
      </c>
      <c r="F38">
        <v>5277.8040000000001</v>
      </c>
      <c r="G38">
        <v>84.4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0.48387096774193872</v>
      </c>
      <c r="Q38">
        <f t="shared" ref="Q38" si="166">F38*P38</f>
        <v>2553.7761290322751</v>
      </c>
      <c r="R38">
        <f t="shared" ref="R38" si="167">R39+Q38</f>
        <v>-3393675.4466674719</v>
      </c>
      <c r="S38">
        <f t="shared" ref="S38" si="168">R38/100000</f>
        <v>-33.936754466674721</v>
      </c>
      <c r="T38">
        <f t="shared" ref="T38" si="169">S38/1000</f>
        <v>-3.3936754466674719E-2</v>
      </c>
    </row>
    <row r="39" spans="1:20" x14ac:dyDescent="0.25">
      <c r="A39" s="5">
        <v>44554</v>
      </c>
      <c r="B39">
        <v>84.3</v>
      </c>
      <c r="C39">
        <v>85.1</v>
      </c>
      <c r="D39">
        <v>82.1</v>
      </c>
      <c r="E39">
        <v>82.3</v>
      </c>
      <c r="F39">
        <v>5458.6090000000004</v>
      </c>
      <c r="G39">
        <v>82.3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-0.86666666666666481</v>
      </c>
      <c r="Q39">
        <f t="shared" ref="Q39" si="171">F39*P39</f>
        <v>-4730.7944666666572</v>
      </c>
      <c r="R39">
        <f t="shared" ref="R39" si="172">R40+Q39</f>
        <v>-3396229.2227965044</v>
      </c>
      <c r="S39">
        <f t="shared" ref="S39" si="173">R39/100000</f>
        <v>-33.962292227965044</v>
      </c>
      <c r="T39">
        <f t="shared" ref="T39" si="174">S39/1000</f>
        <v>-3.3962292227965041E-2</v>
      </c>
    </row>
    <row r="40" spans="1:20" x14ac:dyDescent="0.25">
      <c r="A40" s="5">
        <v>44553</v>
      </c>
      <c r="B40">
        <v>81.7</v>
      </c>
      <c r="C40">
        <v>85.1</v>
      </c>
      <c r="D40">
        <v>80.599999999999994</v>
      </c>
      <c r="E40">
        <v>84.4</v>
      </c>
      <c r="F40">
        <v>7151.9449999999997</v>
      </c>
      <c r="G40">
        <v>84.4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0.68888888888889399</v>
      </c>
      <c r="Q40">
        <f t="shared" ref="Q40" si="176">F40*P40</f>
        <v>4926.8954444444807</v>
      </c>
      <c r="R40">
        <f t="shared" ref="R40" si="177">R41+Q40</f>
        <v>-3391498.4283298375</v>
      </c>
      <c r="S40">
        <f t="shared" ref="S40" si="178">R40/100000</f>
        <v>-33.914984283298374</v>
      </c>
      <c r="T40">
        <f t="shared" ref="T40" si="179">S40/1000</f>
        <v>-3.3914984283298373E-2</v>
      </c>
    </row>
    <row r="41" spans="1:20" x14ac:dyDescent="0.25">
      <c r="A41" s="5">
        <v>44552</v>
      </c>
      <c r="B41">
        <v>82.7</v>
      </c>
      <c r="C41">
        <v>85.6</v>
      </c>
      <c r="D41">
        <v>81</v>
      </c>
      <c r="E41">
        <v>81.7</v>
      </c>
      <c r="F41">
        <v>9713.1170000000002</v>
      </c>
      <c r="G41">
        <v>81.7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-0.6956521739130419</v>
      </c>
      <c r="Q41">
        <f t="shared" ref="Q41" si="181">F41*P41</f>
        <v>-6756.950956521724</v>
      </c>
      <c r="R41">
        <f t="shared" ref="R41" si="182">R42+Q41</f>
        <v>-3396425.3237742819</v>
      </c>
      <c r="S41">
        <f t="shared" ref="S41" si="183">R41/100000</f>
        <v>-33.964253237742817</v>
      </c>
      <c r="T41">
        <f t="shared" ref="T41" si="184">S41/1000</f>
        <v>-3.3964253237742818E-2</v>
      </c>
    </row>
    <row r="42" spans="1:20" x14ac:dyDescent="0.25">
      <c r="A42" s="5">
        <v>44551</v>
      </c>
      <c r="B42">
        <v>79.599999999999994</v>
      </c>
      <c r="C42">
        <v>83.3</v>
      </c>
      <c r="D42">
        <v>79.599999999999994</v>
      </c>
      <c r="E42">
        <v>82.8</v>
      </c>
      <c r="F42">
        <v>5507.4750000000004</v>
      </c>
      <c r="G42">
        <v>82.8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0.72972972972972994</v>
      </c>
      <c r="Q42">
        <f t="shared" ref="Q42" si="186">F42*P42</f>
        <v>4018.9682432432446</v>
      </c>
      <c r="R42">
        <f t="shared" ref="R42" si="187">R43+Q42</f>
        <v>-3389668.3728177603</v>
      </c>
      <c r="S42">
        <f t="shared" ref="S42" si="188">R42/100000</f>
        <v>-33.896683728177607</v>
      </c>
      <c r="T42">
        <f t="shared" ref="T42" si="189">S42/1000</f>
        <v>-3.3896683728177605E-2</v>
      </c>
    </row>
    <row r="43" spans="1:20" x14ac:dyDescent="0.25">
      <c r="A43" s="5">
        <v>44550</v>
      </c>
      <c r="B43">
        <v>82.9</v>
      </c>
      <c r="C43">
        <v>83.2</v>
      </c>
      <c r="D43">
        <v>76.8</v>
      </c>
      <c r="E43">
        <v>79.7</v>
      </c>
      <c r="F43">
        <v>7944.7290000000003</v>
      </c>
      <c r="G43">
        <v>79.7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-9.3749999999999029E-2</v>
      </c>
      <c r="Q43">
        <f t="shared" ref="Q43" si="191">F43*P43</f>
        <v>-744.81834374999232</v>
      </c>
      <c r="R43">
        <f t="shared" ref="R43" si="192">R44+Q43</f>
        <v>-3393687.3410610035</v>
      </c>
      <c r="S43">
        <f t="shared" ref="S43" si="193">R43/100000</f>
        <v>-33.936873410610033</v>
      </c>
      <c r="T43">
        <f t="shared" ref="T43" si="194">S43/1000</f>
        <v>-3.3936873410610031E-2</v>
      </c>
    </row>
    <row r="44" spans="1:20" x14ac:dyDescent="0.25">
      <c r="A44" s="5">
        <v>44549</v>
      </c>
      <c r="B44">
        <v>85.2</v>
      </c>
      <c r="C44">
        <v>85.8</v>
      </c>
      <c r="D44">
        <v>82.9</v>
      </c>
      <c r="E44">
        <v>82.9</v>
      </c>
      <c r="F44">
        <v>5781.07</v>
      </c>
      <c r="G44">
        <v>82.9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-1</v>
      </c>
      <c r="Q44">
        <f t="shared" ref="Q44" si="196">F44*P44</f>
        <v>-5781.07</v>
      </c>
      <c r="R44">
        <f t="shared" ref="R44" si="197">R45+Q44</f>
        <v>-3392942.5227172533</v>
      </c>
      <c r="S44">
        <f t="shared" ref="S44" si="198">R44/100000</f>
        <v>-33.92942522717253</v>
      </c>
      <c r="T44">
        <f t="shared" ref="T44" si="199">S44/1000</f>
        <v>-3.392942522717253E-2</v>
      </c>
    </row>
    <row r="45" spans="1:20" x14ac:dyDescent="0.25">
      <c r="A45" s="5">
        <v>44548</v>
      </c>
      <c r="B45">
        <v>85</v>
      </c>
      <c r="C45">
        <v>92.9</v>
      </c>
      <c r="D45">
        <v>83.2</v>
      </c>
      <c r="E45">
        <v>85.4</v>
      </c>
      <c r="F45">
        <v>27343.957999999999</v>
      </c>
      <c r="G45">
        <v>85.4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-0.54639175257731909</v>
      </c>
      <c r="Q45">
        <f t="shared" ref="Q45" si="201">F45*P45</f>
        <v>-14940.513134020604</v>
      </c>
      <c r="R45">
        <f t="shared" ref="R45" si="202">R46+Q45</f>
        <v>-3387161.4527172535</v>
      </c>
      <c r="S45">
        <f t="shared" ref="S45" si="203">R45/100000</f>
        <v>-33.871614527172532</v>
      </c>
      <c r="T45">
        <f t="shared" ref="T45" si="204">S45/1000</f>
        <v>-3.3871614527172529E-2</v>
      </c>
    </row>
    <row r="46" spans="1:20" x14ac:dyDescent="0.25">
      <c r="A46" s="5">
        <v>44547</v>
      </c>
      <c r="B46">
        <v>84.1</v>
      </c>
      <c r="C46">
        <v>87.1</v>
      </c>
      <c r="D46">
        <v>81.3</v>
      </c>
      <c r="E46">
        <v>84.9</v>
      </c>
      <c r="F46">
        <v>10595.865</v>
      </c>
      <c r="G46">
        <v>84.9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0.24137931034483112</v>
      </c>
      <c r="Q46">
        <f t="shared" ref="Q46" si="206">F46*P46</f>
        <v>2557.6225862069341</v>
      </c>
      <c r="R46">
        <f t="shared" ref="R46" si="207">R47+Q46</f>
        <v>-3372220.9395832331</v>
      </c>
      <c r="S46">
        <f t="shared" ref="S46" si="208">R46/100000</f>
        <v>-33.72220939583233</v>
      </c>
      <c r="T46">
        <f t="shared" ref="T46" si="209">S46/1000</f>
        <v>-3.3722209395832328E-2</v>
      </c>
    </row>
    <row r="47" spans="1:20" x14ac:dyDescent="0.25">
      <c r="A47" s="5">
        <v>44546</v>
      </c>
      <c r="B47">
        <v>85.1</v>
      </c>
      <c r="C47">
        <v>86.9</v>
      </c>
      <c r="D47">
        <v>83.7</v>
      </c>
      <c r="E47">
        <v>84.1</v>
      </c>
      <c r="F47">
        <v>9528.4609999999993</v>
      </c>
      <c r="G47">
        <v>84.1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-0.75000000000000555</v>
      </c>
      <c r="Q47">
        <f t="shared" ref="Q47" si="211">F47*P47</f>
        <v>-7146.3457500000522</v>
      </c>
      <c r="R47">
        <f t="shared" ref="R47" si="212">R48+Q47</f>
        <v>-3374778.5621694401</v>
      </c>
      <c r="S47">
        <f t="shared" ref="S47" si="213">R47/100000</f>
        <v>-33.747785621694398</v>
      </c>
      <c r="T47">
        <f t="shared" ref="T47" si="214">S47/1000</f>
        <v>-3.37477856216944E-2</v>
      </c>
    </row>
    <row r="48" spans="1:20" x14ac:dyDescent="0.25">
      <c r="A48" s="5">
        <v>44545</v>
      </c>
      <c r="B48">
        <v>83.4</v>
      </c>
      <c r="C48">
        <v>87.7</v>
      </c>
      <c r="D48">
        <v>80.400000000000006</v>
      </c>
      <c r="E48">
        <v>85</v>
      </c>
      <c r="F48">
        <v>18541.223999999998</v>
      </c>
      <c r="G48">
        <v>85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0.26027397260273866</v>
      </c>
      <c r="Q48">
        <f t="shared" ref="Q48" si="216">F48*P48</f>
        <v>4825.7980273972398</v>
      </c>
      <c r="R48">
        <f t="shared" ref="R48" si="217">R49+Q48</f>
        <v>-3367632.2164194402</v>
      </c>
      <c r="S48">
        <f t="shared" ref="S48" si="218">R48/100000</f>
        <v>-33.676322164194403</v>
      </c>
      <c r="T48">
        <f t="shared" ref="T48" si="219">S48/1000</f>
        <v>-3.3676322164194403E-2</v>
      </c>
    </row>
    <row r="49" spans="1:20" x14ac:dyDescent="0.25">
      <c r="A49" s="5">
        <v>44544</v>
      </c>
      <c r="B49">
        <v>83.9</v>
      </c>
      <c r="C49">
        <v>114.4</v>
      </c>
      <c r="D49">
        <v>81.2</v>
      </c>
      <c r="E49">
        <v>83.4</v>
      </c>
      <c r="F49">
        <v>196433.03200000001</v>
      </c>
      <c r="G49">
        <v>83.4</v>
      </c>
      <c r="L49" t="s">
        <v>8</v>
      </c>
      <c r="M49" t="s">
        <v>8</v>
      </c>
      <c r="N49" t="s">
        <v>7</v>
      </c>
      <c r="P49">
        <f t="shared" ref="P49" si="220">IF(C49=D49,0,((E49-D49)-(C49-E49))/(C49-D49))</f>
        <v>-0.86746987951807208</v>
      </c>
      <c r="Q49">
        <f t="shared" ref="Q49" si="221">F49*P49</f>
        <v>-170399.7386024096</v>
      </c>
      <c r="R49">
        <f t="shared" ref="R49" si="222">R50+Q49</f>
        <v>-3372458.0144468374</v>
      </c>
      <c r="S49">
        <f t="shared" ref="S49" si="223">R49/100000</f>
        <v>-33.724580144468376</v>
      </c>
      <c r="T49">
        <f t="shared" ref="T49" si="224">S49/1000</f>
        <v>-3.3724580144468379E-2</v>
      </c>
    </row>
    <row r="50" spans="1:20" x14ac:dyDescent="0.25">
      <c r="A50" s="5">
        <v>44543</v>
      </c>
      <c r="B50">
        <v>86.5</v>
      </c>
      <c r="C50">
        <v>86.6</v>
      </c>
      <c r="D50">
        <v>80.8</v>
      </c>
      <c r="E50">
        <v>83.9</v>
      </c>
      <c r="F50">
        <v>9240.9539999999997</v>
      </c>
      <c r="G50">
        <v>83.9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6.8965517241382779E-2</v>
      </c>
      <c r="Q50">
        <f t="shared" ref="Q50" si="226">F50*P50</f>
        <v>637.30717241382513</v>
      </c>
      <c r="R50">
        <f t="shared" ref="R50" si="227">R51+Q50</f>
        <v>-3202058.2758444278</v>
      </c>
      <c r="S50">
        <f t="shared" ref="S50" si="228">R50/100000</f>
        <v>-32.020582758444277</v>
      </c>
      <c r="T50">
        <f t="shared" ref="T50" si="229">S50/1000</f>
        <v>-3.2020582758444278E-2</v>
      </c>
    </row>
    <row r="51" spans="1:20" x14ac:dyDescent="0.25">
      <c r="A51" s="5">
        <v>44542</v>
      </c>
      <c r="B51">
        <v>85.7</v>
      </c>
      <c r="C51">
        <v>91.2</v>
      </c>
      <c r="D51">
        <v>83.1</v>
      </c>
      <c r="E51">
        <v>86.7</v>
      </c>
      <c r="F51">
        <v>34544.544999999998</v>
      </c>
      <c r="G51">
        <v>86.7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-0.11111111111110994</v>
      </c>
      <c r="Q51">
        <f t="shared" ref="Q51" si="231">F51*P51</f>
        <v>-3838.282777777737</v>
      </c>
      <c r="R51">
        <f t="shared" ref="R51" si="232">R52+Q51</f>
        <v>-3202695.5830168417</v>
      </c>
      <c r="S51">
        <f t="shared" ref="S51" si="233">R51/100000</f>
        <v>-32.026955830168419</v>
      </c>
      <c r="T51">
        <f t="shared" ref="T51" si="234">S51/1000</f>
        <v>-3.2026955830168416E-2</v>
      </c>
    </row>
    <row r="52" spans="1:20" x14ac:dyDescent="0.25">
      <c r="A52" s="5">
        <v>44541</v>
      </c>
      <c r="B52">
        <v>81.2</v>
      </c>
      <c r="C52">
        <v>81.900000000000006</v>
      </c>
      <c r="D52">
        <v>80.400000000000006</v>
      </c>
      <c r="E52">
        <v>81.900000000000006</v>
      </c>
      <c r="F52">
        <v>494.91399999999999</v>
      </c>
      <c r="G52">
        <v>81.900000000000006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1</v>
      </c>
      <c r="Q52">
        <f t="shared" ref="Q52" si="236">F52*P52</f>
        <v>494.91399999999999</v>
      </c>
      <c r="R52">
        <f t="shared" ref="R52" si="237">R53+Q52</f>
        <v>-3198857.3002390638</v>
      </c>
      <c r="S52">
        <f t="shared" ref="S52" si="238">R52/100000</f>
        <v>-31.988573002390638</v>
      </c>
      <c r="T52">
        <f t="shared" ref="T52" si="239">S52/1000</f>
        <v>-3.1988573002390636E-2</v>
      </c>
    </row>
    <row r="53" spans="1:20" x14ac:dyDescent="0.25">
      <c r="A53" s="5">
        <v>44540</v>
      </c>
      <c r="B53">
        <v>83.4</v>
      </c>
      <c r="C53">
        <v>86</v>
      </c>
      <c r="D53">
        <v>81.099999999999994</v>
      </c>
      <c r="E53">
        <v>81.099999999999994</v>
      </c>
      <c r="F53">
        <v>6071.5820000000003</v>
      </c>
      <c r="G53">
        <v>81.099999999999994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-1</v>
      </c>
      <c r="Q53">
        <f t="shared" ref="Q53" si="241">F53*P53</f>
        <v>-6071.5820000000003</v>
      </c>
      <c r="R53">
        <f t="shared" ref="R53" si="242">R54+Q53</f>
        <v>-3199352.2142390637</v>
      </c>
      <c r="S53">
        <f t="shared" ref="S53" si="243">R53/100000</f>
        <v>-31.993522142390638</v>
      </c>
      <c r="T53">
        <f t="shared" ref="T53" si="244">S53/1000</f>
        <v>-3.1993522142390637E-2</v>
      </c>
    </row>
    <row r="54" spans="1:20" x14ac:dyDescent="0.25">
      <c r="A54" s="5">
        <v>44539</v>
      </c>
      <c r="B54">
        <v>92.2</v>
      </c>
      <c r="C54">
        <v>98.3</v>
      </c>
      <c r="D54">
        <v>83.3</v>
      </c>
      <c r="E54">
        <v>83.4</v>
      </c>
      <c r="F54">
        <v>22478.269</v>
      </c>
      <c r="G54">
        <v>83.4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-0.98666666666666558</v>
      </c>
      <c r="Q54">
        <f t="shared" ref="Q54" si="246">F54*P54</f>
        <v>-22178.558746666644</v>
      </c>
      <c r="R54">
        <f t="shared" ref="R54" si="247">R55+Q54</f>
        <v>-3193280.6322390637</v>
      </c>
      <c r="S54">
        <f t="shared" ref="S54" si="248">R54/100000</f>
        <v>-31.932806322390636</v>
      </c>
      <c r="T54">
        <f t="shared" ref="T54" si="249">S54/1000</f>
        <v>-3.1932806322390636E-2</v>
      </c>
    </row>
    <row r="55" spans="1:20" x14ac:dyDescent="0.25">
      <c r="A55" s="5">
        <v>44538</v>
      </c>
      <c r="B55">
        <v>93.2</v>
      </c>
      <c r="C55">
        <v>103</v>
      </c>
      <c r="D55">
        <v>88.3</v>
      </c>
      <c r="E55">
        <v>92.2</v>
      </c>
      <c r="F55">
        <v>51466.923999999999</v>
      </c>
      <c r="G55">
        <v>92.2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-0.46938775510204017</v>
      </c>
      <c r="Q55">
        <f t="shared" ref="Q55" si="251">F55*P55</f>
        <v>-24157.943918367313</v>
      </c>
      <c r="R55">
        <f t="shared" ref="R55" si="252">R56+Q55</f>
        <v>-3171102.0734923971</v>
      </c>
      <c r="S55">
        <f t="shared" ref="S55" si="253">R55/100000</f>
        <v>-31.71102073492397</v>
      </c>
      <c r="T55">
        <f t="shared" ref="T55" si="254">S55/1000</f>
        <v>-3.1711020734923968E-2</v>
      </c>
    </row>
    <row r="56" spans="1:20" x14ac:dyDescent="0.25">
      <c r="A56" s="5">
        <v>44537</v>
      </c>
      <c r="B56">
        <v>94.1</v>
      </c>
      <c r="C56">
        <v>103.9</v>
      </c>
      <c r="D56">
        <v>92.4</v>
      </c>
      <c r="E56">
        <v>93.2</v>
      </c>
      <c r="F56">
        <v>46628.309000000001</v>
      </c>
      <c r="G56">
        <v>93.2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-0.86086956521739177</v>
      </c>
      <c r="Q56">
        <f t="shared" ref="Q56" si="256">F56*P56</f>
        <v>-40140.892095652198</v>
      </c>
      <c r="R56">
        <f t="shared" ref="R56" si="257">R57+Q56</f>
        <v>-3146944.1295740297</v>
      </c>
      <c r="S56">
        <f t="shared" ref="S56" si="258">R56/100000</f>
        <v>-31.469441295740296</v>
      </c>
      <c r="T56">
        <f t="shared" ref="T56" si="259">S56/1000</f>
        <v>-3.1469441295740294E-2</v>
      </c>
    </row>
    <row r="57" spans="1:20" x14ac:dyDescent="0.25">
      <c r="A57" s="5">
        <v>44536</v>
      </c>
      <c r="B57">
        <v>97.4</v>
      </c>
      <c r="C57">
        <v>97.8</v>
      </c>
      <c r="D57">
        <v>86.2</v>
      </c>
      <c r="E57">
        <v>94</v>
      </c>
      <c r="F57">
        <v>16338.993</v>
      </c>
      <c r="G57">
        <v>94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0.34482758620689674</v>
      </c>
      <c r="Q57">
        <f t="shared" ref="Q57" si="261">F57*P57</f>
        <v>5634.1355172413823</v>
      </c>
      <c r="R57">
        <f t="shared" ref="R57" si="262">R58+Q57</f>
        <v>-3106803.2374783773</v>
      </c>
      <c r="S57">
        <f t="shared" ref="S57" si="263">R57/100000</f>
        <v>-31.068032374783773</v>
      </c>
      <c r="T57">
        <f t="shared" ref="T57" si="264">S57/1000</f>
        <v>-3.1068032374783772E-2</v>
      </c>
    </row>
    <row r="58" spans="1:20" x14ac:dyDescent="0.25">
      <c r="A58" s="5">
        <v>44535</v>
      </c>
      <c r="B58">
        <v>90.2</v>
      </c>
      <c r="C58">
        <v>109.2</v>
      </c>
      <c r="D58">
        <v>89.2</v>
      </c>
      <c r="E58">
        <v>97.3</v>
      </c>
      <c r="F58">
        <v>60540.26</v>
      </c>
      <c r="G58">
        <v>97.3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-0.19000000000000056</v>
      </c>
      <c r="Q58">
        <f t="shared" ref="Q58" si="266">F58*P58</f>
        <v>-11502.649400000035</v>
      </c>
      <c r="R58">
        <f t="shared" ref="R58" si="267">R59+Q58</f>
        <v>-3112437.3729956187</v>
      </c>
      <c r="S58">
        <f t="shared" ref="S58" si="268">R58/100000</f>
        <v>-31.124373729956186</v>
      </c>
      <c r="T58">
        <f t="shared" ref="T58" si="269">S58/1000</f>
        <v>-3.1124373729956186E-2</v>
      </c>
    </row>
    <row r="59" spans="1:20" x14ac:dyDescent="0.25">
      <c r="A59" s="5">
        <v>44534</v>
      </c>
      <c r="B59">
        <v>96.9</v>
      </c>
      <c r="C59">
        <v>110</v>
      </c>
      <c r="D59">
        <v>83.8</v>
      </c>
      <c r="E59">
        <v>90.1</v>
      </c>
      <c r="F59">
        <v>37326.478999999999</v>
      </c>
      <c r="G59">
        <v>90.1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-0.51908396946564916</v>
      </c>
      <c r="Q59">
        <f t="shared" ref="Q59" si="271">F59*P59</f>
        <v>-19375.576885496193</v>
      </c>
      <c r="R59">
        <f t="shared" ref="R59" si="272">R60+Q59</f>
        <v>-3100934.7235956187</v>
      </c>
      <c r="S59">
        <f t="shared" ref="S59" si="273">R59/100000</f>
        <v>-31.009347235956188</v>
      </c>
      <c r="T59">
        <f t="shared" ref="T59" si="274">S59/1000</f>
        <v>-3.1009347235956188E-2</v>
      </c>
    </row>
    <row r="60" spans="1:20" x14ac:dyDescent="0.25">
      <c r="A60" s="5">
        <v>44533</v>
      </c>
      <c r="B60">
        <v>101.1</v>
      </c>
      <c r="C60">
        <v>103.9</v>
      </c>
      <c r="D60">
        <v>95.6</v>
      </c>
      <c r="E60">
        <v>96.8</v>
      </c>
      <c r="F60">
        <v>8839.5959999999995</v>
      </c>
      <c r="G60">
        <v>96.8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-0.71084337349397564</v>
      </c>
      <c r="Q60">
        <f t="shared" ref="Q60" si="276">F60*P60</f>
        <v>-6283.568240963853</v>
      </c>
      <c r="R60">
        <f t="shared" ref="R60" si="277">R61+Q60</f>
        <v>-3081559.1467101225</v>
      </c>
      <c r="S60">
        <f t="shared" ref="S60" si="278">R60/100000</f>
        <v>-30.815591467101225</v>
      </c>
      <c r="T60">
        <f t="shared" ref="T60" si="279">S60/1000</f>
        <v>-3.0815591467101226E-2</v>
      </c>
    </row>
    <row r="61" spans="1:20" x14ac:dyDescent="0.25">
      <c r="A61" s="5">
        <v>44532</v>
      </c>
      <c r="B61">
        <v>104.3</v>
      </c>
      <c r="C61">
        <v>104.3</v>
      </c>
      <c r="D61">
        <v>98.7</v>
      </c>
      <c r="E61">
        <v>101.3</v>
      </c>
      <c r="F61">
        <v>6758.848</v>
      </c>
      <c r="G61">
        <v>101.3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-7.1428571428572521E-2</v>
      </c>
      <c r="Q61">
        <f t="shared" ref="Q61" si="281">F61*P61</f>
        <v>-482.77485714286451</v>
      </c>
      <c r="R61">
        <f t="shared" ref="R61" si="282">R62+Q61</f>
        <v>-3075275.5784691586</v>
      </c>
      <c r="S61">
        <f t="shared" ref="S61" si="283">R61/100000</f>
        <v>-30.752755784691587</v>
      </c>
      <c r="T61">
        <f t="shared" ref="T61" si="284">S61/1000</f>
        <v>-3.0752755784691586E-2</v>
      </c>
    </row>
    <row r="62" spans="1:20" x14ac:dyDescent="0.25">
      <c r="A62" s="5">
        <v>44531</v>
      </c>
      <c r="B62">
        <v>104.2</v>
      </c>
      <c r="C62">
        <v>108.5</v>
      </c>
      <c r="D62">
        <v>103</v>
      </c>
      <c r="E62">
        <v>104.4</v>
      </c>
      <c r="F62">
        <v>8688.4930000000004</v>
      </c>
      <c r="G62">
        <v>104.4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-0.49090909090908885</v>
      </c>
      <c r="Q62">
        <f t="shared" ref="Q62" si="286">F62*P62</f>
        <v>-4265.2601999999824</v>
      </c>
      <c r="R62">
        <f t="shared" ref="R62" si="287">R63+Q62</f>
        <v>-3074792.8036120157</v>
      </c>
      <c r="S62">
        <f t="shared" ref="S62" si="288">R62/100000</f>
        <v>-30.747928036120157</v>
      </c>
      <c r="T62">
        <f t="shared" ref="T62" si="289">S62/1000</f>
        <v>-3.0747928036120156E-2</v>
      </c>
    </row>
    <row r="63" spans="1:20" x14ac:dyDescent="0.25">
      <c r="A63" s="5">
        <v>44530</v>
      </c>
      <c r="B63">
        <v>109.3</v>
      </c>
      <c r="C63">
        <v>109.4</v>
      </c>
      <c r="D63">
        <v>104.1</v>
      </c>
      <c r="E63">
        <v>104.3</v>
      </c>
      <c r="F63">
        <v>9091.0810000000001</v>
      </c>
      <c r="G63">
        <v>104.3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-0.92452830188679158</v>
      </c>
      <c r="Q63">
        <f t="shared" ref="Q63" si="291">F63*P63</f>
        <v>-8404.9616792452744</v>
      </c>
      <c r="R63">
        <f t="shared" ref="R63" si="292">R64+Q63</f>
        <v>-3070527.5434120158</v>
      </c>
      <c r="S63">
        <f t="shared" ref="S63" si="293">R63/100000</f>
        <v>-30.705275434120157</v>
      </c>
      <c r="T63">
        <f t="shared" ref="T63" si="294">S63/1000</f>
        <v>-3.0705275434120157E-2</v>
      </c>
    </row>
    <row r="64" spans="1:20" x14ac:dyDescent="0.25">
      <c r="A64" s="5">
        <v>44529</v>
      </c>
      <c r="B64">
        <v>103.4</v>
      </c>
      <c r="C64">
        <v>120</v>
      </c>
      <c r="D64">
        <v>101.5</v>
      </c>
      <c r="E64">
        <v>109.1</v>
      </c>
      <c r="F64">
        <v>49164.050999999999</v>
      </c>
      <c r="G64">
        <v>109.1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-0.178378378378379</v>
      </c>
      <c r="Q64">
        <f t="shared" ref="Q64" si="296">F64*P64</f>
        <v>-8769.8036918919224</v>
      </c>
      <c r="R64">
        <f t="shared" ref="R64" si="297">R65+Q64</f>
        <v>-3062122.5817327704</v>
      </c>
      <c r="S64">
        <f t="shared" ref="S64" si="298">R64/100000</f>
        <v>-30.621225817327705</v>
      </c>
      <c r="T64">
        <f t="shared" ref="T64" si="299">S64/1000</f>
        <v>-3.0621225817327704E-2</v>
      </c>
    </row>
    <row r="65" spans="1:20" x14ac:dyDescent="0.25">
      <c r="A65" s="5">
        <v>44528</v>
      </c>
      <c r="B65">
        <v>101.1</v>
      </c>
      <c r="C65">
        <v>103.8</v>
      </c>
      <c r="D65">
        <v>96.8</v>
      </c>
      <c r="E65">
        <v>103.2</v>
      </c>
      <c r="F65">
        <v>7141.57</v>
      </c>
      <c r="G65">
        <v>103.2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0.82857142857143018</v>
      </c>
      <c r="Q65">
        <f t="shared" ref="Q65" si="301">F65*P65</f>
        <v>5917.3008571428682</v>
      </c>
      <c r="R65">
        <f t="shared" ref="R65" si="302">R66+Q65</f>
        <v>-3053352.7780408785</v>
      </c>
      <c r="S65">
        <f t="shared" ref="S65" si="303">R65/100000</f>
        <v>-30.533527780408786</v>
      </c>
      <c r="T65">
        <f t="shared" ref="T65" si="304">S65/1000</f>
        <v>-3.0533527780408787E-2</v>
      </c>
    </row>
    <row r="66" spans="1:20" x14ac:dyDescent="0.25">
      <c r="A66" s="5">
        <v>44527</v>
      </c>
      <c r="B66">
        <v>100.6</v>
      </c>
      <c r="C66">
        <v>106</v>
      </c>
      <c r="D66">
        <v>100.2</v>
      </c>
      <c r="E66">
        <v>101.1</v>
      </c>
      <c r="F66">
        <v>8918.8979999999992</v>
      </c>
      <c r="G66">
        <v>101.1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-0.68965517241379592</v>
      </c>
      <c r="Q66">
        <f t="shared" ref="Q66" si="306">F66*P66</f>
        <v>-6150.9641379310588</v>
      </c>
      <c r="R66">
        <f t="shared" ref="R66" si="307">R67+Q66</f>
        <v>-3059270.0788980215</v>
      </c>
      <c r="S66">
        <f t="shared" ref="S66" si="308">R66/100000</f>
        <v>-30.592700788980213</v>
      </c>
      <c r="T66">
        <f t="shared" ref="T66" si="309">S66/1000</f>
        <v>-3.0592700788980215E-2</v>
      </c>
    </row>
    <row r="67" spans="1:20" x14ac:dyDescent="0.25">
      <c r="A67" s="5">
        <v>44526</v>
      </c>
      <c r="B67">
        <v>110.9</v>
      </c>
      <c r="C67">
        <v>112.7</v>
      </c>
      <c r="D67">
        <v>98.2</v>
      </c>
      <c r="E67">
        <v>100.4</v>
      </c>
      <c r="F67">
        <v>13225.725</v>
      </c>
      <c r="G67">
        <v>100.4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-0.69655172413793065</v>
      </c>
      <c r="Q67">
        <f t="shared" ref="Q67" si="311">F67*P67</f>
        <v>-9212.4015517241332</v>
      </c>
      <c r="R67">
        <f t="shared" ref="R67" si="312">R68+Q67</f>
        <v>-3053119.1147600906</v>
      </c>
      <c r="S67">
        <f t="shared" ref="S67" si="313">R67/100000</f>
        <v>-30.531191147600907</v>
      </c>
      <c r="T67">
        <f t="shared" ref="T67" si="314">S67/1000</f>
        <v>-3.0531191147600906E-2</v>
      </c>
    </row>
    <row r="68" spans="1:20" x14ac:dyDescent="0.25">
      <c r="A68" s="5">
        <v>44525</v>
      </c>
      <c r="B68">
        <v>104.8</v>
      </c>
      <c r="C68">
        <v>111</v>
      </c>
      <c r="D68">
        <v>104.4</v>
      </c>
      <c r="E68">
        <v>110.9</v>
      </c>
      <c r="F68">
        <v>7223.174</v>
      </c>
      <c r="G68">
        <v>110.9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0.96969696969697139</v>
      </c>
      <c r="Q68">
        <f t="shared" ref="Q68" si="316">F68*P68</f>
        <v>7004.2899393939515</v>
      </c>
      <c r="R68">
        <f t="shared" ref="R68" si="317">R69+Q68</f>
        <v>-3043906.7132083667</v>
      </c>
      <c r="S68">
        <f t="shared" ref="S68" si="318">R68/100000</f>
        <v>-30.439067132083668</v>
      </c>
      <c r="T68">
        <f t="shared" ref="T68" si="319">S68/1000</f>
        <v>-3.0439067132083667E-2</v>
      </c>
    </row>
    <row r="69" spans="1:20" x14ac:dyDescent="0.25">
      <c r="A69" s="5">
        <v>44524</v>
      </c>
      <c r="B69">
        <v>110.2</v>
      </c>
      <c r="C69">
        <v>110.3</v>
      </c>
      <c r="D69">
        <v>107.6</v>
      </c>
      <c r="E69">
        <v>107.8</v>
      </c>
      <c r="F69">
        <v>1183.319</v>
      </c>
      <c r="G69">
        <v>107.8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-0.85185185185184986</v>
      </c>
      <c r="Q69">
        <f t="shared" ref="Q69" si="321">F69*P69</f>
        <v>-1008.0124814814791</v>
      </c>
      <c r="R69">
        <f t="shared" ref="R69" si="322">R70+Q69</f>
        <v>-3050911.0031477604</v>
      </c>
      <c r="S69">
        <f t="shared" ref="S69" si="323">R69/100000</f>
        <v>-30.509110031477604</v>
      </c>
      <c r="T69">
        <f t="shared" ref="T69" si="324">S69/1000</f>
        <v>-3.0509110031477604E-2</v>
      </c>
    </row>
    <row r="70" spans="1:20" x14ac:dyDescent="0.25">
      <c r="A70" s="5">
        <v>44523</v>
      </c>
      <c r="B70">
        <v>108.6</v>
      </c>
      <c r="C70">
        <v>111.4</v>
      </c>
      <c r="D70">
        <v>107</v>
      </c>
      <c r="E70">
        <v>110</v>
      </c>
      <c r="F70">
        <v>4820.6670000000004</v>
      </c>
      <c r="G70">
        <v>110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0.36363636363636187</v>
      </c>
      <c r="Q70">
        <f t="shared" ref="Q70" si="326">F70*P70</f>
        <v>1752.9698181818098</v>
      </c>
      <c r="R70">
        <f t="shared" ref="R70" si="327">R71+Q70</f>
        <v>-3049902.9906662791</v>
      </c>
      <c r="S70">
        <f t="shared" ref="S70" si="328">R70/100000</f>
        <v>-30.499029906662791</v>
      </c>
      <c r="T70">
        <f t="shared" ref="T70" si="329">S70/1000</f>
        <v>-3.049902990666279E-2</v>
      </c>
    </row>
    <row r="71" spans="1:20" x14ac:dyDescent="0.25">
      <c r="A71" s="5">
        <v>44522</v>
      </c>
      <c r="B71">
        <v>114.6</v>
      </c>
      <c r="C71">
        <v>114.7</v>
      </c>
      <c r="D71">
        <v>108.3</v>
      </c>
      <c r="E71">
        <v>108.6</v>
      </c>
      <c r="F71">
        <v>6205.61</v>
      </c>
      <c r="G71">
        <v>108.6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-0.906250000000001</v>
      </c>
      <c r="Q71">
        <f t="shared" ref="Q71" si="331">F71*P71</f>
        <v>-5623.8340625000055</v>
      </c>
      <c r="R71">
        <f t="shared" ref="R71" si="332">R72+Q71</f>
        <v>-3051655.9604844609</v>
      </c>
      <c r="S71">
        <f t="shared" ref="S71" si="333">R71/100000</f>
        <v>-30.516559604844609</v>
      </c>
      <c r="T71">
        <f t="shared" ref="T71" si="334">S71/1000</f>
        <v>-3.0516559604844611E-2</v>
      </c>
    </row>
    <row r="72" spans="1:20" x14ac:dyDescent="0.25">
      <c r="A72" s="5">
        <v>44521</v>
      </c>
      <c r="B72">
        <v>116.2</v>
      </c>
      <c r="C72">
        <v>117.7</v>
      </c>
      <c r="D72">
        <v>114.3</v>
      </c>
      <c r="E72">
        <v>114.8</v>
      </c>
      <c r="F72">
        <v>7415.1580000000004</v>
      </c>
      <c r="G72">
        <v>114.8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-0.70588235294117696</v>
      </c>
      <c r="Q72">
        <f t="shared" ref="Q72" si="336">F72*P72</f>
        <v>-5234.2291764705924</v>
      </c>
      <c r="R72">
        <f t="shared" ref="R72" si="337">R73+Q72</f>
        <v>-3046032.126421961</v>
      </c>
      <c r="S72">
        <f t="shared" ref="S72" si="338">R72/100000</f>
        <v>-30.460321264219608</v>
      </c>
      <c r="T72">
        <f t="shared" ref="T72" si="339">S72/1000</f>
        <v>-3.046032126421961E-2</v>
      </c>
    </row>
    <row r="73" spans="1:20" x14ac:dyDescent="0.25">
      <c r="A73" s="5">
        <v>44520</v>
      </c>
      <c r="B73">
        <v>112.5</v>
      </c>
      <c r="C73">
        <v>130</v>
      </c>
      <c r="D73">
        <v>112.4</v>
      </c>
      <c r="E73">
        <v>116.2</v>
      </c>
      <c r="F73">
        <v>20791.600999999999</v>
      </c>
      <c r="G73">
        <v>116.2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-0.56818181818181834</v>
      </c>
      <c r="Q73">
        <f t="shared" ref="Q73" si="341">F73*P73</f>
        <v>-11813.409659090912</v>
      </c>
      <c r="R73">
        <f t="shared" ref="R73" si="342">R74+Q73</f>
        <v>-3040797.8972454905</v>
      </c>
      <c r="S73">
        <f t="shared" ref="S73" si="343">R73/100000</f>
        <v>-30.407978972454906</v>
      </c>
      <c r="T73">
        <f t="shared" ref="T73" si="344">S73/1000</f>
        <v>-3.0407978972454907E-2</v>
      </c>
    </row>
    <row r="74" spans="1:20" x14ac:dyDescent="0.25">
      <c r="A74" s="5">
        <v>44519</v>
      </c>
      <c r="B74">
        <v>105.5</v>
      </c>
      <c r="C74">
        <v>118.9</v>
      </c>
      <c r="D74">
        <v>103.2</v>
      </c>
      <c r="E74">
        <v>112.4</v>
      </c>
      <c r="F74">
        <v>18474.424999999999</v>
      </c>
      <c r="G74">
        <v>112.4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0.17197452229299379</v>
      </c>
      <c r="Q74">
        <f t="shared" ref="Q74" si="346">F74*P74</f>
        <v>3177.1304140127418</v>
      </c>
      <c r="R74">
        <f t="shared" ref="R74" si="347">R75+Q74</f>
        <v>-3028984.4875863995</v>
      </c>
      <c r="S74">
        <f t="shared" ref="S74" si="348">R74/100000</f>
        <v>-30.289844875863995</v>
      </c>
      <c r="T74">
        <f t="shared" ref="T74" si="349">S74/1000</f>
        <v>-3.0289844875863996E-2</v>
      </c>
    </row>
    <row r="75" spans="1:20" x14ac:dyDescent="0.25">
      <c r="A75" s="5">
        <v>44518</v>
      </c>
      <c r="B75">
        <v>114</v>
      </c>
      <c r="C75">
        <v>118.6</v>
      </c>
      <c r="D75">
        <v>104.6</v>
      </c>
      <c r="E75">
        <v>105.3</v>
      </c>
      <c r="F75">
        <v>10650.708000000001</v>
      </c>
      <c r="G75">
        <v>105.3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-0.89999999999999958</v>
      </c>
      <c r="Q75">
        <f t="shared" ref="Q75" si="351">F75*P75</f>
        <v>-9585.6371999999956</v>
      </c>
      <c r="R75">
        <f t="shared" ref="R75" si="352">R76+Q75</f>
        <v>-3032161.6180004124</v>
      </c>
      <c r="S75">
        <f t="shared" ref="S75" si="353">R75/100000</f>
        <v>-30.321616180004124</v>
      </c>
      <c r="T75">
        <f t="shared" ref="T75" si="354">S75/1000</f>
        <v>-3.0321616180004125E-2</v>
      </c>
    </row>
    <row r="76" spans="1:20" x14ac:dyDescent="0.25">
      <c r="A76" s="5">
        <v>44517</v>
      </c>
      <c r="B76">
        <v>116.4</v>
      </c>
      <c r="C76">
        <v>119.4</v>
      </c>
      <c r="D76">
        <v>111.5</v>
      </c>
      <c r="E76">
        <v>114</v>
      </c>
      <c r="F76">
        <v>9122.18</v>
      </c>
      <c r="G76">
        <v>114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-0.36708860759493717</v>
      </c>
      <c r="Q76">
        <f t="shared" ref="Q76" si="356">F76*P76</f>
        <v>-3348.6483544303842</v>
      </c>
      <c r="R76">
        <f t="shared" ref="R76" si="357">R77+Q76</f>
        <v>-3022575.9808004126</v>
      </c>
      <c r="S76">
        <f t="shared" ref="S76" si="358">R76/100000</f>
        <v>-30.225759808004128</v>
      </c>
      <c r="T76">
        <f t="shared" ref="T76" si="359">S76/1000</f>
        <v>-3.0225759808004127E-2</v>
      </c>
    </row>
    <row r="77" spans="1:20" x14ac:dyDescent="0.25">
      <c r="A77" s="5">
        <v>44516</v>
      </c>
      <c r="B77">
        <v>128.30000000000001</v>
      </c>
      <c r="C77">
        <v>128.30000000000001</v>
      </c>
      <c r="D77">
        <v>115.1</v>
      </c>
      <c r="E77">
        <v>116.5</v>
      </c>
      <c r="F77">
        <v>10122.444</v>
      </c>
      <c r="G77">
        <v>116.5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-0.78787878787878729</v>
      </c>
      <c r="Q77">
        <f t="shared" ref="Q77" si="361">F77*P77</f>
        <v>-7975.2589090909023</v>
      </c>
      <c r="R77">
        <f t="shared" ref="R77" si="362">R78+Q77</f>
        <v>-3019227.3324459824</v>
      </c>
      <c r="S77">
        <f t="shared" ref="S77" si="363">R77/100000</f>
        <v>-30.192273324459823</v>
      </c>
      <c r="T77">
        <f t="shared" ref="T77" si="364">S77/1000</f>
        <v>-3.0192273324459822E-2</v>
      </c>
    </row>
    <row r="78" spans="1:20" x14ac:dyDescent="0.25">
      <c r="A78" s="5">
        <v>44515</v>
      </c>
      <c r="B78">
        <v>129</v>
      </c>
      <c r="C78">
        <v>132</v>
      </c>
      <c r="D78">
        <v>126.4</v>
      </c>
      <c r="E78">
        <v>128.4</v>
      </c>
      <c r="F78">
        <v>8661.7950000000001</v>
      </c>
      <c r="G78">
        <v>128.4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-0.28571428571428498</v>
      </c>
      <c r="Q78">
        <f t="shared" ref="Q78" si="366">F78*P78</f>
        <v>-2474.7985714285651</v>
      </c>
      <c r="R78">
        <f t="shared" ref="R78" si="367">R79+Q78</f>
        <v>-3011252.0735368915</v>
      </c>
      <c r="S78">
        <f t="shared" ref="S78" si="368">R78/100000</f>
        <v>-30.112520735368914</v>
      </c>
      <c r="T78">
        <f t="shared" ref="T78" si="369">S78/1000</f>
        <v>-3.0112520735368915E-2</v>
      </c>
    </row>
    <row r="79" spans="1:20" x14ac:dyDescent="0.25">
      <c r="A79" s="5">
        <v>44514</v>
      </c>
      <c r="B79">
        <v>130.69999999999999</v>
      </c>
      <c r="C79">
        <v>131.30000000000001</v>
      </c>
      <c r="D79">
        <v>127.7</v>
      </c>
      <c r="E79">
        <v>129</v>
      </c>
      <c r="F79">
        <v>2721.9450000000002</v>
      </c>
      <c r="G79">
        <v>129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-0.27777777777778107</v>
      </c>
      <c r="Q79">
        <f t="shared" ref="Q79" si="371">F79*P79</f>
        <v>-756.09583333334228</v>
      </c>
      <c r="R79">
        <f t="shared" ref="R79" si="372">R80+Q79</f>
        <v>-3008777.2749654627</v>
      </c>
      <c r="S79">
        <f t="shared" ref="S79" si="373">R79/100000</f>
        <v>-30.087772749654626</v>
      </c>
      <c r="T79">
        <f t="shared" ref="T79" si="374">S79/1000</f>
        <v>-3.0087772749654625E-2</v>
      </c>
    </row>
    <row r="80" spans="1:20" x14ac:dyDescent="0.25">
      <c r="A80" s="5">
        <v>44513</v>
      </c>
      <c r="B80">
        <v>128.69999999999999</v>
      </c>
      <c r="C80">
        <v>132.4</v>
      </c>
      <c r="D80">
        <v>128.5</v>
      </c>
      <c r="E80">
        <v>130.9</v>
      </c>
      <c r="F80">
        <v>5400.7430000000004</v>
      </c>
      <c r="G80">
        <v>130.9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0.23076923076923189</v>
      </c>
      <c r="Q80">
        <f t="shared" ref="Q80" si="376">F80*P80</f>
        <v>1246.3253076923138</v>
      </c>
      <c r="R80">
        <f t="shared" ref="R80" si="377">R81+Q80</f>
        <v>-3008021.1791321295</v>
      </c>
      <c r="S80">
        <f t="shared" ref="S80" si="378">R80/100000</f>
        <v>-30.080211791321297</v>
      </c>
      <c r="T80">
        <f t="shared" ref="T80" si="379">S80/1000</f>
        <v>-3.0080211791321296E-2</v>
      </c>
    </row>
    <row r="81" spans="1:20" x14ac:dyDescent="0.25">
      <c r="A81" s="5">
        <v>44512</v>
      </c>
      <c r="B81">
        <v>130.9</v>
      </c>
      <c r="C81">
        <v>133.5</v>
      </c>
      <c r="D81">
        <v>125.3</v>
      </c>
      <c r="E81">
        <v>128.69999999999999</v>
      </c>
      <c r="F81">
        <v>12913.373</v>
      </c>
      <c r="G81">
        <v>128.69999999999999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-0.17073170731707554</v>
      </c>
      <c r="Q81">
        <f t="shared" ref="Q81" si="381">F81*P81</f>
        <v>-2204.7222195122258</v>
      </c>
      <c r="R81">
        <f t="shared" ref="R81" si="382">R82+Q81</f>
        <v>-3009267.5044398219</v>
      </c>
      <c r="S81">
        <f t="shared" ref="S81" si="383">R81/100000</f>
        <v>-30.09267504439822</v>
      </c>
      <c r="T81">
        <f t="shared" ref="T81" si="384">S81/1000</f>
        <v>-3.009267504439822E-2</v>
      </c>
    </row>
    <row r="82" spans="1:20" x14ac:dyDescent="0.25">
      <c r="A82" s="5">
        <v>44511</v>
      </c>
      <c r="B82">
        <v>130</v>
      </c>
      <c r="C82">
        <v>132.4</v>
      </c>
      <c r="D82">
        <v>128.19999999999999</v>
      </c>
      <c r="E82">
        <v>131</v>
      </c>
      <c r="F82">
        <v>7172.2709999999997</v>
      </c>
      <c r="G82">
        <v>131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0.33333333333333331</v>
      </c>
      <c r="Q82">
        <f t="shared" ref="Q82" si="386">F82*P82</f>
        <v>2390.7569999999996</v>
      </c>
      <c r="R82">
        <f t="shared" ref="R82" si="387">R83+Q82</f>
        <v>-3007062.7822203096</v>
      </c>
      <c r="S82">
        <f t="shared" ref="S82" si="388">R82/100000</f>
        <v>-30.070627822203097</v>
      </c>
      <c r="T82">
        <f t="shared" ref="T82" si="389">S82/1000</f>
        <v>-3.0070627822203096E-2</v>
      </c>
    </row>
    <row r="83" spans="1:20" x14ac:dyDescent="0.25">
      <c r="A83" s="5">
        <v>44510</v>
      </c>
      <c r="B83">
        <v>140.19999999999999</v>
      </c>
      <c r="C83">
        <v>141.19999999999999</v>
      </c>
      <c r="D83">
        <v>128.6</v>
      </c>
      <c r="E83">
        <v>130</v>
      </c>
      <c r="F83">
        <v>13719.525</v>
      </c>
      <c r="G83">
        <v>130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-0.77777777777777679</v>
      </c>
      <c r="Q83">
        <f t="shared" ref="Q83" si="391">F83*P83</f>
        <v>-10670.741666666652</v>
      </c>
      <c r="R83">
        <f t="shared" ref="R83" si="392">R84+Q83</f>
        <v>-3009453.5392203098</v>
      </c>
      <c r="S83">
        <f t="shared" ref="S83" si="393">R83/100000</f>
        <v>-30.094535392203099</v>
      </c>
      <c r="T83">
        <f t="shared" ref="T83" si="394">S83/1000</f>
        <v>-3.0094535392203099E-2</v>
      </c>
    </row>
    <row r="84" spans="1:20" x14ac:dyDescent="0.25">
      <c r="A84" s="5">
        <v>44509</v>
      </c>
      <c r="B84">
        <v>134.4</v>
      </c>
      <c r="C84">
        <v>148</v>
      </c>
      <c r="D84">
        <v>134</v>
      </c>
      <c r="E84">
        <v>140.19999999999999</v>
      </c>
      <c r="F84">
        <v>14682.19</v>
      </c>
      <c r="G84">
        <v>140.19999999999999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-0.11428571428571591</v>
      </c>
      <c r="Q84">
        <f t="shared" ref="Q84" si="396">F84*P84</f>
        <v>-1677.9645714285953</v>
      </c>
      <c r="R84">
        <f t="shared" ref="R84" si="397">R85+Q84</f>
        <v>-2998782.7975536431</v>
      </c>
      <c r="S84">
        <f t="shared" ref="S84" si="398">R84/100000</f>
        <v>-29.98782797553643</v>
      </c>
      <c r="T84">
        <f t="shared" ref="T84" si="399">S84/1000</f>
        <v>-2.9987827975536431E-2</v>
      </c>
    </row>
    <row r="85" spans="1:20" x14ac:dyDescent="0.25">
      <c r="A85" s="5">
        <v>44508</v>
      </c>
      <c r="B85">
        <v>133.4</v>
      </c>
      <c r="C85">
        <v>138.69999999999999</v>
      </c>
      <c r="D85">
        <v>132.69999999999999</v>
      </c>
      <c r="E85">
        <v>134.6</v>
      </c>
      <c r="F85">
        <v>8203.8349999999991</v>
      </c>
      <c r="G85">
        <v>134.6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-0.36666666666666475</v>
      </c>
      <c r="Q85">
        <f t="shared" ref="Q85" si="401">F85*P85</f>
        <v>-3008.0728333333172</v>
      </c>
      <c r="R85">
        <f t="shared" ref="R85" si="402">R86+Q85</f>
        <v>-2997104.8329822146</v>
      </c>
      <c r="S85">
        <f t="shared" ref="S85" si="403">R85/100000</f>
        <v>-29.971048329822146</v>
      </c>
      <c r="T85">
        <f t="shared" ref="T85" si="404">S85/1000</f>
        <v>-2.9971048329822145E-2</v>
      </c>
    </row>
    <row r="86" spans="1:20" x14ac:dyDescent="0.25">
      <c r="A86" s="5">
        <v>44507</v>
      </c>
      <c r="B86">
        <v>133.9</v>
      </c>
      <c r="C86">
        <v>134.80000000000001</v>
      </c>
      <c r="D86">
        <v>132.30000000000001</v>
      </c>
      <c r="E86">
        <v>133.1</v>
      </c>
      <c r="F86">
        <v>4998.2870000000003</v>
      </c>
      <c r="G86">
        <v>133.1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-0.36000000000001364</v>
      </c>
      <c r="Q86">
        <f t="shared" ref="Q86" si="406">F86*P86</f>
        <v>-1799.3833200000684</v>
      </c>
      <c r="R86">
        <f t="shared" ref="R86" si="407">R87+Q86</f>
        <v>-2994096.7601488815</v>
      </c>
      <c r="S86">
        <f t="shared" ref="S86" si="408">R86/100000</f>
        <v>-29.940967601488815</v>
      </c>
      <c r="T86">
        <f t="shared" ref="T86" si="409">S86/1000</f>
        <v>-2.9940967601488816E-2</v>
      </c>
    </row>
    <row r="87" spans="1:20" x14ac:dyDescent="0.25">
      <c r="A87" s="5">
        <v>44506</v>
      </c>
      <c r="B87">
        <v>134.9</v>
      </c>
      <c r="C87">
        <v>135.30000000000001</v>
      </c>
      <c r="D87">
        <v>131.69999999999999</v>
      </c>
      <c r="E87">
        <v>133.9</v>
      </c>
      <c r="F87">
        <v>4925.4009999999998</v>
      </c>
      <c r="G87">
        <v>133.9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0.22222222222222399</v>
      </c>
      <c r="Q87">
        <f t="shared" ref="Q87" si="411">F87*P87</f>
        <v>1094.5335555555641</v>
      </c>
      <c r="R87">
        <f t="shared" ref="R87" si="412">R88+Q87</f>
        <v>-2992297.3768288814</v>
      </c>
      <c r="S87">
        <f t="shared" ref="S87" si="413">R87/100000</f>
        <v>-29.922973768288813</v>
      </c>
      <c r="T87">
        <f t="shared" ref="T87" si="414">S87/1000</f>
        <v>-2.9922973768288813E-2</v>
      </c>
    </row>
    <row r="88" spans="1:20" x14ac:dyDescent="0.25">
      <c r="A88" s="5">
        <v>44505</v>
      </c>
      <c r="B88">
        <v>139.30000000000001</v>
      </c>
      <c r="C88">
        <v>140</v>
      </c>
      <c r="D88">
        <v>133.19999999999999</v>
      </c>
      <c r="E88">
        <v>135.30000000000001</v>
      </c>
      <c r="F88">
        <v>8349.4509999999991</v>
      </c>
      <c r="G88">
        <v>135.30000000000001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-0.38235294117646496</v>
      </c>
      <c r="Q88">
        <f t="shared" ref="Q88" si="416">F88*P88</f>
        <v>-3192.4371470587762</v>
      </c>
      <c r="R88">
        <f t="shared" ref="R88" si="417">R89+Q88</f>
        <v>-2993391.9103844371</v>
      </c>
      <c r="S88">
        <f t="shared" ref="S88" si="418">R88/100000</f>
        <v>-29.933919103844371</v>
      </c>
      <c r="T88">
        <f t="shared" ref="T88" si="419">S88/1000</f>
        <v>-2.993391910384437E-2</v>
      </c>
    </row>
    <row r="89" spans="1:20" x14ac:dyDescent="0.25">
      <c r="A89" s="5">
        <v>44504</v>
      </c>
      <c r="B89">
        <v>132.6</v>
      </c>
      <c r="C89">
        <v>142.69999999999999</v>
      </c>
      <c r="D89">
        <v>132.5</v>
      </c>
      <c r="E89">
        <v>139.19999999999999</v>
      </c>
      <c r="F89">
        <v>20381.222000000002</v>
      </c>
      <c r="G89">
        <v>139.19999999999999</v>
      </c>
      <c r="L89" t="s">
        <v>8</v>
      </c>
      <c r="M89" t="s">
        <v>7</v>
      </c>
      <c r="N89" t="s">
        <v>7</v>
      </c>
      <c r="P89">
        <f t="shared" ref="P89" si="420">IF(C89=D89,0,((E89-D89)-(C89-E89))/(C89-D89))</f>
        <v>0.31372549019607765</v>
      </c>
      <c r="Q89">
        <f t="shared" ref="Q89" si="421">F89*P89</f>
        <v>6394.1088627450827</v>
      </c>
      <c r="R89">
        <f t="shared" ref="R89" si="422">R90+Q89</f>
        <v>-2990199.4732373785</v>
      </c>
      <c r="S89">
        <f t="shared" ref="S89" si="423">R89/100000</f>
        <v>-29.901994732373787</v>
      </c>
      <c r="T89">
        <f t="shared" ref="T89" si="424">S89/1000</f>
        <v>-2.9901994732373788E-2</v>
      </c>
    </row>
    <row r="90" spans="1:20" x14ac:dyDescent="0.25">
      <c r="A90" s="5">
        <v>44503</v>
      </c>
      <c r="B90">
        <v>134.1</v>
      </c>
      <c r="C90">
        <v>136.5</v>
      </c>
      <c r="D90">
        <v>131.5</v>
      </c>
      <c r="E90">
        <v>132.6</v>
      </c>
      <c r="F90">
        <v>10419.343000000001</v>
      </c>
      <c r="G90">
        <v>132.6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-0.56000000000000227</v>
      </c>
      <c r="Q90">
        <f t="shared" ref="Q90" si="426">F90*P90</f>
        <v>-5834.8320800000238</v>
      </c>
      <c r="R90">
        <f t="shared" ref="R90" si="427">R91+Q90</f>
        <v>-2996593.5821001236</v>
      </c>
      <c r="S90">
        <f t="shared" ref="S90" si="428">R90/100000</f>
        <v>-29.965935821001235</v>
      </c>
      <c r="T90">
        <f t="shared" ref="T90" si="429">S90/1000</f>
        <v>-2.9965935821001235E-2</v>
      </c>
    </row>
    <row r="91" spans="1:20" x14ac:dyDescent="0.25">
      <c r="A91" s="5">
        <v>44502</v>
      </c>
      <c r="B91">
        <v>131.30000000000001</v>
      </c>
      <c r="C91">
        <v>141</v>
      </c>
      <c r="D91">
        <v>130.30000000000001</v>
      </c>
      <c r="E91">
        <v>134</v>
      </c>
      <c r="F91">
        <v>15427.785</v>
      </c>
      <c r="G91">
        <v>134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-0.30841121495327239</v>
      </c>
      <c r="Q91">
        <f t="shared" ref="Q91" si="431">F91*P91</f>
        <v>-4758.1019158878717</v>
      </c>
      <c r="R91">
        <f t="shared" ref="R91" si="432">R92+Q91</f>
        <v>-2990758.7500201236</v>
      </c>
      <c r="S91">
        <f t="shared" ref="S91" si="433">R91/100000</f>
        <v>-29.907587500201235</v>
      </c>
      <c r="T91">
        <f t="shared" ref="T91" si="434">S91/1000</f>
        <v>-2.9907587500201234E-2</v>
      </c>
    </row>
    <row r="92" spans="1:20" x14ac:dyDescent="0.25">
      <c r="A92" s="5">
        <v>44501</v>
      </c>
      <c r="B92">
        <v>131.30000000000001</v>
      </c>
      <c r="C92">
        <v>134.6</v>
      </c>
      <c r="D92">
        <v>130.19999999999999</v>
      </c>
      <c r="E92">
        <v>131.30000000000001</v>
      </c>
      <c r="F92">
        <v>6922.9250000000002</v>
      </c>
      <c r="G92">
        <v>131.30000000000001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-0.49999999999999029</v>
      </c>
      <c r="Q92">
        <f t="shared" ref="Q92" si="436">F92*P92</f>
        <v>-3461.4624999999328</v>
      </c>
      <c r="R92">
        <f t="shared" ref="R92" si="437">R93+Q92</f>
        <v>-2986000.6481042355</v>
      </c>
      <c r="S92">
        <f t="shared" ref="S92" si="438">R92/100000</f>
        <v>-29.860006481042355</v>
      </c>
      <c r="T92">
        <f t="shared" ref="T92" si="439">S92/1000</f>
        <v>-2.9860006481042353E-2</v>
      </c>
    </row>
    <row r="93" spans="1:20" x14ac:dyDescent="0.25">
      <c r="A93" s="5">
        <v>44500</v>
      </c>
      <c r="B93">
        <v>129.30000000000001</v>
      </c>
      <c r="C93">
        <v>133</v>
      </c>
      <c r="D93">
        <v>128.4</v>
      </c>
      <c r="E93">
        <v>131.19999999999999</v>
      </c>
      <c r="F93">
        <v>10655.285</v>
      </c>
      <c r="G93">
        <v>131.19999999999999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0.21739130434782017</v>
      </c>
      <c r="Q93">
        <f t="shared" ref="Q93" si="441">F93*P93</f>
        <v>2316.3663043477632</v>
      </c>
      <c r="R93">
        <f t="shared" ref="R93" si="442">R94+Q93</f>
        <v>-2982539.1856042356</v>
      </c>
      <c r="S93">
        <f t="shared" ref="S93" si="443">R93/100000</f>
        <v>-29.825391856042355</v>
      </c>
      <c r="T93">
        <f t="shared" ref="T93" si="444">S93/1000</f>
        <v>-2.9825391856042355E-2</v>
      </c>
    </row>
    <row r="94" spans="1:20" x14ac:dyDescent="0.25">
      <c r="A94" s="5">
        <v>44499</v>
      </c>
      <c r="B94">
        <v>134.80000000000001</v>
      </c>
      <c r="C94">
        <v>135.1</v>
      </c>
      <c r="D94">
        <v>128.30000000000001</v>
      </c>
      <c r="E94">
        <v>129.19999999999999</v>
      </c>
      <c r="F94">
        <v>10064.179</v>
      </c>
      <c r="G94">
        <v>129.19999999999999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-0.73529411764706487</v>
      </c>
      <c r="Q94">
        <f t="shared" ref="Q94" si="446">F94*P94</f>
        <v>-7400.13161764712</v>
      </c>
      <c r="R94">
        <f t="shared" ref="R94" si="447">R95+Q94</f>
        <v>-2984855.5519085834</v>
      </c>
      <c r="S94">
        <f t="shared" ref="S94" si="448">R94/100000</f>
        <v>-29.848555519085835</v>
      </c>
      <c r="T94">
        <f t="shared" ref="T94" si="449">S94/1000</f>
        <v>-2.9848555519085836E-2</v>
      </c>
    </row>
    <row r="95" spans="1:20" x14ac:dyDescent="0.25">
      <c r="A95" s="5">
        <v>44498</v>
      </c>
      <c r="B95">
        <v>131.19999999999999</v>
      </c>
      <c r="C95">
        <v>138</v>
      </c>
      <c r="D95">
        <v>130.6</v>
      </c>
      <c r="E95">
        <v>134.6</v>
      </c>
      <c r="F95">
        <v>9453.4030000000002</v>
      </c>
      <c r="G95">
        <v>134.6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8.1081081081080253E-2</v>
      </c>
      <c r="Q95">
        <f t="shared" ref="Q95" si="451">F95*P95</f>
        <v>766.49213513512734</v>
      </c>
      <c r="R95">
        <f t="shared" ref="R95" si="452">R96+Q95</f>
        <v>-2977455.4202909363</v>
      </c>
      <c r="S95">
        <f t="shared" ref="S95" si="453">R95/100000</f>
        <v>-29.774554202909364</v>
      </c>
      <c r="T95">
        <f t="shared" ref="T95" si="454">S95/1000</f>
        <v>-2.9774554202909365E-2</v>
      </c>
    </row>
    <row r="96" spans="1:20" x14ac:dyDescent="0.25">
      <c r="A96" s="5">
        <v>44497</v>
      </c>
      <c r="B96">
        <v>128.80000000000001</v>
      </c>
      <c r="C96">
        <v>134</v>
      </c>
      <c r="D96">
        <v>127</v>
      </c>
      <c r="E96">
        <v>131.19999999999999</v>
      </c>
      <c r="F96">
        <v>10266.778</v>
      </c>
      <c r="G96">
        <v>131.19999999999999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0.19999999999999676</v>
      </c>
      <c r="Q96">
        <f t="shared" ref="Q96" si="456">F96*P96</f>
        <v>2053.3555999999667</v>
      </c>
      <c r="R96">
        <f t="shared" ref="R96" si="457">R97+Q96</f>
        <v>-2978221.9124260712</v>
      </c>
      <c r="S96">
        <f t="shared" ref="S96" si="458">R96/100000</f>
        <v>-29.782219124260713</v>
      </c>
      <c r="T96">
        <f t="shared" ref="T96" si="459">S96/1000</f>
        <v>-2.9782219124260715E-2</v>
      </c>
    </row>
    <row r="97" spans="1:20" x14ac:dyDescent="0.25">
      <c r="A97" s="5">
        <v>44496</v>
      </c>
      <c r="B97">
        <v>137.5</v>
      </c>
      <c r="C97">
        <v>143</v>
      </c>
      <c r="D97">
        <v>128.80000000000001</v>
      </c>
      <c r="E97">
        <v>128.9</v>
      </c>
      <c r="F97">
        <v>19262.878000000001</v>
      </c>
      <c r="G97">
        <v>128.9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-0.98591549295774727</v>
      </c>
      <c r="Q97">
        <f t="shared" ref="Q97" si="461">F97*P97</f>
        <v>-18991.569859154944</v>
      </c>
      <c r="R97">
        <f t="shared" ref="R97" si="462">R98+Q97</f>
        <v>-2980275.2680260711</v>
      </c>
      <c r="S97">
        <f t="shared" ref="S97" si="463">R97/100000</f>
        <v>-29.80275268026071</v>
      </c>
      <c r="T97">
        <f t="shared" ref="T97" si="464">S97/1000</f>
        <v>-2.9802752680260711E-2</v>
      </c>
    </row>
    <row r="98" spans="1:20" x14ac:dyDescent="0.25">
      <c r="A98" s="5">
        <v>44495</v>
      </c>
      <c r="B98">
        <v>141.6</v>
      </c>
      <c r="C98">
        <v>144</v>
      </c>
      <c r="D98">
        <v>136.9</v>
      </c>
      <c r="E98">
        <v>137.5</v>
      </c>
      <c r="F98">
        <v>9361.1270000000004</v>
      </c>
      <c r="G98">
        <v>137.5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-0.83098591549295919</v>
      </c>
      <c r="Q98">
        <f t="shared" ref="Q98" si="466">F98*P98</f>
        <v>-7778.9646901408587</v>
      </c>
      <c r="R98">
        <f t="shared" ref="R98" si="467">R99+Q98</f>
        <v>-2961283.6981669161</v>
      </c>
      <c r="S98">
        <f t="shared" ref="S98" si="468">R98/100000</f>
        <v>-29.612836981669162</v>
      </c>
      <c r="T98">
        <f t="shared" ref="T98" si="469">S98/1000</f>
        <v>-2.9612836981669163E-2</v>
      </c>
    </row>
    <row r="99" spans="1:20" x14ac:dyDescent="0.25">
      <c r="A99" s="5">
        <v>44494</v>
      </c>
      <c r="B99">
        <v>135.69999999999999</v>
      </c>
      <c r="C99">
        <v>143.4</v>
      </c>
      <c r="D99">
        <v>135.4</v>
      </c>
      <c r="E99">
        <v>141.6</v>
      </c>
      <c r="F99">
        <v>12481.456</v>
      </c>
      <c r="G99">
        <v>141.6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0.54999999999999716</v>
      </c>
      <c r="Q99">
        <f t="shared" ref="Q99" si="471">F99*P99</f>
        <v>6864.8007999999645</v>
      </c>
      <c r="R99">
        <f t="shared" ref="R99" si="472">R100+Q99</f>
        <v>-2953504.7334767752</v>
      </c>
      <c r="S99">
        <f t="shared" ref="S99" si="473">R99/100000</f>
        <v>-29.535047334767754</v>
      </c>
      <c r="T99">
        <f t="shared" ref="T99" si="474">S99/1000</f>
        <v>-2.9535047334767753E-2</v>
      </c>
    </row>
    <row r="100" spans="1:20" x14ac:dyDescent="0.25">
      <c r="A100" s="5">
        <v>44493</v>
      </c>
      <c r="B100">
        <v>140.69999999999999</v>
      </c>
      <c r="C100">
        <v>141.1</v>
      </c>
      <c r="D100">
        <v>134</v>
      </c>
      <c r="E100">
        <v>135.69999999999999</v>
      </c>
      <c r="F100">
        <v>8115.1090000000004</v>
      </c>
      <c r="G100">
        <v>135.69999999999999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-0.52112676056338314</v>
      </c>
      <c r="Q100">
        <f t="shared" ref="Q100" si="476">F100*P100</f>
        <v>-4229.0004647887554</v>
      </c>
      <c r="R100">
        <f t="shared" ref="R100" si="477">R101+Q100</f>
        <v>-2960369.5342767751</v>
      </c>
      <c r="S100">
        <f t="shared" ref="S100" si="478">R100/100000</f>
        <v>-29.60369534276775</v>
      </c>
      <c r="T100">
        <f t="shared" ref="T100" si="479">S100/1000</f>
        <v>-2.9603695342767751E-2</v>
      </c>
    </row>
    <row r="101" spans="1:20" x14ac:dyDescent="0.25">
      <c r="A101" s="5">
        <v>44492</v>
      </c>
      <c r="B101">
        <v>139.1</v>
      </c>
      <c r="C101">
        <v>140.6</v>
      </c>
      <c r="D101">
        <v>135.5</v>
      </c>
      <c r="E101">
        <v>140.5</v>
      </c>
      <c r="F101">
        <v>7438.9480000000003</v>
      </c>
      <c r="G101">
        <v>140.5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0.96078431372549233</v>
      </c>
      <c r="Q101">
        <f t="shared" ref="Q101" si="481">F101*P101</f>
        <v>7147.2245490196237</v>
      </c>
      <c r="R101">
        <f t="shared" ref="R101" si="482">R102+Q101</f>
        <v>-2956140.5338119864</v>
      </c>
      <c r="S101">
        <f t="shared" ref="S101" si="483">R101/100000</f>
        <v>-29.561405338119865</v>
      </c>
      <c r="T101">
        <f t="shared" ref="T101" si="484">S101/1000</f>
        <v>-2.9561405338119864E-2</v>
      </c>
    </row>
    <row r="102" spans="1:20" x14ac:dyDescent="0.25">
      <c r="A102" s="5">
        <v>44491</v>
      </c>
      <c r="B102">
        <v>139.9</v>
      </c>
      <c r="C102">
        <v>143.9</v>
      </c>
      <c r="D102">
        <v>138</v>
      </c>
      <c r="E102">
        <v>139.30000000000001</v>
      </c>
      <c r="F102">
        <v>11253.128000000001</v>
      </c>
      <c r="G102">
        <v>139.30000000000001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-0.55932203389830171</v>
      </c>
      <c r="Q102">
        <f t="shared" ref="Q102" si="486">F102*P102</f>
        <v>-6294.1224406779284</v>
      </c>
      <c r="R102">
        <f t="shared" ref="R102" si="487">R103+Q102</f>
        <v>-2963287.7583610062</v>
      </c>
      <c r="S102">
        <f t="shared" ref="S102" si="488">R102/100000</f>
        <v>-29.63287758361006</v>
      </c>
      <c r="T102">
        <f t="shared" ref="T102" si="489">S102/1000</f>
        <v>-2.9632877583610061E-2</v>
      </c>
    </row>
    <row r="103" spans="1:20" x14ac:dyDescent="0.25">
      <c r="A103" s="5">
        <v>44490</v>
      </c>
      <c r="B103">
        <v>143.30000000000001</v>
      </c>
      <c r="C103">
        <v>151</v>
      </c>
      <c r="D103">
        <v>139.80000000000001</v>
      </c>
      <c r="E103">
        <v>139.9</v>
      </c>
      <c r="F103">
        <v>25902.491999999998</v>
      </c>
      <c r="G103">
        <v>139.9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-0.98214285714285809</v>
      </c>
      <c r="Q103">
        <f t="shared" ref="Q103" si="491">F103*P103</f>
        <v>-25439.947500000024</v>
      </c>
      <c r="R103">
        <f t="shared" ref="R103" si="492">R104+Q103</f>
        <v>-2956993.6359203281</v>
      </c>
      <c r="S103">
        <f t="shared" ref="S103" si="493">R103/100000</f>
        <v>-29.569936359203282</v>
      </c>
      <c r="T103">
        <f t="shared" ref="T103" si="494">S103/1000</f>
        <v>-2.9569936359203283E-2</v>
      </c>
    </row>
    <row r="104" spans="1:20" x14ac:dyDescent="0.25">
      <c r="A104" s="5">
        <v>44489</v>
      </c>
      <c r="B104">
        <v>139.1</v>
      </c>
      <c r="C104">
        <v>158</v>
      </c>
      <c r="D104">
        <v>136.1</v>
      </c>
      <c r="E104">
        <v>143.30000000000001</v>
      </c>
      <c r="F104">
        <v>54247.275999999998</v>
      </c>
      <c r="G104">
        <v>143.30000000000001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-0.34246575342465613</v>
      </c>
      <c r="Q104">
        <f t="shared" ref="Q104" si="496">F104*P104</f>
        <v>-18577.834246575265</v>
      </c>
      <c r="R104">
        <f t="shared" ref="R104" si="497">R105+Q104</f>
        <v>-2931553.6884203278</v>
      </c>
      <c r="S104">
        <f t="shared" ref="S104" si="498">R104/100000</f>
        <v>-29.315536884203279</v>
      </c>
      <c r="T104">
        <f t="shared" ref="T104" si="499">S104/1000</f>
        <v>-2.931553688420328E-2</v>
      </c>
    </row>
    <row r="105" spans="1:20" x14ac:dyDescent="0.25">
      <c r="A105" s="5">
        <v>44488</v>
      </c>
      <c r="B105">
        <v>134.5</v>
      </c>
      <c r="C105">
        <v>155</v>
      </c>
      <c r="D105">
        <v>132.6</v>
      </c>
      <c r="E105">
        <v>139.1</v>
      </c>
      <c r="F105">
        <v>66825.433999999994</v>
      </c>
      <c r="G105">
        <v>139.1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-0.41964285714285732</v>
      </c>
      <c r="Q105">
        <f t="shared" ref="Q105" si="501">F105*P105</f>
        <v>-28042.816053571438</v>
      </c>
      <c r="R105">
        <f t="shared" ref="R105" si="502">R106+Q105</f>
        <v>-2912975.8541737525</v>
      </c>
      <c r="S105">
        <f t="shared" ref="S105" si="503">R105/100000</f>
        <v>-29.129758541737523</v>
      </c>
      <c r="T105">
        <f t="shared" ref="T105" si="504">S105/1000</f>
        <v>-2.9129758541737522E-2</v>
      </c>
    </row>
    <row r="106" spans="1:20" x14ac:dyDescent="0.25">
      <c r="A106" s="5">
        <v>44487</v>
      </c>
      <c r="B106">
        <v>132.9</v>
      </c>
      <c r="C106">
        <v>168.4</v>
      </c>
      <c r="D106">
        <v>131.30000000000001</v>
      </c>
      <c r="E106">
        <v>134.30000000000001</v>
      </c>
      <c r="F106">
        <v>128905.49400000001</v>
      </c>
      <c r="G106">
        <v>134.30000000000001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-0.83827493261455521</v>
      </c>
      <c r="Q106">
        <f t="shared" ref="Q106" si="506">F106*P106</f>
        <v>-108058.24429649596</v>
      </c>
      <c r="R106">
        <f t="shared" ref="R106" si="507">R107+Q106</f>
        <v>-2884933.0381201808</v>
      </c>
      <c r="S106">
        <f t="shared" ref="S106" si="508">R106/100000</f>
        <v>-28.84933038120181</v>
      </c>
      <c r="T106">
        <f t="shared" ref="T106" si="509">S106/1000</f>
        <v>-2.8849330381201809E-2</v>
      </c>
    </row>
    <row r="107" spans="1:20" x14ac:dyDescent="0.25">
      <c r="A107" s="5">
        <v>44486</v>
      </c>
      <c r="B107">
        <v>132.1</v>
      </c>
      <c r="C107">
        <v>135</v>
      </c>
      <c r="D107">
        <v>129.4</v>
      </c>
      <c r="E107">
        <v>132.80000000000001</v>
      </c>
      <c r="F107">
        <v>9967.7999999999993</v>
      </c>
      <c r="G107">
        <v>132.80000000000001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0.21428571428571755</v>
      </c>
      <c r="Q107">
        <f t="shared" ref="Q107" si="511">F107*P107</f>
        <v>2135.9571428571753</v>
      </c>
      <c r="R107">
        <f t="shared" ref="R107" si="512">R108+Q107</f>
        <v>-2776874.793823685</v>
      </c>
      <c r="S107">
        <f t="shared" ref="S107" si="513">R107/100000</f>
        <v>-27.768747938236849</v>
      </c>
      <c r="T107">
        <f t="shared" ref="T107" si="514">S107/1000</f>
        <v>-2.7768747938236849E-2</v>
      </c>
    </row>
    <row r="108" spans="1:20" x14ac:dyDescent="0.25">
      <c r="A108" s="5">
        <v>44485</v>
      </c>
      <c r="B108">
        <v>134.19999999999999</v>
      </c>
      <c r="C108">
        <v>136.19999999999999</v>
      </c>
      <c r="D108">
        <v>131.9</v>
      </c>
      <c r="E108">
        <v>132.1</v>
      </c>
      <c r="F108">
        <v>10536.323</v>
      </c>
      <c r="G108">
        <v>132.1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-0.90697674418605145</v>
      </c>
      <c r="Q108">
        <f t="shared" ref="Q108" si="516">F108*P108</f>
        <v>-9556.1999302326112</v>
      </c>
      <c r="R108">
        <f t="shared" ref="R108" si="517">R109+Q108</f>
        <v>-2779010.7509665424</v>
      </c>
      <c r="S108">
        <f t="shared" ref="S108" si="518">R108/100000</f>
        <v>-27.790107509665425</v>
      </c>
      <c r="T108">
        <f t="shared" ref="T108" si="519">S108/1000</f>
        <v>-2.7790107509665426E-2</v>
      </c>
    </row>
    <row r="109" spans="1:20" x14ac:dyDescent="0.25">
      <c r="A109" s="5">
        <v>44484</v>
      </c>
      <c r="B109">
        <v>142.1</v>
      </c>
      <c r="C109">
        <v>142.30000000000001</v>
      </c>
      <c r="D109">
        <v>130.80000000000001</v>
      </c>
      <c r="E109">
        <v>134.19999999999999</v>
      </c>
      <c r="F109">
        <v>31676.95</v>
      </c>
      <c r="G109">
        <v>134.19999999999999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-0.40869565217391701</v>
      </c>
      <c r="Q109">
        <f t="shared" ref="Q109" si="521">F109*P109</f>
        <v>-12946.231739130561</v>
      </c>
      <c r="R109">
        <f t="shared" ref="R109" si="522">R110+Q109</f>
        <v>-2769454.5510363099</v>
      </c>
      <c r="S109">
        <f t="shared" ref="S109" si="523">R109/100000</f>
        <v>-27.694545510363099</v>
      </c>
      <c r="T109">
        <f t="shared" ref="T109" si="524">S109/1000</f>
        <v>-2.76945455103631E-2</v>
      </c>
    </row>
    <row r="110" spans="1:20" x14ac:dyDescent="0.25">
      <c r="A110" s="5">
        <v>44483</v>
      </c>
      <c r="B110">
        <v>130.69999999999999</v>
      </c>
      <c r="C110">
        <v>178.7</v>
      </c>
      <c r="D110">
        <v>130.19999999999999</v>
      </c>
      <c r="E110">
        <v>141.69999999999999</v>
      </c>
      <c r="F110">
        <v>164786.236</v>
      </c>
      <c r="G110">
        <v>141.69999999999999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-0.52577319587628868</v>
      </c>
      <c r="Q110">
        <f t="shared" ref="Q110" si="526">F110*P110</f>
        <v>-86640.185938144336</v>
      </c>
      <c r="R110">
        <f t="shared" ref="R110" si="527">R111+Q110</f>
        <v>-2756508.3192971796</v>
      </c>
      <c r="S110">
        <f t="shared" ref="S110" si="528">R110/100000</f>
        <v>-27.565083192971795</v>
      </c>
      <c r="T110">
        <f t="shared" ref="T110" si="529">S110/1000</f>
        <v>-2.7565083192971795E-2</v>
      </c>
    </row>
    <row r="111" spans="1:20" x14ac:dyDescent="0.25">
      <c r="A111" s="5">
        <v>44482</v>
      </c>
      <c r="B111">
        <v>129.6</v>
      </c>
      <c r="C111">
        <v>132.80000000000001</v>
      </c>
      <c r="D111">
        <v>127.2</v>
      </c>
      <c r="E111">
        <v>130.80000000000001</v>
      </c>
      <c r="F111">
        <v>7684.576</v>
      </c>
      <c r="G111">
        <v>130.80000000000001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0.28571428571428681</v>
      </c>
      <c r="Q111">
        <f t="shared" ref="Q111" si="531">F111*P111</f>
        <v>2195.5931428571512</v>
      </c>
      <c r="R111">
        <f t="shared" ref="R111" si="532">R112+Q111</f>
        <v>-2669868.1333590355</v>
      </c>
      <c r="S111">
        <f t="shared" ref="S111" si="533">R111/100000</f>
        <v>-26.698681333590354</v>
      </c>
      <c r="T111">
        <f t="shared" ref="T111" si="534">S111/1000</f>
        <v>-2.6698681333590355E-2</v>
      </c>
    </row>
    <row r="112" spans="1:20" x14ac:dyDescent="0.25">
      <c r="A112" s="5">
        <v>44481</v>
      </c>
      <c r="B112">
        <v>128.4</v>
      </c>
      <c r="C112">
        <v>132.69999999999999</v>
      </c>
      <c r="D112">
        <v>125.2</v>
      </c>
      <c r="E112">
        <v>129.5</v>
      </c>
      <c r="F112">
        <v>10583.759</v>
      </c>
      <c r="G112">
        <v>129.5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0.14666666666666808</v>
      </c>
      <c r="Q112">
        <f t="shared" ref="Q112" si="536">F112*P112</f>
        <v>1552.2846533333484</v>
      </c>
      <c r="R112">
        <f t="shared" ref="R112" si="537">R113+Q112</f>
        <v>-2672063.7265018928</v>
      </c>
      <c r="S112">
        <f t="shared" ref="S112" si="538">R112/100000</f>
        <v>-26.720637265018929</v>
      </c>
      <c r="T112">
        <f t="shared" ref="T112" si="539">S112/1000</f>
        <v>-2.6720637265018929E-2</v>
      </c>
    </row>
    <row r="113" spans="1:20" x14ac:dyDescent="0.25">
      <c r="A113" s="5">
        <v>44480</v>
      </c>
      <c r="B113">
        <v>130.30000000000001</v>
      </c>
      <c r="C113">
        <v>134.9</v>
      </c>
      <c r="D113">
        <v>127.2</v>
      </c>
      <c r="E113">
        <v>128.4</v>
      </c>
      <c r="F113">
        <v>10381.038</v>
      </c>
      <c r="G113">
        <v>128.4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-0.68831168831168765</v>
      </c>
      <c r="Q113">
        <f t="shared" ref="Q113" si="541">F113*P113</f>
        <v>-7145.3897922077858</v>
      </c>
      <c r="R113">
        <f t="shared" ref="R113" si="542">R114+Q113</f>
        <v>-2673616.0111552263</v>
      </c>
      <c r="S113">
        <f t="shared" ref="S113" si="543">R113/100000</f>
        <v>-26.736160111552262</v>
      </c>
      <c r="T113">
        <f t="shared" ref="T113" si="544">S113/1000</f>
        <v>-2.6736160111552262E-2</v>
      </c>
    </row>
    <row r="114" spans="1:20" x14ac:dyDescent="0.25">
      <c r="A114" s="5">
        <v>44479</v>
      </c>
      <c r="B114">
        <v>135.6</v>
      </c>
      <c r="C114">
        <v>136.30000000000001</v>
      </c>
      <c r="D114">
        <v>130.30000000000001</v>
      </c>
      <c r="E114">
        <v>130.4</v>
      </c>
      <c r="F114">
        <v>9605.3649999999998</v>
      </c>
      <c r="G114">
        <v>130.4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-0.96666666666666856</v>
      </c>
      <c r="Q114">
        <f t="shared" ref="Q114" si="546">F114*P114</f>
        <v>-9285.1861666666846</v>
      </c>
      <c r="R114">
        <f t="shared" ref="R114" si="547">R115+Q114</f>
        <v>-2666470.6213630186</v>
      </c>
      <c r="S114">
        <f t="shared" ref="S114" si="548">R114/100000</f>
        <v>-26.664706213630186</v>
      </c>
      <c r="T114">
        <f t="shared" ref="T114" si="549">S114/1000</f>
        <v>-2.6664706213630186E-2</v>
      </c>
    </row>
    <row r="115" spans="1:20" x14ac:dyDescent="0.25">
      <c r="A115" s="5">
        <v>44478</v>
      </c>
      <c r="B115">
        <v>131.6</v>
      </c>
      <c r="C115">
        <v>142.9</v>
      </c>
      <c r="D115">
        <v>130.69999999999999</v>
      </c>
      <c r="E115">
        <v>136</v>
      </c>
      <c r="F115">
        <v>27201.851999999999</v>
      </c>
      <c r="G115">
        <v>136</v>
      </c>
      <c r="L115" t="s">
        <v>8</v>
      </c>
      <c r="M115" t="s">
        <v>7</v>
      </c>
      <c r="N115" t="s">
        <v>7</v>
      </c>
      <c r="P115">
        <f t="shared" ref="P115" si="550">IF(C115=D115,0,((E115-D115)-(C115-E115))/(C115-D115))</f>
        <v>-0.1311475409836059</v>
      </c>
      <c r="Q115">
        <f t="shared" ref="Q115" si="551">F115*P115</f>
        <v>-3567.4559999999819</v>
      </c>
      <c r="R115">
        <f t="shared" ref="R115" si="552">R116+Q115</f>
        <v>-2657185.4351963517</v>
      </c>
      <c r="S115">
        <f t="shared" ref="S115" si="553">R115/100000</f>
        <v>-26.571854351963516</v>
      </c>
      <c r="T115">
        <f t="shared" ref="T115" si="554">S115/1000</f>
        <v>-2.6571854351963516E-2</v>
      </c>
    </row>
    <row r="116" spans="1:20" x14ac:dyDescent="0.25">
      <c r="A116" s="5">
        <v>44477</v>
      </c>
      <c r="B116">
        <v>130.9</v>
      </c>
      <c r="C116">
        <v>133.5</v>
      </c>
      <c r="D116">
        <v>129.80000000000001</v>
      </c>
      <c r="E116">
        <v>131.4</v>
      </c>
      <c r="F116">
        <v>10158.315000000001</v>
      </c>
      <c r="G116">
        <v>131.4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-0.13513513513513556</v>
      </c>
      <c r="Q116">
        <f t="shared" ref="Q116" si="556">F116*P116</f>
        <v>-1372.7452702702747</v>
      </c>
      <c r="R116">
        <f t="shared" ref="R116" si="557">R117+Q116</f>
        <v>-2653617.979196352</v>
      </c>
      <c r="S116">
        <f t="shared" ref="S116" si="558">R116/100000</f>
        <v>-26.536179791963519</v>
      </c>
      <c r="T116">
        <f t="shared" ref="T116" si="559">S116/1000</f>
        <v>-2.6536179791963519E-2</v>
      </c>
    </row>
    <row r="117" spans="1:20" x14ac:dyDescent="0.25">
      <c r="A117" s="5">
        <v>44476</v>
      </c>
      <c r="B117">
        <v>132</v>
      </c>
      <c r="C117">
        <v>135.5</v>
      </c>
      <c r="D117">
        <v>128.1</v>
      </c>
      <c r="E117">
        <v>130.9</v>
      </c>
      <c r="F117">
        <v>15174.324000000001</v>
      </c>
      <c r="G117">
        <v>130.9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-0.24324324324324076</v>
      </c>
      <c r="Q117">
        <f t="shared" ref="Q117" si="561">F117*P117</f>
        <v>-3691.051783783746</v>
      </c>
      <c r="R117">
        <f t="shared" ref="R117" si="562">R118+Q117</f>
        <v>-2652245.2339260816</v>
      </c>
      <c r="S117">
        <f t="shared" ref="S117" si="563">R117/100000</f>
        <v>-26.522452339260816</v>
      </c>
      <c r="T117">
        <f t="shared" ref="T117" si="564">S117/1000</f>
        <v>-2.6522452339260816E-2</v>
      </c>
    </row>
    <row r="118" spans="1:20" x14ac:dyDescent="0.25">
      <c r="A118" s="5">
        <v>44475</v>
      </c>
      <c r="B118">
        <v>136.5</v>
      </c>
      <c r="C118">
        <v>147.1</v>
      </c>
      <c r="D118">
        <v>127.3</v>
      </c>
      <c r="E118">
        <v>132</v>
      </c>
      <c r="F118">
        <v>45629.156000000003</v>
      </c>
      <c r="G118">
        <v>132</v>
      </c>
      <c r="L118" t="s">
        <v>8</v>
      </c>
      <c r="M118" t="s">
        <v>7</v>
      </c>
      <c r="N118" t="s">
        <v>7</v>
      </c>
      <c r="P118">
        <f t="shared" ref="P118" si="565">IF(C118=D118,0,((E118-D118)-(C118-E118))/(C118-D118))</f>
        <v>-0.52525252525252486</v>
      </c>
      <c r="Q118">
        <f t="shared" ref="Q118" si="566">F118*P118</f>
        <v>-23966.829414141397</v>
      </c>
      <c r="R118">
        <f t="shared" ref="R118" si="567">R119+Q118</f>
        <v>-2648554.1821422977</v>
      </c>
      <c r="S118">
        <f t="shared" ref="S118" si="568">R118/100000</f>
        <v>-26.485541821422977</v>
      </c>
      <c r="T118">
        <f t="shared" ref="T118" si="569">S118/1000</f>
        <v>-2.6485541821422976E-2</v>
      </c>
    </row>
    <row r="119" spans="1:20" x14ac:dyDescent="0.25">
      <c r="A119" s="5">
        <v>44474</v>
      </c>
      <c r="B119">
        <v>136.19999999999999</v>
      </c>
      <c r="C119">
        <v>143.19999999999999</v>
      </c>
      <c r="D119">
        <v>134</v>
      </c>
      <c r="E119">
        <v>136.69999999999999</v>
      </c>
      <c r="F119">
        <v>19304.535</v>
      </c>
      <c r="G119">
        <v>136.69999999999999</v>
      </c>
      <c r="L119" t="s">
        <v>8</v>
      </c>
      <c r="M119" t="s">
        <v>7</v>
      </c>
      <c r="N119" t="s">
        <v>8</v>
      </c>
      <c r="P119">
        <f t="shared" ref="P119" si="570">IF(C119=D119,0,((E119-D119)-(C119-E119))/(C119-D119))</f>
        <v>-0.41304347826087129</v>
      </c>
      <c r="Q119">
        <f t="shared" ref="Q119" si="571">F119*P119</f>
        <v>-7973.6122826087285</v>
      </c>
      <c r="R119">
        <f t="shared" ref="R119" si="572">R120+Q119</f>
        <v>-2624587.3527281564</v>
      </c>
      <c r="S119">
        <f t="shared" ref="S119" si="573">R119/100000</f>
        <v>-26.245873527281564</v>
      </c>
      <c r="T119">
        <f t="shared" ref="T119" si="574">S119/1000</f>
        <v>-2.6245873527281565E-2</v>
      </c>
    </row>
    <row r="120" spans="1:20" x14ac:dyDescent="0.25">
      <c r="A120" s="5">
        <v>44473</v>
      </c>
      <c r="B120">
        <v>139.69999999999999</v>
      </c>
      <c r="C120">
        <v>145</v>
      </c>
      <c r="D120">
        <v>130</v>
      </c>
      <c r="E120">
        <v>137.5</v>
      </c>
      <c r="F120">
        <v>24674.065999999999</v>
      </c>
      <c r="G120">
        <v>137.5</v>
      </c>
      <c r="L120" t="s">
        <v>7</v>
      </c>
      <c r="M120" t="s">
        <v>7</v>
      </c>
      <c r="N120" t="s">
        <v>8</v>
      </c>
      <c r="P120">
        <f t="shared" ref="P120" si="575">IF(C120=D120,0,((E120-D120)-(C120-E120))/(C120-D120))</f>
        <v>0</v>
      </c>
      <c r="Q120">
        <f t="shared" ref="Q120" si="576">F120*P120</f>
        <v>0</v>
      </c>
      <c r="R120">
        <f t="shared" ref="R120" si="577">R121+Q120</f>
        <v>-2616613.7404455477</v>
      </c>
      <c r="S120">
        <f t="shared" ref="S120" si="578">R120/100000</f>
        <v>-26.166137404455476</v>
      </c>
      <c r="T120">
        <f t="shared" ref="T120" si="579">S120/1000</f>
        <v>-2.6166137404455475E-2</v>
      </c>
    </row>
    <row r="121" spans="1:20" x14ac:dyDescent="0.25">
      <c r="A121" s="5">
        <v>44472</v>
      </c>
      <c r="B121">
        <v>142.5</v>
      </c>
      <c r="C121">
        <v>143.5</v>
      </c>
      <c r="D121">
        <v>138</v>
      </c>
      <c r="E121">
        <v>139.4</v>
      </c>
      <c r="F121">
        <v>14076.82</v>
      </c>
      <c r="G121">
        <v>139.4</v>
      </c>
      <c r="L121" t="s">
        <v>7</v>
      </c>
      <c r="M121" t="s">
        <v>7</v>
      </c>
      <c r="N121" t="s">
        <v>8</v>
      </c>
      <c r="P121">
        <f t="shared" ref="P121" si="580">IF(C121=D121,0,((E121-D121)-(C121-E121))/(C121-D121))</f>
        <v>-0.49090909090908885</v>
      </c>
      <c r="Q121">
        <f t="shared" ref="Q121" si="581">F121*P121</f>
        <v>-6910.4389090908799</v>
      </c>
      <c r="R121">
        <f t="shared" ref="R121" si="582">R122+Q121</f>
        <v>-2616613.7404455477</v>
      </c>
      <c r="S121">
        <f t="shared" ref="S121" si="583">R121/100000</f>
        <v>-26.166137404455476</v>
      </c>
      <c r="T121">
        <f t="shared" ref="T121" si="584">S121/1000</f>
        <v>-2.6166137404455475E-2</v>
      </c>
    </row>
    <row r="122" spans="1:20" x14ac:dyDescent="0.25">
      <c r="A122" s="5">
        <v>44471</v>
      </c>
      <c r="B122">
        <v>143.6</v>
      </c>
      <c r="C122">
        <v>147.5</v>
      </c>
      <c r="D122">
        <v>141</v>
      </c>
      <c r="E122">
        <v>142.5</v>
      </c>
      <c r="F122">
        <v>23056.517</v>
      </c>
      <c r="G122">
        <v>142.5</v>
      </c>
      <c r="L122" t="s">
        <v>8</v>
      </c>
      <c r="M122" t="s">
        <v>7</v>
      </c>
      <c r="N122" t="s">
        <v>8</v>
      </c>
      <c r="P122">
        <f t="shared" ref="P122" si="585">IF(C122=D122,0,((E122-D122)-(C122-E122))/(C122-D122))</f>
        <v>-0.53846153846153844</v>
      </c>
      <c r="Q122">
        <f t="shared" ref="Q122" si="586">F122*P122</f>
        <v>-12415.047615384614</v>
      </c>
      <c r="R122">
        <f t="shared" ref="R122" si="587">R123+Q122</f>
        <v>-2609703.3015364567</v>
      </c>
      <c r="S122">
        <f t="shared" ref="S122" si="588">R122/100000</f>
        <v>-26.097033015364566</v>
      </c>
      <c r="T122">
        <f t="shared" ref="T122" si="589">S122/1000</f>
        <v>-2.6097033015364566E-2</v>
      </c>
    </row>
    <row r="123" spans="1:20" x14ac:dyDescent="0.25">
      <c r="A123" s="5">
        <v>44470</v>
      </c>
      <c r="B123">
        <v>138.9</v>
      </c>
      <c r="C123">
        <v>148</v>
      </c>
      <c r="D123">
        <v>136.69999999999999</v>
      </c>
      <c r="E123">
        <v>143.69999999999999</v>
      </c>
      <c r="F123">
        <v>38147.379000000001</v>
      </c>
      <c r="G123">
        <v>143.69999999999999</v>
      </c>
      <c r="L123" t="s">
        <v>8</v>
      </c>
      <c r="M123" t="s">
        <v>7</v>
      </c>
      <c r="N123" t="s">
        <v>8</v>
      </c>
      <c r="P123">
        <f t="shared" ref="P123" si="590">IF(C123=D123,0,((E123-D123)-(C123-E123))/(C123-D123))</f>
        <v>0.23893805309734389</v>
      </c>
      <c r="Q123">
        <f t="shared" ref="Q123" si="591">F123*P123</f>
        <v>9114.860469026502</v>
      </c>
      <c r="R123">
        <f t="shared" ref="R123" si="592">R124+Q123</f>
        <v>-2597288.253921072</v>
      </c>
      <c r="S123">
        <f t="shared" ref="S123" si="593">R123/100000</f>
        <v>-25.972882539210719</v>
      </c>
      <c r="T123">
        <f t="shared" ref="T123" si="594">S123/1000</f>
        <v>-2.597288253921072E-2</v>
      </c>
    </row>
    <row r="124" spans="1:20" x14ac:dyDescent="0.25">
      <c r="A124" s="5">
        <v>44469</v>
      </c>
      <c r="B124">
        <v>138.19999999999999</v>
      </c>
      <c r="C124">
        <v>144.69999999999999</v>
      </c>
      <c r="D124">
        <v>137</v>
      </c>
      <c r="E124">
        <v>138.9</v>
      </c>
      <c r="F124">
        <v>27062.103999999999</v>
      </c>
      <c r="G124">
        <v>138.9</v>
      </c>
      <c r="L124" t="s">
        <v>7</v>
      </c>
      <c r="M124" t="s">
        <v>7</v>
      </c>
      <c r="N124" t="s">
        <v>8</v>
      </c>
      <c r="P124">
        <f t="shared" ref="P124" si="595">IF(C124=D124,0,((E124-D124)-(C124-E124))/(C124-D124))</f>
        <v>-0.50649350649350433</v>
      </c>
      <c r="Q124">
        <f t="shared" ref="Q124" si="596">F124*P124</f>
        <v>-13706.77994805189</v>
      </c>
      <c r="R124">
        <f t="shared" ref="R124" si="597">R125+Q124</f>
        <v>-2606403.1143900985</v>
      </c>
      <c r="S124">
        <f t="shared" ref="S124" si="598">R124/100000</f>
        <v>-26.064031143900984</v>
      </c>
      <c r="T124">
        <f t="shared" ref="T124" si="599">S124/1000</f>
        <v>-2.6064031143900983E-2</v>
      </c>
    </row>
    <row r="125" spans="1:20" x14ac:dyDescent="0.25">
      <c r="A125" s="5">
        <v>44468</v>
      </c>
      <c r="B125">
        <v>138.30000000000001</v>
      </c>
      <c r="C125">
        <v>149.30000000000001</v>
      </c>
      <c r="D125">
        <v>135.69999999999999</v>
      </c>
      <c r="E125">
        <v>138.1</v>
      </c>
      <c r="F125">
        <v>38258.034</v>
      </c>
      <c r="G125">
        <v>138.1</v>
      </c>
      <c r="L125" t="s">
        <v>8</v>
      </c>
      <c r="M125" t="s">
        <v>7</v>
      </c>
      <c r="N125" t="s">
        <v>8</v>
      </c>
      <c r="P125">
        <f t="shared" ref="P125" si="600">IF(C125=D125,0,((E125-D125)-(C125-E125))/(C125-D125))</f>
        <v>-0.64705882352941146</v>
      </c>
      <c r="Q125">
        <f t="shared" ref="Q125" si="601">F125*P125</f>
        <v>-24755.198470588224</v>
      </c>
      <c r="R125">
        <f t="shared" ref="R125" si="602">R126+Q125</f>
        <v>-2592696.3344420465</v>
      </c>
      <c r="S125">
        <f t="shared" ref="S125" si="603">R125/100000</f>
        <v>-25.926963344420464</v>
      </c>
      <c r="T125">
        <f t="shared" ref="T125" si="604">S125/1000</f>
        <v>-2.5926963344420465E-2</v>
      </c>
    </row>
    <row r="126" spans="1:20" x14ac:dyDescent="0.25">
      <c r="A126" s="5">
        <v>44467</v>
      </c>
      <c r="B126">
        <v>147.1</v>
      </c>
      <c r="C126">
        <v>149.30000000000001</v>
      </c>
      <c r="D126">
        <v>130.69999999999999</v>
      </c>
      <c r="E126">
        <v>138.30000000000001</v>
      </c>
      <c r="F126">
        <v>59519.883000000002</v>
      </c>
      <c r="G126">
        <v>138.30000000000001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-0.18279569892472974</v>
      </c>
      <c r="Q126">
        <f t="shared" ref="Q126" si="606">F126*P126</f>
        <v>-10879.97861290314</v>
      </c>
      <c r="R126">
        <f t="shared" ref="R126" si="607">R127+Q126</f>
        <v>-2567941.1359714582</v>
      </c>
      <c r="S126">
        <f t="shared" ref="S126" si="608">R126/100000</f>
        <v>-25.679411359714582</v>
      </c>
      <c r="T126">
        <f t="shared" ref="T126" si="609">S126/1000</f>
        <v>-2.567941135971458E-2</v>
      </c>
    </row>
    <row r="127" spans="1:20" x14ac:dyDescent="0.25">
      <c r="A127" s="5">
        <v>44466</v>
      </c>
      <c r="B127">
        <v>161.30000000000001</v>
      </c>
      <c r="C127">
        <v>170</v>
      </c>
      <c r="D127">
        <v>143.69999999999999</v>
      </c>
      <c r="E127">
        <v>147.19999999999999</v>
      </c>
      <c r="F127">
        <v>71806.914999999994</v>
      </c>
      <c r="G127">
        <v>147.19999999999999</v>
      </c>
      <c r="L127" t="s">
        <v>7</v>
      </c>
      <c r="M127" t="s">
        <v>7</v>
      </c>
      <c r="N127" t="s">
        <v>8</v>
      </c>
      <c r="P127">
        <f t="shared" ref="P127" si="610">IF(C127=D127,0,((E127-D127)-(C127-E127))/(C127-D127))</f>
        <v>-0.73384030418250967</v>
      </c>
      <c r="Q127">
        <f t="shared" ref="Q127" si="611">F127*P127</f>
        <v>-52694.808346007609</v>
      </c>
      <c r="R127">
        <f t="shared" ref="R127" si="612">R128+Q127</f>
        <v>-2557061.1573585551</v>
      </c>
      <c r="S127">
        <f t="shared" ref="S127" si="613">R127/100000</f>
        <v>-25.570611573585552</v>
      </c>
      <c r="T127">
        <f t="shared" ref="T127" si="614">S127/1000</f>
        <v>-2.5570611573585551E-2</v>
      </c>
    </row>
    <row r="128" spans="1:20" x14ac:dyDescent="0.25">
      <c r="A128" s="5">
        <v>44465</v>
      </c>
      <c r="B128">
        <v>137.19999999999999</v>
      </c>
      <c r="C128">
        <v>187</v>
      </c>
      <c r="D128">
        <v>136.1</v>
      </c>
      <c r="E128">
        <v>161.80000000000001</v>
      </c>
      <c r="F128">
        <v>334697.12400000001</v>
      </c>
      <c r="G128">
        <v>161.80000000000001</v>
      </c>
      <c r="L128" t="s">
        <v>8</v>
      </c>
      <c r="M128" t="s">
        <v>8</v>
      </c>
      <c r="N128" t="s">
        <v>8</v>
      </c>
      <c r="P128">
        <f t="shared" ref="P128" si="615">IF(C128=D128,0,((E128-D128)-(C128-E128))/(C128-D128))</f>
        <v>9.8231827111989849E-3</v>
      </c>
      <c r="Q128">
        <f t="shared" ref="Q128" si="616">F128*P128</f>
        <v>3287.791001964823</v>
      </c>
      <c r="R128">
        <f t="shared" ref="R128" si="617">R129+Q128</f>
        <v>-2504366.3490125476</v>
      </c>
      <c r="S128">
        <f t="shared" ref="S128" si="618">R128/100000</f>
        <v>-25.043663490125475</v>
      </c>
      <c r="T128">
        <f t="shared" ref="T128" si="619">S128/1000</f>
        <v>-2.5043663490125476E-2</v>
      </c>
    </row>
    <row r="129" spans="1:20" x14ac:dyDescent="0.25">
      <c r="A129" s="5">
        <v>44464</v>
      </c>
      <c r="B129">
        <v>130.6</v>
      </c>
      <c r="C129">
        <v>140.30000000000001</v>
      </c>
      <c r="D129">
        <v>128.19999999999999</v>
      </c>
      <c r="E129">
        <v>137.1</v>
      </c>
      <c r="F129">
        <v>35167.678</v>
      </c>
      <c r="G129">
        <v>137.1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0.47107438016528741</v>
      </c>
      <c r="Q129">
        <f t="shared" ref="Q129" si="621">F129*P129</f>
        <v>16566.592115702413</v>
      </c>
      <c r="R129">
        <f t="shared" ref="R129" si="622">R130+Q129</f>
        <v>-2507654.1400145125</v>
      </c>
      <c r="S129">
        <f t="shared" ref="S129" si="623">R129/100000</f>
        <v>-25.076541400145125</v>
      </c>
      <c r="T129">
        <f t="shared" ref="T129" si="624">S129/1000</f>
        <v>-2.5076541400145126E-2</v>
      </c>
    </row>
    <row r="130" spans="1:20" x14ac:dyDescent="0.25">
      <c r="A130" s="5">
        <v>44463</v>
      </c>
      <c r="B130">
        <v>143</v>
      </c>
      <c r="C130">
        <v>144.9</v>
      </c>
      <c r="D130">
        <v>124.9</v>
      </c>
      <c r="E130">
        <v>131.1</v>
      </c>
      <c r="F130">
        <v>58620.459000000003</v>
      </c>
      <c r="G130">
        <v>131.1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-0.38000000000000111</v>
      </c>
      <c r="Q130">
        <f t="shared" ref="Q130" si="626">F130*P130</f>
        <v>-22275.774420000067</v>
      </c>
      <c r="R130">
        <f t="shared" ref="R130" si="627">R131+Q130</f>
        <v>-2524220.732130215</v>
      </c>
      <c r="S130">
        <f t="shared" ref="S130" si="628">R130/100000</f>
        <v>-25.24220732130215</v>
      </c>
      <c r="T130">
        <f t="shared" ref="T130" si="629">S130/1000</f>
        <v>-2.5242207321302151E-2</v>
      </c>
    </row>
    <row r="131" spans="1:20" x14ac:dyDescent="0.25">
      <c r="A131" s="5">
        <v>44462</v>
      </c>
      <c r="B131">
        <v>153.69999999999999</v>
      </c>
      <c r="C131">
        <v>163.19999999999999</v>
      </c>
      <c r="D131">
        <v>141.80000000000001</v>
      </c>
      <c r="E131">
        <v>143</v>
      </c>
      <c r="F131">
        <v>106396.274</v>
      </c>
      <c r="G131">
        <v>143</v>
      </c>
      <c r="L131" t="s">
        <v>7</v>
      </c>
      <c r="M131" t="s">
        <v>7</v>
      </c>
      <c r="N131" t="s">
        <v>7</v>
      </c>
      <c r="P131">
        <f t="shared" ref="P131" si="630">IF(C131=D131,0,((E131-D131)-(C131-E131))/(C131-D131))</f>
        <v>-0.88785046728972061</v>
      </c>
      <c r="Q131">
        <f t="shared" ref="Q131" si="631">F131*P131</f>
        <v>-94463.981588785158</v>
      </c>
      <c r="R131">
        <f t="shared" ref="R131" si="632">R132+Q131</f>
        <v>-2501944.9577102149</v>
      </c>
      <c r="S131">
        <f t="shared" ref="S131" si="633">R131/100000</f>
        <v>-25.019449577102147</v>
      </c>
      <c r="T131">
        <f t="shared" ref="T131" si="634">S131/1000</f>
        <v>-2.5019449577102146E-2</v>
      </c>
    </row>
    <row r="132" spans="1:20" x14ac:dyDescent="0.25">
      <c r="A132" s="5">
        <v>44461</v>
      </c>
      <c r="B132">
        <v>158.80000000000001</v>
      </c>
      <c r="C132">
        <v>234.8</v>
      </c>
      <c r="D132">
        <v>148.5</v>
      </c>
      <c r="E132">
        <v>153.19999999999999</v>
      </c>
      <c r="F132">
        <v>890291.86</v>
      </c>
      <c r="G132">
        <v>153.19999999999999</v>
      </c>
      <c r="L132" t="s">
        <v>8</v>
      </c>
      <c r="M132" t="s">
        <v>8</v>
      </c>
      <c r="N132" t="s">
        <v>8</v>
      </c>
      <c r="P132">
        <f t="shared" ref="P132" si="635">IF(C132=D132,0,((E132-D132)-(C132-E132))/(C132-D132))</f>
        <v>-0.8910776361529551</v>
      </c>
      <c r="Q132">
        <f t="shared" ref="Q132" si="636">F132*P132</f>
        <v>-793319.16609501757</v>
      </c>
      <c r="R132">
        <f t="shared" ref="R132" si="637">R133+Q132</f>
        <v>-2407480.9761214298</v>
      </c>
      <c r="S132">
        <f t="shared" ref="S132" si="638">R132/100000</f>
        <v>-24.074809761214297</v>
      </c>
      <c r="T132">
        <f t="shared" ref="T132" si="639">S132/1000</f>
        <v>-2.4074809761214296E-2</v>
      </c>
    </row>
    <row r="133" spans="1:20" x14ac:dyDescent="0.25">
      <c r="A133" s="5">
        <v>44460</v>
      </c>
      <c r="B133">
        <v>103.4</v>
      </c>
      <c r="C133">
        <v>188.1</v>
      </c>
      <c r="D133">
        <v>98.8</v>
      </c>
      <c r="E133">
        <v>158.69999999999999</v>
      </c>
      <c r="F133">
        <v>296597.52100000001</v>
      </c>
      <c r="G133">
        <v>158.69999999999999</v>
      </c>
      <c r="L133" t="s">
        <v>7</v>
      </c>
      <c r="M133" t="s">
        <v>7</v>
      </c>
      <c r="N133" t="s">
        <v>8</v>
      </c>
      <c r="P133">
        <f t="shared" ref="P133" si="640">IF(C133=D133,0,((E133-D133)-(C133-E133))/(C133-D133))</f>
        <v>0.3415453527435609</v>
      </c>
      <c r="Q133">
        <f t="shared" ref="Q133" si="641">F133*P133</f>
        <v>101301.50493281071</v>
      </c>
      <c r="R133">
        <f t="shared" ref="R133" si="642">R134+Q133</f>
        <v>-1614161.8100264124</v>
      </c>
      <c r="S133">
        <f t="shared" ref="S133" si="643">R133/100000</f>
        <v>-16.141618100264125</v>
      </c>
      <c r="T133">
        <f t="shared" ref="T133" si="644">S133/1000</f>
        <v>-1.6141618100264127E-2</v>
      </c>
    </row>
    <row r="134" spans="1:20" x14ac:dyDescent="0.25">
      <c r="A134" s="5">
        <v>44459</v>
      </c>
      <c r="B134">
        <v>123.5</v>
      </c>
      <c r="C134">
        <v>128</v>
      </c>
      <c r="D134">
        <v>108.5</v>
      </c>
      <c r="E134">
        <v>109.1</v>
      </c>
      <c r="F134">
        <v>31980.252</v>
      </c>
      <c r="G134">
        <v>109.1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-0.93846153846153901</v>
      </c>
      <c r="Q134">
        <f t="shared" ref="Q134" si="646">F134*P134</f>
        <v>-30012.236492307711</v>
      </c>
      <c r="R134">
        <f t="shared" ref="R134" si="647">R135+Q134</f>
        <v>-1715463.3149592231</v>
      </c>
      <c r="S134">
        <f t="shared" ref="S134" si="648">R134/100000</f>
        <v>-17.154633149592232</v>
      </c>
      <c r="T134">
        <f t="shared" ref="T134" si="649">S134/1000</f>
        <v>-1.7154633149592233E-2</v>
      </c>
    </row>
    <row r="135" spans="1:20" x14ac:dyDescent="0.25">
      <c r="A135" s="5">
        <v>44458</v>
      </c>
      <c r="B135">
        <v>120.4</v>
      </c>
      <c r="C135">
        <v>129.69999999999999</v>
      </c>
      <c r="D135">
        <v>116.3</v>
      </c>
      <c r="E135">
        <v>123.5</v>
      </c>
      <c r="F135">
        <v>26662.827000000001</v>
      </c>
      <c r="G135">
        <v>123.5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7.4626865671642895E-2</v>
      </c>
      <c r="Q135">
        <f t="shared" ref="Q135" si="651">F135*P135</f>
        <v>1989.7632089552535</v>
      </c>
      <c r="R135">
        <f t="shared" ref="R135" si="652">R136+Q135</f>
        <v>-1685451.0784669155</v>
      </c>
      <c r="S135">
        <f t="shared" ref="S135" si="653">R135/100000</f>
        <v>-16.854510784669156</v>
      </c>
      <c r="T135">
        <f t="shared" ref="T135" si="654">S135/1000</f>
        <v>-1.6854510784669156E-2</v>
      </c>
    </row>
    <row r="136" spans="1:20" x14ac:dyDescent="0.25">
      <c r="A136" s="5">
        <v>44457</v>
      </c>
      <c r="B136">
        <v>112.1</v>
      </c>
      <c r="C136">
        <v>144</v>
      </c>
      <c r="D136">
        <v>111.6</v>
      </c>
      <c r="E136">
        <v>120.7</v>
      </c>
      <c r="F136">
        <v>77558.918000000005</v>
      </c>
      <c r="G136">
        <v>120.7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-0.43827160493827116</v>
      </c>
      <c r="Q136">
        <f t="shared" ref="Q136" si="656">F136*P136</f>
        <v>-33991.871469135767</v>
      </c>
      <c r="R136">
        <f t="shared" ref="R136" si="657">R137+Q136</f>
        <v>-1687440.8416758708</v>
      </c>
      <c r="S136">
        <f t="shared" ref="S136" si="658">R136/100000</f>
        <v>-16.874408416758708</v>
      </c>
      <c r="T136">
        <f t="shared" ref="T136" si="659">S136/1000</f>
        <v>-1.6874408416758708E-2</v>
      </c>
    </row>
    <row r="137" spans="1:20" x14ac:dyDescent="0.25">
      <c r="A137" s="5">
        <v>44456</v>
      </c>
      <c r="B137">
        <v>119.8</v>
      </c>
      <c r="C137">
        <v>120.1</v>
      </c>
      <c r="D137">
        <v>109</v>
      </c>
      <c r="E137">
        <v>111.9</v>
      </c>
      <c r="F137">
        <v>16964.486000000001</v>
      </c>
      <c r="G137">
        <v>111.9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-0.47747747747747621</v>
      </c>
      <c r="Q137">
        <f t="shared" ref="Q137" si="661">F137*P137</f>
        <v>-8100.1599819819612</v>
      </c>
      <c r="R137">
        <f t="shared" ref="R137" si="662">R138+Q137</f>
        <v>-1653448.970206735</v>
      </c>
      <c r="S137">
        <f t="shared" ref="S137" si="663">R137/100000</f>
        <v>-16.534489702067351</v>
      </c>
      <c r="T137">
        <f t="shared" ref="T137" si="664">S137/1000</f>
        <v>-1.6534489702067352E-2</v>
      </c>
    </row>
    <row r="138" spans="1:20" x14ac:dyDescent="0.25">
      <c r="A138" s="5">
        <v>44455</v>
      </c>
      <c r="B138">
        <v>126.4</v>
      </c>
      <c r="C138">
        <v>131.80000000000001</v>
      </c>
      <c r="D138">
        <v>118</v>
      </c>
      <c r="E138">
        <v>119.8</v>
      </c>
      <c r="F138">
        <v>22594.333999999999</v>
      </c>
      <c r="G138">
        <v>119.8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-0.73913043478260931</v>
      </c>
      <c r="Q138">
        <f t="shared" ref="Q138" si="666">F138*P138</f>
        <v>-16700.159913043492</v>
      </c>
      <c r="R138">
        <f t="shared" ref="R138" si="667">R139+Q138</f>
        <v>-1645348.8102247531</v>
      </c>
      <c r="S138">
        <f t="shared" ref="S138" si="668">R138/100000</f>
        <v>-16.45348810224753</v>
      </c>
      <c r="T138">
        <f t="shared" ref="T138" si="669">S138/1000</f>
        <v>-1.6453488102247529E-2</v>
      </c>
    </row>
    <row r="139" spans="1:20" x14ac:dyDescent="0.25">
      <c r="A139" s="5">
        <v>44454</v>
      </c>
      <c r="B139">
        <v>125.8</v>
      </c>
      <c r="C139">
        <v>146</v>
      </c>
      <c r="D139">
        <v>124.6</v>
      </c>
      <c r="E139">
        <v>126.7</v>
      </c>
      <c r="F139">
        <v>84763.358999999997</v>
      </c>
      <c r="G139">
        <v>126.7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-0.80373831775700855</v>
      </c>
      <c r="Q139">
        <f t="shared" ref="Q139" si="671">F139*P139</f>
        <v>-68127.559570093392</v>
      </c>
      <c r="R139">
        <f t="shared" ref="R139" si="672">R140+Q139</f>
        <v>-1628648.6503117096</v>
      </c>
      <c r="S139">
        <f t="shared" ref="S139" si="673">R139/100000</f>
        <v>-16.286486503117096</v>
      </c>
      <c r="T139">
        <f t="shared" ref="T139" si="674">S139/1000</f>
        <v>-1.6286486503117096E-2</v>
      </c>
    </row>
    <row r="140" spans="1:20" x14ac:dyDescent="0.25">
      <c r="A140" s="5">
        <v>44453</v>
      </c>
      <c r="B140">
        <v>102.1</v>
      </c>
      <c r="C140">
        <v>154</v>
      </c>
      <c r="D140">
        <v>101.8</v>
      </c>
      <c r="E140">
        <v>125.8</v>
      </c>
      <c r="F140">
        <v>128763.935</v>
      </c>
      <c r="G140">
        <v>125.8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-8.0459770114942583E-2</v>
      </c>
      <c r="Q140">
        <f t="shared" ref="Q140" si="676">F140*P140</f>
        <v>-10360.31660919541</v>
      </c>
      <c r="R140">
        <f t="shared" ref="R140" si="677">R141+Q140</f>
        <v>-1560521.0907416162</v>
      </c>
      <c r="S140">
        <f t="shared" ref="S140" si="678">R140/100000</f>
        <v>-15.605210907416161</v>
      </c>
      <c r="T140">
        <f t="shared" ref="T140" si="679">S140/1000</f>
        <v>-1.5605210907416161E-2</v>
      </c>
    </row>
    <row r="141" spans="1:20" x14ac:dyDescent="0.25">
      <c r="A141" s="5">
        <v>44452</v>
      </c>
      <c r="B141">
        <v>108.9</v>
      </c>
      <c r="C141">
        <v>110.2</v>
      </c>
      <c r="D141">
        <v>99.7</v>
      </c>
      <c r="E141">
        <v>102.2</v>
      </c>
      <c r="F141">
        <v>26076.557000000001</v>
      </c>
      <c r="G141">
        <v>102.2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-0.52380952380952384</v>
      </c>
      <c r="Q141">
        <f t="shared" ref="Q141" si="681">F141*P141</f>
        <v>-13659.148904761905</v>
      </c>
      <c r="R141">
        <f t="shared" ref="R141" si="682">R142+Q141</f>
        <v>-1550160.7741324208</v>
      </c>
      <c r="S141">
        <f t="shared" ref="S141" si="683">R141/100000</f>
        <v>-15.501607741324207</v>
      </c>
      <c r="T141">
        <f t="shared" ref="T141" si="684">S141/1000</f>
        <v>-1.5501607741324207E-2</v>
      </c>
    </row>
    <row r="142" spans="1:20" x14ac:dyDescent="0.25">
      <c r="A142" s="5">
        <v>44451</v>
      </c>
      <c r="B142">
        <v>108.9</v>
      </c>
      <c r="C142">
        <v>116</v>
      </c>
      <c r="D142">
        <v>106</v>
      </c>
      <c r="E142">
        <v>108.9</v>
      </c>
      <c r="F142">
        <v>19988.544999999998</v>
      </c>
      <c r="G142">
        <v>108.9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-0.41999999999999887</v>
      </c>
      <c r="Q142">
        <f t="shared" ref="Q142" si="686">F142*P142</f>
        <v>-8395.1888999999774</v>
      </c>
      <c r="R142">
        <f t="shared" ref="R142" si="687">R143+Q142</f>
        <v>-1536501.6252276588</v>
      </c>
      <c r="S142">
        <f t="shared" ref="S142" si="688">R142/100000</f>
        <v>-15.365016252276588</v>
      </c>
      <c r="T142">
        <f t="shared" ref="T142" si="689">S142/1000</f>
        <v>-1.5365016252276587E-2</v>
      </c>
    </row>
    <row r="143" spans="1:20" x14ac:dyDescent="0.25">
      <c r="A143" s="5">
        <v>44450</v>
      </c>
      <c r="B143">
        <v>102.3</v>
      </c>
      <c r="C143">
        <v>110.9</v>
      </c>
      <c r="D143">
        <v>101.9</v>
      </c>
      <c r="E143">
        <v>108.9</v>
      </c>
      <c r="F143">
        <v>32717.300999999999</v>
      </c>
      <c r="G143">
        <v>108.9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0.55555555555555558</v>
      </c>
      <c r="Q143">
        <f t="shared" ref="Q143" si="691">F143*P143</f>
        <v>18176.278333333335</v>
      </c>
      <c r="R143">
        <f t="shared" ref="R143" si="692">R144+Q143</f>
        <v>-1528106.4363276588</v>
      </c>
      <c r="S143">
        <f t="shared" ref="S143" si="693">R143/100000</f>
        <v>-15.281064363276588</v>
      </c>
      <c r="T143">
        <f t="shared" ref="T143" si="694">S143/1000</f>
        <v>-1.5281064363276588E-2</v>
      </c>
    </row>
    <row r="144" spans="1:20" x14ac:dyDescent="0.25">
      <c r="A144" s="5">
        <v>44449</v>
      </c>
      <c r="B144">
        <v>109.6</v>
      </c>
      <c r="C144">
        <v>112.3</v>
      </c>
      <c r="D144">
        <v>99.4</v>
      </c>
      <c r="E144">
        <v>102.3</v>
      </c>
      <c r="F144">
        <v>19071.816999999999</v>
      </c>
      <c r="G144">
        <v>102.3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-0.55038759689922578</v>
      </c>
      <c r="Q144">
        <f t="shared" ref="Q144" si="696">F144*P144</f>
        <v>-10496.891527131802</v>
      </c>
      <c r="R144">
        <f t="shared" ref="R144" si="697">R145+Q144</f>
        <v>-1546282.7146609921</v>
      </c>
      <c r="S144">
        <f t="shared" ref="S144" si="698">R144/100000</f>
        <v>-15.462827146609921</v>
      </c>
      <c r="T144">
        <f t="shared" ref="T144" si="699">S144/1000</f>
        <v>-1.5462827146609921E-2</v>
      </c>
    </row>
    <row r="145" spans="1:20" x14ac:dyDescent="0.25">
      <c r="A145" s="5">
        <v>44448</v>
      </c>
      <c r="B145">
        <v>103.1</v>
      </c>
      <c r="C145">
        <v>118.5</v>
      </c>
      <c r="D145">
        <v>103.1</v>
      </c>
      <c r="E145">
        <v>109.6</v>
      </c>
      <c r="F145">
        <v>33142.978999999999</v>
      </c>
      <c r="G145">
        <v>109.6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-0.15584415584415615</v>
      </c>
      <c r="Q145">
        <f t="shared" ref="Q145" si="701">F145*P145</f>
        <v>-5165.1395844155941</v>
      </c>
      <c r="R145">
        <f t="shared" ref="R145" si="702">R146+Q145</f>
        <v>-1535785.8231338602</v>
      </c>
      <c r="S145">
        <f t="shared" ref="S145" si="703">R145/100000</f>
        <v>-15.357858231338602</v>
      </c>
      <c r="T145">
        <f t="shared" ref="T145" si="704">S145/1000</f>
        <v>-1.5357858231338601E-2</v>
      </c>
    </row>
    <row r="146" spans="1:20" x14ac:dyDescent="0.25">
      <c r="A146" s="5">
        <v>44447</v>
      </c>
      <c r="B146">
        <v>100.7</v>
      </c>
      <c r="C146">
        <v>110.9</v>
      </c>
      <c r="D146">
        <v>92.1</v>
      </c>
      <c r="E146">
        <v>103.1</v>
      </c>
      <c r="F146">
        <v>19650.831999999999</v>
      </c>
      <c r="G146">
        <v>103.1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0.17021276595744611</v>
      </c>
      <c r="Q146">
        <f t="shared" ref="Q146" si="706">F146*P146</f>
        <v>3344.8224680850926</v>
      </c>
      <c r="R146">
        <f t="shared" ref="R146" si="707">R147+Q146</f>
        <v>-1530620.6835494447</v>
      </c>
      <c r="S146">
        <f t="shared" ref="S146" si="708">R146/100000</f>
        <v>-15.306206835494446</v>
      </c>
      <c r="T146">
        <f t="shared" ref="T146" si="709">S146/1000</f>
        <v>-1.5306206835494447E-2</v>
      </c>
    </row>
    <row r="147" spans="1:20" x14ac:dyDescent="0.25">
      <c r="A147" s="5">
        <v>44446</v>
      </c>
      <c r="B147">
        <v>121</v>
      </c>
      <c r="C147">
        <v>121.3</v>
      </c>
      <c r="D147">
        <v>90</v>
      </c>
      <c r="E147">
        <v>100.2</v>
      </c>
      <c r="F147">
        <v>25921.332999999999</v>
      </c>
      <c r="G147">
        <v>100.2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-0.34824281150159719</v>
      </c>
      <c r="Q147">
        <f t="shared" ref="Q147" si="711">F147*P147</f>
        <v>-9026.9178817891298</v>
      </c>
      <c r="R147">
        <f t="shared" ref="R147" si="712">R148+Q147</f>
        <v>-1533965.5060175296</v>
      </c>
      <c r="S147">
        <f t="shared" ref="S147" si="713">R147/100000</f>
        <v>-15.339655060175296</v>
      </c>
      <c r="T147">
        <f t="shared" ref="T147" si="714">S147/1000</f>
        <v>-1.5339655060175296E-2</v>
      </c>
    </row>
    <row r="148" spans="1:20" x14ac:dyDescent="0.25">
      <c r="A148" s="5">
        <v>44445</v>
      </c>
      <c r="B148">
        <v>114.2</v>
      </c>
      <c r="C148">
        <v>129.4</v>
      </c>
      <c r="D148">
        <v>111.5</v>
      </c>
      <c r="E148">
        <v>120.9</v>
      </c>
      <c r="F148">
        <v>30573.012999999999</v>
      </c>
      <c r="G148">
        <v>120.9</v>
      </c>
      <c r="L148" t="s">
        <v>8</v>
      </c>
      <c r="M148" t="s">
        <v>8</v>
      </c>
      <c r="N148" t="s">
        <v>7</v>
      </c>
      <c r="P148">
        <f t="shared" ref="P148" si="715">IF(C148=D148,0,((E148-D148)-(C148-E148))/(C148-D148))</f>
        <v>5.0279329608938848E-2</v>
      </c>
      <c r="Q148">
        <f t="shared" ref="Q148" si="716">F148*P148</f>
        <v>1537.1905977653723</v>
      </c>
      <c r="R148">
        <f t="shared" ref="R148" si="717">R149+Q148</f>
        <v>-1524938.5881357405</v>
      </c>
      <c r="S148">
        <f t="shared" ref="S148" si="718">R148/100000</f>
        <v>-15.249385881357405</v>
      </c>
      <c r="T148">
        <f t="shared" ref="T148" si="719">S148/1000</f>
        <v>-1.5249385881357404E-2</v>
      </c>
    </row>
    <row r="149" spans="1:20" x14ac:dyDescent="0.25">
      <c r="A149" s="5">
        <v>44444</v>
      </c>
      <c r="B149">
        <v>111.2</v>
      </c>
      <c r="C149">
        <v>115.8</v>
      </c>
      <c r="D149">
        <v>110.5</v>
      </c>
      <c r="E149">
        <v>114.3</v>
      </c>
      <c r="F149">
        <v>14510.790999999999</v>
      </c>
      <c r="G149">
        <v>114.3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0.43396226415094308</v>
      </c>
      <c r="Q149">
        <f t="shared" ref="Q149" si="721">F149*P149</f>
        <v>6297.1357169811272</v>
      </c>
      <c r="R149">
        <f t="shared" ref="R149" si="722">R150+Q149</f>
        <v>-1526475.7787335059</v>
      </c>
      <c r="S149">
        <f t="shared" ref="S149" si="723">R149/100000</f>
        <v>-15.264757787335059</v>
      </c>
      <c r="T149">
        <f t="shared" ref="T149" si="724">S149/1000</f>
        <v>-1.5264757787335059E-2</v>
      </c>
    </row>
    <row r="150" spans="1:20" x14ac:dyDescent="0.25">
      <c r="A150" s="5">
        <v>44443</v>
      </c>
      <c r="B150">
        <v>113.1</v>
      </c>
      <c r="C150">
        <v>114.8</v>
      </c>
      <c r="D150">
        <v>109.4</v>
      </c>
      <c r="E150">
        <v>111.2</v>
      </c>
      <c r="F150">
        <v>17164.737000000001</v>
      </c>
      <c r="G150">
        <v>111.2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-0.33333333333333331</v>
      </c>
      <c r="Q150">
        <f t="shared" ref="Q150" si="726">F150*P150</f>
        <v>-5721.5789999999997</v>
      </c>
      <c r="R150">
        <f t="shared" ref="R150" si="727">R151+Q150</f>
        <v>-1532772.9144504869</v>
      </c>
      <c r="S150">
        <f t="shared" ref="S150" si="728">R150/100000</f>
        <v>-15.327729144504868</v>
      </c>
      <c r="T150">
        <f t="shared" ref="T150" si="729">S150/1000</f>
        <v>-1.5327729144504868E-2</v>
      </c>
    </row>
    <row r="151" spans="1:20" x14ac:dyDescent="0.25">
      <c r="A151" s="5">
        <v>44442</v>
      </c>
      <c r="B151">
        <v>116.5</v>
      </c>
      <c r="C151">
        <v>116.5</v>
      </c>
      <c r="D151">
        <v>112</v>
      </c>
      <c r="E151">
        <v>113.2</v>
      </c>
      <c r="F151">
        <v>14184.973</v>
      </c>
      <c r="G151">
        <v>113.2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-0.4666666666666654</v>
      </c>
      <c r="Q151">
        <f t="shared" ref="Q151" si="731">F151*P151</f>
        <v>-6619.6540666666488</v>
      </c>
      <c r="R151">
        <f t="shared" ref="R151" si="732">R152+Q151</f>
        <v>-1527051.335450487</v>
      </c>
      <c r="S151">
        <f t="shared" ref="S151" si="733">R151/100000</f>
        <v>-15.270513354504869</v>
      </c>
      <c r="T151">
        <f t="shared" ref="T151" si="734">S151/1000</f>
        <v>-1.5270513354504869E-2</v>
      </c>
    </row>
    <row r="152" spans="1:20" x14ac:dyDescent="0.25">
      <c r="A152" s="5">
        <v>44441</v>
      </c>
      <c r="B152">
        <v>115.3</v>
      </c>
      <c r="C152">
        <v>118.6</v>
      </c>
      <c r="D152">
        <v>111.6</v>
      </c>
      <c r="E152">
        <v>116.6</v>
      </c>
      <c r="F152">
        <v>19691.057000000001</v>
      </c>
      <c r="G152">
        <v>116.6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0.42857142857142855</v>
      </c>
      <c r="Q152">
        <f t="shared" ref="Q152" si="736">F152*P152</f>
        <v>8439.0244285714289</v>
      </c>
      <c r="R152">
        <f t="shared" ref="R152" si="737">R153+Q152</f>
        <v>-1520431.6813838203</v>
      </c>
      <c r="S152">
        <f t="shared" ref="S152" si="738">R152/100000</f>
        <v>-15.204316813838203</v>
      </c>
      <c r="T152">
        <f t="shared" ref="T152" si="739">S152/1000</f>
        <v>-1.5204316813838202E-2</v>
      </c>
    </row>
    <row r="153" spans="1:20" x14ac:dyDescent="0.25">
      <c r="A153" s="5">
        <v>44440</v>
      </c>
      <c r="B153">
        <v>110</v>
      </c>
      <c r="C153">
        <v>119.9</v>
      </c>
      <c r="D153">
        <v>108.8</v>
      </c>
      <c r="E153">
        <v>115.6</v>
      </c>
      <c r="F153">
        <v>30564.244999999999</v>
      </c>
      <c r="G153">
        <v>115.6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0.22522522522522379</v>
      </c>
      <c r="Q153">
        <f t="shared" ref="Q153" si="741">F153*P153</f>
        <v>6883.8389639639199</v>
      </c>
      <c r="R153">
        <f t="shared" ref="R153" si="742">R154+Q153</f>
        <v>-1528870.7058123916</v>
      </c>
      <c r="S153">
        <f t="shared" ref="S153" si="743">R153/100000</f>
        <v>-15.288707058123915</v>
      </c>
      <c r="T153">
        <f t="shared" ref="T153" si="744">S153/1000</f>
        <v>-1.5288707058123916E-2</v>
      </c>
    </row>
    <row r="154" spans="1:20" x14ac:dyDescent="0.25">
      <c r="A154" s="5">
        <v>44439</v>
      </c>
      <c r="B154">
        <v>108.6</v>
      </c>
      <c r="C154">
        <v>117.4</v>
      </c>
      <c r="D154">
        <v>107.1</v>
      </c>
      <c r="E154">
        <v>109.8</v>
      </c>
      <c r="F154">
        <v>45559.692000000003</v>
      </c>
      <c r="G154">
        <v>109.8</v>
      </c>
      <c r="L154" t="s">
        <v>8</v>
      </c>
      <c r="M154" t="s">
        <v>7</v>
      </c>
      <c r="N154" t="s">
        <v>7</v>
      </c>
      <c r="P154">
        <f t="shared" ref="P154" si="745">IF(C154=D154,0,((E154-D154)-(C154-E154))/(C154-D154))</f>
        <v>-0.47572815533980584</v>
      </c>
      <c r="Q154">
        <f t="shared" ref="Q154" si="746">F154*P154</f>
        <v>-21674.028233009711</v>
      </c>
      <c r="R154">
        <f t="shared" ref="R154" si="747">R155+Q154</f>
        <v>-1535754.5447763556</v>
      </c>
      <c r="S154">
        <f t="shared" ref="S154" si="748">R154/100000</f>
        <v>-15.357545447763556</v>
      </c>
      <c r="T154">
        <f t="shared" ref="T154" si="749">S154/1000</f>
        <v>-1.5357545447763556E-2</v>
      </c>
    </row>
    <row r="155" spans="1:20" x14ac:dyDescent="0.25">
      <c r="A155" s="5">
        <v>44438</v>
      </c>
      <c r="B155">
        <v>117.5</v>
      </c>
      <c r="C155">
        <v>122.9</v>
      </c>
      <c r="D155">
        <v>108.3</v>
      </c>
      <c r="E155">
        <v>108.6</v>
      </c>
      <c r="F155">
        <v>33508.572999999997</v>
      </c>
      <c r="G155">
        <v>108.6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-0.95890410958904149</v>
      </c>
      <c r="Q155">
        <f t="shared" ref="Q155" si="751">F155*P155</f>
        <v>-32131.508356164395</v>
      </c>
      <c r="R155">
        <f t="shared" ref="R155" si="752">R156+Q155</f>
        <v>-1514080.516543346</v>
      </c>
      <c r="S155">
        <f t="shared" ref="S155" si="753">R155/100000</f>
        <v>-15.140805165433459</v>
      </c>
      <c r="T155">
        <f t="shared" ref="T155" si="754">S155/1000</f>
        <v>-1.5140805165433459E-2</v>
      </c>
    </row>
    <row r="156" spans="1:20" x14ac:dyDescent="0.25">
      <c r="A156" s="5">
        <v>44437</v>
      </c>
      <c r="B156">
        <v>127</v>
      </c>
      <c r="C156">
        <v>128.4</v>
      </c>
      <c r="D156">
        <v>115.5</v>
      </c>
      <c r="E156">
        <v>117.6</v>
      </c>
      <c r="F156">
        <v>44713.226000000002</v>
      </c>
      <c r="G156">
        <v>117.6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-0.67441860465116377</v>
      </c>
      <c r="Q156">
        <f t="shared" ref="Q156" si="756">F156*P156</f>
        <v>-30155.431488372138</v>
      </c>
      <c r="R156">
        <f t="shared" ref="R156" si="757">R157+Q156</f>
        <v>-1481949.0081871815</v>
      </c>
      <c r="S156">
        <f t="shared" ref="S156" si="758">R156/100000</f>
        <v>-14.819490081871816</v>
      </c>
      <c r="T156">
        <f t="shared" ref="T156" si="759">S156/1000</f>
        <v>-1.4819490081871816E-2</v>
      </c>
    </row>
    <row r="157" spans="1:20" x14ac:dyDescent="0.25">
      <c r="A157" s="5">
        <v>44436</v>
      </c>
      <c r="B157">
        <v>128</v>
      </c>
      <c r="C157">
        <v>134.6</v>
      </c>
      <c r="D157">
        <v>124.3</v>
      </c>
      <c r="E157">
        <v>127</v>
      </c>
      <c r="F157">
        <v>75904.911999999997</v>
      </c>
      <c r="G157">
        <v>127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-0.47572815533980511</v>
      </c>
      <c r="Q157">
        <f t="shared" ref="Q157" si="761">F157*P157</f>
        <v>-36110.103766990236</v>
      </c>
      <c r="R157">
        <f t="shared" ref="R157" si="762">R158+Q157</f>
        <v>-1451793.5766988094</v>
      </c>
      <c r="S157">
        <f t="shared" ref="S157" si="763">R157/100000</f>
        <v>-14.517935766988094</v>
      </c>
      <c r="T157">
        <f t="shared" ref="T157" si="764">S157/1000</f>
        <v>-1.4517935766988094E-2</v>
      </c>
    </row>
    <row r="158" spans="1:20" x14ac:dyDescent="0.25">
      <c r="A158" s="5">
        <v>44435</v>
      </c>
      <c r="B158">
        <v>127.3</v>
      </c>
      <c r="C158">
        <v>158.80000000000001</v>
      </c>
      <c r="D158">
        <v>121</v>
      </c>
      <c r="E158">
        <v>127.9</v>
      </c>
      <c r="F158">
        <v>308530.21100000001</v>
      </c>
      <c r="G158">
        <v>127.9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-0.63492063492063477</v>
      </c>
      <c r="Q158">
        <f t="shared" ref="Q158" si="766">F158*P158</f>
        <v>-195892.19746031743</v>
      </c>
      <c r="R158">
        <f t="shared" ref="R158" si="767">R159+Q158</f>
        <v>-1415683.4729318193</v>
      </c>
      <c r="S158">
        <f t="shared" ref="S158" si="768">R158/100000</f>
        <v>-14.156834729318193</v>
      </c>
      <c r="T158">
        <f t="shared" ref="T158" si="769">S158/1000</f>
        <v>-1.4156834729318193E-2</v>
      </c>
    </row>
    <row r="159" spans="1:20" x14ac:dyDescent="0.25">
      <c r="A159" s="5">
        <v>44434</v>
      </c>
      <c r="B159">
        <v>94.99</v>
      </c>
      <c r="C159">
        <v>177</v>
      </c>
      <c r="D159">
        <v>93.5</v>
      </c>
      <c r="E159">
        <v>127.5</v>
      </c>
      <c r="F159">
        <v>840979.55900000001</v>
      </c>
      <c r="G159">
        <v>127.5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-0.18562874251497005</v>
      </c>
      <c r="Q159">
        <f t="shared" ref="Q159" si="771">F159*P159</f>
        <v>-156109.97801796408</v>
      </c>
      <c r="R159">
        <f t="shared" ref="R159" si="772">R160+Q159</f>
        <v>-1219791.2754715018</v>
      </c>
      <c r="S159">
        <f t="shared" ref="S159" si="773">R159/100000</f>
        <v>-12.197912754715018</v>
      </c>
      <c r="T159">
        <f t="shared" ref="T159" si="774">S159/1000</f>
        <v>-1.2197912754715018E-2</v>
      </c>
    </row>
    <row r="160" spans="1:20" x14ac:dyDescent="0.25">
      <c r="A160" s="5">
        <v>44433</v>
      </c>
      <c r="B160">
        <v>91.68</v>
      </c>
      <c r="C160">
        <v>100.53</v>
      </c>
      <c r="D160">
        <v>90.1</v>
      </c>
      <c r="E160">
        <v>94.98</v>
      </c>
      <c r="F160">
        <v>16933.82</v>
      </c>
      <c r="G160">
        <v>94.98</v>
      </c>
      <c r="L160" t="s">
        <v>8</v>
      </c>
      <c r="M160" t="s">
        <v>7</v>
      </c>
      <c r="N160" t="s">
        <v>7</v>
      </c>
      <c r="P160">
        <f t="shared" ref="P160" si="775">IF(C160=D160,0,((E160-D160)-(C160-E160))/(C160-D160))</f>
        <v>-6.4237775647170384E-2</v>
      </c>
      <c r="Q160">
        <f t="shared" ref="Q160" si="776">F160*P160</f>
        <v>-1087.7909300095669</v>
      </c>
      <c r="R160">
        <f t="shared" ref="R160" si="777">R161+Q160</f>
        <v>-1063681.2974535376</v>
      </c>
      <c r="S160">
        <f t="shared" ref="S160" si="778">R160/100000</f>
        <v>-10.636812974535376</v>
      </c>
      <c r="T160">
        <f t="shared" ref="T160" si="779">S160/1000</f>
        <v>-1.0636812974535377E-2</v>
      </c>
    </row>
    <row r="161" spans="1:20" x14ac:dyDescent="0.25">
      <c r="A161" s="5">
        <v>44432</v>
      </c>
      <c r="B161">
        <v>96.16</v>
      </c>
      <c r="C161">
        <v>97.34</v>
      </c>
      <c r="D161">
        <v>91.15</v>
      </c>
      <c r="E161">
        <v>91.66</v>
      </c>
      <c r="F161">
        <v>10717.79</v>
      </c>
      <c r="G161">
        <v>91.66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-0.83521809369951827</v>
      </c>
      <c r="Q161">
        <f t="shared" ref="Q161" si="781">F161*P161</f>
        <v>-8951.6921324717605</v>
      </c>
      <c r="R161">
        <f t="shared" ref="R161" si="782">R162+Q161</f>
        <v>-1062593.5065235279</v>
      </c>
      <c r="S161">
        <f t="shared" ref="S161" si="783">R161/100000</f>
        <v>-10.625935065235279</v>
      </c>
      <c r="T161">
        <f t="shared" ref="T161" si="784">S161/1000</f>
        <v>-1.0625935065235279E-2</v>
      </c>
    </row>
    <row r="162" spans="1:20" x14ac:dyDescent="0.25">
      <c r="A162" s="5">
        <v>44431</v>
      </c>
      <c r="B162">
        <v>94.29</v>
      </c>
      <c r="C162">
        <v>96.66</v>
      </c>
      <c r="D162">
        <v>93.04</v>
      </c>
      <c r="E162">
        <v>95.94</v>
      </c>
      <c r="F162">
        <v>9134.5499999999993</v>
      </c>
      <c r="G162">
        <v>95.94</v>
      </c>
      <c r="L162" t="s">
        <v>8</v>
      </c>
      <c r="M162" t="s">
        <v>7</v>
      </c>
      <c r="N162" t="s">
        <v>7</v>
      </c>
      <c r="P162">
        <f t="shared" ref="P162" si="785">IF(C162=D162,0,((E162-D162)-(C162-E162))/(C162-D162))</f>
        <v>0.60220994475138079</v>
      </c>
      <c r="Q162">
        <f t="shared" ref="Q162" si="786">F162*P162</f>
        <v>5500.9168508287248</v>
      </c>
      <c r="R162">
        <f t="shared" ref="R162" si="787">R163+Q162</f>
        <v>-1053641.8143910561</v>
      </c>
      <c r="S162">
        <f t="shared" ref="S162" si="788">R162/100000</f>
        <v>-10.536418143910561</v>
      </c>
      <c r="T162">
        <f t="shared" ref="T162" si="789">S162/1000</f>
        <v>-1.0536418143910561E-2</v>
      </c>
    </row>
    <row r="163" spans="1:20" x14ac:dyDescent="0.25">
      <c r="A163" s="5">
        <v>44430</v>
      </c>
      <c r="B163">
        <v>93.54</v>
      </c>
      <c r="C163">
        <v>94.31</v>
      </c>
      <c r="D163">
        <v>92.24</v>
      </c>
      <c r="E163">
        <v>93.58</v>
      </c>
      <c r="F163">
        <v>1593.54</v>
      </c>
      <c r="G163">
        <v>93.58</v>
      </c>
      <c r="L163" t="s">
        <v>8</v>
      </c>
      <c r="M163" t="s">
        <v>7</v>
      </c>
      <c r="N163" t="s">
        <v>7</v>
      </c>
      <c r="P163">
        <f t="shared" ref="P163" si="790">IF(C163=D163,0,((E163-D163)-(C163-E163))/(C163-D163))</f>
        <v>0.29468599033816295</v>
      </c>
      <c r="Q163">
        <f t="shared" ref="Q163" si="791">F163*P163</f>
        <v>469.59391304347616</v>
      </c>
      <c r="R163">
        <f t="shared" ref="R163" si="792">R164+Q163</f>
        <v>-1059142.7312418849</v>
      </c>
      <c r="S163">
        <f t="shared" ref="S163" si="793">R163/100000</f>
        <v>-10.591427312418849</v>
      </c>
      <c r="T163">
        <f t="shared" ref="T163" si="794">S163/1000</f>
        <v>-1.059142731241885E-2</v>
      </c>
    </row>
    <row r="164" spans="1:20" x14ac:dyDescent="0.25">
      <c r="A164" s="5">
        <v>44429</v>
      </c>
      <c r="B164">
        <v>93.69</v>
      </c>
      <c r="C164">
        <v>97.99</v>
      </c>
      <c r="D164">
        <v>91.79</v>
      </c>
      <c r="E164">
        <v>93.51</v>
      </c>
      <c r="F164">
        <v>15515.39</v>
      </c>
      <c r="G164">
        <v>93.51</v>
      </c>
      <c r="L164" t="s">
        <v>8</v>
      </c>
      <c r="M164" t="s">
        <v>7</v>
      </c>
      <c r="N164" t="s">
        <v>7</v>
      </c>
      <c r="P164">
        <f t="shared" ref="P164" si="795">IF(C164=D164,0,((E164-D164)-(C164-E164))/(C164-D164))</f>
        <v>-0.44516129032258001</v>
      </c>
      <c r="Q164">
        <f t="shared" ref="Q164" si="796">F164*P164</f>
        <v>-6906.8510322580541</v>
      </c>
      <c r="R164">
        <f t="shared" ref="R164" si="797">R165+Q164</f>
        <v>-1059612.3251549283</v>
      </c>
      <c r="S164">
        <f t="shared" ref="S164" si="798">R164/100000</f>
        <v>-10.596123251549283</v>
      </c>
      <c r="T164">
        <f t="shared" ref="T164" si="799">S164/1000</f>
        <v>-1.0596123251549284E-2</v>
      </c>
    </row>
    <row r="165" spans="1:20" x14ac:dyDescent="0.25">
      <c r="A165" s="5">
        <v>44428</v>
      </c>
      <c r="B165">
        <v>90.37</v>
      </c>
      <c r="C165">
        <v>94.62</v>
      </c>
      <c r="D165">
        <v>89.75</v>
      </c>
      <c r="E165">
        <v>93.69</v>
      </c>
      <c r="F165">
        <v>7926.65</v>
      </c>
      <c r="G165">
        <v>93.69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0.61806981519506943</v>
      </c>
      <c r="Q165">
        <f t="shared" ref="Q165" si="801">F165*P165</f>
        <v>4899.2231006159973</v>
      </c>
      <c r="R165">
        <f t="shared" ref="R165" si="802">R166+Q165</f>
        <v>-1052705.4741226702</v>
      </c>
      <c r="S165">
        <f t="shared" ref="S165" si="803">R165/100000</f>
        <v>-10.527054741226703</v>
      </c>
      <c r="T165">
        <f t="shared" ref="T165" si="804">S165/1000</f>
        <v>-1.0527054741226703E-2</v>
      </c>
    </row>
    <row r="166" spans="1:20" x14ac:dyDescent="0.25">
      <c r="A166" s="5">
        <v>44427</v>
      </c>
      <c r="B166">
        <v>86.95</v>
      </c>
      <c r="C166">
        <v>90.43</v>
      </c>
      <c r="D166">
        <v>85.91</v>
      </c>
      <c r="E166">
        <v>89.8</v>
      </c>
      <c r="F166">
        <v>8770.19</v>
      </c>
      <c r="G166">
        <v>89.8</v>
      </c>
      <c r="L166" t="s">
        <v>7</v>
      </c>
      <c r="M166" t="s">
        <v>7</v>
      </c>
      <c r="N166" t="s">
        <v>7</v>
      </c>
      <c r="P166">
        <f t="shared" ref="P166" si="805">IF(C166=D166,0,((E166-D166)-(C166-E166))/(C166-D166))</f>
        <v>0.72123893805309369</v>
      </c>
      <c r="Q166">
        <f t="shared" ref="Q166" si="806">F166*P166</f>
        <v>6325.4025221238626</v>
      </c>
      <c r="R166">
        <f t="shared" ref="R166" si="807">R167+Q166</f>
        <v>-1057604.6972232861</v>
      </c>
      <c r="S166">
        <f t="shared" ref="S166" si="808">R166/100000</f>
        <v>-10.576046972232861</v>
      </c>
      <c r="T166">
        <f t="shared" ref="T166" si="809">S166/1000</f>
        <v>-1.0576046972232861E-2</v>
      </c>
    </row>
    <row r="167" spans="1:20" x14ac:dyDescent="0.25">
      <c r="A167" s="5">
        <v>44426</v>
      </c>
      <c r="B167">
        <v>90.25</v>
      </c>
      <c r="C167">
        <v>91.22</v>
      </c>
      <c r="D167">
        <v>86.19</v>
      </c>
      <c r="E167">
        <v>86.95</v>
      </c>
      <c r="F167">
        <v>7659.86</v>
      </c>
      <c r="G167">
        <v>86.95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-0.69781312127236383</v>
      </c>
      <c r="Q167">
        <f t="shared" ref="Q167" si="811">F167*P167</f>
        <v>-5345.1508151093285</v>
      </c>
      <c r="R167">
        <f t="shared" ref="R167" si="812">R168+Q167</f>
        <v>-1063930.09974541</v>
      </c>
      <c r="S167">
        <f t="shared" ref="S167" si="813">R167/100000</f>
        <v>-10.6393009974541</v>
      </c>
      <c r="T167">
        <f t="shared" ref="T167" si="814">S167/1000</f>
        <v>-1.0639300997454099E-2</v>
      </c>
    </row>
    <row r="168" spans="1:20" x14ac:dyDescent="0.25">
      <c r="A168" s="5">
        <v>44425</v>
      </c>
      <c r="B168">
        <v>94.08</v>
      </c>
      <c r="C168">
        <v>95.82</v>
      </c>
      <c r="D168">
        <v>89.94</v>
      </c>
      <c r="E168">
        <v>90.25</v>
      </c>
      <c r="F168">
        <v>9608.84</v>
      </c>
      <c r="G168">
        <v>90.25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-0.89455782312925081</v>
      </c>
      <c r="Q168">
        <f t="shared" ref="Q168" si="816">F168*P168</f>
        <v>-8595.6629931972711</v>
      </c>
      <c r="R168">
        <f t="shared" ref="R168" si="817">R169+Q168</f>
        <v>-1058584.9489303008</v>
      </c>
      <c r="S168">
        <f t="shared" ref="S168" si="818">R168/100000</f>
        <v>-10.585849489303008</v>
      </c>
      <c r="T168">
        <f t="shared" ref="T168" si="819">S168/1000</f>
        <v>-1.0585849489303009E-2</v>
      </c>
    </row>
    <row r="169" spans="1:20" x14ac:dyDescent="0.25">
      <c r="A169" s="5">
        <v>44424</v>
      </c>
      <c r="B169">
        <v>95.9</v>
      </c>
      <c r="C169">
        <v>98.8</v>
      </c>
      <c r="D169">
        <v>93.44</v>
      </c>
      <c r="E169">
        <v>93.84</v>
      </c>
      <c r="F169">
        <v>12680.24</v>
      </c>
      <c r="G169">
        <v>93.84</v>
      </c>
      <c r="L169" t="s">
        <v>7</v>
      </c>
      <c r="M169" t="s">
        <v>7</v>
      </c>
      <c r="N169" t="s">
        <v>7</v>
      </c>
      <c r="P169">
        <f t="shared" ref="P169" si="820">IF(C169=D169,0,((E169-D169)-(C169-E169))/(C169-D169))</f>
        <v>-0.85074626865671432</v>
      </c>
      <c r="Q169">
        <f t="shared" ref="Q169" si="821">F169*P169</f>
        <v>-10787.666865671616</v>
      </c>
      <c r="R169">
        <f t="shared" ref="R169" si="822">R170+Q169</f>
        <v>-1049989.2859371034</v>
      </c>
      <c r="S169">
        <f t="shared" ref="S169" si="823">R169/100000</f>
        <v>-10.499892859371034</v>
      </c>
      <c r="T169">
        <f t="shared" ref="T169" si="824">S169/1000</f>
        <v>-1.0499892859371035E-2</v>
      </c>
    </row>
    <row r="170" spans="1:20" x14ac:dyDescent="0.25">
      <c r="A170" s="5">
        <v>44423</v>
      </c>
      <c r="B170">
        <v>96.07</v>
      </c>
      <c r="C170">
        <v>97.17</v>
      </c>
      <c r="D170">
        <v>92.89</v>
      </c>
      <c r="E170">
        <v>95.9</v>
      </c>
      <c r="F170">
        <v>13871.56</v>
      </c>
      <c r="G170">
        <v>95.9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0.4065420560747684</v>
      </c>
      <c r="Q170">
        <f t="shared" ref="Q170" si="826">F170*P170</f>
        <v>5639.3725233645146</v>
      </c>
      <c r="R170">
        <f t="shared" ref="R170" si="827">R171+Q170</f>
        <v>-1039201.6190714318</v>
      </c>
      <c r="S170">
        <f t="shared" ref="S170" si="828">R170/100000</f>
        <v>-10.392016190714319</v>
      </c>
      <c r="T170">
        <f t="shared" ref="T170" si="829">S170/1000</f>
        <v>-1.039201619071432E-2</v>
      </c>
    </row>
    <row r="171" spans="1:20" x14ac:dyDescent="0.25">
      <c r="A171" s="5">
        <v>44422</v>
      </c>
      <c r="B171">
        <v>96.86</v>
      </c>
      <c r="C171">
        <v>97.49</v>
      </c>
      <c r="D171">
        <v>93.8</v>
      </c>
      <c r="E171">
        <v>96.07</v>
      </c>
      <c r="F171">
        <v>13837.83</v>
      </c>
      <c r="G171">
        <v>96.07</v>
      </c>
      <c r="L171" t="s">
        <v>7</v>
      </c>
      <c r="M171" t="s">
        <v>7</v>
      </c>
      <c r="N171" t="s">
        <v>7</v>
      </c>
      <c r="P171">
        <f t="shared" ref="P171" si="830">IF(C171=D171,0,((E171-D171)-(C171-E171))/(C171-D171))</f>
        <v>0.23035230352303382</v>
      </c>
      <c r="Q171">
        <f t="shared" ref="Q171" si="831">F171*P171</f>
        <v>3187.5760162601432</v>
      </c>
      <c r="R171">
        <f t="shared" ref="R171" si="832">R172+Q171</f>
        <v>-1044840.9915947963</v>
      </c>
      <c r="S171">
        <f t="shared" ref="S171" si="833">R171/100000</f>
        <v>-10.448409915947963</v>
      </c>
      <c r="T171">
        <f t="shared" ref="T171" si="834">S171/1000</f>
        <v>-1.0448409915947962E-2</v>
      </c>
    </row>
    <row r="172" spans="1:20" x14ac:dyDescent="0.25">
      <c r="A172" s="5">
        <v>44421</v>
      </c>
      <c r="B172">
        <v>93.06</v>
      </c>
      <c r="C172">
        <v>98.07</v>
      </c>
      <c r="D172">
        <v>92.4</v>
      </c>
      <c r="E172">
        <v>97.07</v>
      </c>
      <c r="F172">
        <v>16738.52</v>
      </c>
      <c r="G172">
        <v>97.07</v>
      </c>
      <c r="L172" t="s">
        <v>7</v>
      </c>
      <c r="M172" t="s">
        <v>7</v>
      </c>
      <c r="N172" t="s">
        <v>7</v>
      </c>
      <c r="P172">
        <f t="shared" ref="P172" si="835">IF(C172=D172,0,((E172-D172)-(C172-E172))/(C172-D172))</f>
        <v>0.64726631393297984</v>
      </c>
      <c r="Q172">
        <f t="shared" ref="Q172" si="836">F172*P172</f>
        <v>10834.280141093463</v>
      </c>
      <c r="R172">
        <f t="shared" ref="R172" si="837">R173+Q172</f>
        <v>-1048028.5676110565</v>
      </c>
      <c r="S172">
        <f t="shared" ref="S172" si="838">R172/100000</f>
        <v>-10.480285676110565</v>
      </c>
      <c r="T172">
        <f t="shared" ref="T172" si="839">S172/1000</f>
        <v>-1.0480285676110566E-2</v>
      </c>
    </row>
    <row r="173" spans="1:20" x14ac:dyDescent="0.25">
      <c r="A173" s="5">
        <v>44420</v>
      </c>
      <c r="B173">
        <v>94.84</v>
      </c>
      <c r="C173">
        <v>98.42</v>
      </c>
      <c r="D173">
        <v>91.7</v>
      </c>
      <c r="E173">
        <v>92.9</v>
      </c>
      <c r="F173">
        <v>24582.71</v>
      </c>
      <c r="G173">
        <v>92.9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-0.64285714285714191</v>
      </c>
      <c r="Q173">
        <f t="shared" ref="Q173" si="841">F173*P173</f>
        <v>-15803.17071428569</v>
      </c>
      <c r="R173">
        <f t="shared" ref="R173" si="842">R174+Q173</f>
        <v>-1058862.8477521499</v>
      </c>
      <c r="S173">
        <f t="shared" ref="S173" si="843">R173/100000</f>
        <v>-10.5886284775215</v>
      </c>
      <c r="T173">
        <f t="shared" ref="T173" si="844">S173/1000</f>
        <v>-1.0588628477521499E-2</v>
      </c>
    </row>
    <row r="174" spans="1:20" x14ac:dyDescent="0.25">
      <c r="A174" s="5">
        <v>44419</v>
      </c>
      <c r="B174">
        <v>94.92</v>
      </c>
      <c r="C174">
        <v>102.23</v>
      </c>
      <c r="D174">
        <v>92.9</v>
      </c>
      <c r="E174">
        <v>94.95</v>
      </c>
      <c r="F174">
        <v>59653.65</v>
      </c>
      <c r="G174">
        <v>94.95</v>
      </c>
      <c r="L174" t="s">
        <v>8</v>
      </c>
      <c r="M174" t="s">
        <v>7</v>
      </c>
      <c r="N174" t="s">
        <v>7</v>
      </c>
      <c r="P174">
        <f t="shared" ref="P174" si="845">IF(C174=D174,0,((E174-D174)-(C174-E174))/(C174-D174))</f>
        <v>-0.5605573419078248</v>
      </c>
      <c r="Q174">
        <f t="shared" ref="Q174" si="846">F174*P174</f>
        <v>-33439.291479099717</v>
      </c>
      <c r="R174">
        <f t="shared" ref="R174" si="847">R175+Q174</f>
        <v>-1043059.6770378642</v>
      </c>
      <c r="S174">
        <f t="shared" ref="S174" si="848">R174/100000</f>
        <v>-10.430596770378642</v>
      </c>
      <c r="T174">
        <f t="shared" ref="T174" si="849">S174/1000</f>
        <v>-1.0430596770378641E-2</v>
      </c>
    </row>
    <row r="175" spans="1:20" x14ac:dyDescent="0.25">
      <c r="A175" s="5">
        <v>44418</v>
      </c>
      <c r="B175">
        <v>92.01</v>
      </c>
      <c r="C175">
        <v>100</v>
      </c>
      <c r="D175">
        <v>90.12</v>
      </c>
      <c r="E175">
        <v>95.11</v>
      </c>
      <c r="F175">
        <v>34632</v>
      </c>
      <c r="G175">
        <v>95.11</v>
      </c>
      <c r="L175" t="s">
        <v>8</v>
      </c>
      <c r="M175" t="s">
        <v>7</v>
      </c>
      <c r="N175" t="s">
        <v>7</v>
      </c>
      <c r="P175">
        <f t="shared" ref="P175" si="850">IF(C175=D175,0,((E175-D175)-(C175-E175))/(C175-D175))</f>
        <v>1.0121457489877972E-2</v>
      </c>
      <c r="Q175">
        <f t="shared" ref="Q175" si="851">F175*P175</f>
        <v>350.52631578945392</v>
      </c>
      <c r="R175">
        <f t="shared" ref="R175" si="852">R176+Q175</f>
        <v>-1009620.3855587646</v>
      </c>
      <c r="S175">
        <f t="shared" ref="S175" si="853">R175/100000</f>
        <v>-10.096203855587646</v>
      </c>
      <c r="T175">
        <f t="shared" ref="T175" si="854">S175/1000</f>
        <v>-1.0096203855587646E-2</v>
      </c>
    </row>
    <row r="176" spans="1:20" x14ac:dyDescent="0.25">
      <c r="A176" s="5">
        <v>44417</v>
      </c>
      <c r="B176">
        <v>90.26</v>
      </c>
      <c r="C176">
        <v>95.5</v>
      </c>
      <c r="D176">
        <v>87.7</v>
      </c>
      <c r="E176">
        <v>92.05</v>
      </c>
      <c r="F176">
        <v>23357.18</v>
      </c>
      <c r="G176">
        <v>92.05</v>
      </c>
      <c r="L176" t="s">
        <v>7</v>
      </c>
      <c r="M176" t="s">
        <v>7</v>
      </c>
      <c r="N176" t="s">
        <v>7</v>
      </c>
      <c r="P176">
        <f t="shared" ref="P176" si="855">IF(C176=D176,0,((E176-D176)-(C176-E176))/(C176-D176))</f>
        <v>0.11538461538461434</v>
      </c>
      <c r="Q176">
        <f t="shared" ref="Q176" si="856">F176*P176</f>
        <v>2695.0592307692064</v>
      </c>
      <c r="R176">
        <f t="shared" ref="R176" si="857">R177+Q176</f>
        <v>-1009970.911874554</v>
      </c>
      <c r="S176">
        <f t="shared" ref="S176" si="858">R176/100000</f>
        <v>-10.09970911874554</v>
      </c>
      <c r="T176">
        <f t="shared" ref="T176" si="859">S176/1000</f>
        <v>-1.009970911874554E-2</v>
      </c>
    </row>
    <row r="177" spans="1:20" x14ac:dyDescent="0.25">
      <c r="A177" s="5">
        <v>44416</v>
      </c>
      <c r="B177">
        <v>95.57</v>
      </c>
      <c r="C177">
        <v>96</v>
      </c>
      <c r="D177">
        <v>88.38</v>
      </c>
      <c r="E177">
        <v>90.15</v>
      </c>
      <c r="F177">
        <v>33952.160000000003</v>
      </c>
      <c r="G177">
        <v>90.15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-0.53543307086613934</v>
      </c>
      <c r="Q177">
        <f t="shared" ref="Q177" si="861">F177*P177</f>
        <v>-18179.109291338504</v>
      </c>
      <c r="R177">
        <f t="shared" ref="R177" si="862">R178+Q177</f>
        <v>-1012665.9711053232</v>
      </c>
      <c r="S177">
        <f t="shared" ref="S177" si="863">R177/100000</f>
        <v>-10.126659711053232</v>
      </c>
      <c r="T177">
        <f t="shared" ref="T177" si="864">S177/1000</f>
        <v>-1.0126659711053232E-2</v>
      </c>
    </row>
    <row r="178" spans="1:20" x14ac:dyDescent="0.25">
      <c r="A178" s="5">
        <v>44415</v>
      </c>
      <c r="B178">
        <v>94.44</v>
      </c>
      <c r="C178">
        <v>99.67</v>
      </c>
      <c r="D178">
        <v>93.74</v>
      </c>
      <c r="E178">
        <v>95.44</v>
      </c>
      <c r="F178">
        <v>32409.8</v>
      </c>
      <c r="G178">
        <v>95.44</v>
      </c>
      <c r="L178" t="s">
        <v>8</v>
      </c>
      <c r="M178" t="s">
        <v>7</v>
      </c>
      <c r="N178" t="s">
        <v>7</v>
      </c>
      <c r="P178">
        <f t="shared" ref="P178" si="865">IF(C178=D178,0,((E178-D178)-(C178-E178))/(C178-D178))</f>
        <v>-0.42664418212478888</v>
      </c>
      <c r="Q178">
        <f t="shared" ref="Q178" si="866">F178*P178</f>
        <v>-13827.452613827982</v>
      </c>
      <c r="R178">
        <f t="shared" ref="R178" si="867">R179+Q178</f>
        <v>-994486.86181398469</v>
      </c>
      <c r="S178">
        <f t="shared" ref="S178" si="868">R178/100000</f>
        <v>-9.9448686181398465</v>
      </c>
      <c r="T178">
        <f t="shared" ref="T178" si="869">S178/1000</f>
        <v>-9.9448686181398457E-3</v>
      </c>
    </row>
    <row r="179" spans="1:20" x14ac:dyDescent="0.25">
      <c r="A179" s="5">
        <v>44414</v>
      </c>
      <c r="B179">
        <v>94.69</v>
      </c>
      <c r="C179">
        <v>96.89</v>
      </c>
      <c r="D179">
        <v>92.76</v>
      </c>
      <c r="E179">
        <v>94.44</v>
      </c>
      <c r="F179">
        <v>36484.629999999997</v>
      </c>
      <c r="G179">
        <v>94.44</v>
      </c>
      <c r="L179" t="s">
        <v>7</v>
      </c>
      <c r="M179" t="s">
        <v>7</v>
      </c>
      <c r="N179" t="s">
        <v>7</v>
      </c>
      <c r="P179">
        <f t="shared" ref="P179" si="870">IF(C179=D179,0,((E179-D179)-(C179-E179))/(C179-D179))</f>
        <v>-0.18644067796610439</v>
      </c>
      <c r="Q179">
        <f t="shared" ref="Q179" si="871">F179*P179</f>
        <v>-6802.2191525424705</v>
      </c>
      <c r="R179">
        <f t="shared" ref="R179" si="872">R180+Q179</f>
        <v>-980659.40920015669</v>
      </c>
      <c r="S179">
        <f t="shared" ref="S179" si="873">R179/100000</f>
        <v>-9.8065940920015677</v>
      </c>
      <c r="T179">
        <f t="shared" ref="T179" si="874">S179/1000</f>
        <v>-9.8065940920015679E-3</v>
      </c>
    </row>
    <row r="180" spans="1:20" x14ac:dyDescent="0.25">
      <c r="A180" s="5">
        <v>44413</v>
      </c>
      <c r="B180">
        <v>100.85</v>
      </c>
      <c r="C180">
        <v>102.63</v>
      </c>
      <c r="D180">
        <v>92.45</v>
      </c>
      <c r="E180">
        <v>94.42</v>
      </c>
      <c r="F180">
        <v>68920.850000000006</v>
      </c>
      <c r="G180">
        <v>94.42</v>
      </c>
      <c r="L180" t="s">
        <v>7</v>
      </c>
      <c r="M180" t="s">
        <v>7</v>
      </c>
      <c r="N180" t="s">
        <v>7</v>
      </c>
      <c r="P180">
        <f t="shared" ref="P180" si="875">IF(C180=D180,0,((E180-D180)-(C180-E180))/(C180-D180))</f>
        <v>-0.61296660117878188</v>
      </c>
      <c r="Q180">
        <f t="shared" ref="Q180" si="876">F180*P180</f>
        <v>-42246.179174852652</v>
      </c>
      <c r="R180">
        <f t="shared" ref="R180" si="877">R181+Q180</f>
        <v>-973857.19004761428</v>
      </c>
      <c r="S180">
        <f t="shared" ref="S180" si="878">R180/100000</f>
        <v>-9.738571900476142</v>
      </c>
      <c r="T180">
        <f t="shared" ref="T180" si="879">S180/1000</f>
        <v>-9.7385719004761413E-3</v>
      </c>
    </row>
    <row r="181" spans="1:20" x14ac:dyDescent="0.25">
      <c r="A181" s="5">
        <v>44412</v>
      </c>
      <c r="B181">
        <v>105.74</v>
      </c>
      <c r="C181">
        <v>109.15</v>
      </c>
      <c r="D181">
        <v>98.7</v>
      </c>
      <c r="E181">
        <v>100.83</v>
      </c>
      <c r="F181">
        <v>153669.70000000001</v>
      </c>
      <c r="G181">
        <v>100.83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-0.59234449760765651</v>
      </c>
      <c r="Q181">
        <f t="shared" ref="Q181" si="881">F181*P181</f>
        <v>-91025.401244019304</v>
      </c>
      <c r="R181">
        <f t="shared" ref="R181" si="882">R182+Q181</f>
        <v>-931611.0108727616</v>
      </c>
      <c r="S181">
        <f t="shared" ref="S181" si="883">R181/100000</f>
        <v>-9.3161101087276155</v>
      </c>
      <c r="T181">
        <f t="shared" ref="T181" si="884">S181/1000</f>
        <v>-9.3161101087276162E-3</v>
      </c>
    </row>
    <row r="182" spans="1:20" x14ac:dyDescent="0.25">
      <c r="A182" s="5">
        <v>44411</v>
      </c>
      <c r="B182">
        <v>106.74</v>
      </c>
      <c r="C182">
        <v>130.61000000000001</v>
      </c>
      <c r="D182">
        <v>101.91</v>
      </c>
      <c r="E182">
        <v>105.31</v>
      </c>
      <c r="F182">
        <v>435973.38</v>
      </c>
      <c r="G182">
        <v>105.31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-0.76306620209059206</v>
      </c>
      <c r="Q182">
        <f t="shared" ref="Q182" si="886">F182*P182</f>
        <v>-332676.55128919851</v>
      </c>
      <c r="R182">
        <f t="shared" ref="R182" si="887">R183+Q182</f>
        <v>-840585.60962874233</v>
      </c>
      <c r="S182">
        <f t="shared" ref="S182" si="888">R182/100000</f>
        <v>-8.4058560962874225</v>
      </c>
      <c r="T182">
        <f t="shared" ref="T182" si="889">S182/1000</f>
        <v>-8.4058560962874222E-3</v>
      </c>
    </row>
    <row r="183" spans="1:20" x14ac:dyDescent="0.25">
      <c r="A183" s="5">
        <v>44410</v>
      </c>
      <c r="B183">
        <v>82.93</v>
      </c>
      <c r="C183">
        <v>119</v>
      </c>
      <c r="D183">
        <v>78.27</v>
      </c>
      <c r="E183">
        <v>106.48</v>
      </c>
      <c r="F183">
        <v>456740.31</v>
      </c>
      <c r="G183">
        <v>106.48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0.38521973974957058</v>
      </c>
      <c r="Q183">
        <f t="shared" ref="Q183" si="891">F183*P183</f>
        <v>175945.38335133818</v>
      </c>
      <c r="R183">
        <f t="shared" ref="R183" si="892">R184+Q183</f>
        <v>-507909.05833954387</v>
      </c>
      <c r="S183">
        <f t="shared" ref="S183" si="893">R183/100000</f>
        <v>-5.0790905833954385</v>
      </c>
      <c r="T183">
        <f t="shared" ref="T183" si="894">S183/1000</f>
        <v>-5.0790905833954384E-3</v>
      </c>
    </row>
    <row r="184" spans="1:20" x14ac:dyDescent="0.25">
      <c r="A184" s="5">
        <v>44409</v>
      </c>
      <c r="B184">
        <v>78.66</v>
      </c>
      <c r="C184">
        <v>98.54</v>
      </c>
      <c r="D184">
        <v>77.47</v>
      </c>
      <c r="E184">
        <v>83.56</v>
      </c>
      <c r="F184">
        <v>71799.45</v>
      </c>
      <c r="G184">
        <v>83.56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-0.4219269102990032</v>
      </c>
      <c r="Q184">
        <f t="shared" ref="Q184" si="896">F184*P184</f>
        <v>-30294.120099667765</v>
      </c>
      <c r="R184">
        <f t="shared" ref="R184" si="897">R185+Q184</f>
        <v>-683854.44169088209</v>
      </c>
      <c r="S184">
        <f t="shared" ref="S184" si="898">R184/100000</f>
        <v>-6.838544416908821</v>
      </c>
      <c r="T184">
        <f t="shared" ref="T184" si="899">S184/1000</f>
        <v>-6.8385444169088211E-3</v>
      </c>
    </row>
    <row r="185" spans="1:20" x14ac:dyDescent="0.25">
      <c r="A185" s="5">
        <v>44408</v>
      </c>
      <c r="B185">
        <v>78.58</v>
      </c>
      <c r="C185">
        <v>78.989999999999995</v>
      </c>
      <c r="D185">
        <v>76.22</v>
      </c>
      <c r="E185">
        <v>78.709999999999994</v>
      </c>
      <c r="F185">
        <v>4642.12</v>
      </c>
      <c r="G185">
        <v>78.709999999999994</v>
      </c>
      <c r="L185" t="s">
        <v>7</v>
      </c>
      <c r="M185" t="s">
        <v>8</v>
      </c>
      <c r="N185" t="s">
        <v>7</v>
      </c>
      <c r="P185">
        <f t="shared" ref="P185" si="900">IF(C185=D185,0,((E185-D185)-(C185-E185))/(C185-D185))</f>
        <v>0.79783393501804944</v>
      </c>
      <c r="Q185">
        <f t="shared" ref="Q185" si="901">F185*P185</f>
        <v>3703.6408664259875</v>
      </c>
      <c r="R185">
        <f t="shared" ref="R185" si="902">R186+Q185</f>
        <v>-653560.32159121428</v>
      </c>
      <c r="S185">
        <f t="shared" ref="S185" si="903">R185/100000</f>
        <v>-6.5356032159121424</v>
      </c>
      <c r="T185">
        <f t="shared" ref="T185" si="904">S185/1000</f>
        <v>-6.5356032159121424E-3</v>
      </c>
    </row>
    <row r="186" spans="1:20" x14ac:dyDescent="0.25">
      <c r="A186" s="5">
        <v>44407</v>
      </c>
      <c r="B186">
        <v>73.02</v>
      </c>
      <c r="C186">
        <v>83.67</v>
      </c>
      <c r="D186">
        <v>71.900000000000006</v>
      </c>
      <c r="E186">
        <v>78.58</v>
      </c>
      <c r="F186">
        <v>21658.26</v>
      </c>
      <c r="G186">
        <v>78.58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0.13508920985556414</v>
      </c>
      <c r="Q186">
        <f t="shared" ref="Q186" si="906">F186*P186</f>
        <v>2925.7972302463704</v>
      </c>
      <c r="R186">
        <f t="shared" ref="R186" si="907">R187+Q186</f>
        <v>-657263.96245764021</v>
      </c>
      <c r="S186">
        <f t="shared" ref="S186" si="908">R186/100000</f>
        <v>-6.5726396245764018</v>
      </c>
      <c r="T186">
        <f t="shared" ref="T186" si="909">S186/1000</f>
        <v>-6.5726396245764018E-3</v>
      </c>
    </row>
    <row r="187" spans="1:20" x14ac:dyDescent="0.25">
      <c r="A187" s="5">
        <v>44406</v>
      </c>
      <c r="B187">
        <v>72.72</v>
      </c>
      <c r="C187">
        <v>73.5</v>
      </c>
      <c r="D187">
        <v>71.599999999999994</v>
      </c>
      <c r="E187">
        <v>73</v>
      </c>
      <c r="F187">
        <v>4815.87</v>
      </c>
      <c r="G187">
        <v>73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0.47368421052631737</v>
      </c>
      <c r="Q187">
        <f t="shared" ref="Q187" si="911">F187*P187</f>
        <v>2281.2015789473762</v>
      </c>
      <c r="R187">
        <f t="shared" ref="R187" si="912">R188+Q187</f>
        <v>-660189.75968788657</v>
      </c>
      <c r="S187">
        <f t="shared" ref="S187" si="913">R187/100000</f>
        <v>-6.6018975968788656</v>
      </c>
      <c r="T187">
        <f t="shared" ref="T187" si="914">S187/1000</f>
        <v>-6.6018975968788656E-3</v>
      </c>
    </row>
    <row r="188" spans="1:20" x14ac:dyDescent="0.25">
      <c r="A188" s="5">
        <v>44405</v>
      </c>
      <c r="B188">
        <v>72.36</v>
      </c>
      <c r="C188">
        <v>74.37</v>
      </c>
      <c r="D188">
        <v>70.510000000000005</v>
      </c>
      <c r="E188">
        <v>72.52</v>
      </c>
      <c r="F188">
        <v>9275.69</v>
      </c>
      <c r="G188">
        <v>72.52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4.1450777202067982E-2</v>
      </c>
      <c r="Q188">
        <f t="shared" ref="Q188" si="916">F188*P188</f>
        <v>384.48455958544997</v>
      </c>
      <c r="R188">
        <f t="shared" ref="R188" si="917">R189+Q188</f>
        <v>-662470.96126683394</v>
      </c>
      <c r="S188">
        <f t="shared" ref="S188" si="918">R188/100000</f>
        <v>-6.6247096126683394</v>
      </c>
      <c r="T188">
        <f t="shared" ref="T188" si="919">S188/1000</f>
        <v>-6.6247096126683391E-3</v>
      </c>
    </row>
    <row r="189" spans="1:20" x14ac:dyDescent="0.25">
      <c r="A189" s="5">
        <v>44404</v>
      </c>
      <c r="B189">
        <v>71.73</v>
      </c>
      <c r="C189">
        <v>72.91</v>
      </c>
      <c r="D189">
        <v>68.33</v>
      </c>
      <c r="E189">
        <v>72.36</v>
      </c>
      <c r="F189">
        <v>7205.99</v>
      </c>
      <c r="G189">
        <v>72.36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0.75982532751091814</v>
      </c>
      <c r="Q189">
        <f t="shared" ref="Q189" si="921">F189*P189</f>
        <v>5475.2937117904012</v>
      </c>
      <c r="R189">
        <f t="shared" ref="R189" si="922">R190+Q189</f>
        <v>-662855.4458264194</v>
      </c>
      <c r="S189">
        <f t="shared" ref="S189" si="923">R189/100000</f>
        <v>-6.628554458264194</v>
      </c>
      <c r="T189">
        <f t="shared" ref="T189" si="924">S189/1000</f>
        <v>-6.628554458264194E-3</v>
      </c>
    </row>
    <row r="190" spans="1:20" x14ac:dyDescent="0.25">
      <c r="A190" s="5">
        <v>44403</v>
      </c>
      <c r="B190">
        <v>74.55</v>
      </c>
      <c r="C190">
        <v>80</v>
      </c>
      <c r="D190">
        <v>70.92</v>
      </c>
      <c r="E190">
        <v>71.14</v>
      </c>
      <c r="F190">
        <v>14458.07</v>
      </c>
      <c r="G190">
        <v>71.14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-0.95154185022026461</v>
      </c>
      <c r="Q190">
        <f t="shared" ref="Q190" si="926">F190*P190</f>
        <v>-13757.458678414101</v>
      </c>
      <c r="R190">
        <f t="shared" ref="R190" si="927">R191+Q190</f>
        <v>-668330.73953820975</v>
      </c>
      <c r="S190">
        <f t="shared" ref="S190" si="928">R190/100000</f>
        <v>-6.6833073953820978</v>
      </c>
      <c r="T190">
        <f t="shared" ref="T190" si="929">S190/1000</f>
        <v>-6.683307395382098E-3</v>
      </c>
    </row>
    <row r="191" spans="1:20" x14ac:dyDescent="0.25">
      <c r="A191" s="5">
        <v>44402</v>
      </c>
      <c r="B191">
        <v>70.38</v>
      </c>
      <c r="C191">
        <v>77.5</v>
      </c>
      <c r="D191">
        <v>69.7</v>
      </c>
      <c r="E191">
        <v>74.87</v>
      </c>
      <c r="F191">
        <v>11177.4</v>
      </c>
      <c r="G191">
        <v>74.87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0.32564102564102654</v>
      </c>
      <c r="Q191">
        <f t="shared" ref="Q191" si="931">F191*P191</f>
        <v>3639.8200000000097</v>
      </c>
      <c r="R191">
        <f t="shared" ref="R191" si="932">R192+Q191</f>
        <v>-654573.28085979563</v>
      </c>
      <c r="S191">
        <f t="shared" ref="S191" si="933">R191/100000</f>
        <v>-6.5457328085979567</v>
      </c>
      <c r="T191">
        <f t="shared" ref="T191:T197" si="934">S191/1000</f>
        <v>-6.5457328085979571E-3</v>
      </c>
    </row>
    <row r="192" spans="1:20" x14ac:dyDescent="0.25">
      <c r="A192" s="5">
        <v>44401</v>
      </c>
      <c r="B192">
        <v>72.17</v>
      </c>
      <c r="C192">
        <v>75.5</v>
      </c>
      <c r="D192">
        <v>69.010000000000005</v>
      </c>
      <c r="E192">
        <v>70.38</v>
      </c>
      <c r="F192">
        <v>10388.75</v>
      </c>
      <c r="G192">
        <v>70.38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-0.5778120184899872</v>
      </c>
      <c r="Q192">
        <f t="shared" ref="Q192" si="936">F192*P192</f>
        <v>-6002.7446070878541</v>
      </c>
      <c r="R192">
        <f t="shared" ref="R192" si="937">R193+Q192</f>
        <v>-658213.1008597957</v>
      </c>
      <c r="S192">
        <f t="shared" ref="S192" si="938">R192/100000</f>
        <v>-6.5821310085979574</v>
      </c>
      <c r="T192">
        <f t="shared" si="934"/>
        <v>-6.5821310085979572E-3</v>
      </c>
    </row>
    <row r="193" spans="1:20" x14ac:dyDescent="0.25">
      <c r="A193" s="5">
        <v>44400</v>
      </c>
      <c r="B193">
        <v>70.290000000000006</v>
      </c>
      <c r="C193">
        <v>72.680000000000007</v>
      </c>
      <c r="D193">
        <v>68.81</v>
      </c>
      <c r="E193">
        <v>72.150000000000006</v>
      </c>
      <c r="F193">
        <v>8651.77</v>
      </c>
      <c r="G193">
        <v>72.150000000000006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0.72609819121447006</v>
      </c>
      <c r="Q193">
        <f t="shared" ref="Q193" si="940">F193*P193</f>
        <v>6282.0345478036161</v>
      </c>
      <c r="R193">
        <f t="shared" ref="R193" si="941">R194+Q193</f>
        <v>-652210.35625270789</v>
      </c>
      <c r="S193">
        <f t="shared" ref="S193" si="942">R193/100000</f>
        <v>-6.5221035625270787</v>
      </c>
      <c r="T193">
        <f t="shared" si="934"/>
        <v>-6.5221035625270783E-3</v>
      </c>
    </row>
    <row r="194" spans="1:20" x14ac:dyDescent="0.25">
      <c r="A194" s="5">
        <v>44399</v>
      </c>
      <c r="B194">
        <v>71.38</v>
      </c>
      <c r="C194">
        <v>73.39</v>
      </c>
      <c r="D194">
        <v>68.62</v>
      </c>
      <c r="E194">
        <v>70.290000000000006</v>
      </c>
      <c r="F194">
        <v>13314.26</v>
      </c>
      <c r="G194">
        <v>70.290000000000006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-0.29979035639412865</v>
      </c>
      <c r="Q194">
        <f t="shared" ref="Q194" si="944">F194*P194</f>
        <v>-3991.4867505240913</v>
      </c>
      <c r="R194">
        <f t="shared" ref="R194" si="945">R195+Q194</f>
        <v>-658492.39080051146</v>
      </c>
      <c r="S194">
        <f t="shared" ref="S194" si="946">R194/100000</f>
        <v>-6.5849239080051145</v>
      </c>
      <c r="T194">
        <f t="shared" si="934"/>
        <v>-6.5849239080051141E-3</v>
      </c>
    </row>
    <row r="195" spans="1:20" x14ac:dyDescent="0.25">
      <c r="A195" s="5">
        <v>44398</v>
      </c>
      <c r="B195">
        <v>64.45</v>
      </c>
      <c r="C195">
        <v>79.39</v>
      </c>
      <c r="D195">
        <v>63.2</v>
      </c>
      <c r="E195">
        <v>71.02</v>
      </c>
      <c r="F195">
        <v>25619.46</v>
      </c>
      <c r="G195">
        <v>71.02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-3.3971587399630111E-2</v>
      </c>
      <c r="Q195">
        <f t="shared" ref="Q195" si="948">F195*P195</f>
        <v>-870.33372452132767</v>
      </c>
      <c r="R195">
        <f t="shared" ref="R195" si="949">R196+Q195</f>
        <v>-654500.90404998732</v>
      </c>
      <c r="S195">
        <f t="shared" ref="S195" si="950">R195/100000</f>
        <v>-6.5450090404998731</v>
      </c>
      <c r="T195">
        <f t="shared" si="934"/>
        <v>-6.5450090404998735E-3</v>
      </c>
    </row>
    <row r="196" spans="1:20" x14ac:dyDescent="0.25">
      <c r="A196" s="5">
        <v>44397</v>
      </c>
      <c r="B196">
        <v>68.239999999999995</v>
      </c>
      <c r="C196">
        <v>68.36</v>
      </c>
      <c r="D196">
        <v>63</v>
      </c>
      <c r="E196">
        <v>64.47</v>
      </c>
      <c r="F196">
        <v>11835.76</v>
      </c>
      <c r="G196">
        <v>64.47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-0.4514925373134332</v>
      </c>
      <c r="Q196">
        <f t="shared" ref="Q196" si="952">F196*P196</f>
        <v>-5343.7573134328404</v>
      </c>
      <c r="R196">
        <f t="shared" ref="R196" si="953">R197+Q196</f>
        <v>-653630.57032546599</v>
      </c>
      <c r="S196">
        <f t="shared" ref="S196" si="954">R196/100000</f>
        <v>-6.5363057032546603</v>
      </c>
      <c r="T196">
        <f t="shared" si="934"/>
        <v>-6.5363057032546603E-3</v>
      </c>
    </row>
    <row r="197" spans="1:20" x14ac:dyDescent="0.25">
      <c r="A197" s="5">
        <v>44396</v>
      </c>
      <c r="B197">
        <v>76.23</v>
      </c>
      <c r="C197">
        <v>77.069999999999993</v>
      </c>
      <c r="D197">
        <v>67.78</v>
      </c>
      <c r="E197">
        <v>68.12</v>
      </c>
      <c r="F197">
        <v>25321.29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-0.92680301399354059</v>
      </c>
      <c r="Q197">
        <f t="shared" ref="Q197" si="956">F197*P197</f>
        <v>-23467.847890204499</v>
      </c>
      <c r="R197">
        <f t="shared" ref="R197" si="957">R198+Q197</f>
        <v>-648286.81301203312</v>
      </c>
      <c r="S197">
        <f t="shared" ref="S197" si="958">R197/100000</f>
        <v>-6.4828681301203313</v>
      </c>
      <c r="T197">
        <f t="shared" si="934"/>
        <v>-6.4828681301203313E-3</v>
      </c>
    </row>
    <row r="198" spans="1:20" x14ac:dyDescent="0.25">
      <c r="A198" s="5">
        <v>44395</v>
      </c>
      <c r="B198">
        <v>77.11</v>
      </c>
      <c r="C198">
        <v>79.010000000000005</v>
      </c>
      <c r="D198">
        <v>75.010000000000005</v>
      </c>
      <c r="E198">
        <v>76.2</v>
      </c>
      <c r="F198">
        <v>8096.79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-0.40500000000000114</v>
      </c>
      <c r="Q198">
        <f t="shared" ref="Q198:Q261" si="960">F198*P198</f>
        <v>-3279.1999500000093</v>
      </c>
      <c r="R198">
        <f t="shared" ref="R198:R261" si="961">R199+Q198</f>
        <v>-624818.9651218286</v>
      </c>
      <c r="S198">
        <f t="shared" ref="S198:S261" si="962">R198/100000</f>
        <v>-6.2481896512182864</v>
      </c>
      <c r="T198">
        <f t="shared" ref="T198:T261" si="963">S198/1000</f>
        <v>-6.2481896512182862E-3</v>
      </c>
    </row>
    <row r="199" spans="1:20" x14ac:dyDescent="0.25">
      <c r="A199" s="5">
        <v>44394</v>
      </c>
      <c r="B199">
        <v>76.27</v>
      </c>
      <c r="C199">
        <v>83.99</v>
      </c>
      <c r="D199">
        <v>74.97</v>
      </c>
      <c r="E199">
        <v>77.36</v>
      </c>
      <c r="F199">
        <v>23985.97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-0.47006651884700629</v>
      </c>
      <c r="Q199">
        <f t="shared" si="960"/>
        <v>-11275.001419068727</v>
      </c>
      <c r="R199">
        <f t="shared" si="961"/>
        <v>-621539.76517182856</v>
      </c>
      <c r="S199">
        <f t="shared" si="962"/>
        <v>-6.2153976517182858</v>
      </c>
      <c r="T199">
        <f t="shared" si="963"/>
        <v>-6.2153976517182862E-3</v>
      </c>
    </row>
    <row r="200" spans="1:20" x14ac:dyDescent="0.25">
      <c r="A200" s="5">
        <v>44393</v>
      </c>
      <c r="B200">
        <v>76.819999999999993</v>
      </c>
      <c r="C200">
        <v>89.97</v>
      </c>
      <c r="D200">
        <v>74.48</v>
      </c>
      <c r="E200">
        <v>76.33</v>
      </c>
      <c r="F200">
        <v>42507.96</v>
      </c>
      <c r="G200">
        <v>0</v>
      </c>
      <c r="L200" t="s">
        <v>7</v>
      </c>
      <c r="M200" t="s">
        <v>8</v>
      </c>
      <c r="N200" t="s">
        <v>7</v>
      </c>
      <c r="P200">
        <f t="shared" si="959"/>
        <v>-0.7611362169141388</v>
      </c>
      <c r="Q200">
        <f t="shared" si="960"/>
        <v>-32354.347863137536</v>
      </c>
      <c r="R200">
        <f t="shared" si="961"/>
        <v>-610264.76375275978</v>
      </c>
      <c r="S200">
        <f t="shared" si="962"/>
        <v>-6.102647637527598</v>
      </c>
      <c r="T200">
        <f t="shared" si="963"/>
        <v>-6.1026476375275977E-3</v>
      </c>
    </row>
    <row r="201" spans="1:20" x14ac:dyDescent="0.25">
      <c r="A201" s="5">
        <v>44392</v>
      </c>
      <c r="B201">
        <v>80.92</v>
      </c>
      <c r="C201">
        <v>84.63</v>
      </c>
      <c r="D201">
        <v>75.08</v>
      </c>
      <c r="E201">
        <v>76.88</v>
      </c>
      <c r="F201">
        <v>13842.61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-0.62303664921466018</v>
      </c>
      <c r="Q201">
        <f t="shared" si="960"/>
        <v>-8624.4533507853466</v>
      </c>
      <c r="R201">
        <f t="shared" si="961"/>
        <v>-577910.41588962229</v>
      </c>
      <c r="S201">
        <f t="shared" si="962"/>
        <v>-5.7791041588962226</v>
      </c>
      <c r="T201">
        <f t="shared" si="963"/>
        <v>-5.7791041588962228E-3</v>
      </c>
    </row>
    <row r="202" spans="1:20" x14ac:dyDescent="0.25">
      <c r="A202" s="5">
        <v>44391</v>
      </c>
      <c r="B202">
        <v>81.52</v>
      </c>
      <c r="C202">
        <v>87.47</v>
      </c>
      <c r="D202">
        <v>76.599999999999994</v>
      </c>
      <c r="E202">
        <v>80.930000000000007</v>
      </c>
      <c r="F202">
        <v>18432.21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-0.20331186752529701</v>
      </c>
      <c r="Q202">
        <f t="shared" si="960"/>
        <v>-3747.4870377184548</v>
      </c>
      <c r="R202">
        <f t="shared" si="961"/>
        <v>-569285.96253883699</v>
      </c>
      <c r="S202">
        <f t="shared" si="962"/>
        <v>-5.6928596253883699</v>
      </c>
      <c r="T202">
        <f t="shared" si="963"/>
        <v>-5.6928596253883702E-3</v>
      </c>
    </row>
    <row r="203" spans="1:20" x14ac:dyDescent="0.25">
      <c r="A203" s="5">
        <v>44390</v>
      </c>
      <c r="B203">
        <v>85.6</v>
      </c>
      <c r="C203">
        <v>92</v>
      </c>
      <c r="D203">
        <v>81.06</v>
      </c>
      <c r="E203">
        <v>81.5</v>
      </c>
      <c r="F203">
        <v>14450.12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-0.91956124314442456</v>
      </c>
      <c r="Q203">
        <f t="shared" si="960"/>
        <v>-13287.770310786113</v>
      </c>
      <c r="R203">
        <f t="shared" si="961"/>
        <v>-565538.47550111858</v>
      </c>
      <c r="S203">
        <f t="shared" si="962"/>
        <v>-5.6553847550111858</v>
      </c>
      <c r="T203">
        <f t="shared" si="963"/>
        <v>-5.6553847550111858E-3</v>
      </c>
    </row>
    <row r="204" spans="1:20" x14ac:dyDescent="0.25">
      <c r="A204" s="5">
        <v>44389</v>
      </c>
      <c r="B204">
        <v>90.74</v>
      </c>
      <c r="C204">
        <v>91.58</v>
      </c>
      <c r="D204">
        <v>84.29</v>
      </c>
      <c r="E204">
        <v>85.58</v>
      </c>
      <c r="F204">
        <v>12881.6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-0.6460905349794257</v>
      </c>
      <c r="Q204">
        <f t="shared" si="960"/>
        <v>-8322.6798353909708</v>
      </c>
      <c r="R204">
        <f t="shared" si="961"/>
        <v>-552250.70519033249</v>
      </c>
      <c r="S204">
        <f t="shared" si="962"/>
        <v>-5.5225070519033252</v>
      </c>
      <c r="T204">
        <f t="shared" si="963"/>
        <v>-5.5225070519033257E-3</v>
      </c>
    </row>
    <row r="205" spans="1:20" x14ac:dyDescent="0.25">
      <c r="A205" s="5">
        <v>44388</v>
      </c>
      <c r="B205">
        <v>93.74</v>
      </c>
      <c r="C205">
        <v>94.52</v>
      </c>
      <c r="D205">
        <v>88.02</v>
      </c>
      <c r="E205">
        <v>90.53</v>
      </c>
      <c r="F205">
        <v>22146.18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-0.22769230769230611</v>
      </c>
      <c r="Q205">
        <f t="shared" si="960"/>
        <v>-5042.5148307691961</v>
      </c>
      <c r="R205">
        <f t="shared" si="961"/>
        <v>-543928.02535494149</v>
      </c>
      <c r="S205">
        <f t="shared" si="962"/>
        <v>-5.4392802535494154</v>
      </c>
      <c r="T205">
        <f t="shared" si="963"/>
        <v>-5.4392802535494153E-3</v>
      </c>
    </row>
    <row r="206" spans="1:20" x14ac:dyDescent="0.25">
      <c r="A206" s="5">
        <v>44387</v>
      </c>
      <c r="B206">
        <v>89.54</v>
      </c>
      <c r="C206">
        <v>103.5</v>
      </c>
      <c r="D206">
        <v>88.44</v>
      </c>
      <c r="E206">
        <v>93.59</v>
      </c>
      <c r="F206">
        <v>90594.76</v>
      </c>
      <c r="G206">
        <v>0</v>
      </c>
      <c r="L206" t="s">
        <v>8</v>
      </c>
      <c r="M206" t="s">
        <v>8</v>
      </c>
      <c r="N206" t="s">
        <v>7</v>
      </c>
      <c r="P206">
        <f t="shared" si="959"/>
        <v>-0.31606905710491301</v>
      </c>
      <c r="Q206">
        <f t="shared" si="960"/>
        <v>-28634.200371845887</v>
      </c>
      <c r="R206">
        <f t="shared" si="961"/>
        <v>-538885.51052417234</v>
      </c>
      <c r="S206">
        <f t="shared" si="962"/>
        <v>-5.3888551052417233</v>
      </c>
      <c r="T206">
        <f t="shared" si="963"/>
        <v>-5.388855105241723E-3</v>
      </c>
    </row>
    <row r="207" spans="1:20" x14ac:dyDescent="0.25">
      <c r="A207" s="5">
        <v>44386</v>
      </c>
      <c r="B207">
        <v>83.47</v>
      </c>
      <c r="C207">
        <v>93.44</v>
      </c>
      <c r="D207">
        <v>78.14</v>
      </c>
      <c r="E207">
        <v>89.5</v>
      </c>
      <c r="F207">
        <v>24703.61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0.48496732026143813</v>
      </c>
      <c r="Q207">
        <f t="shared" si="960"/>
        <v>11980.443542483667</v>
      </c>
      <c r="R207">
        <f t="shared" si="961"/>
        <v>-510251.31015232642</v>
      </c>
      <c r="S207">
        <f t="shared" si="962"/>
        <v>-5.1025131015232645</v>
      </c>
      <c r="T207">
        <f t="shared" si="963"/>
        <v>-5.1025131015232641E-3</v>
      </c>
    </row>
    <row r="208" spans="1:20" x14ac:dyDescent="0.25">
      <c r="A208" s="5">
        <v>44385</v>
      </c>
      <c r="B208">
        <v>92.27</v>
      </c>
      <c r="C208">
        <v>93.33</v>
      </c>
      <c r="D208">
        <v>81.150000000000006</v>
      </c>
      <c r="E208">
        <v>83.21</v>
      </c>
      <c r="F208">
        <v>39322.92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-0.66174055829228418</v>
      </c>
      <c r="Q208">
        <f t="shared" si="960"/>
        <v>-26021.571034482826</v>
      </c>
      <c r="R208">
        <f t="shared" si="961"/>
        <v>-522231.75369481009</v>
      </c>
      <c r="S208">
        <f t="shared" si="962"/>
        <v>-5.2223175369481005</v>
      </c>
      <c r="T208">
        <f t="shared" si="963"/>
        <v>-5.2223175369481003E-3</v>
      </c>
    </row>
    <row r="209" spans="1:20" x14ac:dyDescent="0.25">
      <c r="A209" s="5">
        <v>44384</v>
      </c>
      <c r="B209">
        <v>101.35</v>
      </c>
      <c r="C209">
        <v>106</v>
      </c>
      <c r="D209">
        <v>92</v>
      </c>
      <c r="E209">
        <v>92.27</v>
      </c>
      <c r="F209">
        <v>53473.79</v>
      </c>
      <c r="G209">
        <v>0</v>
      </c>
      <c r="L209" t="s">
        <v>7</v>
      </c>
      <c r="M209" t="s">
        <v>7</v>
      </c>
      <c r="N209" t="s">
        <v>8</v>
      </c>
      <c r="P209">
        <f t="shared" si="959"/>
        <v>-0.96142857142857197</v>
      </c>
      <c r="Q209">
        <f t="shared" si="960"/>
        <v>-51411.229528571457</v>
      </c>
      <c r="R209">
        <f t="shared" si="961"/>
        <v>-496210.18266032729</v>
      </c>
      <c r="S209">
        <f t="shared" si="962"/>
        <v>-4.9621018266032726</v>
      </c>
      <c r="T209">
        <f t="shared" si="963"/>
        <v>-4.9621018266032728E-3</v>
      </c>
    </row>
    <row r="210" spans="1:20" x14ac:dyDescent="0.25">
      <c r="A210" s="5">
        <v>44383</v>
      </c>
      <c r="B210">
        <v>101.13</v>
      </c>
      <c r="C210">
        <v>120.46</v>
      </c>
      <c r="D210">
        <v>100.2</v>
      </c>
      <c r="E210">
        <v>101.08</v>
      </c>
      <c r="F210">
        <v>184991.74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-0.91312931885488691</v>
      </c>
      <c r="Q210">
        <f t="shared" si="960"/>
        <v>-168921.38153998033</v>
      </c>
      <c r="R210">
        <f t="shared" si="961"/>
        <v>-444798.95313175581</v>
      </c>
      <c r="S210">
        <f t="shared" si="962"/>
        <v>-4.4479895313175577</v>
      </c>
      <c r="T210">
        <f t="shared" si="963"/>
        <v>-4.4479895313175579E-3</v>
      </c>
    </row>
    <row r="211" spans="1:20" x14ac:dyDescent="0.25">
      <c r="A211" s="5">
        <v>44382</v>
      </c>
      <c r="B211">
        <v>83.01</v>
      </c>
      <c r="C211">
        <v>166.68</v>
      </c>
      <c r="D211">
        <v>80.11</v>
      </c>
      <c r="E211">
        <v>101.5</v>
      </c>
      <c r="F211">
        <v>545392.13</v>
      </c>
      <c r="G211">
        <v>0</v>
      </c>
      <c r="P211">
        <f t="shared" si="959"/>
        <v>-0.5058334295945478</v>
      </c>
      <c r="Q211">
        <f t="shared" si="960"/>
        <v>-275877.57159177546</v>
      </c>
      <c r="R211">
        <f t="shared" si="961"/>
        <v>-275877.57159177546</v>
      </c>
      <c r="S211">
        <f t="shared" si="962"/>
        <v>-2.7587757159177544</v>
      </c>
      <c r="T211">
        <f t="shared" si="963"/>
        <v>-2.7587757159177545E-3</v>
      </c>
    </row>
    <row r="212" spans="1:20" x14ac:dyDescent="0.25">
      <c r="A212" s="5"/>
      <c r="P212">
        <f t="shared" si="959"/>
        <v>0</v>
      </c>
      <c r="Q212">
        <f t="shared" si="960"/>
        <v>0</v>
      </c>
      <c r="R212">
        <f t="shared" si="961"/>
        <v>0</v>
      </c>
      <c r="S212">
        <f t="shared" si="962"/>
        <v>0</v>
      </c>
      <c r="T212">
        <f t="shared" si="963"/>
        <v>0</v>
      </c>
    </row>
    <row r="213" spans="1:20" x14ac:dyDescent="0.25">
      <c r="A213" s="5"/>
      <c r="P213">
        <f t="shared" si="959"/>
        <v>0</v>
      </c>
      <c r="Q213">
        <f t="shared" si="960"/>
        <v>0</v>
      </c>
      <c r="R213">
        <f t="shared" si="961"/>
        <v>0</v>
      </c>
      <c r="S213">
        <f t="shared" si="962"/>
        <v>0</v>
      </c>
      <c r="T213">
        <f t="shared" si="963"/>
        <v>0</v>
      </c>
    </row>
    <row r="214" spans="1:20" x14ac:dyDescent="0.25">
      <c r="A214" s="5"/>
      <c r="P214">
        <f t="shared" si="959"/>
        <v>0</v>
      </c>
      <c r="Q214">
        <f t="shared" si="960"/>
        <v>0</v>
      </c>
      <c r="R214">
        <f t="shared" si="961"/>
        <v>0</v>
      </c>
      <c r="S214">
        <f t="shared" si="962"/>
        <v>0</v>
      </c>
      <c r="T214">
        <f t="shared" si="963"/>
        <v>0</v>
      </c>
    </row>
    <row r="215" spans="1:20" x14ac:dyDescent="0.25">
      <c r="A215" s="5"/>
      <c r="P215">
        <f t="shared" si="959"/>
        <v>0</v>
      </c>
      <c r="Q215">
        <f t="shared" si="960"/>
        <v>0</v>
      </c>
      <c r="R215">
        <f t="shared" si="961"/>
        <v>0</v>
      </c>
      <c r="S215">
        <f t="shared" si="962"/>
        <v>0</v>
      </c>
      <c r="T215">
        <f t="shared" si="963"/>
        <v>0</v>
      </c>
    </row>
    <row r="216" spans="1:20" x14ac:dyDescent="0.25">
      <c r="A216" s="5"/>
      <c r="P216">
        <f t="shared" si="959"/>
        <v>0</v>
      </c>
      <c r="Q216">
        <f t="shared" si="960"/>
        <v>0</v>
      </c>
      <c r="R216">
        <f t="shared" si="961"/>
        <v>0</v>
      </c>
      <c r="S216">
        <f t="shared" si="962"/>
        <v>0</v>
      </c>
      <c r="T216">
        <f t="shared" si="963"/>
        <v>0</v>
      </c>
    </row>
    <row r="217" spans="1:20" x14ac:dyDescent="0.25">
      <c r="A217" s="5"/>
      <c r="P217">
        <f t="shared" si="959"/>
        <v>0</v>
      </c>
      <c r="Q217">
        <f t="shared" si="960"/>
        <v>0</v>
      </c>
      <c r="R217">
        <f t="shared" si="961"/>
        <v>0</v>
      </c>
      <c r="S217">
        <f t="shared" si="962"/>
        <v>0</v>
      </c>
      <c r="T217">
        <f t="shared" si="963"/>
        <v>0</v>
      </c>
    </row>
    <row r="218" spans="1:20" x14ac:dyDescent="0.25">
      <c r="A218" s="5"/>
      <c r="P218">
        <f t="shared" si="959"/>
        <v>0</v>
      </c>
      <c r="Q218">
        <f t="shared" si="960"/>
        <v>0</v>
      </c>
      <c r="R218">
        <f t="shared" si="961"/>
        <v>0</v>
      </c>
      <c r="S218">
        <f t="shared" si="962"/>
        <v>0</v>
      </c>
      <c r="T218">
        <f t="shared" si="963"/>
        <v>0</v>
      </c>
    </row>
    <row r="219" spans="1:20" x14ac:dyDescent="0.25">
      <c r="A219" s="5"/>
      <c r="P219">
        <f t="shared" si="959"/>
        <v>0</v>
      </c>
      <c r="Q219">
        <f t="shared" si="960"/>
        <v>0</v>
      </c>
      <c r="R219">
        <f t="shared" si="961"/>
        <v>0</v>
      </c>
      <c r="S219">
        <f t="shared" si="962"/>
        <v>0</v>
      </c>
      <c r="T219">
        <f t="shared" si="963"/>
        <v>0</v>
      </c>
    </row>
    <row r="220" spans="1:20" x14ac:dyDescent="0.25">
      <c r="A220" s="5"/>
      <c r="P220">
        <f t="shared" si="959"/>
        <v>0</v>
      </c>
      <c r="Q220">
        <f t="shared" si="960"/>
        <v>0</v>
      </c>
      <c r="R220">
        <f t="shared" si="961"/>
        <v>0</v>
      </c>
      <c r="S220">
        <f t="shared" si="962"/>
        <v>0</v>
      </c>
      <c r="T220">
        <f t="shared" si="963"/>
        <v>0</v>
      </c>
    </row>
    <row r="221" spans="1:20" x14ac:dyDescent="0.25">
      <c r="A221" s="5"/>
      <c r="P221">
        <f t="shared" si="959"/>
        <v>0</v>
      </c>
      <c r="Q221">
        <f t="shared" si="960"/>
        <v>0</v>
      </c>
      <c r="R221">
        <f t="shared" si="961"/>
        <v>0</v>
      </c>
      <c r="S221">
        <f t="shared" si="962"/>
        <v>0</v>
      </c>
      <c r="T221">
        <f t="shared" si="963"/>
        <v>0</v>
      </c>
    </row>
    <row r="222" spans="1:20" x14ac:dyDescent="0.25">
      <c r="A222" s="5"/>
      <c r="P222">
        <f t="shared" si="959"/>
        <v>0</v>
      </c>
      <c r="Q222">
        <f t="shared" si="960"/>
        <v>0</v>
      </c>
      <c r="R222">
        <f t="shared" si="961"/>
        <v>0</v>
      </c>
      <c r="S222">
        <f t="shared" si="962"/>
        <v>0</v>
      </c>
      <c r="T222">
        <f t="shared" si="963"/>
        <v>0</v>
      </c>
    </row>
    <row r="223" spans="1:20" x14ac:dyDescent="0.25">
      <c r="A223" s="5"/>
      <c r="P223">
        <f t="shared" si="959"/>
        <v>0</v>
      </c>
      <c r="Q223">
        <f t="shared" si="960"/>
        <v>0</v>
      </c>
      <c r="R223">
        <f t="shared" si="961"/>
        <v>0</v>
      </c>
      <c r="S223">
        <f t="shared" si="962"/>
        <v>0</v>
      </c>
      <c r="T223">
        <f t="shared" si="963"/>
        <v>0</v>
      </c>
    </row>
    <row r="224" spans="1:20" x14ac:dyDescent="0.25">
      <c r="A224" s="5"/>
      <c r="P224">
        <f t="shared" si="959"/>
        <v>0</v>
      </c>
      <c r="Q224">
        <f t="shared" si="960"/>
        <v>0</v>
      </c>
      <c r="R224">
        <f t="shared" si="961"/>
        <v>0</v>
      </c>
      <c r="S224">
        <f t="shared" si="962"/>
        <v>0</v>
      </c>
      <c r="T224">
        <f t="shared" si="963"/>
        <v>0</v>
      </c>
    </row>
    <row r="225" spans="1:20" x14ac:dyDescent="0.25">
      <c r="A225" s="5"/>
      <c r="P225">
        <f t="shared" si="959"/>
        <v>0</v>
      </c>
      <c r="Q225">
        <f t="shared" si="960"/>
        <v>0</v>
      </c>
      <c r="R225">
        <f t="shared" si="961"/>
        <v>0</v>
      </c>
      <c r="S225">
        <f t="shared" si="962"/>
        <v>0</v>
      </c>
      <c r="T225">
        <f t="shared" si="963"/>
        <v>0</v>
      </c>
    </row>
    <row r="226" spans="1:20" x14ac:dyDescent="0.25">
      <c r="A226" s="5"/>
      <c r="P226">
        <f t="shared" si="959"/>
        <v>0</v>
      </c>
      <c r="Q226">
        <f t="shared" si="960"/>
        <v>0</v>
      </c>
      <c r="R226">
        <f t="shared" si="961"/>
        <v>0</v>
      </c>
      <c r="S226">
        <f t="shared" si="962"/>
        <v>0</v>
      </c>
      <c r="T226">
        <f t="shared" si="963"/>
        <v>0</v>
      </c>
    </row>
    <row r="227" spans="1:20" x14ac:dyDescent="0.25">
      <c r="A227" s="5"/>
      <c r="B227" s="1"/>
      <c r="C227" s="2"/>
      <c r="D227" s="2"/>
      <c r="E227" s="1"/>
      <c r="F227" s="1"/>
      <c r="P227">
        <f t="shared" si="959"/>
        <v>0</v>
      </c>
      <c r="Q227">
        <f t="shared" si="960"/>
        <v>0</v>
      </c>
      <c r="R227">
        <f t="shared" si="961"/>
        <v>0</v>
      </c>
      <c r="S227">
        <f t="shared" si="962"/>
        <v>0</v>
      </c>
      <c r="T227">
        <f t="shared" si="963"/>
        <v>0</v>
      </c>
    </row>
    <row r="228" spans="1:20" x14ac:dyDescent="0.25">
      <c r="A228" s="5"/>
      <c r="B228" s="1"/>
      <c r="C228" s="2"/>
      <c r="D228" s="2"/>
      <c r="E228" s="1"/>
      <c r="F228" s="1"/>
      <c r="P228">
        <f t="shared" si="959"/>
        <v>0</v>
      </c>
      <c r="Q228">
        <f t="shared" si="960"/>
        <v>0</v>
      </c>
      <c r="R228">
        <f t="shared" si="961"/>
        <v>0</v>
      </c>
      <c r="S228">
        <f t="shared" si="962"/>
        <v>0</v>
      </c>
      <c r="T228">
        <f t="shared" si="963"/>
        <v>0</v>
      </c>
    </row>
    <row r="229" spans="1:20" x14ac:dyDescent="0.25">
      <c r="A229" s="5"/>
      <c r="B229" s="1"/>
      <c r="C229" s="2"/>
      <c r="D229" s="2"/>
      <c r="E229" s="1"/>
      <c r="F229" s="1"/>
      <c r="P229">
        <f t="shared" si="959"/>
        <v>0</v>
      </c>
      <c r="Q229">
        <f t="shared" si="960"/>
        <v>0</v>
      </c>
      <c r="R229">
        <f t="shared" si="961"/>
        <v>0</v>
      </c>
      <c r="S229">
        <f t="shared" si="962"/>
        <v>0</v>
      </c>
      <c r="T229">
        <f t="shared" si="963"/>
        <v>0</v>
      </c>
    </row>
    <row r="230" spans="1:20" x14ac:dyDescent="0.25">
      <c r="A230" s="5"/>
      <c r="B230" s="1"/>
      <c r="C230" s="2"/>
      <c r="D230" s="2"/>
      <c r="E230" s="1"/>
      <c r="F230" s="1"/>
      <c r="P230">
        <f t="shared" si="959"/>
        <v>0</v>
      </c>
      <c r="Q230">
        <f t="shared" si="960"/>
        <v>0</v>
      </c>
      <c r="R230">
        <f t="shared" si="961"/>
        <v>0</v>
      </c>
      <c r="S230">
        <f t="shared" si="962"/>
        <v>0</v>
      </c>
      <c r="T230">
        <f t="shared" si="963"/>
        <v>0</v>
      </c>
    </row>
    <row r="231" spans="1:20" x14ac:dyDescent="0.25">
      <c r="A231" s="5"/>
      <c r="B231" s="1"/>
      <c r="C231" s="2"/>
      <c r="D231" s="2"/>
      <c r="E231" s="1"/>
      <c r="F231" s="1"/>
      <c r="P231">
        <f t="shared" si="959"/>
        <v>0</v>
      </c>
      <c r="Q231">
        <f t="shared" si="960"/>
        <v>0</v>
      </c>
      <c r="R231">
        <f t="shared" si="961"/>
        <v>0</v>
      </c>
      <c r="S231">
        <f t="shared" si="962"/>
        <v>0</v>
      </c>
      <c r="T231">
        <f t="shared" si="963"/>
        <v>0</v>
      </c>
    </row>
    <row r="232" spans="1:20" x14ac:dyDescent="0.25">
      <c r="A232" s="5"/>
      <c r="B232" s="1"/>
      <c r="C232" s="2"/>
      <c r="D232" s="2"/>
      <c r="E232" s="1"/>
      <c r="F232" s="1"/>
      <c r="P232">
        <f t="shared" si="959"/>
        <v>0</v>
      </c>
      <c r="Q232">
        <f t="shared" si="960"/>
        <v>0</v>
      </c>
      <c r="R232">
        <f t="shared" si="961"/>
        <v>0</v>
      </c>
      <c r="S232">
        <f t="shared" si="962"/>
        <v>0</v>
      </c>
      <c r="T232">
        <f t="shared" si="963"/>
        <v>0</v>
      </c>
    </row>
    <row r="233" spans="1:20" x14ac:dyDescent="0.25">
      <c r="A233" s="5"/>
      <c r="B233" s="1"/>
      <c r="C233" s="2"/>
      <c r="D233" s="2"/>
      <c r="E233" s="1"/>
      <c r="F233" s="1"/>
      <c r="P233">
        <f t="shared" si="959"/>
        <v>0</v>
      </c>
      <c r="Q233">
        <f t="shared" si="960"/>
        <v>0</v>
      </c>
      <c r="R233">
        <f t="shared" si="961"/>
        <v>0</v>
      </c>
      <c r="S233">
        <f t="shared" si="962"/>
        <v>0</v>
      </c>
      <c r="T233">
        <f t="shared" si="963"/>
        <v>0</v>
      </c>
    </row>
    <row r="234" spans="1:20" x14ac:dyDescent="0.25">
      <c r="A234" s="5"/>
      <c r="B234" s="1"/>
      <c r="C234" s="2"/>
      <c r="D234" s="2"/>
      <c r="E234" s="1"/>
      <c r="F234" s="1"/>
      <c r="P234">
        <f t="shared" si="959"/>
        <v>0</v>
      </c>
      <c r="Q234">
        <f t="shared" si="960"/>
        <v>0</v>
      </c>
      <c r="R234">
        <f t="shared" si="961"/>
        <v>0</v>
      </c>
      <c r="S234">
        <f t="shared" si="962"/>
        <v>0</v>
      </c>
      <c r="T234">
        <f t="shared" si="963"/>
        <v>0</v>
      </c>
    </row>
    <row r="235" spans="1:20" x14ac:dyDescent="0.25">
      <c r="A235" s="5"/>
      <c r="B235" s="1"/>
      <c r="C235" s="2"/>
      <c r="D235" s="2"/>
      <c r="E235" s="1"/>
      <c r="F235" s="1"/>
      <c r="P235">
        <f t="shared" si="959"/>
        <v>0</v>
      </c>
      <c r="Q235">
        <f t="shared" si="960"/>
        <v>0</v>
      </c>
      <c r="R235">
        <f t="shared" si="961"/>
        <v>0</v>
      </c>
      <c r="S235">
        <f t="shared" si="962"/>
        <v>0</v>
      </c>
      <c r="T235">
        <f t="shared" si="963"/>
        <v>0</v>
      </c>
    </row>
    <row r="236" spans="1:20" x14ac:dyDescent="0.25">
      <c r="A236" s="5"/>
      <c r="B236" s="1"/>
      <c r="C236" s="2"/>
      <c r="D236" s="2"/>
      <c r="E236" s="1"/>
      <c r="F236" s="1"/>
      <c r="P236">
        <f t="shared" si="959"/>
        <v>0</v>
      </c>
      <c r="Q236">
        <f t="shared" si="960"/>
        <v>0</v>
      </c>
      <c r="R236">
        <f t="shared" si="961"/>
        <v>0</v>
      </c>
      <c r="S236">
        <f t="shared" si="962"/>
        <v>0</v>
      </c>
      <c r="T236">
        <f t="shared" si="963"/>
        <v>0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959"/>
        <v>0</v>
      </c>
      <c r="Q237">
        <f t="shared" si="960"/>
        <v>0</v>
      </c>
      <c r="R237">
        <f t="shared" si="961"/>
        <v>0</v>
      </c>
      <c r="S237">
        <f t="shared" si="962"/>
        <v>0</v>
      </c>
      <c r="T237">
        <f t="shared" si="96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959"/>
        <v>0</v>
      </c>
      <c r="Q238">
        <f t="shared" si="960"/>
        <v>0</v>
      </c>
      <c r="R238">
        <f t="shared" si="961"/>
        <v>0</v>
      </c>
      <c r="S238">
        <f t="shared" si="962"/>
        <v>0</v>
      </c>
      <c r="T238">
        <f t="shared" si="96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959"/>
        <v>0</v>
      </c>
      <c r="Q239">
        <f t="shared" si="960"/>
        <v>0</v>
      </c>
      <c r="R239">
        <f t="shared" si="961"/>
        <v>0</v>
      </c>
      <c r="S239">
        <f t="shared" si="962"/>
        <v>0</v>
      </c>
      <c r="T239">
        <f t="shared" si="96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si="959"/>
        <v>0</v>
      </c>
      <c r="Q240">
        <f t="shared" si="960"/>
        <v>0</v>
      </c>
      <c r="R240">
        <f t="shared" si="961"/>
        <v>0</v>
      </c>
      <c r="S240">
        <f t="shared" si="962"/>
        <v>0</v>
      </c>
      <c r="T240">
        <f t="shared" si="963"/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959"/>
        <v>0</v>
      </c>
      <c r="Q241">
        <f t="shared" si="960"/>
        <v>0</v>
      </c>
      <c r="R241">
        <f t="shared" si="961"/>
        <v>0</v>
      </c>
      <c r="S241">
        <f t="shared" si="962"/>
        <v>0</v>
      </c>
      <c r="T241">
        <f t="shared" si="963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959"/>
        <v>0</v>
      </c>
      <c r="Q242">
        <f t="shared" si="960"/>
        <v>0</v>
      </c>
      <c r="R242">
        <f t="shared" si="961"/>
        <v>0</v>
      </c>
      <c r="S242">
        <f t="shared" si="962"/>
        <v>0</v>
      </c>
      <c r="T242">
        <f t="shared" si="963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959"/>
        <v>0</v>
      </c>
      <c r="Q243">
        <f t="shared" si="960"/>
        <v>0</v>
      </c>
      <c r="R243">
        <f t="shared" si="961"/>
        <v>0</v>
      </c>
      <c r="S243">
        <f t="shared" si="962"/>
        <v>0</v>
      </c>
      <c r="T243">
        <f t="shared" si="963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959"/>
        <v>0</v>
      </c>
      <c r="Q244">
        <f t="shared" si="960"/>
        <v>0</v>
      </c>
      <c r="R244">
        <f t="shared" si="961"/>
        <v>0</v>
      </c>
      <c r="S244">
        <f t="shared" si="962"/>
        <v>0</v>
      </c>
      <c r="T244">
        <f t="shared" si="963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959"/>
        <v>0</v>
      </c>
      <c r="Q245">
        <f t="shared" si="960"/>
        <v>0</v>
      </c>
      <c r="R245">
        <f t="shared" si="961"/>
        <v>0</v>
      </c>
      <c r="S245">
        <f t="shared" si="962"/>
        <v>0</v>
      </c>
      <c r="T245">
        <f t="shared" si="963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959"/>
        <v>0</v>
      </c>
      <c r="Q246">
        <f t="shared" si="960"/>
        <v>0</v>
      </c>
      <c r="R246">
        <f t="shared" si="961"/>
        <v>0</v>
      </c>
      <c r="S246">
        <f t="shared" si="962"/>
        <v>0</v>
      </c>
      <c r="T246">
        <f t="shared" si="963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959"/>
        <v>0</v>
      </c>
      <c r="Q247">
        <f t="shared" si="960"/>
        <v>0</v>
      </c>
      <c r="R247">
        <f t="shared" si="961"/>
        <v>0</v>
      </c>
      <c r="S247">
        <f t="shared" si="962"/>
        <v>0</v>
      </c>
      <c r="T247">
        <f t="shared" si="963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959"/>
        <v>0</v>
      </c>
      <c r="Q248">
        <f t="shared" si="960"/>
        <v>0</v>
      </c>
      <c r="R248">
        <f t="shared" si="961"/>
        <v>0</v>
      </c>
      <c r="S248">
        <f t="shared" si="962"/>
        <v>0</v>
      </c>
      <c r="T248">
        <f t="shared" si="963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959"/>
        <v>0</v>
      </c>
      <c r="Q249">
        <f t="shared" si="960"/>
        <v>0</v>
      </c>
      <c r="R249">
        <f t="shared" si="961"/>
        <v>0</v>
      </c>
      <c r="S249">
        <f t="shared" si="962"/>
        <v>0</v>
      </c>
      <c r="T249">
        <f t="shared" si="963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959"/>
        <v>0</v>
      </c>
      <c r="Q250">
        <f t="shared" si="960"/>
        <v>0</v>
      </c>
      <c r="R250">
        <f t="shared" si="961"/>
        <v>0</v>
      </c>
      <c r="S250">
        <f t="shared" si="962"/>
        <v>0</v>
      </c>
      <c r="T250">
        <f t="shared" si="963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959"/>
        <v>0</v>
      </c>
      <c r="Q251">
        <f t="shared" si="960"/>
        <v>0</v>
      </c>
      <c r="R251">
        <f t="shared" si="961"/>
        <v>0</v>
      </c>
      <c r="S251">
        <f t="shared" si="962"/>
        <v>0</v>
      </c>
      <c r="T251">
        <f t="shared" si="963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959"/>
        <v>0</v>
      </c>
      <c r="Q252">
        <f t="shared" si="960"/>
        <v>0</v>
      </c>
      <c r="R252">
        <f t="shared" si="961"/>
        <v>0</v>
      </c>
      <c r="S252">
        <f t="shared" si="962"/>
        <v>0</v>
      </c>
      <c r="T252">
        <f t="shared" si="963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959"/>
        <v>0</v>
      </c>
      <c r="Q253">
        <f t="shared" si="960"/>
        <v>0</v>
      </c>
      <c r="R253">
        <f t="shared" si="961"/>
        <v>0</v>
      </c>
      <c r="S253">
        <f t="shared" si="962"/>
        <v>0</v>
      </c>
      <c r="T253">
        <f t="shared" si="963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CL386" sqref="CL38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$A$385</v>
      </c>
      <c r="D111" s="1" t="str">
        <f>ADDRESS(C121-1,D121,1,1)</f>
        <v>$CL$385</v>
      </c>
      <c r="E111"/>
    </row>
    <row r="112" spans="1:5" x14ac:dyDescent="0.25">
      <c r="A112" s="7">
        <v>12164.144957890772</v>
      </c>
      <c r="C112" s="1" t="str">
        <f>ADDRESS(C121,1,1,1)</f>
        <v>$A$386</v>
      </c>
      <c r="D112" s="1" t="str">
        <f>ADDRESS(C121,D121-1,1,1)</f>
        <v>$CK$386</v>
      </c>
      <c r="E112"/>
    </row>
    <row r="113" spans="1:5" x14ac:dyDescent="0.25">
      <c r="A113" s="7">
        <v>11925.63231165762</v>
      </c>
      <c r="C113" s="1" t="str">
        <f>ADDRESS(C121+1,1,1,1)</f>
        <v>$A$387</v>
      </c>
      <c r="D113" s="1" t="str">
        <f>ADDRESS(C121-1,D121+1,1,1)</f>
        <v>$CM$385</v>
      </c>
    </row>
    <row r="114" spans="1:5" x14ac:dyDescent="0.25">
      <c r="A114" s="7">
        <v>11691.796383978059</v>
      </c>
      <c r="C114" s="1" t="str">
        <f>ADDRESS(C121,D121,1,1)</f>
        <v>$CL$386</v>
      </c>
      <c r="D114" s="1" t="str">
        <f>ADDRESS(C121+1,D121+1,1,1)</f>
        <v>$CM$387</v>
      </c>
    </row>
    <row r="115" spans="1:5" x14ac:dyDescent="0.25">
      <c r="A115" s="7">
        <v>11462.545474488292</v>
      </c>
      <c r="C115" s="1" t="str">
        <f>ADDRESS(C121+1,D121,1,1)</f>
        <v>$CL$387</v>
      </c>
    </row>
    <row r="116" spans="1:5" x14ac:dyDescent="0.25">
      <c r="A116" s="7">
        <v>11237.789680870874</v>
      </c>
      <c r="C116" s="1">
        <f>C117-1</f>
        <v>385</v>
      </c>
    </row>
    <row r="117" spans="1:5" x14ac:dyDescent="0.25">
      <c r="A117" s="7">
        <v>11017.440863598895</v>
      </c>
      <c r="C117" s="1">
        <f>C121</f>
        <v>386</v>
      </c>
      <c r="D117" s="1">
        <f>D121</f>
        <v>90</v>
      </c>
    </row>
    <row r="118" spans="1:5" x14ac:dyDescent="0.25">
      <c r="A118" s="7">
        <v>10801.412611371465</v>
      </c>
      <c r="C118" s="1">
        <f>C117+1</f>
        <v>387</v>
      </c>
      <c r="D118" s="1">
        <f>D117+1</f>
        <v>91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386</v>
      </c>
      <c r="D121" s="19">
        <v>90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R386</v>
      </c>
      <c r="D123" s="1" t="str">
        <f>"C"&amp;D121</f>
        <v>C90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53.534595326282947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42" x14ac:dyDescent="0.25">
      <c r="A305" s="7">
        <v>266.22475550472598</v>
      </c>
      <c r="B305"/>
      <c r="C305"/>
      <c r="D305"/>
      <c r="E305"/>
    </row>
    <row r="306" spans="1:42" x14ac:dyDescent="0.25">
      <c r="A306" s="7">
        <v>261.00466225953528</v>
      </c>
      <c r="B306"/>
      <c r="C306"/>
      <c r="D306"/>
      <c r="E306"/>
    </row>
    <row r="307" spans="1:42" x14ac:dyDescent="0.25">
      <c r="A307" s="7">
        <v>255.88692378385809</v>
      </c>
      <c r="B307"/>
      <c r="C307"/>
      <c r="D307"/>
      <c r="E307"/>
    </row>
    <row r="308" spans="1:42" x14ac:dyDescent="0.25">
      <c r="A308" s="7">
        <v>250.8695331214295</v>
      </c>
      <c r="B308"/>
      <c r="C308"/>
      <c r="D308"/>
      <c r="E308"/>
    </row>
    <row r="309" spans="1:42" x14ac:dyDescent="0.25">
      <c r="A309" s="7">
        <v>245.95052266806812</v>
      </c>
      <c r="B309"/>
      <c r="C309"/>
      <c r="D309"/>
      <c r="E309"/>
    </row>
    <row r="310" spans="1:42" x14ac:dyDescent="0.25">
      <c r="A310" s="7">
        <v>241.12796340006679</v>
      </c>
      <c r="B310"/>
      <c r="C310"/>
      <c r="D310"/>
      <c r="E310"/>
    </row>
    <row r="311" spans="1:42" x14ac:dyDescent="0.25">
      <c r="A311" s="7">
        <v>236.39996411771253</v>
      </c>
      <c r="B311"/>
      <c r="C311"/>
      <c r="D311"/>
      <c r="E311"/>
    </row>
    <row r="312" spans="1:42" x14ac:dyDescent="0.25">
      <c r="A312" s="7">
        <v>231.76467070363972</v>
      </c>
      <c r="B312"/>
      <c r="C312"/>
      <c r="D312"/>
      <c r="E312"/>
      <c r="AO312" s="27" t="s">
        <v>8</v>
      </c>
    </row>
    <row r="313" spans="1:42" x14ac:dyDescent="0.25">
      <c r="A313" s="7">
        <v>227.22026539572522</v>
      </c>
      <c r="B313"/>
      <c r="C313"/>
      <c r="D313"/>
      <c r="E313"/>
      <c r="AO313" s="27" t="s">
        <v>8</v>
      </c>
      <c r="AP313" s="27" t="s">
        <v>7</v>
      </c>
    </row>
    <row r="314" spans="1:42" x14ac:dyDescent="0.25">
      <c r="A314" s="7">
        <v>222.76496607424042</v>
      </c>
      <c r="B314"/>
      <c r="C314"/>
      <c r="D314"/>
      <c r="E314"/>
      <c r="AO314" s="27" t="s">
        <v>8</v>
      </c>
      <c r="AP314" s="27" t="s">
        <v>7</v>
      </c>
    </row>
    <row r="315" spans="1:42" x14ac:dyDescent="0.25">
      <c r="A315" s="7">
        <v>218.39702556298079</v>
      </c>
      <c r="B315"/>
      <c r="C315"/>
      <c r="D315"/>
      <c r="E315"/>
      <c r="AO315" s="27" t="s">
        <v>8</v>
      </c>
      <c r="AP315" s="27" t="s">
        <v>7</v>
      </c>
    </row>
    <row r="316" spans="1:42" x14ac:dyDescent="0.25">
      <c r="A316" s="7">
        <v>214.1147309440988</v>
      </c>
      <c r="B316"/>
      <c r="C316"/>
      <c r="D316"/>
      <c r="E316"/>
      <c r="AO316" s="27" t="s">
        <v>8</v>
      </c>
      <c r="AP316" s="27" t="s">
        <v>7</v>
      </c>
    </row>
    <row r="317" spans="1:42" x14ac:dyDescent="0.25">
      <c r="A317" s="7">
        <v>209.91640288637137</v>
      </c>
      <c r="B317"/>
      <c r="C317"/>
      <c r="D317"/>
      <c r="E317"/>
      <c r="AO317" s="27" t="s">
        <v>8</v>
      </c>
      <c r="AP317" s="27" t="s">
        <v>7</v>
      </c>
    </row>
    <row r="318" spans="1:42" x14ac:dyDescent="0.25">
      <c r="A318" s="7">
        <v>205.80039498663859</v>
      </c>
      <c r="B318"/>
      <c r="C318"/>
      <c r="D318"/>
      <c r="E318"/>
      <c r="AO318" s="27" t="s">
        <v>8</v>
      </c>
      <c r="AP318" s="27" t="s">
        <v>7</v>
      </c>
    </row>
    <row r="319" spans="1:42" x14ac:dyDescent="0.25">
      <c r="A319" s="7">
        <v>201.76509312415547</v>
      </c>
      <c r="B319"/>
      <c r="C319"/>
      <c r="D319"/>
      <c r="E319"/>
      <c r="AO319" s="27" t="s">
        <v>8</v>
      </c>
      <c r="AP319" s="27" t="s">
        <v>7</v>
      </c>
    </row>
    <row r="320" spans="1:42" x14ac:dyDescent="0.25">
      <c r="A320" s="7">
        <v>197.80891482760339</v>
      </c>
      <c r="B320"/>
      <c r="C320"/>
      <c r="D320"/>
      <c r="E320"/>
      <c r="AO320" s="27" t="s">
        <v>8</v>
      </c>
      <c r="AP320" s="27" t="s">
        <v>7</v>
      </c>
    </row>
    <row r="321" spans="1:62" x14ac:dyDescent="0.25">
      <c r="A321" s="7">
        <v>193.93030865451311</v>
      </c>
      <c r="B321"/>
      <c r="C321"/>
      <c r="D321"/>
      <c r="E321"/>
      <c r="AO321" s="27" t="s">
        <v>8</v>
      </c>
      <c r="AP321" s="27" t="s">
        <v>7</v>
      </c>
    </row>
    <row r="322" spans="1:62" x14ac:dyDescent="0.25">
      <c r="A322" s="7">
        <v>190.127753582856</v>
      </c>
      <c r="B322"/>
      <c r="C322"/>
      <c r="D322"/>
      <c r="E322"/>
      <c r="AO322" s="27" t="s">
        <v>8</v>
      </c>
      <c r="AP322" s="27" t="s">
        <v>7</v>
      </c>
    </row>
    <row r="323" spans="1:62" x14ac:dyDescent="0.25">
      <c r="A323" s="7">
        <v>186.3997584145647</v>
      </c>
      <c r="B323"/>
      <c r="C323"/>
      <c r="D323"/>
      <c r="E323"/>
      <c r="AO323" s="27" t="s">
        <v>8</v>
      </c>
      <c r="AP323" s="27" t="s">
        <v>7</v>
      </c>
      <c r="AQ323" s="27" t="s">
        <v>8</v>
      </c>
    </row>
    <row r="324" spans="1:62" x14ac:dyDescent="0.25">
      <c r="A324" s="7">
        <v>182.7448611907497</v>
      </c>
      <c r="B324"/>
      <c r="C324"/>
      <c r="D324"/>
      <c r="E324"/>
      <c r="AO324" s="27" t="s">
        <v>8</v>
      </c>
      <c r="AP324" s="27" t="s">
        <v>7</v>
      </c>
      <c r="AQ324" s="27" t="s">
        <v>8</v>
      </c>
      <c r="AR324" s="27" t="s">
        <v>7</v>
      </c>
    </row>
    <row r="325" spans="1:62" x14ac:dyDescent="0.25">
      <c r="A325" s="7">
        <v>179.16162861838205</v>
      </c>
      <c r="B325"/>
      <c r="C325"/>
      <c r="D325"/>
      <c r="E325"/>
      <c r="AO325" s="27" t="s">
        <v>8</v>
      </c>
      <c r="AP325" s="27" t="s">
        <v>7</v>
      </c>
      <c r="AQ325" s="27" t="s">
        <v>8</v>
      </c>
      <c r="AR325" s="27" t="s">
        <v>7</v>
      </c>
    </row>
    <row r="326" spans="1:62" x14ac:dyDescent="0.25">
      <c r="A326" s="7">
        <v>175.6486555082177</v>
      </c>
      <c r="B326"/>
      <c r="C326"/>
      <c r="D326"/>
      <c r="E326"/>
      <c r="Y326" s="27" t="s">
        <v>8</v>
      </c>
      <c r="AO326" s="27" t="s">
        <v>8</v>
      </c>
      <c r="AP326" s="27" t="s">
        <v>7</v>
      </c>
      <c r="AQ326" s="27" t="s">
        <v>8</v>
      </c>
      <c r="AR326" s="27" t="s">
        <v>7</v>
      </c>
      <c r="BA326" s="27" t="s">
        <v>8</v>
      </c>
    </row>
    <row r="327" spans="1:62" x14ac:dyDescent="0.25">
      <c r="A327" s="7">
        <v>172.20456422374284</v>
      </c>
      <c r="B327"/>
      <c r="C327"/>
      <c r="D327"/>
      <c r="E327"/>
      <c r="Y327" s="27" t="s">
        <v>8</v>
      </c>
      <c r="Z327" s="27" t="s">
        <v>7</v>
      </c>
      <c r="AO327" s="27" t="s">
        <v>8</v>
      </c>
      <c r="AP327" s="27" t="s">
        <v>7</v>
      </c>
      <c r="AQ327" s="27" t="s">
        <v>8</v>
      </c>
      <c r="AR327" s="27" t="s">
        <v>7</v>
      </c>
      <c r="BA327" s="27" t="s">
        <v>8</v>
      </c>
      <c r="BB327" s="27" t="s">
        <v>7</v>
      </c>
    </row>
    <row r="328" spans="1:62" x14ac:dyDescent="0.25">
      <c r="A328" s="7">
        <v>168.82800414092435</v>
      </c>
      <c r="B328"/>
      <c r="C328"/>
      <c r="D328"/>
      <c r="E328"/>
      <c r="Y328" s="27" t="s">
        <v>8</v>
      </c>
      <c r="Z328" s="27" t="s">
        <v>7</v>
      </c>
      <c r="AO328" s="27" t="s">
        <v>8</v>
      </c>
      <c r="AP328" s="27" t="s">
        <v>7</v>
      </c>
      <c r="AQ328" s="27" t="s">
        <v>8</v>
      </c>
      <c r="AR328" s="27" t="s">
        <v>7</v>
      </c>
      <c r="BA328" s="27" t="s">
        <v>8</v>
      </c>
      <c r="BB328" s="27" t="s">
        <v>7</v>
      </c>
    </row>
    <row r="329" spans="1:62" x14ac:dyDescent="0.25">
      <c r="A329" s="7">
        <v>165.51765111855329</v>
      </c>
      <c r="B329"/>
      <c r="C329"/>
      <c r="D329"/>
      <c r="E329"/>
      <c r="Y329" s="27" t="s">
        <v>8</v>
      </c>
      <c r="Z329" s="27" t="s">
        <v>7</v>
      </c>
      <c r="AO329" s="27" t="s">
        <v>8</v>
      </c>
      <c r="AP329" s="27" t="s">
        <v>7</v>
      </c>
      <c r="AQ329" s="27" t="s">
        <v>8</v>
      </c>
      <c r="AR329" s="27" t="s">
        <v>7</v>
      </c>
      <c r="BA329" s="27" t="s">
        <v>8</v>
      </c>
      <c r="BB329" s="27" t="s">
        <v>7</v>
      </c>
      <c r="BC329" s="27" t="s">
        <v>8</v>
      </c>
    </row>
    <row r="330" spans="1:62" x14ac:dyDescent="0.25">
      <c r="A330" s="7">
        <v>162.2722069789738</v>
      </c>
      <c r="B330"/>
      <c r="C330"/>
      <c r="D330"/>
      <c r="E330"/>
      <c r="Y330" s="27" t="s">
        <v>8</v>
      </c>
      <c r="Z330" s="27" t="s">
        <v>7</v>
      </c>
      <c r="AO330" s="27" t="s">
        <v>8</v>
      </c>
      <c r="AP330" s="27" t="s">
        <v>7</v>
      </c>
      <c r="AQ330" s="27" t="s">
        <v>8</v>
      </c>
      <c r="AR330" s="27" t="s">
        <v>7</v>
      </c>
      <c r="BA330" s="27" t="s">
        <v>8</v>
      </c>
      <c r="BB330" s="27" t="s">
        <v>7</v>
      </c>
      <c r="BC330" s="27" t="s">
        <v>8</v>
      </c>
      <c r="BD330" s="27" t="s">
        <v>7</v>
      </c>
    </row>
    <row r="331" spans="1:62" x14ac:dyDescent="0.25">
      <c r="A331" s="7">
        <v>159.09039899899392</v>
      </c>
      <c r="B331"/>
      <c r="C331"/>
      <c r="D331"/>
      <c r="E331"/>
      <c r="Y331" s="27" t="s">
        <v>8</v>
      </c>
      <c r="Z331" s="27" t="s">
        <v>7</v>
      </c>
      <c r="AO331" s="27" t="s">
        <v>8</v>
      </c>
      <c r="AP331" s="27" t="s">
        <v>7</v>
      </c>
      <c r="AQ331" s="27" t="s">
        <v>8</v>
      </c>
      <c r="AR331" s="27" t="s">
        <v>7</v>
      </c>
      <c r="BA331" s="27" t="s">
        <v>8</v>
      </c>
      <c r="BB331" s="27" t="s">
        <v>7</v>
      </c>
      <c r="BC331" s="27" t="s">
        <v>8</v>
      </c>
      <c r="BD331" s="27" t="s">
        <v>7</v>
      </c>
    </row>
    <row r="332" spans="1:62" x14ac:dyDescent="0.25">
      <c r="A332" s="7">
        <v>155.97097941077834</v>
      </c>
      <c r="B332"/>
      <c r="C332"/>
      <c r="D332"/>
      <c r="E332"/>
      <c r="Y332" s="27" t="s">
        <v>8</v>
      </c>
      <c r="Z332" s="27" t="s">
        <v>7</v>
      </c>
      <c r="AO332" s="27" t="s">
        <v>8</v>
      </c>
      <c r="AP332" s="27" t="s">
        <v>7</v>
      </c>
      <c r="AQ332" s="27" t="s">
        <v>8</v>
      </c>
      <c r="AR332" s="27" t="s">
        <v>7</v>
      </c>
      <c r="BA332" s="27" t="s">
        <v>8</v>
      </c>
      <c r="BB332" s="27" t="s">
        <v>7</v>
      </c>
      <c r="BC332" s="27" t="s">
        <v>8</v>
      </c>
      <c r="BD332" s="27" t="s">
        <v>7</v>
      </c>
      <c r="BE332" s="27" t="s">
        <v>8</v>
      </c>
    </row>
    <row r="333" spans="1:62" x14ac:dyDescent="0.25">
      <c r="A333" s="7">
        <v>152.91272491252778</v>
      </c>
      <c r="B333"/>
      <c r="C333"/>
      <c r="D333"/>
      <c r="E333"/>
      <c r="Y333" s="27" t="s">
        <v>8</v>
      </c>
      <c r="Z333" s="27" t="s">
        <v>7</v>
      </c>
      <c r="AK333" s="27" t="s">
        <v>8</v>
      </c>
      <c r="AO333" s="27" t="s">
        <v>8</v>
      </c>
      <c r="AP333" s="27" t="s">
        <v>7</v>
      </c>
      <c r="AQ333" s="27" t="s">
        <v>8</v>
      </c>
      <c r="AR333" s="27" t="s">
        <v>7</v>
      </c>
      <c r="BA333" s="27" t="s">
        <v>8</v>
      </c>
      <c r="BB333" s="27" t="s">
        <v>7</v>
      </c>
      <c r="BC333" s="27" t="s">
        <v>8</v>
      </c>
      <c r="BD333" s="27" t="s">
        <v>7</v>
      </c>
      <c r="BE333" s="27" t="s">
        <v>8</v>
      </c>
      <c r="BF333" s="27" t="s">
        <v>7</v>
      </c>
    </row>
    <row r="334" spans="1:62" x14ac:dyDescent="0.25">
      <c r="A334" s="7">
        <v>149.91443618875272</v>
      </c>
      <c r="B334"/>
      <c r="C334"/>
      <c r="D334"/>
      <c r="E334"/>
      <c r="Y334" s="27" t="s">
        <v>8</v>
      </c>
      <c r="Z334" s="27" t="s">
        <v>7</v>
      </c>
      <c r="AK334" s="27" t="s">
        <v>8</v>
      </c>
      <c r="AL334" s="27" t="s">
        <v>7</v>
      </c>
      <c r="AO334" s="27" t="s">
        <v>8</v>
      </c>
      <c r="AP334" s="27" t="s">
        <v>7</v>
      </c>
      <c r="AQ334" s="27" t="s">
        <v>8</v>
      </c>
      <c r="AR334" s="27" t="s">
        <v>7</v>
      </c>
      <c r="BA334" s="27" t="s">
        <v>8</v>
      </c>
      <c r="BB334" s="27" t="s">
        <v>7</v>
      </c>
      <c r="BC334" s="27" t="s">
        <v>8</v>
      </c>
      <c r="BD334" s="27" t="s">
        <v>7</v>
      </c>
      <c r="BE334" s="27" t="s">
        <v>8</v>
      </c>
      <c r="BF334" s="27" t="s">
        <v>7</v>
      </c>
    </row>
    <row r="335" spans="1:62" x14ac:dyDescent="0.25">
      <c r="A335" s="7">
        <v>146.97493743995364</v>
      </c>
      <c r="B335"/>
      <c r="C335"/>
      <c r="D335"/>
      <c r="E335"/>
      <c r="Y335" s="27" t="s">
        <v>8</v>
      </c>
      <c r="Z335" s="27" t="s">
        <v>7</v>
      </c>
      <c r="AK335" s="27" t="s">
        <v>8</v>
      </c>
      <c r="AL335" s="27" t="s">
        <v>7</v>
      </c>
      <c r="AO335" s="27" t="s">
        <v>8</v>
      </c>
      <c r="AP335" s="27" t="s">
        <v>7</v>
      </c>
      <c r="AQ335" s="27" t="s">
        <v>8</v>
      </c>
      <c r="AR335" s="27" t="s">
        <v>7</v>
      </c>
      <c r="AS335" s="27" t="s">
        <v>8</v>
      </c>
      <c r="AU335" s="27" t="s">
        <v>8</v>
      </c>
      <c r="AW335" s="27" t="s">
        <v>8</v>
      </c>
      <c r="BA335" s="27" t="s">
        <v>8</v>
      </c>
      <c r="BB335" s="27" t="s">
        <v>7</v>
      </c>
      <c r="BC335" s="27" t="s">
        <v>8</v>
      </c>
      <c r="BD335" s="27" t="s">
        <v>7</v>
      </c>
      <c r="BE335" s="27" t="s">
        <v>8</v>
      </c>
      <c r="BF335" s="27" t="s">
        <v>7</v>
      </c>
      <c r="BI335" s="27" t="s">
        <v>8</v>
      </c>
    </row>
    <row r="336" spans="1:62" x14ac:dyDescent="0.25">
      <c r="A336" s="7">
        <v>144.09307592152317</v>
      </c>
      <c r="B336"/>
      <c r="C336"/>
      <c r="D336"/>
      <c r="E336"/>
      <c r="Y336" s="27" t="s">
        <v>8</v>
      </c>
      <c r="Z336" s="27" t="s">
        <v>7</v>
      </c>
      <c r="AK336" s="27" t="s">
        <v>8</v>
      </c>
      <c r="AL336" s="27" t="s">
        <v>7</v>
      </c>
      <c r="AO336" s="27" t="s">
        <v>8</v>
      </c>
      <c r="AP336" s="27" t="s">
        <v>7</v>
      </c>
      <c r="AQ336" s="27" t="s">
        <v>8</v>
      </c>
      <c r="AR336" s="27" t="s">
        <v>7</v>
      </c>
      <c r="AS336" s="27" t="s">
        <v>8</v>
      </c>
      <c r="AT336" s="27" t="s">
        <v>7</v>
      </c>
      <c r="AU336" s="27" t="s">
        <v>8</v>
      </c>
      <c r="AV336" s="27" t="s">
        <v>7</v>
      </c>
      <c r="AW336" s="27" t="s">
        <v>8</v>
      </c>
      <c r="AX336" s="27" t="s">
        <v>7</v>
      </c>
      <c r="BA336" s="27" t="s">
        <v>8</v>
      </c>
      <c r="BB336" s="27" t="s">
        <v>7</v>
      </c>
      <c r="BC336" s="27" t="s">
        <v>8</v>
      </c>
      <c r="BD336" s="27" t="s">
        <v>7</v>
      </c>
      <c r="BE336" s="27" t="s">
        <v>8</v>
      </c>
      <c r="BF336" s="27" t="s">
        <v>7</v>
      </c>
      <c r="BI336" s="27" t="s">
        <v>8</v>
      </c>
      <c r="BJ336" s="27" t="s">
        <v>7</v>
      </c>
    </row>
    <row r="337" spans="1:82" x14ac:dyDescent="0.25">
      <c r="A337" s="7">
        <v>141.26772149168937</v>
      </c>
      <c r="B337"/>
      <c r="C337"/>
      <c r="D337"/>
      <c r="E337"/>
      <c r="Y337" s="27" t="s">
        <v>8</v>
      </c>
      <c r="Z337" s="27" t="s">
        <v>7</v>
      </c>
      <c r="AK337" s="27" t="s">
        <v>8</v>
      </c>
      <c r="AL337" s="27" t="s">
        <v>7</v>
      </c>
      <c r="AM337" s="27" t="s">
        <v>8</v>
      </c>
      <c r="AO337" s="27" t="s">
        <v>8</v>
      </c>
      <c r="AP337" s="27" t="s">
        <v>7</v>
      </c>
      <c r="AQ337" s="27" t="s">
        <v>8</v>
      </c>
      <c r="AR337" s="27" t="s">
        <v>7</v>
      </c>
      <c r="AS337" s="27" t="s">
        <v>8</v>
      </c>
      <c r="AT337" s="27" t="s">
        <v>7</v>
      </c>
      <c r="AU337" s="27" t="s">
        <v>8</v>
      </c>
      <c r="AV337" s="27" t="s">
        <v>7</v>
      </c>
      <c r="AW337" s="27" t="s">
        <v>8</v>
      </c>
      <c r="AX337" s="27" t="s">
        <v>7</v>
      </c>
      <c r="AY337" s="27" t="s">
        <v>8</v>
      </c>
      <c r="BA337" s="27" t="s">
        <v>8</v>
      </c>
      <c r="BB337" s="27" t="s">
        <v>7</v>
      </c>
      <c r="BC337" s="27" t="s">
        <v>8</v>
      </c>
      <c r="BD337" s="27" t="s">
        <v>7</v>
      </c>
      <c r="BE337" s="27" t="s">
        <v>8</v>
      </c>
      <c r="BF337" s="27" t="s">
        <v>7</v>
      </c>
      <c r="BG337" s="27" t="s">
        <v>8</v>
      </c>
      <c r="BI337" s="27" t="s">
        <v>8</v>
      </c>
      <c r="BJ337" s="27" t="s">
        <v>7</v>
      </c>
    </row>
    <row r="338" spans="1:82" x14ac:dyDescent="0.25">
      <c r="A338" s="7">
        <v>138.4977661683229</v>
      </c>
      <c r="B338"/>
      <c r="C338"/>
      <c r="D338"/>
      <c r="E338"/>
      <c r="Y338" s="27" t="s">
        <v>8</v>
      </c>
      <c r="Z338" s="27" t="s">
        <v>7</v>
      </c>
      <c r="AK338" s="27" t="s">
        <v>8</v>
      </c>
      <c r="AL338" s="27" t="s">
        <v>7</v>
      </c>
      <c r="AM338" s="27" t="s">
        <v>8</v>
      </c>
      <c r="AN338" s="27" t="s">
        <v>7</v>
      </c>
      <c r="AO338" s="27" t="s">
        <v>8</v>
      </c>
      <c r="AP338" s="27" t="s">
        <v>7</v>
      </c>
      <c r="AQ338" s="27" t="s">
        <v>8</v>
      </c>
      <c r="AR338" s="27" t="s">
        <v>7</v>
      </c>
      <c r="AS338" s="27" t="s">
        <v>8</v>
      </c>
      <c r="AT338" s="27" t="s">
        <v>7</v>
      </c>
      <c r="AV338" s="27" t="s">
        <v>7</v>
      </c>
      <c r="AW338" s="27" t="s">
        <v>8</v>
      </c>
      <c r="AX338" s="27" t="s">
        <v>7</v>
      </c>
      <c r="AY338" s="27" t="s">
        <v>8</v>
      </c>
      <c r="AZ338" s="27" t="s">
        <v>7</v>
      </c>
      <c r="BA338" s="27" t="s">
        <v>8</v>
      </c>
      <c r="BB338" s="27" t="s">
        <v>7</v>
      </c>
      <c r="BC338" s="27" t="s">
        <v>8</v>
      </c>
      <c r="BD338" s="27" t="s">
        <v>7</v>
      </c>
      <c r="BE338" s="27" t="s">
        <v>8</v>
      </c>
      <c r="BF338" s="27" t="s">
        <v>7</v>
      </c>
      <c r="BG338" s="27" t="s">
        <v>8</v>
      </c>
      <c r="BH338" s="27" t="s">
        <v>7</v>
      </c>
      <c r="BI338" s="27" t="s">
        <v>8</v>
      </c>
      <c r="BJ338" s="27" t="s">
        <v>7</v>
      </c>
    </row>
    <row r="339" spans="1:82" x14ac:dyDescent="0.25">
      <c r="A339" s="7">
        <v>135.7821236944342</v>
      </c>
      <c r="B339"/>
      <c r="C339"/>
      <c r="D339"/>
      <c r="E339"/>
      <c r="Y339" s="27" t="s">
        <v>8</v>
      </c>
      <c r="Z339" s="27" t="s">
        <v>7</v>
      </c>
      <c r="AK339" s="27" t="s">
        <v>8</v>
      </c>
      <c r="AL339" s="27" t="s">
        <v>7</v>
      </c>
      <c r="AM339" s="27" t="s">
        <v>8</v>
      </c>
      <c r="AN339" s="27" t="s">
        <v>7</v>
      </c>
      <c r="AO339" s="27" t="s">
        <v>8</v>
      </c>
      <c r="AP339" s="27" t="s">
        <v>7</v>
      </c>
      <c r="AQ339" s="27" t="s">
        <v>8</v>
      </c>
      <c r="AR339" s="27" t="s">
        <v>7</v>
      </c>
      <c r="AS339" s="27" t="s">
        <v>8</v>
      </c>
      <c r="AV339" s="27" t="s">
        <v>7</v>
      </c>
      <c r="AW339" s="27" t="s">
        <v>8</v>
      </c>
      <c r="AX339" s="27" t="s">
        <v>7</v>
      </c>
      <c r="AY339" s="27" t="s">
        <v>8</v>
      </c>
      <c r="AZ339" s="27" t="s">
        <v>7</v>
      </c>
      <c r="BA339" s="27" t="s">
        <v>8</v>
      </c>
      <c r="BB339" s="27" t="s">
        <v>7</v>
      </c>
      <c r="BC339" s="27" t="s">
        <v>8</v>
      </c>
      <c r="BD339" s="27" t="s">
        <v>7</v>
      </c>
      <c r="BE339" s="27" t="s">
        <v>8</v>
      </c>
      <c r="BF339" s="27" t="s">
        <v>7</v>
      </c>
      <c r="BG339" s="27" t="s">
        <v>8</v>
      </c>
      <c r="BH339" s="27" t="s">
        <v>7</v>
      </c>
      <c r="BI339" s="27" t="s">
        <v>8</v>
      </c>
      <c r="BJ339" s="27" t="s">
        <v>7</v>
      </c>
    </row>
    <row r="340" spans="1:82" x14ac:dyDescent="0.25">
      <c r="A340" s="7">
        <v>133.11972911219038</v>
      </c>
      <c r="B340"/>
      <c r="C340"/>
      <c r="D340"/>
      <c r="E340"/>
      <c r="Y340" s="27" t="s">
        <v>8</v>
      </c>
      <c r="Z340" s="27" t="s">
        <v>7</v>
      </c>
      <c r="AA340" s="27" t="s">
        <v>8</v>
      </c>
      <c r="AK340" s="27" t="s">
        <v>8</v>
      </c>
      <c r="AL340" s="27" t="s">
        <v>7</v>
      </c>
      <c r="AM340" s="27" t="s">
        <v>8</v>
      </c>
      <c r="AN340" s="27" t="s">
        <v>7</v>
      </c>
      <c r="AO340" s="27" t="s">
        <v>8</v>
      </c>
      <c r="AP340" s="27" t="s">
        <v>7</v>
      </c>
      <c r="AQ340" s="27" t="s">
        <v>8</v>
      </c>
      <c r="AR340" s="27" t="s">
        <v>7</v>
      </c>
      <c r="AV340" s="27" t="s">
        <v>7</v>
      </c>
      <c r="AW340" s="27" t="s">
        <v>8</v>
      </c>
      <c r="AX340" s="27" t="s">
        <v>7</v>
      </c>
      <c r="AY340" s="27" t="s">
        <v>8</v>
      </c>
      <c r="AZ340" s="27" t="s">
        <v>7</v>
      </c>
      <c r="BA340" s="27" t="s">
        <v>8</v>
      </c>
      <c r="BB340" s="27" t="s">
        <v>7</v>
      </c>
      <c r="BC340" s="27" t="s">
        <v>8</v>
      </c>
      <c r="BD340" s="27" t="s">
        <v>7</v>
      </c>
      <c r="BF340" s="27" t="s">
        <v>7</v>
      </c>
      <c r="BG340" s="27" t="s">
        <v>8</v>
      </c>
      <c r="BH340" s="27" t="s">
        <v>7</v>
      </c>
      <c r="BJ340" s="27" t="s">
        <v>7</v>
      </c>
    </row>
    <row r="341" spans="1:82" x14ac:dyDescent="0.25">
      <c r="A341" s="7">
        <v>130.50953834528468</v>
      </c>
      <c r="B341"/>
      <c r="C341"/>
      <c r="D341"/>
      <c r="E341"/>
      <c r="Q341" s="27" t="s">
        <v>8</v>
      </c>
      <c r="Y341" s="27" t="s">
        <v>8</v>
      </c>
      <c r="Z341" s="27" t="s">
        <v>7</v>
      </c>
      <c r="AA341" s="27" t="s">
        <v>8</v>
      </c>
      <c r="AB341" s="27" t="s">
        <v>7</v>
      </c>
      <c r="AK341" s="27" t="s">
        <v>8</v>
      </c>
      <c r="AL341" s="27" t="s">
        <v>7</v>
      </c>
      <c r="AM341" s="27" t="s">
        <v>8</v>
      </c>
      <c r="AN341" s="27" t="s">
        <v>7</v>
      </c>
      <c r="AO341" s="27" t="s">
        <v>8</v>
      </c>
      <c r="AP341" s="27" t="s">
        <v>7</v>
      </c>
      <c r="AQ341" s="27" t="s">
        <v>8</v>
      </c>
      <c r="AV341" s="27" t="s">
        <v>7</v>
      </c>
      <c r="AX341" s="27" t="s">
        <v>7</v>
      </c>
      <c r="AZ341" s="27" t="s">
        <v>7</v>
      </c>
      <c r="BA341" s="27" t="s">
        <v>8</v>
      </c>
      <c r="BB341" s="27" t="s">
        <v>7</v>
      </c>
      <c r="BF341" s="27" t="s">
        <v>7</v>
      </c>
      <c r="BG341" s="27" t="s">
        <v>8</v>
      </c>
      <c r="BJ341" s="27" t="s">
        <v>7</v>
      </c>
      <c r="CA341" s="27" t="s">
        <v>8</v>
      </c>
    </row>
    <row r="342" spans="1:82" x14ac:dyDescent="0.25">
      <c r="A342" s="7">
        <v>127.95052778949477</v>
      </c>
      <c r="B342"/>
      <c r="C342"/>
      <c r="D342"/>
      <c r="E342"/>
      <c r="Q342" s="27" t="s">
        <v>8</v>
      </c>
      <c r="R342" s="27" t="s">
        <v>7</v>
      </c>
      <c r="Y342" s="27" t="s">
        <v>8</v>
      </c>
      <c r="Z342" s="27" t="s">
        <v>7</v>
      </c>
      <c r="AA342" s="27" t="s">
        <v>8</v>
      </c>
      <c r="AB342" s="27" t="s">
        <v>7</v>
      </c>
      <c r="AE342" s="27" t="s">
        <v>8</v>
      </c>
      <c r="AK342" s="27" t="s">
        <v>8</v>
      </c>
      <c r="AL342" s="27" t="s">
        <v>7</v>
      </c>
      <c r="AM342" s="27" t="s">
        <v>8</v>
      </c>
      <c r="AN342" s="27" t="s">
        <v>7</v>
      </c>
      <c r="AO342" s="27" t="s">
        <v>8</v>
      </c>
      <c r="AP342" s="27" t="s">
        <v>7</v>
      </c>
      <c r="AQ342" s="27" t="s">
        <v>8</v>
      </c>
      <c r="AZ342" s="27" t="s">
        <v>7</v>
      </c>
      <c r="BA342" s="27" t="s">
        <v>8</v>
      </c>
      <c r="BF342" s="27" t="s">
        <v>7</v>
      </c>
      <c r="BJ342" s="27" t="s">
        <v>7</v>
      </c>
      <c r="BK342" s="27" t="s">
        <v>8</v>
      </c>
      <c r="CA342" s="27" t="s">
        <v>8</v>
      </c>
      <c r="CB342" s="27" t="s">
        <v>7</v>
      </c>
    </row>
    <row r="343" spans="1:82" x14ac:dyDescent="0.25">
      <c r="A343" s="7">
        <v>125.44169391126938</v>
      </c>
      <c r="B343"/>
      <c r="C343"/>
      <c r="D343"/>
      <c r="E343"/>
      <c r="Q343" s="27" t="s">
        <v>8</v>
      </c>
      <c r="R343" s="27" t="s">
        <v>7</v>
      </c>
      <c r="Y343" s="27" t="s">
        <v>8</v>
      </c>
      <c r="Z343" s="27" t="s">
        <v>7</v>
      </c>
      <c r="AA343" s="27" t="s">
        <v>8</v>
      </c>
      <c r="AB343" s="27" t="s">
        <v>7</v>
      </c>
      <c r="AE343" s="27" t="s">
        <v>8</v>
      </c>
      <c r="AF343" s="27" t="s">
        <v>7</v>
      </c>
      <c r="AK343" s="27" t="s">
        <v>8</v>
      </c>
      <c r="AL343" s="27" t="s">
        <v>7</v>
      </c>
      <c r="AM343" s="27" t="s">
        <v>8</v>
      </c>
      <c r="AN343" s="27" t="s">
        <v>7</v>
      </c>
      <c r="AO343" s="27" t="s">
        <v>8</v>
      </c>
      <c r="AP343" s="27" t="s">
        <v>7</v>
      </c>
      <c r="AZ343" s="27" t="s">
        <v>7</v>
      </c>
      <c r="BJ343" s="27" t="s">
        <v>7</v>
      </c>
      <c r="BK343" s="27" t="s">
        <v>8</v>
      </c>
      <c r="BL343" s="27" t="s">
        <v>7</v>
      </c>
      <c r="CA343" s="27" t="s">
        <v>8</v>
      </c>
      <c r="CB343" s="27" t="s">
        <v>7</v>
      </c>
    </row>
    <row r="344" spans="1:82" x14ac:dyDescent="0.25">
      <c r="A344" s="7">
        <v>122.98205285418567</v>
      </c>
      <c r="B344"/>
      <c r="C344"/>
      <c r="D344"/>
      <c r="E344"/>
      <c r="Q344" s="27" t="s">
        <v>8</v>
      </c>
      <c r="R344" s="27" t="s">
        <v>7</v>
      </c>
      <c r="Y344" s="27" t="s">
        <v>8</v>
      </c>
      <c r="Z344" s="27" t="s">
        <v>7</v>
      </c>
      <c r="AB344" s="27" t="s">
        <v>7</v>
      </c>
      <c r="AE344" s="27" t="s">
        <v>8</v>
      </c>
      <c r="AF344" s="27" t="s">
        <v>7</v>
      </c>
      <c r="AK344" s="27" t="s">
        <v>8</v>
      </c>
      <c r="AL344" s="27" t="s">
        <v>7</v>
      </c>
      <c r="AM344" s="27" t="s">
        <v>8</v>
      </c>
      <c r="AN344" s="27" t="s">
        <v>7</v>
      </c>
      <c r="AO344" s="27" t="s">
        <v>8</v>
      </c>
      <c r="BJ344" s="27" t="s">
        <v>7</v>
      </c>
      <c r="BK344" s="27" t="s">
        <v>8</v>
      </c>
      <c r="BL344" s="27" t="s">
        <v>7</v>
      </c>
      <c r="CA344" s="27" t="s">
        <v>8</v>
      </c>
      <c r="CB344" s="27" t="s">
        <v>7</v>
      </c>
    </row>
    <row r="345" spans="1:82" x14ac:dyDescent="0.25">
      <c r="A345" s="7">
        <v>120.5706400531232</v>
      </c>
      <c r="B345"/>
      <c r="C345"/>
      <c r="D345"/>
      <c r="E345"/>
      <c r="Q345" s="27" t="s">
        <v>8</v>
      </c>
      <c r="R345" s="27" t="s">
        <v>7</v>
      </c>
      <c r="Y345" s="27" t="s">
        <v>8</v>
      </c>
      <c r="AB345" s="27" t="s">
        <v>7</v>
      </c>
      <c r="AE345" s="27" t="s">
        <v>8</v>
      </c>
      <c r="AF345" s="27" t="s">
        <v>7</v>
      </c>
      <c r="AK345" s="27" t="s">
        <v>8</v>
      </c>
      <c r="AL345" s="27" t="s">
        <v>7</v>
      </c>
      <c r="AM345" s="27" t="s">
        <v>8</v>
      </c>
      <c r="AN345" s="27" t="s">
        <v>7</v>
      </c>
      <c r="AO345" s="27" t="s">
        <v>8</v>
      </c>
      <c r="BJ345" s="27" t="s">
        <v>7</v>
      </c>
      <c r="BK345" s="27" t="s">
        <v>8</v>
      </c>
      <c r="BL345" s="27" t="s">
        <v>7</v>
      </c>
      <c r="CA345" s="27" t="s">
        <v>8</v>
      </c>
      <c r="CB345" s="27" t="s">
        <v>7</v>
      </c>
    </row>
    <row r="346" spans="1:82" x14ac:dyDescent="0.25">
      <c r="A346" s="7">
        <v>118.20650985600314</v>
      </c>
      <c r="B346"/>
      <c r="C346"/>
      <c r="D346"/>
      <c r="E346" t="s">
        <v>8</v>
      </c>
      <c r="Q346" s="27" t="s">
        <v>8</v>
      </c>
      <c r="R346" s="27" t="s">
        <v>7</v>
      </c>
      <c r="Y346" s="27" t="s">
        <v>8</v>
      </c>
      <c r="AB346" s="27" t="s">
        <v>7</v>
      </c>
      <c r="AC346" s="27" t="s">
        <v>8</v>
      </c>
      <c r="AE346" s="27" t="s">
        <v>8</v>
      </c>
      <c r="AF346" s="27" t="s">
        <v>7</v>
      </c>
      <c r="AG346" s="27" t="s">
        <v>8</v>
      </c>
      <c r="AK346" s="27" t="s">
        <v>8</v>
      </c>
      <c r="AL346" s="27" t="s">
        <v>7</v>
      </c>
      <c r="AM346" s="27" t="s">
        <v>8</v>
      </c>
      <c r="AN346" s="27" t="s">
        <v>7</v>
      </c>
      <c r="AO346" s="27" t="s">
        <v>8</v>
      </c>
      <c r="BJ346" s="27" t="s">
        <v>7</v>
      </c>
      <c r="BK346" s="27" t="s">
        <v>8</v>
      </c>
      <c r="BL346" s="27" t="s">
        <v>7</v>
      </c>
      <c r="BO346" s="27" t="s">
        <v>8</v>
      </c>
      <c r="CA346" s="27" t="s">
        <v>8</v>
      </c>
      <c r="CB346" s="27" t="s">
        <v>7</v>
      </c>
    </row>
    <row r="347" spans="1:82" x14ac:dyDescent="0.25">
      <c r="A347" s="7">
        <v>115.88873515294425</v>
      </c>
      <c r="B347"/>
      <c r="C347"/>
      <c r="D347"/>
      <c r="E347" t="s">
        <v>8</v>
      </c>
      <c r="F347" s="27" t="s">
        <v>7</v>
      </c>
      <c r="Q347" s="27" t="s">
        <v>8</v>
      </c>
      <c r="R347" s="27" t="s">
        <v>7</v>
      </c>
      <c r="Y347" s="27" t="s">
        <v>8</v>
      </c>
      <c r="AB347" s="27" t="s">
        <v>7</v>
      </c>
      <c r="AC347" s="27" t="s">
        <v>8</v>
      </c>
      <c r="AD347" s="27" t="s">
        <v>7</v>
      </c>
      <c r="AE347" s="27" t="s">
        <v>8</v>
      </c>
      <c r="AF347" s="27" t="s">
        <v>7</v>
      </c>
      <c r="AG347" s="27" t="s">
        <v>8</v>
      </c>
      <c r="AH347" s="27" t="s">
        <v>7</v>
      </c>
      <c r="AI347" s="27" t="s">
        <v>8</v>
      </c>
      <c r="AK347" s="27" t="s">
        <v>8</v>
      </c>
      <c r="AL347" s="27" t="s">
        <v>7</v>
      </c>
      <c r="AM347" s="27" t="s">
        <v>8</v>
      </c>
      <c r="AN347" s="27" t="s">
        <v>7</v>
      </c>
      <c r="AO347" s="27" t="s">
        <v>8</v>
      </c>
      <c r="BJ347" s="27" t="s">
        <v>7</v>
      </c>
      <c r="BK347" s="27" t="s">
        <v>8</v>
      </c>
      <c r="BL347" s="27" t="s">
        <v>7</v>
      </c>
      <c r="BO347" s="27" t="s">
        <v>8</v>
      </c>
      <c r="BP347" s="27" t="s">
        <v>7</v>
      </c>
      <c r="CA347" s="27" t="s">
        <v>8</v>
      </c>
      <c r="CB347" s="27" t="s">
        <v>7</v>
      </c>
    </row>
    <row r="348" spans="1:82" x14ac:dyDescent="0.25">
      <c r="A348" s="7">
        <v>113.61640701269044</v>
      </c>
      <c r="B348"/>
      <c r="C348"/>
      <c r="D348"/>
      <c r="E348" t="s">
        <v>8</v>
      </c>
      <c r="F348" s="27" t="s">
        <v>7</v>
      </c>
      <c r="Q348" s="27" t="s">
        <v>8</v>
      </c>
      <c r="R348" s="27" t="s">
        <v>7</v>
      </c>
      <c r="Y348" s="27" t="s">
        <v>8</v>
      </c>
      <c r="AB348" s="27" t="s">
        <v>7</v>
      </c>
      <c r="AC348" s="27" t="s">
        <v>8</v>
      </c>
      <c r="AD348" s="27" t="s">
        <v>7</v>
      </c>
      <c r="AE348" s="27" t="s">
        <v>8</v>
      </c>
      <c r="AF348" s="27" t="s">
        <v>7</v>
      </c>
      <c r="AG348" s="27" t="s">
        <v>8</v>
      </c>
      <c r="AH348" s="27" t="s">
        <v>7</v>
      </c>
      <c r="AI348" s="27" t="s">
        <v>8</v>
      </c>
      <c r="AJ348" s="27" t="s">
        <v>7</v>
      </c>
      <c r="AK348" s="27" t="s">
        <v>8</v>
      </c>
      <c r="AL348" s="27" t="s">
        <v>7</v>
      </c>
      <c r="AM348" s="27" t="s">
        <v>8</v>
      </c>
      <c r="AN348" s="27" t="s">
        <v>7</v>
      </c>
      <c r="AO348" s="27" t="s">
        <v>8</v>
      </c>
      <c r="BJ348" s="27" t="s">
        <v>7</v>
      </c>
      <c r="BK348" s="27" t="s">
        <v>8</v>
      </c>
      <c r="BL348" s="27" t="s">
        <v>7</v>
      </c>
      <c r="BO348" s="27" t="s">
        <v>8</v>
      </c>
      <c r="BP348" s="27" t="s">
        <v>7</v>
      </c>
      <c r="BW348" s="27" t="s">
        <v>8</v>
      </c>
      <c r="CA348" s="27" t="s">
        <v>8</v>
      </c>
      <c r="CB348" s="27" t="s">
        <v>7</v>
      </c>
      <c r="CC348" s="27" t="s">
        <v>8</v>
      </c>
    </row>
    <row r="349" spans="1:82" x14ac:dyDescent="0.25">
      <c r="A349" s="7">
        <v>111.38863432616711</v>
      </c>
      <c r="B349"/>
      <c r="C349"/>
      <c r="D349"/>
      <c r="E349" t="s">
        <v>8</v>
      </c>
      <c r="F349" s="27" t="s">
        <v>7</v>
      </c>
      <c r="Q349" s="27" t="s">
        <v>8</v>
      </c>
      <c r="R349" s="27" t="s">
        <v>7</v>
      </c>
      <c r="Y349" s="27" t="s">
        <v>8</v>
      </c>
      <c r="AB349" s="27" t="s">
        <v>7</v>
      </c>
      <c r="AC349" s="27" t="s">
        <v>8</v>
      </c>
      <c r="AD349" s="27" t="s">
        <v>7</v>
      </c>
      <c r="AF349" s="27" t="s">
        <v>7</v>
      </c>
      <c r="AG349" s="27" t="s">
        <v>8</v>
      </c>
      <c r="AH349" s="27" t="s">
        <v>7</v>
      </c>
      <c r="AI349" s="27" t="s">
        <v>8</v>
      </c>
      <c r="AJ349" s="27" t="s">
        <v>7</v>
      </c>
      <c r="AK349" s="27" t="s">
        <v>8</v>
      </c>
      <c r="AL349" s="27" t="s">
        <v>7</v>
      </c>
      <c r="AM349" s="27" t="s">
        <v>8</v>
      </c>
      <c r="AN349" s="27" t="s">
        <v>7</v>
      </c>
      <c r="AO349" s="27" t="s">
        <v>8</v>
      </c>
      <c r="BJ349" s="27" t="s">
        <v>7</v>
      </c>
      <c r="BK349" s="27" t="s">
        <v>8</v>
      </c>
      <c r="BL349" s="27" t="s">
        <v>7</v>
      </c>
      <c r="BO349" s="27" t="s">
        <v>8</v>
      </c>
      <c r="BP349" s="27" t="s">
        <v>7</v>
      </c>
      <c r="BW349" s="27" t="s">
        <v>8</v>
      </c>
      <c r="BX349" s="27" t="s">
        <v>7</v>
      </c>
      <c r="CA349" s="27" t="s">
        <v>8</v>
      </c>
      <c r="CB349" s="27" t="s">
        <v>7</v>
      </c>
      <c r="CC349" s="27" t="s">
        <v>8</v>
      </c>
      <c r="CD349" s="27" t="s">
        <v>7</v>
      </c>
    </row>
    <row r="350" spans="1:82" x14ac:dyDescent="0.25">
      <c r="A350" s="7">
        <v>109.20454345702657</v>
      </c>
      <c r="B350"/>
      <c r="C350"/>
      <c r="D350"/>
      <c r="E350" t="s">
        <v>8</v>
      </c>
      <c r="F350" s="27" t="s">
        <v>7</v>
      </c>
      <c r="Q350" s="27" t="s">
        <v>8</v>
      </c>
      <c r="R350" s="27" t="s">
        <v>7</v>
      </c>
      <c r="Y350" s="27" t="s">
        <v>8</v>
      </c>
      <c r="AB350" s="27" t="s">
        <v>7</v>
      </c>
      <c r="AF350" s="27" t="s">
        <v>7</v>
      </c>
      <c r="AG350" s="27" t="s">
        <v>8</v>
      </c>
      <c r="AH350" s="27" t="s">
        <v>7</v>
      </c>
      <c r="AI350" s="27" t="s">
        <v>8</v>
      </c>
      <c r="AJ350" s="27" t="s">
        <v>7</v>
      </c>
      <c r="AK350" s="27" t="s">
        <v>8</v>
      </c>
      <c r="AL350" s="27" t="s">
        <v>7</v>
      </c>
      <c r="AN350" s="27" t="s">
        <v>7</v>
      </c>
      <c r="AO350" s="27" t="s">
        <v>8</v>
      </c>
      <c r="BJ350" s="27" t="s">
        <v>7</v>
      </c>
      <c r="BK350" s="27" t="s">
        <v>8</v>
      </c>
      <c r="BL350" s="27" t="s">
        <v>7</v>
      </c>
      <c r="BO350" s="27" t="s">
        <v>8</v>
      </c>
      <c r="BP350" s="27" t="s">
        <v>7</v>
      </c>
      <c r="BW350" s="27" t="s">
        <v>8</v>
      </c>
      <c r="BX350" s="27" t="s">
        <v>7</v>
      </c>
      <c r="CA350" s="27" t="s">
        <v>8</v>
      </c>
      <c r="CB350" s="27" t="s">
        <v>7</v>
      </c>
      <c r="CC350" s="27" t="s">
        <v>8</v>
      </c>
      <c r="CD350" s="27" t="s">
        <v>7</v>
      </c>
    </row>
    <row r="351" spans="1:82" x14ac:dyDescent="0.25">
      <c r="A351" s="7">
        <v>107.06327789904566</v>
      </c>
      <c r="B351"/>
      <c r="C351"/>
      <c r="D351"/>
      <c r="E351" t="s">
        <v>8</v>
      </c>
      <c r="F351" s="27" t="s">
        <v>7</v>
      </c>
      <c r="Q351" s="27" t="s">
        <v>8</v>
      </c>
      <c r="R351" s="27" t="s">
        <v>7</v>
      </c>
      <c r="Y351" s="27" t="s">
        <v>8</v>
      </c>
      <c r="AF351" s="27" t="s">
        <v>7</v>
      </c>
      <c r="AG351" s="27" t="s">
        <v>8</v>
      </c>
      <c r="AH351" s="27" t="s">
        <v>7</v>
      </c>
      <c r="AI351" s="27" t="s">
        <v>8</v>
      </c>
      <c r="AJ351" s="27" t="s">
        <v>7</v>
      </c>
      <c r="AK351" s="27" t="s">
        <v>8</v>
      </c>
      <c r="AN351" s="27" t="s">
        <v>7</v>
      </c>
      <c r="AO351" s="27" t="s">
        <v>8</v>
      </c>
      <c r="BJ351" s="27" t="s">
        <v>7</v>
      </c>
      <c r="BK351" s="27" t="s">
        <v>8</v>
      </c>
      <c r="BL351" s="27" t="s">
        <v>7</v>
      </c>
      <c r="BO351" s="27" t="s">
        <v>8</v>
      </c>
      <c r="BP351" s="27" t="s">
        <v>7</v>
      </c>
      <c r="BQ351" s="27" t="s">
        <v>8</v>
      </c>
      <c r="BW351" s="27" t="s">
        <v>8</v>
      </c>
      <c r="BX351" s="27" t="s">
        <v>7</v>
      </c>
      <c r="CA351" s="27" t="s">
        <v>8</v>
      </c>
      <c r="CB351" s="27" t="s">
        <v>7</v>
      </c>
      <c r="CC351" s="27" t="s">
        <v>8</v>
      </c>
      <c r="CD351" s="27" t="s">
        <v>7</v>
      </c>
    </row>
    <row r="352" spans="1:82" x14ac:dyDescent="0.25">
      <c r="A352" s="7">
        <v>104.96399794024084</v>
      </c>
      <c r="B352"/>
      <c r="C352"/>
      <c r="D352"/>
      <c r="E352" t="s">
        <v>8</v>
      </c>
      <c r="F352" s="27" t="s">
        <v>7</v>
      </c>
      <c r="Q352" s="27" t="s">
        <v>8</v>
      </c>
      <c r="R352" s="27" t="s">
        <v>7</v>
      </c>
      <c r="Y352" s="27" t="s">
        <v>8</v>
      </c>
      <c r="AF352" s="27" t="s">
        <v>7</v>
      </c>
      <c r="AG352" s="27" t="s">
        <v>8</v>
      </c>
      <c r="AH352" s="27" t="s">
        <v>7</v>
      </c>
      <c r="AI352" s="27" t="s">
        <v>8</v>
      </c>
      <c r="AJ352" s="27" t="s">
        <v>7</v>
      </c>
      <c r="AK352" s="27" t="s">
        <v>8</v>
      </c>
      <c r="AN352" s="27" t="s">
        <v>7</v>
      </c>
      <c r="AO352" s="27" t="s">
        <v>8</v>
      </c>
      <c r="BJ352" s="27" t="s">
        <v>7</v>
      </c>
      <c r="BL352" s="27" t="s">
        <v>7</v>
      </c>
      <c r="BM352" s="27" t="s">
        <v>8</v>
      </c>
      <c r="BO352" s="27" t="s">
        <v>8</v>
      </c>
      <c r="BP352" s="27" t="s">
        <v>7</v>
      </c>
      <c r="BQ352" s="27" t="s">
        <v>8</v>
      </c>
      <c r="BR352" s="27" t="s">
        <v>7</v>
      </c>
      <c r="BW352" s="27" t="s">
        <v>8</v>
      </c>
      <c r="BX352" s="27" t="s">
        <v>7</v>
      </c>
      <c r="CA352" s="27" t="s">
        <v>8</v>
      </c>
      <c r="CB352" s="27" t="s">
        <v>7</v>
      </c>
      <c r="CC352" s="27" t="s">
        <v>8</v>
      </c>
      <c r="CD352" s="27" t="s">
        <v>7</v>
      </c>
    </row>
    <row r="353" spans="1:86" x14ac:dyDescent="0.25">
      <c r="A353" s="7">
        <v>102.90588033356946</v>
      </c>
      <c r="B353"/>
      <c r="C353"/>
      <c r="D353"/>
      <c r="E353" t="s">
        <v>8</v>
      </c>
      <c r="F353" s="27" t="s">
        <v>7</v>
      </c>
      <c r="G353" s="27" t="s">
        <v>8</v>
      </c>
      <c r="Q353" s="27" t="s">
        <v>8</v>
      </c>
      <c r="R353" s="27" t="s">
        <v>7</v>
      </c>
      <c r="Y353" s="27" t="s">
        <v>8</v>
      </c>
      <c r="AF353" s="27" t="s">
        <v>7</v>
      </c>
      <c r="AG353" s="27" t="s">
        <v>8</v>
      </c>
      <c r="AH353" s="27" t="s">
        <v>7</v>
      </c>
      <c r="AI353" s="27" t="s">
        <v>8</v>
      </c>
      <c r="AJ353" s="27" t="s">
        <v>7</v>
      </c>
      <c r="AK353" s="27" t="s">
        <v>8</v>
      </c>
      <c r="AN353" s="27" t="s">
        <v>7</v>
      </c>
      <c r="AO353" s="27" t="s">
        <v>8</v>
      </c>
      <c r="BL353" s="27" t="s">
        <v>7</v>
      </c>
      <c r="BM353" s="27" t="s">
        <v>8</v>
      </c>
      <c r="BN353" s="27" t="s">
        <v>7</v>
      </c>
      <c r="BO353" s="27" t="s">
        <v>8</v>
      </c>
      <c r="BP353" s="27" t="s">
        <v>7</v>
      </c>
      <c r="BQ353" s="27" t="s">
        <v>8</v>
      </c>
      <c r="BR353" s="27" t="s">
        <v>7</v>
      </c>
      <c r="BS353" s="27" t="s">
        <v>8</v>
      </c>
      <c r="BW353" s="27" t="s">
        <v>8</v>
      </c>
      <c r="BX353" s="27" t="s">
        <v>7</v>
      </c>
      <c r="CA353" s="27" t="s">
        <v>8</v>
      </c>
      <c r="CB353" s="27" t="s">
        <v>7</v>
      </c>
      <c r="CC353" s="27" t="s">
        <v>8</v>
      </c>
      <c r="CD353" s="27" t="s">
        <v>7</v>
      </c>
    </row>
    <row r="354" spans="1:86" x14ac:dyDescent="0.25">
      <c r="A354" s="7">
        <v>100.88811797408771</v>
      </c>
      <c r="B354"/>
      <c r="C354"/>
      <c r="D354"/>
      <c r="E354" t="s">
        <v>8</v>
      </c>
      <c r="F354" s="27" t="s">
        <v>7</v>
      </c>
      <c r="G354" s="27" t="s">
        <v>8</v>
      </c>
      <c r="H354" s="27" t="s">
        <v>7</v>
      </c>
      <c r="Q354" s="27" t="s">
        <v>8</v>
      </c>
      <c r="R354" s="27" t="s">
        <v>7</v>
      </c>
      <c r="U354" s="27" t="s">
        <v>8</v>
      </c>
      <c r="Y354" s="27" t="s">
        <v>8</v>
      </c>
      <c r="AF354" s="27" t="s">
        <v>7</v>
      </c>
      <c r="AG354" s="27" t="s">
        <v>8</v>
      </c>
      <c r="AH354" s="27" t="s">
        <v>7</v>
      </c>
      <c r="AJ354" s="27" t="s">
        <v>7</v>
      </c>
      <c r="AN354" s="27" t="s">
        <v>7</v>
      </c>
      <c r="AO354" s="27" t="s">
        <v>8</v>
      </c>
      <c r="BL354" s="27" t="s">
        <v>7</v>
      </c>
      <c r="BM354" s="27" t="s">
        <v>8</v>
      </c>
      <c r="BN354" s="27" t="s">
        <v>7</v>
      </c>
      <c r="BO354" s="27" t="s">
        <v>8</v>
      </c>
      <c r="BP354" s="27" t="s">
        <v>7</v>
      </c>
      <c r="BQ354" s="27" t="s">
        <v>8</v>
      </c>
      <c r="BR354" s="27" t="s">
        <v>7</v>
      </c>
      <c r="BS354" s="27" t="s">
        <v>8</v>
      </c>
      <c r="BT354" s="27" t="s">
        <v>7</v>
      </c>
      <c r="BW354" s="27" t="s">
        <v>8</v>
      </c>
      <c r="BX354" s="27" t="s">
        <v>7</v>
      </c>
      <c r="CA354" s="27" t="s">
        <v>8</v>
      </c>
      <c r="CB354" s="27" t="s">
        <v>7</v>
      </c>
      <c r="CC354" s="27" t="s">
        <v>8</v>
      </c>
      <c r="CD354" s="27" t="s">
        <v>7</v>
      </c>
    </row>
    <row r="355" spans="1:86" x14ac:dyDescent="0.25">
      <c r="A355" s="7">
        <v>98.909919582438931</v>
      </c>
      <c r="B355"/>
      <c r="C355"/>
      <c r="D355"/>
      <c r="E355" t="s">
        <v>8</v>
      </c>
      <c r="F355" s="27" t="s">
        <v>7</v>
      </c>
      <c r="G355" s="27" t="s">
        <v>8</v>
      </c>
      <c r="H355" s="27" t="s">
        <v>7</v>
      </c>
      <c r="Q355" s="27" t="s">
        <v>8</v>
      </c>
      <c r="R355" s="27" t="s">
        <v>7</v>
      </c>
      <c r="S355" s="27" t="s">
        <v>8</v>
      </c>
      <c r="U355" s="27" t="s">
        <v>8</v>
      </c>
      <c r="V355" s="27" t="s">
        <v>7</v>
      </c>
      <c r="Y355" s="27" t="s">
        <v>8</v>
      </c>
      <c r="AF355" s="27" t="s">
        <v>7</v>
      </c>
      <c r="AG355" s="27" t="s">
        <v>8</v>
      </c>
      <c r="AN355" s="27" t="s">
        <v>7</v>
      </c>
      <c r="BL355" s="27" t="s">
        <v>7</v>
      </c>
      <c r="BN355" s="27" t="s">
        <v>7</v>
      </c>
      <c r="BO355" s="27" t="s">
        <v>8</v>
      </c>
      <c r="BP355" s="27" t="s">
        <v>7</v>
      </c>
      <c r="BQ355" s="27" t="s">
        <v>8</v>
      </c>
      <c r="BR355" s="27" t="s">
        <v>7</v>
      </c>
      <c r="BS355" s="27" t="s">
        <v>8</v>
      </c>
      <c r="BT355" s="27" t="s">
        <v>7</v>
      </c>
      <c r="BW355" s="27" t="s">
        <v>8</v>
      </c>
      <c r="BX355" s="27" t="s">
        <v>7</v>
      </c>
      <c r="CA355" s="27" t="s">
        <v>8</v>
      </c>
      <c r="CB355" s="27" t="s">
        <v>7</v>
      </c>
      <c r="CC355" s="27" t="s">
        <v>8</v>
      </c>
      <c r="CD355" s="27" t="s">
        <v>7</v>
      </c>
    </row>
    <row r="356" spans="1:86" x14ac:dyDescent="0.25">
      <c r="A356" s="7">
        <v>96.970509394547975</v>
      </c>
      <c r="B356"/>
      <c r="C356"/>
      <c r="D356"/>
      <c r="E356" t="s">
        <v>8</v>
      </c>
      <c r="F356" s="27" t="s">
        <v>7</v>
      </c>
      <c r="G356" s="27" t="s">
        <v>8</v>
      </c>
      <c r="H356" s="27" t="s">
        <v>7</v>
      </c>
      <c r="Q356" s="27" t="s">
        <v>8</v>
      </c>
      <c r="R356" s="27" t="s">
        <v>7</v>
      </c>
      <c r="S356" s="27" t="s">
        <v>8</v>
      </c>
      <c r="T356" s="27" t="s">
        <v>7</v>
      </c>
      <c r="U356" s="27" t="s">
        <v>8</v>
      </c>
      <c r="V356" s="27" t="s">
        <v>7</v>
      </c>
      <c r="W356" s="27" t="s">
        <v>8</v>
      </c>
      <c r="Y356" s="27" t="s">
        <v>8</v>
      </c>
      <c r="AF356" s="27" t="s">
        <v>7</v>
      </c>
      <c r="AG356" s="27" t="s">
        <v>8</v>
      </c>
      <c r="BN356" s="27" t="s">
        <v>7</v>
      </c>
      <c r="BP356" s="27" t="s">
        <v>7</v>
      </c>
      <c r="BQ356" s="27" t="s">
        <v>8</v>
      </c>
      <c r="BR356" s="27" t="s">
        <v>7</v>
      </c>
      <c r="BS356" s="27" t="s">
        <v>8</v>
      </c>
      <c r="BT356" s="27" t="s">
        <v>7</v>
      </c>
      <c r="BW356" s="27" t="s">
        <v>8</v>
      </c>
      <c r="BX356" s="27" t="s">
        <v>7</v>
      </c>
      <c r="CA356" s="27" t="s">
        <v>8</v>
      </c>
      <c r="CB356" s="27" t="s">
        <v>7</v>
      </c>
      <c r="CC356" s="27" t="s">
        <v>8</v>
      </c>
      <c r="CD356" s="27" t="s">
        <v>7</v>
      </c>
    </row>
    <row r="357" spans="1:86" x14ac:dyDescent="0.25">
      <c r="A357" s="7">
        <v>95.069126857399979</v>
      </c>
      <c r="B357"/>
      <c r="C357"/>
      <c r="D357"/>
      <c r="E357" t="s">
        <v>8</v>
      </c>
      <c r="F357" s="27" t="s">
        <v>7</v>
      </c>
      <c r="G357" s="27" t="s">
        <v>8</v>
      </c>
      <c r="H357" s="27" t="s">
        <v>7</v>
      </c>
      <c r="Q357" s="27" t="s">
        <v>8</v>
      </c>
      <c r="R357" s="27" t="s">
        <v>7</v>
      </c>
      <c r="S357" s="27" t="s">
        <v>8</v>
      </c>
      <c r="T357" s="27" t="s">
        <v>7</v>
      </c>
      <c r="U357" s="27" t="s">
        <v>8</v>
      </c>
      <c r="V357" s="27" t="s">
        <v>7</v>
      </c>
      <c r="W357" s="27" t="s">
        <v>8</v>
      </c>
      <c r="X357" s="27" t="s">
        <v>7</v>
      </c>
      <c r="Y357" s="27" t="s">
        <v>8</v>
      </c>
      <c r="AF357" s="27" t="s">
        <v>7</v>
      </c>
      <c r="AG357" s="27" t="s">
        <v>8</v>
      </c>
      <c r="BP357" s="27" t="s">
        <v>7</v>
      </c>
      <c r="BQ357" s="27" t="s">
        <v>8</v>
      </c>
      <c r="BR357" s="27" t="s">
        <v>7</v>
      </c>
      <c r="BS357" s="27" t="s">
        <v>8</v>
      </c>
      <c r="BT357" s="27" t="s">
        <v>7</v>
      </c>
      <c r="BW357" s="27" t="s">
        <v>8</v>
      </c>
      <c r="BX357" s="27" t="s">
        <v>7</v>
      </c>
      <c r="CA357" s="27" t="s">
        <v>8</v>
      </c>
      <c r="CB357" s="27" t="s">
        <v>7</v>
      </c>
      <c r="CC357" s="27" t="s">
        <v>8</v>
      </c>
      <c r="CD357" s="27" t="s">
        <v>7</v>
      </c>
    </row>
    <row r="358" spans="1:86" x14ac:dyDescent="0.25">
      <c r="A358" s="7">
        <v>93.205026330784293</v>
      </c>
      <c r="B358"/>
      <c r="C358"/>
      <c r="D358"/>
      <c r="E358" t="s">
        <v>8</v>
      </c>
      <c r="F358" s="27" t="s">
        <v>7</v>
      </c>
      <c r="G358" s="27" t="s">
        <v>8</v>
      </c>
      <c r="H358" s="27" t="s">
        <v>7</v>
      </c>
      <c r="Q358" s="27" t="s">
        <v>8</v>
      </c>
      <c r="R358" s="27" t="s">
        <v>7</v>
      </c>
      <c r="T358" s="27" t="s">
        <v>7</v>
      </c>
      <c r="U358" s="27" t="s">
        <v>8</v>
      </c>
      <c r="V358" s="27" t="s">
        <v>7</v>
      </c>
      <c r="W358" s="27" t="s">
        <v>8</v>
      </c>
      <c r="X358" s="27" t="s">
        <v>7</v>
      </c>
      <c r="Y358" s="27" t="s">
        <v>8</v>
      </c>
      <c r="AF358" s="27" t="s">
        <v>7</v>
      </c>
      <c r="AG358" s="27" t="s">
        <v>8</v>
      </c>
      <c r="BP358" s="27" t="s">
        <v>7</v>
      </c>
      <c r="BQ358" s="27" t="s">
        <v>8</v>
      </c>
      <c r="BR358" s="27" t="s">
        <v>7</v>
      </c>
      <c r="BS358" s="27" t="s">
        <v>8</v>
      </c>
      <c r="BT358" s="27" t="s">
        <v>7</v>
      </c>
      <c r="BW358" s="27" t="s">
        <v>8</v>
      </c>
      <c r="BX358" s="27" t="s">
        <v>7</v>
      </c>
      <c r="CA358" s="27" t="s">
        <v>8</v>
      </c>
      <c r="CB358" s="27" t="s">
        <v>7</v>
      </c>
      <c r="CC358" s="27" t="s">
        <v>8</v>
      </c>
      <c r="CD358" s="27" t="s">
        <v>7</v>
      </c>
    </row>
    <row r="359" spans="1:86" x14ac:dyDescent="0.25">
      <c r="A359" s="7">
        <v>91.377476794886562</v>
      </c>
      <c r="B359"/>
      <c r="C359"/>
      <c r="D359"/>
      <c r="E359" t="s">
        <v>8</v>
      </c>
      <c r="F359" s="27" t="s">
        <v>7</v>
      </c>
      <c r="G359" s="27" t="s">
        <v>8</v>
      </c>
      <c r="H359" s="27" t="s">
        <v>7</v>
      </c>
      <c r="Q359" s="27" t="s">
        <v>8</v>
      </c>
      <c r="T359" s="27" t="s">
        <v>7</v>
      </c>
      <c r="U359" s="27" t="s">
        <v>8</v>
      </c>
      <c r="V359" s="27" t="s">
        <v>7</v>
      </c>
      <c r="W359" s="27" t="s">
        <v>8</v>
      </c>
      <c r="X359" s="27" t="s">
        <v>7</v>
      </c>
      <c r="AF359" s="27" t="s">
        <v>7</v>
      </c>
      <c r="BP359" s="27" t="s">
        <v>7</v>
      </c>
      <c r="BQ359" s="27" t="s">
        <v>8</v>
      </c>
      <c r="BR359" s="27" t="s">
        <v>7</v>
      </c>
      <c r="BS359" s="27" t="s">
        <v>8</v>
      </c>
      <c r="BT359" s="27" t="s">
        <v>7</v>
      </c>
      <c r="BW359" s="27" t="s">
        <v>8</v>
      </c>
      <c r="BX359" s="27" t="s">
        <v>7</v>
      </c>
      <c r="BY359" s="27" t="s">
        <v>8</v>
      </c>
      <c r="CA359" s="27" t="s">
        <v>8</v>
      </c>
      <c r="CB359" s="27" t="s">
        <v>7</v>
      </c>
      <c r="CC359" s="27" t="s">
        <v>8</v>
      </c>
      <c r="CD359" s="27" t="s">
        <v>7</v>
      </c>
    </row>
    <row r="360" spans="1:86" x14ac:dyDescent="0.25">
      <c r="A360" s="7">
        <v>89.58576156361427</v>
      </c>
      <c r="B360"/>
      <c r="C360"/>
      <c r="D360"/>
      <c r="E360" t="s">
        <v>8</v>
      </c>
      <c r="F360" s="27" t="s">
        <v>7</v>
      </c>
      <c r="G360" s="27" t="s">
        <v>8</v>
      </c>
      <c r="H360" s="27" t="s">
        <v>7</v>
      </c>
      <c r="Q360" s="27" t="s">
        <v>8</v>
      </c>
      <c r="T360" s="27" t="s">
        <v>7</v>
      </c>
      <c r="U360" s="27" t="s">
        <v>8</v>
      </c>
      <c r="V360" s="27" t="s">
        <v>7</v>
      </c>
      <c r="W360" s="27" t="s">
        <v>8</v>
      </c>
      <c r="BP360" s="27" t="s">
        <v>7</v>
      </c>
      <c r="BQ360" s="27" t="s">
        <v>8</v>
      </c>
      <c r="BR360" s="27" t="s">
        <v>7</v>
      </c>
      <c r="BS360" s="27" t="s">
        <v>8</v>
      </c>
      <c r="BT360" s="27" t="s">
        <v>7</v>
      </c>
      <c r="BU360" s="27" t="s">
        <v>8</v>
      </c>
      <c r="BW360" s="27" t="s">
        <v>8</v>
      </c>
      <c r="BX360" s="27" t="s">
        <v>7</v>
      </c>
      <c r="BY360" s="27" t="s">
        <v>8</v>
      </c>
      <c r="BZ360" s="27" t="s">
        <v>7</v>
      </c>
      <c r="CA360" s="27" t="s">
        <v>8</v>
      </c>
      <c r="CB360" s="27" t="s">
        <v>7</v>
      </c>
      <c r="CD360" s="27" t="s">
        <v>7</v>
      </c>
    </row>
    <row r="361" spans="1:86" x14ac:dyDescent="0.25">
      <c r="A361" s="7">
        <v>87.829178003543404</v>
      </c>
      <c r="B361"/>
      <c r="C361"/>
      <c r="D361"/>
      <c r="E361" t="s">
        <v>8</v>
      </c>
      <c r="F361" s="27" t="s">
        <v>7</v>
      </c>
      <c r="G361" s="27" t="s">
        <v>8</v>
      </c>
      <c r="H361" s="27" t="s">
        <v>7</v>
      </c>
      <c r="Q361" s="27" t="s">
        <v>8</v>
      </c>
      <c r="T361" s="27" t="s">
        <v>7</v>
      </c>
      <c r="V361" s="27" t="s">
        <v>7</v>
      </c>
      <c r="W361" s="27" t="s">
        <v>8</v>
      </c>
      <c r="BP361" s="27" t="s">
        <v>7</v>
      </c>
      <c r="BQ361" s="27" t="s">
        <v>8</v>
      </c>
      <c r="BR361" s="27" t="s">
        <v>7</v>
      </c>
      <c r="BT361" s="27" t="s">
        <v>7</v>
      </c>
      <c r="BU361" s="27" t="s">
        <v>8</v>
      </c>
      <c r="BV361" s="27" t="s">
        <v>7</v>
      </c>
      <c r="BW361" s="27" t="s">
        <v>8</v>
      </c>
      <c r="BX361" s="27" t="s">
        <v>7</v>
      </c>
      <c r="BY361" s="27" t="s">
        <v>8</v>
      </c>
      <c r="BZ361" s="27" t="s">
        <v>7</v>
      </c>
      <c r="CA361" s="27" t="s">
        <v>8</v>
      </c>
      <c r="CD361" s="27" t="s">
        <v>7</v>
      </c>
    </row>
    <row r="362" spans="1:86" x14ac:dyDescent="0.25">
      <c r="A362" s="7">
        <v>86.107037258375883</v>
      </c>
      <c r="B362"/>
      <c r="C362"/>
      <c r="D362"/>
      <c r="E362" t="s">
        <v>8</v>
      </c>
      <c r="F362" s="27" t="s">
        <v>7</v>
      </c>
      <c r="G362" s="27" t="s">
        <v>8</v>
      </c>
      <c r="H362" s="27" t="s">
        <v>7</v>
      </c>
      <c r="Q362" s="27" t="s">
        <v>8</v>
      </c>
      <c r="V362" s="27" t="s">
        <v>7</v>
      </c>
      <c r="BP362" s="27" t="s">
        <v>7</v>
      </c>
      <c r="BQ362" s="27" t="s">
        <v>8</v>
      </c>
      <c r="BT362" s="27" t="s">
        <v>7</v>
      </c>
      <c r="BU362" s="27" t="s">
        <v>8</v>
      </c>
      <c r="BV362" s="27" t="s">
        <v>7</v>
      </c>
      <c r="BW362" s="27" t="s">
        <v>8</v>
      </c>
      <c r="BX362" s="27" t="s">
        <v>7</v>
      </c>
      <c r="BY362" s="27" t="s">
        <v>8</v>
      </c>
      <c r="BZ362" s="27" t="s">
        <v>7</v>
      </c>
      <c r="CA362" s="27" t="s">
        <v>8</v>
      </c>
      <c r="CD362" s="27" t="s">
        <v>7</v>
      </c>
    </row>
    <row r="363" spans="1:86" x14ac:dyDescent="0.25">
      <c r="A363" s="7">
        <v>84.418663978799884</v>
      </c>
      <c r="B363"/>
      <c r="C363"/>
      <c r="D363"/>
      <c r="E363" t="s">
        <v>8</v>
      </c>
      <c r="F363" s="27" t="s">
        <v>7</v>
      </c>
      <c r="G363" s="27" t="s">
        <v>8</v>
      </c>
      <c r="H363" s="27" t="s">
        <v>7</v>
      </c>
      <c r="Q363" s="27" t="s">
        <v>8</v>
      </c>
      <c r="BP363" s="27" t="s">
        <v>7</v>
      </c>
      <c r="BT363" s="27" t="s">
        <v>7</v>
      </c>
      <c r="BU363" s="27" t="s">
        <v>8</v>
      </c>
      <c r="BV363" s="27" t="s">
        <v>7</v>
      </c>
      <c r="BW363" s="27" t="s">
        <v>8</v>
      </c>
      <c r="BX363" s="27" t="s">
        <v>7</v>
      </c>
      <c r="BY363" s="27" t="s">
        <v>8</v>
      </c>
      <c r="BZ363" s="27" t="s">
        <v>7</v>
      </c>
      <c r="CA363" s="27" t="s">
        <v>8</v>
      </c>
      <c r="CD363" s="27" t="s">
        <v>7</v>
      </c>
      <c r="CG363" s="27" t="s">
        <v>8</v>
      </c>
    </row>
    <row r="364" spans="1:86" x14ac:dyDescent="0.25">
      <c r="A364" s="7">
        <v>82.763396057646943</v>
      </c>
      <c r="B364"/>
      <c r="C364"/>
      <c r="D364"/>
      <c r="E364" t="s">
        <v>8</v>
      </c>
      <c r="F364" s="27" t="s">
        <v>7</v>
      </c>
      <c r="G364" s="27" t="s">
        <v>8</v>
      </c>
      <c r="H364" s="27" t="s">
        <v>7</v>
      </c>
      <c r="I364" s="27" t="s">
        <v>8</v>
      </c>
      <c r="O364" s="27" t="s">
        <v>8</v>
      </c>
      <c r="Q364" s="27" t="s">
        <v>8</v>
      </c>
      <c r="BT364" s="27" t="s">
        <v>7</v>
      </c>
      <c r="BU364" s="27" t="s">
        <v>8</v>
      </c>
      <c r="BV364" s="27" t="s">
        <v>7</v>
      </c>
      <c r="BW364" s="27" t="s">
        <v>8</v>
      </c>
      <c r="BX364" s="27" t="s">
        <v>7</v>
      </c>
      <c r="BY364" s="27" t="s">
        <v>8</v>
      </c>
      <c r="BZ364" s="27" t="s">
        <v>7</v>
      </c>
      <c r="CA364" s="27" t="s">
        <v>8</v>
      </c>
      <c r="CD364" s="27" t="s">
        <v>7</v>
      </c>
      <c r="CG364" s="27" t="s">
        <v>8</v>
      </c>
      <c r="CH364" s="27" t="s">
        <v>7</v>
      </c>
    </row>
    <row r="365" spans="1:86" x14ac:dyDescent="0.25">
      <c r="A365" s="7">
        <v>81.140584370242095</v>
      </c>
      <c r="B365"/>
      <c r="C365"/>
      <c r="D365"/>
      <c r="E365" t="s">
        <v>8</v>
      </c>
      <c r="F365" s="27" t="s">
        <v>7</v>
      </c>
      <c r="G365" s="27" t="s">
        <v>8</v>
      </c>
      <c r="H365" s="27" t="s">
        <v>7</v>
      </c>
      <c r="I365" s="27" t="s">
        <v>8</v>
      </c>
      <c r="J365" s="27" t="s">
        <v>7</v>
      </c>
      <c r="O365" s="27" t="s">
        <v>8</v>
      </c>
      <c r="P365" s="27" t="s">
        <v>7</v>
      </c>
      <c r="Q365" s="27" t="s">
        <v>8</v>
      </c>
      <c r="BT365" s="27" t="s">
        <v>7</v>
      </c>
      <c r="BV365" s="27" t="s">
        <v>7</v>
      </c>
      <c r="BX365" s="27" t="s">
        <v>7</v>
      </c>
      <c r="BZ365" s="27" t="s">
        <v>7</v>
      </c>
      <c r="CA365" s="27" t="s">
        <v>8</v>
      </c>
      <c r="CD365" s="27" t="s">
        <v>7</v>
      </c>
      <c r="CG365" s="27" t="s">
        <v>8</v>
      </c>
      <c r="CH365" s="27" t="s">
        <v>7</v>
      </c>
    </row>
    <row r="366" spans="1:86" x14ac:dyDescent="0.25">
      <c r="A366" s="7">
        <v>79.549592519845191</v>
      </c>
      <c r="B366"/>
      <c r="C366"/>
      <c r="D366"/>
      <c r="E366" t="s">
        <v>8</v>
      </c>
      <c r="F366" s="27" t="s">
        <v>7</v>
      </c>
      <c r="H366" s="27" t="s">
        <v>7</v>
      </c>
      <c r="I366" s="27" t="s">
        <v>8</v>
      </c>
      <c r="J366" s="27" t="s">
        <v>7</v>
      </c>
      <c r="M366" s="27" t="s">
        <v>8</v>
      </c>
      <c r="O366" s="27" t="s">
        <v>8</v>
      </c>
      <c r="P366" s="27" t="s">
        <v>7</v>
      </c>
      <c r="Q366" s="27" t="s">
        <v>8</v>
      </c>
      <c r="BZ366" s="27" t="s">
        <v>7</v>
      </c>
      <c r="CA366" s="27" t="s">
        <v>8</v>
      </c>
      <c r="CD366" s="27" t="s">
        <v>7</v>
      </c>
      <c r="CG366" s="27" t="s">
        <v>8</v>
      </c>
      <c r="CH366" s="27" t="s">
        <v>7</v>
      </c>
    </row>
    <row r="367" spans="1:86" x14ac:dyDescent="0.25">
      <c r="A367" s="7">
        <v>77.989796588083522</v>
      </c>
      <c r="B367"/>
      <c r="C367"/>
      <c r="D367"/>
      <c r="E367" t="s">
        <v>8</v>
      </c>
      <c r="H367" s="27" t="s">
        <v>7</v>
      </c>
      <c r="I367" s="27" t="s">
        <v>8</v>
      </c>
      <c r="J367" s="27" t="s">
        <v>7</v>
      </c>
      <c r="K367" s="27" t="s">
        <v>8</v>
      </c>
      <c r="M367" s="27" t="s">
        <v>8</v>
      </c>
      <c r="N367" s="27" t="s">
        <v>7</v>
      </c>
      <c r="O367" s="27" t="s">
        <v>8</v>
      </c>
      <c r="P367" s="27" t="s">
        <v>7</v>
      </c>
      <c r="Q367" s="27" t="s">
        <v>8</v>
      </c>
      <c r="BZ367" s="27" t="s">
        <v>7</v>
      </c>
      <c r="CD367" s="27" t="s">
        <v>7</v>
      </c>
      <c r="CE367" s="27" t="s">
        <v>8</v>
      </c>
      <c r="CG367" s="27" t="s">
        <v>8</v>
      </c>
      <c r="CH367" s="27" t="s">
        <v>7</v>
      </c>
    </row>
    <row r="368" spans="1:86" x14ac:dyDescent="0.25">
      <c r="A368" s="7">
        <v>76.460584890277957</v>
      </c>
      <c r="B368"/>
      <c r="C368"/>
      <c r="D368"/>
      <c r="E368" t="s">
        <v>8</v>
      </c>
      <c r="H368" s="27" t="s">
        <v>7</v>
      </c>
      <c r="I368" s="27" t="s">
        <v>8</v>
      </c>
      <c r="J368" s="27" t="s">
        <v>7</v>
      </c>
      <c r="K368" s="27" t="s">
        <v>8</v>
      </c>
      <c r="L368" s="27" t="s">
        <v>7</v>
      </c>
      <c r="M368" s="27" t="s">
        <v>8</v>
      </c>
      <c r="N368" s="27" t="s">
        <v>7</v>
      </c>
      <c r="O368" s="27" t="s">
        <v>8</v>
      </c>
      <c r="P368" s="27" t="s">
        <v>7</v>
      </c>
      <c r="CD368" s="27" t="s">
        <v>7</v>
      </c>
      <c r="CE368" s="27" t="s">
        <v>8</v>
      </c>
      <c r="CF368" s="27" t="s">
        <v>7</v>
      </c>
      <c r="CG368" s="27" t="s">
        <v>8</v>
      </c>
      <c r="CH368" s="27" t="s">
        <v>7</v>
      </c>
    </row>
    <row r="369" spans="1:90" x14ac:dyDescent="0.25">
      <c r="A369" s="7">
        <v>74.961357735566622</v>
      </c>
      <c r="B369"/>
      <c r="C369"/>
      <c r="D369"/>
      <c r="E369" t="s">
        <v>8</v>
      </c>
      <c r="H369" s="27" t="s">
        <v>7</v>
      </c>
      <c r="J369" s="27" t="s">
        <v>7</v>
      </c>
      <c r="K369" s="27" t="s">
        <v>8</v>
      </c>
      <c r="L369" s="27" t="s">
        <v>7</v>
      </c>
      <c r="M369" s="27" t="s">
        <v>8</v>
      </c>
      <c r="N369" s="27" t="s">
        <v>7</v>
      </c>
      <c r="O369" s="27" t="s">
        <v>8</v>
      </c>
      <c r="CD369" s="27" t="s">
        <v>7</v>
      </c>
      <c r="CE369" s="27" t="s">
        <v>8</v>
      </c>
      <c r="CF369" s="27" t="s">
        <v>7</v>
      </c>
      <c r="CG369" s="27" t="s">
        <v>8</v>
      </c>
      <c r="CH369" s="27" t="s">
        <v>7</v>
      </c>
    </row>
    <row r="370" spans="1:90" x14ac:dyDescent="0.25">
      <c r="A370" s="7">
        <v>73.491527191731976</v>
      </c>
      <c r="B370"/>
      <c r="C370"/>
      <c r="D370"/>
      <c r="E370" t="s">
        <v>8</v>
      </c>
      <c r="J370" s="27" t="s">
        <v>7</v>
      </c>
      <c r="K370" s="27" t="s">
        <v>8</v>
      </c>
      <c r="L370" s="27" t="s">
        <v>7</v>
      </c>
      <c r="M370" s="27" t="s">
        <v>8</v>
      </c>
      <c r="N370" s="27" t="s">
        <v>7</v>
      </c>
      <c r="O370" s="27" t="s">
        <v>8</v>
      </c>
      <c r="CD370" s="27" t="s">
        <v>7</v>
      </c>
      <c r="CF370" s="27" t="s">
        <v>7</v>
      </c>
      <c r="CG370" s="27" t="s">
        <v>8</v>
      </c>
      <c r="CH370" s="27" t="s">
        <v>7</v>
      </c>
    </row>
    <row r="371" spans="1:90" x14ac:dyDescent="0.25">
      <c r="A371" s="7">
        <v>72.050516854639184</v>
      </c>
      <c r="B371"/>
      <c r="C371"/>
      <c r="D371"/>
      <c r="E371" t="s">
        <v>8</v>
      </c>
      <c r="J371" s="27" t="s">
        <v>7</v>
      </c>
      <c r="K371" s="27" t="s">
        <v>8</v>
      </c>
      <c r="L371" s="27" t="s">
        <v>7</v>
      </c>
      <c r="M371" s="27" t="s">
        <v>8</v>
      </c>
      <c r="N371" s="27" t="s">
        <v>7</v>
      </c>
      <c r="O371" s="27" t="s">
        <v>8</v>
      </c>
      <c r="CF371" s="27" t="s">
        <v>7</v>
      </c>
      <c r="CG371" s="27" t="s">
        <v>8</v>
      </c>
      <c r="CH371" s="27" t="s">
        <v>7</v>
      </c>
    </row>
    <row r="372" spans="1:90" x14ac:dyDescent="0.25">
      <c r="A372" s="7">
        <v>70.637761622195271</v>
      </c>
      <c r="B372"/>
      <c r="C372"/>
      <c r="D372"/>
      <c r="E372" t="s">
        <v>8</v>
      </c>
      <c r="J372" s="27" t="s">
        <v>7</v>
      </c>
      <c r="K372" s="27" t="s">
        <v>8</v>
      </c>
      <c r="L372" s="27" t="s">
        <v>7</v>
      </c>
      <c r="M372" s="27" t="s">
        <v>8</v>
      </c>
      <c r="N372" s="27" t="s">
        <v>7</v>
      </c>
      <c r="O372" s="27" t="s">
        <v>8</v>
      </c>
      <c r="CF372" s="27" t="s">
        <v>7</v>
      </c>
      <c r="CH372" s="27" t="s">
        <v>7</v>
      </c>
    </row>
    <row r="373" spans="1:90" x14ac:dyDescent="0.25">
      <c r="A373" s="7">
        <v>69.252707472740454</v>
      </c>
      <c r="B373"/>
      <c r="C373"/>
      <c r="D373"/>
      <c r="E373" t="s">
        <v>8</v>
      </c>
      <c r="J373" s="27" t="s">
        <v>7</v>
      </c>
      <c r="K373" s="27" t="s">
        <v>8</v>
      </c>
      <c r="L373" s="27" t="s">
        <v>7</v>
      </c>
      <c r="N373" s="27" t="s">
        <v>7</v>
      </c>
      <c r="CH373" s="27" t="s">
        <v>7</v>
      </c>
    </row>
    <row r="374" spans="1:90" x14ac:dyDescent="0.25">
      <c r="A374" s="7">
        <v>67.894811247784759</v>
      </c>
      <c r="B374"/>
      <c r="C374"/>
      <c r="D374"/>
      <c r="E374" t="s">
        <v>8</v>
      </c>
      <c r="J374" s="18" t="s">
        <v>7</v>
      </c>
      <c r="K374" s="27" t="s">
        <v>8</v>
      </c>
      <c r="CH374" s="27" t="s">
        <v>7</v>
      </c>
    </row>
    <row r="375" spans="1:90" x14ac:dyDescent="0.25">
      <c r="A375" s="7">
        <v>66.563540439004669</v>
      </c>
      <c r="B375"/>
      <c r="C375"/>
      <c r="D375"/>
      <c r="E375" t="s">
        <v>8</v>
      </c>
      <c r="J375" s="27" t="s">
        <v>7</v>
      </c>
      <c r="K375" s="27" t="s">
        <v>8</v>
      </c>
      <c r="CH375" s="27" t="s">
        <v>7</v>
      </c>
    </row>
    <row r="376" spans="1:90" x14ac:dyDescent="0.25">
      <c r="A376" s="7">
        <v>65.258372979416336</v>
      </c>
      <c r="B376"/>
      <c r="C376"/>
      <c r="D376"/>
      <c r="E376" t="s">
        <v>8</v>
      </c>
      <c r="J376" s="27" t="s">
        <v>7</v>
      </c>
      <c r="K376" s="27" t="s">
        <v>8</v>
      </c>
      <c r="CH376" s="27" t="s">
        <v>7</v>
      </c>
    </row>
    <row r="377" spans="1:90" x14ac:dyDescent="0.25">
      <c r="A377" s="7">
        <v>63.978797038643471</v>
      </c>
      <c r="B377"/>
      <c r="C377"/>
      <c r="D377"/>
      <c r="E377" t="s">
        <v>8</v>
      </c>
      <c r="J377" s="27" t="s">
        <v>7</v>
      </c>
      <c r="CH377" s="27" t="s">
        <v>7</v>
      </c>
    </row>
    <row r="378" spans="1:90" x14ac:dyDescent="0.25">
      <c r="A378" s="7">
        <v>62.724310822199477</v>
      </c>
      <c r="B378"/>
      <c r="C378"/>
      <c r="D378"/>
      <c r="E378" t="s">
        <v>8</v>
      </c>
      <c r="CH378" s="27" t="s">
        <v>7</v>
      </c>
    </row>
    <row r="379" spans="1:90" x14ac:dyDescent="0.25">
      <c r="A379" s="7">
        <v>61.494422374705366</v>
      </c>
      <c r="B379"/>
      <c r="C379"/>
      <c r="D379"/>
      <c r="E379" t="s">
        <v>8</v>
      </c>
      <c r="CH379" s="27" t="s">
        <v>7</v>
      </c>
      <c r="CI379" s="27" t="s">
        <v>8</v>
      </c>
    </row>
    <row r="380" spans="1:90" x14ac:dyDescent="0.25">
      <c r="A380" s="7">
        <v>60.288649386966043</v>
      </c>
      <c r="B380"/>
      <c r="C380"/>
      <c r="D380"/>
      <c r="E380" t="s">
        <v>8</v>
      </c>
      <c r="CH380" s="27" t="s">
        <v>7</v>
      </c>
      <c r="CI380" s="27" t="s">
        <v>8</v>
      </c>
      <c r="CJ380" s="27" t="s">
        <v>7</v>
      </c>
    </row>
    <row r="381" spans="1:90" x14ac:dyDescent="0.25">
      <c r="A381" s="7">
        <v>59.106519006829451</v>
      </c>
      <c r="B381"/>
      <c r="C381"/>
      <c r="D381"/>
      <c r="E381" t="s">
        <v>8</v>
      </c>
      <c r="CH381" s="27" t="s">
        <v>7</v>
      </c>
      <c r="CI381" s="27" t="s">
        <v>8</v>
      </c>
      <c r="CJ381" s="27" t="s">
        <v>7</v>
      </c>
    </row>
    <row r="382" spans="1:90" x14ac:dyDescent="0.25">
      <c r="A382" s="7">
        <v>57.947567653754362</v>
      </c>
      <c r="B382"/>
      <c r="C382"/>
      <c r="D382"/>
      <c r="E382" t="s">
        <v>8</v>
      </c>
      <c r="CH382" s="27" t="s">
        <v>7</v>
      </c>
      <c r="CI382" s="27" t="s">
        <v>8</v>
      </c>
      <c r="CJ382" s="27" t="s">
        <v>7</v>
      </c>
    </row>
    <row r="383" spans="1:90" x14ac:dyDescent="0.25">
      <c r="A383" s="7">
        <v>56.811340837014079</v>
      </c>
      <c r="B383"/>
      <c r="C383"/>
      <c r="D383"/>
      <c r="E383" t="s">
        <v>8</v>
      </c>
      <c r="CH383" s="27" t="s">
        <v>7</v>
      </c>
      <c r="CI383" s="27" t="s">
        <v>8</v>
      </c>
      <c r="CJ383" s="27" t="s">
        <v>7</v>
      </c>
      <c r="CK383" s="27" t="s">
        <v>8</v>
      </c>
    </row>
    <row r="384" spans="1:90" x14ac:dyDescent="0.25">
      <c r="A384" s="7">
        <v>55.69739297746478</v>
      </c>
      <c r="B384"/>
      <c r="C384"/>
      <c r="D384"/>
      <c r="E384" t="s">
        <v>8</v>
      </c>
      <c r="CH384" s="27" t="s">
        <v>7</v>
      </c>
      <c r="CI384" s="27" t="s">
        <v>8</v>
      </c>
      <c r="CJ384" s="27" t="s">
        <v>7</v>
      </c>
      <c r="CK384" s="27" t="s">
        <v>8</v>
      </c>
      <c r="CL384" s="27" t="s">
        <v>7</v>
      </c>
    </row>
    <row r="385" spans="1:90" x14ac:dyDescent="0.25">
      <c r="A385" s="7">
        <v>54.605287232808607</v>
      </c>
      <c r="B385"/>
      <c r="C385"/>
      <c r="D385"/>
      <c r="E385" t="s">
        <v>8</v>
      </c>
      <c r="CH385" s="27" t="s">
        <v>7</v>
      </c>
      <c r="CI385" s="27" t="s">
        <v>8</v>
      </c>
      <c r="CJ385" s="27" t="s">
        <v>7</v>
      </c>
      <c r="CK385" s="27" t="s">
        <v>8</v>
      </c>
      <c r="CL385" s="27" t="s">
        <v>7</v>
      </c>
    </row>
    <row r="386" spans="1:90" x14ac:dyDescent="0.25">
      <c r="A386" s="7">
        <v>53.534595326282947</v>
      </c>
      <c r="B386"/>
      <c r="C386"/>
      <c r="D386"/>
      <c r="E386" t="s">
        <v>8</v>
      </c>
      <c r="CH386" s="27" t="s">
        <v>7</v>
      </c>
      <c r="CI386" s="27" t="s">
        <v>8</v>
      </c>
      <c r="CJ386" s="27" t="s">
        <v>7</v>
      </c>
      <c r="CK386" s="27" t="s">
        <v>8</v>
      </c>
      <c r="CL386" s="27" t="s">
        <v>7</v>
      </c>
    </row>
    <row r="387" spans="1:90" x14ac:dyDescent="0.25">
      <c r="A387" s="7">
        <v>52.484897378708773</v>
      </c>
      <c r="B387"/>
      <c r="C387"/>
      <c r="D387"/>
      <c r="E387" t="s">
        <v>8</v>
      </c>
      <c r="CH387" s="27" t="s">
        <v>7</v>
      </c>
      <c r="CJ387" s="27" t="s">
        <v>7</v>
      </c>
    </row>
    <row r="388" spans="1:90" x14ac:dyDescent="0.25">
      <c r="A388" s="7">
        <v>51.455781743832127</v>
      </c>
      <c r="B388"/>
      <c r="C388"/>
      <c r="D388"/>
      <c r="E388" t="s">
        <v>8</v>
      </c>
    </row>
    <row r="389" spans="1:90" x14ac:dyDescent="0.25">
      <c r="A389" s="7">
        <v>50.446844846894244</v>
      </c>
      <c r="B389"/>
      <c r="C389"/>
      <c r="D389"/>
      <c r="E389" t="s">
        <v>8</v>
      </c>
    </row>
    <row r="390" spans="1:90" x14ac:dyDescent="0.25">
      <c r="A390" s="7">
        <v>49.457691026366902</v>
      </c>
      <c r="B390"/>
      <c r="C390"/>
      <c r="D390"/>
      <c r="E390" t="s">
        <v>8</v>
      </c>
    </row>
    <row r="391" spans="1:90" x14ac:dyDescent="0.25">
      <c r="A391" s="7">
        <v>48.487932378791079</v>
      </c>
      <c r="B391"/>
      <c r="C391"/>
      <c r="D391"/>
      <c r="E391" t="s">
        <v>8</v>
      </c>
    </row>
    <row r="392" spans="1:90" x14ac:dyDescent="0.25">
      <c r="A392" s="7">
        <v>47.537188606657921</v>
      </c>
      <c r="B392"/>
      <c r="C392"/>
      <c r="D392"/>
      <c r="E392" t="s">
        <v>8</v>
      </c>
    </row>
    <row r="393" spans="1:90" x14ac:dyDescent="0.25">
      <c r="A393" s="7">
        <v>46.605086869272469</v>
      </c>
      <c r="B393"/>
      <c r="C393"/>
      <c r="D393"/>
      <c r="E393" t="s">
        <v>8</v>
      </c>
    </row>
    <row r="394" spans="1:90" x14ac:dyDescent="0.25">
      <c r="A394" s="7">
        <v>45.691261636541633</v>
      </c>
      <c r="B394"/>
      <c r="C394"/>
      <c r="D394"/>
      <c r="E394" t="s">
        <v>8</v>
      </c>
    </row>
    <row r="395" spans="1:90" x14ac:dyDescent="0.25">
      <c r="A395" s="7">
        <v>44.795354545629053</v>
      </c>
      <c r="B395"/>
      <c r="C395"/>
      <c r="D395"/>
      <c r="E395" t="s">
        <v>8</v>
      </c>
    </row>
    <row r="396" spans="1:90" x14ac:dyDescent="0.25">
      <c r="A396" s="7">
        <v>43.917014260420636</v>
      </c>
      <c r="B396"/>
      <c r="C396"/>
      <c r="D396"/>
      <c r="E396" t="s">
        <v>8</v>
      </c>
    </row>
    <row r="397" spans="1:90" x14ac:dyDescent="0.25">
      <c r="A397" s="7">
        <v>43.055896333745721</v>
      </c>
      <c r="B397"/>
      <c r="C397"/>
      <c r="D397"/>
      <c r="E397" t="s">
        <v>8</v>
      </c>
    </row>
    <row r="398" spans="1:90" x14ac:dyDescent="0.25">
      <c r="A398" s="7">
        <v>42.211663072299729</v>
      </c>
      <c r="B398"/>
      <c r="C398"/>
      <c r="D398"/>
      <c r="E398" t="s">
        <v>8</v>
      </c>
    </row>
    <row r="399" spans="1:90" x14ac:dyDescent="0.25">
      <c r="A399" s="7">
        <v>41.383983404215421</v>
      </c>
      <c r="B399"/>
      <c r="C399"/>
      <c r="D399"/>
      <c r="E399" t="s">
        <v>8</v>
      </c>
    </row>
    <row r="400" spans="1:90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12" operator="equal">
      <formula>$U$1</formula>
    </cfRule>
    <cfRule type="cellIs" dxfId="89" priority="613" operator="equal">
      <formula>$S$1</formula>
    </cfRule>
  </conditionalFormatting>
  <conditionalFormatting sqref="D27">
    <cfRule type="cellIs" dxfId="88" priority="610" operator="equal">
      <formula>$S$1</formula>
    </cfRule>
    <cfRule type="cellIs" dxfId="87" priority="611" operator="equal">
      <formula>$U$1</formula>
    </cfRule>
  </conditionalFormatting>
  <conditionalFormatting sqref="C164">
    <cfRule type="cellIs" dxfId="86" priority="608" operator="equal">
      <formula>$U$1</formula>
    </cfRule>
    <cfRule type="cellIs" dxfId="85" priority="609" operator="equal">
      <formula>$S$1</formula>
    </cfRule>
  </conditionalFormatting>
  <conditionalFormatting sqref="D164">
    <cfRule type="cellIs" dxfId="84" priority="606" operator="equal">
      <formula>$S$1</formula>
    </cfRule>
    <cfRule type="cellIs" dxfId="83" priority="607" operator="equal">
      <formula>$U$1</formula>
    </cfRule>
  </conditionalFormatting>
  <conditionalFormatting sqref="C55">
    <cfRule type="cellIs" dxfId="82" priority="604" operator="equal">
      <formula>$U$1</formula>
    </cfRule>
    <cfRule type="cellIs" dxfId="81" priority="605" operator="equal">
      <formula>$S$1</formula>
    </cfRule>
  </conditionalFormatting>
  <conditionalFormatting sqref="D55">
    <cfRule type="cellIs" dxfId="80" priority="602" operator="equal">
      <formula>$S$1</formula>
    </cfRule>
    <cfRule type="cellIs" dxfId="79" priority="603" operator="equal">
      <formula>$U$1</formula>
    </cfRule>
  </conditionalFormatting>
  <conditionalFormatting sqref="C89">
    <cfRule type="cellIs" dxfId="78" priority="600" operator="equal">
      <formula>$U$1</formula>
    </cfRule>
    <cfRule type="cellIs" dxfId="77" priority="601" operator="equal">
      <formula>$S$1</formula>
    </cfRule>
  </conditionalFormatting>
  <conditionalFormatting sqref="D89">
    <cfRule type="cellIs" dxfId="76" priority="598" operator="equal">
      <formula>$S$1</formula>
    </cfRule>
    <cfRule type="cellIs" dxfId="75" priority="599" operator="equal">
      <formula>$U$1</formula>
    </cfRule>
  </conditionalFormatting>
  <conditionalFormatting sqref="C136">
    <cfRule type="cellIs" dxfId="74" priority="596" operator="equal">
      <formula>$U$1</formula>
    </cfRule>
    <cfRule type="cellIs" dxfId="73" priority="597" operator="equal">
      <formula>$S$1</formula>
    </cfRule>
  </conditionalFormatting>
  <conditionalFormatting sqref="D136">
    <cfRule type="cellIs" dxfId="72" priority="594" operator="equal">
      <formula>$S$1</formula>
    </cfRule>
    <cfRule type="cellIs" dxfId="71" priority="595" operator="equal">
      <formula>$U$1</formula>
    </cfRule>
  </conditionalFormatting>
  <conditionalFormatting sqref="C1">
    <cfRule type="cellIs" dxfId="70" priority="59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AT159" sqref="AT15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$A$158</v>
      </c>
      <c r="D111" s="1" t="str">
        <f>ADDRESS(C121-1,D121,1,1)</f>
        <v>$AT$158</v>
      </c>
      <c r="E111"/>
    </row>
    <row r="112" spans="1:5" x14ac:dyDescent="0.25">
      <c r="A112" s="30">
        <v>515.50191262726139</v>
      </c>
      <c r="C112" s="1" t="str">
        <f>ADDRESS(C121,1,1,1)</f>
        <v>$A$159</v>
      </c>
      <c r="D112" s="1" t="str">
        <f>ADDRESS(C121,D121-1,1,1)</f>
        <v>$AS$159</v>
      </c>
      <c r="E112"/>
    </row>
    <row r="113" spans="1:5" x14ac:dyDescent="0.25">
      <c r="A113" s="30">
        <v>490.95420250215363</v>
      </c>
      <c r="C113" s="1" t="str">
        <f>ADDRESS(C121+1,1,1,1)</f>
        <v>$A$160</v>
      </c>
      <c r="D113" s="1" t="str">
        <f>ADDRESS(C121-1,D121+1,1,1)</f>
        <v>$AU$158</v>
      </c>
    </row>
    <row r="114" spans="1:5" x14ac:dyDescent="0.25">
      <c r="A114" s="30">
        <v>467.57543095443202</v>
      </c>
      <c r="C114" s="1" t="str">
        <f>ADDRESS(C121,D121,1,1)</f>
        <v>$AT$159</v>
      </c>
      <c r="D114" s="1" t="str">
        <f>ADDRESS(C121+1,D121+1,1,1)</f>
        <v>$AU$160</v>
      </c>
    </row>
    <row r="115" spans="1:5" x14ac:dyDescent="0.25">
      <c r="A115" s="30">
        <v>445.30993424231622</v>
      </c>
      <c r="C115" s="1" t="str">
        <f>ADDRESS(C121+1,D121,1,1)</f>
        <v>$AT$160</v>
      </c>
    </row>
    <row r="116" spans="1:5" x14ac:dyDescent="0.25">
      <c r="A116" s="30">
        <v>424.10469927839637</v>
      </c>
      <c r="C116" s="1">
        <f>C117-1</f>
        <v>158</v>
      </c>
    </row>
    <row r="117" spans="1:5" x14ac:dyDescent="0.25">
      <c r="A117" s="30">
        <v>403.9092374079965</v>
      </c>
      <c r="C117" s="1">
        <f>C121</f>
        <v>159</v>
      </c>
      <c r="D117" s="1">
        <f>D121</f>
        <v>46</v>
      </c>
    </row>
    <row r="118" spans="1:5" x14ac:dyDescent="0.25">
      <c r="A118" s="30">
        <v>384.6754641980919</v>
      </c>
      <c r="C118" s="1">
        <f>C117+1</f>
        <v>160</v>
      </c>
      <c r="D118" s="1">
        <f>D117+1</f>
        <v>47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159</v>
      </c>
      <c r="D121" s="19">
        <v>46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R159</v>
      </c>
      <c r="D123" s="1" t="str">
        <f>"C"&amp;D121</f>
        <v>C46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52.039513120184736</v>
      </c>
      <c r="D127"/>
    </row>
    <row r="128" spans="1:5" x14ac:dyDescent="0.25">
      <c r="A128" s="30">
        <v>236.15736578315241</v>
      </c>
    </row>
    <row r="129" spans="1:42" x14ac:dyDescent="0.25">
      <c r="A129" s="30">
        <v>224.91177693633563</v>
      </c>
      <c r="C129" s="1" t="s">
        <v>11</v>
      </c>
      <c r="D129" s="1" t="s">
        <v>12</v>
      </c>
      <c r="E129"/>
      <c r="U129" s="27" t="s">
        <v>8</v>
      </c>
    </row>
    <row r="130" spans="1:42" x14ac:dyDescent="0.25">
      <c r="A130" s="30">
        <v>214.20169232031964</v>
      </c>
      <c r="C130" s="6"/>
      <c r="D130" s="6"/>
      <c r="E130"/>
      <c r="U130" s="27" t="s">
        <v>8</v>
      </c>
      <c r="V130" s="27" t="s">
        <v>7</v>
      </c>
    </row>
    <row r="131" spans="1:42" x14ac:dyDescent="0.25">
      <c r="A131" s="30">
        <v>204.00161173363773</v>
      </c>
      <c r="E131"/>
      <c r="U131" s="27" t="s">
        <v>8</v>
      </c>
      <c r="V131" s="27" t="s">
        <v>7</v>
      </c>
    </row>
    <row r="132" spans="1:42" x14ac:dyDescent="0.25">
      <c r="A132" s="30">
        <v>194.28724927013116</v>
      </c>
      <c r="C132" s="1" t="s">
        <v>13</v>
      </c>
      <c r="E132"/>
      <c r="U132" s="27" t="s">
        <v>8</v>
      </c>
      <c r="V132" s="27" t="s">
        <v>7</v>
      </c>
    </row>
    <row r="133" spans="1:42" x14ac:dyDescent="0.25">
      <c r="A133" s="30">
        <v>185.03547549536299</v>
      </c>
      <c r="C133" s="1" t="str">
        <f>C122</f>
        <v>O</v>
      </c>
      <c r="E133"/>
      <c r="U133" s="27" t="s">
        <v>8</v>
      </c>
      <c r="V133" s="27" t="s">
        <v>7</v>
      </c>
      <c r="W133" s="27" t="s">
        <v>8</v>
      </c>
    </row>
    <row r="134" spans="1:42" x14ac:dyDescent="0.25">
      <c r="A134" s="30">
        <v>176.22426237653616</v>
      </c>
      <c r="C134"/>
      <c r="E134"/>
      <c r="M134" s="27" t="s">
        <v>8</v>
      </c>
      <c r="U134" s="27" t="s">
        <v>8</v>
      </c>
      <c r="V134" s="27" t="s">
        <v>7</v>
      </c>
      <c r="W134" s="27" t="s">
        <v>8</v>
      </c>
      <c r="X134" s="27" t="s">
        <v>7</v>
      </c>
      <c r="Y134" s="27" t="s">
        <v>8</v>
      </c>
    </row>
    <row r="135" spans="1:42" x14ac:dyDescent="0.25">
      <c r="A135" s="30">
        <v>167.83263083479633</v>
      </c>
      <c r="C135" s="1" t="s">
        <v>14</v>
      </c>
      <c r="E135"/>
      <c r="M135" s="27" t="s">
        <v>8</v>
      </c>
      <c r="N135" s="27" t="s">
        <v>7</v>
      </c>
      <c r="U135" s="27" t="s">
        <v>8</v>
      </c>
      <c r="V135" s="27" t="s">
        <v>7</v>
      </c>
      <c r="W135" s="27" t="s">
        <v>8</v>
      </c>
      <c r="X135" s="27" t="s">
        <v>7</v>
      </c>
      <c r="Y135" s="27" t="s">
        <v>8</v>
      </c>
      <c r="Z135" s="27" t="s">
        <v>7</v>
      </c>
      <c r="AA135" s="27" t="s">
        <v>8</v>
      </c>
    </row>
    <row r="136" spans="1:42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  <c r="M136" s="27" t="s">
        <v>8</v>
      </c>
      <c r="N136" s="27" t="s">
        <v>7</v>
      </c>
      <c r="U136" s="27" t="s">
        <v>8</v>
      </c>
      <c r="V136" s="27" t="s">
        <v>7</v>
      </c>
      <c r="W136" s="27" t="s">
        <v>8</v>
      </c>
      <c r="X136" s="27" t="s">
        <v>7</v>
      </c>
      <c r="Y136" s="27" t="s">
        <v>8</v>
      </c>
      <c r="Z136" s="27" t="s">
        <v>7</v>
      </c>
      <c r="AA136" s="27" t="s">
        <v>8</v>
      </c>
      <c r="AB136" s="27" t="s">
        <v>7</v>
      </c>
    </row>
    <row r="137" spans="1:42" x14ac:dyDescent="0.25">
      <c r="A137" s="30">
        <v>152.22914361432771</v>
      </c>
      <c r="E137"/>
      <c r="M137" s="27" t="s">
        <v>8</v>
      </c>
      <c r="N137" s="27" t="s">
        <v>7</v>
      </c>
      <c r="Q137" s="27" t="s">
        <v>8</v>
      </c>
      <c r="U137" s="27" t="s">
        <v>8</v>
      </c>
      <c r="V137" s="27" t="s">
        <v>7</v>
      </c>
      <c r="W137" s="27" t="s">
        <v>8</v>
      </c>
      <c r="X137" s="27" t="s">
        <v>7</v>
      </c>
      <c r="Y137" s="27" t="s">
        <v>8</v>
      </c>
      <c r="Z137" s="27" t="s">
        <v>7</v>
      </c>
      <c r="AA137" s="27" t="s">
        <v>8</v>
      </c>
      <c r="AB137" s="27" t="s">
        <v>7</v>
      </c>
    </row>
    <row r="138" spans="1:42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  <c r="M138" s="27" t="s">
        <v>8</v>
      </c>
      <c r="N138" s="27" t="s">
        <v>7</v>
      </c>
      <c r="Q138" s="27" t="s">
        <v>8</v>
      </c>
      <c r="R138" s="27" t="s">
        <v>7</v>
      </c>
      <c r="U138" s="27" t="s">
        <v>8</v>
      </c>
      <c r="V138" s="27" t="s">
        <v>7</v>
      </c>
      <c r="W138" s="27" t="s">
        <v>8</v>
      </c>
      <c r="X138" s="27" t="s">
        <v>7</v>
      </c>
      <c r="Y138" s="27" t="s">
        <v>8</v>
      </c>
      <c r="Z138" s="27" t="s">
        <v>7</v>
      </c>
      <c r="AA138" s="27" t="s">
        <v>8</v>
      </c>
      <c r="AB138" s="27" t="s">
        <v>7</v>
      </c>
    </row>
    <row r="139" spans="1:42" x14ac:dyDescent="0.25">
      <c r="A139" s="30">
        <v>138.07632073861922</v>
      </c>
      <c r="E139"/>
      <c r="M139" s="27" t="s">
        <v>8</v>
      </c>
      <c r="N139" s="27" t="s">
        <v>7</v>
      </c>
      <c r="Q139" s="27" t="s">
        <v>8</v>
      </c>
      <c r="R139" s="27" t="s">
        <v>7</v>
      </c>
      <c r="S139" s="27" t="s">
        <v>8</v>
      </c>
      <c r="U139" s="27" t="s">
        <v>8</v>
      </c>
      <c r="V139" s="27" t="s">
        <v>7</v>
      </c>
      <c r="W139" s="27" t="s">
        <v>8</v>
      </c>
      <c r="X139" s="27" t="s">
        <v>7</v>
      </c>
      <c r="Y139" s="27" t="s">
        <v>8</v>
      </c>
      <c r="Z139" s="27" t="s">
        <v>7</v>
      </c>
      <c r="AA139" s="27" t="s">
        <v>8</v>
      </c>
      <c r="AB139" s="27" t="s">
        <v>7</v>
      </c>
    </row>
    <row r="140" spans="1:42" x14ac:dyDescent="0.25">
      <c r="A140" s="30">
        <v>131.50125784630401</v>
      </c>
      <c r="C140" s="1">
        <v>0</v>
      </c>
      <c r="E140"/>
      <c r="M140" s="27" t="s">
        <v>8</v>
      </c>
      <c r="N140" s="27" t="s">
        <v>7</v>
      </c>
      <c r="Q140" s="27" t="s">
        <v>8</v>
      </c>
      <c r="R140" s="27" t="s">
        <v>7</v>
      </c>
      <c r="S140" s="27" t="s">
        <v>8</v>
      </c>
      <c r="T140" s="27" t="s">
        <v>7</v>
      </c>
      <c r="U140" s="27" t="s">
        <v>8</v>
      </c>
      <c r="V140" s="27" t="s">
        <v>7</v>
      </c>
      <c r="W140" s="27" t="s">
        <v>8</v>
      </c>
      <c r="X140" s="27" t="s">
        <v>7</v>
      </c>
      <c r="Y140" s="27" t="s">
        <v>8</v>
      </c>
      <c r="Z140" s="27" t="s">
        <v>7</v>
      </c>
      <c r="AB140" s="27" t="s">
        <v>7</v>
      </c>
      <c r="AM140" s="27" t="s">
        <v>8</v>
      </c>
    </row>
    <row r="141" spans="1:42" x14ac:dyDescent="0.25">
      <c r="A141" s="30">
        <v>125.23929318695619</v>
      </c>
      <c r="C141" s="1">
        <v>1</v>
      </c>
      <c r="E141"/>
      <c r="K141" s="27" t="s">
        <v>8</v>
      </c>
      <c r="M141" s="27" t="s">
        <v>8</v>
      </c>
      <c r="N141" s="27" t="s">
        <v>7</v>
      </c>
      <c r="O141" s="27" t="s">
        <v>8</v>
      </c>
      <c r="Q141" s="27" t="s">
        <v>8</v>
      </c>
      <c r="R141" s="27" t="s">
        <v>7</v>
      </c>
      <c r="S141" s="27" t="s">
        <v>8</v>
      </c>
      <c r="T141" s="27" t="s">
        <v>7</v>
      </c>
      <c r="U141" s="27" t="s">
        <v>8</v>
      </c>
      <c r="V141" s="27" t="s">
        <v>7</v>
      </c>
      <c r="X141" s="27" t="s">
        <v>7</v>
      </c>
      <c r="AB141" s="27" t="s">
        <v>7</v>
      </c>
      <c r="AC141" s="27" t="s">
        <v>8</v>
      </c>
      <c r="AM141" s="27" t="s">
        <v>8</v>
      </c>
      <c r="AN141" s="27" t="s">
        <v>7</v>
      </c>
    </row>
    <row r="142" spans="1:42" x14ac:dyDescent="0.25">
      <c r="A142" s="30">
        <v>119.27551732091065</v>
      </c>
      <c r="C142" s="1">
        <v>2</v>
      </c>
      <c r="E142" t="s">
        <v>8</v>
      </c>
      <c r="K142" s="27" t="s">
        <v>8</v>
      </c>
      <c r="L142" s="27" t="s">
        <v>7</v>
      </c>
      <c r="M142" s="27" t="s">
        <v>8</v>
      </c>
      <c r="N142" s="27" t="s">
        <v>7</v>
      </c>
      <c r="O142" s="27" t="s">
        <v>8</v>
      </c>
      <c r="P142" s="27" t="s">
        <v>7</v>
      </c>
      <c r="Q142" s="27" t="s">
        <v>8</v>
      </c>
      <c r="R142" s="27" t="s">
        <v>7</v>
      </c>
      <c r="S142" s="27" t="s">
        <v>8</v>
      </c>
      <c r="T142" s="27" t="s">
        <v>7</v>
      </c>
      <c r="U142" s="27" t="s">
        <v>8</v>
      </c>
      <c r="AB142" s="27" t="s">
        <v>7</v>
      </c>
      <c r="AC142" s="27" t="s">
        <v>8</v>
      </c>
      <c r="AD142" s="27" t="s">
        <v>7</v>
      </c>
      <c r="AE142" s="27" t="s">
        <v>8</v>
      </c>
      <c r="AM142" s="27" t="s">
        <v>8</v>
      </c>
      <c r="AN142" s="27" t="s">
        <v>7</v>
      </c>
    </row>
    <row r="143" spans="1:42" x14ac:dyDescent="0.25">
      <c r="A143" s="30">
        <v>113.59573078181967</v>
      </c>
      <c r="C143" s="1">
        <v>3</v>
      </c>
      <c r="E143" t="s">
        <v>8</v>
      </c>
      <c r="F143" s="27" t="s">
        <v>7</v>
      </c>
      <c r="K143" s="27" t="s">
        <v>8</v>
      </c>
      <c r="L143" s="27" t="s">
        <v>7</v>
      </c>
      <c r="M143" s="27" t="s">
        <v>8</v>
      </c>
      <c r="N143" s="27" t="s">
        <v>7</v>
      </c>
      <c r="O143" s="27" t="s">
        <v>8</v>
      </c>
      <c r="P143" s="27" t="s">
        <v>7</v>
      </c>
      <c r="Q143" s="27" t="s">
        <v>8</v>
      </c>
      <c r="R143" s="27" t="s">
        <v>7</v>
      </c>
      <c r="T143" s="27" t="s">
        <v>7</v>
      </c>
      <c r="U143" s="27" t="s">
        <v>8</v>
      </c>
      <c r="AB143" s="27" t="s">
        <v>7</v>
      </c>
      <c r="AC143" s="27" t="s">
        <v>8</v>
      </c>
      <c r="AD143" s="27" t="s">
        <v>7</v>
      </c>
      <c r="AE143" s="27" t="s">
        <v>8</v>
      </c>
      <c r="AF143" s="27" t="s">
        <v>7</v>
      </c>
      <c r="AK143" s="27" t="s">
        <v>8</v>
      </c>
      <c r="AM143" s="27" t="s">
        <v>8</v>
      </c>
      <c r="AN143" s="27" t="s">
        <v>7</v>
      </c>
      <c r="AO143" s="27" t="s">
        <v>8</v>
      </c>
    </row>
    <row r="144" spans="1:42" x14ac:dyDescent="0.25">
      <c r="A144" s="30">
        <v>108.18641026839968</v>
      </c>
      <c r="C144" s="1">
        <v>4</v>
      </c>
      <c r="E144" t="s">
        <v>8</v>
      </c>
      <c r="F144" s="27" t="s">
        <v>7</v>
      </c>
      <c r="K144" s="27" t="s">
        <v>8</v>
      </c>
      <c r="L144" s="27" t="s">
        <v>7</v>
      </c>
      <c r="M144" s="27" t="s">
        <v>8</v>
      </c>
      <c r="N144" s="27" t="s">
        <v>7</v>
      </c>
      <c r="P144" s="27" t="s">
        <v>7</v>
      </c>
      <c r="Q144" s="27" t="s">
        <v>8</v>
      </c>
      <c r="T144" s="27" t="s">
        <v>7</v>
      </c>
      <c r="U144" s="27" t="s">
        <v>8</v>
      </c>
      <c r="AB144" s="27" t="s">
        <v>7</v>
      </c>
      <c r="AD144" s="27" t="s">
        <v>7</v>
      </c>
      <c r="AE144" s="27" t="s">
        <v>8</v>
      </c>
      <c r="AF144" s="27" t="s">
        <v>7</v>
      </c>
      <c r="AG144" s="27" t="s">
        <v>8</v>
      </c>
      <c r="AK144" s="27" t="s">
        <v>8</v>
      </c>
      <c r="AL144" s="27" t="s">
        <v>7</v>
      </c>
      <c r="AM144" s="27" t="s">
        <v>8</v>
      </c>
      <c r="AN144" s="27" t="s">
        <v>7</v>
      </c>
      <c r="AO144" s="27" t="s">
        <v>8</v>
      </c>
      <c r="AP144" s="27" t="s">
        <v>7</v>
      </c>
    </row>
    <row r="145" spans="1:46" x14ac:dyDescent="0.25">
      <c r="A145" s="30">
        <v>103.03467644609493</v>
      </c>
      <c r="E145" t="s">
        <v>8</v>
      </c>
      <c r="F145" s="27" t="s">
        <v>7</v>
      </c>
      <c r="G145" s="27" t="s">
        <v>8</v>
      </c>
      <c r="K145" s="27" t="s">
        <v>8</v>
      </c>
      <c r="L145" s="27" t="s">
        <v>7</v>
      </c>
      <c r="M145" s="27" t="s">
        <v>8</v>
      </c>
      <c r="P145" s="27" t="s">
        <v>7</v>
      </c>
      <c r="Q145" s="27" t="s">
        <v>8</v>
      </c>
      <c r="T145" s="27" t="s">
        <v>7</v>
      </c>
      <c r="AD145" s="27" t="s">
        <v>7</v>
      </c>
      <c r="AE145" s="27" t="s">
        <v>8</v>
      </c>
      <c r="AF145" s="27" t="s">
        <v>7</v>
      </c>
      <c r="AG145" s="27" t="s">
        <v>8</v>
      </c>
      <c r="AH145" s="27" t="s">
        <v>7</v>
      </c>
      <c r="AI145" s="27" t="s">
        <v>8</v>
      </c>
      <c r="AK145" s="27" t="s">
        <v>8</v>
      </c>
      <c r="AL145" s="27" t="s">
        <v>7</v>
      </c>
      <c r="AM145" s="27" t="s">
        <v>8</v>
      </c>
      <c r="AN145" s="27" t="s">
        <v>7</v>
      </c>
      <c r="AO145" s="27" t="s">
        <v>8</v>
      </c>
      <c r="AP145" s="27" t="s">
        <v>7</v>
      </c>
    </row>
    <row r="146" spans="1:46" x14ac:dyDescent="0.25">
      <c r="A146" s="30">
        <v>98.128263281995174</v>
      </c>
      <c r="E146" t="s">
        <v>8</v>
      </c>
      <c r="F146" s="27" t="s">
        <v>7</v>
      </c>
      <c r="G146" s="27" t="s">
        <v>8</v>
      </c>
      <c r="H146" s="27" t="s">
        <v>7</v>
      </c>
      <c r="K146" s="27" t="s">
        <v>8</v>
      </c>
      <c r="L146" s="27" t="s">
        <v>7</v>
      </c>
      <c r="M146" s="27" t="s">
        <v>8</v>
      </c>
      <c r="P146" s="27" t="s">
        <v>7</v>
      </c>
      <c r="Q146" s="27" t="s">
        <v>8</v>
      </c>
      <c r="AD146" s="27" t="s">
        <v>7</v>
      </c>
      <c r="AF146" s="27" t="s">
        <v>7</v>
      </c>
      <c r="AG146" s="27" t="s">
        <v>8</v>
      </c>
      <c r="AH146" s="27" t="s">
        <v>7</v>
      </c>
      <c r="AI146" s="27" t="s">
        <v>8</v>
      </c>
      <c r="AJ146" s="27" t="s">
        <v>7</v>
      </c>
      <c r="AK146" s="27" t="s">
        <v>8</v>
      </c>
      <c r="AL146" s="27" t="s">
        <v>7</v>
      </c>
      <c r="AM146" s="27" t="s">
        <v>8</v>
      </c>
      <c r="AN146" s="27" t="s">
        <v>7</v>
      </c>
      <c r="AO146" s="27" t="s">
        <v>8</v>
      </c>
      <c r="AP146" s="27" t="s">
        <v>7</v>
      </c>
    </row>
    <row r="147" spans="1:46" x14ac:dyDescent="0.25">
      <c r="A147" s="30">
        <v>93.455488839995397</v>
      </c>
      <c r="E147" t="s">
        <v>8</v>
      </c>
      <c r="F147" s="27" t="s">
        <v>7</v>
      </c>
      <c r="G147" s="27" t="s">
        <v>8</v>
      </c>
      <c r="H147" s="27" t="s">
        <v>7</v>
      </c>
      <c r="K147" s="27" t="s">
        <v>8</v>
      </c>
      <c r="L147" s="27" t="s">
        <v>7</v>
      </c>
      <c r="M147" s="27" t="s">
        <v>8</v>
      </c>
      <c r="P147" s="27" t="s">
        <v>7</v>
      </c>
      <c r="AF147" s="27" t="s">
        <v>7</v>
      </c>
      <c r="AG147" s="27" t="s">
        <v>8</v>
      </c>
      <c r="AH147" s="27" t="s">
        <v>7</v>
      </c>
      <c r="AI147" s="27" t="s">
        <v>8</v>
      </c>
      <c r="AJ147" s="27" t="s">
        <v>7</v>
      </c>
      <c r="AK147" s="27" t="s">
        <v>8</v>
      </c>
      <c r="AL147" s="27" t="s">
        <v>7</v>
      </c>
      <c r="AM147" s="27" t="s">
        <v>8</v>
      </c>
      <c r="AN147" s="27" t="s">
        <v>7</v>
      </c>
      <c r="AO147" s="27" t="s">
        <v>8</v>
      </c>
      <c r="AP147" s="27" t="s">
        <v>7</v>
      </c>
    </row>
    <row r="148" spans="1:46" x14ac:dyDescent="0.25">
      <c r="A148" s="30">
        <v>89.005227466662276</v>
      </c>
      <c r="E148" t="s">
        <v>8</v>
      </c>
      <c r="F148" s="27" t="s">
        <v>7</v>
      </c>
      <c r="G148" s="27" t="s">
        <v>8</v>
      </c>
      <c r="H148" s="27" t="s">
        <v>7</v>
      </c>
      <c r="I148" s="27" t="s">
        <v>8</v>
      </c>
      <c r="K148" s="27" t="s">
        <v>8</v>
      </c>
      <c r="L148" s="27" t="s">
        <v>7</v>
      </c>
      <c r="AF148" s="27" t="s">
        <v>7</v>
      </c>
      <c r="AG148" s="27" t="s">
        <v>8</v>
      </c>
      <c r="AH148" s="27" t="s">
        <v>7</v>
      </c>
      <c r="AJ148" s="27" t="s">
        <v>7</v>
      </c>
      <c r="AK148" s="27" t="s">
        <v>8</v>
      </c>
      <c r="AL148" s="27" t="s">
        <v>7</v>
      </c>
      <c r="AM148" s="27" t="s">
        <v>8</v>
      </c>
      <c r="AN148" s="27" t="s">
        <v>7</v>
      </c>
      <c r="AP148" s="27" t="s">
        <v>7</v>
      </c>
    </row>
    <row r="149" spans="1:46" x14ac:dyDescent="0.25">
      <c r="A149" s="30">
        <v>84.766883301583121</v>
      </c>
      <c r="E149" t="s">
        <v>8</v>
      </c>
      <c r="F149" s="27" t="s">
        <v>7</v>
      </c>
      <c r="G149" s="27" t="s">
        <v>8</v>
      </c>
      <c r="H149" s="27" t="s">
        <v>7</v>
      </c>
      <c r="I149" s="27" t="s">
        <v>8</v>
      </c>
      <c r="J149" s="27" t="s">
        <v>7</v>
      </c>
      <c r="K149" s="27" t="s">
        <v>8</v>
      </c>
      <c r="AF149" s="27" t="s">
        <v>7</v>
      </c>
      <c r="AJ149" s="27" t="s">
        <v>7</v>
      </c>
      <c r="AK149" s="27" t="s">
        <v>8</v>
      </c>
      <c r="AL149" s="27" t="s">
        <v>7</v>
      </c>
      <c r="AM149" s="27" t="s">
        <v>8</v>
      </c>
      <c r="AP149" s="27" t="s">
        <v>7</v>
      </c>
      <c r="AQ149" s="27" t="s">
        <v>8</v>
      </c>
    </row>
    <row r="150" spans="1:46" x14ac:dyDescent="0.25">
      <c r="A150" s="30">
        <v>80.730365049126775</v>
      </c>
      <c r="E150" t="s">
        <v>8</v>
      </c>
      <c r="F150" s="27" t="s">
        <v>7</v>
      </c>
      <c r="H150" s="27" t="s">
        <v>7</v>
      </c>
      <c r="I150" s="27" t="s">
        <v>8</v>
      </c>
      <c r="J150" s="27" t="s">
        <v>7</v>
      </c>
      <c r="K150" s="27" t="s">
        <v>8</v>
      </c>
      <c r="AJ150" s="27" t="s">
        <v>7</v>
      </c>
      <c r="AL150" s="27" t="s">
        <v>7</v>
      </c>
      <c r="AM150" s="27" t="s">
        <v>8</v>
      </c>
      <c r="AP150" s="27" t="s">
        <v>7</v>
      </c>
      <c r="AQ150" s="27" t="s">
        <v>8</v>
      </c>
      <c r="AR150" s="27" t="s">
        <v>7</v>
      </c>
    </row>
    <row r="151" spans="1:46" x14ac:dyDescent="0.25">
      <c r="A151" s="30">
        <v>76.886061951549308</v>
      </c>
      <c r="E151" t="s">
        <v>8</v>
      </c>
      <c r="H151" s="27" t="s">
        <v>7</v>
      </c>
      <c r="J151" s="27" t="s">
        <v>7</v>
      </c>
      <c r="K151" s="27" t="s">
        <v>8</v>
      </c>
      <c r="AL151" s="27" t="s">
        <v>7</v>
      </c>
      <c r="AP151" s="27" t="s">
        <v>7</v>
      </c>
      <c r="AQ151" s="27" t="s">
        <v>8</v>
      </c>
      <c r="AR151" s="27" t="s">
        <v>7</v>
      </c>
    </row>
    <row r="152" spans="1:46" x14ac:dyDescent="0.25">
      <c r="A152" s="30">
        <v>73.22482090623744</v>
      </c>
      <c r="E152" t="s">
        <v>8</v>
      </c>
      <c r="J152" s="27" t="s">
        <v>7</v>
      </c>
      <c r="K152" s="27" t="s">
        <v>8</v>
      </c>
      <c r="AP152" s="27" t="s">
        <v>7</v>
      </c>
      <c r="AR152" s="27" t="s">
        <v>7</v>
      </c>
    </row>
    <row r="153" spans="1:46" x14ac:dyDescent="0.25">
      <c r="A153" s="30">
        <v>69.737924672607079</v>
      </c>
      <c r="C153" s="7"/>
      <c r="D153"/>
      <c r="E153" t="s">
        <v>8</v>
      </c>
      <c r="J153" s="18" t="s">
        <v>7</v>
      </c>
      <c r="K153" s="27" t="s">
        <v>8</v>
      </c>
      <c r="AR153" s="27" t="s">
        <v>7</v>
      </c>
    </row>
    <row r="154" spans="1:46" x14ac:dyDescent="0.25">
      <c r="A154" s="30">
        <v>66.417071116768639</v>
      </c>
      <c r="E154" t="s">
        <v>8</v>
      </c>
      <c r="J154" s="27" t="s">
        <v>7</v>
      </c>
      <c r="K154" s="27" t="s">
        <v>8</v>
      </c>
      <c r="AR154" s="27" t="s">
        <v>7</v>
      </c>
    </row>
    <row r="155" spans="1:46" x14ac:dyDescent="0.25">
      <c r="A155" s="30">
        <v>63.254353444541557</v>
      </c>
      <c r="E155" t="s">
        <v>8</v>
      </c>
      <c r="J155" s="27" t="s">
        <v>7</v>
      </c>
      <c r="AR155" s="27" t="s">
        <v>7</v>
      </c>
    </row>
    <row r="156" spans="1:46" x14ac:dyDescent="0.25">
      <c r="A156" s="30">
        <v>60.242241375753864</v>
      </c>
      <c r="C156"/>
      <c r="D156"/>
      <c r="E156" t="s">
        <v>8</v>
      </c>
      <c r="AR156" s="27" t="s">
        <v>7</v>
      </c>
      <c r="AS156" s="27" t="s">
        <v>8</v>
      </c>
    </row>
    <row r="157" spans="1:46" x14ac:dyDescent="0.25">
      <c r="A157" s="30">
        <v>57.373563215003678</v>
      </c>
      <c r="E157" t="s">
        <v>8</v>
      </c>
      <c r="AR157" s="27" t="s">
        <v>7</v>
      </c>
      <c r="AS157" s="27" t="s">
        <v>8</v>
      </c>
      <c r="AT157" s="27" t="s">
        <v>7</v>
      </c>
    </row>
    <row r="158" spans="1:46" x14ac:dyDescent="0.25">
      <c r="A158" s="30">
        <v>54.641488776193974</v>
      </c>
      <c r="E158" t="s">
        <v>8</v>
      </c>
      <c r="AR158" s="27" t="s">
        <v>7</v>
      </c>
      <c r="AS158" s="27" t="s">
        <v>8</v>
      </c>
      <c r="AT158" s="27" t="s">
        <v>7</v>
      </c>
    </row>
    <row r="159" spans="1:46" x14ac:dyDescent="0.25">
      <c r="A159" s="30">
        <v>52.039513120184736</v>
      </c>
      <c r="E159" t="s">
        <v>8</v>
      </c>
      <c r="AR159" s="27" t="s">
        <v>7</v>
      </c>
      <c r="AT159" s="27" t="s">
        <v>7</v>
      </c>
    </row>
    <row r="160" spans="1:46" x14ac:dyDescent="0.25">
      <c r="A160" s="30">
        <v>49.561441066842605</v>
      </c>
      <c r="C160"/>
      <c r="E160" t="s">
        <v>8</v>
      </c>
    </row>
    <row r="161" spans="1:5" x14ac:dyDescent="0.25">
      <c r="A161" s="30">
        <v>47.201372444612005</v>
      </c>
      <c r="E161" t="s">
        <v>8</v>
      </c>
    </row>
    <row r="162" spans="1:5" x14ac:dyDescent="0.25">
      <c r="A162" s="30">
        <v>44.95368804248762</v>
      </c>
      <c r="E162" t="s">
        <v>8</v>
      </c>
    </row>
    <row r="163" spans="1:5" x14ac:dyDescent="0.25">
      <c r="A163" s="30">
        <v>42.81303623094059</v>
      </c>
      <c r="E163" t="s">
        <v>8</v>
      </c>
    </row>
    <row r="164" spans="1:5" x14ac:dyDescent="0.25">
      <c r="A164" s="30">
        <v>40.774320219943419</v>
      </c>
      <c r="E164" t="s">
        <v>8</v>
      </c>
    </row>
    <row r="165" spans="1:5" x14ac:dyDescent="0.25">
      <c r="A165" s="30">
        <v>38.832685923755633</v>
      </c>
      <c r="E165" t="s">
        <v>8</v>
      </c>
    </row>
    <row r="166" spans="1:5" x14ac:dyDescent="0.25">
      <c r="A166" s="30">
        <v>36.983510403576794</v>
      </c>
      <c r="E166" t="s">
        <v>8</v>
      </c>
    </row>
    <row r="167" spans="1:5" x14ac:dyDescent="0.25">
      <c r="A167" s="30">
        <v>35.222390860549325</v>
      </c>
      <c r="E167" t="s">
        <v>8</v>
      </c>
    </row>
    <row r="168" spans="1:5" x14ac:dyDescent="0.25">
      <c r="A168" s="30">
        <v>33.545134152904119</v>
      </c>
      <c r="E168" t="s">
        <v>8</v>
      </c>
    </row>
    <row r="169" spans="1:5" x14ac:dyDescent="0.25">
      <c r="A169" s="30">
        <v>31.947746812289637</v>
      </c>
      <c r="E169" t="s">
        <v>8</v>
      </c>
    </row>
    <row r="170" spans="1:5" x14ac:dyDescent="0.25">
      <c r="A170" s="30">
        <v>30.426425535513939</v>
      </c>
      <c r="E170" t="s">
        <v>8</v>
      </c>
    </row>
    <row r="171" spans="1:5" x14ac:dyDescent="0.25">
      <c r="A171" s="30">
        <v>28.977548129060892</v>
      </c>
      <c r="E171" t="s">
        <v>8</v>
      </c>
    </row>
    <row r="172" spans="1:5" x14ac:dyDescent="0.25">
      <c r="A172" s="30">
        <v>27.597664884819896</v>
      </c>
      <c r="E172" t="s">
        <v>8</v>
      </c>
    </row>
    <row r="173" spans="1:5" x14ac:dyDescent="0.25">
      <c r="A173" s="30">
        <v>26.283490366495137</v>
      </c>
      <c r="E173" t="s">
        <v>8</v>
      </c>
    </row>
    <row r="174" spans="1:5" x14ac:dyDescent="0.25">
      <c r="A174" s="30">
        <v>25.031895587138223</v>
      </c>
      <c r="E174" t="s">
        <v>8</v>
      </c>
    </row>
    <row r="175" spans="1:5" x14ac:dyDescent="0.25">
      <c r="A175" s="30">
        <v>23.839900559179259</v>
      </c>
      <c r="E175" t="s">
        <v>8</v>
      </c>
    </row>
    <row r="176" spans="1: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27" operator="equal">
      <formula>$U$1</formula>
    </cfRule>
    <cfRule type="cellIs" dxfId="67" priority="628" operator="equal">
      <formula>$S$1</formula>
    </cfRule>
  </conditionalFormatting>
  <conditionalFormatting sqref="D136">
    <cfRule type="cellIs" dxfId="66" priority="625" operator="equal">
      <formula>$S$1</formula>
    </cfRule>
    <cfRule type="cellIs" dxfId="65" priority="626" operator="equal">
      <formula>$U$1</formula>
    </cfRule>
  </conditionalFormatting>
  <conditionalFormatting sqref="C162">
    <cfRule type="cellIs" dxfId="64" priority="623" operator="equal">
      <formula>$U$1</formula>
    </cfRule>
    <cfRule type="cellIs" dxfId="63" priority="624" operator="equal">
      <formula>$S$1</formula>
    </cfRule>
  </conditionalFormatting>
  <conditionalFormatting sqref="D162">
    <cfRule type="cellIs" dxfId="62" priority="621" operator="equal">
      <formula>$S$1</formula>
    </cfRule>
    <cfRule type="cellIs" dxfId="61" priority="622" operator="equal">
      <formula>$U$1</formula>
    </cfRule>
  </conditionalFormatting>
  <conditionalFormatting sqref="C187">
    <cfRule type="cellIs" dxfId="60" priority="619" operator="equal">
      <formula>$U$1</formula>
    </cfRule>
    <cfRule type="cellIs" dxfId="59" priority="620" operator="equal">
      <formula>$S$1</formula>
    </cfRule>
  </conditionalFormatting>
  <conditionalFormatting sqref="D187">
    <cfRule type="cellIs" dxfId="58" priority="617" operator="equal">
      <formula>$S$1</formula>
    </cfRule>
    <cfRule type="cellIs" dxfId="57" priority="618" operator="equal">
      <formula>$U$1</formula>
    </cfRule>
  </conditionalFormatting>
  <conditionalFormatting sqref="C212">
    <cfRule type="cellIs" dxfId="56" priority="615" operator="equal">
      <formula>$U$1</formula>
    </cfRule>
    <cfRule type="cellIs" dxfId="55" priority="616" operator="equal">
      <formula>$S$1</formula>
    </cfRule>
  </conditionalFormatting>
  <conditionalFormatting sqref="D212">
    <cfRule type="cellIs" dxfId="54" priority="613" operator="equal">
      <formula>$S$1</formula>
    </cfRule>
    <cfRule type="cellIs" dxfId="53" priority="614" operator="equal">
      <formula>$U$1</formula>
    </cfRule>
  </conditionalFormatting>
  <conditionalFormatting sqref="C237">
    <cfRule type="cellIs" dxfId="52" priority="611" operator="equal">
      <formula>$U$1</formula>
    </cfRule>
    <cfRule type="cellIs" dxfId="51" priority="612" operator="equal">
      <formula>$S$1</formula>
    </cfRule>
  </conditionalFormatting>
  <conditionalFormatting sqref="D237">
    <cfRule type="cellIs" dxfId="50" priority="609" operator="equal">
      <formula>$S$1</formula>
    </cfRule>
    <cfRule type="cellIs" dxfId="49" priority="610" operator="equal">
      <formula>$U$1</formula>
    </cfRule>
  </conditionalFormatting>
  <conditionalFormatting sqref="C106">
    <cfRule type="cellIs" dxfId="48" priority="607" operator="equal">
      <formula>$U$1</formula>
    </cfRule>
    <cfRule type="cellIs" dxfId="47" priority="608" operator="equal">
      <formula>$S$1</formula>
    </cfRule>
  </conditionalFormatting>
  <conditionalFormatting sqref="D106">
    <cfRule type="cellIs" dxfId="46" priority="605" operator="equal">
      <formula>$S$1</formula>
    </cfRule>
    <cfRule type="cellIs" dxfId="45" priority="606" operator="equal">
      <formula>$U$1</formula>
    </cfRule>
  </conditionalFormatting>
  <conditionalFormatting sqref="C81">
    <cfRule type="cellIs" dxfId="44" priority="603" operator="equal">
      <formula>$U$1</formula>
    </cfRule>
    <cfRule type="cellIs" dxfId="43" priority="604" operator="equal">
      <formula>$S$1</formula>
    </cfRule>
  </conditionalFormatting>
  <conditionalFormatting sqref="D81">
    <cfRule type="cellIs" dxfId="42" priority="601" operator="equal">
      <formula>$S$1</formula>
    </cfRule>
    <cfRule type="cellIs" dxfId="41" priority="602" operator="equal">
      <formula>$U$1</formula>
    </cfRule>
  </conditionalFormatting>
  <conditionalFormatting sqref="C56">
    <cfRule type="cellIs" dxfId="40" priority="599" operator="equal">
      <formula>$U$1</formula>
    </cfRule>
    <cfRule type="cellIs" dxfId="39" priority="600" operator="equal">
      <formula>$S$1</formula>
    </cfRule>
  </conditionalFormatting>
  <conditionalFormatting sqref="D56">
    <cfRule type="cellIs" dxfId="38" priority="597" operator="equal">
      <formula>$S$1</formula>
    </cfRule>
    <cfRule type="cellIs" dxfId="37" priority="598" operator="equal">
      <formula>$U$1</formula>
    </cfRule>
  </conditionalFormatting>
  <conditionalFormatting sqref="C31">
    <cfRule type="cellIs" dxfId="36" priority="595" operator="equal">
      <formula>$U$1</formula>
    </cfRule>
    <cfRule type="cellIs" dxfId="35" priority="596" operator="equal">
      <formula>$S$1</formula>
    </cfRule>
  </conditionalFormatting>
  <conditionalFormatting sqref="D31">
    <cfRule type="cellIs" dxfId="34" priority="593" operator="equal">
      <formula>$S$1</formula>
    </cfRule>
    <cfRule type="cellIs" dxfId="33" priority="59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R79" sqref="R7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11" x14ac:dyDescent="0.25">
      <c r="A49" s="30">
        <v>955.59381772732638</v>
      </c>
      <c r="C49" s="1">
        <f>C38</f>
        <v>0</v>
      </c>
      <c r="E49"/>
    </row>
    <row r="50" spans="1:11" x14ac:dyDescent="0.25">
      <c r="A50" s="30">
        <v>868.72165247938756</v>
      </c>
      <c r="C50"/>
      <c r="D50"/>
      <c r="E50"/>
    </row>
    <row r="51" spans="1:11" x14ac:dyDescent="0.25">
      <c r="A51" s="30">
        <v>789.74695679944318</v>
      </c>
      <c r="C51" s="1" t="s">
        <v>14</v>
      </c>
      <c r="E51"/>
    </row>
    <row r="52" spans="1:11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11" x14ac:dyDescent="0.25">
      <c r="A53" s="30">
        <v>652.68343537144051</v>
      </c>
      <c r="E53"/>
    </row>
    <row r="54" spans="1:11" x14ac:dyDescent="0.25">
      <c r="A54" s="30">
        <v>593.34857761040041</v>
      </c>
      <c r="E54"/>
    </row>
    <row r="55" spans="1:11" x14ac:dyDescent="0.25">
      <c r="A55" s="30">
        <v>539.40779782763673</v>
      </c>
      <c r="E55"/>
    </row>
    <row r="56" spans="1:11" x14ac:dyDescent="0.25">
      <c r="A56" s="30">
        <v>490.37072529785149</v>
      </c>
      <c r="E56"/>
    </row>
    <row r="57" spans="1:11" x14ac:dyDescent="0.25">
      <c r="A57" s="30">
        <v>445.79156845259223</v>
      </c>
      <c r="E57"/>
    </row>
    <row r="58" spans="1:11" x14ac:dyDescent="0.25">
      <c r="A58" s="30">
        <v>405.26506222962928</v>
      </c>
      <c r="E58"/>
    </row>
    <row r="59" spans="1:11" x14ac:dyDescent="0.25">
      <c r="A59" s="30">
        <v>368.42278384511752</v>
      </c>
      <c r="E59"/>
    </row>
    <row r="60" spans="1:11" x14ac:dyDescent="0.25">
      <c r="A60" s="30">
        <v>334.92980349556137</v>
      </c>
      <c r="E60"/>
    </row>
    <row r="61" spans="1:11" x14ac:dyDescent="0.25">
      <c r="A61" s="30">
        <v>304.48163954141938</v>
      </c>
      <c r="E61"/>
    </row>
    <row r="62" spans="1:11" x14ac:dyDescent="0.25">
      <c r="A62" s="30">
        <v>276.80149049219943</v>
      </c>
      <c r="E62"/>
    </row>
    <row r="63" spans="1:11" x14ac:dyDescent="0.25">
      <c r="A63" s="30">
        <v>251.63771862927217</v>
      </c>
      <c r="E63"/>
    </row>
    <row r="64" spans="1:11" x14ac:dyDescent="0.25">
      <c r="A64" s="30">
        <v>228.76156239024741</v>
      </c>
      <c r="E64"/>
      <c r="K64" s="27" t="s">
        <v>8</v>
      </c>
    </row>
    <row r="65" spans="1:18" x14ac:dyDescent="0.25">
      <c r="A65" s="30">
        <v>207.96505671840671</v>
      </c>
      <c r="E65"/>
      <c r="K65" s="27" t="s">
        <v>8</v>
      </c>
      <c r="L65" s="27" t="s">
        <v>7</v>
      </c>
    </row>
    <row r="66" spans="1:18" x14ac:dyDescent="0.25">
      <c r="A66" s="30">
        <v>189.05914247127882</v>
      </c>
      <c r="E66"/>
      <c r="K66" s="27" t="s">
        <v>8</v>
      </c>
      <c r="L66" s="27" t="s">
        <v>7</v>
      </c>
    </row>
    <row r="67" spans="1:18" x14ac:dyDescent="0.25">
      <c r="A67" s="30">
        <v>171.87194770116255</v>
      </c>
      <c r="C67" s="1" t="s">
        <v>15</v>
      </c>
      <c r="E67"/>
      <c r="I67" s="27" t="s">
        <v>8</v>
      </c>
      <c r="K67" s="27" t="s">
        <v>8</v>
      </c>
      <c r="L67" s="27" t="s">
        <v>7</v>
      </c>
      <c r="M67" s="27" t="s">
        <v>8</v>
      </c>
      <c r="O67" s="27" t="s">
        <v>8</v>
      </c>
    </row>
    <row r="68" spans="1:18" x14ac:dyDescent="0.25">
      <c r="A68" s="30">
        <v>156.24722518287504</v>
      </c>
      <c r="C68" s="7">
        <v>0.11167815779424731</v>
      </c>
      <c r="D68"/>
      <c r="E68"/>
      <c r="I68" s="27" t="s">
        <v>8</v>
      </c>
      <c r="J68" s="27" t="s">
        <v>7</v>
      </c>
      <c r="K68" s="27" t="s">
        <v>8</v>
      </c>
      <c r="L68" s="27" t="s">
        <v>7</v>
      </c>
      <c r="M68" s="27" t="s">
        <v>8</v>
      </c>
      <c r="N68" s="27" t="s">
        <v>7</v>
      </c>
      <c r="O68" s="27" t="s">
        <v>8</v>
      </c>
      <c r="P68" s="27" t="s">
        <v>7</v>
      </c>
    </row>
    <row r="69" spans="1:18" x14ac:dyDescent="0.25">
      <c r="A69" s="30">
        <v>142.04293198443185</v>
      </c>
      <c r="E69"/>
      <c r="I69" s="27" t="s">
        <v>8</v>
      </c>
      <c r="J69" s="27" t="s">
        <v>7</v>
      </c>
      <c r="K69" s="27" t="s">
        <v>8</v>
      </c>
      <c r="L69" s="27" t="s">
        <v>7</v>
      </c>
      <c r="M69" s="27" t="s">
        <v>8</v>
      </c>
      <c r="N69" s="27" t="s">
        <v>7</v>
      </c>
      <c r="O69" s="27" t="s">
        <v>8</v>
      </c>
      <c r="P69" s="27" t="s">
        <v>7</v>
      </c>
    </row>
    <row r="70" spans="1:18" x14ac:dyDescent="0.25">
      <c r="A70" s="30">
        <v>129.1299381676653</v>
      </c>
      <c r="C70" s="1" t="s">
        <v>11</v>
      </c>
      <c r="D70" s="1" t="s">
        <v>12</v>
      </c>
      <c r="E70"/>
      <c r="G70" s="27" t="s">
        <v>8</v>
      </c>
      <c r="I70" s="27" t="s">
        <v>8</v>
      </c>
      <c r="J70" s="27" t="s">
        <v>7</v>
      </c>
      <c r="K70" s="27" t="s">
        <v>8</v>
      </c>
      <c r="L70" s="27" t="s">
        <v>7</v>
      </c>
      <c r="N70" s="27" t="s">
        <v>7</v>
      </c>
      <c r="P70" s="27" t="s">
        <v>7</v>
      </c>
      <c r="Q70" s="27" t="s">
        <v>8</v>
      </c>
    </row>
    <row r="71" spans="1:18" x14ac:dyDescent="0.25">
      <c r="A71" s="30">
        <v>117.39085287969573</v>
      </c>
      <c r="C71"/>
      <c r="D71"/>
      <c r="E71" t="s">
        <v>8</v>
      </c>
      <c r="G71" s="27" t="s">
        <v>8</v>
      </c>
      <c r="H71" s="27" t="s">
        <v>7</v>
      </c>
      <c r="I71" s="27" t="s">
        <v>8</v>
      </c>
      <c r="J71" s="27" t="s">
        <v>7</v>
      </c>
      <c r="K71" s="27" t="s">
        <v>8</v>
      </c>
      <c r="P71" s="27" t="s">
        <v>7</v>
      </c>
      <c r="Q71" s="27" t="s">
        <v>8</v>
      </c>
      <c r="R71" s="27" t="s">
        <v>7</v>
      </c>
    </row>
    <row r="72" spans="1:18" x14ac:dyDescent="0.25">
      <c r="A72" s="30">
        <v>106.71895716335975</v>
      </c>
      <c r="E72" t="s">
        <v>8</v>
      </c>
      <c r="F72" s="27" t="s">
        <v>7</v>
      </c>
      <c r="G72" s="27" t="s">
        <v>8</v>
      </c>
      <c r="H72" s="27" t="s">
        <v>7</v>
      </c>
      <c r="I72" s="27" t="s">
        <v>8</v>
      </c>
      <c r="J72" s="27" t="s">
        <v>7</v>
      </c>
      <c r="K72" s="27" t="s">
        <v>8</v>
      </c>
      <c r="P72" s="27" t="s">
        <v>7</v>
      </c>
      <c r="Q72" s="27" t="s">
        <v>8</v>
      </c>
      <c r="R72" s="27" t="s">
        <v>7</v>
      </c>
    </row>
    <row r="73" spans="1:18" x14ac:dyDescent="0.25">
      <c r="A73" s="30">
        <v>97.017233784872488</v>
      </c>
      <c r="C73" s="1" t="s">
        <v>13</v>
      </c>
      <c r="E73" t="s">
        <v>8</v>
      </c>
      <c r="F73" s="27" t="s">
        <v>7</v>
      </c>
      <c r="G73" s="27" t="s">
        <v>8</v>
      </c>
      <c r="H73" s="27" t="s">
        <v>7</v>
      </c>
      <c r="I73" s="27" t="s">
        <v>8</v>
      </c>
      <c r="J73" s="27" t="s">
        <v>7</v>
      </c>
      <c r="P73" s="27" t="s">
        <v>7</v>
      </c>
      <c r="Q73" s="27" t="s">
        <v>8</v>
      </c>
      <c r="R73" s="27" t="s">
        <v>7</v>
      </c>
    </row>
    <row r="74" spans="1:18" x14ac:dyDescent="0.25">
      <c r="A74" s="30">
        <v>88.197485258974979</v>
      </c>
      <c r="C74" s="1">
        <f>C63</f>
        <v>0</v>
      </c>
      <c r="E74" t="s">
        <v>8</v>
      </c>
      <c r="F74" s="27" t="s">
        <v>7</v>
      </c>
      <c r="G74" s="27" t="s">
        <v>8</v>
      </c>
      <c r="H74" s="27" t="s">
        <v>7</v>
      </c>
      <c r="P74" s="27" t="s">
        <v>7</v>
      </c>
      <c r="Q74" s="27" t="s">
        <v>8</v>
      </c>
      <c r="R74" s="27" t="s">
        <v>7</v>
      </c>
    </row>
    <row r="75" spans="1:18" x14ac:dyDescent="0.25">
      <c r="A75" s="30">
        <v>80.179532053613613</v>
      </c>
      <c r="C75"/>
      <c r="D75"/>
      <c r="E75" t="s">
        <v>8</v>
      </c>
      <c r="F75" s="27" t="s">
        <v>7</v>
      </c>
      <c r="G75" s="27" t="s">
        <v>8</v>
      </c>
      <c r="P75" s="27" t="s">
        <v>7</v>
      </c>
      <c r="R75" s="27" t="s">
        <v>7</v>
      </c>
    </row>
    <row r="76" spans="1:18" x14ac:dyDescent="0.25">
      <c r="A76" s="30">
        <v>72.890483685103277</v>
      </c>
      <c r="C76" s="1" t="s">
        <v>14</v>
      </c>
      <c r="E76" t="s">
        <v>8</v>
      </c>
      <c r="F76" s="18" t="s">
        <v>7</v>
      </c>
      <c r="G76" s="27" t="s">
        <v>8</v>
      </c>
      <c r="R76" s="27" t="s">
        <v>7</v>
      </c>
    </row>
    <row r="77" spans="1:18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  <c r="F77" s="27" t="s">
        <v>7</v>
      </c>
      <c r="R77" s="27" t="s">
        <v>7</v>
      </c>
    </row>
    <row r="78" spans="1:18" x14ac:dyDescent="0.25">
      <c r="A78" s="30">
        <v>60.240069161242367</v>
      </c>
      <c r="E78" t="s">
        <v>8</v>
      </c>
      <c r="R78" s="27" t="s">
        <v>7</v>
      </c>
    </row>
    <row r="79" spans="1:18" x14ac:dyDescent="0.25">
      <c r="A79" s="30">
        <v>54.763699237493057</v>
      </c>
      <c r="E79" t="s">
        <v>8</v>
      </c>
      <c r="R79" s="27" t="s">
        <v>7</v>
      </c>
    </row>
    <row r="80" spans="1:18" x14ac:dyDescent="0.25">
      <c r="A80" s="30">
        <v>49.785181124993684</v>
      </c>
      <c r="E80" t="s">
        <v>8</v>
      </c>
    </row>
    <row r="81" spans="1:5" x14ac:dyDescent="0.25">
      <c r="A81" s="30">
        <v>45.259255568176073</v>
      </c>
      <c r="E81" t="s">
        <v>8</v>
      </c>
    </row>
    <row r="82" spans="1:5" x14ac:dyDescent="0.25">
      <c r="A82" s="30">
        <v>41.144777789250973</v>
      </c>
      <c r="E82" t="s">
        <v>8</v>
      </c>
    </row>
    <row r="83" spans="1:5" x14ac:dyDescent="0.25">
      <c r="A83" s="30">
        <v>37.404343444773609</v>
      </c>
      <c r="E83" t="s">
        <v>8</v>
      </c>
    </row>
    <row r="84" spans="1:5" x14ac:dyDescent="0.25">
      <c r="A84" s="30">
        <v>34.003948586157826</v>
      </c>
      <c r="E84" t="s">
        <v>8</v>
      </c>
    </row>
    <row r="85" spans="1:5" x14ac:dyDescent="0.25">
      <c r="A85" s="30">
        <v>30.912680532870748</v>
      </c>
      <c r="E85" t="s">
        <v>8</v>
      </c>
    </row>
    <row r="86" spans="1:5" x14ac:dyDescent="0.25">
      <c r="A86" s="30">
        <v>28.102436848064315</v>
      </c>
      <c r="E86" t="s">
        <v>8</v>
      </c>
    </row>
    <row r="87" spans="1:5" x14ac:dyDescent="0.25">
      <c r="A87" s="30">
        <v>25.547669861876649</v>
      </c>
      <c r="E87" t="s">
        <v>8</v>
      </c>
    </row>
    <row r="88" spans="1:5" x14ac:dyDescent="0.25">
      <c r="A88" s="30">
        <v>23.225154419887861</v>
      </c>
      <c r="E88" t="s">
        <v>8</v>
      </c>
    </row>
    <row r="89" spans="1:5" x14ac:dyDescent="0.25">
      <c r="A89" s="30">
        <v>21.113776745352599</v>
      </c>
      <c r="E89" t="s">
        <v>8</v>
      </c>
    </row>
    <row r="90" spans="1:5" x14ac:dyDescent="0.25">
      <c r="A90" s="30">
        <v>19.194342495775089</v>
      </c>
      <c r="E90" t="s">
        <v>8</v>
      </c>
    </row>
    <row r="91" spans="1:5" x14ac:dyDescent="0.25">
      <c r="A91" s="30">
        <v>17.449402268886445</v>
      </c>
      <c r="E91" t="s">
        <v>8</v>
      </c>
    </row>
    <row r="92" spans="1:5" x14ac:dyDescent="0.25">
      <c r="A92" s="30">
        <v>15.863092971714948</v>
      </c>
      <c r="C92" s="1" t="s">
        <v>15</v>
      </c>
      <c r="E92" t="s">
        <v>8</v>
      </c>
    </row>
    <row r="93" spans="1:5" x14ac:dyDescent="0.25">
      <c r="A93" s="30">
        <v>14.420993610649951</v>
      </c>
      <c r="C93" s="7">
        <v>0.11167815779424731</v>
      </c>
      <c r="D93"/>
      <c r="E93" t="s">
        <v>8</v>
      </c>
    </row>
    <row r="94" spans="1:5" x14ac:dyDescent="0.25">
      <c r="A94" s="30">
        <v>13.109994191499954</v>
      </c>
      <c r="E94" t="s">
        <v>8</v>
      </c>
    </row>
    <row r="95" spans="1: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$A$78</v>
      </c>
      <c r="D111" s="1" t="str">
        <f>ADDRESS(C121-1,D121,1,1)</f>
        <v>$R$78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$A$79</v>
      </c>
      <c r="D112" s="1" t="str">
        <f>ADDRESS(C121,D121-1,1,1)</f>
        <v>$Q$79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$A$80</v>
      </c>
      <c r="D113" s="1" t="str">
        <f>ADDRESS(C121-1,D121+1,1,1)</f>
        <v>$S$78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$R$79</v>
      </c>
      <c r="D114" s="1" t="str">
        <f>ADDRESS(C121+1,D121+1,1,1)</f>
        <v>$S$80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$R$80</v>
      </c>
      <c r="E115" s="1" t="s">
        <v>8</v>
      </c>
    </row>
    <row r="116" spans="1:5" x14ac:dyDescent="0.25">
      <c r="A116" s="30">
        <v>1.6105100000000008</v>
      </c>
      <c r="C116" s="1">
        <f>C117-1</f>
        <v>78</v>
      </c>
      <c r="E116" s="1" t="s">
        <v>8</v>
      </c>
    </row>
    <row r="117" spans="1:5" x14ac:dyDescent="0.25">
      <c r="A117" s="30">
        <v>1.4641000000000006</v>
      </c>
      <c r="C117" s="1">
        <f>C121</f>
        <v>79</v>
      </c>
      <c r="D117" s="1">
        <f>D121</f>
        <v>18</v>
      </c>
      <c r="E117" s="1" t="s">
        <v>8</v>
      </c>
    </row>
    <row r="118" spans="1:5" x14ac:dyDescent="0.25">
      <c r="A118" s="30">
        <v>1.3310000000000004</v>
      </c>
      <c r="C118" s="1">
        <f>C117+1</f>
        <v>80</v>
      </c>
      <c r="D118" s="1">
        <f>D117+1</f>
        <v>19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79</v>
      </c>
      <c r="D121" s="19">
        <v>18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R79</v>
      </c>
      <c r="D123" s="1" t="str">
        <f>"C"&amp;D121</f>
        <v>C18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54.763699237493057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11" operator="equal">
      <formula>$U$1</formula>
    </cfRule>
    <cfRule type="cellIs" dxfId="30" priority="612" operator="equal">
      <formula>$S$1</formula>
    </cfRule>
  </conditionalFormatting>
  <conditionalFormatting sqref="D136">
    <cfRule type="cellIs" dxfId="29" priority="609" operator="equal">
      <formula>$S$1</formula>
    </cfRule>
    <cfRule type="cellIs" dxfId="28" priority="610" operator="equal">
      <formula>$U$1</formula>
    </cfRule>
  </conditionalFormatting>
  <conditionalFormatting sqref="C102">
    <cfRule type="cellIs" dxfId="27" priority="607" operator="equal">
      <formula>$U$1</formula>
    </cfRule>
    <cfRule type="cellIs" dxfId="26" priority="608" operator="equal">
      <formula>$S$1</formula>
    </cfRule>
  </conditionalFormatting>
  <conditionalFormatting sqref="D102">
    <cfRule type="cellIs" dxfId="25" priority="605" operator="equal">
      <formula>$S$1</formula>
    </cfRule>
    <cfRule type="cellIs" dxfId="24" priority="606" operator="equal">
      <formula>$U$1</formula>
    </cfRule>
  </conditionalFormatting>
  <conditionalFormatting sqref="C77">
    <cfRule type="cellIs" dxfId="23" priority="603" operator="equal">
      <formula>$U$1</formula>
    </cfRule>
    <cfRule type="cellIs" dxfId="22" priority="604" operator="equal">
      <formula>$S$1</formula>
    </cfRule>
  </conditionalFormatting>
  <conditionalFormatting sqref="D77">
    <cfRule type="cellIs" dxfId="21" priority="601" operator="equal">
      <formula>$S$1</formula>
    </cfRule>
    <cfRule type="cellIs" dxfId="20" priority="602" operator="equal">
      <formula>$U$1</formula>
    </cfRule>
  </conditionalFormatting>
  <conditionalFormatting sqref="C52">
    <cfRule type="cellIs" dxfId="19" priority="599" operator="equal">
      <formula>$U$1</formula>
    </cfRule>
    <cfRule type="cellIs" dxfId="18" priority="600" operator="equal">
      <formula>$S$1</formula>
    </cfRule>
  </conditionalFormatting>
  <conditionalFormatting sqref="D52">
    <cfRule type="cellIs" dxfId="17" priority="597" operator="equal">
      <formula>$S$1</formula>
    </cfRule>
    <cfRule type="cellIs" dxfId="16" priority="598" operator="equal">
      <formula>$U$1</formula>
    </cfRule>
  </conditionalFormatting>
  <conditionalFormatting sqref="C26">
    <cfRule type="cellIs" dxfId="15" priority="595" operator="equal">
      <formula>$U$1</formula>
    </cfRule>
    <cfRule type="cellIs" dxfId="14" priority="596" operator="equal">
      <formula>$S$1</formula>
    </cfRule>
  </conditionalFormatting>
  <conditionalFormatting sqref="D26">
    <cfRule type="cellIs" dxfId="13" priority="593" operator="equal">
      <formula>$S$1</formula>
    </cfRule>
    <cfRule type="cellIs" dxfId="12" priority="59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2022-01-28T01:19:10Z</dcterms:modified>
</cp:coreProperties>
</file>