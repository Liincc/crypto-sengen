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BD0385B5-1C07-4936-BE2D-5C7DA946A4B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405" i="1"/>
  <c r="Q405" i="1" s="1"/>
  <c r="R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408" i="1"/>
  <c r="Q408" i="1" s="1"/>
  <c r="P409" i="1"/>
  <c r="Q409" i="1" s="1"/>
  <c r="P410" i="1"/>
  <c r="Q410" i="1" s="1"/>
  <c r="P411" i="1"/>
  <c r="Q411" i="1" s="1"/>
  <c r="P412" i="1"/>
  <c r="Q412" i="1" s="1"/>
  <c r="P413" i="1"/>
  <c r="Q413" i="1" s="1"/>
  <c r="P414" i="1"/>
  <c r="Q414" i="1" s="1"/>
  <c r="P415" i="1"/>
  <c r="Q415" i="1" s="1"/>
  <c r="P416" i="1"/>
  <c r="Q416" i="1" s="1"/>
  <c r="P417" i="1"/>
  <c r="Q417" i="1" s="1"/>
  <c r="P418" i="1"/>
  <c r="Q418" i="1" s="1"/>
  <c r="P419" i="1"/>
  <c r="Q419" i="1" s="1"/>
  <c r="P420" i="1"/>
  <c r="Q420" i="1" s="1"/>
  <c r="P421" i="1"/>
  <c r="Q421" i="1" s="1"/>
  <c r="P422" i="1"/>
  <c r="Q422" i="1" s="1"/>
  <c r="P423" i="1"/>
  <c r="Q423" i="1" s="1"/>
  <c r="P424" i="1"/>
  <c r="Q424" i="1" s="1"/>
  <c r="P425" i="1"/>
  <c r="Q425" i="1" s="1"/>
  <c r="P426" i="1"/>
  <c r="Q426" i="1" s="1"/>
  <c r="P427" i="1"/>
  <c r="Q427" i="1" s="1"/>
  <c r="P428" i="1"/>
  <c r="Q428" i="1" s="1"/>
  <c r="P429" i="1"/>
  <c r="Q429" i="1" s="1"/>
  <c r="P430" i="1"/>
  <c r="Q430" i="1" s="1"/>
  <c r="P431" i="1"/>
  <c r="Q431" i="1" s="1"/>
  <c r="P432" i="1"/>
  <c r="Q432" i="1" s="1"/>
  <c r="P433" i="1"/>
  <c r="Q433" i="1" s="1"/>
  <c r="P434" i="1"/>
  <c r="Q434" i="1" s="1"/>
  <c r="P435" i="1"/>
  <c r="Q435" i="1" s="1"/>
  <c r="P436" i="1"/>
  <c r="Q436" i="1" s="1"/>
  <c r="P437" i="1"/>
  <c r="Q437" i="1" s="1"/>
  <c r="P438" i="1"/>
  <c r="Q438" i="1" s="1"/>
  <c r="P439" i="1"/>
  <c r="Q439" i="1" s="1"/>
  <c r="P440" i="1"/>
  <c r="Q440" i="1" s="1"/>
  <c r="P441" i="1"/>
  <c r="Q441" i="1" s="1"/>
  <c r="P442" i="1"/>
  <c r="Q442" i="1" s="1"/>
  <c r="P443" i="1"/>
  <c r="Q443" i="1" s="1"/>
  <c r="P444" i="1"/>
  <c r="Q444" i="1" s="1"/>
  <c r="P445" i="1"/>
  <c r="Q445" i="1" s="1"/>
  <c r="P446" i="1"/>
  <c r="Q446" i="1" s="1"/>
  <c r="P447" i="1"/>
  <c r="Q447" i="1" s="1"/>
  <c r="P448" i="1"/>
  <c r="Q448" i="1" s="1"/>
  <c r="P449" i="1"/>
  <c r="Q449" i="1" s="1"/>
  <c r="P450" i="1"/>
  <c r="Q450" i="1" s="1"/>
  <c r="P451" i="1"/>
  <c r="Q451" i="1" s="1"/>
  <c r="P452" i="1"/>
  <c r="Q452" i="1" s="1"/>
  <c r="P453" i="1"/>
  <c r="Q453" i="1" s="1"/>
  <c r="P454" i="1"/>
  <c r="Q454" i="1" s="1"/>
  <c r="P455" i="1"/>
  <c r="Q455" i="1" s="1"/>
  <c r="P456" i="1"/>
  <c r="Q456" i="1" s="1"/>
  <c r="P457" i="1"/>
  <c r="Q457" i="1" s="1"/>
  <c r="P458" i="1"/>
  <c r="Q458" i="1" s="1"/>
  <c r="P459" i="1"/>
  <c r="Q459" i="1" s="1"/>
  <c r="P460" i="1"/>
  <c r="Q460" i="1" s="1"/>
  <c r="P461" i="1"/>
  <c r="Q461" i="1" s="1"/>
  <c r="P462" i="1"/>
  <c r="Q462" i="1" s="1"/>
  <c r="P463" i="1"/>
  <c r="Q463" i="1" s="1"/>
  <c r="P464" i="1"/>
  <c r="Q464" i="1" s="1"/>
  <c r="P465" i="1"/>
  <c r="Q465" i="1" s="1"/>
  <c r="P466" i="1"/>
  <c r="Q466" i="1" s="1"/>
  <c r="P467" i="1"/>
  <c r="Q467" i="1" s="1"/>
  <c r="P468" i="1"/>
  <c r="Q468" i="1" s="1"/>
  <c r="P469" i="1"/>
  <c r="Q469" i="1" s="1"/>
  <c r="P470" i="1"/>
  <c r="Q470" i="1" s="1"/>
  <c r="P471" i="1"/>
  <c r="Q471" i="1" s="1"/>
  <c r="P472" i="1"/>
  <c r="Q472" i="1" s="1"/>
  <c r="P473" i="1"/>
  <c r="Q473" i="1" s="1"/>
  <c r="P474" i="1"/>
  <c r="Q474" i="1" s="1"/>
  <c r="P475" i="1"/>
  <c r="Q475" i="1" s="1"/>
  <c r="P476" i="1"/>
  <c r="Q476" i="1" s="1"/>
  <c r="P477" i="1"/>
  <c r="Q477" i="1" s="1"/>
  <c r="P478" i="1"/>
  <c r="Q478" i="1" s="1"/>
  <c r="P479" i="1"/>
  <c r="Q479" i="1" s="1"/>
  <c r="P480" i="1"/>
  <c r="Q480" i="1" s="1"/>
  <c r="P481" i="1"/>
  <c r="Q481" i="1" s="1"/>
  <c r="P482" i="1"/>
  <c r="Q482" i="1" s="1"/>
  <c r="P483" i="1"/>
  <c r="Q483" i="1" s="1"/>
  <c r="P484" i="1"/>
  <c r="Q484" i="1" s="1"/>
  <c r="P485" i="1"/>
  <c r="Q485" i="1" s="1"/>
  <c r="P486" i="1"/>
  <c r="Q486" i="1" s="1"/>
  <c r="P487" i="1"/>
  <c r="Q487" i="1" s="1"/>
  <c r="P488" i="1"/>
  <c r="Q488" i="1" s="1"/>
  <c r="P489" i="1"/>
  <c r="Q489" i="1" s="1"/>
  <c r="P490" i="1"/>
  <c r="Q490" i="1" s="1"/>
  <c r="P491" i="1"/>
  <c r="Q491" i="1" s="1"/>
  <c r="P492" i="1"/>
  <c r="Q492" i="1" s="1"/>
  <c r="P493" i="1"/>
  <c r="Q493" i="1" s="1"/>
  <c r="P494" i="1"/>
  <c r="Q494" i="1" s="1"/>
  <c r="P495" i="1"/>
  <c r="Q495" i="1" s="1"/>
  <c r="P496" i="1"/>
  <c r="Q496" i="1" s="1"/>
  <c r="P497" i="1"/>
  <c r="Q497" i="1" s="1"/>
  <c r="P498" i="1"/>
  <c r="Q498" i="1" s="1"/>
  <c r="P499" i="1"/>
  <c r="Q499" i="1" s="1"/>
  <c r="P500" i="1"/>
  <c r="Q500" i="1" s="1"/>
  <c r="P501" i="1"/>
  <c r="Q501" i="1" s="1"/>
  <c r="P502" i="1"/>
  <c r="Q502" i="1" s="1"/>
  <c r="P503" i="1"/>
  <c r="Q503" i="1" s="1"/>
  <c r="P504" i="1"/>
  <c r="Q504" i="1" s="1"/>
  <c r="P505" i="1"/>
  <c r="Q505" i="1" s="1"/>
  <c r="P506" i="1"/>
  <c r="Q506" i="1" s="1"/>
  <c r="P507" i="1"/>
  <c r="Q507" i="1" s="1"/>
  <c r="P508" i="1"/>
  <c r="Q508" i="1" s="1"/>
  <c r="P509" i="1"/>
  <c r="Q509" i="1" s="1"/>
  <c r="P510" i="1"/>
  <c r="Q510" i="1" s="1"/>
  <c r="P511" i="1"/>
  <c r="Q511" i="1" s="1"/>
  <c r="P512" i="1"/>
  <c r="Q512" i="1" s="1"/>
  <c r="P513" i="1"/>
  <c r="Q513" i="1" s="1"/>
  <c r="P514" i="1"/>
  <c r="Q514" i="1" s="1"/>
  <c r="P515" i="1"/>
  <c r="Q515" i="1" s="1"/>
  <c r="P516" i="1"/>
  <c r="Q516" i="1" s="1"/>
  <c r="P517" i="1"/>
  <c r="Q517" i="1" s="1"/>
  <c r="P518" i="1"/>
  <c r="Q518" i="1" s="1"/>
  <c r="P519" i="1"/>
  <c r="Q519" i="1" s="1"/>
  <c r="P520" i="1"/>
  <c r="Q520" i="1" s="1"/>
  <c r="P521" i="1"/>
  <c r="Q521" i="1" s="1"/>
  <c r="P522" i="1"/>
  <c r="Q522" i="1" s="1"/>
  <c r="P523" i="1"/>
  <c r="Q523" i="1" s="1"/>
  <c r="P524" i="1"/>
  <c r="Q524" i="1" s="1"/>
  <c r="P525" i="1"/>
  <c r="Q525" i="1" s="1"/>
  <c r="P526" i="1"/>
  <c r="Q526" i="1" s="1"/>
  <c r="P527" i="1"/>
  <c r="Q527" i="1" s="1"/>
  <c r="P528" i="1"/>
  <c r="Q528" i="1" s="1"/>
  <c r="P529" i="1"/>
  <c r="Q529" i="1" s="1"/>
  <c r="P530" i="1"/>
  <c r="Q530" i="1" s="1"/>
  <c r="P531" i="1"/>
  <c r="Q531" i="1" s="1"/>
  <c r="P532" i="1"/>
  <c r="Q532" i="1" s="1"/>
  <c r="P533" i="1"/>
  <c r="Q533" i="1" s="1"/>
  <c r="P534" i="1"/>
  <c r="Q534" i="1" s="1"/>
  <c r="P535" i="1"/>
  <c r="Q535" i="1" s="1"/>
  <c r="P536" i="1"/>
  <c r="Q536" i="1" s="1"/>
  <c r="P537" i="1"/>
  <c r="Q537" i="1" s="1"/>
  <c r="P538" i="1"/>
  <c r="Q538" i="1" s="1"/>
  <c r="P539" i="1"/>
  <c r="Q539" i="1" s="1"/>
  <c r="P540" i="1"/>
  <c r="Q540" i="1" s="1"/>
  <c r="P541" i="1"/>
  <c r="Q541" i="1" s="1"/>
  <c r="P542" i="1"/>
  <c r="Q542" i="1" s="1"/>
  <c r="P543" i="1"/>
  <c r="Q543" i="1" s="1"/>
  <c r="P544" i="1"/>
  <c r="Q544" i="1" s="1"/>
  <c r="P545" i="1"/>
  <c r="Q545" i="1" s="1"/>
  <c r="P546" i="1"/>
  <c r="Q546" i="1" s="1"/>
  <c r="P547" i="1"/>
  <c r="Q547" i="1" s="1"/>
  <c r="P548" i="1"/>
  <c r="Q548" i="1" s="1"/>
  <c r="P549" i="1"/>
  <c r="Q549" i="1" s="1"/>
  <c r="P550" i="1"/>
  <c r="Q550" i="1" s="1"/>
  <c r="P551" i="1"/>
  <c r="Q551" i="1" s="1"/>
  <c r="P552" i="1"/>
  <c r="Q552" i="1" s="1"/>
  <c r="P553" i="1"/>
  <c r="Q553" i="1" s="1"/>
  <c r="P554" i="1"/>
  <c r="Q554" i="1" s="1"/>
  <c r="P555" i="1"/>
  <c r="Q555" i="1" s="1"/>
  <c r="P556" i="1"/>
  <c r="Q556" i="1" s="1"/>
  <c r="P557" i="1"/>
  <c r="Q557" i="1" s="1"/>
  <c r="P558" i="1"/>
  <c r="Q558" i="1" s="1"/>
  <c r="P559" i="1"/>
  <c r="Q559" i="1" s="1"/>
  <c r="P560" i="1"/>
  <c r="Q560" i="1" s="1"/>
  <c r="P561" i="1"/>
  <c r="Q561" i="1" s="1"/>
  <c r="P562" i="1"/>
  <c r="Q562" i="1" s="1"/>
  <c r="P563" i="1"/>
  <c r="Q563" i="1" s="1"/>
  <c r="P564" i="1"/>
  <c r="Q564" i="1" s="1"/>
  <c r="P565" i="1"/>
  <c r="Q565" i="1" s="1"/>
  <c r="P566" i="1"/>
  <c r="Q566" i="1" s="1"/>
  <c r="P567" i="1"/>
  <c r="Q567" i="1" s="1"/>
  <c r="P568" i="1"/>
  <c r="Q568" i="1" s="1"/>
  <c r="P569" i="1"/>
  <c r="Q569" i="1" s="1"/>
  <c r="P570" i="1"/>
  <c r="Q570" i="1" s="1"/>
  <c r="P571" i="1"/>
  <c r="Q571" i="1" s="1"/>
  <c r="P572" i="1"/>
  <c r="Q572" i="1" s="1"/>
  <c r="P573" i="1"/>
  <c r="Q573" i="1" s="1"/>
  <c r="P574" i="1"/>
  <c r="Q574" i="1" s="1"/>
  <c r="P575" i="1"/>
  <c r="Q575" i="1" s="1"/>
  <c r="P576" i="1"/>
  <c r="Q576" i="1" s="1"/>
  <c r="P577" i="1"/>
  <c r="Q577" i="1" s="1"/>
  <c r="P578" i="1"/>
  <c r="Q578" i="1" s="1"/>
  <c r="P579" i="1"/>
  <c r="Q579" i="1" s="1"/>
  <c r="P580" i="1"/>
  <c r="Q580" i="1" s="1"/>
  <c r="P581" i="1"/>
  <c r="Q581" i="1" s="1"/>
  <c r="P582" i="1"/>
  <c r="Q582" i="1" s="1"/>
  <c r="P583" i="1"/>
  <c r="Q583" i="1" s="1"/>
  <c r="P584" i="1"/>
  <c r="Q584" i="1" s="1"/>
  <c r="P585" i="1"/>
  <c r="Q585" i="1" s="1"/>
  <c r="P586" i="1"/>
  <c r="Q586" i="1" s="1"/>
  <c r="P587" i="1"/>
  <c r="Q587" i="1" s="1"/>
  <c r="P588" i="1"/>
  <c r="Q588" i="1" s="1"/>
  <c r="P589" i="1"/>
  <c r="Q589" i="1" s="1"/>
  <c r="P590" i="1"/>
  <c r="Q590" i="1" s="1"/>
  <c r="P591" i="1"/>
  <c r="Q591" i="1" s="1"/>
  <c r="P592" i="1"/>
  <c r="Q592" i="1" s="1"/>
  <c r="P593" i="1"/>
  <c r="Q593" i="1" s="1"/>
  <c r="P594" i="1"/>
  <c r="Q594" i="1" s="1"/>
  <c r="P595" i="1"/>
  <c r="Q595" i="1" s="1"/>
  <c r="P596" i="1"/>
  <c r="Q596" i="1" s="1"/>
  <c r="P597" i="1"/>
  <c r="Q597" i="1" s="1"/>
  <c r="P598" i="1"/>
  <c r="Q598" i="1" s="1"/>
  <c r="P599" i="1"/>
  <c r="Q599" i="1" s="1"/>
  <c r="P600" i="1"/>
  <c r="Q600" i="1" s="1"/>
  <c r="P601" i="1"/>
  <c r="Q601" i="1" s="1"/>
  <c r="P602" i="1"/>
  <c r="Q602" i="1" s="1"/>
  <c r="P603" i="1"/>
  <c r="Q603" i="1" s="1"/>
  <c r="P604" i="1"/>
  <c r="Q604" i="1" s="1"/>
  <c r="P605" i="1"/>
  <c r="Q605" i="1" s="1"/>
  <c r="P606" i="1"/>
  <c r="Q606" i="1" s="1"/>
  <c r="P607" i="1"/>
  <c r="Q607" i="1" s="1"/>
  <c r="P608" i="1"/>
  <c r="Q608" i="1" s="1"/>
  <c r="P609" i="1"/>
  <c r="Q609" i="1" s="1"/>
  <c r="P610" i="1"/>
  <c r="Q610" i="1" s="1"/>
  <c r="P611" i="1"/>
  <c r="Q611" i="1" s="1"/>
  <c r="P612" i="1"/>
  <c r="Q612" i="1" s="1"/>
  <c r="P613" i="1"/>
  <c r="Q613" i="1" s="1"/>
  <c r="P614" i="1"/>
  <c r="Q614" i="1" s="1"/>
  <c r="P615" i="1"/>
  <c r="Q615" i="1" s="1"/>
  <c r="P616" i="1"/>
  <c r="Q616" i="1" s="1"/>
  <c r="P617" i="1"/>
  <c r="Q617" i="1" s="1"/>
  <c r="P618" i="1"/>
  <c r="Q618" i="1" s="1"/>
  <c r="P619" i="1"/>
  <c r="Q619" i="1" s="1"/>
  <c r="P620" i="1"/>
  <c r="Q620" i="1" s="1"/>
  <c r="P621" i="1"/>
  <c r="Q621" i="1" s="1"/>
  <c r="P622" i="1"/>
  <c r="Q622" i="1" s="1"/>
  <c r="P623" i="1"/>
  <c r="Q623" i="1" s="1"/>
  <c r="P624" i="1"/>
  <c r="Q624" i="1" s="1"/>
  <c r="P625" i="1"/>
  <c r="Q625" i="1" s="1"/>
  <c r="P626" i="1"/>
  <c r="Q626" i="1" s="1"/>
  <c r="P627" i="1"/>
  <c r="Q627" i="1" s="1"/>
  <c r="P628" i="1"/>
  <c r="Q628" i="1" s="1"/>
  <c r="P629" i="1"/>
  <c r="Q629" i="1" s="1"/>
  <c r="P630" i="1"/>
  <c r="Q630" i="1" s="1"/>
  <c r="P631" i="1"/>
  <c r="Q631" i="1" s="1"/>
  <c r="P632" i="1"/>
  <c r="Q632" i="1" s="1"/>
  <c r="P633" i="1"/>
  <c r="Q633" i="1" s="1"/>
  <c r="P634" i="1"/>
  <c r="Q634" i="1" s="1"/>
  <c r="P635" i="1"/>
  <c r="Q635" i="1" s="1"/>
  <c r="P636" i="1"/>
  <c r="Q636" i="1" s="1"/>
  <c r="P637" i="1"/>
  <c r="Q637" i="1" s="1"/>
  <c r="P638" i="1"/>
  <c r="Q638" i="1" s="1"/>
  <c r="P639" i="1"/>
  <c r="Q639" i="1" s="1"/>
  <c r="P640" i="1"/>
  <c r="Q640" i="1" s="1"/>
  <c r="P641" i="1"/>
  <c r="Q641" i="1" s="1"/>
  <c r="P642" i="1"/>
  <c r="Q642" i="1" s="1"/>
  <c r="P643" i="1"/>
  <c r="Q643" i="1" s="1"/>
  <c r="P644" i="1"/>
  <c r="Q644" i="1" s="1"/>
  <c r="P645" i="1"/>
  <c r="Q645" i="1" s="1"/>
  <c r="P646" i="1"/>
  <c r="Q646" i="1" s="1"/>
  <c r="P647" i="1"/>
  <c r="Q647" i="1" s="1"/>
  <c r="P648" i="1"/>
  <c r="Q648" i="1" s="1"/>
  <c r="P649" i="1"/>
  <c r="Q649" i="1" s="1"/>
  <c r="P650" i="1"/>
  <c r="Q650" i="1" s="1"/>
  <c r="P651" i="1"/>
  <c r="Q651" i="1" s="1"/>
  <c r="P652" i="1"/>
  <c r="Q652" i="1" s="1"/>
  <c r="P653" i="1"/>
  <c r="Q653" i="1" s="1"/>
  <c r="P654" i="1"/>
  <c r="Q654" i="1" s="1"/>
  <c r="P655" i="1"/>
  <c r="Q655" i="1" s="1"/>
  <c r="P656" i="1"/>
  <c r="Q656" i="1" s="1"/>
  <c r="P657" i="1"/>
  <c r="Q657" i="1" s="1"/>
  <c r="P658" i="1"/>
  <c r="Q658" i="1" s="1"/>
  <c r="P659" i="1"/>
  <c r="Q659" i="1" s="1"/>
  <c r="P660" i="1"/>
  <c r="Q660" i="1" s="1"/>
  <c r="P661" i="1"/>
  <c r="Q661" i="1" s="1"/>
  <c r="P662" i="1"/>
  <c r="Q662" i="1" s="1"/>
  <c r="P663" i="1"/>
  <c r="Q663" i="1" s="1"/>
  <c r="P664" i="1"/>
  <c r="Q664" i="1" s="1"/>
  <c r="P665" i="1"/>
  <c r="Q665" i="1" s="1"/>
  <c r="P666" i="1"/>
  <c r="Q666" i="1" s="1"/>
  <c r="P667" i="1"/>
  <c r="Q667" i="1" s="1"/>
  <c r="P668" i="1"/>
  <c r="Q668" i="1" s="1"/>
  <c r="P669" i="1"/>
  <c r="Q669" i="1" s="1"/>
  <c r="P670" i="1"/>
  <c r="Q670" i="1" s="1"/>
  <c r="P671" i="1"/>
  <c r="Q671" i="1" s="1"/>
  <c r="P672" i="1"/>
  <c r="Q672" i="1" s="1"/>
  <c r="P673" i="1"/>
  <c r="Q673" i="1" s="1"/>
  <c r="P674" i="1"/>
  <c r="Q674" i="1" s="1"/>
  <c r="P675" i="1"/>
  <c r="Q675" i="1" s="1"/>
  <c r="P676" i="1"/>
  <c r="Q676" i="1" s="1"/>
  <c r="P677" i="1"/>
  <c r="Q677" i="1" s="1"/>
  <c r="P678" i="1"/>
  <c r="Q678" i="1" s="1"/>
  <c r="P679" i="1"/>
  <c r="Q679" i="1" s="1"/>
  <c r="P680" i="1"/>
  <c r="Q680" i="1" s="1"/>
  <c r="P681" i="1"/>
  <c r="Q681" i="1" s="1"/>
  <c r="P682" i="1"/>
  <c r="Q682" i="1" s="1"/>
  <c r="P683" i="1"/>
  <c r="Q683" i="1" s="1"/>
  <c r="P684" i="1"/>
  <c r="Q684" i="1" s="1"/>
  <c r="P685" i="1"/>
  <c r="Q685" i="1" s="1"/>
  <c r="P686" i="1"/>
  <c r="Q686" i="1" s="1"/>
  <c r="P687" i="1"/>
  <c r="Q687" i="1" s="1"/>
  <c r="P688" i="1"/>
  <c r="Q688" i="1" s="1"/>
  <c r="P689" i="1"/>
  <c r="Q689" i="1" s="1"/>
  <c r="P690" i="1"/>
  <c r="Q690" i="1" s="1"/>
  <c r="P691" i="1"/>
  <c r="Q691" i="1" s="1"/>
  <c r="P692" i="1"/>
  <c r="Q692" i="1" s="1"/>
  <c r="P693" i="1"/>
  <c r="Q693" i="1" s="1"/>
  <c r="P694" i="1"/>
  <c r="Q694" i="1" s="1"/>
  <c r="P695" i="1"/>
  <c r="Q695" i="1" s="1"/>
  <c r="P696" i="1"/>
  <c r="Q696" i="1" s="1"/>
  <c r="P697" i="1"/>
  <c r="Q697" i="1" s="1"/>
  <c r="P698" i="1"/>
  <c r="Q698" i="1" s="1"/>
  <c r="P699" i="1"/>
  <c r="Q699" i="1" s="1"/>
  <c r="P700" i="1"/>
  <c r="Q700" i="1" s="1"/>
  <c r="P701" i="1"/>
  <c r="Q701" i="1" s="1"/>
  <c r="P702" i="1"/>
  <c r="Q702" i="1" s="1"/>
  <c r="P703" i="1"/>
  <c r="Q703" i="1" s="1"/>
  <c r="P704" i="1"/>
  <c r="Q704" i="1" s="1"/>
  <c r="P705" i="1"/>
  <c r="Q705" i="1" s="1"/>
  <c r="P706" i="1"/>
  <c r="Q706" i="1" s="1"/>
  <c r="P707" i="1"/>
  <c r="Q707" i="1" s="1"/>
  <c r="P708" i="1"/>
  <c r="Q708" i="1" s="1"/>
  <c r="P709" i="1"/>
  <c r="Q709" i="1" s="1"/>
  <c r="P710" i="1"/>
  <c r="Q710" i="1" s="1"/>
  <c r="P711" i="1"/>
  <c r="Q711" i="1" s="1"/>
  <c r="P712" i="1"/>
  <c r="Q712" i="1" s="1"/>
  <c r="P713" i="1"/>
  <c r="Q713" i="1" s="1"/>
  <c r="P714" i="1"/>
  <c r="Q714" i="1" s="1"/>
  <c r="P715" i="1"/>
  <c r="Q715" i="1" s="1"/>
  <c r="P716" i="1"/>
  <c r="Q716" i="1" s="1"/>
  <c r="P717" i="1"/>
  <c r="Q717" i="1" s="1"/>
  <c r="P718" i="1"/>
  <c r="Q718" i="1" s="1"/>
  <c r="P719" i="1"/>
  <c r="Q719" i="1" s="1"/>
  <c r="P720" i="1"/>
  <c r="Q720" i="1" s="1"/>
  <c r="P721" i="1"/>
  <c r="Q721" i="1" s="1"/>
  <c r="P722" i="1"/>
  <c r="Q722" i="1" s="1"/>
  <c r="P723" i="1"/>
  <c r="Q723" i="1" s="1"/>
  <c r="P724" i="1"/>
  <c r="Q724" i="1" s="1"/>
  <c r="P725" i="1"/>
  <c r="Q725" i="1" s="1"/>
  <c r="P726" i="1"/>
  <c r="Q726" i="1" s="1"/>
  <c r="P727" i="1"/>
  <c r="Q727" i="1" s="1"/>
  <c r="P728" i="1"/>
  <c r="Q728" i="1" s="1"/>
  <c r="P729" i="1"/>
  <c r="Q729" i="1" s="1"/>
  <c r="P730" i="1"/>
  <c r="Q730" i="1" s="1"/>
  <c r="P731" i="1"/>
  <c r="Q731" i="1" s="1"/>
  <c r="P732" i="1"/>
  <c r="Q732" i="1" s="1"/>
  <c r="P733" i="1"/>
  <c r="Q733" i="1" s="1"/>
  <c r="P734" i="1"/>
  <c r="Q734" i="1" s="1"/>
  <c r="P735" i="1"/>
  <c r="Q735" i="1" s="1"/>
  <c r="P736" i="1"/>
  <c r="Q736" i="1" s="1"/>
  <c r="P737" i="1"/>
  <c r="Q737" i="1" s="1"/>
  <c r="P738" i="1"/>
  <c r="Q738" i="1" s="1"/>
  <c r="P739" i="1"/>
  <c r="Q739" i="1" s="1"/>
  <c r="P740" i="1"/>
  <c r="Q740" i="1" s="1"/>
  <c r="P741" i="1"/>
  <c r="Q741" i="1" s="1"/>
  <c r="P742" i="1"/>
  <c r="Q742" i="1" s="1"/>
  <c r="P743" i="1"/>
  <c r="Q743" i="1" s="1"/>
  <c r="P744" i="1"/>
  <c r="Q744" i="1" s="1"/>
  <c r="P745" i="1"/>
  <c r="Q745" i="1" s="1"/>
  <c r="P746" i="1"/>
  <c r="Q746" i="1" s="1"/>
  <c r="P747" i="1"/>
  <c r="Q747" i="1" s="1"/>
  <c r="P748" i="1"/>
  <c r="Q748" i="1" s="1"/>
  <c r="P749" i="1"/>
  <c r="Q749" i="1" s="1"/>
  <c r="P750" i="1"/>
  <c r="Q750" i="1" s="1"/>
  <c r="P751" i="1"/>
  <c r="Q751" i="1" s="1"/>
  <c r="P752" i="1"/>
  <c r="Q752" i="1" s="1"/>
  <c r="P753" i="1"/>
  <c r="Q753" i="1" s="1"/>
  <c r="P754" i="1"/>
  <c r="Q754" i="1" s="1"/>
  <c r="P755" i="1"/>
  <c r="Q755" i="1" s="1"/>
  <c r="P756" i="1"/>
  <c r="Q756" i="1" s="1"/>
  <c r="P757" i="1"/>
  <c r="Q757" i="1" s="1"/>
  <c r="P758" i="1"/>
  <c r="Q758" i="1" s="1"/>
  <c r="P759" i="1"/>
  <c r="Q759" i="1" s="1"/>
  <c r="P760" i="1"/>
  <c r="Q760" i="1" s="1"/>
  <c r="P761" i="1"/>
  <c r="Q761" i="1" s="1"/>
  <c r="P762" i="1"/>
  <c r="Q762" i="1" s="1"/>
  <c r="P763" i="1"/>
  <c r="Q763" i="1" s="1"/>
  <c r="P764" i="1"/>
  <c r="Q764" i="1" s="1"/>
  <c r="P765" i="1"/>
  <c r="Q765" i="1" s="1"/>
  <c r="P766" i="1"/>
  <c r="Q766" i="1" s="1"/>
  <c r="R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6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22" i="5"/>
  <c r="C133" i="5" s="1"/>
  <c r="C116" i="5"/>
  <c r="C2" i="1" l="1"/>
  <c r="D2" i="1"/>
  <c r="C122" i="4"/>
  <c r="C133" i="4" s="1"/>
  <c r="D136" i="4" s="1"/>
  <c r="C118" i="4"/>
  <c r="C116" i="3"/>
  <c r="C122" i="3"/>
  <c r="C133" i="3" s="1"/>
  <c r="C136" i="3" s="1"/>
  <c r="S766" i="1"/>
  <c r="T766" i="1" s="1"/>
  <c r="R765" i="1"/>
  <c r="S765" i="1" s="1"/>
  <c r="T765" i="1" s="1"/>
  <c r="D136" i="5"/>
  <c r="C136" i="5"/>
  <c r="S405" i="1"/>
  <c r="T405" i="1" s="1"/>
  <c r="R404" i="1"/>
  <c r="R764" i="1" l="1"/>
  <c r="C136" i="4"/>
  <c r="C138" i="4" s="1"/>
  <c r="D136" i="3"/>
  <c r="C138" i="3" s="1"/>
  <c r="C138" i="5"/>
  <c r="R403" i="1"/>
  <c r="S404" i="1"/>
  <c r="T404" i="1" s="1"/>
  <c r="R763" i="1"/>
  <c r="S764" i="1"/>
  <c r="T764" i="1" s="1"/>
  <c r="R762" i="1" l="1"/>
  <c r="S763" i="1"/>
  <c r="T763" i="1" s="1"/>
  <c r="R402" i="1"/>
  <c r="S403" i="1"/>
  <c r="T403" i="1" s="1"/>
  <c r="R401" i="1" l="1"/>
  <c r="S402" i="1"/>
  <c r="T402" i="1" s="1"/>
  <c r="S762" i="1"/>
  <c r="T762" i="1" s="1"/>
  <c r="R761" i="1"/>
  <c r="R760" i="1" l="1"/>
  <c r="S761" i="1"/>
  <c r="T761" i="1" s="1"/>
  <c r="R400" i="1"/>
  <c r="S401" i="1"/>
  <c r="T401" i="1" s="1"/>
  <c r="R399" i="1" l="1"/>
  <c r="S400" i="1"/>
  <c r="T400" i="1" s="1"/>
  <c r="R759" i="1"/>
  <c r="S760" i="1"/>
  <c r="T760" i="1" s="1"/>
  <c r="S759" i="1" l="1"/>
  <c r="T759" i="1" s="1"/>
  <c r="R758" i="1"/>
  <c r="R398" i="1"/>
  <c r="S399" i="1"/>
  <c r="T399" i="1" s="1"/>
  <c r="R397" i="1" l="1"/>
  <c r="S398" i="1"/>
  <c r="T398" i="1" s="1"/>
  <c r="S758" i="1"/>
  <c r="T758" i="1" s="1"/>
  <c r="R757" i="1"/>
  <c r="S757" i="1" l="1"/>
  <c r="T757" i="1" s="1"/>
  <c r="R756" i="1"/>
  <c r="S397" i="1"/>
  <c r="T397" i="1" s="1"/>
  <c r="R396" i="1"/>
  <c r="S756" i="1" l="1"/>
  <c r="T756" i="1" s="1"/>
  <c r="R755" i="1"/>
  <c r="S396" i="1"/>
  <c r="T396" i="1" s="1"/>
  <c r="R395" i="1"/>
  <c r="R394" i="1" l="1"/>
  <c r="S395" i="1"/>
  <c r="T395" i="1" s="1"/>
  <c r="R754" i="1"/>
  <c r="S755" i="1"/>
  <c r="T755" i="1" s="1"/>
  <c r="R753" i="1" l="1"/>
  <c r="S754" i="1"/>
  <c r="T754" i="1" s="1"/>
  <c r="S394" i="1"/>
  <c r="T394" i="1" s="1"/>
  <c r="R393" i="1"/>
  <c r="R392" i="1" l="1"/>
  <c r="S393" i="1"/>
  <c r="T393" i="1" s="1"/>
  <c r="R752" i="1"/>
  <c r="S753" i="1"/>
  <c r="T753" i="1" s="1"/>
  <c r="S752" i="1" l="1"/>
  <c r="T752" i="1" s="1"/>
  <c r="R751" i="1"/>
  <c r="R391" i="1"/>
  <c r="S392" i="1"/>
  <c r="T392" i="1" s="1"/>
  <c r="S751" i="1" l="1"/>
  <c r="T751" i="1" s="1"/>
  <c r="R750" i="1"/>
  <c r="R390" i="1"/>
  <c r="S391" i="1"/>
  <c r="T391" i="1" s="1"/>
  <c r="R389" i="1" l="1"/>
  <c r="S390" i="1"/>
  <c r="T390" i="1" s="1"/>
  <c r="R749" i="1"/>
  <c r="S750" i="1"/>
  <c r="T750" i="1" s="1"/>
  <c r="R748" i="1" l="1"/>
  <c r="S749" i="1"/>
  <c r="T749" i="1" s="1"/>
  <c r="R388" i="1"/>
  <c r="S389" i="1"/>
  <c r="T389" i="1" s="1"/>
  <c r="R387" i="1" l="1"/>
  <c r="S388" i="1"/>
  <c r="T388" i="1" s="1"/>
  <c r="S748" i="1"/>
  <c r="T748" i="1" s="1"/>
  <c r="R747" i="1"/>
  <c r="S747" i="1" l="1"/>
  <c r="T747" i="1" s="1"/>
  <c r="R746" i="1"/>
  <c r="S387" i="1"/>
  <c r="T387" i="1" s="1"/>
  <c r="R386" i="1"/>
  <c r="R745" i="1" l="1"/>
  <c r="S746" i="1"/>
  <c r="T746" i="1" s="1"/>
  <c r="R385" i="1"/>
  <c r="S386" i="1"/>
  <c r="T386" i="1" s="1"/>
  <c r="R384" i="1" l="1"/>
  <c r="S385" i="1"/>
  <c r="T385" i="1" s="1"/>
  <c r="R744" i="1"/>
  <c r="S745" i="1"/>
  <c r="T745" i="1" s="1"/>
  <c r="R743" i="1" l="1"/>
  <c r="S744" i="1"/>
  <c r="T744" i="1" s="1"/>
  <c r="R383" i="1"/>
  <c r="S384" i="1"/>
  <c r="T384" i="1" s="1"/>
  <c r="R382" i="1" l="1"/>
  <c r="S383" i="1"/>
  <c r="T383" i="1" s="1"/>
  <c r="R742" i="1"/>
  <c r="S743" i="1"/>
  <c r="T743" i="1" s="1"/>
  <c r="R741" i="1" l="1"/>
  <c r="S742" i="1"/>
  <c r="T742" i="1" s="1"/>
  <c r="S382" i="1"/>
  <c r="T382" i="1" s="1"/>
  <c r="R381" i="1"/>
  <c r="R380" i="1" l="1"/>
  <c r="S381" i="1"/>
  <c r="T381" i="1" s="1"/>
  <c r="R740" i="1"/>
  <c r="S741" i="1"/>
  <c r="T741" i="1" s="1"/>
  <c r="R739" i="1" l="1"/>
  <c r="S740" i="1"/>
  <c r="T740" i="1" s="1"/>
  <c r="R379" i="1"/>
  <c r="S380" i="1"/>
  <c r="T380" i="1" s="1"/>
  <c r="R378" i="1" l="1"/>
  <c r="S379" i="1"/>
  <c r="T379" i="1" s="1"/>
  <c r="R738" i="1"/>
  <c r="S739" i="1"/>
  <c r="T739" i="1" s="1"/>
  <c r="S738" i="1" l="1"/>
  <c r="T738" i="1" s="1"/>
  <c r="R737" i="1"/>
  <c r="R377" i="1"/>
  <c r="S378" i="1"/>
  <c r="T378" i="1" s="1"/>
  <c r="R376" i="1" l="1"/>
  <c r="S377" i="1"/>
  <c r="T377" i="1" s="1"/>
  <c r="R736" i="1"/>
  <c r="S737" i="1"/>
  <c r="T737" i="1" s="1"/>
  <c r="R735" i="1" l="1"/>
  <c r="S736" i="1"/>
  <c r="T736" i="1" s="1"/>
  <c r="R375" i="1"/>
  <c r="S376" i="1"/>
  <c r="T376" i="1" s="1"/>
  <c r="R374" i="1" l="1"/>
  <c r="S375" i="1"/>
  <c r="T375" i="1" s="1"/>
  <c r="S735" i="1"/>
  <c r="T735" i="1" s="1"/>
  <c r="R734" i="1"/>
  <c r="S734" i="1" l="1"/>
  <c r="T734" i="1" s="1"/>
  <c r="R733" i="1"/>
  <c r="R373" i="1"/>
  <c r="S374" i="1"/>
  <c r="T374" i="1" s="1"/>
  <c r="R732" i="1" l="1"/>
  <c r="S733" i="1"/>
  <c r="T733" i="1" s="1"/>
  <c r="R372" i="1"/>
  <c r="S373" i="1"/>
  <c r="T373" i="1" s="1"/>
  <c r="R371" i="1" l="1"/>
  <c r="S372" i="1"/>
  <c r="T372" i="1" s="1"/>
  <c r="R731" i="1"/>
  <c r="S732" i="1"/>
  <c r="T732" i="1" s="1"/>
  <c r="R730" i="1" l="1"/>
  <c r="S731" i="1"/>
  <c r="T731" i="1" s="1"/>
  <c r="R370" i="1"/>
  <c r="S371" i="1"/>
  <c r="T371" i="1" s="1"/>
  <c r="R369" i="1" l="1"/>
  <c r="S370" i="1"/>
  <c r="T370" i="1" s="1"/>
  <c r="R729" i="1"/>
  <c r="S730" i="1"/>
  <c r="T730" i="1" s="1"/>
  <c r="S729" i="1" l="1"/>
  <c r="T729" i="1" s="1"/>
  <c r="R728" i="1"/>
  <c r="R368" i="1"/>
  <c r="S369" i="1"/>
  <c r="T369" i="1" s="1"/>
  <c r="R367" i="1" l="1"/>
  <c r="S368" i="1"/>
  <c r="T368" i="1" s="1"/>
  <c r="R727" i="1"/>
  <c r="S728" i="1"/>
  <c r="T728" i="1" s="1"/>
  <c r="S727" i="1" l="1"/>
  <c r="T727" i="1" s="1"/>
  <c r="R726" i="1"/>
  <c r="R366" i="1"/>
  <c r="S367" i="1"/>
  <c r="T367" i="1" s="1"/>
  <c r="R365" i="1" l="1"/>
  <c r="S366" i="1"/>
  <c r="T366" i="1" s="1"/>
  <c r="R725" i="1"/>
  <c r="S726" i="1"/>
  <c r="T726" i="1" s="1"/>
  <c r="R724" i="1" l="1"/>
  <c r="S725" i="1"/>
  <c r="T725" i="1" s="1"/>
  <c r="R364" i="1"/>
  <c r="S365" i="1"/>
  <c r="T365" i="1" s="1"/>
  <c r="R363" i="1" l="1"/>
  <c r="S364" i="1"/>
  <c r="T364" i="1" s="1"/>
  <c r="S724" i="1"/>
  <c r="T724" i="1" s="1"/>
  <c r="R723" i="1"/>
  <c r="S723" i="1" l="1"/>
  <c r="T723" i="1" s="1"/>
  <c r="R722" i="1"/>
  <c r="R362" i="1"/>
  <c r="S363" i="1"/>
  <c r="T363" i="1" s="1"/>
  <c r="R361" i="1" l="1"/>
  <c r="S362" i="1"/>
  <c r="T362" i="1" s="1"/>
  <c r="S722" i="1"/>
  <c r="T722" i="1" s="1"/>
  <c r="R721" i="1"/>
  <c r="R720" i="1" l="1"/>
  <c r="S721" i="1"/>
  <c r="T721" i="1" s="1"/>
  <c r="R360" i="1"/>
  <c r="S361" i="1"/>
  <c r="T361" i="1" s="1"/>
  <c r="R359" i="1" l="1"/>
  <c r="S360" i="1"/>
  <c r="T360" i="1" s="1"/>
  <c r="S720" i="1"/>
  <c r="T720" i="1" s="1"/>
  <c r="R719" i="1"/>
  <c r="S719" i="1" l="1"/>
  <c r="T719" i="1" s="1"/>
  <c r="R718" i="1"/>
  <c r="R358" i="1"/>
  <c r="S359" i="1"/>
  <c r="T359" i="1" s="1"/>
  <c r="R717" i="1" l="1"/>
  <c r="S718" i="1"/>
  <c r="T718" i="1" s="1"/>
  <c r="R357" i="1"/>
  <c r="S358" i="1"/>
  <c r="T358" i="1" s="1"/>
  <c r="R356" i="1" l="1"/>
  <c r="S357" i="1"/>
  <c r="T357" i="1" s="1"/>
  <c r="R716" i="1"/>
  <c r="S717" i="1"/>
  <c r="T717" i="1" s="1"/>
  <c r="R715" i="1" l="1"/>
  <c r="S716" i="1"/>
  <c r="T716" i="1" s="1"/>
  <c r="R355" i="1"/>
  <c r="S356" i="1"/>
  <c r="T356" i="1" s="1"/>
  <c r="R354" i="1" l="1"/>
  <c r="S355" i="1"/>
  <c r="T355" i="1" s="1"/>
  <c r="S715" i="1"/>
  <c r="T715" i="1" s="1"/>
  <c r="R714" i="1"/>
  <c r="S714" i="1" l="1"/>
  <c r="T714" i="1" s="1"/>
  <c r="R713" i="1"/>
  <c r="R353" i="1"/>
  <c r="S354" i="1"/>
  <c r="T354" i="1" s="1"/>
  <c r="R712" i="1" l="1"/>
  <c r="S713" i="1"/>
  <c r="T713" i="1" s="1"/>
  <c r="R352" i="1"/>
  <c r="S353" i="1"/>
  <c r="T353" i="1" s="1"/>
  <c r="R351" i="1" l="1"/>
  <c r="S352" i="1"/>
  <c r="T352" i="1" s="1"/>
  <c r="R711" i="1"/>
  <c r="S712" i="1"/>
  <c r="T712" i="1" s="1"/>
  <c r="R710" i="1" l="1"/>
  <c r="S711" i="1"/>
  <c r="T711" i="1" s="1"/>
  <c r="R350" i="1"/>
  <c r="S351" i="1"/>
  <c r="T351" i="1" s="1"/>
  <c r="R349" i="1" l="1"/>
  <c r="S350" i="1"/>
  <c r="T350" i="1" s="1"/>
  <c r="S710" i="1"/>
  <c r="T710" i="1" s="1"/>
  <c r="R709" i="1"/>
  <c r="R708" i="1" l="1"/>
  <c r="S709" i="1"/>
  <c r="T709" i="1" s="1"/>
  <c r="R348" i="1"/>
  <c r="S349" i="1"/>
  <c r="T349" i="1" s="1"/>
  <c r="R347" i="1" l="1"/>
  <c r="S348" i="1"/>
  <c r="T348" i="1" s="1"/>
  <c r="R707" i="1"/>
  <c r="S708" i="1"/>
  <c r="T708" i="1" s="1"/>
  <c r="R706" i="1" l="1"/>
  <c r="S707" i="1"/>
  <c r="T707" i="1" s="1"/>
  <c r="R346" i="1"/>
  <c r="S347" i="1"/>
  <c r="T347" i="1" s="1"/>
  <c r="R345" i="1" l="1"/>
  <c r="S346" i="1"/>
  <c r="T346" i="1" s="1"/>
  <c r="R705" i="1"/>
  <c r="S706" i="1"/>
  <c r="T706" i="1" s="1"/>
  <c r="S705" i="1" l="1"/>
  <c r="T705" i="1" s="1"/>
  <c r="R704" i="1"/>
  <c r="R344" i="1"/>
  <c r="S345" i="1"/>
  <c r="T345" i="1" s="1"/>
  <c r="R703" i="1" l="1"/>
  <c r="S704" i="1"/>
  <c r="T704" i="1" s="1"/>
  <c r="R343" i="1"/>
  <c r="S344" i="1"/>
  <c r="T344" i="1" s="1"/>
  <c r="R342" i="1" l="1"/>
  <c r="S343" i="1"/>
  <c r="T343" i="1" s="1"/>
  <c r="R702" i="1"/>
  <c r="S703" i="1"/>
  <c r="T703" i="1" s="1"/>
  <c r="R701" i="1" l="1"/>
  <c r="S702" i="1"/>
  <c r="T702" i="1" s="1"/>
  <c r="R341" i="1"/>
  <c r="S342" i="1"/>
  <c r="T342" i="1" s="1"/>
  <c r="R340" i="1" l="1"/>
  <c r="S341" i="1"/>
  <c r="T341" i="1" s="1"/>
  <c r="R700" i="1"/>
  <c r="S701" i="1"/>
  <c r="T701" i="1" s="1"/>
  <c r="R699" i="1" l="1"/>
  <c r="S700" i="1"/>
  <c r="T700" i="1" s="1"/>
  <c r="R339" i="1"/>
  <c r="S340" i="1"/>
  <c r="T340" i="1" s="1"/>
  <c r="R338" i="1" l="1"/>
  <c r="S339" i="1"/>
  <c r="T339" i="1" s="1"/>
  <c r="R698" i="1"/>
  <c r="S699" i="1"/>
  <c r="T699" i="1" s="1"/>
  <c r="R697" i="1" l="1"/>
  <c r="S698" i="1"/>
  <c r="T698" i="1" s="1"/>
  <c r="R337" i="1"/>
  <c r="S338" i="1"/>
  <c r="T338" i="1" s="1"/>
  <c r="R336" i="1" l="1"/>
  <c r="S337" i="1"/>
  <c r="T337" i="1" s="1"/>
  <c r="R696" i="1"/>
  <c r="S697" i="1"/>
  <c r="T697" i="1" s="1"/>
  <c r="R695" i="1" l="1"/>
  <c r="S696" i="1"/>
  <c r="T696" i="1" s="1"/>
  <c r="R335" i="1"/>
  <c r="S336" i="1"/>
  <c r="T336" i="1" s="1"/>
  <c r="R334" i="1" l="1"/>
  <c r="S335" i="1"/>
  <c r="T335" i="1" s="1"/>
  <c r="R694" i="1"/>
  <c r="S695" i="1"/>
  <c r="T695" i="1" s="1"/>
  <c r="S694" i="1" l="1"/>
  <c r="T694" i="1" s="1"/>
  <c r="R693" i="1"/>
  <c r="R333" i="1"/>
  <c r="S334" i="1"/>
  <c r="T334" i="1" s="1"/>
  <c r="R332" i="1" l="1"/>
  <c r="S333" i="1"/>
  <c r="T333" i="1" s="1"/>
  <c r="R692" i="1"/>
  <c r="S693" i="1"/>
  <c r="T693" i="1" s="1"/>
  <c r="S692" i="1" l="1"/>
  <c r="T692" i="1" s="1"/>
  <c r="R691" i="1"/>
  <c r="R331" i="1"/>
  <c r="S332" i="1"/>
  <c r="T332" i="1" s="1"/>
  <c r="R690" i="1" l="1"/>
  <c r="S691" i="1"/>
  <c r="T691" i="1" s="1"/>
  <c r="R330" i="1"/>
  <c r="S331" i="1"/>
  <c r="T331" i="1" s="1"/>
  <c r="R329" i="1" l="1"/>
  <c r="S330" i="1"/>
  <c r="T330" i="1" s="1"/>
  <c r="R689" i="1"/>
  <c r="S690" i="1"/>
  <c r="T690" i="1" s="1"/>
  <c r="R688" i="1" l="1"/>
  <c r="S689" i="1"/>
  <c r="T689" i="1" s="1"/>
  <c r="R328" i="1"/>
  <c r="S329" i="1"/>
  <c r="T329" i="1" s="1"/>
  <c r="R327" i="1" l="1"/>
  <c r="S328" i="1"/>
  <c r="T328" i="1" s="1"/>
  <c r="R687" i="1"/>
  <c r="S688" i="1"/>
  <c r="T688" i="1" s="1"/>
  <c r="R686" i="1" l="1"/>
  <c r="S687" i="1"/>
  <c r="T687" i="1" s="1"/>
  <c r="R326" i="1"/>
  <c r="S327" i="1"/>
  <c r="T327" i="1" s="1"/>
  <c r="R325" i="1" l="1"/>
  <c r="S326" i="1"/>
  <c r="T326" i="1" s="1"/>
  <c r="R685" i="1"/>
  <c r="S686" i="1"/>
  <c r="T686" i="1" s="1"/>
  <c r="R684" i="1" l="1"/>
  <c r="S685" i="1"/>
  <c r="T685" i="1" s="1"/>
  <c r="R324" i="1"/>
  <c r="S325" i="1"/>
  <c r="T325" i="1" s="1"/>
  <c r="R323" i="1" l="1"/>
  <c r="S324" i="1"/>
  <c r="T324" i="1" s="1"/>
  <c r="S684" i="1"/>
  <c r="T684" i="1" s="1"/>
  <c r="R683" i="1"/>
  <c r="S683" i="1" l="1"/>
  <c r="T683" i="1" s="1"/>
  <c r="R682" i="1"/>
  <c r="R322" i="1"/>
  <c r="S323" i="1"/>
  <c r="T323" i="1" s="1"/>
  <c r="R321" i="1" l="1"/>
  <c r="S322" i="1"/>
  <c r="T322" i="1" s="1"/>
  <c r="R681" i="1"/>
  <c r="S682" i="1"/>
  <c r="T682" i="1" s="1"/>
  <c r="R680" i="1" l="1"/>
  <c r="S681" i="1"/>
  <c r="T681" i="1" s="1"/>
  <c r="R320" i="1"/>
  <c r="S321" i="1"/>
  <c r="T321" i="1" s="1"/>
  <c r="R319" i="1" l="1"/>
  <c r="S320" i="1"/>
  <c r="T320" i="1" s="1"/>
  <c r="R679" i="1"/>
  <c r="S680" i="1"/>
  <c r="T680" i="1" s="1"/>
  <c r="R678" i="1" l="1"/>
  <c r="S679" i="1"/>
  <c r="T679" i="1" s="1"/>
  <c r="R318" i="1"/>
  <c r="S319" i="1"/>
  <c r="T319" i="1" s="1"/>
  <c r="R317" i="1" l="1"/>
  <c r="S318" i="1"/>
  <c r="T318" i="1" s="1"/>
  <c r="R677" i="1"/>
  <c r="S678" i="1"/>
  <c r="T678" i="1" s="1"/>
  <c r="S677" i="1" l="1"/>
  <c r="T677" i="1" s="1"/>
  <c r="R676" i="1"/>
  <c r="R316" i="1"/>
  <c r="S317" i="1"/>
  <c r="T317" i="1" s="1"/>
  <c r="R315" i="1" l="1"/>
  <c r="S316" i="1"/>
  <c r="T316" i="1" s="1"/>
  <c r="R675" i="1"/>
  <c r="S676" i="1"/>
  <c r="T676" i="1" s="1"/>
  <c r="R674" i="1" l="1"/>
  <c r="S675" i="1"/>
  <c r="T675" i="1" s="1"/>
  <c r="R314" i="1"/>
  <c r="S315" i="1"/>
  <c r="T315" i="1" s="1"/>
  <c r="R313" i="1" l="1"/>
  <c r="S314" i="1"/>
  <c r="T314" i="1" s="1"/>
  <c r="R673" i="1"/>
  <c r="S674" i="1"/>
  <c r="T674" i="1" s="1"/>
  <c r="S673" i="1" l="1"/>
  <c r="T673" i="1" s="1"/>
  <c r="R672" i="1"/>
  <c r="R312" i="1"/>
  <c r="S313" i="1"/>
  <c r="T313" i="1" s="1"/>
  <c r="S672" i="1" l="1"/>
  <c r="T672" i="1" s="1"/>
  <c r="R671" i="1"/>
  <c r="R311" i="1"/>
  <c r="S312" i="1"/>
  <c r="T312" i="1" s="1"/>
  <c r="R670" i="1" l="1"/>
  <c r="S671" i="1"/>
  <c r="T671" i="1" s="1"/>
  <c r="R310" i="1"/>
  <c r="S311" i="1"/>
  <c r="T311" i="1" s="1"/>
  <c r="R309" i="1" l="1"/>
  <c r="S310" i="1"/>
  <c r="T310" i="1" s="1"/>
  <c r="R669" i="1"/>
  <c r="S670" i="1"/>
  <c r="T670" i="1" s="1"/>
  <c r="R668" i="1" l="1"/>
  <c r="S669" i="1"/>
  <c r="T669" i="1" s="1"/>
  <c r="R308" i="1"/>
  <c r="S309" i="1"/>
  <c r="T309" i="1" s="1"/>
  <c r="R307" i="1" l="1"/>
  <c r="S308" i="1"/>
  <c r="T308" i="1" s="1"/>
  <c r="S668" i="1"/>
  <c r="T668" i="1" s="1"/>
  <c r="R667" i="1"/>
  <c r="R666" i="1" l="1"/>
  <c r="S667" i="1"/>
  <c r="T667" i="1" s="1"/>
  <c r="R306" i="1"/>
  <c r="S307" i="1"/>
  <c r="T307" i="1" s="1"/>
  <c r="R305" i="1" l="1"/>
  <c r="S306" i="1"/>
  <c r="T306" i="1" s="1"/>
  <c r="R665" i="1"/>
  <c r="S666" i="1"/>
  <c r="T666" i="1" s="1"/>
  <c r="R664" i="1" l="1"/>
  <c r="S665" i="1"/>
  <c r="T665" i="1" s="1"/>
  <c r="R304" i="1"/>
  <c r="S305" i="1"/>
  <c r="T305" i="1" s="1"/>
  <c r="R303" i="1" l="1"/>
  <c r="S304" i="1"/>
  <c r="T304" i="1" s="1"/>
  <c r="R663" i="1"/>
  <c r="S664" i="1"/>
  <c r="T664" i="1" s="1"/>
  <c r="S663" i="1" l="1"/>
  <c r="T663" i="1" s="1"/>
  <c r="R662" i="1"/>
  <c r="R302" i="1"/>
  <c r="S303" i="1"/>
  <c r="T303" i="1" s="1"/>
  <c r="R301" i="1" l="1"/>
  <c r="S302" i="1"/>
  <c r="T302" i="1" s="1"/>
  <c r="S662" i="1"/>
  <c r="T662" i="1" s="1"/>
  <c r="R661" i="1"/>
  <c r="R660" i="1" l="1"/>
  <c r="S661" i="1"/>
  <c r="T661" i="1" s="1"/>
  <c r="R300" i="1"/>
  <c r="S301" i="1"/>
  <c r="T301" i="1" s="1"/>
  <c r="R299" i="1" l="1"/>
  <c r="S300" i="1"/>
  <c r="T300" i="1" s="1"/>
  <c r="S660" i="1"/>
  <c r="T660" i="1" s="1"/>
  <c r="R659" i="1"/>
  <c r="S659" i="1" l="1"/>
  <c r="T659" i="1" s="1"/>
  <c r="R658" i="1"/>
  <c r="R298" i="1"/>
  <c r="S299" i="1"/>
  <c r="T299" i="1" s="1"/>
  <c r="R657" i="1" l="1"/>
  <c r="S658" i="1"/>
  <c r="T658" i="1" s="1"/>
  <c r="R297" i="1"/>
  <c r="S298" i="1"/>
  <c r="T298" i="1" s="1"/>
  <c r="R296" i="1" l="1"/>
  <c r="S297" i="1"/>
  <c r="T297" i="1" s="1"/>
  <c r="R656" i="1"/>
  <c r="S657" i="1"/>
  <c r="T657" i="1" s="1"/>
  <c r="R655" i="1" l="1"/>
  <c r="S656" i="1"/>
  <c r="T656" i="1" s="1"/>
  <c r="R295" i="1"/>
  <c r="S296" i="1"/>
  <c r="T296" i="1" s="1"/>
  <c r="R294" i="1" l="1"/>
  <c r="S295" i="1"/>
  <c r="T295" i="1" s="1"/>
  <c r="R654" i="1"/>
  <c r="S655" i="1"/>
  <c r="T655" i="1" s="1"/>
  <c r="R653" i="1" l="1"/>
  <c r="S654" i="1"/>
  <c r="T654" i="1" s="1"/>
  <c r="R293" i="1"/>
  <c r="S294" i="1"/>
  <c r="T294" i="1" s="1"/>
  <c r="R292" i="1" l="1"/>
  <c r="S293" i="1"/>
  <c r="T293" i="1" s="1"/>
  <c r="S653" i="1"/>
  <c r="T653" i="1" s="1"/>
  <c r="R652" i="1"/>
  <c r="R651" i="1" l="1"/>
  <c r="S652" i="1"/>
  <c r="T652" i="1" s="1"/>
  <c r="R291" i="1"/>
  <c r="S292" i="1"/>
  <c r="T292" i="1" s="1"/>
  <c r="R290" i="1" l="1"/>
  <c r="S291" i="1"/>
  <c r="T291" i="1" s="1"/>
  <c r="S651" i="1"/>
  <c r="T651" i="1" s="1"/>
  <c r="R650" i="1"/>
  <c r="R649" i="1" l="1"/>
  <c r="S650" i="1"/>
  <c r="T650" i="1" s="1"/>
  <c r="R289" i="1"/>
  <c r="S290" i="1"/>
  <c r="T290" i="1" s="1"/>
  <c r="R288" i="1" l="1"/>
  <c r="S289" i="1"/>
  <c r="T289" i="1" s="1"/>
  <c r="S649" i="1"/>
  <c r="T649" i="1" s="1"/>
  <c r="R648" i="1"/>
  <c r="S648" i="1" l="1"/>
  <c r="T648" i="1" s="1"/>
  <c r="R647" i="1"/>
  <c r="R287" i="1"/>
  <c r="S288" i="1"/>
  <c r="T288" i="1" s="1"/>
  <c r="R286" i="1" l="1"/>
  <c r="S287" i="1"/>
  <c r="T287" i="1" s="1"/>
  <c r="R646" i="1"/>
  <c r="S647" i="1"/>
  <c r="T647" i="1" s="1"/>
  <c r="R645" i="1" l="1"/>
  <c r="S646" i="1"/>
  <c r="T646" i="1" s="1"/>
  <c r="R285" i="1"/>
  <c r="S286" i="1"/>
  <c r="T286" i="1" s="1"/>
  <c r="R284" i="1" l="1"/>
  <c r="S285" i="1"/>
  <c r="T285" i="1" s="1"/>
  <c r="R644" i="1"/>
  <c r="S645" i="1"/>
  <c r="T645" i="1" s="1"/>
  <c r="S644" i="1" l="1"/>
  <c r="T644" i="1" s="1"/>
  <c r="R643" i="1"/>
  <c r="R283" i="1"/>
  <c r="S284" i="1"/>
  <c r="T284" i="1" s="1"/>
  <c r="R642" i="1" l="1"/>
  <c r="S643" i="1"/>
  <c r="T643" i="1" s="1"/>
  <c r="R282" i="1"/>
  <c r="S283" i="1"/>
  <c r="T283" i="1" s="1"/>
  <c r="R281" i="1" l="1"/>
  <c r="S282" i="1"/>
  <c r="T282" i="1" s="1"/>
  <c r="R641" i="1"/>
  <c r="S642" i="1"/>
  <c r="T642" i="1" s="1"/>
  <c r="R640" i="1" l="1"/>
  <c r="S641" i="1"/>
  <c r="T641" i="1" s="1"/>
  <c r="R280" i="1"/>
  <c r="S281" i="1"/>
  <c r="T281" i="1" s="1"/>
  <c r="R279" i="1" l="1"/>
  <c r="S280" i="1"/>
  <c r="T280" i="1" s="1"/>
  <c r="R639" i="1"/>
  <c r="S640" i="1"/>
  <c r="T640" i="1" s="1"/>
  <c r="S639" i="1" l="1"/>
  <c r="T639" i="1" s="1"/>
  <c r="R638" i="1"/>
  <c r="R278" i="1"/>
  <c r="S279" i="1"/>
  <c r="T279" i="1" s="1"/>
  <c r="S638" i="1" l="1"/>
  <c r="T638" i="1" s="1"/>
  <c r="R637" i="1"/>
  <c r="R277" i="1"/>
  <c r="S278" i="1"/>
  <c r="T278" i="1" s="1"/>
  <c r="S637" i="1" l="1"/>
  <c r="T637" i="1" s="1"/>
  <c r="R636" i="1"/>
  <c r="R276" i="1"/>
  <c r="S277" i="1"/>
  <c r="T277" i="1" s="1"/>
  <c r="S636" i="1" l="1"/>
  <c r="T636" i="1" s="1"/>
  <c r="R635" i="1"/>
  <c r="R275" i="1"/>
  <c r="S276" i="1"/>
  <c r="T276" i="1" s="1"/>
  <c r="S635" i="1" l="1"/>
  <c r="T635" i="1" s="1"/>
  <c r="R634" i="1"/>
  <c r="R274" i="1"/>
  <c r="S275" i="1"/>
  <c r="T275" i="1" s="1"/>
  <c r="R633" i="1" l="1"/>
  <c r="S634" i="1"/>
  <c r="T634" i="1" s="1"/>
  <c r="R273" i="1"/>
  <c r="S274" i="1"/>
  <c r="T274" i="1" s="1"/>
  <c r="R272" i="1" l="1"/>
  <c r="S273" i="1"/>
  <c r="T273" i="1" s="1"/>
  <c r="R632" i="1"/>
  <c r="S633" i="1"/>
  <c r="T633" i="1" s="1"/>
  <c r="R631" i="1" l="1"/>
  <c r="S632" i="1"/>
  <c r="T632" i="1" s="1"/>
  <c r="R271" i="1"/>
  <c r="S272" i="1"/>
  <c r="T272" i="1" s="1"/>
  <c r="R270" i="1" l="1"/>
  <c r="S271" i="1"/>
  <c r="T271" i="1" s="1"/>
  <c r="R630" i="1"/>
  <c r="S631" i="1"/>
  <c r="T631" i="1" s="1"/>
  <c r="R629" i="1" l="1"/>
  <c r="S630" i="1"/>
  <c r="T630" i="1" s="1"/>
  <c r="R269" i="1"/>
  <c r="S270" i="1"/>
  <c r="T270" i="1" s="1"/>
  <c r="R268" i="1" l="1"/>
  <c r="S269" i="1"/>
  <c r="T269" i="1" s="1"/>
  <c r="R628" i="1"/>
  <c r="S629" i="1"/>
  <c r="T629" i="1" s="1"/>
  <c r="R627" i="1" l="1"/>
  <c r="S628" i="1"/>
  <c r="T628" i="1" s="1"/>
  <c r="R267" i="1"/>
  <c r="S268" i="1"/>
  <c r="T268" i="1" s="1"/>
  <c r="R266" i="1" l="1"/>
  <c r="S267" i="1"/>
  <c r="T267" i="1" s="1"/>
  <c r="S627" i="1"/>
  <c r="T627" i="1" s="1"/>
  <c r="R626" i="1"/>
  <c r="R625" i="1" l="1"/>
  <c r="S626" i="1"/>
  <c r="T626" i="1" s="1"/>
  <c r="R265" i="1"/>
  <c r="S266" i="1"/>
  <c r="T266" i="1" s="1"/>
  <c r="R264" i="1" l="1"/>
  <c r="S265" i="1"/>
  <c r="T265" i="1" s="1"/>
  <c r="S625" i="1"/>
  <c r="T625" i="1" s="1"/>
  <c r="R624" i="1"/>
  <c r="S624" i="1" l="1"/>
  <c r="T624" i="1" s="1"/>
  <c r="R623" i="1"/>
  <c r="R263" i="1"/>
  <c r="S264" i="1"/>
  <c r="T264" i="1" s="1"/>
  <c r="R622" i="1" l="1"/>
  <c r="S623" i="1"/>
  <c r="T623" i="1" s="1"/>
  <c r="R262" i="1"/>
  <c r="S263" i="1"/>
  <c r="T263" i="1" s="1"/>
  <c r="R261" i="1" l="1"/>
  <c r="S262" i="1"/>
  <c r="T262" i="1" s="1"/>
  <c r="R621" i="1"/>
  <c r="S622" i="1"/>
  <c r="T622" i="1" s="1"/>
  <c r="R620" i="1" l="1"/>
  <c r="S621" i="1"/>
  <c r="T621" i="1" s="1"/>
  <c r="R260" i="1"/>
  <c r="S261" i="1"/>
  <c r="T261" i="1" s="1"/>
  <c r="R259" i="1" l="1"/>
  <c r="S260" i="1"/>
  <c r="T260" i="1" s="1"/>
  <c r="S620" i="1"/>
  <c r="T620" i="1" s="1"/>
  <c r="R619" i="1"/>
  <c r="R618" i="1" l="1"/>
  <c r="S619" i="1"/>
  <c r="T619" i="1" s="1"/>
  <c r="R258" i="1"/>
  <c r="S259" i="1"/>
  <c r="T259" i="1" s="1"/>
  <c r="R257" i="1" l="1"/>
  <c r="S258" i="1"/>
  <c r="T258" i="1" s="1"/>
  <c r="R617" i="1"/>
  <c r="S618" i="1"/>
  <c r="T618" i="1" s="1"/>
  <c r="R616" i="1" l="1"/>
  <c r="S617" i="1"/>
  <c r="T617" i="1" s="1"/>
  <c r="R256" i="1"/>
  <c r="S257" i="1"/>
  <c r="T257" i="1" s="1"/>
  <c r="R255" i="1" l="1"/>
  <c r="S256" i="1"/>
  <c r="T256" i="1" s="1"/>
  <c r="S616" i="1"/>
  <c r="T616" i="1" s="1"/>
  <c r="R615" i="1"/>
  <c r="S615" i="1" l="1"/>
  <c r="T615" i="1" s="1"/>
  <c r="R614" i="1"/>
  <c r="R254" i="1"/>
  <c r="S255" i="1"/>
  <c r="T255" i="1" s="1"/>
  <c r="R253" i="1" l="1"/>
  <c r="S254" i="1"/>
  <c r="T254" i="1" s="1"/>
  <c r="S614" i="1"/>
  <c r="T614" i="1" s="1"/>
  <c r="R613" i="1"/>
  <c r="R612" i="1" l="1"/>
  <c r="S613" i="1"/>
  <c r="T613" i="1" s="1"/>
  <c r="R252" i="1"/>
  <c r="S253" i="1"/>
  <c r="T253" i="1" s="1"/>
  <c r="R251" i="1" l="1"/>
  <c r="S252" i="1"/>
  <c r="T252" i="1" s="1"/>
  <c r="R611" i="1"/>
  <c r="S612" i="1"/>
  <c r="T612" i="1" s="1"/>
  <c r="S611" i="1" l="1"/>
  <c r="T611" i="1" s="1"/>
  <c r="R610" i="1"/>
  <c r="R250" i="1"/>
  <c r="S251" i="1"/>
  <c r="T251" i="1" s="1"/>
  <c r="R609" i="1" l="1"/>
  <c r="S610" i="1"/>
  <c r="T610" i="1" s="1"/>
  <c r="R249" i="1"/>
  <c r="S250" i="1"/>
  <c r="T250" i="1" s="1"/>
  <c r="R248" i="1" l="1"/>
  <c r="S249" i="1"/>
  <c r="T249" i="1" s="1"/>
  <c r="R608" i="1"/>
  <c r="S609" i="1"/>
  <c r="T609" i="1" s="1"/>
  <c r="R607" i="1" l="1"/>
  <c r="S608" i="1"/>
  <c r="T608" i="1" s="1"/>
  <c r="R247" i="1"/>
  <c r="S248" i="1"/>
  <c r="T248" i="1" s="1"/>
  <c r="R246" i="1" l="1"/>
  <c r="S247" i="1"/>
  <c r="T247" i="1" s="1"/>
  <c r="R606" i="1"/>
  <c r="S607" i="1"/>
  <c r="T607" i="1" s="1"/>
  <c r="R605" i="1" l="1"/>
  <c r="S606" i="1"/>
  <c r="T606" i="1" s="1"/>
  <c r="R245" i="1"/>
  <c r="S246" i="1"/>
  <c r="T246" i="1" s="1"/>
  <c r="R244" i="1" l="1"/>
  <c r="S245" i="1"/>
  <c r="T245" i="1" s="1"/>
  <c r="S605" i="1"/>
  <c r="T605" i="1" s="1"/>
  <c r="R604" i="1"/>
  <c r="R603" i="1" l="1"/>
  <c r="S604" i="1"/>
  <c r="T604" i="1" s="1"/>
  <c r="R243" i="1"/>
  <c r="S244" i="1"/>
  <c r="T244" i="1" s="1"/>
  <c r="R242" i="1" l="1"/>
  <c r="S243" i="1"/>
  <c r="T243" i="1" s="1"/>
  <c r="R602" i="1"/>
  <c r="S603" i="1"/>
  <c r="T603" i="1" s="1"/>
  <c r="R601" i="1" l="1"/>
  <c r="S602" i="1"/>
  <c r="T602" i="1" s="1"/>
  <c r="R241" i="1"/>
  <c r="S242" i="1"/>
  <c r="T242" i="1" s="1"/>
  <c r="R240" i="1" l="1"/>
  <c r="S241" i="1"/>
  <c r="T241" i="1" s="1"/>
  <c r="S601" i="1"/>
  <c r="T601" i="1" s="1"/>
  <c r="R600" i="1"/>
  <c r="R599" i="1" l="1"/>
  <c r="S600" i="1"/>
  <c r="T600" i="1" s="1"/>
  <c r="R239" i="1"/>
  <c r="S240" i="1"/>
  <c r="T240" i="1" s="1"/>
  <c r="R238" i="1" l="1"/>
  <c r="S239" i="1"/>
  <c r="T239" i="1" s="1"/>
  <c r="S599" i="1"/>
  <c r="T599" i="1" s="1"/>
  <c r="R598" i="1"/>
  <c r="R597" i="1" l="1"/>
  <c r="S598" i="1"/>
  <c r="T598" i="1" s="1"/>
  <c r="R237" i="1"/>
  <c r="S238" i="1"/>
  <c r="T238" i="1" s="1"/>
  <c r="R236" i="1" l="1"/>
  <c r="S237" i="1"/>
  <c r="T237" i="1" s="1"/>
  <c r="R596" i="1"/>
  <c r="S597" i="1"/>
  <c r="T597" i="1" s="1"/>
  <c r="S596" i="1" l="1"/>
  <c r="T596" i="1" s="1"/>
  <c r="R595" i="1"/>
  <c r="R235" i="1"/>
  <c r="S236" i="1"/>
  <c r="T236" i="1" s="1"/>
  <c r="R594" i="1" l="1"/>
  <c r="S595" i="1"/>
  <c r="T595" i="1" s="1"/>
  <c r="R234" i="1"/>
  <c r="S235" i="1"/>
  <c r="T235" i="1" s="1"/>
  <c r="R233" i="1" l="1"/>
  <c r="S234" i="1"/>
  <c r="T234" i="1" s="1"/>
  <c r="R593" i="1"/>
  <c r="S594" i="1"/>
  <c r="T594" i="1" s="1"/>
  <c r="R592" i="1" l="1"/>
  <c r="S593" i="1"/>
  <c r="T593" i="1" s="1"/>
  <c r="R232" i="1"/>
  <c r="S233" i="1"/>
  <c r="T233" i="1" s="1"/>
  <c r="R231" i="1" l="1"/>
  <c r="S232" i="1"/>
  <c r="T232" i="1" s="1"/>
  <c r="S592" i="1"/>
  <c r="T592" i="1" s="1"/>
  <c r="R591" i="1"/>
  <c r="R590" i="1" l="1"/>
  <c r="S591" i="1"/>
  <c r="T591" i="1" s="1"/>
  <c r="R230" i="1"/>
  <c r="S231" i="1"/>
  <c r="T231" i="1" s="1"/>
  <c r="R229" i="1" l="1"/>
  <c r="S230" i="1"/>
  <c r="T230" i="1" s="1"/>
  <c r="R589" i="1"/>
  <c r="S590" i="1"/>
  <c r="T590" i="1" s="1"/>
  <c r="R588" i="1" l="1"/>
  <c r="S589" i="1"/>
  <c r="T589" i="1" s="1"/>
  <c r="R228" i="1"/>
  <c r="S229" i="1"/>
  <c r="T229" i="1" s="1"/>
  <c r="R227" i="1" l="1"/>
  <c r="S228" i="1"/>
  <c r="T228" i="1" s="1"/>
  <c r="R587" i="1"/>
  <c r="S588" i="1"/>
  <c r="T588" i="1" s="1"/>
  <c r="S587" i="1" l="1"/>
  <c r="T587" i="1" s="1"/>
  <c r="R586" i="1"/>
  <c r="R226" i="1"/>
  <c r="S227" i="1"/>
  <c r="T227" i="1" s="1"/>
  <c r="S586" i="1" l="1"/>
  <c r="T586" i="1" s="1"/>
  <c r="R585" i="1"/>
  <c r="R225" i="1"/>
  <c r="S226" i="1"/>
  <c r="T226" i="1" s="1"/>
  <c r="R224" i="1" l="1"/>
  <c r="S225" i="1"/>
  <c r="T225" i="1" s="1"/>
  <c r="S585" i="1"/>
  <c r="T585" i="1" s="1"/>
  <c r="R584" i="1"/>
  <c r="R583" i="1" l="1"/>
  <c r="S584" i="1"/>
  <c r="T584" i="1" s="1"/>
  <c r="R223" i="1"/>
  <c r="S224" i="1"/>
  <c r="T224" i="1" s="1"/>
  <c r="R222" i="1" l="1"/>
  <c r="S223" i="1"/>
  <c r="T223" i="1" s="1"/>
  <c r="R582" i="1"/>
  <c r="S583" i="1"/>
  <c r="T583" i="1" s="1"/>
  <c r="R581" i="1" l="1"/>
  <c r="S582" i="1"/>
  <c r="T582" i="1" s="1"/>
  <c r="R221" i="1"/>
  <c r="S222" i="1"/>
  <c r="T222" i="1" s="1"/>
  <c r="R220" i="1" l="1"/>
  <c r="S221" i="1"/>
  <c r="T221" i="1" s="1"/>
  <c r="R580" i="1"/>
  <c r="S581" i="1"/>
  <c r="T581" i="1" s="1"/>
  <c r="R579" i="1" l="1"/>
  <c r="S580" i="1"/>
  <c r="T580" i="1" s="1"/>
  <c r="R219" i="1"/>
  <c r="S220" i="1"/>
  <c r="T220" i="1" s="1"/>
  <c r="R218" i="1" l="1"/>
  <c r="S219" i="1"/>
  <c r="T219" i="1" s="1"/>
  <c r="S579" i="1"/>
  <c r="T579" i="1" s="1"/>
  <c r="R578" i="1"/>
  <c r="R577" i="1" l="1"/>
  <c r="S578" i="1"/>
  <c r="T578" i="1" s="1"/>
  <c r="R217" i="1"/>
  <c r="S218" i="1"/>
  <c r="T218" i="1" s="1"/>
  <c r="R216" i="1" l="1"/>
  <c r="S217" i="1"/>
  <c r="T217" i="1" s="1"/>
  <c r="S577" i="1"/>
  <c r="T577" i="1" s="1"/>
  <c r="R576" i="1"/>
  <c r="R575" i="1" l="1"/>
  <c r="S576" i="1"/>
  <c r="T576" i="1" s="1"/>
  <c r="R215" i="1"/>
  <c r="S216" i="1"/>
  <c r="T216" i="1" s="1"/>
  <c r="R214" i="1" l="1"/>
  <c r="S215" i="1"/>
  <c r="T215" i="1" s="1"/>
  <c r="R574" i="1"/>
  <c r="S575" i="1"/>
  <c r="T575" i="1" s="1"/>
  <c r="R573" i="1" l="1"/>
  <c r="S574" i="1"/>
  <c r="T574" i="1" s="1"/>
  <c r="R213" i="1"/>
  <c r="S214" i="1"/>
  <c r="T214" i="1" s="1"/>
  <c r="R212" i="1" l="1"/>
  <c r="S213" i="1"/>
  <c r="T213" i="1" s="1"/>
  <c r="R572" i="1"/>
  <c r="S573" i="1"/>
  <c r="T573" i="1" s="1"/>
  <c r="S572" i="1" l="1"/>
  <c r="T572" i="1" s="1"/>
  <c r="R571" i="1"/>
  <c r="R211" i="1"/>
  <c r="S212" i="1"/>
  <c r="T212" i="1" s="1"/>
  <c r="R210" i="1" l="1"/>
  <c r="S211" i="1"/>
  <c r="T211" i="1" s="1"/>
  <c r="R570" i="1"/>
  <c r="S571" i="1"/>
  <c r="T571" i="1" s="1"/>
  <c r="R569" i="1" l="1"/>
  <c r="S570" i="1"/>
  <c r="T570" i="1" s="1"/>
  <c r="R209" i="1"/>
  <c r="S210" i="1"/>
  <c r="T210" i="1" s="1"/>
  <c r="R208" i="1" l="1"/>
  <c r="S209" i="1"/>
  <c r="T209" i="1" s="1"/>
  <c r="R568" i="1"/>
  <c r="S569" i="1"/>
  <c r="T569" i="1" s="1"/>
  <c r="R567" i="1" l="1"/>
  <c r="S568" i="1"/>
  <c r="T568" i="1" s="1"/>
  <c r="R207" i="1"/>
  <c r="S208" i="1"/>
  <c r="T208" i="1" s="1"/>
  <c r="R206" i="1" l="1"/>
  <c r="S207" i="1"/>
  <c r="T207" i="1" s="1"/>
  <c r="S567" i="1"/>
  <c r="T567" i="1" s="1"/>
  <c r="R566" i="1"/>
  <c r="R565" i="1" l="1"/>
  <c r="S566" i="1"/>
  <c r="T566" i="1" s="1"/>
  <c r="R205" i="1"/>
  <c r="S206" i="1"/>
  <c r="T206" i="1" s="1"/>
  <c r="R204" i="1" l="1"/>
  <c r="S205" i="1"/>
  <c r="T205" i="1" s="1"/>
  <c r="R564" i="1"/>
  <c r="S565" i="1"/>
  <c r="T565" i="1" s="1"/>
  <c r="R563" i="1" l="1"/>
  <c r="S564" i="1"/>
  <c r="T564" i="1" s="1"/>
  <c r="R203" i="1"/>
  <c r="S204" i="1"/>
  <c r="T204" i="1" s="1"/>
  <c r="R202" i="1" l="1"/>
  <c r="S203" i="1"/>
  <c r="T203" i="1" s="1"/>
  <c r="S563" i="1"/>
  <c r="T563" i="1" s="1"/>
  <c r="R562" i="1"/>
  <c r="S562" i="1" l="1"/>
  <c r="T562" i="1" s="1"/>
  <c r="R561" i="1"/>
  <c r="R201" i="1"/>
  <c r="S202" i="1"/>
  <c r="T202" i="1" s="1"/>
  <c r="R560" i="1" l="1"/>
  <c r="S561" i="1"/>
  <c r="T561" i="1" s="1"/>
  <c r="R200" i="1"/>
  <c r="S201" i="1"/>
  <c r="T201" i="1" s="1"/>
  <c r="R199" i="1" l="1"/>
  <c r="S200" i="1"/>
  <c r="T200" i="1" s="1"/>
  <c r="R559" i="1"/>
  <c r="S560" i="1"/>
  <c r="T560" i="1" s="1"/>
  <c r="R558" i="1" l="1"/>
  <c r="S559" i="1"/>
  <c r="T559" i="1" s="1"/>
  <c r="R198" i="1"/>
  <c r="S199" i="1"/>
  <c r="T199" i="1" s="1"/>
  <c r="R197" i="1" l="1"/>
  <c r="S198" i="1"/>
  <c r="T198" i="1" s="1"/>
  <c r="R557" i="1"/>
  <c r="S558" i="1"/>
  <c r="T558" i="1" s="1"/>
  <c r="R556" i="1" l="1"/>
  <c r="S557" i="1"/>
  <c r="T557" i="1" s="1"/>
  <c r="R196" i="1"/>
  <c r="S197" i="1"/>
  <c r="T197" i="1" s="1"/>
  <c r="R195" i="1" l="1"/>
  <c r="S196" i="1"/>
  <c r="T196" i="1" s="1"/>
  <c r="S556" i="1"/>
  <c r="T556" i="1" s="1"/>
  <c r="R555" i="1"/>
  <c r="S555" i="1" l="1"/>
  <c r="T555" i="1" s="1"/>
  <c r="R554" i="1"/>
  <c r="R194" i="1"/>
  <c r="S195" i="1"/>
  <c r="T195" i="1" s="1"/>
  <c r="R193" i="1" l="1"/>
  <c r="S194" i="1"/>
  <c r="T194" i="1" s="1"/>
  <c r="R553" i="1"/>
  <c r="S554" i="1"/>
  <c r="T554" i="1" s="1"/>
  <c r="S553" i="1" l="1"/>
  <c r="T553" i="1" s="1"/>
  <c r="R552" i="1"/>
  <c r="R192" i="1"/>
  <c r="S193" i="1"/>
  <c r="T193" i="1" s="1"/>
  <c r="R191" i="1" l="1"/>
  <c r="S192" i="1"/>
  <c r="T192" i="1" s="1"/>
  <c r="R551" i="1"/>
  <c r="S552" i="1"/>
  <c r="T552" i="1" s="1"/>
  <c r="R550" i="1" l="1"/>
  <c r="S551" i="1"/>
  <c r="T551" i="1" s="1"/>
  <c r="R190" i="1"/>
  <c r="S191" i="1"/>
  <c r="T191" i="1" s="1"/>
  <c r="R189" i="1" l="1"/>
  <c r="S190" i="1"/>
  <c r="T190" i="1" s="1"/>
  <c r="R549" i="1"/>
  <c r="S550" i="1"/>
  <c r="T550" i="1" s="1"/>
  <c r="R548" i="1" l="1"/>
  <c r="S549" i="1"/>
  <c r="T549" i="1" s="1"/>
  <c r="R188" i="1"/>
  <c r="S189" i="1"/>
  <c r="T189" i="1" s="1"/>
  <c r="R187" i="1" l="1"/>
  <c r="S188" i="1"/>
  <c r="T188" i="1" s="1"/>
  <c r="S548" i="1"/>
  <c r="T548" i="1" s="1"/>
  <c r="R547" i="1"/>
  <c r="R546" i="1" l="1"/>
  <c r="S547" i="1"/>
  <c r="T547" i="1" s="1"/>
  <c r="R186" i="1"/>
  <c r="S187" i="1"/>
  <c r="T187" i="1" s="1"/>
  <c r="R185" i="1" l="1"/>
  <c r="S186" i="1"/>
  <c r="T186" i="1" s="1"/>
  <c r="R545" i="1"/>
  <c r="S546" i="1"/>
  <c r="T546" i="1" s="1"/>
  <c r="R544" i="1" l="1"/>
  <c r="S545" i="1"/>
  <c r="T545" i="1" s="1"/>
  <c r="R184" i="1"/>
  <c r="S185" i="1"/>
  <c r="T185" i="1" s="1"/>
  <c r="R183" i="1" l="1"/>
  <c r="S184" i="1"/>
  <c r="T184" i="1" s="1"/>
  <c r="S544" i="1"/>
  <c r="T544" i="1" s="1"/>
  <c r="R543" i="1"/>
  <c r="S543" i="1" l="1"/>
  <c r="T543" i="1" s="1"/>
  <c r="R542" i="1"/>
  <c r="R182" i="1"/>
  <c r="S183" i="1"/>
  <c r="T183" i="1" s="1"/>
  <c r="R541" i="1" l="1"/>
  <c r="S542" i="1"/>
  <c r="T542" i="1" s="1"/>
  <c r="R181" i="1"/>
  <c r="S182" i="1"/>
  <c r="T182" i="1" s="1"/>
  <c r="R180" i="1" l="1"/>
  <c r="S181" i="1"/>
  <c r="T181" i="1" s="1"/>
  <c r="S541" i="1"/>
  <c r="T541" i="1" s="1"/>
  <c r="R540" i="1"/>
  <c r="R539" i="1" l="1"/>
  <c r="S540" i="1"/>
  <c r="T540" i="1" s="1"/>
  <c r="R179" i="1"/>
  <c r="S180" i="1"/>
  <c r="T180" i="1" s="1"/>
  <c r="R178" i="1" l="1"/>
  <c r="S179" i="1"/>
  <c r="T179" i="1" s="1"/>
  <c r="S539" i="1"/>
  <c r="T539" i="1" s="1"/>
  <c r="R538" i="1"/>
  <c r="R537" i="1" l="1"/>
  <c r="S538" i="1"/>
  <c r="T538" i="1" s="1"/>
  <c r="R177" i="1"/>
  <c r="S178" i="1"/>
  <c r="T178" i="1" s="1"/>
  <c r="R176" i="1" l="1"/>
  <c r="S177" i="1"/>
  <c r="T177" i="1" s="1"/>
  <c r="R536" i="1"/>
  <c r="S537" i="1"/>
  <c r="T537" i="1" s="1"/>
  <c r="R535" i="1" l="1"/>
  <c r="S536" i="1"/>
  <c r="T536" i="1" s="1"/>
  <c r="R175" i="1"/>
  <c r="S176" i="1"/>
  <c r="T176" i="1" s="1"/>
  <c r="R174" i="1" l="1"/>
  <c r="S175" i="1"/>
  <c r="T175" i="1" s="1"/>
  <c r="R534" i="1"/>
  <c r="S535" i="1"/>
  <c r="T535" i="1" s="1"/>
  <c r="R533" i="1" l="1"/>
  <c r="S534" i="1"/>
  <c r="T534" i="1" s="1"/>
  <c r="R173" i="1"/>
  <c r="S174" i="1"/>
  <c r="T174" i="1" s="1"/>
  <c r="R172" i="1" l="1"/>
  <c r="S173" i="1"/>
  <c r="T173" i="1" s="1"/>
  <c r="R532" i="1"/>
  <c r="S533" i="1"/>
  <c r="T533" i="1" s="1"/>
  <c r="R531" i="1" l="1"/>
  <c r="S532" i="1"/>
  <c r="T532" i="1" s="1"/>
  <c r="R171" i="1"/>
  <c r="S172" i="1"/>
  <c r="T172" i="1" s="1"/>
  <c r="R170" i="1" l="1"/>
  <c r="S171" i="1"/>
  <c r="T171" i="1" s="1"/>
  <c r="R530" i="1"/>
  <c r="S531" i="1"/>
  <c r="T531" i="1" s="1"/>
  <c r="S530" i="1" l="1"/>
  <c r="T530" i="1" s="1"/>
  <c r="R529" i="1"/>
  <c r="R169" i="1"/>
  <c r="S170" i="1"/>
  <c r="T170" i="1" s="1"/>
  <c r="R168" i="1" l="1"/>
  <c r="S169" i="1"/>
  <c r="T169" i="1" s="1"/>
  <c r="S529" i="1"/>
  <c r="T529" i="1" s="1"/>
  <c r="R528" i="1"/>
  <c r="R527" i="1" l="1"/>
  <c r="S528" i="1"/>
  <c r="T528" i="1" s="1"/>
  <c r="R167" i="1"/>
  <c r="S168" i="1"/>
  <c r="T168" i="1" s="1"/>
  <c r="R166" i="1" l="1"/>
  <c r="S167" i="1"/>
  <c r="T167" i="1" s="1"/>
  <c r="R526" i="1"/>
  <c r="S527" i="1"/>
  <c r="T527" i="1" s="1"/>
  <c r="R525" i="1" l="1"/>
  <c r="S526" i="1"/>
  <c r="T526" i="1" s="1"/>
  <c r="R165" i="1"/>
  <c r="S166" i="1"/>
  <c r="T166" i="1" s="1"/>
  <c r="R164" i="1" l="1"/>
  <c r="S165" i="1"/>
  <c r="T165" i="1" s="1"/>
  <c r="R524" i="1"/>
  <c r="S525" i="1"/>
  <c r="T525" i="1" s="1"/>
  <c r="S524" i="1" l="1"/>
  <c r="T524" i="1" s="1"/>
  <c r="R523" i="1"/>
  <c r="R163" i="1"/>
  <c r="S164" i="1"/>
  <c r="T164" i="1" s="1"/>
  <c r="R162" i="1" l="1"/>
  <c r="S163" i="1"/>
  <c r="T163" i="1" s="1"/>
  <c r="S523" i="1"/>
  <c r="T523" i="1" s="1"/>
  <c r="R522" i="1"/>
  <c r="S522" i="1" l="1"/>
  <c r="T522" i="1" s="1"/>
  <c r="R521" i="1"/>
  <c r="R161" i="1"/>
  <c r="S162" i="1"/>
  <c r="T162" i="1" s="1"/>
  <c r="R520" i="1" l="1"/>
  <c r="S521" i="1"/>
  <c r="T521" i="1" s="1"/>
  <c r="R160" i="1"/>
  <c r="S161" i="1"/>
  <c r="T161" i="1" s="1"/>
  <c r="R159" i="1" l="1"/>
  <c r="S160" i="1"/>
  <c r="T160" i="1" s="1"/>
  <c r="S520" i="1"/>
  <c r="T520" i="1" s="1"/>
  <c r="R519" i="1"/>
  <c r="S519" i="1" l="1"/>
  <c r="T519" i="1" s="1"/>
  <c r="R518" i="1"/>
  <c r="R158" i="1"/>
  <c r="S159" i="1"/>
  <c r="T159" i="1" s="1"/>
  <c r="R517" i="1" l="1"/>
  <c r="S518" i="1"/>
  <c r="T518" i="1" s="1"/>
  <c r="R157" i="1"/>
  <c r="S158" i="1"/>
  <c r="T158" i="1" s="1"/>
  <c r="R156" i="1" l="1"/>
  <c r="S157" i="1"/>
  <c r="T157" i="1" s="1"/>
  <c r="S517" i="1"/>
  <c r="T517" i="1" s="1"/>
  <c r="R516" i="1"/>
  <c r="R515" i="1" l="1"/>
  <c r="S516" i="1"/>
  <c r="T516" i="1" s="1"/>
  <c r="R155" i="1"/>
  <c r="S156" i="1"/>
  <c r="T156" i="1" s="1"/>
  <c r="R154" i="1" l="1"/>
  <c r="S155" i="1"/>
  <c r="T155" i="1" s="1"/>
  <c r="S515" i="1"/>
  <c r="T515" i="1" s="1"/>
  <c r="R514" i="1"/>
  <c r="S514" i="1" l="1"/>
  <c r="T514" i="1" s="1"/>
  <c r="R513" i="1"/>
  <c r="R153" i="1"/>
  <c r="S154" i="1"/>
  <c r="T154" i="1" s="1"/>
  <c r="R152" i="1" l="1"/>
  <c r="S153" i="1"/>
  <c r="T153" i="1" s="1"/>
  <c r="R512" i="1"/>
  <c r="S513" i="1"/>
  <c r="T513" i="1" s="1"/>
  <c r="S512" i="1" l="1"/>
  <c r="T512" i="1" s="1"/>
  <c r="R511" i="1"/>
  <c r="R151" i="1"/>
  <c r="S152" i="1"/>
  <c r="T152" i="1" s="1"/>
  <c r="R510" i="1" l="1"/>
  <c r="S511" i="1"/>
  <c r="T511" i="1" s="1"/>
  <c r="R150" i="1"/>
  <c r="S151" i="1"/>
  <c r="T151" i="1" s="1"/>
  <c r="R149" i="1" l="1"/>
  <c r="S150" i="1"/>
  <c r="T150" i="1" s="1"/>
  <c r="R509" i="1"/>
  <c r="S510" i="1"/>
  <c r="T510" i="1" s="1"/>
  <c r="R508" i="1" l="1"/>
  <c r="S509" i="1"/>
  <c r="T509" i="1" s="1"/>
  <c r="R148" i="1"/>
  <c r="S149" i="1"/>
  <c r="T149" i="1" s="1"/>
  <c r="R147" i="1" l="1"/>
  <c r="S148" i="1"/>
  <c r="T148" i="1" s="1"/>
  <c r="R507" i="1"/>
  <c r="S508" i="1"/>
  <c r="T508" i="1" s="1"/>
  <c r="S507" i="1" l="1"/>
  <c r="T507" i="1" s="1"/>
  <c r="R506" i="1"/>
  <c r="R146" i="1"/>
  <c r="S147" i="1"/>
  <c r="T147" i="1" s="1"/>
  <c r="S506" i="1" l="1"/>
  <c r="T506" i="1" s="1"/>
  <c r="R505" i="1"/>
  <c r="R145" i="1"/>
  <c r="S146" i="1"/>
  <c r="T146" i="1" s="1"/>
  <c r="R144" i="1" l="1"/>
  <c r="S145" i="1"/>
  <c r="T145" i="1" s="1"/>
  <c r="S505" i="1"/>
  <c r="T505" i="1" s="1"/>
  <c r="R504" i="1"/>
  <c r="R503" i="1" l="1"/>
  <c r="S504" i="1"/>
  <c r="T504" i="1" s="1"/>
  <c r="R143" i="1"/>
  <c r="S144" i="1"/>
  <c r="T144" i="1" s="1"/>
  <c r="R142" i="1" l="1"/>
  <c r="S143" i="1"/>
  <c r="T143" i="1" s="1"/>
  <c r="R502" i="1"/>
  <c r="S503" i="1"/>
  <c r="T503" i="1" s="1"/>
  <c r="R501" i="1" l="1"/>
  <c r="S502" i="1"/>
  <c r="T502" i="1" s="1"/>
  <c r="R141" i="1"/>
  <c r="S142" i="1"/>
  <c r="T142" i="1" s="1"/>
  <c r="R140" i="1" l="1"/>
  <c r="S141" i="1"/>
  <c r="T141" i="1" s="1"/>
  <c r="R500" i="1"/>
  <c r="S501" i="1"/>
  <c r="T501" i="1" s="1"/>
  <c r="S500" i="1" l="1"/>
  <c r="T500" i="1" s="1"/>
  <c r="R499" i="1"/>
  <c r="R139" i="1"/>
  <c r="S140" i="1"/>
  <c r="T140" i="1" s="1"/>
  <c r="R498" i="1" l="1"/>
  <c r="S499" i="1"/>
  <c r="T499" i="1" s="1"/>
  <c r="R138" i="1"/>
  <c r="S139" i="1"/>
  <c r="T139" i="1" s="1"/>
  <c r="R137" i="1" l="1"/>
  <c r="S138" i="1"/>
  <c r="T138" i="1" s="1"/>
  <c r="R497" i="1"/>
  <c r="S498" i="1"/>
  <c r="T498" i="1" s="1"/>
  <c r="R496" i="1" l="1"/>
  <c r="S497" i="1"/>
  <c r="T497" i="1" s="1"/>
  <c r="R136" i="1"/>
  <c r="S137" i="1"/>
  <c r="T137" i="1" s="1"/>
  <c r="R135" i="1" l="1"/>
  <c r="S136" i="1"/>
  <c r="T136" i="1" s="1"/>
  <c r="S496" i="1"/>
  <c r="T496" i="1" s="1"/>
  <c r="R495" i="1"/>
  <c r="S495" i="1" l="1"/>
  <c r="T495" i="1" s="1"/>
  <c r="R494" i="1"/>
  <c r="R134" i="1"/>
  <c r="S135" i="1"/>
  <c r="T135" i="1" s="1"/>
  <c r="R133" i="1" l="1"/>
  <c r="S134" i="1"/>
  <c r="T134" i="1" s="1"/>
  <c r="R493" i="1"/>
  <c r="S494" i="1"/>
  <c r="T494" i="1" s="1"/>
  <c r="R492" i="1" l="1"/>
  <c r="S493" i="1"/>
  <c r="T493" i="1" s="1"/>
  <c r="R132" i="1"/>
  <c r="S133" i="1"/>
  <c r="T133" i="1" s="1"/>
  <c r="R131" i="1" l="1"/>
  <c r="S132" i="1"/>
  <c r="T132" i="1" s="1"/>
  <c r="R491" i="1"/>
  <c r="S492" i="1"/>
  <c r="T492" i="1" s="1"/>
  <c r="S491" i="1" l="1"/>
  <c r="T491" i="1" s="1"/>
  <c r="R490" i="1"/>
  <c r="R130" i="1"/>
  <c r="S131" i="1"/>
  <c r="T131" i="1" s="1"/>
  <c r="S490" i="1" l="1"/>
  <c r="T490" i="1" s="1"/>
  <c r="R489" i="1"/>
  <c r="R129" i="1"/>
  <c r="S130" i="1"/>
  <c r="T130" i="1" s="1"/>
  <c r="R488" i="1" l="1"/>
  <c r="S489" i="1"/>
  <c r="T489" i="1" s="1"/>
  <c r="R128" i="1"/>
  <c r="S129" i="1"/>
  <c r="T129" i="1" s="1"/>
  <c r="R127" i="1" l="1"/>
  <c r="S128" i="1"/>
  <c r="T128" i="1" s="1"/>
  <c r="R487" i="1"/>
  <c r="S488" i="1"/>
  <c r="T488" i="1" s="1"/>
  <c r="R486" i="1" l="1"/>
  <c r="S487" i="1"/>
  <c r="T487" i="1" s="1"/>
  <c r="R126" i="1"/>
  <c r="S127" i="1"/>
  <c r="T127" i="1" s="1"/>
  <c r="R125" i="1" l="1"/>
  <c r="S126" i="1"/>
  <c r="T126" i="1" s="1"/>
  <c r="R485" i="1"/>
  <c r="S486" i="1"/>
  <c r="T486" i="1" s="1"/>
  <c r="R484" i="1" l="1"/>
  <c r="S485" i="1"/>
  <c r="T485" i="1" s="1"/>
  <c r="R124" i="1"/>
  <c r="S125" i="1"/>
  <c r="T125" i="1" s="1"/>
  <c r="R123" i="1" l="1"/>
  <c r="S124" i="1"/>
  <c r="T124" i="1" s="1"/>
  <c r="R483" i="1"/>
  <c r="S484" i="1"/>
  <c r="T484" i="1" s="1"/>
  <c r="S483" i="1" l="1"/>
  <c r="T483" i="1" s="1"/>
  <c r="R482" i="1"/>
  <c r="R122" i="1"/>
  <c r="S123" i="1"/>
  <c r="T123" i="1" s="1"/>
  <c r="R121" i="1" l="1"/>
  <c r="S122" i="1"/>
  <c r="T122" i="1" s="1"/>
  <c r="S482" i="1"/>
  <c r="T482" i="1" s="1"/>
  <c r="R481" i="1"/>
  <c r="S481" i="1" l="1"/>
  <c r="T481" i="1" s="1"/>
  <c r="R480" i="1"/>
  <c r="R120" i="1"/>
  <c r="S121" i="1"/>
  <c r="T121" i="1" s="1"/>
  <c r="R119" i="1" l="1"/>
  <c r="S120" i="1"/>
  <c r="T120" i="1" s="1"/>
  <c r="R479" i="1"/>
  <c r="S480" i="1"/>
  <c r="T480" i="1" s="1"/>
  <c r="R478" i="1" l="1"/>
  <c r="S479" i="1"/>
  <c r="T479" i="1" s="1"/>
  <c r="R118" i="1"/>
  <c r="S119" i="1"/>
  <c r="T119" i="1" s="1"/>
  <c r="R117" i="1" l="1"/>
  <c r="S118" i="1"/>
  <c r="T118" i="1" s="1"/>
  <c r="R477" i="1"/>
  <c r="S478" i="1"/>
  <c r="T478" i="1" s="1"/>
  <c r="R476" i="1" l="1"/>
  <c r="S477" i="1"/>
  <c r="T477" i="1" s="1"/>
  <c r="R116" i="1"/>
  <c r="S117" i="1"/>
  <c r="T117" i="1" s="1"/>
  <c r="R115" i="1" l="1"/>
  <c r="S116" i="1"/>
  <c r="T116" i="1" s="1"/>
  <c r="S476" i="1"/>
  <c r="T476" i="1" s="1"/>
  <c r="R475" i="1"/>
  <c r="R474" i="1" l="1"/>
  <c r="S475" i="1"/>
  <c r="T475" i="1" s="1"/>
  <c r="R114" i="1"/>
  <c r="S115" i="1"/>
  <c r="T115" i="1" s="1"/>
  <c r="R113" i="1" l="1"/>
  <c r="S114" i="1"/>
  <c r="T114" i="1" s="1"/>
  <c r="S474" i="1"/>
  <c r="T474" i="1" s="1"/>
  <c r="R473" i="1"/>
  <c r="R472" i="1" l="1"/>
  <c r="S473" i="1"/>
  <c r="T473" i="1" s="1"/>
  <c r="R112" i="1"/>
  <c r="S113" i="1"/>
  <c r="T113" i="1" s="1"/>
  <c r="R111" i="1" l="1"/>
  <c r="S112" i="1"/>
  <c r="T112" i="1" s="1"/>
  <c r="R471" i="1"/>
  <c r="S472" i="1"/>
  <c r="T472" i="1" s="1"/>
  <c r="S471" i="1" l="1"/>
  <c r="T471" i="1" s="1"/>
  <c r="R470" i="1"/>
  <c r="R110" i="1"/>
  <c r="S111" i="1"/>
  <c r="T111" i="1" s="1"/>
  <c r="R469" i="1" l="1"/>
  <c r="S470" i="1"/>
  <c r="T470" i="1" s="1"/>
  <c r="R109" i="1"/>
  <c r="S110" i="1"/>
  <c r="T110" i="1" s="1"/>
  <c r="R108" i="1" l="1"/>
  <c r="S109" i="1"/>
  <c r="T109" i="1" s="1"/>
  <c r="S469" i="1"/>
  <c r="T469" i="1" s="1"/>
  <c r="R468" i="1"/>
  <c r="R467" i="1" l="1"/>
  <c r="S468" i="1"/>
  <c r="T468" i="1" s="1"/>
  <c r="R107" i="1"/>
  <c r="S108" i="1"/>
  <c r="T108" i="1" s="1"/>
  <c r="R106" i="1" l="1"/>
  <c r="S107" i="1"/>
  <c r="T107" i="1" s="1"/>
  <c r="S467" i="1"/>
  <c r="T467" i="1" s="1"/>
  <c r="R466" i="1"/>
  <c r="S466" i="1" l="1"/>
  <c r="T466" i="1" s="1"/>
  <c r="R465" i="1"/>
  <c r="R105" i="1"/>
  <c r="S106" i="1"/>
  <c r="T106" i="1" s="1"/>
  <c r="R464" i="1" l="1"/>
  <c r="S465" i="1"/>
  <c r="T465" i="1" s="1"/>
  <c r="R104" i="1"/>
  <c r="S105" i="1"/>
  <c r="T105" i="1" s="1"/>
  <c r="R103" i="1" l="1"/>
  <c r="S104" i="1"/>
  <c r="T104" i="1" s="1"/>
  <c r="R463" i="1"/>
  <c r="S464" i="1"/>
  <c r="T464" i="1" s="1"/>
  <c r="R462" i="1" l="1"/>
  <c r="S463" i="1"/>
  <c r="T463" i="1" s="1"/>
  <c r="R102" i="1"/>
  <c r="S103" i="1"/>
  <c r="T103" i="1" s="1"/>
  <c r="R101" i="1" l="1"/>
  <c r="S102" i="1"/>
  <c r="T102" i="1" s="1"/>
  <c r="R461" i="1"/>
  <c r="S462" i="1"/>
  <c r="T462" i="1" s="1"/>
  <c r="R460" i="1" l="1"/>
  <c r="S461" i="1"/>
  <c r="T461" i="1" s="1"/>
  <c r="R100" i="1"/>
  <c r="S101" i="1"/>
  <c r="T101" i="1" s="1"/>
  <c r="R99" i="1" l="1"/>
  <c r="S100" i="1"/>
  <c r="T100" i="1" s="1"/>
  <c r="R459" i="1"/>
  <c r="S460" i="1"/>
  <c r="T460" i="1" s="1"/>
  <c r="S459" i="1" l="1"/>
  <c r="T459" i="1" s="1"/>
  <c r="R458" i="1"/>
  <c r="R98" i="1"/>
  <c r="S99" i="1"/>
  <c r="T99" i="1" s="1"/>
  <c r="R97" i="1" l="1"/>
  <c r="S98" i="1"/>
  <c r="T98" i="1" s="1"/>
  <c r="S458" i="1"/>
  <c r="T458" i="1" s="1"/>
  <c r="R457" i="1"/>
  <c r="S457" i="1" l="1"/>
  <c r="T457" i="1" s="1"/>
  <c r="R456" i="1"/>
  <c r="R96" i="1"/>
  <c r="S97" i="1"/>
  <c r="T97" i="1" s="1"/>
  <c r="R95" i="1" l="1"/>
  <c r="S96" i="1"/>
  <c r="T96" i="1" s="1"/>
  <c r="R455" i="1"/>
  <c r="S456" i="1"/>
  <c r="T456" i="1" s="1"/>
  <c r="R454" i="1" l="1"/>
  <c r="S455" i="1"/>
  <c r="T455" i="1" s="1"/>
  <c r="R94" i="1"/>
  <c r="S95" i="1"/>
  <c r="T95" i="1" s="1"/>
  <c r="R93" i="1" l="1"/>
  <c r="S94" i="1"/>
  <c r="T94" i="1" s="1"/>
  <c r="R453" i="1"/>
  <c r="S454" i="1"/>
  <c r="T454" i="1" s="1"/>
  <c r="R452" i="1" l="1"/>
  <c r="S453" i="1"/>
  <c r="T453" i="1" s="1"/>
  <c r="R92" i="1"/>
  <c r="S93" i="1"/>
  <c r="T93" i="1" s="1"/>
  <c r="R91" i="1" l="1"/>
  <c r="S92" i="1"/>
  <c r="T92" i="1" s="1"/>
  <c r="S452" i="1"/>
  <c r="T452" i="1" s="1"/>
  <c r="R451" i="1"/>
  <c r="S451" i="1" l="1"/>
  <c r="T451" i="1" s="1"/>
  <c r="R450" i="1"/>
  <c r="R90" i="1"/>
  <c r="S91" i="1"/>
  <c r="T91" i="1" s="1"/>
  <c r="R89" i="1" l="1"/>
  <c r="S90" i="1"/>
  <c r="T90" i="1" s="1"/>
  <c r="R449" i="1"/>
  <c r="S450" i="1"/>
  <c r="T450" i="1" s="1"/>
  <c r="R448" i="1" l="1"/>
  <c r="S449" i="1"/>
  <c r="T449" i="1" s="1"/>
  <c r="R88" i="1"/>
  <c r="S89" i="1"/>
  <c r="T89" i="1" s="1"/>
  <c r="R87" i="1" l="1"/>
  <c r="S88" i="1"/>
  <c r="T88" i="1" s="1"/>
  <c r="S448" i="1"/>
  <c r="T448" i="1" s="1"/>
  <c r="R447" i="1"/>
  <c r="S447" i="1" l="1"/>
  <c r="T447" i="1" s="1"/>
  <c r="R446" i="1"/>
  <c r="R86" i="1"/>
  <c r="S87" i="1"/>
  <c r="T87" i="1" s="1"/>
  <c r="R85" i="1" l="1"/>
  <c r="S86" i="1"/>
  <c r="T86" i="1" s="1"/>
  <c r="R445" i="1"/>
  <c r="S446" i="1"/>
  <c r="T446" i="1" s="1"/>
  <c r="R444" i="1" l="1"/>
  <c r="S445" i="1"/>
  <c r="T445" i="1" s="1"/>
  <c r="R84" i="1"/>
  <c r="S85" i="1"/>
  <c r="T85" i="1" s="1"/>
  <c r="R83" i="1" l="1"/>
  <c r="S84" i="1"/>
  <c r="T84" i="1" s="1"/>
  <c r="R443" i="1"/>
  <c r="S444" i="1"/>
  <c r="T444" i="1" s="1"/>
  <c r="S443" i="1" l="1"/>
  <c r="T443" i="1" s="1"/>
  <c r="R442" i="1"/>
  <c r="R82" i="1"/>
  <c r="S83" i="1"/>
  <c r="T83" i="1" s="1"/>
  <c r="S442" i="1" l="1"/>
  <c r="T442" i="1" s="1"/>
  <c r="R441" i="1"/>
  <c r="R81" i="1"/>
  <c r="S82" i="1"/>
  <c r="T82" i="1" s="1"/>
  <c r="R80" i="1" l="1"/>
  <c r="S81" i="1"/>
  <c r="T81" i="1" s="1"/>
  <c r="S441" i="1"/>
  <c r="T441" i="1" s="1"/>
  <c r="R440" i="1"/>
  <c r="R439" i="1" l="1"/>
  <c r="S440" i="1"/>
  <c r="T440" i="1" s="1"/>
  <c r="R79" i="1"/>
  <c r="S80" i="1"/>
  <c r="T80" i="1" s="1"/>
  <c r="R78" i="1" l="1"/>
  <c r="S79" i="1"/>
  <c r="T79" i="1" s="1"/>
  <c r="R438" i="1"/>
  <c r="S439" i="1"/>
  <c r="T439" i="1" s="1"/>
  <c r="R437" i="1" l="1"/>
  <c r="S438" i="1"/>
  <c r="T438" i="1" s="1"/>
  <c r="R77" i="1"/>
  <c r="S78" i="1"/>
  <c r="T78" i="1" s="1"/>
  <c r="R76" i="1" l="1"/>
  <c r="S77" i="1"/>
  <c r="T77" i="1" s="1"/>
  <c r="R436" i="1"/>
  <c r="S437" i="1"/>
  <c r="T437" i="1" s="1"/>
  <c r="R435" i="1" l="1"/>
  <c r="S436" i="1"/>
  <c r="T436" i="1" s="1"/>
  <c r="R75" i="1"/>
  <c r="S76" i="1"/>
  <c r="T76" i="1" s="1"/>
  <c r="R74" i="1" l="1"/>
  <c r="S75" i="1"/>
  <c r="T75" i="1" s="1"/>
  <c r="R434" i="1"/>
  <c r="S435" i="1"/>
  <c r="T435" i="1" s="1"/>
  <c r="S434" i="1" l="1"/>
  <c r="T434" i="1" s="1"/>
  <c r="R433" i="1"/>
  <c r="R73" i="1"/>
  <c r="S74" i="1"/>
  <c r="T74" i="1" s="1"/>
  <c r="S433" i="1" l="1"/>
  <c r="T433" i="1" s="1"/>
  <c r="R432" i="1"/>
  <c r="R72" i="1"/>
  <c r="S73" i="1"/>
  <c r="T73" i="1" s="1"/>
  <c r="R431" i="1" l="1"/>
  <c r="S432" i="1"/>
  <c r="T432" i="1" s="1"/>
  <c r="R71" i="1"/>
  <c r="S72" i="1"/>
  <c r="T72" i="1" s="1"/>
  <c r="R70" i="1" l="1"/>
  <c r="S71" i="1"/>
  <c r="T71" i="1" s="1"/>
  <c r="R430" i="1"/>
  <c r="S431" i="1"/>
  <c r="T431" i="1" s="1"/>
  <c r="R429" i="1" l="1"/>
  <c r="S430" i="1"/>
  <c r="T430" i="1" s="1"/>
  <c r="R69" i="1"/>
  <c r="S70" i="1"/>
  <c r="T70" i="1" s="1"/>
  <c r="R68" i="1" l="1"/>
  <c r="S69" i="1"/>
  <c r="T69" i="1" s="1"/>
  <c r="R428" i="1"/>
  <c r="S429" i="1"/>
  <c r="T429" i="1" s="1"/>
  <c r="S428" i="1" l="1"/>
  <c r="T428" i="1" s="1"/>
  <c r="R427" i="1"/>
  <c r="R67" i="1"/>
  <c r="S68" i="1"/>
  <c r="T68" i="1" s="1"/>
  <c r="R66" i="1" l="1"/>
  <c r="S67" i="1"/>
  <c r="T67" i="1" s="1"/>
  <c r="R426" i="1"/>
  <c r="S427" i="1"/>
  <c r="T427" i="1" s="1"/>
  <c r="R425" i="1" l="1"/>
  <c r="S426" i="1"/>
  <c r="T426" i="1" s="1"/>
  <c r="R65" i="1"/>
  <c r="S66" i="1"/>
  <c r="T66" i="1" s="1"/>
  <c r="R64" i="1" l="1"/>
  <c r="S65" i="1"/>
  <c r="T65" i="1" s="1"/>
  <c r="R424" i="1"/>
  <c r="S425" i="1"/>
  <c r="T425" i="1" s="1"/>
  <c r="S424" i="1" l="1"/>
  <c r="T424" i="1" s="1"/>
  <c r="R423" i="1"/>
  <c r="R63" i="1"/>
  <c r="S64" i="1"/>
  <c r="T64" i="1" s="1"/>
  <c r="R62" i="1" l="1"/>
  <c r="S63" i="1"/>
  <c r="T63" i="1" s="1"/>
  <c r="S423" i="1"/>
  <c r="T423" i="1" s="1"/>
  <c r="R422" i="1"/>
  <c r="S422" i="1" l="1"/>
  <c r="T422" i="1" s="1"/>
  <c r="R421" i="1"/>
  <c r="R61" i="1"/>
  <c r="S62" i="1"/>
  <c r="T62" i="1" s="1"/>
  <c r="R420" i="1" l="1"/>
  <c r="S421" i="1"/>
  <c r="T421" i="1" s="1"/>
  <c r="R60" i="1"/>
  <c r="S61" i="1"/>
  <c r="T61" i="1" s="1"/>
  <c r="R59" i="1" l="1"/>
  <c r="S60" i="1"/>
  <c r="T60" i="1" s="1"/>
  <c r="R419" i="1"/>
  <c r="S420" i="1"/>
  <c r="T420" i="1" s="1"/>
  <c r="S419" i="1" l="1"/>
  <c r="T419" i="1" s="1"/>
  <c r="R418" i="1"/>
  <c r="R58" i="1"/>
  <c r="S59" i="1"/>
  <c r="T59" i="1" s="1"/>
  <c r="S418" i="1" l="1"/>
  <c r="T418" i="1" s="1"/>
  <c r="R417" i="1"/>
  <c r="R57" i="1"/>
  <c r="S58" i="1"/>
  <c r="T58" i="1" s="1"/>
  <c r="R56" i="1" l="1"/>
  <c r="S57" i="1"/>
  <c r="T57" i="1" s="1"/>
  <c r="R416" i="1"/>
  <c r="S417" i="1"/>
  <c r="T417" i="1" s="1"/>
  <c r="R415" i="1" l="1"/>
  <c r="S416" i="1"/>
  <c r="T416" i="1" s="1"/>
  <c r="R55" i="1"/>
  <c r="S56" i="1"/>
  <c r="T56" i="1" s="1"/>
  <c r="R54" i="1" l="1"/>
  <c r="S55" i="1"/>
  <c r="T55" i="1" s="1"/>
  <c r="R414" i="1"/>
  <c r="S415" i="1"/>
  <c r="T415" i="1" s="1"/>
  <c r="R413" i="1" l="1"/>
  <c r="S414" i="1"/>
  <c r="T414" i="1" s="1"/>
  <c r="R53" i="1"/>
  <c r="S54" i="1"/>
  <c r="T54" i="1" s="1"/>
  <c r="R52" i="1" l="1"/>
  <c r="S53" i="1"/>
  <c r="T53" i="1" s="1"/>
  <c r="R412" i="1"/>
  <c r="S413" i="1"/>
  <c r="T413" i="1" s="1"/>
  <c r="R411" i="1" l="1"/>
  <c r="S412" i="1"/>
  <c r="T412" i="1" s="1"/>
  <c r="R51" i="1"/>
  <c r="S52" i="1"/>
  <c r="T52" i="1" s="1"/>
  <c r="R50" i="1" l="1"/>
  <c r="S51" i="1"/>
  <c r="T51" i="1" s="1"/>
  <c r="S411" i="1"/>
  <c r="T411" i="1" s="1"/>
  <c r="R410" i="1"/>
  <c r="S410" i="1" l="1"/>
  <c r="T410" i="1" s="1"/>
  <c r="R409" i="1"/>
  <c r="R49" i="1"/>
  <c r="S50" i="1"/>
  <c r="T50" i="1" s="1"/>
  <c r="R48" i="1" l="1"/>
  <c r="S49" i="1"/>
  <c r="T49" i="1" s="1"/>
  <c r="S409" i="1"/>
  <c r="T409" i="1" s="1"/>
  <c r="R408" i="1"/>
  <c r="S408" i="1" s="1"/>
  <c r="T408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<sst xmlns="http://schemas.openxmlformats.org/spreadsheetml/2006/main" count="4727" uniqueCount="34">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</sst>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12.4</c:v>
                </c:pt>
                <c:pt idx="1">
                  <c:v>12.63</c:v>
                </c:pt>
                <c:pt idx="2">
                  <c:v>12.48</c:v>
                </c:pt>
                <c:pt idx="3">
                  <c:v>12.53</c:v>
                </c:pt>
                <c:pt idx="4">
                  <c:v>12.97</c:v>
                </c:pt>
                <c:pt idx="5">
                  <c:v>12.62</c:v>
                </c:pt>
                <c:pt idx="6">
                  <c:v>13.42</c:v>
                </c:pt>
                <c:pt idx="7">
                  <c:v>14.59</c:v>
                </c:pt>
                <c:pt idx="8">
                  <c:v>14.85</c:v>
                </c:pt>
                <c:pt idx="9">
                  <c:v>14.74</c:v>
                </c:pt>
                <c:pt idx="10">
                  <c:v>15.03</c:v>
                </c:pt>
                <c:pt idx="11">
                  <c:v>15.18</c:v>
                </c:pt>
                <c:pt idx="12">
                  <c:v>15.07</c:v>
                </c:pt>
                <c:pt idx="13">
                  <c:v>14.96</c:v>
                </c:pt>
                <c:pt idx="14">
                  <c:v>14.71</c:v>
                </c:pt>
                <c:pt idx="15">
                  <c:v>15.33</c:v>
                </c:pt>
                <c:pt idx="16">
                  <c:v>14.78</c:v>
                </c:pt>
                <c:pt idx="17">
                  <c:v>14.26</c:v>
                </c:pt>
                <c:pt idx="18">
                  <c:v>14.27</c:v>
                </c:pt>
                <c:pt idx="19">
                  <c:v>14.24</c:v>
                </c:pt>
                <c:pt idx="20">
                  <c:v>15.09</c:v>
                </c:pt>
                <c:pt idx="21">
                  <c:v>14.5</c:v>
                </c:pt>
                <c:pt idx="22">
                  <c:v>14.28</c:v>
                </c:pt>
                <c:pt idx="23">
                  <c:v>15.04</c:v>
                </c:pt>
                <c:pt idx="24">
                  <c:v>15.18</c:v>
                </c:pt>
                <c:pt idx="25">
                  <c:v>15.31</c:v>
                </c:pt>
                <c:pt idx="26">
                  <c:v>15.4</c:v>
                </c:pt>
                <c:pt idx="27">
                  <c:v>15.07</c:v>
                </c:pt>
                <c:pt idx="28">
                  <c:v>15.45</c:v>
                </c:pt>
                <c:pt idx="29">
                  <c:v>15.52</c:v>
                </c:pt>
                <c:pt idx="30">
                  <c:v>16.170000000000002</c:v>
                </c:pt>
                <c:pt idx="31">
                  <c:v>16.809999999999999</c:v>
                </c:pt>
                <c:pt idx="32">
                  <c:v>16.920000000000002</c:v>
                </c:pt>
                <c:pt idx="33">
                  <c:v>17.010000000000002</c:v>
                </c:pt>
                <c:pt idx="34">
                  <c:v>16.739999999999998</c:v>
                </c:pt>
                <c:pt idx="35">
                  <c:v>16.850000000000001</c:v>
                </c:pt>
                <c:pt idx="36">
                  <c:v>15.79</c:v>
                </c:pt>
                <c:pt idx="37">
                  <c:v>15.05</c:v>
                </c:pt>
                <c:pt idx="38">
                  <c:v>15.3</c:v>
                </c:pt>
                <c:pt idx="39">
                  <c:v>13.45</c:v>
                </c:pt>
                <c:pt idx="40">
                  <c:v>13.83</c:v>
                </c:pt>
                <c:pt idx="41">
                  <c:v>13.58</c:v>
                </c:pt>
                <c:pt idx="42">
                  <c:v>14.27</c:v>
                </c:pt>
                <c:pt idx="43">
                  <c:v>14.62</c:v>
                </c:pt>
                <c:pt idx="44">
                  <c:v>14.59</c:v>
                </c:pt>
                <c:pt idx="45">
                  <c:v>14.61</c:v>
                </c:pt>
                <c:pt idx="46">
                  <c:v>15.83</c:v>
                </c:pt>
                <c:pt idx="47">
                  <c:v>15.27</c:v>
                </c:pt>
                <c:pt idx="48">
                  <c:v>15.26</c:v>
                </c:pt>
                <c:pt idx="49">
                  <c:v>15.53</c:v>
                </c:pt>
                <c:pt idx="50">
                  <c:v>16.12</c:v>
                </c:pt>
                <c:pt idx="51">
                  <c:v>16.11</c:v>
                </c:pt>
                <c:pt idx="52">
                  <c:v>16.03</c:v>
                </c:pt>
                <c:pt idx="53">
                  <c:v>15.63</c:v>
                </c:pt>
                <c:pt idx="54">
                  <c:v>15.02</c:v>
                </c:pt>
                <c:pt idx="55">
                  <c:v>16.600000000000001</c:v>
                </c:pt>
                <c:pt idx="56">
                  <c:v>16.61</c:v>
                </c:pt>
                <c:pt idx="57">
                  <c:v>16.97</c:v>
                </c:pt>
                <c:pt idx="58">
                  <c:v>17.2</c:v>
                </c:pt>
                <c:pt idx="59">
                  <c:v>17.940000000000001</c:v>
                </c:pt>
                <c:pt idx="60">
                  <c:v>17.64</c:v>
                </c:pt>
                <c:pt idx="61">
                  <c:v>17.59</c:v>
                </c:pt>
                <c:pt idx="62">
                  <c:v>17.34</c:v>
                </c:pt>
                <c:pt idx="63">
                  <c:v>19.03</c:v>
                </c:pt>
                <c:pt idx="64">
                  <c:v>19.78</c:v>
                </c:pt>
                <c:pt idx="65">
                  <c:v>19.84</c:v>
                </c:pt>
                <c:pt idx="66">
                  <c:v>20.67</c:v>
                </c:pt>
                <c:pt idx="67">
                  <c:v>19.850000000000001</c:v>
                </c:pt>
                <c:pt idx="68">
                  <c:v>19.899999999999999</c:v>
                </c:pt>
                <c:pt idx="69">
                  <c:v>19.829999999999998</c:v>
                </c:pt>
                <c:pt idx="70">
                  <c:v>18.71</c:v>
                </c:pt>
                <c:pt idx="71">
                  <c:v>20.18</c:v>
                </c:pt>
                <c:pt idx="72">
                  <c:v>20.399999999999999</c:v>
                </c:pt>
                <c:pt idx="73">
                  <c:v>21.61</c:v>
                </c:pt>
                <c:pt idx="74">
                  <c:v>21.04</c:v>
                </c:pt>
                <c:pt idx="75">
                  <c:v>21.03</c:v>
                </c:pt>
                <c:pt idx="76">
                  <c:v>21</c:v>
                </c:pt>
                <c:pt idx="77">
                  <c:v>21.5</c:v>
                </c:pt>
                <c:pt idx="78">
                  <c:v>20.64</c:v>
                </c:pt>
                <c:pt idx="79">
                  <c:v>20.83</c:v>
                </c:pt>
                <c:pt idx="80">
                  <c:v>21.02</c:v>
                </c:pt>
                <c:pt idx="81">
                  <c:v>22.22</c:v>
                </c:pt>
                <c:pt idx="82">
                  <c:v>20</c:v>
                </c:pt>
                <c:pt idx="83">
                  <c:v>19.93</c:v>
                </c:pt>
                <c:pt idx="84">
                  <c:v>19.940000000000001</c:v>
                </c:pt>
                <c:pt idx="85">
                  <c:v>20.13</c:v>
                </c:pt>
                <c:pt idx="86">
                  <c:v>20.87</c:v>
                </c:pt>
                <c:pt idx="87">
                  <c:v>21.04</c:v>
                </c:pt>
                <c:pt idx="88">
                  <c:v>20.39</c:v>
                </c:pt>
                <c:pt idx="89">
                  <c:v>20.82</c:v>
                </c:pt>
                <c:pt idx="90">
                  <c:v>21.07</c:v>
                </c:pt>
                <c:pt idx="91">
                  <c:v>20.62</c:v>
                </c:pt>
                <c:pt idx="92">
                  <c:v>20.170000000000002</c:v>
                </c:pt>
                <c:pt idx="93">
                  <c:v>22.46</c:v>
                </c:pt>
                <c:pt idx="94">
                  <c:v>22.76</c:v>
                </c:pt>
                <c:pt idx="95">
                  <c:v>22.35</c:v>
                </c:pt>
                <c:pt idx="96">
                  <c:v>22.91</c:v>
                </c:pt>
                <c:pt idx="97">
                  <c:v>22.84</c:v>
                </c:pt>
                <c:pt idx="98">
                  <c:v>23.08</c:v>
                </c:pt>
                <c:pt idx="99">
                  <c:v>23.78</c:v>
                </c:pt>
                <c:pt idx="100">
                  <c:v>23.35</c:v>
                </c:pt>
                <c:pt idx="101">
                  <c:v>23.68</c:v>
                </c:pt>
                <c:pt idx="102">
                  <c:v>23.57</c:v>
                </c:pt>
                <c:pt idx="103">
                  <c:v>24</c:v>
                </c:pt>
                <c:pt idx="104">
                  <c:v>23.82</c:v>
                </c:pt>
                <c:pt idx="105">
                  <c:v>24.58</c:v>
                </c:pt>
                <c:pt idx="106">
                  <c:v>24.5</c:v>
                </c:pt>
                <c:pt idx="107">
                  <c:v>24.05</c:v>
                </c:pt>
                <c:pt idx="108">
                  <c:v>24.01</c:v>
                </c:pt>
                <c:pt idx="109">
                  <c:v>24.32</c:v>
                </c:pt>
                <c:pt idx="110">
                  <c:v>24.97</c:v>
                </c:pt>
                <c:pt idx="111">
                  <c:v>24.63</c:v>
                </c:pt>
                <c:pt idx="112">
                  <c:v>25.31</c:v>
                </c:pt>
                <c:pt idx="113">
                  <c:v>24.81</c:v>
                </c:pt>
                <c:pt idx="114">
                  <c:v>24.48</c:v>
                </c:pt>
                <c:pt idx="115">
                  <c:v>24.76</c:v>
                </c:pt>
                <c:pt idx="116">
                  <c:v>24.89</c:v>
                </c:pt>
                <c:pt idx="117">
                  <c:v>25.22</c:v>
                </c:pt>
                <c:pt idx="118">
                  <c:v>25.28</c:v>
                </c:pt>
                <c:pt idx="119">
                  <c:v>24.62</c:v>
                </c:pt>
                <c:pt idx="120">
                  <c:v>24.1</c:v>
                </c:pt>
                <c:pt idx="121">
                  <c:v>24.27</c:v>
                </c:pt>
                <c:pt idx="122">
                  <c:v>26.44</c:v>
                </c:pt>
                <c:pt idx="123">
                  <c:v>27.03</c:v>
                </c:pt>
                <c:pt idx="124">
                  <c:v>26.09</c:v>
                </c:pt>
                <c:pt idx="125">
                  <c:v>26.32</c:v>
                </c:pt>
                <c:pt idx="126">
                  <c:v>27.99</c:v>
                </c:pt>
                <c:pt idx="127">
                  <c:v>26.52</c:v>
                </c:pt>
                <c:pt idx="128">
                  <c:v>25.13</c:v>
                </c:pt>
                <c:pt idx="129">
                  <c:v>27.13</c:v>
                </c:pt>
                <c:pt idx="130">
                  <c:v>28.58</c:v>
                </c:pt>
                <c:pt idx="131">
                  <c:v>29.97</c:v>
                </c:pt>
                <c:pt idx="132">
                  <c:v>29.82</c:v>
                </c:pt>
                <c:pt idx="133">
                  <c:v>30.29</c:v>
                </c:pt>
                <c:pt idx="134">
                  <c:v>30.95</c:v>
                </c:pt>
                <c:pt idx="135">
                  <c:v>32.18</c:v>
                </c:pt>
                <c:pt idx="136">
                  <c:v>29.86</c:v>
                </c:pt>
                <c:pt idx="137">
                  <c:v>31.26</c:v>
                </c:pt>
                <c:pt idx="138">
                  <c:v>30.02</c:v>
                </c:pt>
                <c:pt idx="139">
                  <c:v>31.25</c:v>
                </c:pt>
                <c:pt idx="140">
                  <c:v>29.25</c:v>
                </c:pt>
                <c:pt idx="141">
                  <c:v>28.97</c:v>
                </c:pt>
                <c:pt idx="142">
                  <c:v>28.63</c:v>
                </c:pt>
                <c:pt idx="143">
                  <c:v>32.869999999999997</c:v>
                </c:pt>
                <c:pt idx="144">
                  <c:v>33.17</c:v>
                </c:pt>
                <c:pt idx="145">
                  <c:v>32.909999999999997</c:v>
                </c:pt>
                <c:pt idx="146">
                  <c:v>33.21</c:v>
                </c:pt>
                <c:pt idx="147">
                  <c:v>32.68</c:v>
                </c:pt>
                <c:pt idx="148">
                  <c:v>32.880000000000003</c:v>
                </c:pt>
                <c:pt idx="149">
                  <c:v>31.95</c:v>
                </c:pt>
                <c:pt idx="150">
                  <c:v>32.54</c:v>
                </c:pt>
                <c:pt idx="151">
                  <c:v>34.090000000000003</c:v>
                </c:pt>
                <c:pt idx="152">
                  <c:v>35.380000000000003</c:v>
                </c:pt>
                <c:pt idx="153">
                  <c:v>34.770000000000003</c:v>
                </c:pt>
                <c:pt idx="154">
                  <c:v>33.47</c:v>
                </c:pt>
                <c:pt idx="155">
                  <c:v>35.201000000000001</c:v>
                </c:pt>
                <c:pt idx="156">
                  <c:v>35.805999999999997</c:v>
                </c:pt>
                <c:pt idx="157">
                  <c:v>34.033999999999999</c:v>
                </c:pt>
                <c:pt idx="158">
                  <c:v>33.970999999999997</c:v>
                </c:pt>
                <c:pt idx="159">
                  <c:v>34.021999999999998</c:v>
                </c:pt>
                <c:pt idx="160">
                  <c:v>34.686</c:v>
                </c:pt>
                <c:pt idx="161">
                  <c:v>34.037999999999997</c:v>
                </c:pt>
                <c:pt idx="162">
                  <c:v>33.204999999999998</c:v>
                </c:pt>
                <c:pt idx="163">
                  <c:v>32.329000000000001</c:v>
                </c:pt>
                <c:pt idx="164">
                  <c:v>34.465000000000003</c:v>
                </c:pt>
                <c:pt idx="165">
                  <c:v>36.713000000000001</c:v>
                </c:pt>
                <c:pt idx="166">
                  <c:v>38.68</c:v>
                </c:pt>
                <c:pt idx="167">
                  <c:v>40.4</c:v>
                </c:pt>
                <c:pt idx="168">
                  <c:v>41.7</c:v>
                </c:pt>
                <c:pt idx="169">
                  <c:v>37.914999999999999</c:v>
                </c:pt>
                <c:pt idx="170">
                  <c:v>44.072000000000003</c:v>
                </c:pt>
                <c:pt idx="171">
                  <c:v>49.64</c:v>
                </c:pt>
                <c:pt idx="172">
                  <c:v>41.287999999999997</c:v>
                </c:pt>
                <c:pt idx="173">
                  <c:v>30.863</c:v>
                </c:pt>
                <c:pt idx="174">
                  <c:v>34.799999999999997</c:v>
                </c:pt>
                <c:pt idx="175">
                  <c:v>24.943999999999999</c:v>
                </c:pt>
                <c:pt idx="176">
                  <c:v>22.491</c:v>
                </c:pt>
                <c:pt idx="177">
                  <c:v>22.47</c:v>
                </c:pt>
                <c:pt idx="178">
                  <c:v>23.100999999999999</c:v>
                </c:pt>
                <c:pt idx="179">
                  <c:v>23.056999999999999</c:v>
                </c:pt>
                <c:pt idx="180">
                  <c:v>24.954999999999998</c:v>
                </c:pt>
                <c:pt idx="181">
                  <c:v>25.835000000000001</c:v>
                </c:pt>
                <c:pt idx="182">
                  <c:v>26.145</c:v>
                </c:pt>
                <c:pt idx="183">
                  <c:v>25.965</c:v>
                </c:pt>
                <c:pt idx="184">
                  <c:v>25.04</c:v>
                </c:pt>
                <c:pt idx="185">
                  <c:v>23.582999999999998</c:v>
                </c:pt>
                <c:pt idx="186">
                  <c:v>23.866</c:v>
                </c:pt>
                <c:pt idx="187">
                  <c:v>21.937999999999999</c:v>
                </c:pt>
                <c:pt idx="188">
                  <c:v>22.25</c:v>
                </c:pt>
                <c:pt idx="189">
                  <c:v>22.766999999999999</c:v>
                </c:pt>
                <c:pt idx="190">
                  <c:v>20.024999999999999</c:v>
                </c:pt>
                <c:pt idx="191">
                  <c:v>18.076000000000001</c:v>
                </c:pt>
                <c:pt idx="192">
                  <c:v>18.805</c:v>
                </c:pt>
                <c:pt idx="193">
                  <c:v>17.760000000000002</c:v>
                </c:pt>
                <c:pt idx="194">
                  <c:v>17.103999999999999</c:v>
                </c:pt>
                <c:pt idx="195">
                  <c:v>17.86</c:v>
                </c:pt>
                <c:pt idx="196">
                  <c:v>17.975999999999999</c:v>
                </c:pt>
                <c:pt idx="197">
                  <c:v>19.123999999999999</c:v>
                </c:pt>
                <c:pt idx="198">
                  <c:v>17.981999999999999</c:v>
                </c:pt>
                <c:pt idx="199">
                  <c:v>16.245000000000001</c:v>
                </c:pt>
                <c:pt idx="200">
                  <c:v>15.272</c:v>
                </c:pt>
                <c:pt idx="201">
                  <c:v>14.637</c:v>
                </c:pt>
                <c:pt idx="202">
                  <c:v>14.14</c:v>
                </c:pt>
                <c:pt idx="203">
                  <c:v>13.88</c:v>
                </c:pt>
                <c:pt idx="204">
                  <c:v>14.163</c:v>
                </c:pt>
                <c:pt idx="205">
                  <c:v>13.565</c:v>
                </c:pt>
                <c:pt idx="206">
                  <c:v>13.473000000000001</c:v>
                </c:pt>
                <c:pt idx="207">
                  <c:v>13.583</c:v>
                </c:pt>
                <c:pt idx="208">
                  <c:v>13.452999999999999</c:v>
                </c:pt>
                <c:pt idx="209">
                  <c:v>13.185</c:v>
                </c:pt>
                <c:pt idx="210">
                  <c:v>13.349</c:v>
                </c:pt>
                <c:pt idx="211">
                  <c:v>12.532</c:v>
                </c:pt>
                <c:pt idx="212">
                  <c:v>12.397</c:v>
                </c:pt>
                <c:pt idx="213">
                  <c:v>12.039</c:v>
                </c:pt>
                <c:pt idx="214">
                  <c:v>12.061</c:v>
                </c:pt>
                <c:pt idx="215">
                  <c:v>11.816000000000001</c:v>
                </c:pt>
                <c:pt idx="216">
                  <c:v>11.938000000000001</c:v>
                </c:pt>
                <c:pt idx="217">
                  <c:v>12.308</c:v>
                </c:pt>
                <c:pt idx="218">
                  <c:v>12.295</c:v>
                </c:pt>
                <c:pt idx="219">
                  <c:v>11.666</c:v>
                </c:pt>
                <c:pt idx="220">
                  <c:v>11.74</c:v>
                </c:pt>
                <c:pt idx="221">
                  <c:v>14.374000000000001</c:v>
                </c:pt>
                <c:pt idx="222">
                  <c:v>14.583</c:v>
                </c:pt>
                <c:pt idx="223">
                  <c:v>14.34</c:v>
                </c:pt>
                <c:pt idx="224">
                  <c:v>15.193</c:v>
                </c:pt>
                <c:pt idx="225">
                  <c:v>14.824999999999999</c:v>
                </c:pt>
                <c:pt idx="226">
                  <c:v>15.242000000000001</c:v>
                </c:pt>
                <c:pt idx="227">
                  <c:v>15.189</c:v>
                </c:pt>
                <c:pt idx="228">
                  <c:v>15.03</c:v>
                </c:pt>
                <c:pt idx="229">
                  <c:v>14.817</c:v>
                </c:pt>
                <c:pt idx="230">
                  <c:v>15.183</c:v>
                </c:pt>
                <c:pt idx="231">
                  <c:v>16.148</c:v>
                </c:pt>
                <c:pt idx="232">
                  <c:v>14.532999999999999</c:v>
                </c:pt>
                <c:pt idx="233">
                  <c:v>14.01</c:v>
                </c:pt>
                <c:pt idx="234">
                  <c:v>13.961</c:v>
                </c:pt>
                <c:pt idx="235">
                  <c:v>15.492000000000001</c:v>
                </c:pt>
                <c:pt idx="236">
                  <c:v>15.364000000000001</c:v>
                </c:pt>
                <c:pt idx="237">
                  <c:v>15.475</c:v>
                </c:pt>
                <c:pt idx="238">
                  <c:v>16.596</c:v>
                </c:pt>
                <c:pt idx="239">
                  <c:v>15.993</c:v>
                </c:pt>
                <c:pt idx="240">
                  <c:v>15.849</c:v>
                </c:pt>
                <c:pt idx="241">
                  <c:v>16.553000000000001</c:v>
                </c:pt>
                <c:pt idx="242">
                  <c:v>16.015999999999998</c:v>
                </c:pt>
                <c:pt idx="243">
                  <c:v>15.529</c:v>
                </c:pt>
                <c:pt idx="244">
                  <c:v>16.763999999999999</c:v>
                </c:pt>
                <c:pt idx="245">
                  <c:v>19.643999999999998</c:v>
                </c:pt>
                <c:pt idx="246">
                  <c:v>16.846</c:v>
                </c:pt>
                <c:pt idx="247">
                  <c:v>16.417000000000002</c:v>
                </c:pt>
                <c:pt idx="248">
                  <c:v>17.559000000000001</c:v>
                </c:pt>
                <c:pt idx="249">
                  <c:v>16.001000000000001</c:v>
                </c:pt>
                <c:pt idx="250">
                  <c:v>31.32</c:v>
                </c:pt>
                <c:pt idx="251">
                  <c:v>36.715000000000003</c:v>
                </c:pt>
                <c:pt idx="252">
                  <c:v>28.876000000000001</c:v>
                </c:pt>
                <c:pt idx="253">
                  <c:v>25.37</c:v>
                </c:pt>
                <c:pt idx="254">
                  <c:v>43.021000000000001</c:v>
                </c:pt>
                <c:pt idx="255">
                  <c:v>35.880000000000003</c:v>
                </c:pt>
                <c:pt idx="256">
                  <c:v>32.356000000000002</c:v>
                </c:pt>
                <c:pt idx="257">
                  <c:v>33.412999999999997</c:v>
                </c:pt>
                <c:pt idx="258">
                  <c:v>29.163</c:v>
                </c:pt>
                <c:pt idx="259">
                  <c:v>27.346</c:v>
                </c:pt>
                <c:pt idx="260">
                  <c:v>26.134</c:v>
                </c:pt>
                <c:pt idx="261">
                  <c:v>28.21</c:v>
                </c:pt>
                <c:pt idx="262">
                  <c:v>28.675000000000001</c:v>
                </c:pt>
                <c:pt idx="263">
                  <c:v>29.399000000000001</c:v>
                </c:pt>
                <c:pt idx="264">
                  <c:v>32.073</c:v>
                </c:pt>
                <c:pt idx="265">
                  <c:v>32.137</c:v>
                </c:pt>
                <c:pt idx="266">
                  <c:v>32.76</c:v>
                </c:pt>
                <c:pt idx="267">
                  <c:v>34.511000000000003</c:v>
                </c:pt>
                <c:pt idx="268">
                  <c:v>32.761000000000003</c:v>
                </c:pt>
                <c:pt idx="269">
                  <c:v>39.892000000000003</c:v>
                </c:pt>
                <c:pt idx="270">
                  <c:v>43.896000000000001</c:v>
                </c:pt>
                <c:pt idx="271">
                  <c:v>43.133000000000003</c:v>
                </c:pt>
                <c:pt idx="272">
                  <c:v>43.741999999999997</c:v>
                </c:pt>
                <c:pt idx="273">
                  <c:v>44.893000000000001</c:v>
                </c:pt>
                <c:pt idx="274">
                  <c:v>42.921999999999997</c:v>
                </c:pt>
                <c:pt idx="275">
                  <c:v>53.118000000000002</c:v>
                </c:pt>
                <c:pt idx="276">
                  <c:v>56.033000000000001</c:v>
                </c:pt>
                <c:pt idx="277">
                  <c:v>48.317999999999998</c:v>
                </c:pt>
                <c:pt idx="278">
                  <c:v>40.411999999999999</c:v>
                </c:pt>
                <c:pt idx="279">
                  <c:v>38.753</c:v>
                </c:pt>
                <c:pt idx="280">
                  <c:v>39.438000000000002</c:v>
                </c:pt>
                <c:pt idx="281">
                  <c:v>35.292999999999999</c:v>
                </c:pt>
                <c:pt idx="282">
                  <c:v>34.426000000000002</c:v>
                </c:pt>
                <c:pt idx="283">
                  <c:v>31.1</c:v>
                </c:pt>
                <c:pt idx="284">
                  <c:v>30.61</c:v>
                </c:pt>
                <c:pt idx="285">
                  <c:v>31.721</c:v>
                </c:pt>
                <c:pt idx="286">
                  <c:v>29.658999999999999</c:v>
                </c:pt>
                <c:pt idx="287">
                  <c:v>31.635000000000002</c:v>
                </c:pt>
                <c:pt idx="288">
                  <c:v>32.389000000000003</c:v>
                </c:pt>
                <c:pt idx="289">
                  <c:v>31.827999999999999</c:v>
                </c:pt>
                <c:pt idx="290">
                  <c:v>35.439</c:v>
                </c:pt>
                <c:pt idx="291">
                  <c:v>29.713999999999999</c:v>
                </c:pt>
                <c:pt idx="292">
                  <c:v>25.277999999999999</c:v>
                </c:pt>
                <c:pt idx="293">
                  <c:v>25.901</c:v>
                </c:pt>
                <c:pt idx="294">
                  <c:v>25.001000000000001</c:v>
                </c:pt>
                <c:pt idx="295">
                  <c:v>27.251000000000001</c:v>
                </c:pt>
                <c:pt idx="296">
                  <c:v>23.02</c:v>
                </c:pt>
                <c:pt idx="297">
                  <c:v>17.603999999999999</c:v>
                </c:pt>
                <c:pt idx="298">
                  <c:v>17.983000000000001</c:v>
                </c:pt>
                <c:pt idx="299">
                  <c:v>17.184000000000001</c:v>
                </c:pt>
                <c:pt idx="300">
                  <c:v>18.18</c:v>
                </c:pt>
                <c:pt idx="301">
                  <c:v>18.302</c:v>
                </c:pt>
                <c:pt idx="302">
                  <c:v>18.071999999999999</c:v>
                </c:pt>
                <c:pt idx="303">
                  <c:v>18.545000000000002</c:v>
                </c:pt>
                <c:pt idx="304">
                  <c:v>19.042999999999999</c:v>
                </c:pt>
                <c:pt idx="305">
                  <c:v>18.786000000000001</c:v>
                </c:pt>
                <c:pt idx="306">
                  <c:v>18.731000000000002</c:v>
                </c:pt>
                <c:pt idx="307">
                  <c:v>18.786000000000001</c:v>
                </c:pt>
                <c:pt idx="308">
                  <c:v>18.157</c:v>
                </c:pt>
                <c:pt idx="309">
                  <c:v>17.856000000000002</c:v>
                </c:pt>
                <c:pt idx="310">
                  <c:v>19.021999999999998</c:v>
                </c:pt>
                <c:pt idx="311">
                  <c:v>19.277999999999999</c:v>
                </c:pt>
                <c:pt idx="312">
                  <c:v>20.062000000000001</c:v>
                </c:pt>
                <c:pt idx="313">
                  <c:v>20.452999999999999</c:v>
                </c:pt>
                <c:pt idx="314">
                  <c:v>22.085000000000001</c:v>
                </c:pt>
                <c:pt idx="315">
                  <c:v>21.745999999999999</c:v>
                </c:pt>
                <c:pt idx="316">
                  <c:v>21.727</c:v>
                </c:pt>
                <c:pt idx="317">
                  <c:v>21.884</c:v>
                </c:pt>
                <c:pt idx="318">
                  <c:v>20.747</c:v>
                </c:pt>
                <c:pt idx="319">
                  <c:v>22.983000000000001</c:v>
                </c:pt>
                <c:pt idx="320">
                  <c:v>26.981000000000002</c:v>
                </c:pt>
                <c:pt idx="321">
                  <c:v>19.835999999999999</c:v>
                </c:pt>
                <c:pt idx="322">
                  <c:v>16.841999999999999</c:v>
                </c:pt>
                <c:pt idx="323">
                  <c:v>17.321999999999999</c:v>
                </c:pt>
                <c:pt idx="324">
                  <c:v>11.35</c:v>
                </c:pt>
                <c:pt idx="325">
                  <c:v>10.199999999999999</c:v>
                </c:pt>
                <c:pt idx="326">
                  <c:v>10.146000000000001</c:v>
                </c:pt>
                <c:pt idx="327">
                  <c:v>9.907</c:v>
                </c:pt>
                <c:pt idx="328">
                  <c:v>9.4109999999999996</c:v>
                </c:pt>
                <c:pt idx="329">
                  <c:v>9.5820000000000007</c:v>
                </c:pt>
                <c:pt idx="330">
                  <c:v>10.114000000000001</c:v>
                </c:pt>
                <c:pt idx="331">
                  <c:v>9.6120000000000001</c:v>
                </c:pt>
                <c:pt idx="332">
                  <c:v>9.9860000000000007</c:v>
                </c:pt>
                <c:pt idx="333">
                  <c:v>9.0920000000000005</c:v>
                </c:pt>
                <c:pt idx="334">
                  <c:v>9.3539999999999992</c:v>
                </c:pt>
                <c:pt idx="335">
                  <c:v>9.1289999999999996</c:v>
                </c:pt>
                <c:pt idx="336">
                  <c:v>9.6029999999999998</c:v>
                </c:pt>
                <c:pt idx="337">
                  <c:v>9.7449999999999992</c:v>
                </c:pt>
                <c:pt idx="338">
                  <c:v>9.36</c:v>
                </c:pt>
                <c:pt idx="339">
                  <c:v>10.788</c:v>
                </c:pt>
                <c:pt idx="340">
                  <c:v>11.903</c:v>
                </c:pt>
                <c:pt idx="341">
                  <c:v>11.266999999999999</c:v>
                </c:pt>
                <c:pt idx="342">
                  <c:v>12.641999999999999</c:v>
                </c:pt>
                <c:pt idx="343">
                  <c:v>11.994</c:v>
                </c:pt>
                <c:pt idx="344">
                  <c:v>11.092000000000001</c:v>
                </c:pt>
                <c:pt idx="345">
                  <c:v>11.061999999999999</c:v>
                </c:pt>
                <c:pt idx="346">
                  <c:v>10.474</c:v>
                </c:pt>
                <c:pt idx="347">
                  <c:v>11.27</c:v>
                </c:pt>
                <c:pt idx="348">
                  <c:v>12.22</c:v>
                </c:pt>
                <c:pt idx="349">
                  <c:v>10.994999999999999</c:v>
                </c:pt>
                <c:pt idx="350">
                  <c:v>9.8699999999999992</c:v>
                </c:pt>
                <c:pt idx="351">
                  <c:v>8.9960000000000004</c:v>
                </c:pt>
                <c:pt idx="352">
                  <c:v>8.9939999999999998</c:v>
                </c:pt>
                <c:pt idx="353">
                  <c:v>8.577</c:v>
                </c:pt>
                <c:pt idx="354">
                  <c:v>8.3000000000000007</c:v>
                </c:pt>
                <c:pt idx="355">
                  <c:v>8.51</c:v>
                </c:pt>
                <c:pt idx="356">
                  <c:v>8.1709999999999994</c:v>
                </c:pt>
                <c:pt idx="357">
                  <c:v>7.851</c:v>
                </c:pt>
                <c:pt idx="358">
                  <c:v>8.016</c:v>
                </c:pt>
                <c:pt idx="359">
                  <c:v>8.0660000000000007</c:v>
                </c:pt>
                <c:pt idx="360">
                  <c:v>8.1690000000000005</c:v>
                </c:pt>
                <c:pt idx="361">
                  <c:v>7.9770000000000003</c:v>
                </c:pt>
                <c:pt idx="362">
                  <c:v>8.1890000000000001</c:v>
                </c:pt>
                <c:pt idx="363">
                  <c:v>8.0030000000000001</c:v>
                </c:pt>
                <c:pt idx="364">
                  <c:v>8.36</c:v>
                </c:pt>
                <c:pt idx="365">
                  <c:v>8.0210000000000008</c:v>
                </c:pt>
                <c:pt idx="366">
                  <c:v>8.7189999999999994</c:v>
                </c:pt>
                <c:pt idx="367">
                  <c:v>8.75</c:v>
                </c:pt>
                <c:pt idx="368">
                  <c:v>9.093</c:v>
                </c:pt>
                <c:pt idx="369">
                  <c:v>9.1859999999999999</c:v>
                </c:pt>
                <c:pt idx="370">
                  <c:v>9.2149999999999999</c:v>
                </c:pt>
                <c:pt idx="371">
                  <c:v>8.7070000000000007</c:v>
                </c:pt>
                <c:pt idx="372">
                  <c:v>9.6579999999999995</c:v>
                </c:pt>
                <c:pt idx="373">
                  <c:v>9.6820000000000004</c:v>
                </c:pt>
                <c:pt idx="374">
                  <c:v>9.9529999999999994</c:v>
                </c:pt>
                <c:pt idx="375">
                  <c:v>9.8130000000000006</c:v>
                </c:pt>
                <c:pt idx="376">
                  <c:v>10.087999999999999</c:v>
                </c:pt>
                <c:pt idx="377">
                  <c:v>9.9730000000000008</c:v>
                </c:pt>
                <c:pt idx="378">
                  <c:v>10.166</c:v>
                </c:pt>
                <c:pt idx="379">
                  <c:v>10.512</c:v>
                </c:pt>
                <c:pt idx="380">
                  <c:v>9.15</c:v>
                </c:pt>
                <c:pt idx="381">
                  <c:v>9.4290000000000003</c:v>
                </c:pt>
                <c:pt idx="382">
                  <c:v>9.85</c:v>
                </c:pt>
                <c:pt idx="383">
                  <c:v>10.505000000000001</c:v>
                </c:pt>
                <c:pt idx="384">
                  <c:v>10.36</c:v>
                </c:pt>
                <c:pt idx="385">
                  <c:v>9.7989999999999995</c:v>
                </c:pt>
                <c:pt idx="386">
                  <c:v>9.9329999999999998</c:v>
                </c:pt>
                <c:pt idx="387">
                  <c:v>10.231</c:v>
                </c:pt>
                <c:pt idx="388">
                  <c:v>10.37</c:v>
                </c:pt>
                <c:pt idx="389">
                  <c:v>11.413</c:v>
                </c:pt>
                <c:pt idx="390">
                  <c:v>11.901999999999999</c:v>
                </c:pt>
                <c:pt idx="391">
                  <c:v>12.478999999999999</c:v>
                </c:pt>
                <c:pt idx="392">
                  <c:v>12.324</c:v>
                </c:pt>
                <c:pt idx="393">
                  <c:v>13.803000000000001</c:v>
                </c:pt>
                <c:pt idx="394">
                  <c:v>14.95</c:v>
                </c:pt>
                <c:pt idx="395">
                  <c:v>16.352</c:v>
                </c:pt>
                <c:pt idx="396">
                  <c:v>15.154</c:v>
                </c:pt>
                <c:pt idx="397">
                  <c:v>14.369</c:v>
                </c:pt>
                <c:pt idx="398">
                  <c:v>14.622</c:v>
                </c:pt>
                <c:pt idx="399">
                  <c:v>16.675000000000001</c:v>
                </c:pt>
                <c:pt idx="400">
                  <c:v>14.03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2-4F85-B894-9C1239BF8B8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-0.44843067829073247</c:v>
                </c:pt>
                <c:pt idx="1">
                  <c:v>-0.44841950621930393</c:v>
                </c:pt>
                <c:pt idx="2">
                  <c:v>-0.44813613869506153</c:v>
                </c:pt>
                <c:pt idx="3">
                  <c:v>-0.44840913247554925</c:v>
                </c:pt>
                <c:pt idx="4">
                  <c:v>-0.44860674022398678</c:v>
                </c:pt>
                <c:pt idx="5">
                  <c:v>-0.44850495010261271</c:v>
                </c:pt>
                <c:pt idx="6">
                  <c:v>-0.44814525505555391</c:v>
                </c:pt>
                <c:pt idx="7">
                  <c:v>-0.44712875271174435</c:v>
                </c:pt>
                <c:pt idx="8">
                  <c:v>-0.44662143991174436</c:v>
                </c:pt>
                <c:pt idx="9">
                  <c:v>-0.44675030481174438</c:v>
                </c:pt>
                <c:pt idx="10">
                  <c:v>-0.44669375323114735</c:v>
                </c:pt>
                <c:pt idx="11">
                  <c:v>-0.44658557169989732</c:v>
                </c:pt>
                <c:pt idx="12">
                  <c:v>-0.44657280445589737</c:v>
                </c:pt>
                <c:pt idx="13">
                  <c:v>-0.44657280445589737</c:v>
                </c:pt>
                <c:pt idx="14">
                  <c:v>-0.44675147050589731</c:v>
                </c:pt>
                <c:pt idx="15">
                  <c:v>-0.44632612215454598</c:v>
                </c:pt>
                <c:pt idx="16">
                  <c:v>-0.44667823919367639</c:v>
                </c:pt>
                <c:pt idx="17">
                  <c:v>-0.44693395016758952</c:v>
                </c:pt>
                <c:pt idx="18">
                  <c:v>-0.44733062291758952</c:v>
                </c:pt>
                <c:pt idx="19">
                  <c:v>-0.44734878034092274</c:v>
                </c:pt>
                <c:pt idx="20">
                  <c:v>-0.44679867654689293</c:v>
                </c:pt>
                <c:pt idx="21">
                  <c:v>-0.44705027119732765</c:v>
                </c:pt>
                <c:pt idx="22">
                  <c:v>-0.44683892212474707</c:v>
                </c:pt>
                <c:pt idx="23">
                  <c:v>-0.44639810966111065</c:v>
                </c:pt>
                <c:pt idx="24">
                  <c:v>-0.44615667276880294</c:v>
                </c:pt>
                <c:pt idx="25">
                  <c:v>-0.44600950824466501</c:v>
                </c:pt>
                <c:pt idx="26">
                  <c:v>-0.44591210324466507</c:v>
                </c:pt>
                <c:pt idx="27">
                  <c:v>-0.44609482091405278</c:v>
                </c:pt>
                <c:pt idx="28">
                  <c:v>-0.44585242660155278</c:v>
                </c:pt>
                <c:pt idx="29">
                  <c:v>-0.44604776275355279</c:v>
                </c:pt>
                <c:pt idx="30">
                  <c:v>-0.4456046804027835</c:v>
                </c:pt>
                <c:pt idx="31">
                  <c:v>-0.44457191192849788</c:v>
                </c:pt>
                <c:pt idx="32">
                  <c:v>-0.44386581092391764</c:v>
                </c:pt>
                <c:pt idx="33">
                  <c:v>-0.44379646654058436</c:v>
                </c:pt>
                <c:pt idx="34">
                  <c:v>-0.44381496932017617</c:v>
                </c:pt>
                <c:pt idx="35">
                  <c:v>-0.4431734388482661</c:v>
                </c:pt>
                <c:pt idx="36">
                  <c:v>-0.44425764061641893</c:v>
                </c:pt>
                <c:pt idx="37">
                  <c:v>-0.44467991843241889</c:v>
                </c:pt>
                <c:pt idx="38">
                  <c:v>-0.44410301928956181</c:v>
                </c:pt>
                <c:pt idx="39">
                  <c:v>-0.44588683083615582</c:v>
                </c:pt>
                <c:pt idx="40">
                  <c:v>-0.4451586870372794</c:v>
                </c:pt>
                <c:pt idx="41">
                  <c:v>-0.44543495805061273</c:v>
                </c:pt>
                <c:pt idx="42">
                  <c:v>-0.44493200391681959</c:v>
                </c:pt>
                <c:pt idx="43">
                  <c:v>-0.44397020001222193</c:v>
                </c:pt>
                <c:pt idx="44">
                  <c:v>-0.44422365515716578</c:v>
                </c:pt>
                <c:pt idx="45">
                  <c:v>-0.44436334793135934</c:v>
                </c:pt>
                <c:pt idx="46">
                  <c:v>-0.44381406638615384</c:v>
                </c:pt>
                <c:pt idx="47">
                  <c:v>-0.44393725007365387</c:v>
                </c:pt>
                <c:pt idx="48">
                  <c:v>-0.44394386200143154</c:v>
                </c:pt>
                <c:pt idx="49">
                  <c:v>-0.44347547296143158</c:v>
                </c:pt>
                <c:pt idx="50">
                  <c:v>-0.44194458235143164</c:v>
                </c:pt>
                <c:pt idx="51">
                  <c:v>-0.44219490258880534</c:v>
                </c:pt>
                <c:pt idx="52">
                  <c:v>-0.44062127791153261</c:v>
                </c:pt>
                <c:pt idx="53">
                  <c:v>-0.43845477554424039</c:v>
                </c:pt>
                <c:pt idx="54">
                  <c:v>-0.4305500513984914</c:v>
                </c:pt>
                <c:pt idx="55">
                  <c:v>-0.43051085406804557</c:v>
                </c:pt>
                <c:pt idx="56">
                  <c:v>-0.429938727013016</c:v>
                </c:pt>
                <c:pt idx="57">
                  <c:v>-0.42948352404321322</c:v>
                </c:pt>
                <c:pt idx="58">
                  <c:v>-0.42872691263030999</c:v>
                </c:pt>
                <c:pt idx="59">
                  <c:v>-0.42804161007759683</c:v>
                </c:pt>
                <c:pt idx="60">
                  <c:v>-0.42832942322697953</c:v>
                </c:pt>
                <c:pt idx="61">
                  <c:v>-0.42867994255555097</c:v>
                </c:pt>
                <c:pt idx="62">
                  <c:v>-0.42852415597555094</c:v>
                </c:pt>
                <c:pt idx="63">
                  <c:v>-0.42736503227874245</c:v>
                </c:pt>
                <c:pt idx="64">
                  <c:v>-0.42798536731044973</c:v>
                </c:pt>
                <c:pt idx="65">
                  <c:v>-0.42748357673902115</c:v>
                </c:pt>
                <c:pt idx="66">
                  <c:v>-0.4261058199208394</c:v>
                </c:pt>
                <c:pt idx="67">
                  <c:v>-0.42563889826829698</c:v>
                </c:pt>
                <c:pt idx="68">
                  <c:v>-0.42571301248163035</c:v>
                </c:pt>
                <c:pt idx="69">
                  <c:v>-0.4255049029725394</c:v>
                </c:pt>
                <c:pt idx="70">
                  <c:v>-0.42597662139902592</c:v>
                </c:pt>
                <c:pt idx="71">
                  <c:v>-0.42512083192772648</c:v>
                </c:pt>
                <c:pt idx="72">
                  <c:v>-0.4249780846632637</c:v>
                </c:pt>
                <c:pt idx="73">
                  <c:v>-0.42457138754924501</c:v>
                </c:pt>
                <c:pt idx="74">
                  <c:v>-0.42418700495930084</c:v>
                </c:pt>
                <c:pt idx="75">
                  <c:v>-0.42429067900374523</c:v>
                </c:pt>
                <c:pt idx="76">
                  <c:v>-0.42451204136492171</c:v>
                </c:pt>
                <c:pt idx="77">
                  <c:v>-0.42394410839639024</c:v>
                </c:pt>
                <c:pt idx="78">
                  <c:v>-0.42316672229882923</c:v>
                </c:pt>
                <c:pt idx="79">
                  <c:v>-0.41895260388875732</c:v>
                </c:pt>
                <c:pt idx="80">
                  <c:v>-0.41790628179573402</c:v>
                </c:pt>
                <c:pt idx="81">
                  <c:v>-0.41567727109836555</c:v>
                </c:pt>
                <c:pt idx="82">
                  <c:v>-0.40650642880469462</c:v>
                </c:pt>
                <c:pt idx="83">
                  <c:v>-0.40639544384173171</c:v>
                </c:pt>
                <c:pt idx="84">
                  <c:v>-0.40569923987211143</c:v>
                </c:pt>
                <c:pt idx="85">
                  <c:v>-0.40565078348399958</c:v>
                </c:pt>
                <c:pt idx="86">
                  <c:v>-0.40463677867912157</c:v>
                </c:pt>
                <c:pt idx="87">
                  <c:v>-0.4040278761460781</c:v>
                </c:pt>
                <c:pt idx="88">
                  <c:v>-0.40389878091304643</c:v>
                </c:pt>
                <c:pt idx="89">
                  <c:v>-0.40345053533082426</c:v>
                </c:pt>
                <c:pt idx="90">
                  <c:v>-0.40277788028254841</c:v>
                </c:pt>
                <c:pt idx="91">
                  <c:v>-0.40277788028254841</c:v>
                </c:pt>
                <c:pt idx="92">
                  <c:v>-0.40282891042699281</c:v>
                </c:pt>
                <c:pt idx="93">
                  <c:v>-0.40095989831938411</c:v>
                </c:pt>
                <c:pt idx="94">
                  <c:v>-0.40034118226141313</c:v>
                </c:pt>
                <c:pt idx="95">
                  <c:v>-0.39968235285418424</c:v>
                </c:pt>
                <c:pt idx="96">
                  <c:v>-0.39887978692918419</c:v>
                </c:pt>
                <c:pt idx="97">
                  <c:v>-0.39883269920251757</c:v>
                </c:pt>
                <c:pt idx="98">
                  <c:v>-0.39837655229639518</c:v>
                </c:pt>
                <c:pt idx="99">
                  <c:v>-0.39646134076409695</c:v>
                </c:pt>
                <c:pt idx="100">
                  <c:v>-0.39721697996897504</c:v>
                </c:pt>
                <c:pt idx="101">
                  <c:v>-0.39634480099754649</c:v>
                </c:pt>
                <c:pt idx="102">
                  <c:v>-0.3964115769379134</c:v>
                </c:pt>
                <c:pt idx="103">
                  <c:v>-0.39594409219609533</c:v>
                </c:pt>
                <c:pt idx="104">
                  <c:v>-0.39569543135936064</c:v>
                </c:pt>
                <c:pt idx="105">
                  <c:v>-0.39482185230616917</c:v>
                </c:pt>
                <c:pt idx="106">
                  <c:v>-0.39415509181364577</c:v>
                </c:pt>
                <c:pt idx="107">
                  <c:v>-0.39444912328950776</c:v>
                </c:pt>
                <c:pt idx="108">
                  <c:v>-0.39441456108605949</c:v>
                </c:pt>
                <c:pt idx="109">
                  <c:v>-0.39391920643900069</c:v>
                </c:pt>
                <c:pt idx="110">
                  <c:v>-0.39342073487628876</c:v>
                </c:pt>
                <c:pt idx="111">
                  <c:v>-0.39323085251107143</c:v>
                </c:pt>
                <c:pt idx="112">
                  <c:v>-0.39187263327936411</c:v>
                </c:pt>
                <c:pt idx="113">
                  <c:v>-0.39098771707364982</c:v>
                </c:pt>
                <c:pt idx="114">
                  <c:v>-0.39018825839364984</c:v>
                </c:pt>
                <c:pt idx="115">
                  <c:v>-0.38913728639364981</c:v>
                </c:pt>
                <c:pt idx="116">
                  <c:v>-0.38980872196800881</c:v>
                </c:pt>
                <c:pt idx="117">
                  <c:v>-0.38910996784836593</c:v>
                </c:pt>
                <c:pt idx="118">
                  <c:v>-0.38774405263996897</c:v>
                </c:pt>
                <c:pt idx="119">
                  <c:v>-0.38873820219242805</c:v>
                </c:pt>
                <c:pt idx="120">
                  <c:v>-0.38954679505340367</c:v>
                </c:pt>
                <c:pt idx="121">
                  <c:v>-0.38876708675216914</c:v>
                </c:pt>
                <c:pt idx="122">
                  <c:v>-0.38568813429008958</c:v>
                </c:pt>
                <c:pt idx="123">
                  <c:v>-0.38417471765339894</c:v>
                </c:pt>
                <c:pt idx="124">
                  <c:v>-0.38496410242743401</c:v>
                </c:pt>
                <c:pt idx="125">
                  <c:v>-0.38421991467957084</c:v>
                </c:pt>
                <c:pt idx="126">
                  <c:v>-0.38377395463549785</c:v>
                </c:pt>
                <c:pt idx="127">
                  <c:v>-0.3848568118448002</c:v>
                </c:pt>
                <c:pt idx="128">
                  <c:v>-0.38566079604940845</c:v>
                </c:pt>
                <c:pt idx="129">
                  <c:v>-0.38411864498099718</c:v>
                </c:pt>
                <c:pt idx="130">
                  <c:v>-0.38380940317414791</c:v>
                </c:pt>
                <c:pt idx="131">
                  <c:v>-0.38263319910036148</c:v>
                </c:pt>
                <c:pt idx="132">
                  <c:v>-0.38221563162893291</c:v>
                </c:pt>
                <c:pt idx="133">
                  <c:v>-0.3815328848236697</c:v>
                </c:pt>
                <c:pt idx="134">
                  <c:v>-0.37993565654074291</c:v>
                </c:pt>
                <c:pt idx="135">
                  <c:v>-0.37307449180268981</c:v>
                </c:pt>
                <c:pt idx="136">
                  <c:v>-0.37565417723045003</c:v>
                </c:pt>
                <c:pt idx="137">
                  <c:v>-0.37504514959887109</c:v>
                </c:pt>
                <c:pt idx="138">
                  <c:v>-0.37530397349360795</c:v>
                </c:pt>
                <c:pt idx="139">
                  <c:v>-0.37232002619202065</c:v>
                </c:pt>
                <c:pt idx="140">
                  <c:v>-0.37094577667096801</c:v>
                </c:pt>
                <c:pt idx="141">
                  <c:v>-0.37043131975934013</c:v>
                </c:pt>
                <c:pt idx="142">
                  <c:v>-0.37264370049570372</c:v>
                </c:pt>
                <c:pt idx="143">
                  <c:v>-0.3717858231613726</c:v>
                </c:pt>
                <c:pt idx="144">
                  <c:v>-0.3704083450205275</c:v>
                </c:pt>
                <c:pt idx="145">
                  <c:v>-0.36995350431363094</c:v>
                </c:pt>
                <c:pt idx="146">
                  <c:v>-0.368613125413631</c:v>
                </c:pt>
                <c:pt idx="147">
                  <c:v>-0.36790029834466548</c:v>
                </c:pt>
                <c:pt idx="148">
                  <c:v>-0.3677668685296655</c:v>
                </c:pt>
                <c:pt idx="149">
                  <c:v>-0.36913467359671465</c:v>
                </c:pt>
                <c:pt idx="150">
                  <c:v>-0.36723936109248784</c:v>
                </c:pt>
                <c:pt idx="151">
                  <c:v>-0.36277690299355175</c:v>
                </c:pt>
                <c:pt idx="152">
                  <c:v>-0.34754477081835311</c:v>
                </c:pt>
                <c:pt idx="153">
                  <c:v>-0.34754477081835311</c:v>
                </c:pt>
                <c:pt idx="154">
                  <c:v>-0.34774688631441197</c:v>
                </c:pt>
                <c:pt idx="155">
                  <c:v>-0.34494412509862199</c:v>
                </c:pt>
                <c:pt idx="156">
                  <c:v>-0.34133755963248541</c:v>
                </c:pt>
                <c:pt idx="157">
                  <c:v>-0.34193821670793706</c:v>
                </c:pt>
                <c:pt idx="158">
                  <c:v>-0.33967541938296408</c:v>
                </c:pt>
                <c:pt idx="159">
                  <c:v>-0.3397999664149336</c:v>
                </c:pt>
                <c:pt idx="160">
                  <c:v>-0.33637168772455811</c:v>
                </c:pt>
                <c:pt idx="161">
                  <c:v>-0.32793852297141091</c:v>
                </c:pt>
                <c:pt idx="162">
                  <c:v>-0.32860749413402041</c:v>
                </c:pt>
                <c:pt idx="163">
                  <c:v>-0.32778215430426549</c:v>
                </c:pt>
                <c:pt idx="164">
                  <c:v>-0.32207812646990691</c:v>
                </c:pt>
                <c:pt idx="165">
                  <c:v>-0.31400386305408062</c:v>
                </c:pt>
                <c:pt idx="166">
                  <c:v>-0.31000319358621309</c:v>
                </c:pt>
                <c:pt idx="167">
                  <c:v>-0.30450052806430505</c:v>
                </c:pt>
                <c:pt idx="168">
                  <c:v>-0.29675454488232733</c:v>
                </c:pt>
                <c:pt idx="169">
                  <c:v>-0.29304379825662474</c:v>
                </c:pt>
                <c:pt idx="170">
                  <c:v>-0.26404177539245627</c:v>
                </c:pt>
                <c:pt idx="171">
                  <c:v>-0.20187765890187478</c:v>
                </c:pt>
                <c:pt idx="172">
                  <c:v>-0.21732661943047138</c:v>
                </c:pt>
                <c:pt idx="173">
                  <c:v>-0.24507749149346827</c:v>
                </c:pt>
                <c:pt idx="174">
                  <c:v>-0.22579896564040658</c:v>
                </c:pt>
                <c:pt idx="175">
                  <c:v>-0.23567766923786754</c:v>
                </c:pt>
                <c:pt idx="176">
                  <c:v>-0.23650003661483562</c:v>
                </c:pt>
                <c:pt idx="177">
                  <c:v>-0.23686529490651229</c:v>
                </c:pt>
                <c:pt idx="178">
                  <c:v>-0.23637931331412637</c:v>
                </c:pt>
                <c:pt idx="179">
                  <c:v>-0.23592239870126758</c:v>
                </c:pt>
                <c:pt idx="180">
                  <c:v>-0.23273893865966755</c:v>
                </c:pt>
                <c:pt idx="181">
                  <c:v>-0.23185470903751693</c:v>
                </c:pt>
                <c:pt idx="182">
                  <c:v>-0.23144580919069041</c:v>
                </c:pt>
                <c:pt idx="183">
                  <c:v>-0.23167299467162464</c:v>
                </c:pt>
                <c:pt idx="184">
                  <c:v>-0.23323676554152517</c:v>
                </c:pt>
                <c:pt idx="185">
                  <c:v>-0.23099927493931274</c:v>
                </c:pt>
                <c:pt idx="186">
                  <c:v>-0.23147652777024796</c:v>
                </c:pt>
                <c:pt idx="187">
                  <c:v>-0.23374144254054768</c:v>
                </c:pt>
                <c:pt idx="188">
                  <c:v>-0.23249964071292417</c:v>
                </c:pt>
                <c:pt idx="189">
                  <c:v>-0.23247554772531631</c:v>
                </c:pt>
                <c:pt idx="190">
                  <c:v>-0.23497949007431843</c:v>
                </c:pt>
                <c:pt idx="191">
                  <c:v>-0.23763102107536777</c:v>
                </c:pt>
                <c:pt idx="192">
                  <c:v>-0.23727386656866201</c:v>
                </c:pt>
                <c:pt idx="193">
                  <c:v>-0.23898727102606065</c:v>
                </c:pt>
                <c:pt idx="194">
                  <c:v>-0.23934300358142277</c:v>
                </c:pt>
                <c:pt idx="195">
                  <c:v>-0.23888429556975496</c:v>
                </c:pt>
                <c:pt idx="196">
                  <c:v>-0.23837977750642161</c:v>
                </c:pt>
                <c:pt idx="197">
                  <c:v>-0.23741873384186674</c:v>
                </c:pt>
                <c:pt idx="198">
                  <c:v>-0.24058990927382107</c:v>
                </c:pt>
                <c:pt idx="199">
                  <c:v>-0.24325836796770611</c:v>
                </c:pt>
                <c:pt idx="200">
                  <c:v>-0.24518991130620613</c:v>
                </c:pt>
                <c:pt idx="201">
                  <c:v>-0.24309297687495082</c:v>
                </c:pt>
                <c:pt idx="202">
                  <c:v>-0.24369822913233671</c:v>
                </c:pt>
                <c:pt idx="203">
                  <c:v>-0.24432522149968713</c:v>
                </c:pt>
                <c:pt idx="204">
                  <c:v>-0.24280821371168712</c:v>
                </c:pt>
                <c:pt idx="205">
                  <c:v>-0.24345267182672195</c:v>
                </c:pt>
                <c:pt idx="206">
                  <c:v>-0.24363017422651576</c:v>
                </c:pt>
                <c:pt idx="207">
                  <c:v>-0.24370845790920298</c:v>
                </c:pt>
                <c:pt idx="208">
                  <c:v>-0.24345710113584054</c:v>
                </c:pt>
                <c:pt idx="209">
                  <c:v>-0.243224996753895</c:v>
                </c:pt>
                <c:pt idx="210">
                  <c:v>-0.23952167277659783</c:v>
                </c:pt>
                <c:pt idx="211">
                  <c:v>-0.23817990305872072</c:v>
                </c:pt>
                <c:pt idx="212">
                  <c:v>-0.2387783507523786</c:v>
                </c:pt>
                <c:pt idx="213">
                  <c:v>-0.23911437246425171</c:v>
                </c:pt>
                <c:pt idx="214">
                  <c:v>-0.23877009448756298</c:v>
                </c:pt>
                <c:pt idx="215">
                  <c:v>-0.239746811046157</c:v>
                </c:pt>
                <c:pt idx="216">
                  <c:v>-0.24032917863042835</c:v>
                </c:pt>
                <c:pt idx="217">
                  <c:v>-0.24012249766125468</c:v>
                </c:pt>
                <c:pt idx="218">
                  <c:v>-0.23947957488832444</c:v>
                </c:pt>
                <c:pt idx="219">
                  <c:v>-0.23932004813633304</c:v>
                </c:pt>
                <c:pt idx="220">
                  <c:v>-0.2394987564353161</c:v>
                </c:pt>
                <c:pt idx="221">
                  <c:v>-0.23715039619615183</c:v>
                </c:pt>
                <c:pt idx="222">
                  <c:v>-0.23740150273241337</c:v>
                </c:pt>
                <c:pt idx="223">
                  <c:v>-0.23692406174150304</c:v>
                </c:pt>
                <c:pt idx="224">
                  <c:v>-0.23624746251199993</c:v>
                </c:pt>
                <c:pt idx="225">
                  <c:v>-0.23551268297666611</c:v>
                </c:pt>
                <c:pt idx="226">
                  <c:v>-0.23461211125849027</c:v>
                </c:pt>
                <c:pt idx="227">
                  <c:v>-0.23386997643517796</c:v>
                </c:pt>
                <c:pt idx="228">
                  <c:v>-0.23337978223114966</c:v>
                </c:pt>
                <c:pt idx="229">
                  <c:v>-0.23454413739214081</c:v>
                </c:pt>
                <c:pt idx="230">
                  <c:v>-0.23627120677342955</c:v>
                </c:pt>
                <c:pt idx="231">
                  <c:v>-0.22505668045754279</c:v>
                </c:pt>
                <c:pt idx="232">
                  <c:v>-0.22724915659089889</c:v>
                </c:pt>
                <c:pt idx="233">
                  <c:v>-0.22906843685052153</c:v>
                </c:pt>
                <c:pt idx="234">
                  <c:v>-0.23063970605568107</c:v>
                </c:pt>
                <c:pt idx="235">
                  <c:v>-0.22828342574900992</c:v>
                </c:pt>
                <c:pt idx="236">
                  <c:v>-0.22843482669126555</c:v>
                </c:pt>
                <c:pt idx="237">
                  <c:v>-0.22719342991615984</c:v>
                </c:pt>
                <c:pt idx="238">
                  <c:v>-0.2251935765919473</c:v>
                </c:pt>
                <c:pt idx="239">
                  <c:v>-0.22388499202183987</c:v>
                </c:pt>
                <c:pt idx="240">
                  <c:v>-0.22262080621280309</c:v>
                </c:pt>
                <c:pt idx="241">
                  <c:v>-0.22136323955761589</c:v>
                </c:pt>
                <c:pt idx="242">
                  <c:v>-0.22336306011508011</c:v>
                </c:pt>
                <c:pt idx="243">
                  <c:v>-0.2239644352265468</c:v>
                </c:pt>
                <c:pt idx="244">
                  <c:v>-0.22252321317310819</c:v>
                </c:pt>
                <c:pt idx="245">
                  <c:v>-0.21703580311598886</c:v>
                </c:pt>
                <c:pt idx="246">
                  <c:v>-0.21897311405771408</c:v>
                </c:pt>
                <c:pt idx="247">
                  <c:v>-0.2200923782794153</c:v>
                </c:pt>
                <c:pt idx="248">
                  <c:v>-0.22045029841258898</c:v>
                </c:pt>
                <c:pt idx="249">
                  <c:v>-0.2217088381975392</c:v>
                </c:pt>
                <c:pt idx="250">
                  <c:v>-0.20851005673168008</c:v>
                </c:pt>
                <c:pt idx="251">
                  <c:v>-0.20412094081537663</c:v>
                </c:pt>
                <c:pt idx="252">
                  <c:v>-0.21147561745801891</c:v>
                </c:pt>
                <c:pt idx="253">
                  <c:v>-0.21380801228881971</c:v>
                </c:pt>
                <c:pt idx="254">
                  <c:v>-0.19953449433051107</c:v>
                </c:pt>
                <c:pt idx="255">
                  <c:v>-0.20940423012263418</c:v>
                </c:pt>
                <c:pt idx="256">
                  <c:v>-0.21697725906263418</c:v>
                </c:pt>
                <c:pt idx="257">
                  <c:v>-0.20225072689888685</c:v>
                </c:pt>
                <c:pt idx="258">
                  <c:v>-0.19628723031378881</c:v>
                </c:pt>
                <c:pt idx="259">
                  <c:v>-0.19896150122733414</c:v>
                </c:pt>
                <c:pt idx="260">
                  <c:v>-0.18992071680438138</c:v>
                </c:pt>
                <c:pt idx="261">
                  <c:v>-0.17697934322432701</c:v>
                </c:pt>
                <c:pt idx="262">
                  <c:v>-0.17603123879582136</c:v>
                </c:pt>
                <c:pt idx="263">
                  <c:v>-0.17396834498995026</c:v>
                </c:pt>
                <c:pt idx="264">
                  <c:v>-0.17124113781381786</c:v>
                </c:pt>
                <c:pt idx="265">
                  <c:v>-0.16848951477652696</c:v>
                </c:pt>
                <c:pt idx="266">
                  <c:v>-0.16650934275502471</c:v>
                </c:pt>
                <c:pt idx="267">
                  <c:v>-0.16404169376973712</c:v>
                </c:pt>
                <c:pt idx="268">
                  <c:v>-0.1636941222023634</c:v>
                </c:pt>
                <c:pt idx="269">
                  <c:v>-0.15022688395695516</c:v>
                </c:pt>
                <c:pt idx="270">
                  <c:v>-0.14598976824352233</c:v>
                </c:pt>
                <c:pt idx="271">
                  <c:v>-0.14830312836415649</c:v>
                </c:pt>
                <c:pt idx="272">
                  <c:v>-0.14264001260304848</c:v>
                </c:pt>
                <c:pt idx="273">
                  <c:v>-0.13995620966645034</c:v>
                </c:pt>
                <c:pt idx="274">
                  <c:v>-0.14099614805751556</c:v>
                </c:pt>
                <c:pt idx="275">
                  <c:v>-0.12297681998072084</c:v>
                </c:pt>
                <c:pt idx="276">
                  <c:v>-0.11929422651831918</c:v>
                </c:pt>
                <c:pt idx="277">
                  <c:v>-0.12820662824603118</c:v>
                </c:pt>
                <c:pt idx="278">
                  <c:v>-0.13606196465346387</c:v>
                </c:pt>
                <c:pt idx="279">
                  <c:v>-0.13729598439897053</c:v>
                </c:pt>
                <c:pt idx="280">
                  <c:v>-0.13721819142821079</c:v>
                </c:pt>
                <c:pt idx="281">
                  <c:v>-0.13661101847845888</c:v>
                </c:pt>
                <c:pt idx="282">
                  <c:v>-0.13157211597322388</c:v>
                </c:pt>
                <c:pt idx="283">
                  <c:v>-0.1325683201691476</c:v>
                </c:pt>
                <c:pt idx="284">
                  <c:v>-0.13304128335110837</c:v>
                </c:pt>
                <c:pt idx="285">
                  <c:v>-0.12330338194841765</c:v>
                </c:pt>
                <c:pt idx="286">
                  <c:v>-0.12456557033429501</c:v>
                </c:pt>
                <c:pt idx="287">
                  <c:v>-0.12311416426425698</c:v>
                </c:pt>
                <c:pt idx="288">
                  <c:v>-0.12181675138327927</c:v>
                </c:pt>
                <c:pt idx="289">
                  <c:v>-0.1216643551958987</c:v>
                </c:pt>
                <c:pt idx="290">
                  <c:v>-8.1797509856808129E-2</c:v>
                </c:pt>
                <c:pt idx="291">
                  <c:v>-9.0973273998495308E-2</c:v>
                </c:pt>
                <c:pt idx="292">
                  <c:v>-9.6857347775066716E-2</c:v>
                </c:pt>
                <c:pt idx="293">
                  <c:v>-9.3527895433986874E-2</c:v>
                </c:pt>
                <c:pt idx="294">
                  <c:v>-9.2963337342316724E-2</c:v>
                </c:pt>
                <c:pt idx="295">
                  <c:v>-8.7189513068780672E-2</c:v>
                </c:pt>
                <c:pt idx="296">
                  <c:v>-6.5821982329468259E-2</c:v>
                </c:pt>
                <c:pt idx="297">
                  <c:v>-6.5575398630725285E-2</c:v>
                </c:pt>
                <c:pt idx="298">
                  <c:v>-6.5421534002153864E-2</c:v>
                </c:pt>
                <c:pt idx="299">
                  <c:v>-6.5995201480043619E-2</c:v>
                </c:pt>
                <c:pt idx="300">
                  <c:v>-6.4650921254645347E-2</c:v>
                </c:pt>
                <c:pt idx="301">
                  <c:v>-6.3607750969830526E-2</c:v>
                </c:pt>
                <c:pt idx="302">
                  <c:v>-6.2844849453736196E-2</c:v>
                </c:pt>
                <c:pt idx="303">
                  <c:v>-6.0685041880664863E-2</c:v>
                </c:pt>
                <c:pt idx="304">
                  <c:v>-5.9645450140647323E-2</c:v>
                </c:pt>
                <c:pt idx="305">
                  <c:v>-5.9942027558435092E-2</c:v>
                </c:pt>
                <c:pt idx="306">
                  <c:v>-5.9089189902116819E-2</c:v>
                </c:pt>
                <c:pt idx="307">
                  <c:v>-5.9368268636169577E-2</c:v>
                </c:pt>
                <c:pt idx="308">
                  <c:v>-5.8732189385525831E-2</c:v>
                </c:pt>
                <c:pt idx="309">
                  <c:v>-5.650965123353531E-2</c:v>
                </c:pt>
                <c:pt idx="310">
                  <c:v>-5.4677173350588908E-2</c:v>
                </c:pt>
                <c:pt idx="311">
                  <c:v>-5.2530343289201004E-2</c:v>
                </c:pt>
                <c:pt idx="312">
                  <c:v>-5.1861303461487998E-2</c:v>
                </c:pt>
                <c:pt idx="313">
                  <c:v>-4.8830320197364635E-2</c:v>
                </c:pt>
                <c:pt idx="314">
                  <c:v>-4.6945860754149499E-2</c:v>
                </c:pt>
                <c:pt idx="315">
                  <c:v>-4.6588472315228842E-2</c:v>
                </c:pt>
                <c:pt idx="316">
                  <c:v>-4.5412551366259053E-2</c:v>
                </c:pt>
                <c:pt idx="317">
                  <c:v>-4.3664666399765836E-2</c:v>
                </c:pt>
                <c:pt idx="318">
                  <c:v>-4.4191172648189565E-2</c:v>
                </c:pt>
                <c:pt idx="319">
                  <c:v>-4.0264018209896009E-2</c:v>
                </c:pt>
                <c:pt idx="320">
                  <c:v>-3.3319552631663266E-2</c:v>
                </c:pt>
                <c:pt idx="321">
                  <c:v>-4.1630452477003713E-2</c:v>
                </c:pt>
                <c:pt idx="322">
                  <c:v>-4.213290280213846E-2</c:v>
                </c:pt>
                <c:pt idx="323">
                  <c:v>-3.0468477052357411E-2</c:v>
                </c:pt>
                <c:pt idx="324">
                  <c:v>-2.5932149434149312E-2</c:v>
                </c:pt>
                <c:pt idx="325">
                  <c:v>-2.7715578015702711E-2</c:v>
                </c:pt>
                <c:pt idx="326">
                  <c:v>-2.7925204961509159E-2</c:v>
                </c:pt>
                <c:pt idx="327">
                  <c:v>-2.7451226531943946E-2</c:v>
                </c:pt>
                <c:pt idx="328">
                  <c:v>-2.8009197672077098E-2</c:v>
                </c:pt>
                <c:pt idx="329">
                  <c:v>-2.8126430022939523E-2</c:v>
                </c:pt>
                <c:pt idx="330">
                  <c:v>-2.7518502258795038E-2</c:v>
                </c:pt>
                <c:pt idx="331">
                  <c:v>-2.7582350878351064E-2</c:v>
                </c:pt>
                <c:pt idx="332">
                  <c:v>-2.7313880074197223E-2</c:v>
                </c:pt>
                <c:pt idx="333">
                  <c:v>-2.8111125264519803E-2</c:v>
                </c:pt>
                <c:pt idx="334">
                  <c:v>-2.6135786801266919E-2</c:v>
                </c:pt>
                <c:pt idx="335">
                  <c:v>-2.5921741998147649E-2</c:v>
                </c:pt>
                <c:pt idx="336">
                  <c:v>-2.5599686449311598E-2</c:v>
                </c:pt>
                <c:pt idx="337">
                  <c:v>-2.4992057954151971E-2</c:v>
                </c:pt>
                <c:pt idx="338">
                  <c:v>-2.4840924082663297E-2</c:v>
                </c:pt>
                <c:pt idx="339">
                  <c:v>-2.4496153496213782E-2</c:v>
                </c:pt>
                <c:pt idx="340">
                  <c:v>-2.4960147775831488E-2</c:v>
                </c:pt>
                <c:pt idx="341">
                  <c:v>-2.5262311063660989E-2</c:v>
                </c:pt>
                <c:pt idx="342">
                  <c:v>-2.4411453240651051E-2</c:v>
                </c:pt>
                <c:pt idx="343">
                  <c:v>-2.418118356322321E-2</c:v>
                </c:pt>
                <c:pt idx="344">
                  <c:v>-2.49242395166441E-2</c:v>
                </c:pt>
                <c:pt idx="345">
                  <c:v>-2.4804440096082549E-2</c:v>
                </c:pt>
                <c:pt idx="346">
                  <c:v>-2.5023167969771325E-2</c:v>
                </c:pt>
                <c:pt idx="347">
                  <c:v>-2.4875741787101533E-2</c:v>
                </c:pt>
                <c:pt idx="348">
                  <c:v>-2.5034451504192441E-2</c:v>
                </c:pt>
                <c:pt idx="349">
                  <c:v>-2.340768198697063E-2</c:v>
                </c:pt>
                <c:pt idx="350">
                  <c:v>-2.6212947407122145E-2</c:v>
                </c:pt>
                <c:pt idx="351">
                  <c:v>-2.5344750243412116E-2</c:v>
                </c:pt>
                <c:pt idx="352">
                  <c:v>-2.4158829133608773E-2</c:v>
                </c:pt>
                <c:pt idx="353">
                  <c:v>-2.4253225668048776E-2</c:v>
                </c:pt>
                <c:pt idx="354">
                  <c:v>-2.4484843659782877E-2</c:v>
                </c:pt>
                <c:pt idx="355">
                  <c:v>-2.3804602035162815E-2</c:v>
                </c:pt>
                <c:pt idx="356">
                  <c:v>-2.1407713736520149E-2</c:v>
                </c:pt>
                <c:pt idx="357">
                  <c:v>-2.1227653628571427E-2</c:v>
                </c:pt>
                <c:pt idx="358">
                  <c:v>-2.1105732202128132E-2</c:v>
                </c:pt>
                <c:pt idx="359">
                  <c:v>-2.1180141525138509E-2</c:v>
                </c:pt>
                <c:pt idx="360">
                  <c:v>-2.1054640441628761E-2</c:v>
                </c:pt>
                <c:pt idx="361">
                  <c:v>-2.1791299089807196E-2</c:v>
                </c:pt>
                <c:pt idx="362">
                  <c:v>-1.9764915103410805E-2</c:v>
                </c:pt>
                <c:pt idx="363">
                  <c:v>-1.9688168844709506E-2</c:v>
                </c:pt>
                <c:pt idx="364">
                  <c:v>-1.9214762364402938E-2</c:v>
                </c:pt>
                <c:pt idx="365">
                  <c:v>-1.8807325784692696E-2</c:v>
                </c:pt>
                <c:pt idx="366">
                  <c:v>-1.8489761532356017E-2</c:v>
                </c:pt>
                <c:pt idx="367">
                  <c:v>-1.860667279824807E-2</c:v>
                </c:pt>
                <c:pt idx="368">
                  <c:v>-1.8503418514841819E-2</c:v>
                </c:pt>
                <c:pt idx="369">
                  <c:v>-1.8467946397658717E-2</c:v>
                </c:pt>
                <c:pt idx="370">
                  <c:v>-1.8411636754420622E-2</c:v>
                </c:pt>
                <c:pt idx="371">
                  <c:v>-1.8512470690569275E-2</c:v>
                </c:pt>
                <c:pt idx="372">
                  <c:v>-1.7438409500398658E-2</c:v>
                </c:pt>
                <c:pt idx="373">
                  <c:v>-1.7739281277729852E-2</c:v>
                </c:pt>
                <c:pt idx="374">
                  <c:v>-1.580909575207937E-2</c:v>
                </c:pt>
                <c:pt idx="375">
                  <c:v>-1.6012238082452033E-2</c:v>
                </c:pt>
                <c:pt idx="376">
                  <c:v>-1.5534377747652036E-2</c:v>
                </c:pt>
                <c:pt idx="377">
                  <c:v>-1.5623252843431849E-2</c:v>
                </c:pt>
                <c:pt idx="378">
                  <c:v>-1.603010191466506E-2</c:v>
                </c:pt>
                <c:pt idx="379">
                  <c:v>-1.5669132227625861E-2</c:v>
                </c:pt>
                <c:pt idx="380">
                  <c:v>-1.5632103810500647E-2</c:v>
                </c:pt>
                <c:pt idx="381">
                  <c:v>-1.5482625729427201E-2</c:v>
                </c:pt>
                <c:pt idx="382">
                  <c:v>-1.56254073372772E-2</c:v>
                </c:pt>
                <c:pt idx="383">
                  <c:v>-1.548014666664467E-2</c:v>
                </c:pt>
                <c:pt idx="384">
                  <c:v>-1.5566093689379045E-2</c:v>
                </c:pt>
                <c:pt idx="385">
                  <c:v>-1.5311984797856708E-2</c:v>
                </c:pt>
                <c:pt idx="386">
                  <c:v>-1.5444439627584803E-2</c:v>
                </c:pt>
                <c:pt idx="387">
                  <c:v>-1.5291752077675164E-2</c:v>
                </c:pt>
                <c:pt idx="388">
                  <c:v>-1.5250665210518021E-2</c:v>
                </c:pt>
                <c:pt idx="389">
                  <c:v>-1.5090093169921324E-2</c:v>
                </c:pt>
                <c:pt idx="390">
                  <c:v>-1.4808909100654917E-2</c:v>
                </c:pt>
                <c:pt idx="391">
                  <c:v>-1.446961236352377E-2</c:v>
                </c:pt>
                <c:pt idx="392">
                  <c:v>-1.4138258149453841E-2</c:v>
                </c:pt>
                <c:pt idx="393">
                  <c:v>-1.3258138730217563E-2</c:v>
                </c:pt>
                <c:pt idx="394">
                  <c:v>-1.2262145923456999E-2</c:v>
                </c:pt>
                <c:pt idx="395">
                  <c:v>-1.1516547301292339E-2</c:v>
                </c:pt>
                <c:pt idx="396">
                  <c:v>-1.0829237230821751E-2</c:v>
                </c:pt>
                <c:pt idx="397">
                  <c:v>-1.1189409269370933E-2</c:v>
                </c:pt>
                <c:pt idx="398">
                  <c:v>-9.4233821047811743E-3</c:v>
                </c:pt>
                <c:pt idx="399">
                  <c:v>-6.8309726701813482E-3</c:v>
                </c:pt>
                <c:pt idx="400">
                  <c:v>-9.4850083983731362E-3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32-4F85-B894-9C1239BF8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102352"/>
        <c:axId val="643109424"/>
      </c:lineChart>
      <c:dateAx>
        <c:axId val="643102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09424"/>
        <c:crosses val="autoZero"/>
        <c:auto val="1"/>
        <c:lblOffset val="100"/>
        <c:baseTimeUnit val="days"/>
      </c:dateAx>
      <c:valAx>
        <c:axId val="64310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0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0E467DB-2305-4511-9E19-DCE120D0CA8A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A77869-239A-4ECF-BC16-F7DE6ECA2D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61.536000000000001</v>
      </c>
      <c r="D2" s="4">
        <f>MIN(D3:D1912)</f>
        <v>7.6879999999999997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12.61</v>
      </c>
      <c r="C5">
        <v>12.72</v>
      </c>
      <c r="D5">
        <v>12.3</v>
      </c>
      <c r="E5">
        <v>12.4</v>
      </c>
      <c r="F5">
        <v>2132.85</v>
      </c>
      <c r="G5">
        <v>12.4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-0.52380952380952539</v>
      </c>
      <c r="Q5">
        <f t="shared" ref="Q5" si="1">F5*P5</f>
        <v>-1117.2071428571462</v>
      </c>
      <c r="R5">
        <f t="shared" ref="R5" si="2">R6+Q5</f>
        <v>-44843067.82907325</v>
      </c>
      <c r="S5">
        <f t="shared" ref="S5" si="3">R5/100000</f>
        <v>-448.43067829073249</v>
      </c>
      <c r="T5">
        <f t="shared" ref="T5" si="4">S5/1000</f>
        <v>-0.44843067829073247</v>
      </c>
    </row>
    <row r="6" spans="1:20" x14ac:dyDescent="0.25">
      <c r="A6" s="5">
        <v>44587</v>
      </c>
      <c r="B6">
        <v>12.45</v>
      </c>
      <c r="C6">
        <v>13.34</v>
      </c>
      <c r="D6">
        <v>12.35</v>
      </c>
      <c r="E6">
        <v>12.63</v>
      </c>
      <c r="F6">
        <v>65240.43</v>
      </c>
      <c r="G6">
        <v>12.63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-0.43434343434343214</v>
      </c>
      <c r="Q6">
        <f t="shared" ref="Q6" si="6">F6*P6</f>
        <v>-28336.752424242281</v>
      </c>
      <c r="R6">
        <f t="shared" ref="R6" si="7">R7+Q6</f>
        <v>-44841950.621930391</v>
      </c>
      <c r="S6">
        <f t="shared" ref="S6" si="8">R6/100000</f>
        <v>-448.41950621930391</v>
      </c>
      <c r="T6">
        <f t="shared" ref="T6" si="9">S6/1000</f>
        <v>-0.44841950621930393</v>
      </c>
    </row>
    <row r="7" spans="1:20" x14ac:dyDescent="0.25">
      <c r="A7" s="5">
        <v>44586</v>
      </c>
      <c r="B7">
        <v>12.48</v>
      </c>
      <c r="C7">
        <v>12.56</v>
      </c>
      <c r="D7">
        <v>12.15</v>
      </c>
      <c r="E7">
        <v>12.48</v>
      </c>
      <c r="F7">
        <v>44770.98</v>
      </c>
      <c r="G7">
        <v>12.48</v>
      </c>
      <c r="L7" t="s">
        <v>7</v>
      </c>
      <c r="M7" t="s">
        <v>7</v>
      </c>
      <c r="N7" t="s">
        <v>7</v>
      </c>
      <c r="P7">
        <f t="shared" ref="P7" si="10">IF(C7=D7,0,((E7-D7)-(C7-E7))/(C7-D7))</f>
        <v>0.60975609756097537</v>
      </c>
      <c r="Q7">
        <f t="shared" ref="Q7" si="11">F7*P7</f>
        <v>27299.37804878048</v>
      </c>
      <c r="R7">
        <f t="shared" ref="R7" si="12">R8+Q7</f>
        <v>-44813613.86950615</v>
      </c>
      <c r="S7">
        <f t="shared" ref="S7" si="13">R7/100000</f>
        <v>-448.1361386950615</v>
      </c>
      <c r="T7">
        <f t="shared" ref="T7" si="14">S7/1000</f>
        <v>-0.44813613869506153</v>
      </c>
    </row>
    <row r="8" spans="1:20" x14ac:dyDescent="0.25">
      <c r="A8" s="5">
        <v>44585</v>
      </c>
      <c r="B8">
        <v>12.98</v>
      </c>
      <c r="C8">
        <v>12.98</v>
      </c>
      <c r="D8">
        <v>11.7</v>
      </c>
      <c r="E8">
        <v>12.53</v>
      </c>
      <c r="F8">
        <v>66562.61</v>
      </c>
      <c r="G8">
        <v>12.53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0.29687499999999895</v>
      </c>
      <c r="Q8">
        <f t="shared" ref="Q8" si="16">F8*P8</f>
        <v>19760.774843749929</v>
      </c>
      <c r="R8">
        <f t="shared" ref="R8" si="17">R9+Q8</f>
        <v>-44840913.247554928</v>
      </c>
      <c r="S8">
        <f t="shared" ref="S8" si="18">R8/100000</f>
        <v>-448.40913247554926</v>
      </c>
      <c r="T8">
        <f t="shared" ref="T8" si="19">S8/1000</f>
        <v>-0.44840913247554925</v>
      </c>
    </row>
    <row r="9" spans="1:20" x14ac:dyDescent="0.25">
      <c r="A9" s="5">
        <v>44584</v>
      </c>
      <c r="B9">
        <v>12.65</v>
      </c>
      <c r="C9">
        <v>13.72</v>
      </c>
      <c r="D9">
        <v>12.41</v>
      </c>
      <c r="E9">
        <v>12.97</v>
      </c>
      <c r="F9">
        <v>70181.61</v>
      </c>
      <c r="G9">
        <v>12.97</v>
      </c>
      <c r="L9" t="s">
        <v>8</v>
      </c>
      <c r="M9" t="s">
        <v>7</v>
      </c>
      <c r="N9" t="s">
        <v>7</v>
      </c>
      <c r="P9">
        <f t="shared" ref="P9" si="20">IF(C9=D9,0,((E9-D9)-(C9-E9))/(C9-D9))</f>
        <v>-0.14503816793893087</v>
      </c>
      <c r="Q9">
        <f t="shared" ref="Q9" si="21">F9*P9</f>
        <v>-10179.01213740455</v>
      </c>
      <c r="R9">
        <f t="shared" ref="R9" si="22">R10+Q9</f>
        <v>-44860674.02239868</v>
      </c>
      <c r="S9">
        <f t="shared" ref="S9" si="23">R9/100000</f>
        <v>-448.60674022398678</v>
      </c>
      <c r="T9">
        <f t="shared" ref="T9" si="24">S9/1000</f>
        <v>-0.44860674022398678</v>
      </c>
    </row>
    <row r="10" spans="1:20" x14ac:dyDescent="0.25">
      <c r="A10" s="5">
        <v>44583</v>
      </c>
      <c r="B10">
        <v>13.41</v>
      </c>
      <c r="C10">
        <v>13.92</v>
      </c>
      <c r="D10">
        <v>12.05</v>
      </c>
      <c r="E10">
        <v>12.62</v>
      </c>
      <c r="F10">
        <v>92141.06</v>
      </c>
      <c r="G10">
        <v>12.62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-0.39037433155080348</v>
      </c>
      <c r="Q10">
        <f t="shared" ref="Q10" si="26">F10*P10</f>
        <v>-35969.504705882478</v>
      </c>
      <c r="R10">
        <f t="shared" ref="R10" si="27">R11+Q10</f>
        <v>-44850495.010261275</v>
      </c>
      <c r="S10">
        <f t="shared" ref="S10" si="28">R10/100000</f>
        <v>-448.50495010261272</v>
      </c>
      <c r="T10">
        <f t="shared" ref="T10" si="29">S10/1000</f>
        <v>-0.44850495010261271</v>
      </c>
    </row>
    <row r="11" spans="1:20" x14ac:dyDescent="0.25">
      <c r="A11" s="5">
        <v>44582</v>
      </c>
      <c r="B11">
        <v>14.59</v>
      </c>
      <c r="C11">
        <v>15.3</v>
      </c>
      <c r="D11">
        <v>13.2</v>
      </c>
      <c r="E11">
        <v>13.42</v>
      </c>
      <c r="F11">
        <v>128593.67</v>
      </c>
      <c r="G11">
        <v>13.42</v>
      </c>
      <c r="L11" t="s">
        <v>7</v>
      </c>
      <c r="M11" t="s">
        <v>7</v>
      </c>
      <c r="N11" t="s">
        <v>8</v>
      </c>
      <c r="P11">
        <f t="shared" ref="P11" si="30">IF(C11=D11,0,((E11-D11)-(C11-E11))/(C11-D11))</f>
        <v>-0.79047619047619</v>
      </c>
      <c r="Q11">
        <f t="shared" ref="Q11" si="31">F11*P11</f>
        <v>-101650.23438095232</v>
      </c>
      <c r="R11">
        <f t="shared" ref="R11" si="32">R12+Q11</f>
        <v>-44814525.505555391</v>
      </c>
      <c r="S11">
        <f t="shared" ref="S11" si="33">R11/100000</f>
        <v>-448.14525505555389</v>
      </c>
      <c r="T11">
        <f t="shared" ref="T11" si="34">S11/1000</f>
        <v>-0.44814525505555391</v>
      </c>
    </row>
    <row r="12" spans="1:20" x14ac:dyDescent="0.25">
      <c r="A12" s="5">
        <v>44581</v>
      </c>
      <c r="B12">
        <v>14.84</v>
      </c>
      <c r="C12">
        <v>15.25</v>
      </c>
      <c r="D12">
        <v>14.59</v>
      </c>
      <c r="E12">
        <v>14.59</v>
      </c>
      <c r="F12">
        <v>50731.28</v>
      </c>
      <c r="G12">
        <v>14.59</v>
      </c>
      <c r="L12" t="s">
        <v>7</v>
      </c>
      <c r="M12" t="s">
        <v>7</v>
      </c>
      <c r="N12" t="s">
        <v>8</v>
      </c>
      <c r="P12">
        <f t="shared" ref="P12" si="35">IF(C12=D12,0,((E12-D12)-(C12-E12))/(C12-D12))</f>
        <v>-1</v>
      </c>
      <c r="Q12">
        <f t="shared" ref="Q12" si="36">F12*P12</f>
        <v>-50731.28</v>
      </c>
      <c r="R12">
        <f t="shared" ref="R12" si="37">R13+Q12</f>
        <v>-44712875.271174438</v>
      </c>
      <c r="S12">
        <f t="shared" ref="S12" si="38">R12/100000</f>
        <v>-447.12875271174437</v>
      </c>
      <c r="T12">
        <f t="shared" ref="T12" si="39">S12/1000</f>
        <v>-0.44712875271174435</v>
      </c>
    </row>
    <row r="13" spans="1:20" x14ac:dyDescent="0.25">
      <c r="A13" s="5">
        <v>44580</v>
      </c>
      <c r="B13">
        <v>14.74</v>
      </c>
      <c r="C13">
        <v>15.15</v>
      </c>
      <c r="D13">
        <v>14.25</v>
      </c>
      <c r="E13">
        <v>14.85</v>
      </c>
      <c r="F13">
        <v>38659.47</v>
      </c>
      <c r="G13">
        <v>14.85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0.33333333333333204</v>
      </c>
      <c r="Q13">
        <f t="shared" ref="Q13" si="41">F13*P13</f>
        <v>12886.489999999951</v>
      </c>
      <c r="R13">
        <f t="shared" ref="R13" si="42">R14+Q13</f>
        <v>-44662143.991174437</v>
      </c>
      <c r="S13">
        <f t="shared" ref="S13" si="43">R13/100000</f>
        <v>-446.62143991174435</v>
      </c>
      <c r="T13">
        <f t="shared" ref="T13" si="44">S13/1000</f>
        <v>-0.44662143991174436</v>
      </c>
    </row>
    <row r="14" spans="1:20" x14ac:dyDescent="0.25">
      <c r="A14" s="5">
        <v>44579</v>
      </c>
      <c r="B14">
        <v>15.05</v>
      </c>
      <c r="C14">
        <v>15.12</v>
      </c>
      <c r="D14">
        <v>14.45</v>
      </c>
      <c r="E14">
        <v>14.74</v>
      </c>
      <c r="F14">
        <v>42099.51</v>
      </c>
      <c r="G14">
        <v>14.74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-0.13432835820895236</v>
      </c>
      <c r="Q14">
        <f t="shared" ref="Q14" si="46">F14*P14</f>
        <v>-5655.1580597013726</v>
      </c>
      <c r="R14">
        <f t="shared" ref="R14" si="47">R15+Q14</f>
        <v>-44675030.481174439</v>
      </c>
      <c r="S14">
        <f t="shared" ref="S14" si="48">R14/100000</f>
        <v>-446.7503048117444</v>
      </c>
      <c r="T14">
        <f t="shared" ref="T14" si="49">S14/1000</f>
        <v>-0.44675030481174438</v>
      </c>
    </row>
    <row r="15" spans="1:20" x14ac:dyDescent="0.25">
      <c r="A15" s="5">
        <v>44578</v>
      </c>
      <c r="B15">
        <v>15.18</v>
      </c>
      <c r="C15">
        <v>15.4</v>
      </c>
      <c r="D15">
        <v>14.76</v>
      </c>
      <c r="E15">
        <v>15.03</v>
      </c>
      <c r="F15">
        <v>69236.179999999993</v>
      </c>
      <c r="G15">
        <v>15.03</v>
      </c>
      <c r="L15" t="s">
        <v>8</v>
      </c>
      <c r="M15" t="s">
        <v>7</v>
      </c>
      <c r="N15" t="s">
        <v>8</v>
      </c>
      <c r="P15">
        <f t="shared" ref="P15" si="50">IF(C15=D15,0,((E15-D15)-(C15-E15))/(C15-D15))</f>
        <v>-0.15625000000000208</v>
      </c>
      <c r="Q15">
        <f t="shared" ref="Q15" si="51">F15*P15</f>
        <v>-10818.153125000143</v>
      </c>
      <c r="R15">
        <f t="shared" ref="R15" si="52">R16+Q15</f>
        <v>-44669375.323114738</v>
      </c>
      <c r="S15">
        <f t="shared" ref="S15" si="53">R15/100000</f>
        <v>-446.69375323114735</v>
      </c>
      <c r="T15">
        <f t="shared" ref="T15" si="54">S15/1000</f>
        <v>-0.44669375323114735</v>
      </c>
    </row>
    <row r="16" spans="1:20" x14ac:dyDescent="0.25">
      <c r="A16" s="5">
        <v>44577</v>
      </c>
      <c r="B16">
        <v>15.09</v>
      </c>
      <c r="C16">
        <v>15.44</v>
      </c>
      <c r="D16">
        <v>14.94</v>
      </c>
      <c r="E16">
        <v>15.18</v>
      </c>
      <c r="F16">
        <v>31918.11</v>
      </c>
      <c r="G16">
        <v>15.18</v>
      </c>
      <c r="L16" t="s">
        <v>8</v>
      </c>
      <c r="M16" t="s">
        <v>7</v>
      </c>
      <c r="N16" t="s">
        <v>8</v>
      </c>
      <c r="P16">
        <f t="shared" ref="P16" si="55">IF(C16=D16,0,((E16-D16)-(C16-E16))/(C16-D16))</f>
        <v>-3.9999999999999147E-2</v>
      </c>
      <c r="Q16">
        <f t="shared" ref="Q16" si="56">F16*P16</f>
        <v>-1276.7243999999728</v>
      </c>
      <c r="R16">
        <f t="shared" ref="R16" si="57">R17+Q16</f>
        <v>-44658557.169989735</v>
      </c>
      <c r="S16">
        <f t="shared" ref="S16" si="58">R16/100000</f>
        <v>-446.58557169989734</v>
      </c>
      <c r="T16">
        <f t="shared" ref="T16" si="59">S16/1000</f>
        <v>-0.44658557169989732</v>
      </c>
    </row>
    <row r="17" spans="1:20" x14ac:dyDescent="0.25">
      <c r="A17" s="5">
        <v>44576</v>
      </c>
      <c r="B17">
        <v>15</v>
      </c>
      <c r="C17">
        <v>15.27</v>
      </c>
      <c r="D17">
        <v>14.87</v>
      </c>
      <c r="E17">
        <v>15.07</v>
      </c>
      <c r="F17">
        <v>28794.53</v>
      </c>
      <c r="G17">
        <v>15.07</v>
      </c>
      <c r="L17" t="s">
        <v>8</v>
      </c>
      <c r="M17" t="s">
        <v>7</v>
      </c>
      <c r="N17" t="s">
        <v>8</v>
      </c>
      <c r="P17">
        <f t="shared" ref="P17" si="60">IF(C17=D17,0,((E17-D17)-(C17-E17))/(C17-D17))</f>
        <v>4.4408920985006222E-15</v>
      </c>
      <c r="Q17">
        <f t="shared" ref="Q17" si="61">F17*P17</f>
        <v>1.2787340075703913E-10</v>
      </c>
      <c r="R17">
        <f t="shared" ref="R17" si="62">R18+Q17</f>
        <v>-44657280.445589736</v>
      </c>
      <c r="S17">
        <f t="shared" ref="S17" si="63">R17/100000</f>
        <v>-446.57280445589737</v>
      </c>
      <c r="T17">
        <f t="shared" ref="T17" si="64">S17/1000</f>
        <v>-0.44657280445589737</v>
      </c>
    </row>
    <row r="18" spans="1:20" x14ac:dyDescent="0.25">
      <c r="A18" s="5">
        <v>44575</v>
      </c>
      <c r="B18">
        <v>14.7</v>
      </c>
      <c r="C18">
        <v>15.11</v>
      </c>
      <c r="D18">
        <v>14.63</v>
      </c>
      <c r="E18">
        <v>14.96</v>
      </c>
      <c r="F18">
        <v>47644.28</v>
      </c>
      <c r="G18">
        <v>14.96</v>
      </c>
      <c r="L18" t="s">
        <v>8</v>
      </c>
      <c r="M18" t="s">
        <v>7</v>
      </c>
      <c r="N18" t="s">
        <v>8</v>
      </c>
      <c r="P18">
        <f t="shared" ref="P18" si="65">IF(C18=D18,0,((E18-D18)-(C18-E18))/(C18-D18))</f>
        <v>0.37500000000000416</v>
      </c>
      <c r="Q18">
        <f t="shared" ref="Q18" si="66">F18*P18</f>
        <v>17866.6050000002</v>
      </c>
      <c r="R18">
        <f t="shared" ref="R18" si="67">R19+Q18</f>
        <v>-44657280.445589736</v>
      </c>
      <c r="S18">
        <f t="shared" ref="S18" si="68">R18/100000</f>
        <v>-446.57280445589737</v>
      </c>
      <c r="T18">
        <f t="shared" ref="T18" si="69">S18/1000</f>
        <v>-0.44657280445589737</v>
      </c>
    </row>
    <row r="19" spans="1:20" x14ac:dyDescent="0.25">
      <c r="A19" s="5">
        <v>44574</v>
      </c>
      <c r="B19">
        <v>15.33</v>
      </c>
      <c r="C19">
        <v>15.38</v>
      </c>
      <c r="D19">
        <v>14.64</v>
      </c>
      <c r="E19">
        <v>14.71</v>
      </c>
      <c r="F19">
        <v>52459.63</v>
      </c>
      <c r="G19">
        <v>14.71</v>
      </c>
      <c r="L19" t="s">
        <v>8</v>
      </c>
      <c r="M19" t="s">
        <v>7</v>
      </c>
      <c r="N19" t="s">
        <v>8</v>
      </c>
      <c r="P19">
        <f t="shared" ref="P19" si="70">IF(C19=D19,0,((E19-D19)-(C19-E19))/(C19-D19))</f>
        <v>-0.81081081081081008</v>
      </c>
      <c r="Q19">
        <f t="shared" ref="Q19" si="71">F19*P19</f>
        <v>-42534.835135135094</v>
      </c>
      <c r="R19">
        <f t="shared" ref="R19" si="72">R20+Q19</f>
        <v>-44675147.050589733</v>
      </c>
      <c r="S19">
        <f t="shared" ref="S19" si="73">R19/100000</f>
        <v>-446.75147050589732</v>
      </c>
      <c r="T19">
        <f t="shared" ref="T19" si="74">S19/1000</f>
        <v>-0.44675147050589731</v>
      </c>
    </row>
    <row r="20" spans="1:20" x14ac:dyDescent="0.25">
      <c r="A20" s="5">
        <v>44573</v>
      </c>
      <c r="B20">
        <v>14.74</v>
      </c>
      <c r="C20">
        <v>15.53</v>
      </c>
      <c r="D20">
        <v>14.61</v>
      </c>
      <c r="E20">
        <v>15.33</v>
      </c>
      <c r="F20">
        <v>62297.63</v>
      </c>
      <c r="G20">
        <v>15.33</v>
      </c>
      <c r="L20" t="s">
        <v>8</v>
      </c>
      <c r="M20" t="s">
        <v>7</v>
      </c>
      <c r="N20" t="s">
        <v>8</v>
      </c>
      <c r="P20">
        <f t="shared" ref="P20" si="75">IF(C20=D20,0,((E20-D20)-(C20-E20))/(C20-D20))</f>
        <v>0.56521739130434934</v>
      </c>
      <c r="Q20">
        <f t="shared" ref="Q20" si="76">F20*P20</f>
        <v>35211.703913043573</v>
      </c>
      <c r="R20">
        <f t="shared" ref="R20" si="77">R21+Q20</f>
        <v>-44632612.215454601</v>
      </c>
      <c r="S20">
        <f t="shared" ref="S20" si="78">R20/100000</f>
        <v>-446.326122154546</v>
      </c>
      <c r="T20">
        <f t="shared" ref="T20" si="79">S20/1000</f>
        <v>-0.44632612215454598</v>
      </c>
    </row>
    <row r="21" spans="1:20" x14ac:dyDescent="0.25">
      <c r="A21" s="5">
        <v>44572</v>
      </c>
      <c r="B21">
        <v>14.3</v>
      </c>
      <c r="C21">
        <v>15.25</v>
      </c>
      <c r="D21">
        <v>14.1</v>
      </c>
      <c r="E21">
        <v>14.78</v>
      </c>
      <c r="F21">
        <v>140032.20000000001</v>
      </c>
      <c r="G21">
        <v>14.78</v>
      </c>
      <c r="L21" t="s">
        <v>8</v>
      </c>
      <c r="M21" t="s">
        <v>7</v>
      </c>
      <c r="N21" t="s">
        <v>8</v>
      </c>
      <c r="P21">
        <f t="shared" ref="P21" si="80">IF(C21=D21,0,((E21-D21)-(C21-E21))/(C21-D21))</f>
        <v>0.18260869565217305</v>
      </c>
      <c r="Q21">
        <f t="shared" ref="Q21" si="81">F21*P21</f>
        <v>25571.097391304229</v>
      </c>
      <c r="R21">
        <f t="shared" ref="R21" si="82">R22+Q21</f>
        <v>-44667823.919367641</v>
      </c>
      <c r="S21">
        <f t="shared" ref="S21" si="83">R21/100000</f>
        <v>-446.6782391936764</v>
      </c>
      <c r="T21">
        <f t="shared" ref="T21" si="84">S21/1000</f>
        <v>-0.44667823919367639</v>
      </c>
    </row>
    <row r="22" spans="1:20" x14ac:dyDescent="0.25">
      <c r="A22" s="5">
        <v>44571</v>
      </c>
      <c r="B22">
        <v>14.26</v>
      </c>
      <c r="C22">
        <v>14.52</v>
      </c>
      <c r="D22">
        <v>13.4</v>
      </c>
      <c r="E22">
        <v>14.26</v>
      </c>
      <c r="F22">
        <v>74045.58</v>
      </c>
      <c r="G22">
        <v>14.26</v>
      </c>
      <c r="L22" t="s">
        <v>7</v>
      </c>
      <c r="M22" t="s">
        <v>7</v>
      </c>
      <c r="N22" t="s">
        <v>8</v>
      </c>
      <c r="P22">
        <f t="shared" ref="P22" si="85">IF(C22=D22,0,((E22-D22)-(C22-E22))/(C22-D22))</f>
        <v>0.53571428571428581</v>
      </c>
      <c r="Q22">
        <f t="shared" ref="Q22" si="86">F22*P22</f>
        <v>39667.275000000009</v>
      </c>
      <c r="R22">
        <f t="shared" ref="R22" si="87">R23+Q22</f>
        <v>-44693395.016758949</v>
      </c>
      <c r="S22">
        <f t="shared" ref="S22" si="88">R22/100000</f>
        <v>-446.9339501675895</v>
      </c>
      <c r="T22">
        <f t="shared" ref="T22" si="89">S22/1000</f>
        <v>-0.44693395016758952</v>
      </c>
    </row>
    <row r="23" spans="1:20" x14ac:dyDescent="0.25">
      <c r="A23" s="5">
        <v>44570</v>
      </c>
      <c r="B23">
        <v>14.22</v>
      </c>
      <c r="C23">
        <v>14.56</v>
      </c>
      <c r="D23">
        <v>13.96</v>
      </c>
      <c r="E23">
        <v>14.27</v>
      </c>
      <c r="F23">
        <v>54472.27</v>
      </c>
      <c r="G23">
        <v>14.27</v>
      </c>
      <c r="L23" t="s">
        <v>7</v>
      </c>
      <c r="M23" t="s">
        <v>7</v>
      </c>
      <c r="N23" t="s">
        <v>8</v>
      </c>
      <c r="P23">
        <f t="shared" ref="P23" si="90">IF(C23=D23,0,((E23-D23)-(C23-E23))/(C23-D23))</f>
        <v>3.3333333333329683E-2</v>
      </c>
      <c r="Q23">
        <f t="shared" ref="Q23" si="91">F23*P23</f>
        <v>1815.7423333331344</v>
      </c>
      <c r="R23">
        <f t="shared" ref="R23" si="92">R24+Q23</f>
        <v>-44733062.291758947</v>
      </c>
      <c r="S23">
        <f t="shared" ref="S23" si="93">R23/100000</f>
        <v>-447.33062291758949</v>
      </c>
      <c r="T23">
        <f t="shared" ref="T23" si="94">S23/1000</f>
        <v>-0.44733062291758952</v>
      </c>
    </row>
    <row r="24" spans="1:20" x14ac:dyDescent="0.25">
      <c r="A24" s="5">
        <v>44569</v>
      </c>
      <c r="B24">
        <v>15.13</v>
      </c>
      <c r="C24">
        <v>15.24</v>
      </c>
      <c r="D24">
        <v>13.9</v>
      </c>
      <c r="E24">
        <v>14.24</v>
      </c>
      <c r="F24">
        <v>111687.74</v>
      </c>
      <c r="G24">
        <v>14.24</v>
      </c>
      <c r="L24" t="s">
        <v>7</v>
      </c>
      <c r="M24" t="s">
        <v>7</v>
      </c>
      <c r="N24" t="s">
        <v>8</v>
      </c>
      <c r="P24">
        <f t="shared" ref="P24" si="95">IF(C24=D24,0,((E24-D24)-(C24-E24))/(C24-D24))</f>
        <v>-0.49253731343283597</v>
      </c>
      <c r="Q24">
        <f t="shared" ref="Q24" si="96">F24*P24</f>
        <v>-55010.379402985091</v>
      </c>
      <c r="R24">
        <f t="shared" ref="R24" si="97">R25+Q24</f>
        <v>-44734878.034092277</v>
      </c>
      <c r="S24">
        <f t="shared" ref="S24" si="98">R24/100000</f>
        <v>-447.34878034092276</v>
      </c>
      <c r="T24">
        <f t="shared" ref="T24" si="99">S24/1000</f>
        <v>-0.44734878034092274</v>
      </c>
    </row>
    <row r="25" spans="1:20" x14ac:dyDescent="0.25">
      <c r="A25" s="5">
        <v>44568</v>
      </c>
      <c r="B25">
        <v>14.49</v>
      </c>
      <c r="C25">
        <v>16</v>
      </c>
      <c r="D25">
        <v>13.7</v>
      </c>
      <c r="E25">
        <v>15.09</v>
      </c>
      <c r="F25">
        <v>120555.77</v>
      </c>
      <c r="G25">
        <v>15.09</v>
      </c>
      <c r="L25" t="s">
        <v>8</v>
      </c>
      <c r="M25" t="s">
        <v>7</v>
      </c>
      <c r="N25" t="s">
        <v>8</v>
      </c>
      <c r="P25">
        <f t="shared" ref="P25" si="100">IF(C25=D25,0,((E25-D25)-(C25-E25))/(C25-D25))</f>
        <v>0.20869565217391317</v>
      </c>
      <c r="Q25">
        <f t="shared" ref="Q25" si="101">F25*P25</f>
        <v>25159.465043478278</v>
      </c>
      <c r="R25">
        <f t="shared" ref="R25" si="102">R26+Q25</f>
        <v>-44679867.65468929</v>
      </c>
      <c r="S25">
        <f t="shared" ref="S25" si="103">R25/100000</f>
        <v>-446.79867654689292</v>
      </c>
      <c r="T25">
        <f t="shared" ref="T25" si="104">S25/1000</f>
        <v>-0.44679867654689293</v>
      </c>
    </row>
    <row r="26" spans="1:20" x14ac:dyDescent="0.25">
      <c r="A26" s="5">
        <v>44567</v>
      </c>
      <c r="B26">
        <v>14.27</v>
      </c>
      <c r="C26">
        <v>15.25</v>
      </c>
      <c r="D26">
        <v>14.01</v>
      </c>
      <c r="E26">
        <v>14.5</v>
      </c>
      <c r="F26">
        <v>100797.25</v>
      </c>
      <c r="G26">
        <v>14.5</v>
      </c>
      <c r="L26" t="s">
        <v>8</v>
      </c>
      <c r="M26" t="s">
        <v>7</v>
      </c>
      <c r="N26" t="s">
        <v>8</v>
      </c>
      <c r="P26">
        <f t="shared" ref="P26" si="105">IF(C26=D26,0,((E26-D26)-(C26-E26))/(C26-D26))</f>
        <v>-0.2096774193548385</v>
      </c>
      <c r="Q26">
        <f t="shared" ref="Q26" si="106">F26*P26</f>
        <v>-21134.907258064493</v>
      </c>
      <c r="R26">
        <f t="shared" ref="R26" si="107">R27+Q26</f>
        <v>-44705027.119732767</v>
      </c>
      <c r="S26">
        <f t="shared" ref="S26" si="108">R26/100000</f>
        <v>-447.05027119732767</v>
      </c>
      <c r="T26">
        <f t="shared" ref="T26" si="109">S26/1000</f>
        <v>-0.44705027119732765</v>
      </c>
    </row>
    <row r="27" spans="1:20" x14ac:dyDescent="0.25">
      <c r="A27" s="5">
        <v>44566</v>
      </c>
      <c r="B27">
        <v>15.01</v>
      </c>
      <c r="C27">
        <v>15.43</v>
      </c>
      <c r="D27">
        <v>14.11</v>
      </c>
      <c r="E27">
        <v>14.28</v>
      </c>
      <c r="F27">
        <v>59374.74</v>
      </c>
      <c r="G27">
        <v>14.28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-0.74242424242424254</v>
      </c>
      <c r="Q27">
        <f t="shared" ref="Q27" si="111">F27*P27</f>
        <v>-44081.246363636368</v>
      </c>
      <c r="R27">
        <f t="shared" ref="R27" si="112">R28+Q27</f>
        <v>-44683892.212474704</v>
      </c>
      <c r="S27">
        <f t="shared" ref="S27" si="113">R27/100000</f>
        <v>-446.83892212474706</v>
      </c>
      <c r="T27">
        <f t="shared" ref="T27" si="114">S27/1000</f>
        <v>-0.44683892212474707</v>
      </c>
    </row>
    <row r="28" spans="1:20" x14ac:dyDescent="0.25">
      <c r="A28" s="5">
        <v>44565</v>
      </c>
      <c r="B28">
        <v>15.18</v>
      </c>
      <c r="C28">
        <v>15.44</v>
      </c>
      <c r="D28">
        <v>14.92</v>
      </c>
      <c r="E28">
        <v>15.04</v>
      </c>
      <c r="F28">
        <v>44838.28</v>
      </c>
      <c r="G28">
        <v>15.04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-0.5384615384615411</v>
      </c>
      <c r="Q28">
        <f t="shared" ref="Q28" si="116">F28*P28</f>
        <v>-24143.689230769349</v>
      </c>
      <c r="R28">
        <f t="shared" ref="R28" si="117">R29+Q28</f>
        <v>-44639810.966111064</v>
      </c>
      <c r="S28">
        <f t="shared" ref="S28" si="118">R28/100000</f>
        <v>-446.39810966111065</v>
      </c>
      <c r="T28">
        <f t="shared" ref="T28" si="119">S28/1000</f>
        <v>-0.44639810966111065</v>
      </c>
    </row>
    <row r="29" spans="1:20" x14ac:dyDescent="0.25">
      <c r="A29" s="5">
        <v>44564</v>
      </c>
      <c r="B29">
        <v>15.3</v>
      </c>
      <c r="C29">
        <v>15.59</v>
      </c>
      <c r="D29">
        <v>15.01</v>
      </c>
      <c r="E29">
        <v>15.18</v>
      </c>
      <c r="F29">
        <v>35564.76</v>
      </c>
      <c r="G29">
        <v>15.18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-0.41379310344827619</v>
      </c>
      <c r="Q29">
        <f t="shared" ref="Q29" si="121">F29*P29</f>
        <v>-14716.452413793117</v>
      </c>
      <c r="R29">
        <f t="shared" ref="R29" si="122">R30+Q29</f>
        <v>-44615667.276880294</v>
      </c>
      <c r="S29">
        <f t="shared" ref="S29" si="123">R29/100000</f>
        <v>-446.15667276880293</v>
      </c>
      <c r="T29">
        <f t="shared" ref="T29" si="124">S29/1000</f>
        <v>-0.44615667276880294</v>
      </c>
    </row>
    <row r="30" spans="1:20" x14ac:dyDescent="0.25">
      <c r="A30" s="5">
        <v>44563</v>
      </c>
      <c r="B30">
        <v>15.41</v>
      </c>
      <c r="C30">
        <v>15.61</v>
      </c>
      <c r="D30">
        <v>15.13</v>
      </c>
      <c r="E30">
        <v>15.31</v>
      </c>
      <c r="F30">
        <v>38962</v>
      </c>
      <c r="G30">
        <v>15.31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-0.24999999999999908</v>
      </c>
      <c r="Q30">
        <f t="shared" ref="Q30" si="126">F30*P30</f>
        <v>-9740.4999999999636</v>
      </c>
      <c r="R30">
        <f t="shared" ref="R30" si="127">R31+Q30</f>
        <v>-44600950.824466504</v>
      </c>
      <c r="S30">
        <f t="shared" ref="S30" si="128">R30/100000</f>
        <v>-446.00950824466503</v>
      </c>
      <c r="T30">
        <f t="shared" ref="T30" si="129">S30/1000</f>
        <v>-0.44600950824466501</v>
      </c>
    </row>
    <row r="31" spans="1:20" x14ac:dyDescent="0.25">
      <c r="A31" s="5">
        <v>44562</v>
      </c>
      <c r="B31">
        <v>15.09</v>
      </c>
      <c r="C31">
        <v>15.49</v>
      </c>
      <c r="D31">
        <v>15</v>
      </c>
      <c r="E31">
        <v>15.4</v>
      </c>
      <c r="F31">
        <v>28881.18</v>
      </c>
      <c r="G31">
        <v>15.4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0.6326530612244905</v>
      </c>
      <c r="Q31">
        <f t="shared" ref="Q31" si="131">F31*P31</f>
        <v>18271.76693877553</v>
      </c>
      <c r="R31">
        <f t="shared" ref="R31" si="132">R32+Q31</f>
        <v>-44591210.324466504</v>
      </c>
      <c r="S31">
        <f t="shared" ref="S31" si="133">R31/100000</f>
        <v>-445.91210324466505</v>
      </c>
      <c r="T31">
        <f t="shared" ref="T31" si="134">S31/1000</f>
        <v>-0.44591210324466507</v>
      </c>
    </row>
    <row r="32" spans="1:20" x14ac:dyDescent="0.25">
      <c r="A32" s="5">
        <v>44561</v>
      </c>
      <c r="B32">
        <v>15.37</v>
      </c>
      <c r="C32">
        <v>15.72</v>
      </c>
      <c r="D32">
        <v>14.92</v>
      </c>
      <c r="E32">
        <v>15.07</v>
      </c>
      <c r="F32">
        <v>38783.089999999997</v>
      </c>
      <c r="G32">
        <v>15.07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-0.62499999999999944</v>
      </c>
      <c r="Q32">
        <f t="shared" ref="Q32" si="136">F32*P32</f>
        <v>-24239.431249999976</v>
      </c>
      <c r="R32">
        <f t="shared" ref="R32" si="137">R33+Q32</f>
        <v>-44609482.09140528</v>
      </c>
      <c r="S32">
        <f t="shared" ref="S32" si="138">R32/100000</f>
        <v>-446.09482091405278</v>
      </c>
      <c r="T32">
        <f t="shared" ref="T32" si="139">S32/1000</f>
        <v>-0.44609482091405278</v>
      </c>
    </row>
    <row r="33" spans="1:20" x14ac:dyDescent="0.25">
      <c r="A33" s="5">
        <v>44560</v>
      </c>
      <c r="B33">
        <v>15.5</v>
      </c>
      <c r="C33">
        <v>15.59</v>
      </c>
      <c r="D33">
        <v>15.09</v>
      </c>
      <c r="E33">
        <v>15.45</v>
      </c>
      <c r="F33">
        <v>44394.58</v>
      </c>
      <c r="G33">
        <v>15.45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0.43999999999999773</v>
      </c>
      <c r="Q33">
        <f t="shared" ref="Q33" si="141">F33*P33</f>
        <v>19533.615199999898</v>
      </c>
      <c r="R33">
        <f t="shared" ref="R33" si="142">R34+Q33</f>
        <v>-44585242.660155281</v>
      </c>
      <c r="S33">
        <f t="shared" ref="S33" si="143">R33/100000</f>
        <v>-445.85242660155279</v>
      </c>
      <c r="T33">
        <f t="shared" ref="T33" si="144">S33/1000</f>
        <v>-0.44585242660155278</v>
      </c>
    </row>
    <row r="34" spans="1:20" x14ac:dyDescent="0.25">
      <c r="A34" s="5">
        <v>44559</v>
      </c>
      <c r="B34">
        <v>16.16</v>
      </c>
      <c r="C34">
        <v>16.68</v>
      </c>
      <c r="D34">
        <v>15.38</v>
      </c>
      <c r="E34">
        <v>15.52</v>
      </c>
      <c r="F34">
        <v>56471.28</v>
      </c>
      <c r="G34">
        <v>15.52</v>
      </c>
      <c r="L34" t="s">
        <v>7</v>
      </c>
      <c r="M34" t="s">
        <v>8</v>
      </c>
      <c r="N34" t="s">
        <v>8</v>
      </c>
      <c r="P34">
        <f t="shared" ref="P34" si="145">IF(C34=D34,0,((E34-D34)-(C34-E34))/(C34-D34))</f>
        <v>-0.78461538461538627</v>
      </c>
      <c r="Q34">
        <f t="shared" ref="Q34" si="146">F34*P34</f>
        <v>-44308.235076923171</v>
      </c>
      <c r="R34">
        <f t="shared" ref="R34" si="147">R35+Q34</f>
        <v>-44604776.275355279</v>
      </c>
      <c r="S34">
        <f t="shared" ref="S34" si="148">R34/100000</f>
        <v>-446.04776275355277</v>
      </c>
      <c r="T34">
        <f t="shared" ref="T34" si="149">S34/1000</f>
        <v>-0.44604776275355279</v>
      </c>
    </row>
    <row r="35" spans="1:20" x14ac:dyDescent="0.25">
      <c r="A35" s="5">
        <v>44558</v>
      </c>
      <c r="B35">
        <v>16.8</v>
      </c>
      <c r="C35">
        <v>17.91</v>
      </c>
      <c r="D35">
        <v>15.81</v>
      </c>
      <c r="E35">
        <v>16.170000000000002</v>
      </c>
      <c r="F35">
        <v>157160.42000000001</v>
      </c>
      <c r="G35">
        <v>16.170000000000002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-0.65714285714285592</v>
      </c>
      <c r="Q35">
        <f t="shared" ref="Q35" si="151">F35*P35</f>
        <v>-103276.84742857124</v>
      </c>
      <c r="R35">
        <f t="shared" ref="R35" si="152">R36+Q35</f>
        <v>-44560468.040278353</v>
      </c>
      <c r="S35">
        <f t="shared" ref="S35" si="153">R35/100000</f>
        <v>-445.60468040278352</v>
      </c>
      <c r="T35">
        <f t="shared" ref="T35" si="154">S35/1000</f>
        <v>-0.4456046804027835</v>
      </c>
    </row>
    <row r="36" spans="1:20" x14ac:dyDescent="0.25">
      <c r="A36" s="5">
        <v>44557</v>
      </c>
      <c r="B36">
        <v>16.940000000000001</v>
      </c>
      <c r="C36">
        <v>18</v>
      </c>
      <c r="D36">
        <v>16.690000000000001</v>
      </c>
      <c r="E36">
        <v>16.809999999999999</v>
      </c>
      <c r="F36">
        <v>86447.88</v>
      </c>
      <c r="G36">
        <v>16.809999999999999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-0.81679389312977468</v>
      </c>
      <c r="Q36">
        <f t="shared" ref="Q36" si="156">F36*P36</f>
        <v>-70610.100458015586</v>
      </c>
      <c r="R36">
        <f t="shared" ref="R36" si="157">R37+Q36</f>
        <v>-44457191.192849785</v>
      </c>
      <c r="S36">
        <f t="shared" ref="S36" si="158">R36/100000</f>
        <v>-444.57191192849785</v>
      </c>
      <c r="T36">
        <f t="shared" ref="T36" si="159">S36/1000</f>
        <v>-0.44457191192849788</v>
      </c>
    </row>
    <row r="37" spans="1:20" x14ac:dyDescent="0.25">
      <c r="A37" s="5">
        <v>44556</v>
      </c>
      <c r="B37">
        <v>16.97</v>
      </c>
      <c r="C37">
        <v>17.13</v>
      </c>
      <c r="D37">
        <v>16.77</v>
      </c>
      <c r="E37">
        <v>16.920000000000002</v>
      </c>
      <c r="F37">
        <v>41606.629999999997</v>
      </c>
      <c r="G37">
        <v>16.920000000000002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-0.1666666666666535</v>
      </c>
      <c r="Q37">
        <f t="shared" ref="Q37" si="161">F37*P37</f>
        <v>-6934.4383333327851</v>
      </c>
      <c r="R37">
        <f t="shared" ref="R37" si="162">R38+Q37</f>
        <v>-44386581.092391767</v>
      </c>
      <c r="S37">
        <f t="shared" ref="S37" si="163">R37/100000</f>
        <v>-443.86581092391765</v>
      </c>
      <c r="T37">
        <f t="shared" ref="T37" si="164">S37/1000</f>
        <v>-0.44386581092391764</v>
      </c>
    </row>
    <row r="38" spans="1:20" x14ac:dyDescent="0.25">
      <c r="A38" s="5">
        <v>44555</v>
      </c>
      <c r="B38">
        <v>16.73</v>
      </c>
      <c r="C38">
        <v>17.489999999999998</v>
      </c>
      <c r="D38">
        <v>16.510000000000002</v>
      </c>
      <c r="E38">
        <v>17.010000000000002</v>
      </c>
      <c r="F38">
        <v>90663.62</v>
      </c>
      <c r="G38">
        <v>17.010000000000002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2.0408163265309379E-2</v>
      </c>
      <c r="Q38">
        <f t="shared" ref="Q38" si="166">F38*P38</f>
        <v>1850.2779591839685</v>
      </c>
      <c r="R38">
        <f t="shared" ref="R38" si="167">R39+Q38</f>
        <v>-44379646.654058434</v>
      </c>
      <c r="S38">
        <f t="shared" ref="S38" si="168">R38/100000</f>
        <v>-443.79646654058433</v>
      </c>
      <c r="T38">
        <f t="shared" ref="T38" si="169">S38/1000</f>
        <v>-0.44379646654058436</v>
      </c>
    </row>
    <row r="39" spans="1:20" x14ac:dyDescent="0.25">
      <c r="A39" s="5">
        <v>44554</v>
      </c>
      <c r="B39">
        <v>16.850000000000001</v>
      </c>
      <c r="C39">
        <v>17.54</v>
      </c>
      <c r="D39">
        <v>16.649999999999999</v>
      </c>
      <c r="E39">
        <v>16.739999999999998</v>
      </c>
      <c r="F39">
        <v>80417.2</v>
      </c>
      <c r="G39">
        <v>16.739999999999998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-0.79775280898876444</v>
      </c>
      <c r="Q39">
        <f t="shared" ref="Q39" si="171">F39*P39</f>
        <v>-64153.047191011268</v>
      </c>
      <c r="R39">
        <f t="shared" ref="R39" si="172">R40+Q39</f>
        <v>-44381496.932017617</v>
      </c>
      <c r="S39">
        <f t="shared" ref="S39" si="173">R39/100000</f>
        <v>-443.81496932017615</v>
      </c>
      <c r="T39">
        <f t="shared" ref="T39" si="174">S39/1000</f>
        <v>-0.44381496932017617</v>
      </c>
    </row>
    <row r="40" spans="1:20" x14ac:dyDescent="0.25">
      <c r="A40" s="5">
        <v>44553</v>
      </c>
      <c r="B40">
        <v>15.82</v>
      </c>
      <c r="C40">
        <v>16.97</v>
      </c>
      <c r="D40">
        <v>15.4</v>
      </c>
      <c r="E40">
        <v>16.850000000000001</v>
      </c>
      <c r="F40">
        <v>127984.72</v>
      </c>
      <c r="G40">
        <v>16.850000000000001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0.84713375796178658</v>
      </c>
      <c r="Q40">
        <f t="shared" ref="Q40" si="176">F40*P40</f>
        <v>108420.17681528702</v>
      </c>
      <c r="R40">
        <f t="shared" ref="R40" si="177">R41+Q40</f>
        <v>-44317343.884826608</v>
      </c>
      <c r="S40">
        <f t="shared" ref="S40" si="178">R40/100000</f>
        <v>-443.17343884826607</v>
      </c>
      <c r="T40">
        <f t="shared" ref="T40" si="179">S40/1000</f>
        <v>-0.4431734388482661</v>
      </c>
    </row>
    <row r="41" spans="1:20" x14ac:dyDescent="0.25">
      <c r="A41" s="5">
        <v>44552</v>
      </c>
      <c r="B41">
        <v>15.05</v>
      </c>
      <c r="C41">
        <v>16</v>
      </c>
      <c r="D41">
        <v>15</v>
      </c>
      <c r="E41">
        <v>15.79</v>
      </c>
      <c r="F41">
        <v>72806.52</v>
      </c>
      <c r="G41">
        <v>15.79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0.57999999999999829</v>
      </c>
      <c r="Q41">
        <f t="shared" ref="Q41" si="181">F41*P41</f>
        <v>42227.781599999878</v>
      </c>
      <c r="R41">
        <f t="shared" ref="R41" si="182">R42+Q41</f>
        <v>-44425764.061641894</v>
      </c>
      <c r="S41">
        <f t="shared" ref="S41" si="183">R41/100000</f>
        <v>-444.25764061641894</v>
      </c>
      <c r="T41">
        <f t="shared" ref="T41" si="184">S41/1000</f>
        <v>-0.44425764061641893</v>
      </c>
    </row>
    <row r="42" spans="1:20" x14ac:dyDescent="0.25">
      <c r="A42" s="5">
        <v>44551</v>
      </c>
      <c r="B42">
        <v>15.3</v>
      </c>
      <c r="C42">
        <v>15.98</v>
      </c>
      <c r="D42">
        <v>14.51</v>
      </c>
      <c r="E42">
        <v>15.05</v>
      </c>
      <c r="F42">
        <v>217446.6</v>
      </c>
      <c r="G42">
        <v>15.05</v>
      </c>
      <c r="L42" t="s">
        <v>7</v>
      </c>
      <c r="M42" t="s">
        <v>8</v>
      </c>
      <c r="N42" t="s">
        <v>7</v>
      </c>
      <c r="P42">
        <f t="shared" ref="P42" si="185">IF(C42=D42,0,((E42-D42)-(C42-E42))/(C42-D42))</f>
        <v>-0.26530612244897867</v>
      </c>
      <c r="Q42">
        <f t="shared" ref="Q42" si="186">F42*P42</f>
        <v>-57689.914285714083</v>
      </c>
      <c r="R42">
        <f t="shared" ref="R42" si="187">R43+Q42</f>
        <v>-44467991.843241893</v>
      </c>
      <c r="S42">
        <f t="shared" ref="S42" si="188">R42/100000</f>
        <v>-444.6799184324189</v>
      </c>
      <c r="T42">
        <f t="shared" ref="T42" si="189">S42/1000</f>
        <v>-0.44467991843241889</v>
      </c>
    </row>
    <row r="43" spans="1:20" x14ac:dyDescent="0.25">
      <c r="A43" s="5">
        <v>44550</v>
      </c>
      <c r="B43">
        <v>13.44</v>
      </c>
      <c r="C43">
        <v>16.3</v>
      </c>
      <c r="D43">
        <v>12.63</v>
      </c>
      <c r="E43">
        <v>15.3</v>
      </c>
      <c r="F43">
        <v>392011.28</v>
      </c>
      <c r="G43">
        <v>15.3</v>
      </c>
      <c r="L43" t="s">
        <v>8</v>
      </c>
      <c r="M43" t="s">
        <v>7</v>
      </c>
      <c r="N43" t="s">
        <v>7</v>
      </c>
      <c r="P43">
        <f t="shared" ref="P43" si="190">IF(C43=D43,0,((E43-D43)-(C43-E43))/(C43-D43))</f>
        <v>0.45504087193460491</v>
      </c>
      <c r="Q43">
        <f t="shared" ref="Q43" si="191">F43*P43</f>
        <v>178381.15465940055</v>
      </c>
      <c r="R43">
        <f t="shared" ref="R43" si="192">R44+Q43</f>
        <v>-44410301.928956181</v>
      </c>
      <c r="S43">
        <f t="shared" ref="S43" si="193">R43/100000</f>
        <v>-444.10301928956181</v>
      </c>
      <c r="T43">
        <f t="shared" ref="T43" si="194">S43/1000</f>
        <v>-0.44410301928956181</v>
      </c>
    </row>
    <row r="44" spans="1:20" x14ac:dyDescent="0.25">
      <c r="A44" s="5">
        <v>44549</v>
      </c>
      <c r="B44">
        <v>13.85</v>
      </c>
      <c r="C44">
        <v>14.31</v>
      </c>
      <c r="D44">
        <v>13.42</v>
      </c>
      <c r="E44">
        <v>13.45</v>
      </c>
      <c r="F44">
        <v>78078.070000000007</v>
      </c>
      <c r="G44">
        <v>13.45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-0.93258426966292285</v>
      </c>
      <c r="Q44">
        <f t="shared" ref="Q44" si="196">F44*P44</f>
        <v>-72814.379887640578</v>
      </c>
      <c r="R44">
        <f t="shared" ref="R44" si="197">R45+Q44</f>
        <v>-44588683.083615579</v>
      </c>
      <c r="S44">
        <f t="shared" ref="S44" si="198">R44/100000</f>
        <v>-445.88683083615581</v>
      </c>
      <c r="T44">
        <f t="shared" ref="T44" si="199">S44/1000</f>
        <v>-0.44588683083615582</v>
      </c>
    </row>
    <row r="45" spans="1:20" x14ac:dyDescent="0.25">
      <c r="A45" s="5">
        <v>44548</v>
      </c>
      <c r="B45">
        <v>13.58</v>
      </c>
      <c r="C45">
        <v>13.89</v>
      </c>
      <c r="D45">
        <v>13.44</v>
      </c>
      <c r="E45">
        <v>13.83</v>
      </c>
      <c r="F45">
        <v>37673.32</v>
      </c>
      <c r="G45">
        <v>13.83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0.73333333333333173</v>
      </c>
      <c r="Q45">
        <f t="shared" ref="Q45" si="201">F45*P45</f>
        <v>27627.101333333274</v>
      </c>
      <c r="R45">
        <f t="shared" ref="R45" si="202">R46+Q45</f>
        <v>-44515868.703727938</v>
      </c>
      <c r="S45">
        <f t="shared" ref="S45" si="203">R45/100000</f>
        <v>-445.15868703727938</v>
      </c>
      <c r="T45">
        <f t="shared" ref="T45" si="204">S45/1000</f>
        <v>-0.4451586870372794</v>
      </c>
    </row>
    <row r="46" spans="1:20" x14ac:dyDescent="0.25">
      <c r="A46" s="5">
        <v>44547</v>
      </c>
      <c r="B46">
        <v>14.27</v>
      </c>
      <c r="C46">
        <v>14.65</v>
      </c>
      <c r="D46">
        <v>13.2</v>
      </c>
      <c r="E46">
        <v>13.58</v>
      </c>
      <c r="F46">
        <v>105693.26</v>
      </c>
      <c r="G46">
        <v>13.58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-0.47586206896551653</v>
      </c>
      <c r="Q46">
        <f t="shared" ref="Q46" si="206">F46*P46</f>
        <v>-50295.413379310266</v>
      </c>
      <c r="R46">
        <f t="shared" ref="R46" si="207">R47+Q46</f>
        <v>-44543495.805061273</v>
      </c>
      <c r="S46">
        <f t="shared" ref="S46" si="208">R46/100000</f>
        <v>-445.43495805061275</v>
      </c>
      <c r="T46">
        <f t="shared" ref="T46" si="209">S46/1000</f>
        <v>-0.44543495805061273</v>
      </c>
    </row>
    <row r="47" spans="1:20" x14ac:dyDescent="0.25">
      <c r="A47" s="5">
        <v>44546</v>
      </c>
      <c r="B47">
        <v>14.6</v>
      </c>
      <c r="C47">
        <v>15.12</v>
      </c>
      <c r="D47">
        <v>14.25</v>
      </c>
      <c r="E47">
        <v>14.27</v>
      </c>
      <c r="F47">
        <v>100815.59</v>
      </c>
      <c r="G47">
        <v>14.27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-0.95402298850574807</v>
      </c>
      <c r="Q47">
        <f t="shared" ref="Q47" si="211">F47*P47</f>
        <v>-96180.390459770206</v>
      </c>
      <c r="R47">
        <f t="shared" ref="R47" si="212">R48+Q47</f>
        <v>-44493200.391681962</v>
      </c>
      <c r="S47">
        <f t="shared" ref="S47" si="213">R47/100000</f>
        <v>-444.93200391681961</v>
      </c>
      <c r="T47">
        <f t="shared" ref="T47" si="214">S47/1000</f>
        <v>-0.44493200391681959</v>
      </c>
    </row>
    <row r="48" spans="1:20" x14ac:dyDescent="0.25">
      <c r="A48" s="5">
        <v>44545</v>
      </c>
      <c r="B48">
        <v>14.56</v>
      </c>
      <c r="C48">
        <v>14.92</v>
      </c>
      <c r="D48">
        <v>14.03</v>
      </c>
      <c r="E48">
        <v>14.62</v>
      </c>
      <c r="F48">
        <v>77784.509999999995</v>
      </c>
      <c r="G48">
        <v>14.62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0.32584269662921234</v>
      </c>
      <c r="Q48">
        <f t="shared" ref="Q48" si="216">F48*P48</f>
        <v>25345.514494381932</v>
      </c>
      <c r="R48">
        <f t="shared" ref="R48" si="217">R49+Q48</f>
        <v>-44397020.001222193</v>
      </c>
      <c r="S48">
        <f t="shared" ref="S48" si="218">R48/100000</f>
        <v>-443.97020001222194</v>
      </c>
      <c r="T48">
        <f t="shared" ref="T48" si="219">S48/1000</f>
        <v>-0.44397020001222193</v>
      </c>
    </row>
    <row r="49" spans="1:20" x14ac:dyDescent="0.25">
      <c r="A49" s="5">
        <v>44544</v>
      </c>
      <c r="B49">
        <v>14.58</v>
      </c>
      <c r="C49">
        <v>14.82</v>
      </c>
      <c r="D49">
        <v>14.2</v>
      </c>
      <c r="E49">
        <v>14.59</v>
      </c>
      <c r="F49">
        <v>54130.95</v>
      </c>
      <c r="G49">
        <v>14.59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0.25806451612903208</v>
      </c>
      <c r="Q49">
        <f t="shared" ref="Q49" si="221">F49*P49</f>
        <v>13969.277419354828</v>
      </c>
      <c r="R49">
        <f t="shared" ref="R49" si="222">R50+Q49</f>
        <v>-44422365.515716575</v>
      </c>
      <c r="S49">
        <f t="shared" ref="S49" si="223">R49/100000</f>
        <v>-444.22365515716575</v>
      </c>
      <c r="T49">
        <f t="shared" ref="T49" si="224">S49/1000</f>
        <v>-0.44422365515716578</v>
      </c>
    </row>
    <row r="50" spans="1:20" x14ac:dyDescent="0.25">
      <c r="A50" s="5">
        <v>44543</v>
      </c>
      <c r="B50">
        <v>15.83</v>
      </c>
      <c r="C50">
        <v>15.87</v>
      </c>
      <c r="D50">
        <v>14.41</v>
      </c>
      <c r="E50">
        <v>14.61</v>
      </c>
      <c r="F50">
        <v>75655.759999999995</v>
      </c>
      <c r="G50">
        <v>14.61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-0.72602739726027476</v>
      </c>
      <c r="Q50">
        <f t="shared" ref="Q50" si="226">F50*P50</f>
        <v>-54928.154520548</v>
      </c>
      <c r="R50">
        <f t="shared" ref="R50" si="227">R51+Q50</f>
        <v>-44436334.793135934</v>
      </c>
      <c r="S50">
        <f t="shared" ref="S50" si="228">R50/100000</f>
        <v>-444.36334793135933</v>
      </c>
      <c r="T50">
        <f t="shared" ref="T50" si="229">S50/1000</f>
        <v>-0.44436334793135934</v>
      </c>
    </row>
    <row r="51" spans="1:20" x14ac:dyDescent="0.25">
      <c r="A51" s="5">
        <v>44542</v>
      </c>
      <c r="B51">
        <v>15.77</v>
      </c>
      <c r="C51">
        <v>16.02</v>
      </c>
      <c r="D51">
        <v>15.54</v>
      </c>
      <c r="E51">
        <v>15.83</v>
      </c>
      <c r="F51">
        <v>59128.17</v>
      </c>
      <c r="G51">
        <v>15.83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0.20833333333333612</v>
      </c>
      <c r="Q51">
        <f t="shared" ref="Q51" si="231">F51*P51</f>
        <v>12318.368750000165</v>
      </c>
      <c r="R51">
        <f t="shared" ref="R51" si="232">R52+Q51</f>
        <v>-44381406.638615385</v>
      </c>
      <c r="S51">
        <f t="shared" ref="S51" si="233">R51/100000</f>
        <v>-443.81406638615385</v>
      </c>
      <c r="T51">
        <f t="shared" ref="T51" si="234">S51/1000</f>
        <v>-0.44381406638615384</v>
      </c>
    </row>
    <row r="52" spans="1:20" x14ac:dyDescent="0.25">
      <c r="A52" s="5">
        <v>44541</v>
      </c>
      <c r="B52">
        <v>15.26</v>
      </c>
      <c r="C52">
        <v>15.38</v>
      </c>
      <c r="D52">
        <v>15.02</v>
      </c>
      <c r="E52">
        <v>15.27</v>
      </c>
      <c r="F52">
        <v>1700.21</v>
      </c>
      <c r="G52">
        <v>15.27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0.38888888888888423</v>
      </c>
      <c r="Q52">
        <f t="shared" ref="Q52" si="236">F52*P52</f>
        <v>661.19277777776983</v>
      </c>
      <c r="R52">
        <f t="shared" ref="R52" si="237">R53+Q52</f>
        <v>-44393725.007365383</v>
      </c>
      <c r="S52">
        <f t="shared" ref="S52" si="238">R52/100000</f>
        <v>-443.93725007365384</v>
      </c>
      <c r="T52">
        <f t="shared" ref="T52" si="239">S52/1000</f>
        <v>-0.44393725007365387</v>
      </c>
    </row>
    <row r="53" spans="1:20" x14ac:dyDescent="0.25">
      <c r="A53" s="5">
        <v>44540</v>
      </c>
      <c r="B53">
        <v>15.57</v>
      </c>
      <c r="C53">
        <v>15.9</v>
      </c>
      <c r="D53">
        <v>15.1</v>
      </c>
      <c r="E53">
        <v>15.26</v>
      </c>
      <c r="F53">
        <v>78064.84</v>
      </c>
      <c r="G53">
        <v>15.26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-0.6</v>
      </c>
      <c r="Q53">
        <f t="shared" ref="Q53" si="241">F53*P53</f>
        <v>-46838.903999999995</v>
      </c>
      <c r="R53">
        <f t="shared" ref="R53" si="242">R54+Q53</f>
        <v>-44394386.200143158</v>
      </c>
      <c r="S53">
        <f t="shared" ref="S53" si="243">R53/100000</f>
        <v>-443.94386200143157</v>
      </c>
      <c r="T53">
        <f t="shared" ref="T53" si="244">S53/1000</f>
        <v>-0.44394386200143154</v>
      </c>
    </row>
    <row r="54" spans="1:20" x14ac:dyDescent="0.25">
      <c r="A54" s="5">
        <v>44539</v>
      </c>
      <c r="B54">
        <v>16.11</v>
      </c>
      <c r="C54">
        <v>16.7</v>
      </c>
      <c r="D54">
        <v>15.5</v>
      </c>
      <c r="E54">
        <v>15.53</v>
      </c>
      <c r="F54">
        <v>161146.38</v>
      </c>
      <c r="G54">
        <v>15.53</v>
      </c>
      <c r="L54" t="s">
        <v>8</v>
      </c>
      <c r="M54" t="s">
        <v>7</v>
      </c>
      <c r="N54" t="s">
        <v>8</v>
      </c>
      <c r="P54">
        <f t="shared" ref="P54" si="245">IF(C54=D54,0,((E54-D54)-(C54-E54))/(C54-D54))</f>
        <v>-0.95000000000000107</v>
      </c>
      <c r="Q54">
        <f t="shared" ref="Q54" si="246">F54*P54</f>
        <v>-153089.06100000019</v>
      </c>
      <c r="R54">
        <f t="shared" ref="R54" si="247">R55+Q54</f>
        <v>-44347547.296143159</v>
      </c>
      <c r="S54">
        <f t="shared" ref="S54" si="248">R54/100000</f>
        <v>-443.47547296143159</v>
      </c>
      <c r="T54">
        <f t="shared" ref="T54" si="249">S54/1000</f>
        <v>-0.44347547296143158</v>
      </c>
    </row>
    <row r="55" spans="1:20" x14ac:dyDescent="0.25">
      <c r="A55" s="5">
        <v>44538</v>
      </c>
      <c r="B55">
        <v>16.13</v>
      </c>
      <c r="C55">
        <v>16.47</v>
      </c>
      <c r="D55">
        <v>15.48</v>
      </c>
      <c r="E55">
        <v>16.12</v>
      </c>
      <c r="F55">
        <v>85454.15</v>
      </c>
      <c r="G55">
        <v>16.12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0.29292929292929609</v>
      </c>
      <c r="Q55">
        <f t="shared" ref="Q55" si="251">F55*P55</f>
        <v>25032.023737374006</v>
      </c>
      <c r="R55">
        <f t="shared" ref="R55" si="252">R56+Q55</f>
        <v>-44194458.235143162</v>
      </c>
      <c r="S55">
        <f t="shared" ref="S55" si="253">R55/100000</f>
        <v>-441.94458235143162</v>
      </c>
      <c r="T55">
        <f t="shared" ref="T55" si="254">S55/1000</f>
        <v>-0.44194458235143164</v>
      </c>
    </row>
    <row r="56" spans="1:20" x14ac:dyDescent="0.25">
      <c r="A56" s="5">
        <v>44537</v>
      </c>
      <c r="B56">
        <v>16.010000000000002</v>
      </c>
      <c r="C56">
        <v>17.2</v>
      </c>
      <c r="D56">
        <v>15.88</v>
      </c>
      <c r="E56">
        <v>16.11</v>
      </c>
      <c r="F56">
        <v>241533.09</v>
      </c>
      <c r="G56">
        <v>16.11</v>
      </c>
      <c r="L56" t="s">
        <v>8</v>
      </c>
      <c r="M56" t="s">
        <v>7</v>
      </c>
      <c r="N56" t="s">
        <v>8</v>
      </c>
      <c r="P56">
        <f t="shared" ref="P56" si="255">IF(C56=D56,0,((E56-D56)-(C56-E56))/(C56-D56))</f>
        <v>-0.65151515151515316</v>
      </c>
      <c r="Q56">
        <f t="shared" ref="Q56" si="256">F56*P56</f>
        <v>-157362.46772727312</v>
      </c>
      <c r="R56">
        <f t="shared" ref="R56" si="257">R57+Q56</f>
        <v>-44219490.258880533</v>
      </c>
      <c r="S56">
        <f t="shared" ref="S56" si="258">R56/100000</f>
        <v>-442.19490258880535</v>
      </c>
      <c r="T56">
        <f t="shared" ref="T56" si="259">S56/1000</f>
        <v>-0.44219490258880534</v>
      </c>
    </row>
    <row r="57" spans="1:20" x14ac:dyDescent="0.25">
      <c r="A57" s="5">
        <v>44536</v>
      </c>
      <c r="B57">
        <v>15.56</v>
      </c>
      <c r="C57">
        <v>18.57</v>
      </c>
      <c r="D57">
        <v>14.84</v>
      </c>
      <c r="E57">
        <v>16.03</v>
      </c>
      <c r="F57">
        <v>598596.57999999996</v>
      </c>
      <c r="G57">
        <v>16.03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-0.36193029490616563</v>
      </c>
      <c r="Q57">
        <f t="shared" ref="Q57" si="261">F57*P57</f>
        <v>-216650.23672922215</v>
      </c>
      <c r="R57">
        <f t="shared" ref="R57" si="262">R58+Q57</f>
        <v>-44062127.79115326</v>
      </c>
      <c r="S57">
        <f t="shared" ref="S57" si="263">R57/100000</f>
        <v>-440.62127791153262</v>
      </c>
      <c r="T57">
        <f t="shared" ref="T57" si="264">S57/1000</f>
        <v>-0.44062127791153261</v>
      </c>
    </row>
    <row r="58" spans="1:20" x14ac:dyDescent="0.25">
      <c r="A58" s="5">
        <v>44535</v>
      </c>
      <c r="B58">
        <v>15</v>
      </c>
      <c r="C58">
        <v>19.8</v>
      </c>
      <c r="D58">
        <v>14.86</v>
      </c>
      <c r="E58">
        <v>15.63</v>
      </c>
      <c r="F58">
        <v>1148509.92</v>
      </c>
      <c r="G58">
        <v>15.63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-0.68825910931174039</v>
      </c>
      <c r="Q58">
        <f t="shared" ref="Q58" si="266">F58*P58</f>
        <v>-790472.4145748982</v>
      </c>
      <c r="R58">
        <f t="shared" ref="R58" si="267">R59+Q58</f>
        <v>-43845477.55442404</v>
      </c>
      <c r="S58">
        <f t="shared" ref="S58" si="268">R58/100000</f>
        <v>-438.45477554424042</v>
      </c>
      <c r="T58">
        <f t="shared" ref="T58" si="269">S58/1000</f>
        <v>-0.43845477554424039</v>
      </c>
    </row>
    <row r="59" spans="1:20" x14ac:dyDescent="0.25">
      <c r="A59" s="5">
        <v>44534</v>
      </c>
      <c r="B59">
        <v>16.62</v>
      </c>
      <c r="C59">
        <v>16.63</v>
      </c>
      <c r="D59">
        <v>13.49</v>
      </c>
      <c r="E59">
        <v>15.02</v>
      </c>
      <c r="F59">
        <v>153849.522</v>
      </c>
      <c r="G59">
        <v>15.02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-2.5477707006369459E-2</v>
      </c>
      <c r="Q59">
        <f t="shared" ref="Q59" si="271">F59*P59</f>
        <v>-3919.733044585992</v>
      </c>
      <c r="R59">
        <f t="shared" ref="R59" si="272">R60+Q59</f>
        <v>-43055005.139849141</v>
      </c>
      <c r="S59">
        <f t="shared" ref="S59" si="273">R59/100000</f>
        <v>-430.55005139849141</v>
      </c>
      <c r="T59">
        <f t="shared" ref="T59" si="274">S59/1000</f>
        <v>-0.4305500513984914</v>
      </c>
    </row>
    <row r="60" spans="1:20" x14ac:dyDescent="0.25">
      <c r="A60" s="5">
        <v>44533</v>
      </c>
      <c r="B60">
        <v>16.63</v>
      </c>
      <c r="C60">
        <v>17.79</v>
      </c>
      <c r="D60">
        <v>16.100000000000001</v>
      </c>
      <c r="E60">
        <v>16.600000000000001</v>
      </c>
      <c r="F60">
        <v>140129.67000000001</v>
      </c>
      <c r="G60">
        <v>16.600000000000001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-0.40828402366863825</v>
      </c>
      <c r="Q60">
        <f t="shared" ref="Q60" si="276">F60*P60</f>
        <v>-57212.705502958474</v>
      </c>
      <c r="R60">
        <f t="shared" ref="R60" si="277">R61+Q60</f>
        <v>-43051085.406804554</v>
      </c>
      <c r="S60">
        <f t="shared" ref="S60" si="278">R60/100000</f>
        <v>-430.51085406804555</v>
      </c>
      <c r="T60">
        <f t="shared" ref="T60" si="279">S60/1000</f>
        <v>-0.43051085406804557</v>
      </c>
    </row>
    <row r="61" spans="1:20" x14ac:dyDescent="0.25">
      <c r="A61" s="5">
        <v>44532</v>
      </c>
      <c r="B61">
        <v>16.98</v>
      </c>
      <c r="C61">
        <v>17.11</v>
      </c>
      <c r="D61">
        <v>16.451000000000001</v>
      </c>
      <c r="E61">
        <v>16.61</v>
      </c>
      <c r="F61">
        <v>87970.31</v>
      </c>
      <c r="G61">
        <v>16.61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-0.51745068285280982</v>
      </c>
      <c r="Q61">
        <f t="shared" ref="Q61" si="281">F61*P61</f>
        <v>-45520.296980273364</v>
      </c>
      <c r="R61">
        <f t="shared" ref="R61" si="282">R62+Q61</f>
        <v>-42993872.701301597</v>
      </c>
      <c r="S61">
        <f t="shared" ref="S61" si="283">R61/100000</f>
        <v>-429.93872701301598</v>
      </c>
      <c r="T61">
        <f t="shared" ref="T61" si="284">S61/1000</f>
        <v>-0.429938727013016</v>
      </c>
    </row>
    <row r="62" spans="1:20" x14ac:dyDescent="0.25">
      <c r="A62" s="5">
        <v>44531</v>
      </c>
      <c r="B62">
        <v>17.21</v>
      </c>
      <c r="C62">
        <v>17.78</v>
      </c>
      <c r="D62">
        <v>16.850000000000001</v>
      </c>
      <c r="E62">
        <v>16.97</v>
      </c>
      <c r="F62">
        <v>101978.06</v>
      </c>
      <c r="G62">
        <v>16.97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-0.74193548387097319</v>
      </c>
      <c r="Q62">
        <f t="shared" ref="Q62" si="286">F62*P62</f>
        <v>-75661.141290323139</v>
      </c>
      <c r="R62">
        <f t="shared" ref="R62" si="287">R63+Q62</f>
        <v>-42948352.40432132</v>
      </c>
      <c r="S62">
        <f t="shared" ref="S62" si="288">R62/100000</f>
        <v>-429.48352404321321</v>
      </c>
      <c r="T62">
        <f t="shared" ref="T62" si="289">S62/1000</f>
        <v>-0.42948352404321322</v>
      </c>
    </row>
    <row r="63" spans="1:20" x14ac:dyDescent="0.25">
      <c r="A63" s="5">
        <v>44530</v>
      </c>
      <c r="B63">
        <v>17.940000000000001</v>
      </c>
      <c r="C63">
        <v>18.29</v>
      </c>
      <c r="D63">
        <v>17</v>
      </c>
      <c r="E63">
        <v>17.2</v>
      </c>
      <c r="F63">
        <v>99330.37</v>
      </c>
      <c r="G63">
        <v>17.2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-0.68992248062015593</v>
      </c>
      <c r="Q63">
        <f t="shared" ref="Q63" si="291">F63*P63</f>
        <v>-68530.255271317918</v>
      </c>
      <c r="R63">
        <f t="shared" ref="R63" si="292">R64+Q63</f>
        <v>-42872691.263030998</v>
      </c>
      <c r="S63">
        <f t="shared" ref="S63" si="293">R63/100000</f>
        <v>-428.72691263030998</v>
      </c>
      <c r="T63">
        <f t="shared" ref="T63" si="294">S63/1000</f>
        <v>-0.42872691263030999</v>
      </c>
    </row>
    <row r="64" spans="1:20" x14ac:dyDescent="0.25">
      <c r="A64" s="5">
        <v>44529</v>
      </c>
      <c r="B64">
        <v>17.7</v>
      </c>
      <c r="C64">
        <v>18.2</v>
      </c>
      <c r="D64">
        <v>17.39</v>
      </c>
      <c r="E64">
        <v>17.940000000000001</v>
      </c>
      <c r="F64">
        <v>80389.19</v>
      </c>
      <c r="G64">
        <v>17.940000000000001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0.35802469135802861</v>
      </c>
      <c r="Q64">
        <f t="shared" ref="Q64" si="296">F64*P64</f>
        <v>28781.31493827192</v>
      </c>
      <c r="R64">
        <f t="shared" ref="R64" si="297">R65+Q64</f>
        <v>-42804161.007759683</v>
      </c>
      <c r="S64">
        <f t="shared" ref="S64" si="298">R64/100000</f>
        <v>-428.04161007759683</v>
      </c>
      <c r="T64">
        <f t="shared" ref="T64" si="299">S64/1000</f>
        <v>-0.42804161007759683</v>
      </c>
    </row>
    <row r="65" spans="1:20" x14ac:dyDescent="0.25">
      <c r="A65" s="5">
        <v>44528</v>
      </c>
      <c r="B65">
        <v>17.579999999999998</v>
      </c>
      <c r="C65">
        <v>17.88</v>
      </c>
      <c r="D65">
        <v>16.829999999999998</v>
      </c>
      <c r="E65">
        <v>17.64</v>
      </c>
      <c r="F65">
        <v>64569.35</v>
      </c>
      <c r="G65">
        <v>17.64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0.54285714285714615</v>
      </c>
      <c r="Q65">
        <f t="shared" ref="Q65" si="301">F65*P65</f>
        <v>35051.932857143067</v>
      </c>
      <c r="R65">
        <f t="shared" ref="R65" si="302">R66+Q65</f>
        <v>-42832942.322697952</v>
      </c>
      <c r="S65">
        <f t="shared" ref="S65" si="303">R65/100000</f>
        <v>-428.32942322697954</v>
      </c>
      <c r="T65">
        <f t="shared" ref="T65" si="304">S65/1000</f>
        <v>-0.42832942322697953</v>
      </c>
    </row>
    <row r="66" spans="1:20" x14ac:dyDescent="0.25">
      <c r="A66" s="5">
        <v>44527</v>
      </c>
      <c r="B66">
        <v>17.39</v>
      </c>
      <c r="C66">
        <v>17.98</v>
      </c>
      <c r="D66">
        <v>17.329999999999998</v>
      </c>
      <c r="E66">
        <v>17.59</v>
      </c>
      <c r="F66">
        <v>77893.289999999994</v>
      </c>
      <c r="G66">
        <v>17.59</v>
      </c>
      <c r="L66" t="s">
        <v>7</v>
      </c>
      <c r="M66" t="s">
        <v>7</v>
      </c>
      <c r="N66" t="s">
        <v>7</v>
      </c>
      <c r="P66">
        <f t="shared" ref="P66" si="305">IF(C66=D66,0,((E66-D66)-(C66-E66))/(C66-D66))</f>
        <v>-0.19999999999999782</v>
      </c>
      <c r="Q66">
        <f t="shared" ref="Q66" si="306">F66*P66</f>
        <v>-15578.657999999828</v>
      </c>
      <c r="R66">
        <f t="shared" ref="R66" si="307">R67+Q66</f>
        <v>-42867994.255555093</v>
      </c>
      <c r="S66">
        <f t="shared" ref="S66" si="308">R66/100000</f>
        <v>-428.67994255555095</v>
      </c>
      <c r="T66">
        <f t="shared" ref="T66" si="309">S66/1000</f>
        <v>-0.42867994255555097</v>
      </c>
    </row>
    <row r="67" spans="1:20" x14ac:dyDescent="0.25">
      <c r="A67" s="5">
        <v>44526</v>
      </c>
      <c r="B67">
        <v>19</v>
      </c>
      <c r="C67">
        <v>19.11</v>
      </c>
      <c r="D67">
        <v>17.23</v>
      </c>
      <c r="E67">
        <v>17.34</v>
      </c>
      <c r="F67">
        <v>131274.25</v>
      </c>
      <c r="G67">
        <v>17.34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-0.88297872340425587</v>
      </c>
      <c r="Q67">
        <f t="shared" ref="Q67" si="311">F67*P67</f>
        <v>-115912.36968085113</v>
      </c>
      <c r="R67">
        <f t="shared" ref="R67" si="312">R68+Q67</f>
        <v>-42852415.597555093</v>
      </c>
      <c r="S67">
        <f t="shared" ref="S67" si="313">R67/100000</f>
        <v>-428.52415597555091</v>
      </c>
      <c r="T67">
        <f t="shared" ref="T67" si="314">S67/1000</f>
        <v>-0.42852415597555094</v>
      </c>
    </row>
    <row r="68" spans="1:20" x14ac:dyDescent="0.25">
      <c r="A68" s="5">
        <v>44525</v>
      </c>
      <c r="B68">
        <v>18.53</v>
      </c>
      <c r="C68">
        <v>19.25</v>
      </c>
      <c r="D68">
        <v>18.43</v>
      </c>
      <c r="E68">
        <v>19.03</v>
      </c>
      <c r="F68">
        <v>133861.76999999999</v>
      </c>
      <c r="G68">
        <v>19.03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0.46341463414634443</v>
      </c>
      <c r="Q68">
        <f t="shared" ref="Q68" si="316">F68*P68</f>
        <v>62033.503170732096</v>
      </c>
      <c r="R68">
        <f t="shared" ref="R68" si="317">R69+Q68</f>
        <v>-42736503.227874242</v>
      </c>
      <c r="S68">
        <f t="shared" ref="S68" si="318">R68/100000</f>
        <v>-427.36503227874243</v>
      </c>
      <c r="T68">
        <f t="shared" ref="T68" si="319">S68/1000</f>
        <v>-0.42736503227874245</v>
      </c>
    </row>
    <row r="69" spans="1:20" x14ac:dyDescent="0.25">
      <c r="A69" s="5">
        <v>44524</v>
      </c>
      <c r="B69">
        <v>19.850000000000001</v>
      </c>
      <c r="C69">
        <v>20.5</v>
      </c>
      <c r="D69">
        <v>19.66</v>
      </c>
      <c r="E69">
        <v>19.78</v>
      </c>
      <c r="F69">
        <v>70250.679999999993</v>
      </c>
      <c r="G69">
        <v>19.78</v>
      </c>
      <c r="L69" t="s">
        <v>7</v>
      </c>
      <c r="M69" t="s">
        <v>8</v>
      </c>
      <c r="N69" t="s">
        <v>7</v>
      </c>
      <c r="P69">
        <f t="shared" ref="P69" si="320">IF(C69=D69,0,((E69-D69)-(C69-E69))/(C69-D69))</f>
        <v>-0.71428571428571186</v>
      </c>
      <c r="Q69">
        <f t="shared" ref="Q69" si="321">F69*P69</f>
        <v>-50179.057142856967</v>
      </c>
      <c r="R69">
        <f t="shared" ref="R69" si="322">R70+Q69</f>
        <v>-42798536.73104497</v>
      </c>
      <c r="S69">
        <f t="shared" ref="S69" si="323">R69/100000</f>
        <v>-427.9853673104497</v>
      </c>
      <c r="T69">
        <f t="shared" ref="T69" si="324">S69/1000</f>
        <v>-0.42798536731044973</v>
      </c>
    </row>
    <row r="70" spans="1:20" x14ac:dyDescent="0.25">
      <c r="A70" s="5">
        <v>44523</v>
      </c>
      <c r="B70">
        <v>20.7</v>
      </c>
      <c r="C70">
        <v>21.2</v>
      </c>
      <c r="D70">
        <v>19.440000000000001</v>
      </c>
      <c r="E70">
        <v>19.84</v>
      </c>
      <c r="F70">
        <v>252588.75</v>
      </c>
      <c r="G70">
        <v>19.84</v>
      </c>
      <c r="L70" t="s">
        <v>7</v>
      </c>
      <c r="M70" t="s">
        <v>8</v>
      </c>
      <c r="N70" t="s">
        <v>7</v>
      </c>
      <c r="P70">
        <f t="shared" ref="P70" si="325">IF(C70=D70,0,((E70-D70)-(C70-E70))/(C70-D70))</f>
        <v>-0.54545454545454652</v>
      </c>
      <c r="Q70">
        <f t="shared" ref="Q70" si="326">F70*P70</f>
        <v>-137775.68181818209</v>
      </c>
      <c r="R70">
        <f t="shared" ref="R70" si="327">R71+Q70</f>
        <v>-42748357.673902117</v>
      </c>
      <c r="S70">
        <f t="shared" ref="S70" si="328">R70/100000</f>
        <v>-427.48357673902115</v>
      </c>
      <c r="T70">
        <f t="shared" ref="T70" si="329">S70/1000</f>
        <v>-0.42748357673902115</v>
      </c>
    </row>
    <row r="71" spans="1:20" x14ac:dyDescent="0.25">
      <c r="A71" s="5">
        <v>44522</v>
      </c>
      <c r="B71">
        <v>19.850000000000001</v>
      </c>
      <c r="C71">
        <v>21.99</v>
      </c>
      <c r="D71">
        <v>19.63</v>
      </c>
      <c r="E71">
        <v>20.67</v>
      </c>
      <c r="F71">
        <v>393548.25</v>
      </c>
      <c r="G71">
        <v>20.67</v>
      </c>
      <c r="L71" t="s">
        <v>8</v>
      </c>
      <c r="M71" t="s">
        <v>8</v>
      </c>
      <c r="N71" t="s">
        <v>7</v>
      </c>
      <c r="P71">
        <f t="shared" ref="P71" si="330">IF(C71=D71,0,((E71-D71)-(C71-E71))/(C71-D71))</f>
        <v>-0.11864406779660767</v>
      </c>
      <c r="Q71">
        <f t="shared" ref="Q71" si="331">F71*P71</f>
        <v>-46692.165254236308</v>
      </c>
      <c r="R71">
        <f t="shared" ref="R71" si="332">R72+Q71</f>
        <v>-42610581.992083937</v>
      </c>
      <c r="S71">
        <f t="shared" ref="S71" si="333">R71/100000</f>
        <v>-426.10581992083939</v>
      </c>
      <c r="T71">
        <f t="shared" ref="T71" si="334">S71/1000</f>
        <v>-0.4261058199208394</v>
      </c>
    </row>
    <row r="72" spans="1:20" x14ac:dyDescent="0.25">
      <c r="A72" s="5">
        <v>44521</v>
      </c>
      <c r="B72">
        <v>19.920000000000002</v>
      </c>
      <c r="C72">
        <v>20.059999999999999</v>
      </c>
      <c r="D72">
        <v>19.61</v>
      </c>
      <c r="E72">
        <v>19.850000000000001</v>
      </c>
      <c r="F72">
        <v>111171.32</v>
      </c>
      <c r="G72">
        <v>19.850000000000001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6.6666666666677199E-2</v>
      </c>
      <c r="Q72">
        <f t="shared" ref="Q72" si="336">F72*P72</f>
        <v>7411.4213333345051</v>
      </c>
      <c r="R72">
        <f t="shared" ref="R72" si="337">R73+Q72</f>
        <v>-42563889.826829702</v>
      </c>
      <c r="S72">
        <f t="shared" ref="S72" si="338">R72/100000</f>
        <v>-425.638898268297</v>
      </c>
      <c r="T72">
        <f t="shared" ref="T72" si="339">S72/1000</f>
        <v>-0.42563889826829698</v>
      </c>
    </row>
    <row r="73" spans="1:20" x14ac:dyDescent="0.25">
      <c r="A73" s="5">
        <v>44520</v>
      </c>
      <c r="B73">
        <v>19.829999999999998</v>
      </c>
      <c r="C73">
        <v>20.420000000000002</v>
      </c>
      <c r="D73">
        <v>19.54</v>
      </c>
      <c r="E73">
        <v>19.899999999999999</v>
      </c>
      <c r="F73">
        <v>114460.23</v>
      </c>
      <c r="G73">
        <v>19.899999999999999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-0.18181818181818549</v>
      </c>
      <c r="Q73">
        <f t="shared" ref="Q73" si="341">F73*P73</f>
        <v>-20810.950909091327</v>
      </c>
      <c r="R73">
        <f t="shared" ref="R73" si="342">R74+Q73</f>
        <v>-42571301.248163037</v>
      </c>
      <c r="S73">
        <f t="shared" ref="S73" si="343">R73/100000</f>
        <v>-425.71301248163036</v>
      </c>
      <c r="T73">
        <f t="shared" ref="T73" si="344">S73/1000</f>
        <v>-0.42571301248163035</v>
      </c>
    </row>
    <row r="74" spans="1:20" x14ac:dyDescent="0.25">
      <c r="A74" s="5">
        <v>44519</v>
      </c>
      <c r="B74">
        <v>18.71</v>
      </c>
      <c r="C74">
        <v>20.46</v>
      </c>
      <c r="D74">
        <v>18.61</v>
      </c>
      <c r="E74">
        <v>19.829999999999998</v>
      </c>
      <c r="F74">
        <v>147911.71</v>
      </c>
      <c r="G74">
        <v>19.829999999999998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0.31891891891891666</v>
      </c>
      <c r="Q74">
        <f t="shared" ref="Q74" si="346">F74*P74</f>
        <v>47171.842648648315</v>
      </c>
      <c r="R74">
        <f t="shared" ref="R74" si="347">R75+Q74</f>
        <v>-42550490.297253944</v>
      </c>
      <c r="S74">
        <f t="shared" ref="S74" si="348">R74/100000</f>
        <v>-425.50490297253941</v>
      </c>
      <c r="T74">
        <f t="shared" ref="T74" si="349">S74/1000</f>
        <v>-0.4255049029725394</v>
      </c>
    </row>
    <row r="75" spans="1:20" x14ac:dyDescent="0.25">
      <c r="A75" s="5">
        <v>44518</v>
      </c>
      <c r="B75">
        <v>20.18</v>
      </c>
      <c r="C75">
        <v>20.23</v>
      </c>
      <c r="D75">
        <v>18.46</v>
      </c>
      <c r="E75">
        <v>18.71</v>
      </c>
      <c r="F75">
        <v>119271.446</v>
      </c>
      <c r="G75">
        <v>18.71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-0.71751412429378525</v>
      </c>
      <c r="Q75">
        <f t="shared" ref="Q75" si="351">F75*P75</f>
        <v>-85578.947129943495</v>
      </c>
      <c r="R75">
        <f t="shared" ref="R75" si="352">R76+Q75</f>
        <v>-42597662.139902592</v>
      </c>
      <c r="S75">
        <f t="shared" ref="S75" si="353">R75/100000</f>
        <v>-425.97662139902593</v>
      </c>
      <c r="T75">
        <f t="shared" ref="T75" si="354">S75/1000</f>
        <v>-0.42597662139902592</v>
      </c>
    </row>
    <row r="76" spans="1:20" x14ac:dyDescent="0.25">
      <c r="A76" s="5">
        <v>44517</v>
      </c>
      <c r="B76">
        <v>20.39</v>
      </c>
      <c r="C76">
        <v>20.86</v>
      </c>
      <c r="D76">
        <v>19.649999999999999</v>
      </c>
      <c r="E76">
        <v>20.18</v>
      </c>
      <c r="F76">
        <v>115149.46</v>
      </c>
      <c r="G76">
        <v>20.18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-0.12396694214875907</v>
      </c>
      <c r="Q76">
        <f t="shared" ref="Q76" si="356">F76*P76</f>
        <v>-14274.726446280847</v>
      </c>
      <c r="R76">
        <f t="shared" ref="R76" si="357">R77+Q76</f>
        <v>-42512083.192772649</v>
      </c>
      <c r="S76">
        <f t="shared" ref="S76" si="358">R76/100000</f>
        <v>-425.1208319277265</v>
      </c>
      <c r="T76">
        <f t="shared" ref="T76" si="359">S76/1000</f>
        <v>-0.42512083192772648</v>
      </c>
    </row>
    <row r="77" spans="1:20" x14ac:dyDescent="0.25">
      <c r="A77" s="5">
        <v>44516</v>
      </c>
      <c r="B77">
        <v>21.63</v>
      </c>
      <c r="C77">
        <v>21.71</v>
      </c>
      <c r="D77">
        <v>19.57</v>
      </c>
      <c r="E77">
        <v>20.399999999999999</v>
      </c>
      <c r="F77">
        <v>181319.13</v>
      </c>
      <c r="G77">
        <v>20.399999999999999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-0.22429906542056255</v>
      </c>
      <c r="Q77">
        <f t="shared" ref="Q77" si="361">F77*P77</f>
        <v>-40669.711401869485</v>
      </c>
      <c r="R77">
        <f t="shared" ref="R77" si="362">R78+Q77</f>
        <v>-42497808.466326371</v>
      </c>
      <c r="S77">
        <f t="shared" ref="S77" si="363">R77/100000</f>
        <v>-424.9780846632637</v>
      </c>
      <c r="T77">
        <f t="shared" ref="T77" si="364">S77/1000</f>
        <v>-0.4249780846632637</v>
      </c>
    </row>
    <row r="78" spans="1:20" x14ac:dyDescent="0.25">
      <c r="A78" s="5">
        <v>44515</v>
      </c>
      <c r="B78">
        <v>21.04</v>
      </c>
      <c r="C78">
        <v>22.65</v>
      </c>
      <c r="D78">
        <v>20.86</v>
      </c>
      <c r="E78">
        <v>21.61</v>
      </c>
      <c r="F78">
        <v>237256.84</v>
      </c>
      <c r="G78">
        <v>21.61</v>
      </c>
      <c r="L78" t="s">
        <v>8</v>
      </c>
      <c r="M78" t="s">
        <v>7</v>
      </c>
      <c r="N78" t="s">
        <v>7</v>
      </c>
      <c r="P78">
        <f t="shared" ref="P78" si="365">IF(C78=D78,0,((E78-D78)-(C78-E78))/(C78-D78))</f>
        <v>-0.16201117318435715</v>
      </c>
      <c r="Q78">
        <f t="shared" ref="Q78" si="366">F78*P78</f>
        <v>-38438.258994413314</v>
      </c>
      <c r="R78">
        <f t="shared" ref="R78" si="367">R79+Q78</f>
        <v>-42457138.754924498</v>
      </c>
      <c r="S78">
        <f t="shared" ref="S78" si="368">R78/100000</f>
        <v>-424.571387549245</v>
      </c>
      <c r="T78">
        <f t="shared" ref="T78" si="369">S78/1000</f>
        <v>-0.42457138754924501</v>
      </c>
    </row>
    <row r="79" spans="1:20" x14ac:dyDescent="0.25">
      <c r="A79" s="5">
        <v>44514</v>
      </c>
      <c r="B79">
        <v>21.08</v>
      </c>
      <c r="C79">
        <v>21.24</v>
      </c>
      <c r="D79">
        <v>20.79</v>
      </c>
      <c r="E79">
        <v>21.04</v>
      </c>
      <c r="F79">
        <v>93306.64</v>
      </c>
      <c r="G79">
        <v>21.04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0.11111111111111287</v>
      </c>
      <c r="Q79">
        <f t="shared" ref="Q79" si="371">F79*P79</f>
        <v>10367.404444444608</v>
      </c>
      <c r="R79">
        <f t="shared" ref="R79" si="372">R80+Q79</f>
        <v>-42418700.495930083</v>
      </c>
      <c r="S79">
        <f t="shared" ref="S79" si="373">R79/100000</f>
        <v>-424.18700495930085</v>
      </c>
      <c r="T79">
        <f t="shared" ref="T79" si="374">S79/1000</f>
        <v>-0.42418700495930084</v>
      </c>
    </row>
    <row r="80" spans="1:20" x14ac:dyDescent="0.25">
      <c r="A80" s="5">
        <v>44513</v>
      </c>
      <c r="B80">
        <v>20.98</v>
      </c>
      <c r="C80">
        <v>21.36</v>
      </c>
      <c r="D80">
        <v>20.51</v>
      </c>
      <c r="E80">
        <v>21.03</v>
      </c>
      <c r="F80">
        <v>99030.53</v>
      </c>
      <c r="G80">
        <v>21.03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0.22352941176470795</v>
      </c>
      <c r="Q80">
        <f t="shared" ref="Q80" si="376">F80*P80</f>
        <v>22136.236117647262</v>
      </c>
      <c r="R80">
        <f t="shared" ref="R80" si="377">R81+Q80</f>
        <v>-42429067.900374524</v>
      </c>
      <c r="S80">
        <f t="shared" ref="S80" si="378">R80/100000</f>
        <v>-424.29067900374525</v>
      </c>
      <c r="T80">
        <f t="shared" ref="T80" si="379">S80/1000</f>
        <v>-0.42429067900374523</v>
      </c>
    </row>
    <row r="81" spans="1:20" x14ac:dyDescent="0.25">
      <c r="A81" s="5">
        <v>44512</v>
      </c>
      <c r="B81">
        <v>21.52</v>
      </c>
      <c r="C81">
        <v>21.97</v>
      </c>
      <c r="D81">
        <v>20.54</v>
      </c>
      <c r="E81">
        <v>21</v>
      </c>
      <c r="F81">
        <v>159243.95000000001</v>
      </c>
      <c r="G81">
        <v>21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-0.35664335664335534</v>
      </c>
      <c r="Q81">
        <f t="shared" ref="Q81" si="381">F81*P81</f>
        <v>-56793.296853146647</v>
      </c>
      <c r="R81">
        <f t="shared" ref="R81" si="382">R82+Q81</f>
        <v>-42451204.13649217</v>
      </c>
      <c r="S81">
        <f t="shared" ref="S81" si="383">R81/100000</f>
        <v>-424.51204136492169</v>
      </c>
      <c r="T81">
        <f t="shared" ref="T81" si="384">S81/1000</f>
        <v>-0.42451204136492171</v>
      </c>
    </row>
    <row r="82" spans="1:20" x14ac:dyDescent="0.25">
      <c r="A82" s="5">
        <v>44511</v>
      </c>
      <c r="B82">
        <v>20.64</v>
      </c>
      <c r="C82">
        <v>23.35</v>
      </c>
      <c r="D82">
        <v>20.48</v>
      </c>
      <c r="E82">
        <v>21.5</v>
      </c>
      <c r="F82">
        <v>268807</v>
      </c>
      <c r="G82">
        <v>21.5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-0.28919860627177757</v>
      </c>
      <c r="Q82">
        <f t="shared" ref="Q82" si="386">F82*P82</f>
        <v>-77738.609756097707</v>
      </c>
      <c r="R82">
        <f t="shared" ref="R82" si="387">R83+Q82</f>
        <v>-42394410.839639023</v>
      </c>
      <c r="S82">
        <f t="shared" ref="S82" si="388">R82/100000</f>
        <v>-423.94410839639022</v>
      </c>
      <c r="T82">
        <f t="shared" ref="T82" si="389">S82/1000</f>
        <v>-0.42394410839639024</v>
      </c>
    </row>
    <row r="83" spans="1:20" x14ac:dyDescent="0.25">
      <c r="A83" s="5">
        <v>44510</v>
      </c>
      <c r="B83">
        <v>20.85</v>
      </c>
      <c r="C83">
        <v>24.45</v>
      </c>
      <c r="D83">
        <v>20.28</v>
      </c>
      <c r="E83">
        <v>20.64</v>
      </c>
      <c r="F83">
        <v>509358.66</v>
      </c>
      <c r="G83">
        <v>20.64</v>
      </c>
      <c r="L83" t="s">
        <v>7</v>
      </c>
      <c r="M83" t="s">
        <v>8</v>
      </c>
      <c r="N83" t="s">
        <v>7</v>
      </c>
      <c r="P83">
        <f t="shared" ref="P83" si="390">IF(C83=D83,0,((E83-D83)-(C83-E83))/(C83-D83))</f>
        <v>-0.82733812949640306</v>
      </c>
      <c r="Q83">
        <f t="shared" ref="Q83" si="391">F83*P83</f>
        <v>-421411.84100719431</v>
      </c>
      <c r="R83">
        <f t="shared" ref="R83" si="392">R84+Q83</f>
        <v>-42316672.229882926</v>
      </c>
      <c r="S83">
        <f t="shared" ref="S83" si="393">R83/100000</f>
        <v>-423.16672229882926</v>
      </c>
      <c r="T83">
        <f t="shared" ref="T83" si="394">S83/1000</f>
        <v>-0.42316672229882923</v>
      </c>
    </row>
    <row r="84" spans="1:20" x14ac:dyDescent="0.25">
      <c r="A84" s="5">
        <v>44509</v>
      </c>
      <c r="B84">
        <v>21.03</v>
      </c>
      <c r="C84">
        <v>21.85</v>
      </c>
      <c r="D84">
        <v>20.56</v>
      </c>
      <c r="E84">
        <v>20.83</v>
      </c>
      <c r="F84">
        <v>179967.4</v>
      </c>
      <c r="G84">
        <v>20.83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-0.58139534883721089</v>
      </c>
      <c r="Q84">
        <f t="shared" ref="Q84" si="396">F84*P84</f>
        <v>-104632.20930232586</v>
      </c>
      <c r="R84">
        <f t="shared" ref="R84" si="397">R85+Q84</f>
        <v>-41895260.38887573</v>
      </c>
      <c r="S84">
        <f t="shared" ref="S84" si="398">R84/100000</f>
        <v>-418.95260388875732</v>
      </c>
      <c r="T84">
        <f t="shared" ref="T84" si="399">S84/1000</f>
        <v>-0.41895260388875732</v>
      </c>
    </row>
    <row r="85" spans="1:20" x14ac:dyDescent="0.25">
      <c r="A85" s="5">
        <v>44508</v>
      </c>
      <c r="B85">
        <v>22.23</v>
      </c>
      <c r="C85">
        <v>22.29</v>
      </c>
      <c r="D85">
        <v>20.77</v>
      </c>
      <c r="E85">
        <v>21.02</v>
      </c>
      <c r="F85">
        <v>332166.3</v>
      </c>
      <c r="G85">
        <v>21.02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-0.67105263157894723</v>
      </c>
      <c r="Q85">
        <f t="shared" ref="Q85" si="401">F85*P85</f>
        <v>-222901.06973684207</v>
      </c>
      <c r="R85">
        <f t="shared" ref="R85" si="402">R86+Q85</f>
        <v>-41790628.179573402</v>
      </c>
      <c r="S85">
        <f t="shared" ref="S85" si="403">R85/100000</f>
        <v>-417.906281795734</v>
      </c>
      <c r="T85">
        <f t="shared" ref="T85" si="404">S85/1000</f>
        <v>-0.41790628179573402</v>
      </c>
    </row>
    <row r="86" spans="1:20" x14ac:dyDescent="0.25">
      <c r="A86" s="5">
        <v>44507</v>
      </c>
      <c r="B86">
        <v>19.97</v>
      </c>
      <c r="C86">
        <v>28.6</v>
      </c>
      <c r="D86">
        <v>19.91</v>
      </c>
      <c r="E86">
        <v>22.22</v>
      </c>
      <c r="F86">
        <v>1958098.76</v>
      </c>
      <c r="G86">
        <v>22.22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-0.46835443037974722</v>
      </c>
      <c r="Q86">
        <f t="shared" ref="Q86" si="406">F86*P86</f>
        <v>-917084.22936708934</v>
      </c>
      <c r="R86">
        <f t="shared" ref="R86" si="407">R87+Q86</f>
        <v>-41567727.109836556</v>
      </c>
      <c r="S86">
        <f t="shared" ref="S86" si="408">R86/100000</f>
        <v>-415.67727109836557</v>
      </c>
      <c r="T86">
        <f t="shared" ref="T86" si="409">S86/1000</f>
        <v>-0.41567727109836555</v>
      </c>
    </row>
    <row r="87" spans="1:20" x14ac:dyDescent="0.25">
      <c r="A87" s="5">
        <v>44506</v>
      </c>
      <c r="B87">
        <v>19.940000000000001</v>
      </c>
      <c r="C87">
        <v>20.309999999999999</v>
      </c>
      <c r="D87">
        <v>19.77</v>
      </c>
      <c r="E87">
        <v>20</v>
      </c>
      <c r="F87">
        <v>74914.850000000006</v>
      </c>
      <c r="G87">
        <v>20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-0.14814814814814523</v>
      </c>
      <c r="Q87">
        <f t="shared" ref="Q87" si="411">F87*P87</f>
        <v>-11098.496296296078</v>
      </c>
      <c r="R87">
        <f t="shared" ref="R87" si="412">R88+Q87</f>
        <v>-40650642.880469464</v>
      </c>
      <c r="S87">
        <f t="shared" ref="S87" si="413">R87/100000</f>
        <v>-406.50642880469462</v>
      </c>
      <c r="T87">
        <f t="shared" ref="T87" si="414">S87/1000</f>
        <v>-0.40650642880469462</v>
      </c>
    </row>
    <row r="88" spans="1:20" x14ac:dyDescent="0.25">
      <c r="A88" s="5">
        <v>44505</v>
      </c>
      <c r="B88">
        <v>19.920000000000002</v>
      </c>
      <c r="C88">
        <v>21.2</v>
      </c>
      <c r="D88">
        <v>19.62</v>
      </c>
      <c r="E88">
        <v>19.93</v>
      </c>
      <c r="F88">
        <v>114583.57</v>
      </c>
      <c r="G88">
        <v>19.93</v>
      </c>
      <c r="L88" t="s">
        <v>8</v>
      </c>
      <c r="M88" t="s">
        <v>7</v>
      </c>
      <c r="N88" t="s">
        <v>7</v>
      </c>
      <c r="P88">
        <f t="shared" ref="P88" si="415">IF(C88=D88,0,((E88-D88)-(C88-E88))/(C88-D88))</f>
        <v>-0.607594936708862</v>
      </c>
      <c r="Q88">
        <f t="shared" ref="Q88" si="416">F88*P88</f>
        <v>-69620.396962025465</v>
      </c>
      <c r="R88">
        <f t="shared" ref="R88" si="417">R89+Q88</f>
        <v>-40639544.38417317</v>
      </c>
      <c r="S88">
        <f t="shared" ref="S88" si="418">R88/100000</f>
        <v>-406.39544384173172</v>
      </c>
      <c r="T88">
        <f t="shared" ref="T88" si="419">S88/1000</f>
        <v>-0.40639544384173171</v>
      </c>
    </row>
    <row r="89" spans="1:20" x14ac:dyDescent="0.25">
      <c r="A89" s="5">
        <v>44504</v>
      </c>
      <c r="B89">
        <v>20.13</v>
      </c>
      <c r="C89">
        <v>20.68</v>
      </c>
      <c r="D89">
        <v>19.25</v>
      </c>
      <c r="E89">
        <v>19.940000000000001</v>
      </c>
      <c r="F89">
        <v>138585.26999999999</v>
      </c>
      <c r="G89">
        <v>19.940000000000001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-3.4965034965032983E-2</v>
      </c>
      <c r="Q89">
        <f t="shared" ref="Q89" si="421">F89*P89</f>
        <v>-4845.6388111885362</v>
      </c>
      <c r="R89">
        <f t="shared" ref="R89" si="422">R90+Q89</f>
        <v>-40569923.987211145</v>
      </c>
      <c r="S89">
        <f t="shared" ref="S89" si="423">R89/100000</f>
        <v>-405.69923987211143</v>
      </c>
      <c r="T89">
        <f t="shared" ref="T89" si="424">S89/1000</f>
        <v>-0.40569923987211143</v>
      </c>
    </row>
    <row r="90" spans="1:20" x14ac:dyDescent="0.25">
      <c r="A90" s="5">
        <v>44503</v>
      </c>
      <c r="B90">
        <v>20.86</v>
      </c>
      <c r="C90">
        <v>20.88</v>
      </c>
      <c r="D90">
        <v>20.059999999999999</v>
      </c>
      <c r="E90">
        <v>20.13</v>
      </c>
      <c r="F90">
        <v>122277.05</v>
      </c>
      <c r="G90">
        <v>20.13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-0.82926829268292623</v>
      </c>
      <c r="Q90">
        <f t="shared" ref="Q90" si="426">F90*P90</f>
        <v>-101400.4804878048</v>
      </c>
      <c r="R90">
        <f t="shared" ref="R90" si="427">R91+Q90</f>
        <v>-40565078.34839996</v>
      </c>
      <c r="S90">
        <f t="shared" ref="S90" si="428">R90/100000</f>
        <v>-405.65078348399959</v>
      </c>
      <c r="T90">
        <f t="shared" ref="T90" si="429">S90/1000</f>
        <v>-0.40565078348399958</v>
      </c>
    </row>
    <row r="91" spans="1:20" x14ac:dyDescent="0.25">
      <c r="A91" s="5">
        <v>44502</v>
      </c>
      <c r="B91">
        <v>21.04</v>
      </c>
      <c r="C91">
        <v>21.68</v>
      </c>
      <c r="D91">
        <v>20.53</v>
      </c>
      <c r="E91">
        <v>20.87</v>
      </c>
      <c r="F91">
        <v>148986.79</v>
      </c>
      <c r="G91">
        <v>20.87</v>
      </c>
      <c r="L91" t="s">
        <v>7</v>
      </c>
      <c r="M91" t="s">
        <v>7</v>
      </c>
      <c r="N91" t="s">
        <v>7</v>
      </c>
      <c r="P91">
        <f t="shared" ref="P91" si="430">IF(C91=D91,0,((E91-D91)-(C91-E91))/(C91-D91))</f>
        <v>-0.40869565217391257</v>
      </c>
      <c r="Q91">
        <f t="shared" ref="Q91" si="431">F91*P91</f>
        <v>-60890.25330434776</v>
      </c>
      <c r="R91">
        <f t="shared" ref="R91" si="432">R92+Q91</f>
        <v>-40463677.867912158</v>
      </c>
      <c r="S91">
        <f t="shared" ref="S91" si="433">R91/100000</f>
        <v>-404.63677867912156</v>
      </c>
      <c r="T91">
        <f t="shared" ref="T91" si="434">S91/1000</f>
        <v>-0.40463677867912157</v>
      </c>
    </row>
    <row r="92" spans="1:20" x14ac:dyDescent="0.25">
      <c r="A92" s="5">
        <v>44501</v>
      </c>
      <c r="B92">
        <v>20.39</v>
      </c>
      <c r="C92">
        <v>22.22</v>
      </c>
      <c r="D92">
        <v>20.010000000000002</v>
      </c>
      <c r="E92">
        <v>21.04</v>
      </c>
      <c r="F92">
        <v>190200.31</v>
      </c>
      <c r="G92">
        <v>21.04</v>
      </c>
      <c r="L92" t="s">
        <v>8</v>
      </c>
      <c r="M92" t="s">
        <v>7</v>
      </c>
      <c r="N92" t="s">
        <v>7</v>
      </c>
      <c r="P92">
        <f t="shared" ref="P92" si="435">IF(C92=D92,0,((E92-D92)-(C92-E92))/(C92-D92))</f>
        <v>-6.7873303167421864E-2</v>
      </c>
      <c r="Q92">
        <f t="shared" ref="Q92" si="436">F92*P92</f>
        <v>-12909.52330316762</v>
      </c>
      <c r="R92">
        <f t="shared" ref="R92" si="437">R93+Q92</f>
        <v>-40402787.614607811</v>
      </c>
      <c r="S92">
        <f t="shared" ref="S92" si="438">R92/100000</f>
        <v>-404.02787614607809</v>
      </c>
      <c r="T92">
        <f t="shared" ref="T92" si="439">S92/1000</f>
        <v>-0.4040278761460781</v>
      </c>
    </row>
    <row r="93" spans="1:20" x14ac:dyDescent="0.25">
      <c r="A93" s="5">
        <v>44500</v>
      </c>
      <c r="B93">
        <v>20.83</v>
      </c>
      <c r="C93">
        <v>21</v>
      </c>
      <c r="D93">
        <v>20.100000000000001</v>
      </c>
      <c r="E93">
        <v>20.39</v>
      </c>
      <c r="F93">
        <v>126069.07</v>
      </c>
      <c r="G93">
        <v>20.39</v>
      </c>
      <c r="L93" t="s">
        <v>7</v>
      </c>
      <c r="M93" t="s">
        <v>7</v>
      </c>
      <c r="N93" t="s">
        <v>7</v>
      </c>
      <c r="P93">
        <f t="shared" ref="P93" si="440">IF(C93=D93,0,((E93-D93)-(C93-E93))/(C93-D93))</f>
        <v>-0.35555555555555646</v>
      </c>
      <c r="Q93">
        <f t="shared" ref="Q93" si="441">F93*P93</f>
        <v>-44824.558222222338</v>
      </c>
      <c r="R93">
        <f t="shared" ref="R93" si="442">R94+Q93</f>
        <v>-40389878.091304645</v>
      </c>
      <c r="S93">
        <f t="shared" ref="S93" si="443">R93/100000</f>
        <v>-403.89878091304644</v>
      </c>
      <c r="T93">
        <f t="shared" ref="T93" si="444">S93/1000</f>
        <v>-0.40389878091304643</v>
      </c>
    </row>
    <row r="94" spans="1:20" x14ac:dyDescent="0.25">
      <c r="A94" s="5">
        <v>44499</v>
      </c>
      <c r="B94">
        <v>21.05</v>
      </c>
      <c r="C94">
        <v>21.88</v>
      </c>
      <c r="D94">
        <v>20.43</v>
      </c>
      <c r="E94">
        <v>20.82</v>
      </c>
      <c r="F94">
        <v>145574.6</v>
      </c>
      <c r="G94">
        <v>20.82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-0.4620689655172403</v>
      </c>
      <c r="Q94">
        <f t="shared" ref="Q94" si="446">F94*P94</f>
        <v>-67265.504827586046</v>
      </c>
      <c r="R94">
        <f t="shared" ref="R94" si="447">R95+Q94</f>
        <v>-40345053.533082426</v>
      </c>
      <c r="S94">
        <f t="shared" ref="S94" si="448">R94/100000</f>
        <v>-403.45053533082427</v>
      </c>
      <c r="T94">
        <f t="shared" ref="T94" si="449">S94/1000</f>
        <v>-0.40345053533082426</v>
      </c>
    </row>
    <row r="95" spans="1:20" x14ac:dyDescent="0.25">
      <c r="A95" s="5">
        <v>44498</v>
      </c>
      <c r="B95">
        <v>20.59</v>
      </c>
      <c r="C95">
        <v>21.55</v>
      </c>
      <c r="D95">
        <v>20.59</v>
      </c>
      <c r="E95">
        <v>21.07</v>
      </c>
      <c r="F95">
        <v>135758.22</v>
      </c>
      <c r="G95">
        <v>21.07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</v>
      </c>
      <c r="Q95">
        <f t="shared" ref="Q95" si="451">F95*P95</f>
        <v>0</v>
      </c>
      <c r="R95">
        <f t="shared" ref="R95" si="452">R96+Q95</f>
        <v>-40277788.028254837</v>
      </c>
      <c r="S95">
        <f t="shared" ref="S95" si="453">R95/100000</f>
        <v>-402.77788028254838</v>
      </c>
      <c r="T95">
        <f t="shared" ref="T95" si="454">S95/1000</f>
        <v>-0.40277788028254841</v>
      </c>
    </row>
    <row r="96" spans="1:20" x14ac:dyDescent="0.25">
      <c r="A96" s="5">
        <v>44497</v>
      </c>
      <c r="B96">
        <v>20.170000000000002</v>
      </c>
      <c r="C96">
        <v>21.14</v>
      </c>
      <c r="D96">
        <v>20.059999999999999</v>
      </c>
      <c r="E96">
        <v>20.62</v>
      </c>
      <c r="F96">
        <v>137781.39000000001</v>
      </c>
      <c r="G96">
        <v>20.62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3.7037037037039471E-2</v>
      </c>
      <c r="Q96">
        <f t="shared" ref="Q96" si="456">F96*P96</f>
        <v>5103.0144444447806</v>
      </c>
      <c r="R96">
        <f t="shared" ref="R96" si="457">R97+Q96</f>
        <v>-40277788.028254837</v>
      </c>
      <c r="S96">
        <f t="shared" ref="S96" si="458">R96/100000</f>
        <v>-402.77788028254838</v>
      </c>
      <c r="T96">
        <f t="shared" ref="T96" si="459">S96/1000</f>
        <v>-0.40277788028254841</v>
      </c>
    </row>
    <row r="97" spans="1:20" x14ac:dyDescent="0.25">
      <c r="A97" s="5">
        <v>44496</v>
      </c>
      <c r="B97">
        <v>22.47</v>
      </c>
      <c r="C97">
        <v>22.9</v>
      </c>
      <c r="D97">
        <v>20.14</v>
      </c>
      <c r="E97">
        <v>20.170000000000002</v>
      </c>
      <c r="F97">
        <v>191054.571</v>
      </c>
      <c r="G97">
        <v>20.170000000000002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-0.97826086956521652</v>
      </c>
      <c r="Q97">
        <f t="shared" ref="Q97" si="461">F97*P97</f>
        <v>-186901.21076086941</v>
      </c>
      <c r="R97">
        <f t="shared" ref="R97" si="462">R98+Q97</f>
        <v>-40282891.042699285</v>
      </c>
      <c r="S97">
        <f t="shared" ref="S97" si="463">R97/100000</f>
        <v>-402.82891042699282</v>
      </c>
      <c r="T97">
        <f t="shared" ref="T97" si="464">S97/1000</f>
        <v>-0.40282891042699281</v>
      </c>
    </row>
    <row r="98" spans="1:20" x14ac:dyDescent="0.25">
      <c r="A98" s="5">
        <v>44495</v>
      </c>
      <c r="B98">
        <v>22.76</v>
      </c>
      <c r="C98">
        <v>23.47</v>
      </c>
      <c r="D98">
        <v>22.09</v>
      </c>
      <c r="E98">
        <v>22.46</v>
      </c>
      <c r="F98">
        <v>133410.65</v>
      </c>
      <c r="G98">
        <v>22.46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-0.46376811594202716</v>
      </c>
      <c r="Q98">
        <f t="shared" ref="Q98" si="466">F98*P98</f>
        <v>-61871.605797101205</v>
      </c>
      <c r="R98">
        <f t="shared" ref="R98" si="467">R99+Q98</f>
        <v>-40095989.831938416</v>
      </c>
      <c r="S98">
        <f t="shared" ref="S98" si="468">R98/100000</f>
        <v>-400.95989831938414</v>
      </c>
      <c r="T98">
        <f t="shared" ref="T98" si="469">S98/1000</f>
        <v>-0.40095989831938411</v>
      </c>
    </row>
    <row r="99" spans="1:20" x14ac:dyDescent="0.25">
      <c r="A99" s="5">
        <v>44494</v>
      </c>
      <c r="B99">
        <v>22.36</v>
      </c>
      <c r="C99">
        <v>23.88</v>
      </c>
      <c r="D99">
        <v>22.22</v>
      </c>
      <c r="E99">
        <v>22.76</v>
      </c>
      <c r="F99">
        <v>188561.52</v>
      </c>
      <c r="G99">
        <v>22.76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-0.34939759036144258</v>
      </c>
      <c r="Q99">
        <f t="shared" ref="Q99" si="471">F99*P99</f>
        <v>-65882.940722890955</v>
      </c>
      <c r="R99">
        <f t="shared" ref="R99" si="472">R100+Q99</f>
        <v>-40034118.226141311</v>
      </c>
      <c r="S99">
        <f t="shared" ref="S99" si="473">R99/100000</f>
        <v>-400.34118226141311</v>
      </c>
      <c r="T99">
        <f t="shared" ref="T99" si="474">S99/1000</f>
        <v>-0.40034118226141313</v>
      </c>
    </row>
    <row r="100" spans="1:20" x14ac:dyDescent="0.25">
      <c r="A100" s="5">
        <v>44493</v>
      </c>
      <c r="B100">
        <v>22.9</v>
      </c>
      <c r="C100">
        <v>22.98</v>
      </c>
      <c r="D100">
        <v>22.26</v>
      </c>
      <c r="E100">
        <v>22.35</v>
      </c>
      <c r="F100">
        <v>107008.79</v>
      </c>
      <c r="G100">
        <v>22.35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-0.75</v>
      </c>
      <c r="Q100">
        <f t="shared" ref="Q100" si="476">F100*P100</f>
        <v>-80256.592499999999</v>
      </c>
      <c r="R100">
        <f t="shared" ref="R100" si="477">R101+Q100</f>
        <v>-39968235.285418421</v>
      </c>
      <c r="S100">
        <f t="shared" ref="S100" si="478">R100/100000</f>
        <v>-399.68235285418422</v>
      </c>
      <c r="T100">
        <f t="shared" ref="T100" si="479">S100/1000</f>
        <v>-0.39968235285418424</v>
      </c>
    </row>
    <row r="101" spans="1:20" x14ac:dyDescent="0.25">
      <c r="A101" s="5">
        <v>44492</v>
      </c>
      <c r="B101">
        <v>22.84</v>
      </c>
      <c r="C101">
        <v>23.23</v>
      </c>
      <c r="D101">
        <v>22.63</v>
      </c>
      <c r="E101">
        <v>22.91</v>
      </c>
      <c r="F101">
        <v>70631.59</v>
      </c>
      <c r="G101">
        <v>22.91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-6.6666666666665084E-2</v>
      </c>
      <c r="Q101">
        <f t="shared" ref="Q101" si="481">F101*P101</f>
        <v>-4708.7726666665549</v>
      </c>
      <c r="R101">
        <f t="shared" ref="R101" si="482">R102+Q101</f>
        <v>-39887978.69291842</v>
      </c>
      <c r="S101">
        <f t="shared" ref="S101" si="483">R101/100000</f>
        <v>-398.87978692918421</v>
      </c>
      <c r="T101">
        <f t="shared" ref="T101" si="484">S101/1000</f>
        <v>-0.39887978692918419</v>
      </c>
    </row>
    <row r="102" spans="1:20" x14ac:dyDescent="0.25">
      <c r="A102" s="5">
        <v>44491</v>
      </c>
      <c r="B102">
        <v>23.08</v>
      </c>
      <c r="C102">
        <v>23.49</v>
      </c>
      <c r="D102">
        <v>22.51</v>
      </c>
      <c r="E102">
        <v>22.84</v>
      </c>
      <c r="F102">
        <v>139694.99</v>
      </c>
      <c r="G102">
        <v>22.84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-0.32653061224489927</v>
      </c>
      <c r="Q102">
        <f t="shared" ref="Q102" si="486">F102*P102</f>
        <v>-45614.690612245075</v>
      </c>
      <c r="R102">
        <f t="shared" ref="R102" si="487">R103+Q102</f>
        <v>-39883269.920251757</v>
      </c>
      <c r="S102">
        <f t="shared" ref="S102" si="488">R102/100000</f>
        <v>-398.83269920251757</v>
      </c>
      <c r="T102">
        <f t="shared" ref="T102" si="489">S102/1000</f>
        <v>-0.39883269920251757</v>
      </c>
    </row>
    <row r="103" spans="1:20" x14ac:dyDescent="0.25">
      <c r="A103" s="5">
        <v>44490</v>
      </c>
      <c r="B103">
        <v>23.76</v>
      </c>
      <c r="C103">
        <v>24.5</v>
      </c>
      <c r="D103">
        <v>22.89</v>
      </c>
      <c r="E103">
        <v>23.08</v>
      </c>
      <c r="F103">
        <v>250690.29</v>
      </c>
      <c r="G103">
        <v>23.08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-0.76397515527950588</v>
      </c>
      <c r="Q103">
        <f t="shared" ref="Q103" si="491">F103*P103</f>
        <v>-191521.15322981437</v>
      </c>
      <c r="R103">
        <f t="shared" ref="R103" si="492">R104+Q103</f>
        <v>-39837655.229639515</v>
      </c>
      <c r="S103">
        <f t="shared" ref="S103" si="493">R103/100000</f>
        <v>-398.37655229639518</v>
      </c>
      <c r="T103">
        <f t="shared" ref="T103" si="494">S103/1000</f>
        <v>-0.39837655229639518</v>
      </c>
    </row>
    <row r="104" spans="1:20" x14ac:dyDescent="0.25">
      <c r="A104" s="5">
        <v>44489</v>
      </c>
      <c r="B104">
        <v>23.35</v>
      </c>
      <c r="C104">
        <v>23.97</v>
      </c>
      <c r="D104">
        <v>23.15</v>
      </c>
      <c r="E104">
        <v>23.78</v>
      </c>
      <c r="F104">
        <v>140823.67000000001</v>
      </c>
      <c r="G104">
        <v>23.78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0.53658536585366423</v>
      </c>
      <c r="Q104">
        <f t="shared" ref="Q104" si="496">F104*P104</f>
        <v>75563.920487805692</v>
      </c>
      <c r="R104">
        <f t="shared" ref="R104" si="497">R105+Q104</f>
        <v>-39646134.076409698</v>
      </c>
      <c r="S104">
        <f t="shared" ref="S104" si="498">R104/100000</f>
        <v>-396.46134076409697</v>
      </c>
      <c r="T104">
        <f t="shared" ref="T104" si="499">S104/1000</f>
        <v>-0.39646134076409695</v>
      </c>
    </row>
    <row r="105" spans="1:20" x14ac:dyDescent="0.25">
      <c r="A105" s="5">
        <v>44488</v>
      </c>
      <c r="B105">
        <v>23.68</v>
      </c>
      <c r="C105">
        <v>24.31</v>
      </c>
      <c r="D105">
        <v>23.12</v>
      </c>
      <c r="E105">
        <v>23.35</v>
      </c>
      <c r="F105">
        <v>142177.12</v>
      </c>
      <c r="G105">
        <v>23.35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-0.6134453781512591</v>
      </c>
      <c r="Q105">
        <f t="shared" ref="Q105" si="501">F105*P105</f>
        <v>-87217.897142856935</v>
      </c>
      <c r="R105">
        <f t="shared" ref="R105" si="502">R106+Q105</f>
        <v>-39721697.996897504</v>
      </c>
      <c r="S105">
        <f t="shared" ref="S105" si="503">R105/100000</f>
        <v>-397.21697996897501</v>
      </c>
      <c r="T105">
        <f t="shared" ref="T105" si="504">S105/1000</f>
        <v>-0.39721697996897504</v>
      </c>
    </row>
    <row r="106" spans="1:20" x14ac:dyDescent="0.25">
      <c r="A106" s="5">
        <v>44487</v>
      </c>
      <c r="B106">
        <v>23.57</v>
      </c>
      <c r="C106">
        <v>24.2</v>
      </c>
      <c r="D106">
        <v>23.11</v>
      </c>
      <c r="E106">
        <v>23.68</v>
      </c>
      <c r="F106">
        <v>145571.54999999999</v>
      </c>
      <c r="G106">
        <v>23.68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4.5871559633028178E-2</v>
      </c>
      <c r="Q106">
        <f t="shared" ref="Q106" si="506">F106*P106</f>
        <v>6677.5940366973427</v>
      </c>
      <c r="R106">
        <f t="shared" ref="R106" si="507">R107+Q106</f>
        <v>-39634480.099754646</v>
      </c>
      <c r="S106">
        <f t="shared" ref="S106" si="508">R106/100000</f>
        <v>-396.34480099754649</v>
      </c>
      <c r="T106">
        <f t="shared" ref="T106" si="509">S106/1000</f>
        <v>-0.39634480099754649</v>
      </c>
    </row>
    <row r="107" spans="1:20" x14ac:dyDescent="0.25">
      <c r="A107" s="5">
        <v>44486</v>
      </c>
      <c r="B107">
        <v>24</v>
      </c>
      <c r="C107">
        <v>24.3</v>
      </c>
      <c r="D107">
        <v>23.2</v>
      </c>
      <c r="E107">
        <v>23.57</v>
      </c>
      <c r="F107">
        <v>142842.56</v>
      </c>
      <c r="G107">
        <v>23.57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-0.32727272727272633</v>
      </c>
      <c r="Q107">
        <f t="shared" ref="Q107" si="511">F107*P107</f>
        <v>-46748.474181818048</v>
      </c>
      <c r="R107">
        <f t="shared" ref="R107" si="512">R108+Q107</f>
        <v>-39641157.693791345</v>
      </c>
      <c r="S107">
        <f t="shared" ref="S107" si="513">R107/100000</f>
        <v>-396.41157693791342</v>
      </c>
      <c r="T107">
        <f t="shared" ref="T107" si="514">S107/1000</f>
        <v>-0.3964115769379134</v>
      </c>
    </row>
    <row r="108" spans="1:20" x14ac:dyDescent="0.25">
      <c r="A108" s="5">
        <v>44485</v>
      </c>
      <c r="B108">
        <v>23.8</v>
      </c>
      <c r="C108">
        <v>24.59</v>
      </c>
      <c r="D108">
        <v>23.61</v>
      </c>
      <c r="E108">
        <v>24</v>
      </c>
      <c r="F108">
        <v>121843.81</v>
      </c>
      <c r="G108">
        <v>24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-0.20408163265306042</v>
      </c>
      <c r="Q108">
        <f t="shared" ref="Q108" si="516">F108*P108</f>
        <v>-24866.083673469289</v>
      </c>
      <c r="R108">
        <f t="shared" ref="R108" si="517">R109+Q108</f>
        <v>-39594409.219609529</v>
      </c>
      <c r="S108">
        <f t="shared" ref="S108" si="518">R108/100000</f>
        <v>-395.94409219609531</v>
      </c>
      <c r="T108">
        <f t="shared" ref="T108" si="519">S108/1000</f>
        <v>-0.39594409219609533</v>
      </c>
    </row>
    <row r="109" spans="1:20" x14ac:dyDescent="0.25">
      <c r="A109" s="5">
        <v>44484</v>
      </c>
      <c r="B109">
        <v>24.64</v>
      </c>
      <c r="C109">
        <v>24.83</v>
      </c>
      <c r="D109">
        <v>23.42</v>
      </c>
      <c r="E109">
        <v>23.82</v>
      </c>
      <c r="F109">
        <v>201925.65</v>
      </c>
      <c r="G109">
        <v>23.82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-0.43262411347517793</v>
      </c>
      <c r="Q109">
        <f t="shared" ref="Q109" si="521">F109*P109</f>
        <v>-87357.905319149053</v>
      </c>
      <c r="R109">
        <f t="shared" ref="R109" si="522">R110+Q109</f>
        <v>-39569543.135936059</v>
      </c>
      <c r="S109">
        <f t="shared" ref="S109" si="523">R109/100000</f>
        <v>-395.69543135936061</v>
      </c>
      <c r="T109">
        <f t="shared" ref="T109" si="524">S109/1000</f>
        <v>-0.39569543135936064</v>
      </c>
    </row>
    <row r="110" spans="1:20" x14ac:dyDescent="0.25">
      <c r="A110" s="5">
        <v>44483</v>
      </c>
      <c r="B110">
        <v>24.5</v>
      </c>
      <c r="C110">
        <v>25.35</v>
      </c>
      <c r="D110">
        <v>24.28</v>
      </c>
      <c r="E110">
        <v>24.58</v>
      </c>
      <c r="F110">
        <v>151794.41</v>
      </c>
      <c r="G110">
        <v>24.58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-0.43925233644860362</v>
      </c>
      <c r="Q110">
        <f t="shared" ref="Q110" si="526">F110*P110</f>
        <v>-66676.049252337281</v>
      </c>
      <c r="R110">
        <f t="shared" ref="R110" si="527">R111+Q110</f>
        <v>-39482185.230616912</v>
      </c>
      <c r="S110">
        <f t="shared" ref="S110" si="528">R110/100000</f>
        <v>-394.82185230616915</v>
      </c>
      <c r="T110">
        <f t="shared" ref="T110" si="529">S110/1000</f>
        <v>-0.39482185230616917</v>
      </c>
    </row>
    <row r="111" spans="1:20" x14ac:dyDescent="0.25">
      <c r="A111" s="5">
        <v>44482</v>
      </c>
      <c r="B111">
        <v>24.04</v>
      </c>
      <c r="C111">
        <v>25</v>
      </c>
      <c r="D111">
        <v>23.84</v>
      </c>
      <c r="E111">
        <v>24.5</v>
      </c>
      <c r="F111">
        <v>213172.82</v>
      </c>
      <c r="G111">
        <v>24.5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0.13793103448275873</v>
      </c>
      <c r="Q111">
        <f t="shared" ref="Q111" si="531">F111*P111</f>
        <v>29403.14758620692</v>
      </c>
      <c r="R111">
        <f t="shared" ref="R111" si="532">R112+Q111</f>
        <v>-39415509.181364574</v>
      </c>
      <c r="S111">
        <f t="shared" ref="S111" si="533">R111/100000</f>
        <v>-394.15509181364575</v>
      </c>
      <c r="T111">
        <f t="shared" ref="T111" si="534">S111/1000</f>
        <v>-0.39415509181364577</v>
      </c>
    </row>
    <row r="112" spans="1:20" x14ac:dyDescent="0.25">
      <c r="A112" s="5">
        <v>44481</v>
      </c>
      <c r="B112">
        <v>24.01</v>
      </c>
      <c r="C112">
        <v>24.5</v>
      </c>
      <c r="D112">
        <v>23.63</v>
      </c>
      <c r="E112">
        <v>24.05</v>
      </c>
      <c r="F112">
        <v>100230.39</v>
      </c>
      <c r="G112">
        <v>24.05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-3.4482758620686838E-2</v>
      </c>
      <c r="Q112">
        <f t="shared" ref="Q112" si="536">F112*P112</f>
        <v>-3456.220344827304</v>
      </c>
      <c r="R112">
        <f t="shared" ref="R112" si="537">R113+Q112</f>
        <v>-39444912.328950778</v>
      </c>
      <c r="S112">
        <f t="shared" ref="S112" si="538">R112/100000</f>
        <v>-394.44912328950778</v>
      </c>
      <c r="T112">
        <f t="shared" ref="T112" si="539">S112/1000</f>
        <v>-0.39444912328950776</v>
      </c>
    </row>
    <row r="113" spans="1:20" x14ac:dyDescent="0.25">
      <c r="A113" s="5">
        <v>44480</v>
      </c>
      <c r="B113">
        <v>24.32</v>
      </c>
      <c r="C113">
        <v>24.82</v>
      </c>
      <c r="D113">
        <v>23.8</v>
      </c>
      <c r="E113">
        <v>24.01</v>
      </c>
      <c r="F113">
        <v>84210.29</v>
      </c>
      <c r="G113">
        <v>24.01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-0.58823529411764519</v>
      </c>
      <c r="Q113">
        <f t="shared" ref="Q113" si="541">F113*P113</f>
        <v>-49535.464705882194</v>
      </c>
      <c r="R113">
        <f t="shared" ref="R113" si="542">R114+Q113</f>
        <v>-39441456.108605951</v>
      </c>
      <c r="S113">
        <f t="shared" ref="S113" si="543">R113/100000</f>
        <v>-394.41456108605951</v>
      </c>
      <c r="T113">
        <f t="shared" ref="T113" si="544">S113/1000</f>
        <v>-0.39441456108605949</v>
      </c>
    </row>
    <row r="114" spans="1:20" x14ac:dyDescent="0.25">
      <c r="A114" s="5">
        <v>44479</v>
      </c>
      <c r="B114">
        <v>25.03</v>
      </c>
      <c r="C114">
        <v>25.2</v>
      </c>
      <c r="D114">
        <v>24.02</v>
      </c>
      <c r="E114">
        <v>24.32</v>
      </c>
      <c r="F114">
        <v>101413.18</v>
      </c>
      <c r="G114">
        <v>24.32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-0.49152542372881225</v>
      </c>
      <c r="Q114">
        <f t="shared" ref="Q114" si="546">F114*P114</f>
        <v>-49847.156271186308</v>
      </c>
      <c r="R114">
        <f t="shared" ref="R114" si="547">R115+Q114</f>
        <v>-39391920.643900067</v>
      </c>
      <c r="S114">
        <f t="shared" ref="S114" si="548">R114/100000</f>
        <v>-393.91920643900067</v>
      </c>
      <c r="T114">
        <f t="shared" ref="T114" si="549">S114/1000</f>
        <v>-0.39391920643900069</v>
      </c>
    </row>
    <row r="115" spans="1:20" x14ac:dyDescent="0.25">
      <c r="A115" s="5">
        <v>44478</v>
      </c>
      <c r="B115">
        <v>24.62</v>
      </c>
      <c r="C115">
        <v>25.62</v>
      </c>
      <c r="D115">
        <v>24.47</v>
      </c>
      <c r="E115">
        <v>24.97</v>
      </c>
      <c r="F115">
        <v>145576.48000000001</v>
      </c>
      <c r="G115">
        <v>24.97</v>
      </c>
      <c r="L115" t="s">
        <v>7</v>
      </c>
      <c r="M115" t="s">
        <v>7</v>
      </c>
      <c r="N115" t="s">
        <v>7</v>
      </c>
      <c r="P115">
        <f t="shared" ref="P115" si="550">IF(C115=D115,0,((E115-D115)-(C115-E115))/(C115-D115))</f>
        <v>-0.13043478260869726</v>
      </c>
      <c r="Q115">
        <f t="shared" ref="Q115" si="551">F115*P115</f>
        <v>-18988.236521739367</v>
      </c>
      <c r="R115">
        <f t="shared" ref="R115" si="552">R116+Q115</f>
        <v>-39342073.487628877</v>
      </c>
      <c r="S115">
        <f t="shared" ref="S115" si="553">R115/100000</f>
        <v>-393.42073487628875</v>
      </c>
      <c r="T115">
        <f t="shared" ref="T115" si="554">S115/1000</f>
        <v>-0.39342073487628876</v>
      </c>
    </row>
    <row r="116" spans="1:20" x14ac:dyDescent="0.25">
      <c r="A116" s="5">
        <v>44477</v>
      </c>
      <c r="B116">
        <v>25.3</v>
      </c>
      <c r="C116">
        <v>25.74</v>
      </c>
      <c r="D116">
        <v>24.51</v>
      </c>
      <c r="E116">
        <v>24.63</v>
      </c>
      <c r="F116">
        <v>168748.45</v>
      </c>
      <c r="G116">
        <v>24.63</v>
      </c>
      <c r="L116" t="s">
        <v>7</v>
      </c>
      <c r="M116" t="s">
        <v>7</v>
      </c>
      <c r="N116" t="s">
        <v>7</v>
      </c>
      <c r="P116">
        <f t="shared" ref="P116" si="555">IF(C116=D116,0,((E116-D116)-(C116-E116))/(C116-D116))</f>
        <v>-0.80487804878049152</v>
      </c>
      <c r="Q116">
        <f t="shared" ref="Q116" si="556">F116*P116</f>
        <v>-135821.92317073233</v>
      </c>
      <c r="R116">
        <f t="shared" ref="R116" si="557">R117+Q116</f>
        <v>-39323085.251107141</v>
      </c>
      <c r="S116">
        <f t="shared" ref="S116" si="558">R116/100000</f>
        <v>-393.23085251107142</v>
      </c>
      <c r="T116">
        <f t="shared" ref="T116" si="559">S116/1000</f>
        <v>-0.39323085251107143</v>
      </c>
    </row>
    <row r="117" spans="1:20" x14ac:dyDescent="0.25">
      <c r="A117" s="5">
        <v>44476</v>
      </c>
      <c r="B117">
        <v>24.84</v>
      </c>
      <c r="C117">
        <v>26.6</v>
      </c>
      <c r="D117">
        <v>24.5</v>
      </c>
      <c r="E117">
        <v>25.31</v>
      </c>
      <c r="F117">
        <v>387150.84</v>
      </c>
      <c r="G117">
        <v>25.31</v>
      </c>
      <c r="L117" t="s">
        <v>8</v>
      </c>
      <c r="M117" t="s">
        <v>7</v>
      </c>
      <c r="N117" t="s">
        <v>7</v>
      </c>
      <c r="P117">
        <f t="shared" ref="P117" si="560">IF(C117=D117,0,((E117-D117)-(C117-E117))/(C117-D117))</f>
        <v>-0.22857142857143031</v>
      </c>
      <c r="Q117">
        <f t="shared" ref="Q117" si="561">F117*P117</f>
        <v>-88491.620571429245</v>
      </c>
      <c r="R117">
        <f t="shared" ref="R117" si="562">R118+Q117</f>
        <v>-39187263.327936411</v>
      </c>
      <c r="S117">
        <f t="shared" ref="S117" si="563">R117/100000</f>
        <v>-391.87263327936409</v>
      </c>
      <c r="T117">
        <f t="shared" ref="T117" si="564">S117/1000</f>
        <v>-0.39187263327936411</v>
      </c>
    </row>
    <row r="118" spans="1:20" x14ac:dyDescent="0.25">
      <c r="A118" s="5">
        <v>44475</v>
      </c>
      <c r="B118">
        <v>24.5</v>
      </c>
      <c r="C118">
        <v>26.52</v>
      </c>
      <c r="D118">
        <v>23.67</v>
      </c>
      <c r="E118">
        <v>24.81</v>
      </c>
      <c r="F118">
        <v>399729.34</v>
      </c>
      <c r="G118">
        <v>24.81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-0.20000000000000148</v>
      </c>
      <c r="Q118">
        <f t="shared" ref="Q118" si="566">F118*P118</f>
        <v>-79945.868000000599</v>
      </c>
      <c r="R118">
        <f t="shared" ref="R118" si="567">R119+Q118</f>
        <v>-39098771.707364984</v>
      </c>
      <c r="S118">
        <f t="shared" ref="S118" si="568">R118/100000</f>
        <v>-390.98771707364983</v>
      </c>
      <c r="T118">
        <f t="shared" ref="T118" si="569">S118/1000</f>
        <v>-0.39098771707364982</v>
      </c>
    </row>
    <row r="119" spans="1:20" x14ac:dyDescent="0.25">
      <c r="A119" s="5">
        <v>44474</v>
      </c>
      <c r="B119">
        <v>24.73</v>
      </c>
      <c r="C119">
        <v>25.14</v>
      </c>
      <c r="D119">
        <v>24.3</v>
      </c>
      <c r="E119">
        <v>24.48</v>
      </c>
      <c r="F119">
        <v>183920.1</v>
      </c>
      <c r="G119">
        <v>24.48</v>
      </c>
      <c r="L119" t="s">
        <v>7</v>
      </c>
      <c r="M119" t="s">
        <v>7</v>
      </c>
      <c r="N119" t="s">
        <v>7</v>
      </c>
      <c r="P119">
        <f t="shared" ref="P119" si="570">IF(C119=D119,0,((E119-D119)-(C119-E119))/(C119-D119))</f>
        <v>-0.57142857142857206</v>
      </c>
      <c r="Q119">
        <f t="shared" ref="Q119" si="571">F119*P119</f>
        <v>-105097.20000000011</v>
      </c>
      <c r="R119">
        <f t="shared" ref="R119" si="572">R120+Q119</f>
        <v>-39018825.839364983</v>
      </c>
      <c r="S119">
        <f t="shared" ref="S119" si="573">R119/100000</f>
        <v>-390.18825839364985</v>
      </c>
      <c r="T119">
        <f t="shared" ref="T119" si="574">S119/1000</f>
        <v>-0.39018825839364984</v>
      </c>
    </row>
    <row r="120" spans="1:20" x14ac:dyDescent="0.25">
      <c r="A120" s="5">
        <v>44473</v>
      </c>
      <c r="B120">
        <v>24.91</v>
      </c>
      <c r="C120">
        <v>24.98</v>
      </c>
      <c r="D120">
        <v>24.2</v>
      </c>
      <c r="E120">
        <v>24.76</v>
      </c>
      <c r="F120">
        <v>154035.22</v>
      </c>
      <c r="G120">
        <v>24.76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0.43589743589743962</v>
      </c>
      <c r="Q120">
        <f t="shared" ref="Q120" si="576">F120*P120</f>
        <v>67143.557435898008</v>
      </c>
      <c r="R120">
        <f t="shared" ref="R120" si="577">R121+Q120</f>
        <v>-38913728.63936498</v>
      </c>
      <c r="S120">
        <f t="shared" ref="S120" si="578">R120/100000</f>
        <v>-389.13728639364979</v>
      </c>
      <c r="T120">
        <f t="shared" ref="T120" si="579">S120/1000</f>
        <v>-0.38913728639364981</v>
      </c>
    </row>
    <row r="121" spans="1:20" x14ac:dyDescent="0.25">
      <c r="A121" s="5">
        <v>44472</v>
      </c>
      <c r="B121">
        <v>25.19</v>
      </c>
      <c r="C121">
        <v>25.74</v>
      </c>
      <c r="D121">
        <v>24.62</v>
      </c>
      <c r="E121">
        <v>24.89</v>
      </c>
      <c r="F121">
        <v>134931.82999999999</v>
      </c>
      <c r="G121">
        <v>24.89</v>
      </c>
      <c r="L121" t="s">
        <v>7</v>
      </c>
      <c r="M121" t="s">
        <v>7</v>
      </c>
      <c r="N121" t="s">
        <v>7</v>
      </c>
      <c r="P121">
        <f t="shared" ref="P121" si="580">IF(C121=D121,0,((E121-D121)-(C121-E121))/(C121-D121))</f>
        <v>-0.51785714285714257</v>
      </c>
      <c r="Q121">
        <f t="shared" ref="Q121" si="581">F121*P121</f>
        <v>-69875.411964285668</v>
      </c>
      <c r="R121">
        <f t="shared" ref="R121" si="582">R122+Q121</f>
        <v>-38980872.19680088</v>
      </c>
      <c r="S121">
        <f t="shared" ref="S121" si="583">R121/100000</f>
        <v>-389.8087219680088</v>
      </c>
      <c r="T121">
        <f t="shared" ref="T121" si="584">S121/1000</f>
        <v>-0.38980872196800881</v>
      </c>
    </row>
    <row r="122" spans="1:20" x14ac:dyDescent="0.25">
      <c r="A122" s="5">
        <v>44471</v>
      </c>
      <c r="B122">
        <v>25.28</v>
      </c>
      <c r="C122">
        <v>26.31</v>
      </c>
      <c r="D122">
        <v>25</v>
      </c>
      <c r="E122">
        <v>25.22</v>
      </c>
      <c r="F122">
        <v>205672.29</v>
      </c>
      <c r="G122">
        <v>25.22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-0.66412213740458159</v>
      </c>
      <c r="Q122">
        <f t="shared" ref="Q122" si="586">F122*P122</f>
        <v>-136591.52083969495</v>
      </c>
      <c r="R122">
        <f t="shared" ref="R122" si="587">R123+Q122</f>
        <v>-38910996.784836598</v>
      </c>
      <c r="S122">
        <f t="shared" ref="S122" si="588">R122/100000</f>
        <v>-389.10996784836595</v>
      </c>
      <c r="T122">
        <f t="shared" ref="T122" si="589">S122/1000</f>
        <v>-0.38910996784836593</v>
      </c>
    </row>
    <row r="123" spans="1:20" x14ac:dyDescent="0.25">
      <c r="A123" s="5">
        <v>44470</v>
      </c>
      <c r="B123">
        <v>24.62</v>
      </c>
      <c r="C123">
        <v>25.7</v>
      </c>
      <c r="D123">
        <v>24.48</v>
      </c>
      <c r="E123">
        <v>25.28</v>
      </c>
      <c r="F123">
        <v>319174.33</v>
      </c>
      <c r="G123">
        <v>25.28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0.31147540983606797</v>
      </c>
      <c r="Q123">
        <f t="shared" ref="Q123" si="591">F123*P123</f>
        <v>99414.955245902413</v>
      </c>
      <c r="R123">
        <f t="shared" ref="R123" si="592">R124+Q123</f>
        <v>-38774405.263996899</v>
      </c>
      <c r="S123">
        <f t="shared" ref="S123" si="593">R123/100000</f>
        <v>-387.74405263996897</v>
      </c>
      <c r="T123">
        <f t="shared" ref="T123" si="594">S123/1000</f>
        <v>-0.38774405263996897</v>
      </c>
    </row>
    <row r="124" spans="1:20" x14ac:dyDescent="0.25">
      <c r="A124" s="5">
        <v>44469</v>
      </c>
      <c r="B124">
        <v>24.11</v>
      </c>
      <c r="C124">
        <v>24.82</v>
      </c>
      <c r="D124">
        <v>24</v>
      </c>
      <c r="E124">
        <v>24.62</v>
      </c>
      <c r="F124">
        <v>157868.13</v>
      </c>
      <c r="G124">
        <v>24.62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0.51219512195122141</v>
      </c>
      <c r="Q124">
        <f t="shared" ref="Q124" si="596">F124*P124</f>
        <v>80859.286097561271</v>
      </c>
      <c r="R124">
        <f t="shared" ref="R124" si="597">R125+Q124</f>
        <v>-38873820.219242804</v>
      </c>
      <c r="S124">
        <f t="shared" ref="S124" si="598">R124/100000</f>
        <v>-388.73820219242805</v>
      </c>
      <c r="T124">
        <f t="shared" ref="T124" si="599">S124/1000</f>
        <v>-0.38873820219242805</v>
      </c>
    </row>
    <row r="125" spans="1:20" x14ac:dyDescent="0.25">
      <c r="A125" s="5">
        <v>44468</v>
      </c>
      <c r="B125">
        <v>24.27</v>
      </c>
      <c r="C125">
        <v>25.35</v>
      </c>
      <c r="D125">
        <v>23.73</v>
      </c>
      <c r="E125">
        <v>24.1</v>
      </c>
      <c r="F125">
        <v>143537.21</v>
      </c>
      <c r="G125">
        <v>24.1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-0.54320987654320896</v>
      </c>
      <c r="Q125">
        <f t="shared" ref="Q125" si="601">F125*P125</f>
        <v>-77970.830123456661</v>
      </c>
      <c r="R125">
        <f t="shared" ref="R125" si="602">R126+Q125</f>
        <v>-38954679.505340368</v>
      </c>
      <c r="S125">
        <f t="shared" ref="S125" si="603">R125/100000</f>
        <v>-389.54679505340368</v>
      </c>
      <c r="T125">
        <f t="shared" ref="T125" si="604">S125/1000</f>
        <v>-0.38954679505340367</v>
      </c>
    </row>
    <row r="126" spans="1:20" x14ac:dyDescent="0.25">
      <c r="A126" s="5">
        <v>44467</v>
      </c>
      <c r="B126">
        <v>26.4</v>
      </c>
      <c r="C126">
        <v>27.49</v>
      </c>
      <c r="D126">
        <v>24.22</v>
      </c>
      <c r="E126">
        <v>24.27</v>
      </c>
      <c r="F126">
        <v>317608.03000000003</v>
      </c>
      <c r="G126">
        <v>24.27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-0.96941896024464791</v>
      </c>
      <c r="Q126">
        <f t="shared" ref="Q126" si="606">F126*P126</f>
        <v>-307895.24620795099</v>
      </c>
      <c r="R126">
        <f t="shared" ref="R126" si="607">R127+Q126</f>
        <v>-38876708.675216913</v>
      </c>
      <c r="S126">
        <f t="shared" ref="S126" si="608">R126/100000</f>
        <v>-388.76708675216912</v>
      </c>
      <c r="T126">
        <f t="shared" ref="T126" si="609">S126/1000</f>
        <v>-0.38876708675216914</v>
      </c>
    </row>
    <row r="127" spans="1:20" x14ac:dyDescent="0.25">
      <c r="A127" s="5">
        <v>44466</v>
      </c>
      <c r="B127">
        <v>27.02</v>
      </c>
      <c r="C127">
        <v>27.76</v>
      </c>
      <c r="D127">
        <v>26.37</v>
      </c>
      <c r="E127">
        <v>26.44</v>
      </c>
      <c r="F127">
        <v>168291.93</v>
      </c>
      <c r="G127">
        <v>26.44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-0.89928057553956797</v>
      </c>
      <c r="Q127">
        <f t="shared" ref="Q127" si="611">F127*P127</f>
        <v>-151341.66366906467</v>
      </c>
      <c r="R127">
        <f t="shared" ref="R127" si="612">R128+Q127</f>
        <v>-38568813.429008961</v>
      </c>
      <c r="S127">
        <f t="shared" ref="S127" si="613">R127/100000</f>
        <v>-385.68813429008958</v>
      </c>
      <c r="T127">
        <f t="shared" ref="T127" si="614">S127/1000</f>
        <v>-0.38568813429008958</v>
      </c>
    </row>
    <row r="128" spans="1:20" x14ac:dyDescent="0.25">
      <c r="A128" s="5">
        <v>44465</v>
      </c>
      <c r="B128">
        <v>26.1</v>
      </c>
      <c r="C128">
        <v>27.89</v>
      </c>
      <c r="D128">
        <v>25.04</v>
      </c>
      <c r="E128">
        <v>27.03</v>
      </c>
      <c r="F128">
        <v>199092.62</v>
      </c>
      <c r="G128">
        <v>27.03</v>
      </c>
      <c r="L128" t="s">
        <v>8</v>
      </c>
      <c r="M128" t="s">
        <v>8</v>
      </c>
      <c r="N128" t="s">
        <v>7</v>
      </c>
      <c r="P128">
        <f t="shared" ref="P128" si="615">IF(C128=D128,0,((E128-D128)-(C128-E128))/(C128-D128))</f>
        <v>0.39649122807017612</v>
      </c>
      <c r="Q128">
        <f t="shared" ref="Q128" si="616">F128*P128</f>
        <v>78938.477403508907</v>
      </c>
      <c r="R128">
        <f t="shared" ref="R128" si="617">R129+Q128</f>
        <v>-38417471.765339896</v>
      </c>
      <c r="S128">
        <f t="shared" ref="S128" si="618">R128/100000</f>
        <v>-384.17471765339894</v>
      </c>
      <c r="T128">
        <f t="shared" ref="T128" si="619">S128/1000</f>
        <v>-0.38417471765339894</v>
      </c>
    </row>
    <row r="129" spans="1:20" x14ac:dyDescent="0.25">
      <c r="A129" s="5">
        <v>44464</v>
      </c>
      <c r="B129">
        <v>26.39</v>
      </c>
      <c r="C129">
        <v>26.95</v>
      </c>
      <c r="D129">
        <v>25.78</v>
      </c>
      <c r="E129">
        <v>26.09</v>
      </c>
      <c r="F129">
        <v>158309.03</v>
      </c>
      <c r="G129">
        <v>26.09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-0.47008547008547141</v>
      </c>
      <c r="Q129">
        <f t="shared" ref="Q129" si="621">F129*P129</f>
        <v>-74418.774786324997</v>
      </c>
      <c r="R129">
        <f t="shared" ref="R129" si="622">R130+Q129</f>
        <v>-38496410.242743403</v>
      </c>
      <c r="S129">
        <f t="shared" ref="S129" si="623">R129/100000</f>
        <v>-384.964102427434</v>
      </c>
      <c r="T129">
        <f t="shared" ref="T129" si="624">S129/1000</f>
        <v>-0.38496410242743401</v>
      </c>
    </row>
    <row r="130" spans="1:20" x14ac:dyDescent="0.25">
      <c r="A130" s="5">
        <v>44463</v>
      </c>
      <c r="B130">
        <v>27.97</v>
      </c>
      <c r="C130">
        <v>28.24</v>
      </c>
      <c r="D130">
        <v>24.95</v>
      </c>
      <c r="E130">
        <v>26.32</v>
      </c>
      <c r="F130">
        <v>266765.19</v>
      </c>
      <c r="G130">
        <v>26.32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-0.16717325227963445</v>
      </c>
      <c r="Q130">
        <f t="shared" ref="Q130" si="626">F130*P130</f>
        <v>-44596.004407294618</v>
      </c>
      <c r="R130">
        <f t="shared" ref="R130" si="627">R131+Q130</f>
        <v>-38421991.467957079</v>
      </c>
      <c r="S130">
        <f t="shared" ref="S130" si="628">R130/100000</f>
        <v>-384.21991467957082</v>
      </c>
      <c r="T130">
        <f t="shared" ref="T130" si="629">S130/1000</f>
        <v>-0.38421991467957084</v>
      </c>
    </row>
    <row r="131" spans="1:20" x14ac:dyDescent="0.25">
      <c r="A131" s="5">
        <v>44462</v>
      </c>
      <c r="B131">
        <v>26.52</v>
      </c>
      <c r="C131">
        <v>28.78</v>
      </c>
      <c r="D131">
        <v>26.2</v>
      </c>
      <c r="E131">
        <v>27.99</v>
      </c>
      <c r="F131">
        <v>279377.15999999997</v>
      </c>
      <c r="G131">
        <v>27.99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0.38759689922480456</v>
      </c>
      <c r="Q131">
        <f t="shared" ref="Q131" si="631">F131*P131</f>
        <v>108285.72093023208</v>
      </c>
      <c r="R131">
        <f t="shared" ref="R131" si="632">R132+Q131</f>
        <v>-38377395.463549785</v>
      </c>
      <c r="S131">
        <f t="shared" ref="S131" si="633">R131/100000</f>
        <v>-383.77395463549783</v>
      </c>
      <c r="T131">
        <f t="shared" ref="T131" si="634">S131/1000</f>
        <v>-0.38377395463549785</v>
      </c>
    </row>
    <row r="132" spans="1:20" x14ac:dyDescent="0.25">
      <c r="A132" s="5">
        <v>44461</v>
      </c>
      <c r="B132">
        <v>25.05</v>
      </c>
      <c r="C132">
        <v>27.19</v>
      </c>
      <c r="D132">
        <v>25.02</v>
      </c>
      <c r="E132">
        <v>26.52</v>
      </c>
      <c r="F132">
        <v>210198.28</v>
      </c>
      <c r="G132">
        <v>26.52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0.38248847926267171</v>
      </c>
      <c r="Q132">
        <f t="shared" ref="Q132" si="636">F132*P132</f>
        <v>80398.420460829264</v>
      </c>
      <c r="R132">
        <f t="shared" ref="R132" si="637">R133+Q132</f>
        <v>-38485681.184480019</v>
      </c>
      <c r="S132">
        <f t="shared" ref="S132" si="638">R132/100000</f>
        <v>-384.85681184480018</v>
      </c>
      <c r="T132">
        <f t="shared" ref="T132" si="639">S132/1000</f>
        <v>-0.3848568118448002</v>
      </c>
    </row>
    <row r="133" spans="1:20" x14ac:dyDescent="0.25">
      <c r="A133" s="5">
        <v>44460</v>
      </c>
      <c r="B133">
        <v>25.32</v>
      </c>
      <c r="C133">
        <v>28.98</v>
      </c>
      <c r="D133">
        <v>23.63</v>
      </c>
      <c r="E133">
        <v>25.13</v>
      </c>
      <c r="F133">
        <v>351085.45600000001</v>
      </c>
      <c r="G133">
        <v>25.13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-0.43925233644859829</v>
      </c>
      <c r="Q133">
        <f t="shared" ref="Q133" si="641">F133*P133</f>
        <v>-154215.10684112157</v>
      </c>
      <c r="R133">
        <f t="shared" ref="R133" si="642">R134+Q133</f>
        <v>-38566079.604940847</v>
      </c>
      <c r="S133">
        <f t="shared" ref="S133" si="643">R133/100000</f>
        <v>-385.66079604940848</v>
      </c>
      <c r="T133">
        <f t="shared" ref="T133" si="644">S133/1000</f>
        <v>-0.38566079604940845</v>
      </c>
    </row>
    <row r="134" spans="1:20" x14ac:dyDescent="0.25">
      <c r="A134" s="5">
        <v>44459</v>
      </c>
      <c r="B134">
        <v>28.56</v>
      </c>
      <c r="C134">
        <v>28.93</v>
      </c>
      <c r="D134">
        <v>26.01</v>
      </c>
      <c r="E134">
        <v>27.13</v>
      </c>
      <c r="F134">
        <v>132792.07</v>
      </c>
      <c r="G134">
        <v>27.13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-0.23287671232876839</v>
      </c>
      <c r="Q134">
        <f t="shared" ref="Q134" si="646">F134*P134</f>
        <v>-30924.180684931678</v>
      </c>
      <c r="R134">
        <f t="shared" ref="R134" si="647">R135+Q134</f>
        <v>-38411864.498099722</v>
      </c>
      <c r="S134">
        <f t="shared" ref="S134" si="648">R134/100000</f>
        <v>-384.1186449809972</v>
      </c>
      <c r="T134">
        <f t="shared" ref="T134" si="649">S134/1000</f>
        <v>-0.38411864498099718</v>
      </c>
    </row>
    <row r="135" spans="1:20" x14ac:dyDescent="0.25">
      <c r="A135" s="5">
        <v>44458</v>
      </c>
      <c r="B135">
        <v>29.98</v>
      </c>
      <c r="C135">
        <v>30.19</v>
      </c>
      <c r="D135">
        <v>28.13</v>
      </c>
      <c r="E135">
        <v>28.58</v>
      </c>
      <c r="F135">
        <v>208877.62</v>
      </c>
      <c r="G135">
        <v>28.58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-0.56310679611650605</v>
      </c>
      <c r="Q135">
        <f t="shared" ref="Q135" si="651">F135*P135</f>
        <v>-117620.40737864103</v>
      </c>
      <c r="R135">
        <f t="shared" ref="R135" si="652">R136+Q135</f>
        <v>-38380940.31741479</v>
      </c>
      <c r="S135">
        <f t="shared" ref="S135" si="653">R135/100000</f>
        <v>-383.80940317414792</v>
      </c>
      <c r="T135">
        <f t="shared" ref="T135" si="654">S135/1000</f>
        <v>-0.38380940317414791</v>
      </c>
    </row>
    <row r="136" spans="1:20" x14ac:dyDescent="0.25">
      <c r="A136" s="5">
        <v>44457</v>
      </c>
      <c r="B136">
        <v>29.83</v>
      </c>
      <c r="C136">
        <v>31.2</v>
      </c>
      <c r="D136">
        <v>29.17</v>
      </c>
      <c r="E136">
        <v>29.97</v>
      </c>
      <c r="F136">
        <v>197130.69</v>
      </c>
      <c r="G136">
        <v>29.97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-0.21182266009852402</v>
      </c>
      <c r="Q136">
        <f t="shared" ref="Q136" si="656">F136*P136</f>
        <v>-41756.747142857508</v>
      </c>
      <c r="R136">
        <f t="shared" ref="R136" si="657">R137+Q136</f>
        <v>-38263319.910036147</v>
      </c>
      <c r="S136">
        <f t="shared" ref="S136" si="658">R136/100000</f>
        <v>-382.63319910036148</v>
      </c>
      <c r="T136">
        <f t="shared" ref="T136" si="659">S136/1000</f>
        <v>-0.38263319910036148</v>
      </c>
    </row>
    <row r="137" spans="1:20" x14ac:dyDescent="0.25">
      <c r="A137" s="5">
        <v>44456</v>
      </c>
      <c r="B137">
        <v>30.29</v>
      </c>
      <c r="C137">
        <v>30.6</v>
      </c>
      <c r="D137">
        <v>29.46</v>
      </c>
      <c r="E137">
        <v>29.82</v>
      </c>
      <c r="F137">
        <v>185316.99</v>
      </c>
      <c r="G137">
        <v>29.82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-0.36842105263158026</v>
      </c>
      <c r="Q137">
        <f t="shared" ref="Q137" si="661">F137*P137</f>
        <v>-68274.680526316035</v>
      </c>
      <c r="R137">
        <f t="shared" ref="R137" si="662">R138+Q137</f>
        <v>-38221563.162893288</v>
      </c>
      <c r="S137">
        <f t="shared" ref="S137" si="663">R137/100000</f>
        <v>-382.2156316289329</v>
      </c>
      <c r="T137">
        <f t="shared" ref="T137" si="664">S137/1000</f>
        <v>-0.38221563162893291</v>
      </c>
    </row>
    <row r="138" spans="1:20" x14ac:dyDescent="0.25">
      <c r="A138" s="5">
        <v>44455</v>
      </c>
      <c r="B138">
        <v>30.92</v>
      </c>
      <c r="C138">
        <v>31.45</v>
      </c>
      <c r="D138">
        <v>29.81</v>
      </c>
      <c r="E138">
        <v>30.29</v>
      </c>
      <c r="F138">
        <v>385213.88</v>
      </c>
      <c r="G138">
        <v>30.29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-0.41463414634146312</v>
      </c>
      <c r="Q138">
        <f t="shared" ref="Q138" si="666">F138*P138</f>
        <v>-159722.82829268283</v>
      </c>
      <c r="R138">
        <f t="shared" ref="R138" si="667">R139+Q138</f>
        <v>-38153288.482366972</v>
      </c>
      <c r="S138">
        <f t="shared" ref="S138" si="668">R138/100000</f>
        <v>-381.53288482366969</v>
      </c>
      <c r="T138">
        <f t="shared" ref="T138" si="669">S138/1000</f>
        <v>-0.3815328848236697</v>
      </c>
    </row>
    <row r="139" spans="1:20" x14ac:dyDescent="0.25">
      <c r="A139" s="5">
        <v>44454</v>
      </c>
      <c r="B139">
        <v>32.18</v>
      </c>
      <c r="C139">
        <v>33.89</v>
      </c>
      <c r="D139">
        <v>30.5</v>
      </c>
      <c r="E139">
        <v>30.95</v>
      </c>
      <c r="F139">
        <v>934110.38</v>
      </c>
      <c r="G139">
        <v>30.95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-0.73451327433628366</v>
      </c>
      <c r="Q139">
        <f t="shared" ref="Q139" si="671">F139*P139</f>
        <v>-686116.4738053102</v>
      </c>
      <c r="R139">
        <f t="shared" ref="R139" si="672">R140+Q139</f>
        <v>-37993565.654074289</v>
      </c>
      <c r="S139">
        <f t="shared" ref="S139" si="673">R139/100000</f>
        <v>-379.93565654074291</v>
      </c>
      <c r="T139">
        <f t="shared" ref="T139" si="674">S139/1000</f>
        <v>-0.37993565654074291</v>
      </c>
    </row>
    <row r="140" spans="1:20" x14ac:dyDescent="0.25">
      <c r="A140" s="5">
        <v>44453</v>
      </c>
      <c r="B140">
        <v>29.87</v>
      </c>
      <c r="C140">
        <v>32.86</v>
      </c>
      <c r="D140">
        <v>29.69</v>
      </c>
      <c r="E140">
        <v>32.18</v>
      </c>
      <c r="F140">
        <v>451801.26</v>
      </c>
      <c r="G140">
        <v>32.18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0.57097791798107245</v>
      </c>
      <c r="Q140">
        <f t="shared" ref="Q140" si="676">F140*P140</f>
        <v>257968.54277602519</v>
      </c>
      <c r="R140">
        <f t="shared" ref="R140" si="677">R141+Q140</f>
        <v>-37307449.180268981</v>
      </c>
      <c r="S140">
        <f t="shared" ref="S140" si="678">R140/100000</f>
        <v>-373.07449180268981</v>
      </c>
      <c r="T140">
        <f t="shared" ref="T140" si="679">S140/1000</f>
        <v>-0.37307449180268981</v>
      </c>
    </row>
    <row r="141" spans="1:20" x14ac:dyDescent="0.25">
      <c r="A141" s="5">
        <v>44452</v>
      </c>
      <c r="B141">
        <v>31.2</v>
      </c>
      <c r="C141">
        <v>31.31</v>
      </c>
      <c r="D141">
        <v>29.03</v>
      </c>
      <c r="E141">
        <v>29.86</v>
      </c>
      <c r="F141">
        <v>223965</v>
      </c>
      <c r="G141">
        <v>29.86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-0.27192982456140424</v>
      </c>
      <c r="Q141">
        <f t="shared" ref="Q141" si="681">F141*P141</f>
        <v>-60902.7631578949</v>
      </c>
      <c r="R141">
        <f t="shared" ref="R141" si="682">R142+Q141</f>
        <v>-37565417.723045006</v>
      </c>
      <c r="S141">
        <f t="shared" ref="S141" si="683">R141/100000</f>
        <v>-375.65417723045005</v>
      </c>
      <c r="T141">
        <f t="shared" ref="T141" si="684">S141/1000</f>
        <v>-0.37565417723045003</v>
      </c>
    </row>
    <row r="142" spans="1:20" x14ac:dyDescent="0.25">
      <c r="A142" s="5">
        <v>44451</v>
      </c>
      <c r="B142">
        <v>29.98</v>
      </c>
      <c r="C142">
        <v>32.450000000000003</v>
      </c>
      <c r="D142">
        <v>29.79</v>
      </c>
      <c r="E142">
        <v>31.26</v>
      </c>
      <c r="F142">
        <v>245882.7</v>
      </c>
      <c r="G142">
        <v>31.26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0.10526315789473713</v>
      </c>
      <c r="Q142">
        <f t="shared" ref="Q142" si="686">F142*P142</f>
        <v>25882.389473684281</v>
      </c>
      <c r="R142">
        <f t="shared" ref="R142" si="687">R143+Q142</f>
        <v>-37504514.95988711</v>
      </c>
      <c r="S142">
        <f t="shared" ref="S142" si="688">R142/100000</f>
        <v>-375.04514959887109</v>
      </c>
      <c r="T142">
        <f t="shared" ref="T142" si="689">S142/1000</f>
        <v>-0.37504514959887109</v>
      </c>
    </row>
    <row r="143" spans="1:20" x14ac:dyDescent="0.25">
      <c r="A143" s="5">
        <v>44450</v>
      </c>
      <c r="B143">
        <v>31.29</v>
      </c>
      <c r="C143">
        <v>32.97</v>
      </c>
      <c r="D143">
        <v>29.82</v>
      </c>
      <c r="E143">
        <v>30.02</v>
      </c>
      <c r="F143">
        <v>341797.6</v>
      </c>
      <c r="G143">
        <v>30.02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-0.87301587301587336</v>
      </c>
      <c r="Q143">
        <f t="shared" ref="Q143" si="691">F143*P143</f>
        <v>-298394.73015873024</v>
      </c>
      <c r="R143">
        <f t="shared" ref="R143" si="692">R144+Q143</f>
        <v>-37530397.349360794</v>
      </c>
      <c r="S143">
        <f t="shared" ref="S143" si="693">R143/100000</f>
        <v>-375.30397349360794</v>
      </c>
      <c r="T143">
        <f t="shared" ref="T143" si="694">S143/1000</f>
        <v>-0.37530397349360795</v>
      </c>
    </row>
    <row r="144" spans="1:20" x14ac:dyDescent="0.25">
      <c r="A144" s="5">
        <v>44449</v>
      </c>
      <c r="B144">
        <v>29.25</v>
      </c>
      <c r="C144">
        <v>34</v>
      </c>
      <c r="D144">
        <v>29.25</v>
      </c>
      <c r="E144">
        <v>31.25</v>
      </c>
      <c r="F144">
        <v>870358.03</v>
      </c>
      <c r="G144">
        <v>31.25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-0.15789473684210525</v>
      </c>
      <c r="Q144">
        <f t="shared" ref="Q144" si="696">F144*P144</f>
        <v>-137424.95210526316</v>
      </c>
      <c r="R144">
        <f t="shared" ref="R144" si="697">R145+Q144</f>
        <v>-37232002.619202062</v>
      </c>
      <c r="S144">
        <f t="shared" ref="S144" si="698">R144/100000</f>
        <v>-372.32002619202063</v>
      </c>
      <c r="T144">
        <f t="shared" ref="T144" si="699">S144/1000</f>
        <v>-0.37232002619202065</v>
      </c>
    </row>
    <row r="145" spans="1:20" x14ac:dyDescent="0.25">
      <c r="A145" s="5">
        <v>44448</v>
      </c>
      <c r="B145">
        <v>28.98</v>
      </c>
      <c r="C145">
        <v>30.29</v>
      </c>
      <c r="D145">
        <v>28.57</v>
      </c>
      <c r="E145">
        <v>29.25</v>
      </c>
      <c r="F145">
        <v>245796.08</v>
      </c>
      <c r="G145">
        <v>29.25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-0.20930232558139517</v>
      </c>
      <c r="Q145">
        <f t="shared" ref="Q145" si="701">F145*P145</f>
        <v>-51445.691162790652</v>
      </c>
      <c r="R145">
        <f t="shared" ref="R145" si="702">R146+Q145</f>
        <v>-37094577.667096801</v>
      </c>
      <c r="S145">
        <f t="shared" ref="S145" si="703">R145/100000</f>
        <v>-370.94577667096803</v>
      </c>
      <c r="T145">
        <f t="shared" ref="T145" si="704">S145/1000</f>
        <v>-0.37094577667096801</v>
      </c>
    </row>
    <row r="146" spans="1:20" x14ac:dyDescent="0.25">
      <c r="A146" s="5">
        <v>44447</v>
      </c>
      <c r="B146">
        <v>28.61</v>
      </c>
      <c r="C146">
        <v>29.86</v>
      </c>
      <c r="D146">
        <v>26.34</v>
      </c>
      <c r="E146">
        <v>28.97</v>
      </c>
      <c r="F146">
        <v>447562.08</v>
      </c>
      <c r="G146">
        <v>28.97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0.49431818181818143</v>
      </c>
      <c r="Q146">
        <f t="shared" ref="Q146" si="706">F146*P146</f>
        <v>221238.07363636346</v>
      </c>
      <c r="R146">
        <f t="shared" ref="R146" si="707">R147+Q146</f>
        <v>-37043131.975934014</v>
      </c>
      <c r="S146">
        <f t="shared" ref="S146" si="708">R146/100000</f>
        <v>-370.43131975934011</v>
      </c>
      <c r="T146">
        <f t="shared" ref="T146" si="709">S146/1000</f>
        <v>-0.37043131975934013</v>
      </c>
    </row>
    <row r="147" spans="1:20" x14ac:dyDescent="0.25">
      <c r="A147" s="5">
        <v>44446</v>
      </c>
      <c r="B147">
        <v>32.85</v>
      </c>
      <c r="C147">
        <v>33.049999999999997</v>
      </c>
      <c r="D147">
        <v>25.5</v>
      </c>
      <c r="E147">
        <v>28.63</v>
      </c>
      <c r="F147">
        <v>502090.99800000002</v>
      </c>
      <c r="G147">
        <v>28.63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-0.17086092715231782</v>
      </c>
      <c r="Q147">
        <f t="shared" ref="Q147" si="711">F147*P147</f>
        <v>-85787.73343311256</v>
      </c>
      <c r="R147">
        <f t="shared" ref="R147" si="712">R148+Q147</f>
        <v>-37264370.049570374</v>
      </c>
      <c r="S147">
        <f t="shared" ref="S147" si="713">R147/100000</f>
        <v>-372.64370049570374</v>
      </c>
      <c r="T147">
        <f t="shared" ref="T147" si="714">S147/1000</f>
        <v>-0.37264370049570372</v>
      </c>
    </row>
    <row r="148" spans="1:20" x14ac:dyDescent="0.25">
      <c r="A148" s="5">
        <v>44445</v>
      </c>
      <c r="B148">
        <v>33.17</v>
      </c>
      <c r="C148">
        <v>33.450000000000003</v>
      </c>
      <c r="D148">
        <v>32.74</v>
      </c>
      <c r="E148">
        <v>32.869999999999997</v>
      </c>
      <c r="F148">
        <v>217335.44</v>
      </c>
      <c r="G148">
        <v>32.869999999999997</v>
      </c>
      <c r="L148" t="s">
        <v>8</v>
      </c>
      <c r="M148" t="s">
        <v>7</v>
      </c>
      <c r="N148" t="s">
        <v>7</v>
      </c>
      <c r="P148">
        <f t="shared" ref="P148" si="715">IF(C148=D148,0,((E148-D148)-(C148-E148))/(C148-D148))</f>
        <v>-0.63380281690142171</v>
      </c>
      <c r="Q148">
        <f t="shared" ref="Q148" si="716">F148*P148</f>
        <v>-137747.81408450991</v>
      </c>
      <c r="R148">
        <f t="shared" ref="R148" si="717">R149+Q148</f>
        <v>-37178582.316137262</v>
      </c>
      <c r="S148">
        <f t="shared" ref="S148" si="718">R148/100000</f>
        <v>-371.7858231613726</v>
      </c>
      <c r="T148">
        <f t="shared" ref="T148" si="719">S148/1000</f>
        <v>-0.3717858231613726</v>
      </c>
    </row>
    <row r="149" spans="1:20" x14ac:dyDescent="0.25">
      <c r="A149" s="5">
        <v>44444</v>
      </c>
      <c r="B149">
        <v>32.950000000000003</v>
      </c>
      <c r="C149">
        <v>33.85</v>
      </c>
      <c r="D149">
        <v>32.69</v>
      </c>
      <c r="E149">
        <v>33.17</v>
      </c>
      <c r="F149">
        <v>263807.61</v>
      </c>
      <c r="G149">
        <v>33.17</v>
      </c>
      <c r="L149" t="s">
        <v>8</v>
      </c>
      <c r="M149" t="s">
        <v>7</v>
      </c>
      <c r="N149" t="s">
        <v>7</v>
      </c>
      <c r="P149">
        <f t="shared" ref="P149" si="720">IF(C149=D149,0,((E149-D149)-(C149-E149))/(C149-D149))</f>
        <v>-0.17241379310344404</v>
      </c>
      <c r="Q149">
        <f t="shared" ref="Q149" si="721">F149*P149</f>
        <v>-45484.070689654051</v>
      </c>
      <c r="R149">
        <f t="shared" ref="R149" si="722">R150+Q149</f>
        <v>-37040834.502052754</v>
      </c>
      <c r="S149">
        <f t="shared" ref="S149" si="723">R149/100000</f>
        <v>-370.40834502052752</v>
      </c>
      <c r="T149">
        <f t="shared" ref="T149" si="724">S149/1000</f>
        <v>-0.3704083450205275</v>
      </c>
    </row>
    <row r="150" spans="1:20" x14ac:dyDescent="0.25">
      <c r="A150" s="5">
        <v>44443</v>
      </c>
      <c r="B150">
        <v>33.19</v>
      </c>
      <c r="C150">
        <v>33.840000000000003</v>
      </c>
      <c r="D150">
        <v>32.6</v>
      </c>
      <c r="E150">
        <v>32.909999999999997</v>
      </c>
      <c r="F150">
        <v>268075.78000000003</v>
      </c>
      <c r="G150">
        <v>32.909999999999997</v>
      </c>
      <c r="L150" t="s">
        <v>8</v>
      </c>
      <c r="M150" t="s">
        <v>7</v>
      </c>
      <c r="N150" t="s">
        <v>7</v>
      </c>
      <c r="P150">
        <f t="shared" ref="P150" si="725">IF(C150=D150,0,((E150-D150)-(C150-E150))/(C150-D150))</f>
        <v>-0.50000000000000855</v>
      </c>
      <c r="Q150">
        <f t="shared" ref="Q150" si="726">F150*P150</f>
        <v>-134037.89000000231</v>
      </c>
      <c r="R150">
        <f t="shared" ref="R150" si="727">R151+Q150</f>
        <v>-36995350.431363098</v>
      </c>
      <c r="S150">
        <f t="shared" ref="S150" si="728">R150/100000</f>
        <v>-369.95350431363096</v>
      </c>
      <c r="T150">
        <f t="shared" ref="T150" si="729">S150/1000</f>
        <v>-0.36995350431363094</v>
      </c>
    </row>
    <row r="151" spans="1:20" x14ac:dyDescent="0.25">
      <c r="A151" s="5">
        <v>44442</v>
      </c>
      <c r="B151">
        <v>32.68</v>
      </c>
      <c r="C151">
        <v>34.57</v>
      </c>
      <c r="D151">
        <v>32.25</v>
      </c>
      <c r="E151">
        <v>33.21</v>
      </c>
      <c r="F151">
        <v>413439.7</v>
      </c>
      <c r="G151">
        <v>33.21</v>
      </c>
      <c r="L151" t="s">
        <v>8</v>
      </c>
      <c r="M151" t="s">
        <v>7</v>
      </c>
      <c r="N151" t="s">
        <v>7</v>
      </c>
      <c r="P151">
        <f t="shared" ref="P151" si="730">IF(C151=D151,0,((E151-D151)-(C151-E151))/(C151-D151))</f>
        <v>-0.17241379310344765</v>
      </c>
      <c r="Q151">
        <f t="shared" ref="Q151" si="731">F151*P151</f>
        <v>-71282.706896551463</v>
      </c>
      <c r="R151">
        <f t="shared" ref="R151" si="732">R152+Q151</f>
        <v>-36861312.541363098</v>
      </c>
      <c r="S151">
        <f t="shared" ref="S151" si="733">R151/100000</f>
        <v>-368.613125413631</v>
      </c>
      <c r="T151">
        <f t="shared" ref="T151" si="734">S151/1000</f>
        <v>-0.368613125413631</v>
      </c>
    </row>
    <row r="152" spans="1:20" x14ac:dyDescent="0.25">
      <c r="A152" s="5">
        <v>44441</v>
      </c>
      <c r="B152">
        <v>32.840000000000003</v>
      </c>
      <c r="C152">
        <v>33.11</v>
      </c>
      <c r="D152">
        <v>32.31</v>
      </c>
      <c r="E152">
        <v>32.68</v>
      </c>
      <c r="F152">
        <v>177906.42</v>
      </c>
      <c r="G152">
        <v>32.68</v>
      </c>
      <c r="L152" t="s">
        <v>7</v>
      </c>
      <c r="M152" t="s">
        <v>7</v>
      </c>
      <c r="N152" t="s">
        <v>7</v>
      </c>
      <c r="P152">
        <f t="shared" ref="P152" si="735">IF(C152=D152,0,((E152-D152)-(C152-E152))/(C152-D152))</f>
        <v>-7.5000000000003106E-2</v>
      </c>
      <c r="Q152">
        <f t="shared" ref="Q152" si="736">F152*P152</f>
        <v>-13342.981500000553</v>
      </c>
      <c r="R152">
        <f t="shared" ref="R152" si="737">R153+Q152</f>
        <v>-36790029.834466547</v>
      </c>
      <c r="S152">
        <f t="shared" ref="S152" si="738">R152/100000</f>
        <v>-367.90029834466549</v>
      </c>
      <c r="T152">
        <f t="shared" ref="T152" si="739">S152/1000</f>
        <v>-0.36790029834466548</v>
      </c>
    </row>
    <row r="153" spans="1:20" x14ac:dyDescent="0.25">
      <c r="A153" s="5">
        <v>44440</v>
      </c>
      <c r="B153">
        <v>31.95</v>
      </c>
      <c r="C153">
        <v>33.33</v>
      </c>
      <c r="D153">
        <v>31.5</v>
      </c>
      <c r="E153">
        <v>32.880000000000003</v>
      </c>
      <c r="F153">
        <v>269148.739</v>
      </c>
      <c r="G153">
        <v>32.880000000000003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0.50819672131147964</v>
      </c>
      <c r="Q153">
        <f t="shared" ref="Q153" si="741">F153*P153</f>
        <v>136780.50670491919</v>
      </c>
      <c r="R153">
        <f t="shared" ref="R153" si="742">R154+Q153</f>
        <v>-36776686.852966547</v>
      </c>
      <c r="S153">
        <f t="shared" ref="S153" si="743">R153/100000</f>
        <v>-367.76686852966549</v>
      </c>
      <c r="T153">
        <f t="shared" ref="T153" si="744">S153/1000</f>
        <v>-0.3677668685296655</v>
      </c>
    </row>
    <row r="154" spans="1:20" x14ac:dyDescent="0.25">
      <c r="A154" s="5">
        <v>44439</v>
      </c>
      <c r="B154">
        <v>32.54</v>
      </c>
      <c r="C154">
        <v>33.549999999999997</v>
      </c>
      <c r="D154">
        <v>31.61</v>
      </c>
      <c r="E154">
        <v>31.95</v>
      </c>
      <c r="F154">
        <v>291817.95699999999</v>
      </c>
      <c r="G154">
        <v>31.95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-0.64948453608247392</v>
      </c>
      <c r="Q154">
        <f t="shared" ref="Q154" si="746">F154*P154</f>
        <v>-189531.25042268031</v>
      </c>
      <c r="R154">
        <f t="shared" ref="R154" si="747">R155+Q154</f>
        <v>-36913467.359671466</v>
      </c>
      <c r="S154">
        <f t="shared" ref="S154" si="748">R154/100000</f>
        <v>-369.13467359671466</v>
      </c>
      <c r="T154">
        <f t="shared" ref="T154" si="749">S154/1000</f>
        <v>-0.36913467359671465</v>
      </c>
    </row>
    <row r="155" spans="1:20" x14ac:dyDescent="0.25">
      <c r="A155" s="5">
        <v>44438</v>
      </c>
      <c r="B155">
        <v>34.1</v>
      </c>
      <c r="C155">
        <v>34.380000000000003</v>
      </c>
      <c r="D155">
        <v>32.5</v>
      </c>
      <c r="E155">
        <v>32.54</v>
      </c>
      <c r="F155">
        <v>466078.95699999999</v>
      </c>
      <c r="G155">
        <v>32.54</v>
      </c>
      <c r="L155" t="s">
        <v>7</v>
      </c>
      <c r="M155" t="s">
        <v>7</v>
      </c>
      <c r="N155" t="s">
        <v>7</v>
      </c>
      <c r="P155">
        <f t="shared" ref="P155" si="750">IF(C155=D155,0,((E155-D155)-(C155-E155))/(C155-D155))</f>
        <v>-0.95744680851063924</v>
      </c>
      <c r="Q155">
        <f t="shared" ref="Q155" si="751">F155*P155</f>
        <v>-446245.80989361746</v>
      </c>
      <c r="R155">
        <f t="shared" ref="R155" si="752">R156+Q155</f>
        <v>-36723936.109248787</v>
      </c>
      <c r="S155">
        <f t="shared" ref="S155" si="753">R155/100000</f>
        <v>-367.23936109248785</v>
      </c>
      <c r="T155">
        <f t="shared" ref="T155" si="754">S155/1000</f>
        <v>-0.36723936109248784</v>
      </c>
    </row>
    <row r="156" spans="1:20" x14ac:dyDescent="0.25">
      <c r="A156" s="5">
        <v>44437</v>
      </c>
      <c r="B156">
        <v>35.4</v>
      </c>
      <c r="C156">
        <v>39.47</v>
      </c>
      <c r="D156">
        <v>33.93</v>
      </c>
      <c r="E156">
        <v>34.090000000000003</v>
      </c>
      <c r="F156">
        <v>1616590.273</v>
      </c>
      <c r="G156">
        <v>34.090000000000003</v>
      </c>
      <c r="L156" t="s">
        <v>8</v>
      </c>
      <c r="M156" t="s">
        <v>8</v>
      </c>
      <c r="N156" t="s">
        <v>7</v>
      </c>
      <c r="P156">
        <f t="shared" ref="P156" si="755">IF(C156=D156,0,((E156-D156)-(C156-E156))/(C156-D156))</f>
        <v>-0.94223826714801306</v>
      </c>
      <c r="Q156">
        <f t="shared" ref="Q156" si="756">F156*P156</f>
        <v>-1523213.2175198535</v>
      </c>
      <c r="R156">
        <f t="shared" ref="R156" si="757">R157+Q156</f>
        <v>-36277690.299355172</v>
      </c>
      <c r="S156">
        <f t="shared" ref="S156" si="758">R156/100000</f>
        <v>-362.77690299355174</v>
      </c>
      <c r="T156">
        <f t="shared" ref="T156" si="759">S156/1000</f>
        <v>-0.36277690299355175</v>
      </c>
    </row>
    <row r="157" spans="1:20" x14ac:dyDescent="0.25">
      <c r="A157" s="5">
        <v>44436</v>
      </c>
      <c r="B157">
        <v>34.78</v>
      </c>
      <c r="C157">
        <v>36</v>
      </c>
      <c r="D157">
        <v>34.76</v>
      </c>
      <c r="E157">
        <v>35.380000000000003</v>
      </c>
      <c r="F157">
        <v>273265.52</v>
      </c>
      <c r="G157">
        <v>35.380000000000003</v>
      </c>
      <c r="L157" t="s">
        <v>8</v>
      </c>
      <c r="M157" t="s">
        <v>7</v>
      </c>
      <c r="N157" t="s">
        <v>7</v>
      </c>
      <c r="P157">
        <f t="shared" ref="P157" si="760">IF(C157=D157,0,((E157-D157)-(C157-E157))/(C157-D157))</f>
        <v>5.7301833529040247E-15</v>
      </c>
      <c r="Q157">
        <f t="shared" ref="Q157" si="761">F157*P157</f>
        <v>1.5658615336266619E-9</v>
      </c>
      <c r="R157">
        <f t="shared" ref="R157" si="762">R158+Q157</f>
        <v>-34754477.081835315</v>
      </c>
      <c r="S157">
        <f t="shared" ref="S157" si="763">R157/100000</f>
        <v>-347.54477081835313</v>
      </c>
      <c r="T157">
        <f t="shared" ref="T157" si="764">S157/1000</f>
        <v>-0.34754477081835311</v>
      </c>
    </row>
    <row r="158" spans="1:20" x14ac:dyDescent="0.25">
      <c r="A158" s="5">
        <v>44435</v>
      </c>
      <c r="B158">
        <v>33.47</v>
      </c>
      <c r="C158">
        <v>36.4</v>
      </c>
      <c r="D158">
        <v>33</v>
      </c>
      <c r="E158">
        <v>34.770000000000003</v>
      </c>
      <c r="F158">
        <v>490851.91899999999</v>
      </c>
      <c r="G158">
        <v>34.770000000000003</v>
      </c>
      <c r="L158" t="s">
        <v>8</v>
      </c>
      <c r="M158" t="s">
        <v>7</v>
      </c>
      <c r="N158" t="s">
        <v>7</v>
      </c>
      <c r="P158">
        <f t="shared" ref="P158" si="765">IF(C158=D158,0,((E158-D158)-(C158-E158))/(C158-D158))</f>
        <v>4.117647058823757E-2</v>
      </c>
      <c r="Q158">
        <f t="shared" ref="Q158" si="766">F158*P158</f>
        <v>20211.549605883469</v>
      </c>
      <c r="R158">
        <f t="shared" ref="R158" si="767">R159+Q158</f>
        <v>-34754477.081835315</v>
      </c>
      <c r="S158">
        <f t="shared" ref="S158" si="768">R158/100000</f>
        <v>-347.54477081835313</v>
      </c>
      <c r="T158">
        <f t="shared" ref="T158" si="769">S158/1000</f>
        <v>-0.34754477081835311</v>
      </c>
    </row>
    <row r="159" spans="1:20" x14ac:dyDescent="0.25">
      <c r="A159" s="5">
        <v>44434</v>
      </c>
      <c r="B159">
        <v>35.192999999999998</v>
      </c>
      <c r="C159">
        <v>35.298000000000002</v>
      </c>
      <c r="D159">
        <v>33.26</v>
      </c>
      <c r="E159">
        <v>33.47</v>
      </c>
      <c r="F159">
        <v>353030.12099999998</v>
      </c>
      <c r="G159">
        <v>33.47</v>
      </c>
      <c r="L159" t="s">
        <v>7</v>
      </c>
      <c r="M159" t="s">
        <v>7</v>
      </c>
      <c r="N159" t="s">
        <v>7</v>
      </c>
      <c r="P159">
        <f t="shared" ref="P159" si="770">IF(C159=D159,0,((E159-D159)-(C159-E159))/(C159-D159))</f>
        <v>-0.79391560353287494</v>
      </c>
      <c r="Q159">
        <f t="shared" ref="Q159" si="771">F159*P159</f>
        <v>-280276.12157899886</v>
      </c>
      <c r="R159">
        <f t="shared" ref="R159" si="772">R160+Q159</f>
        <v>-34774688.631441198</v>
      </c>
      <c r="S159">
        <f t="shared" ref="S159" si="773">R159/100000</f>
        <v>-347.746886314412</v>
      </c>
      <c r="T159">
        <f t="shared" ref="T159" si="774">S159/1000</f>
        <v>-0.34774688631441197</v>
      </c>
    </row>
    <row r="160" spans="1:20" x14ac:dyDescent="0.25">
      <c r="A160" s="5">
        <v>44433</v>
      </c>
      <c r="B160">
        <v>35.752000000000002</v>
      </c>
      <c r="C160">
        <v>37.76</v>
      </c>
      <c r="D160">
        <v>34.332999999999998</v>
      </c>
      <c r="E160">
        <v>35.201000000000001</v>
      </c>
      <c r="F160">
        <v>730910.69499999995</v>
      </c>
      <c r="G160">
        <v>35.201000000000001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-0.49343449080828583</v>
      </c>
      <c r="Q160">
        <f t="shared" ref="Q160" si="776">F160*P160</f>
        <v>-360656.54661365529</v>
      </c>
      <c r="R160">
        <f t="shared" ref="R160" si="777">R161+Q160</f>
        <v>-34494412.509862199</v>
      </c>
      <c r="S160">
        <f t="shared" ref="S160" si="778">R160/100000</f>
        <v>-344.94412509862201</v>
      </c>
      <c r="T160">
        <f t="shared" ref="T160" si="779">S160/1000</f>
        <v>-0.34494412509862199</v>
      </c>
    </row>
    <row r="161" spans="1:20" x14ac:dyDescent="0.25">
      <c r="A161" s="5">
        <v>44432</v>
      </c>
      <c r="B161">
        <v>34.033999999999999</v>
      </c>
      <c r="C161">
        <v>37.86</v>
      </c>
      <c r="D161">
        <v>33.542000000000002</v>
      </c>
      <c r="E161">
        <v>35.805999999999997</v>
      </c>
      <c r="F161">
        <v>1235065.358</v>
      </c>
      <c r="G161">
        <v>35.805999999999997</v>
      </c>
      <c r="L161" t="s">
        <v>8</v>
      </c>
      <c r="M161" t="s">
        <v>7</v>
      </c>
      <c r="N161" t="s">
        <v>7</v>
      </c>
      <c r="P161">
        <f t="shared" ref="P161" si="780">IF(C161=D161,0,((E161-D161)-(C161-E161))/(C161-D161))</f>
        <v>4.8633626679016641E-2</v>
      </c>
      <c r="Q161">
        <f t="shared" ref="Q161" si="781">F161*P161</f>
        <v>60065.707545158039</v>
      </c>
      <c r="R161">
        <f t="shared" ref="R161" si="782">R162+Q161</f>
        <v>-34133755.963248543</v>
      </c>
      <c r="S161">
        <f t="shared" ref="S161" si="783">R161/100000</f>
        <v>-341.33755963248541</v>
      </c>
      <c r="T161">
        <f t="shared" ref="T161" si="784">S161/1000</f>
        <v>-0.34133755963248541</v>
      </c>
    </row>
    <row r="162" spans="1:20" x14ac:dyDescent="0.25">
      <c r="A162" s="5">
        <v>44431</v>
      </c>
      <c r="B162">
        <v>33.209000000000003</v>
      </c>
      <c r="C162">
        <v>36.6</v>
      </c>
      <c r="D162">
        <v>32.9</v>
      </c>
      <c r="E162">
        <v>34.033999999999999</v>
      </c>
      <c r="F162">
        <v>584661.31999999995</v>
      </c>
      <c r="G162">
        <v>34.033999999999999</v>
      </c>
      <c r="L162" t="s">
        <v>7</v>
      </c>
      <c r="M162" t="s">
        <v>7</v>
      </c>
      <c r="N162" t="s">
        <v>7</v>
      </c>
      <c r="P162">
        <f t="shared" ref="P162" si="785">IF(C162=D162,0,((E162-D162)-(C162-E162))/(C162-D162))</f>
        <v>-0.38702702702702729</v>
      </c>
      <c r="Q162">
        <f t="shared" ref="Q162" si="786">F162*P162</f>
        <v>-226279.73249729743</v>
      </c>
      <c r="R162">
        <f t="shared" ref="R162" si="787">R163+Q162</f>
        <v>-34193821.670793705</v>
      </c>
      <c r="S162">
        <f t="shared" ref="S162" si="788">R162/100000</f>
        <v>-341.93821670793704</v>
      </c>
      <c r="T162">
        <f t="shared" ref="T162" si="789">S162/1000</f>
        <v>-0.34193821670793706</v>
      </c>
    </row>
    <row r="163" spans="1:20" x14ac:dyDescent="0.25">
      <c r="A163" s="5">
        <v>44430</v>
      </c>
      <c r="B163">
        <v>34.021000000000001</v>
      </c>
      <c r="C163">
        <v>34.33</v>
      </c>
      <c r="D163">
        <v>33.411000000000001</v>
      </c>
      <c r="E163">
        <v>33.970999999999997</v>
      </c>
      <c r="F163">
        <v>56944.637999999999</v>
      </c>
      <c r="G163">
        <v>33.970999999999997</v>
      </c>
      <c r="L163" t="s">
        <v>7</v>
      </c>
      <c r="M163" t="s">
        <v>7</v>
      </c>
      <c r="N163" t="s">
        <v>7</v>
      </c>
      <c r="P163">
        <f t="shared" ref="P163" si="790">IF(C163=D163,0,((E163-D163)-(C163-E163))/(C163-D163))</f>
        <v>0.21871599564743643</v>
      </c>
      <c r="Q163">
        <f t="shared" ref="Q163" si="791">F163*P163</f>
        <v>12454.703196952843</v>
      </c>
      <c r="R163">
        <f t="shared" ref="R163" si="792">R164+Q163</f>
        <v>-33967541.938296407</v>
      </c>
      <c r="S163">
        <f t="shared" ref="S163" si="793">R163/100000</f>
        <v>-339.67541938296409</v>
      </c>
      <c r="T163">
        <f t="shared" ref="T163" si="794">S163/1000</f>
        <v>-0.33967541938296408</v>
      </c>
    </row>
    <row r="164" spans="1:20" x14ac:dyDescent="0.25">
      <c r="A164" s="5">
        <v>44429</v>
      </c>
      <c r="B164">
        <v>34.686</v>
      </c>
      <c r="C164">
        <v>35.561</v>
      </c>
      <c r="D164">
        <v>33.75</v>
      </c>
      <c r="E164">
        <v>34.021999999999998</v>
      </c>
      <c r="F164">
        <v>490024.68099999998</v>
      </c>
      <c r="G164">
        <v>34.021999999999998</v>
      </c>
      <c r="L164" t="s">
        <v>7</v>
      </c>
      <c r="M164" t="s">
        <v>8</v>
      </c>
      <c r="N164" t="s">
        <v>7</v>
      </c>
      <c r="P164">
        <f t="shared" ref="P164" si="795">IF(C164=D164,0,((E164-D164)-(C164-E164))/(C164-D164))</f>
        <v>-0.69961347321921763</v>
      </c>
      <c r="Q164">
        <f t="shared" ref="Q164" si="796">F164*P164</f>
        <v>-342827.86903754913</v>
      </c>
      <c r="R164">
        <f t="shared" ref="R164" si="797">R165+Q164</f>
        <v>-33979996.641493358</v>
      </c>
      <c r="S164">
        <f t="shared" ref="S164" si="798">R164/100000</f>
        <v>-339.79996641493358</v>
      </c>
      <c r="T164">
        <f t="shared" ref="T164" si="799">S164/1000</f>
        <v>-0.3397999664149336</v>
      </c>
    </row>
    <row r="165" spans="1:20" x14ac:dyDescent="0.25">
      <c r="A165" s="5">
        <v>44428</v>
      </c>
      <c r="B165">
        <v>34.051000000000002</v>
      </c>
      <c r="C165">
        <v>39</v>
      </c>
      <c r="D165">
        <v>33.700000000000003</v>
      </c>
      <c r="E165">
        <v>34.686</v>
      </c>
      <c r="F165">
        <v>1343022.031</v>
      </c>
      <c r="G165">
        <v>34.686</v>
      </c>
      <c r="L165" t="s">
        <v>8</v>
      </c>
      <c r="M165" t="s">
        <v>8</v>
      </c>
      <c r="N165" t="s">
        <v>7</v>
      </c>
      <c r="P165">
        <f t="shared" ref="P165" si="800">IF(C165=D165,0,((E165-D165)-(C165-E165))/(C165-D165))</f>
        <v>-0.62792452830188772</v>
      </c>
      <c r="Q165">
        <f t="shared" ref="Q165" si="801">F165*P165</f>
        <v>-843316.47531471821</v>
      </c>
      <c r="R165">
        <f t="shared" ref="R165" si="802">R166+Q165</f>
        <v>-33637168.772455812</v>
      </c>
      <c r="S165">
        <f t="shared" ref="S165" si="803">R165/100000</f>
        <v>-336.37168772455811</v>
      </c>
      <c r="T165">
        <f t="shared" ref="T165" si="804">S165/1000</f>
        <v>-0.33637168772455811</v>
      </c>
    </row>
    <row r="166" spans="1:20" x14ac:dyDescent="0.25">
      <c r="A166" s="5">
        <v>44427</v>
      </c>
      <c r="B166">
        <v>33.204999999999998</v>
      </c>
      <c r="C166">
        <v>35.033999999999999</v>
      </c>
      <c r="D166">
        <v>32.75</v>
      </c>
      <c r="E166">
        <v>34.037999999999997</v>
      </c>
      <c r="F166">
        <v>523263.745</v>
      </c>
      <c r="G166">
        <v>34.037999999999997</v>
      </c>
      <c r="L166" t="s">
        <v>8</v>
      </c>
      <c r="M166" t="s">
        <v>7</v>
      </c>
      <c r="N166" t="s">
        <v>7</v>
      </c>
      <c r="P166">
        <f t="shared" ref="P166" si="805">IF(C166=D166,0,((E166-D166)-(C166-E166))/(C166-D166))</f>
        <v>0.12784588441330763</v>
      </c>
      <c r="Q166">
        <f t="shared" ref="Q166" si="806">F166*P166</f>
        <v>66897.116260944473</v>
      </c>
      <c r="R166">
        <f t="shared" ref="R166" si="807">R167+Q166</f>
        <v>-32793852.29714109</v>
      </c>
      <c r="S166">
        <f t="shared" ref="S166" si="808">R166/100000</f>
        <v>-327.93852297141092</v>
      </c>
      <c r="T166">
        <f t="shared" ref="T166" si="809">S166/1000</f>
        <v>-0.32793852297141091</v>
      </c>
    </row>
    <row r="167" spans="1:20" x14ac:dyDescent="0.25">
      <c r="A167" s="5">
        <v>44426</v>
      </c>
      <c r="B167">
        <v>32.329000000000001</v>
      </c>
      <c r="C167">
        <v>35.4</v>
      </c>
      <c r="D167">
        <v>31.402000000000001</v>
      </c>
      <c r="E167">
        <v>33.204999999999998</v>
      </c>
      <c r="F167">
        <v>841762.40800000005</v>
      </c>
      <c r="G167">
        <v>33.204999999999998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-9.8049024512256944E-2</v>
      </c>
      <c r="Q167">
        <f t="shared" ref="Q167" si="811">F167*P167</f>
        <v>-82533.982975488441</v>
      </c>
      <c r="R167">
        <f t="shared" ref="R167" si="812">R168+Q167</f>
        <v>-32860749.413402036</v>
      </c>
      <c r="S167">
        <f t="shared" ref="S167" si="813">R167/100000</f>
        <v>-328.60749413402038</v>
      </c>
      <c r="T167">
        <f t="shared" ref="T167" si="814">S167/1000</f>
        <v>-0.32860749413402041</v>
      </c>
    </row>
    <row r="168" spans="1:20" x14ac:dyDescent="0.25">
      <c r="A168" s="5">
        <v>44425</v>
      </c>
      <c r="B168">
        <v>34.508000000000003</v>
      </c>
      <c r="C168">
        <v>35.96</v>
      </c>
      <c r="D168">
        <v>32</v>
      </c>
      <c r="E168">
        <v>32.329000000000001</v>
      </c>
      <c r="F168">
        <v>684068.75300000003</v>
      </c>
      <c r="G168">
        <v>32.329000000000001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-0.8338383838383836</v>
      </c>
      <c r="Q168">
        <f t="shared" ref="Q168" si="816">F168*P168</f>
        <v>-570402.78343585844</v>
      </c>
      <c r="R168">
        <f t="shared" ref="R168" si="817">R169+Q168</f>
        <v>-32778215.430426549</v>
      </c>
      <c r="S168">
        <f t="shared" ref="S168" si="818">R168/100000</f>
        <v>-327.78215430426548</v>
      </c>
      <c r="T168">
        <f t="shared" ref="T168" si="819">S168/1000</f>
        <v>-0.32778215430426549</v>
      </c>
    </row>
    <row r="169" spans="1:20" x14ac:dyDescent="0.25">
      <c r="A169" s="5">
        <v>44424</v>
      </c>
      <c r="B169">
        <v>36.715000000000003</v>
      </c>
      <c r="C169">
        <v>38.773000000000003</v>
      </c>
      <c r="D169">
        <v>34.283000000000001</v>
      </c>
      <c r="E169">
        <v>34.465000000000003</v>
      </c>
      <c r="F169">
        <v>878658.33100000001</v>
      </c>
      <c r="G169">
        <v>34.465000000000003</v>
      </c>
      <c r="L169" t="s">
        <v>7</v>
      </c>
      <c r="M169" t="s">
        <v>7</v>
      </c>
      <c r="N169" t="s">
        <v>7</v>
      </c>
      <c r="P169">
        <f t="shared" ref="P169" si="820">IF(C169=D169,0,((E169-D169)-(C169-E169))/(C169-D169))</f>
        <v>-0.91893095768374067</v>
      </c>
      <c r="Q169">
        <f t="shared" ref="Q169" si="821">F169*P169</f>
        <v>-807426.34158262715</v>
      </c>
      <c r="R169">
        <f t="shared" ref="R169" si="822">R170+Q169</f>
        <v>-32207812.64699069</v>
      </c>
      <c r="S169">
        <f t="shared" ref="S169" si="823">R169/100000</f>
        <v>-322.07812646990692</v>
      </c>
      <c r="T169">
        <f t="shared" ref="T169" si="824">S169/1000</f>
        <v>-0.32207812646990691</v>
      </c>
    </row>
    <row r="170" spans="1:20" x14ac:dyDescent="0.25">
      <c r="A170" s="5">
        <v>44423</v>
      </c>
      <c r="B170">
        <v>38.643000000000001</v>
      </c>
      <c r="C170">
        <v>38.948</v>
      </c>
      <c r="D170">
        <v>36.261000000000003</v>
      </c>
      <c r="E170">
        <v>36.713000000000001</v>
      </c>
      <c r="F170">
        <v>602905.152</v>
      </c>
      <c r="G170">
        <v>36.713000000000001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-0.66356531447711309</v>
      </c>
      <c r="Q170">
        <f t="shared" ref="Q170" si="826">F170*P170</f>
        <v>-400066.94678675168</v>
      </c>
      <c r="R170">
        <f t="shared" ref="R170" si="827">R171+Q170</f>
        <v>-31400386.305408064</v>
      </c>
      <c r="S170">
        <f t="shared" ref="S170" si="828">R170/100000</f>
        <v>-314.00386305408063</v>
      </c>
      <c r="T170">
        <f t="shared" ref="T170" si="829">S170/1000</f>
        <v>-0.31400386305408062</v>
      </c>
    </row>
    <row r="171" spans="1:20" x14ac:dyDescent="0.25">
      <c r="A171" s="5">
        <v>44422</v>
      </c>
      <c r="B171">
        <v>40.432000000000002</v>
      </c>
      <c r="C171">
        <v>41.7</v>
      </c>
      <c r="D171">
        <v>38.262</v>
      </c>
      <c r="E171">
        <v>38.68</v>
      </c>
      <c r="F171">
        <v>727062.41599999997</v>
      </c>
      <c r="G171">
        <v>38.68</v>
      </c>
      <c r="L171" t="s">
        <v>7</v>
      </c>
      <c r="M171" t="s">
        <v>7</v>
      </c>
      <c r="N171" t="s">
        <v>7</v>
      </c>
      <c r="P171">
        <f t="shared" ref="P171" si="830">IF(C171=D171,0,((E171-D171)-(C171-E171))/(C171-D171))</f>
        <v>-0.75683536940081497</v>
      </c>
      <c r="Q171">
        <f t="shared" ref="Q171" si="831">F171*P171</f>
        <v>-550266.55219080893</v>
      </c>
      <c r="R171">
        <f t="shared" ref="R171" si="832">R172+Q171</f>
        <v>-31000319.358621314</v>
      </c>
      <c r="S171">
        <f t="shared" ref="S171" si="833">R171/100000</f>
        <v>-310.00319358621311</v>
      </c>
      <c r="T171">
        <f t="shared" ref="T171" si="834">S171/1000</f>
        <v>-0.31000319358621309</v>
      </c>
    </row>
    <row r="172" spans="1:20" x14ac:dyDescent="0.25">
      <c r="A172" s="5">
        <v>44421</v>
      </c>
      <c r="B172">
        <v>41.7</v>
      </c>
      <c r="C172">
        <v>43.6</v>
      </c>
      <c r="D172">
        <v>40.100999999999999</v>
      </c>
      <c r="E172">
        <v>40.4</v>
      </c>
      <c r="F172">
        <v>934270.77399999998</v>
      </c>
      <c r="G172">
        <v>40.4</v>
      </c>
      <c r="L172" t="s">
        <v>7</v>
      </c>
      <c r="M172" t="s">
        <v>8</v>
      </c>
      <c r="N172" t="s">
        <v>7</v>
      </c>
      <c r="P172">
        <f t="shared" ref="P172" si="835">IF(C172=D172,0,((E172-D172)-(C172-E172))/(C172-D172))</f>
        <v>-0.82909402686481892</v>
      </c>
      <c r="Q172">
        <f t="shared" ref="Q172" si="836">F172*P172</f>
        <v>-774598.31819777109</v>
      </c>
      <c r="R172">
        <f t="shared" ref="R172" si="837">R173+Q172</f>
        <v>-30450052.806430504</v>
      </c>
      <c r="S172">
        <f t="shared" ref="S172" si="838">R172/100000</f>
        <v>-304.50052806430506</v>
      </c>
      <c r="T172">
        <f t="shared" ref="T172" si="839">S172/1000</f>
        <v>-0.30450052806430505</v>
      </c>
    </row>
    <row r="173" spans="1:20" x14ac:dyDescent="0.25">
      <c r="A173" s="5">
        <v>44420</v>
      </c>
      <c r="B173">
        <v>37.896000000000001</v>
      </c>
      <c r="C173">
        <v>47.149000000000001</v>
      </c>
      <c r="D173">
        <v>37.264000000000003</v>
      </c>
      <c r="E173">
        <v>41.7</v>
      </c>
      <c r="F173">
        <v>3621000.0389999999</v>
      </c>
      <c r="G173">
        <v>41.7</v>
      </c>
      <c r="L173" t="s">
        <v>8</v>
      </c>
      <c r="M173" t="s">
        <v>8</v>
      </c>
      <c r="N173" t="s">
        <v>7</v>
      </c>
      <c r="P173">
        <f t="shared" ref="P173" si="840">IF(C173=D173,0,((E173-D173)-(C173-E173))/(C173-D173))</f>
        <v>-0.10247850278199275</v>
      </c>
      <c r="Q173">
        <f t="shared" ref="Q173" si="841">F173*P173</f>
        <v>-371074.66257025732</v>
      </c>
      <c r="R173">
        <f t="shared" ref="R173" si="842">R174+Q173</f>
        <v>-29675454.488232732</v>
      </c>
      <c r="S173">
        <f t="shared" ref="S173" si="843">R173/100000</f>
        <v>-296.75454488232731</v>
      </c>
      <c r="T173">
        <f t="shared" ref="T173" si="844">S173/1000</f>
        <v>-0.29675454488232733</v>
      </c>
    </row>
    <row r="174" spans="1:20" x14ac:dyDescent="0.25">
      <c r="A174" s="5">
        <v>44419</v>
      </c>
      <c r="B174">
        <v>44.072000000000003</v>
      </c>
      <c r="C174">
        <v>47.972999999999999</v>
      </c>
      <c r="D174">
        <v>37.264000000000003</v>
      </c>
      <c r="E174">
        <v>37.914999999999999</v>
      </c>
      <c r="F174">
        <v>3301612.2340000002</v>
      </c>
      <c r="G174">
        <v>37.914999999999999</v>
      </c>
      <c r="L174" t="s">
        <v>7</v>
      </c>
      <c r="M174" t="s">
        <v>7</v>
      </c>
      <c r="N174" t="s">
        <v>7</v>
      </c>
      <c r="P174">
        <f t="shared" ref="P174" si="845">IF(C174=D174,0,((E174-D174)-(C174-E174))/(C174-D174))</f>
        <v>-0.87842002054346879</v>
      </c>
      <c r="Q174">
        <f t="shared" ref="Q174" si="846">F174*P174</f>
        <v>-2900202.2864168482</v>
      </c>
      <c r="R174">
        <f t="shared" ref="R174" si="847">R175+Q174</f>
        <v>-29304379.825662475</v>
      </c>
      <c r="S174">
        <f t="shared" ref="S174" si="848">R174/100000</f>
        <v>-293.04379825662477</v>
      </c>
      <c r="T174">
        <f t="shared" ref="T174" si="849">S174/1000</f>
        <v>-0.29304379825662474</v>
      </c>
    </row>
    <row r="175" spans="1:20" x14ac:dyDescent="0.25">
      <c r="A175" s="5">
        <v>44418</v>
      </c>
      <c r="B175">
        <v>49.673999999999999</v>
      </c>
      <c r="C175">
        <v>61.536000000000001</v>
      </c>
      <c r="D175">
        <v>43.255000000000003</v>
      </c>
      <c r="E175">
        <v>44.072000000000003</v>
      </c>
      <c r="F175">
        <v>6826588.6560000004</v>
      </c>
      <c r="G175">
        <v>44.072000000000003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-0.91061758109512603</v>
      </c>
      <c r="Q175">
        <f t="shared" ref="Q175" si="851">F175*P175</f>
        <v>-6216411.6490581473</v>
      </c>
      <c r="R175">
        <f t="shared" ref="R175" si="852">R176+Q175</f>
        <v>-26404177.539245628</v>
      </c>
      <c r="S175">
        <f t="shared" ref="S175" si="853">R175/100000</f>
        <v>-264.04177539245626</v>
      </c>
      <c r="T175">
        <f t="shared" ref="T175" si="854">S175/1000</f>
        <v>-0.26404177539245627</v>
      </c>
    </row>
    <row r="176" spans="1:20" x14ac:dyDescent="0.25">
      <c r="A176" s="5">
        <v>44417</v>
      </c>
      <c r="B176">
        <v>41.287999999999997</v>
      </c>
      <c r="C176">
        <v>55.665999999999997</v>
      </c>
      <c r="D176">
        <v>39.384999999999998</v>
      </c>
      <c r="E176">
        <v>49.64</v>
      </c>
      <c r="F176">
        <v>5947612.352</v>
      </c>
      <c r="G176">
        <v>49.64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0.25975062956820877</v>
      </c>
      <c r="Q176">
        <f t="shared" ref="Q176" si="856">F176*P176</f>
        <v>1544896.0528596549</v>
      </c>
      <c r="R176">
        <f t="shared" ref="R176" si="857">R177+Q176</f>
        <v>-20187765.89018748</v>
      </c>
      <c r="S176">
        <f t="shared" ref="S176" si="858">R176/100000</f>
        <v>-201.87765890187478</v>
      </c>
      <c r="T176">
        <f t="shared" ref="T176" si="859">S176/1000</f>
        <v>-0.20187765890187478</v>
      </c>
    </row>
    <row r="177" spans="1:20" x14ac:dyDescent="0.25">
      <c r="A177" s="5">
        <v>44416</v>
      </c>
      <c r="B177">
        <v>30.863</v>
      </c>
      <c r="C177">
        <v>44.97</v>
      </c>
      <c r="D177">
        <v>29.007000000000001</v>
      </c>
      <c r="E177">
        <v>41.287999999999997</v>
      </c>
      <c r="F177">
        <v>5151612.6380000003</v>
      </c>
      <c r="G177">
        <v>41.287999999999997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0.53868320491135713</v>
      </c>
      <c r="Q177">
        <f t="shared" ref="Q177" si="861">F177*P177</f>
        <v>2775087.206299691</v>
      </c>
      <c r="R177">
        <f t="shared" ref="R177" si="862">R178+Q177</f>
        <v>-21732661.943047136</v>
      </c>
      <c r="S177">
        <f t="shared" ref="S177" si="863">R177/100000</f>
        <v>-217.32661943047137</v>
      </c>
      <c r="T177">
        <f t="shared" ref="T177" si="864">S177/1000</f>
        <v>-0.21732661943047138</v>
      </c>
    </row>
    <row r="178" spans="1:20" x14ac:dyDescent="0.25">
      <c r="A178" s="5">
        <v>44415</v>
      </c>
      <c r="B178">
        <v>34.777999999999999</v>
      </c>
      <c r="C178">
        <v>37.299999999999997</v>
      </c>
      <c r="D178">
        <v>30.722000000000001</v>
      </c>
      <c r="E178">
        <v>30.863</v>
      </c>
      <c r="F178">
        <v>2014201.764</v>
      </c>
      <c r="G178">
        <v>30.863</v>
      </c>
      <c r="L178" t="s">
        <v>7</v>
      </c>
      <c r="M178" t="s">
        <v>7</v>
      </c>
      <c r="N178" t="s">
        <v>8</v>
      </c>
      <c r="P178">
        <f t="shared" ref="P178" si="865">IF(C178=D178,0,((E178-D178)-(C178-E178))/(C178-D178))</f>
        <v>-0.95712982669504465</v>
      </c>
      <c r="Q178">
        <f t="shared" ref="Q178" si="866">F178*P178</f>
        <v>-1927852.5853061732</v>
      </c>
      <c r="R178">
        <f t="shared" ref="R178" si="867">R179+Q178</f>
        <v>-24507749.149346828</v>
      </c>
      <c r="S178">
        <f t="shared" ref="S178" si="868">R178/100000</f>
        <v>-245.07749149346827</v>
      </c>
      <c r="T178">
        <f t="shared" ref="T178" si="869">S178/1000</f>
        <v>-0.24507749149346827</v>
      </c>
    </row>
    <row r="179" spans="1:20" x14ac:dyDescent="0.25">
      <c r="A179" s="5">
        <v>44414</v>
      </c>
      <c r="B179">
        <v>24.905000000000001</v>
      </c>
      <c r="C179">
        <v>40</v>
      </c>
      <c r="D179">
        <v>24.289000000000001</v>
      </c>
      <c r="E179">
        <v>34.799999999999997</v>
      </c>
      <c r="F179">
        <v>2922318.0610000002</v>
      </c>
      <c r="G179">
        <v>34.799999999999997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0.33804340907644281</v>
      </c>
      <c r="Q179">
        <f t="shared" ref="Q179" si="871">F179*P179</f>
        <v>987870.35974610026</v>
      </c>
      <c r="R179">
        <f t="shared" ref="R179" si="872">R180+Q179</f>
        <v>-22579896.564040657</v>
      </c>
      <c r="S179">
        <f t="shared" ref="S179" si="873">R179/100000</f>
        <v>-225.79896564040658</v>
      </c>
      <c r="T179">
        <f t="shared" ref="T179" si="874">S179/1000</f>
        <v>-0.22579896564040658</v>
      </c>
    </row>
    <row r="180" spans="1:20" x14ac:dyDescent="0.25">
      <c r="A180" s="5">
        <v>44413</v>
      </c>
      <c r="B180">
        <v>22.492999999999999</v>
      </c>
      <c r="C180">
        <v>27.248000000000001</v>
      </c>
      <c r="D180">
        <v>21.951000000000001</v>
      </c>
      <c r="E180">
        <v>24.943999999999999</v>
      </c>
      <c r="F180">
        <v>632232.22</v>
      </c>
      <c r="G180">
        <v>24.943999999999999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0.13007362658108296</v>
      </c>
      <c r="Q180">
        <f t="shared" ref="Q180" si="876">F180*P180</f>
        <v>82236.737696809083</v>
      </c>
      <c r="R180">
        <f t="shared" ref="R180" si="877">R181+Q180</f>
        <v>-23567766.923786756</v>
      </c>
      <c r="S180">
        <f t="shared" ref="S180" si="878">R180/100000</f>
        <v>-235.67766923786755</v>
      </c>
      <c r="T180">
        <f t="shared" ref="T180" si="879">S180/1000</f>
        <v>-0.23567766923786754</v>
      </c>
    </row>
    <row r="181" spans="1:20" x14ac:dyDescent="0.25">
      <c r="A181" s="5">
        <v>44412</v>
      </c>
      <c r="B181">
        <v>22.47</v>
      </c>
      <c r="C181">
        <v>22.760999999999999</v>
      </c>
      <c r="D181">
        <v>21.925999999999998</v>
      </c>
      <c r="E181">
        <v>22.491</v>
      </c>
      <c r="F181">
        <v>103386.66899999999</v>
      </c>
      <c r="G181">
        <v>22.491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0.35329341317365437</v>
      </c>
      <c r="Q181">
        <f t="shared" ref="Q181" si="881">F181*P181</f>
        <v>36525.829167664844</v>
      </c>
      <c r="R181">
        <f t="shared" ref="R181" si="882">R182+Q181</f>
        <v>-23650003.661483563</v>
      </c>
      <c r="S181">
        <f t="shared" ref="S181" si="883">R181/100000</f>
        <v>-236.50003661483564</v>
      </c>
      <c r="T181">
        <f t="shared" ref="T181" si="884">S181/1000</f>
        <v>-0.23650003661483562</v>
      </c>
    </row>
    <row r="182" spans="1:20" x14ac:dyDescent="0.25">
      <c r="A182" s="5">
        <v>44411</v>
      </c>
      <c r="B182">
        <v>23.07</v>
      </c>
      <c r="C182">
        <v>23.544</v>
      </c>
      <c r="D182">
        <v>22.01</v>
      </c>
      <c r="E182">
        <v>22.47</v>
      </c>
      <c r="F182">
        <v>121416.24800000001</v>
      </c>
      <c r="G182">
        <v>22.47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-0.4002607561929627</v>
      </c>
      <c r="Q182">
        <f t="shared" ref="Q182" si="886">F182*P182</f>
        <v>-48598.1592385923</v>
      </c>
      <c r="R182">
        <f t="shared" ref="R182" si="887">R183+Q182</f>
        <v>-23686529.490651228</v>
      </c>
      <c r="S182">
        <f t="shared" ref="S182" si="888">R182/100000</f>
        <v>-236.86529490651228</v>
      </c>
      <c r="T182">
        <f t="shared" ref="T182" si="889">S182/1000</f>
        <v>-0.23686529490651229</v>
      </c>
    </row>
    <row r="183" spans="1:20" x14ac:dyDescent="0.25">
      <c r="A183" s="5">
        <v>44410</v>
      </c>
      <c r="B183">
        <v>23.093</v>
      </c>
      <c r="C183">
        <v>24.192</v>
      </c>
      <c r="D183">
        <v>22.45</v>
      </c>
      <c r="E183">
        <v>23.100999999999999</v>
      </c>
      <c r="F183">
        <v>180896.649</v>
      </c>
      <c r="G183">
        <v>23.100999999999999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-0.25258323765786511</v>
      </c>
      <c r="Q183">
        <f t="shared" ref="Q183" si="891">F183*P183</f>
        <v>-45691.461285878409</v>
      </c>
      <c r="R183">
        <f t="shared" ref="R183" si="892">R184+Q183</f>
        <v>-23637931.331412636</v>
      </c>
      <c r="S183">
        <f t="shared" ref="S183" si="893">R183/100000</f>
        <v>-236.37931331412636</v>
      </c>
      <c r="T183">
        <f t="shared" ref="T183" si="894">S183/1000</f>
        <v>-0.23637931331412637</v>
      </c>
    </row>
    <row r="184" spans="1:20" x14ac:dyDescent="0.25">
      <c r="A184" s="5">
        <v>44409</v>
      </c>
      <c r="B184">
        <v>24.954999999999998</v>
      </c>
      <c r="C184">
        <v>25.85</v>
      </c>
      <c r="D184">
        <v>23</v>
      </c>
      <c r="E184">
        <v>23.056999999999999</v>
      </c>
      <c r="F184">
        <v>331610.42099999997</v>
      </c>
      <c r="G184">
        <v>23.056999999999999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-0.96000000000000096</v>
      </c>
      <c r="Q184">
        <f t="shared" ref="Q184" si="896">F184*P184</f>
        <v>-318346.0041600003</v>
      </c>
      <c r="R184">
        <f t="shared" ref="R184" si="897">R185+Q184</f>
        <v>-23592239.870126758</v>
      </c>
      <c r="S184">
        <f t="shared" ref="S184" si="898">R184/100000</f>
        <v>-235.92239870126758</v>
      </c>
      <c r="T184">
        <f t="shared" ref="T184" si="899">S184/1000</f>
        <v>-0.23592239870126758</v>
      </c>
    </row>
    <row r="185" spans="1:20" x14ac:dyDescent="0.25">
      <c r="A185" s="5">
        <v>44408</v>
      </c>
      <c r="B185">
        <v>25.876999999999999</v>
      </c>
      <c r="C185">
        <v>25.94</v>
      </c>
      <c r="D185">
        <v>24.559000000000001</v>
      </c>
      <c r="E185">
        <v>24.954999999999998</v>
      </c>
      <c r="F185">
        <v>207321.071</v>
      </c>
      <c r="G185">
        <v>24.954999999999998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-0.42650253439536978</v>
      </c>
      <c r="Q185">
        <f t="shared" ref="Q185" si="901">F185*P185</f>
        <v>-88422.962215062405</v>
      </c>
      <c r="R185">
        <f t="shared" ref="R185" si="902">R186+Q185</f>
        <v>-23273893.865966756</v>
      </c>
      <c r="S185">
        <f t="shared" ref="S185" si="903">R185/100000</f>
        <v>-232.73893865966755</v>
      </c>
      <c r="T185">
        <f t="shared" ref="T185" si="904">S185/1000</f>
        <v>-0.23273893865966755</v>
      </c>
    </row>
    <row r="186" spans="1:20" x14ac:dyDescent="0.25">
      <c r="A186" s="5">
        <v>44407</v>
      </c>
      <c r="B186">
        <v>26.143999999999998</v>
      </c>
      <c r="C186">
        <v>27.498999999999999</v>
      </c>
      <c r="D186">
        <v>24.663</v>
      </c>
      <c r="E186">
        <v>25.835000000000001</v>
      </c>
      <c r="F186">
        <v>235699.18</v>
      </c>
      <c r="G186">
        <v>25.835000000000001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-0.1734837799717904</v>
      </c>
      <c r="Q186">
        <f t="shared" ref="Q186" si="906">F186*P186</f>
        <v>-40889.984682651419</v>
      </c>
      <c r="R186">
        <f t="shared" ref="R186" si="907">R187+Q186</f>
        <v>-23185470.903751694</v>
      </c>
      <c r="S186">
        <f t="shared" ref="S186" si="908">R186/100000</f>
        <v>-231.85470903751693</v>
      </c>
      <c r="T186">
        <f t="shared" ref="T186" si="909">S186/1000</f>
        <v>-0.23185470903751693</v>
      </c>
    </row>
    <row r="187" spans="1:20" x14ac:dyDescent="0.25">
      <c r="A187" s="5">
        <v>44406</v>
      </c>
      <c r="B187">
        <v>26.023</v>
      </c>
      <c r="C187">
        <v>26.625</v>
      </c>
      <c r="D187">
        <v>25.576000000000001</v>
      </c>
      <c r="E187">
        <v>26.145</v>
      </c>
      <c r="F187">
        <v>267772.55</v>
      </c>
      <c r="G187">
        <v>26.145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8.4842707340322857E-2</v>
      </c>
      <c r="Q187">
        <f t="shared" ref="Q187" si="911">F187*P187</f>
        <v>22718.548093421967</v>
      </c>
      <c r="R187">
        <f t="shared" ref="R187" si="912">R188+Q187</f>
        <v>-23144580.919069041</v>
      </c>
      <c r="S187">
        <f t="shared" ref="S187" si="913">R187/100000</f>
        <v>-231.4458091906904</v>
      </c>
      <c r="T187">
        <f t="shared" ref="T187" si="914">S187/1000</f>
        <v>-0.23144580919069041</v>
      </c>
    </row>
    <row r="188" spans="1:20" x14ac:dyDescent="0.25">
      <c r="A188" s="5">
        <v>44405</v>
      </c>
      <c r="B188">
        <v>24.98</v>
      </c>
      <c r="C188">
        <v>26.5</v>
      </c>
      <c r="D188">
        <v>24.289000000000001</v>
      </c>
      <c r="E188">
        <v>25.965</v>
      </c>
      <c r="F188">
        <v>303023.435</v>
      </c>
      <c r="G188">
        <v>25.965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0.51605608322026186</v>
      </c>
      <c r="Q188">
        <f t="shared" ref="Q188" si="916">F188*P188</f>
        <v>156377.0869900496</v>
      </c>
      <c r="R188">
        <f t="shared" ref="R188" si="917">R189+Q188</f>
        <v>-23167299.467162464</v>
      </c>
      <c r="S188">
        <f t="shared" ref="S188" si="918">R188/100000</f>
        <v>-231.67299467162465</v>
      </c>
      <c r="T188">
        <f t="shared" ref="T188" si="919">S188/1000</f>
        <v>-0.23167299467162464</v>
      </c>
    </row>
    <row r="189" spans="1:20" x14ac:dyDescent="0.25">
      <c r="A189" s="5">
        <v>44404</v>
      </c>
      <c r="B189">
        <v>23.591999999999999</v>
      </c>
      <c r="C189">
        <v>28</v>
      </c>
      <c r="D189">
        <v>23.48</v>
      </c>
      <c r="E189">
        <v>25.04</v>
      </c>
      <c r="F189">
        <v>722389.82299999997</v>
      </c>
      <c r="G189">
        <v>25.04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-0.30973451327433676</v>
      </c>
      <c r="Q189">
        <f t="shared" ref="Q189" si="921">F189*P189</f>
        <v>-223749.06022123928</v>
      </c>
      <c r="R189">
        <f t="shared" ref="R189" si="922">R190+Q189</f>
        <v>-23323676.554152515</v>
      </c>
      <c r="S189">
        <f t="shared" ref="S189" si="923">R189/100000</f>
        <v>-233.23676554152516</v>
      </c>
      <c r="T189">
        <f t="shared" ref="T189" si="924">S189/1000</f>
        <v>-0.23323676554152517</v>
      </c>
    </row>
    <row r="190" spans="1:20" x14ac:dyDescent="0.25">
      <c r="A190" s="5">
        <v>44403</v>
      </c>
      <c r="B190">
        <v>23.847000000000001</v>
      </c>
      <c r="C190">
        <v>24.152999999999999</v>
      </c>
      <c r="D190">
        <v>22.763000000000002</v>
      </c>
      <c r="E190">
        <v>23.582999999999998</v>
      </c>
      <c r="F190">
        <v>265352.57400000002</v>
      </c>
      <c r="G190">
        <v>23.582999999999998</v>
      </c>
      <c r="L190" t="s">
        <v>7</v>
      </c>
      <c r="M190" t="s">
        <v>8</v>
      </c>
      <c r="N190" t="s">
        <v>8</v>
      </c>
      <c r="P190">
        <f t="shared" ref="P190" si="925">IF(C190=D190,0,((E190-D190)-(C190-E190))/(C190-D190))</f>
        <v>0.1798561151079115</v>
      </c>
      <c r="Q190">
        <f t="shared" ref="Q190" si="926">F190*P190</f>
        <v>47725.283093524609</v>
      </c>
      <c r="R190">
        <f t="shared" ref="R190" si="927">R191+Q190</f>
        <v>-23099927.493931275</v>
      </c>
      <c r="S190">
        <f t="shared" ref="S190" si="928">R190/100000</f>
        <v>-230.99927493931276</v>
      </c>
      <c r="T190">
        <f t="shared" ref="T190" si="929">S190/1000</f>
        <v>-0.23099927493931274</v>
      </c>
    </row>
    <row r="191" spans="1:20" x14ac:dyDescent="0.25">
      <c r="A191" s="5">
        <v>44402</v>
      </c>
      <c r="B191">
        <v>21.937999999999999</v>
      </c>
      <c r="C191">
        <v>24.486000000000001</v>
      </c>
      <c r="D191">
        <v>21.382999999999999</v>
      </c>
      <c r="E191">
        <v>23.866</v>
      </c>
      <c r="F191">
        <v>377242.64799999999</v>
      </c>
      <c r="G191">
        <v>23.866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0.60038672252658676</v>
      </c>
      <c r="Q191">
        <f t="shared" ref="Q191" si="931">F191*P191</f>
        <v>226491.47702997082</v>
      </c>
      <c r="R191">
        <f t="shared" ref="R191" si="932">R192+Q191</f>
        <v>-23147652.777024798</v>
      </c>
      <c r="S191">
        <f t="shared" ref="S191" si="933">R191/100000</f>
        <v>-231.47652777024797</v>
      </c>
      <c r="T191">
        <f t="shared" ref="T191:T197" si="934">S191/1000</f>
        <v>-0.23147652777024796</v>
      </c>
    </row>
    <row r="192" spans="1:20" x14ac:dyDescent="0.25">
      <c r="A192" s="5">
        <v>44401</v>
      </c>
      <c r="B192">
        <v>22.25</v>
      </c>
      <c r="C192">
        <v>23.2</v>
      </c>
      <c r="D192">
        <v>21.5</v>
      </c>
      <c r="E192">
        <v>21.937999999999999</v>
      </c>
      <c r="F192">
        <v>256196.97899999999</v>
      </c>
      <c r="G192">
        <v>21.937999999999999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-0.48470588235294232</v>
      </c>
      <c r="Q192">
        <f t="shared" ref="Q192" si="936">F192*P192</f>
        <v>-124180.18276235323</v>
      </c>
      <c r="R192">
        <f t="shared" ref="R192" si="937">R193+Q192</f>
        <v>-23374144.25405477</v>
      </c>
      <c r="S192">
        <f t="shared" ref="S192" si="938">R192/100000</f>
        <v>-233.74144254054769</v>
      </c>
      <c r="T192">
        <f t="shared" si="934"/>
        <v>-0.23374144254054768</v>
      </c>
    </row>
    <row r="193" spans="1:20" x14ac:dyDescent="0.25">
      <c r="A193" s="5">
        <v>44400</v>
      </c>
      <c r="B193">
        <v>22.762</v>
      </c>
      <c r="C193">
        <v>23.277999999999999</v>
      </c>
      <c r="D193">
        <v>21.238</v>
      </c>
      <c r="E193">
        <v>22.25</v>
      </c>
      <c r="F193">
        <v>307185.592</v>
      </c>
      <c r="G193">
        <v>22.25</v>
      </c>
      <c r="L193" t="s">
        <v>7</v>
      </c>
      <c r="M193" t="s">
        <v>8</v>
      </c>
      <c r="N193" t="s">
        <v>8</v>
      </c>
      <c r="P193">
        <f t="shared" ref="P193" si="939">IF(C193=D193,0,((E193-D193)-(C193-E193))/(C193-D193))</f>
        <v>-7.8431372549011003E-3</v>
      </c>
      <c r="Q193">
        <f t="shared" ref="Q193" si="940">F193*P193</f>
        <v>-2409.2987607840496</v>
      </c>
      <c r="R193">
        <f t="shared" ref="R193" si="941">R194+Q193</f>
        <v>-23249964.071292415</v>
      </c>
      <c r="S193">
        <f t="shared" ref="S193" si="942">R193/100000</f>
        <v>-232.49964071292416</v>
      </c>
      <c r="T193">
        <f t="shared" si="934"/>
        <v>-0.23249964071292417</v>
      </c>
    </row>
    <row r="194" spans="1:20" x14ac:dyDescent="0.25">
      <c r="A194" s="5">
        <v>44399</v>
      </c>
      <c r="B194">
        <v>20.029</v>
      </c>
      <c r="C194">
        <v>24</v>
      </c>
      <c r="D194">
        <v>19.701000000000001</v>
      </c>
      <c r="E194">
        <v>22.766999999999999</v>
      </c>
      <c r="F194">
        <v>587258.49199999997</v>
      </c>
      <c r="G194">
        <v>22.766999999999999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0.42637822749476589</v>
      </c>
      <c r="Q194">
        <f t="shared" ref="Q194" si="944">F194*P194</f>
        <v>250394.23490020915</v>
      </c>
      <c r="R194">
        <f t="shared" ref="R194" si="945">R195+Q194</f>
        <v>-23247554.772531632</v>
      </c>
      <c r="S194">
        <f t="shared" ref="S194" si="946">R194/100000</f>
        <v>-232.47554772531632</v>
      </c>
      <c r="T194">
        <f t="shared" si="934"/>
        <v>-0.23247554772531631</v>
      </c>
    </row>
    <row r="195" spans="1:20" x14ac:dyDescent="0.25">
      <c r="A195" s="5">
        <v>44398</v>
      </c>
      <c r="B195">
        <v>18.074999999999999</v>
      </c>
      <c r="C195">
        <v>20.399000000000001</v>
      </c>
      <c r="D195">
        <v>17.844999999999999</v>
      </c>
      <c r="E195">
        <v>20.024999999999999</v>
      </c>
      <c r="F195">
        <v>374972.87800000003</v>
      </c>
      <c r="G195">
        <v>20.024999999999999</v>
      </c>
      <c r="L195" t="s">
        <v>8</v>
      </c>
      <c r="M195" t="s">
        <v>8</v>
      </c>
      <c r="N195" t="s">
        <v>8</v>
      </c>
      <c r="P195">
        <f t="shared" ref="P195" si="947">IF(C195=D195,0,((E195-D195)-(C195-E195))/(C195-D195))</f>
        <v>0.70712607674236327</v>
      </c>
      <c r="Q195">
        <f t="shared" ref="Q195" si="948">F195*P195</f>
        <v>265153.10010493285</v>
      </c>
      <c r="R195">
        <f t="shared" ref="R195" si="949">R196+Q195</f>
        <v>-23497949.007431842</v>
      </c>
      <c r="S195">
        <f t="shared" ref="S195" si="950">R195/100000</f>
        <v>-234.97949007431842</v>
      </c>
      <c r="T195">
        <f t="shared" si="934"/>
        <v>-0.23497949007431843</v>
      </c>
    </row>
    <row r="196" spans="1:20" x14ac:dyDescent="0.25">
      <c r="A196" s="5">
        <v>44397</v>
      </c>
      <c r="B196">
        <v>18.826000000000001</v>
      </c>
      <c r="C196">
        <v>19.390999999999998</v>
      </c>
      <c r="D196">
        <v>17.001999999999999</v>
      </c>
      <c r="E196">
        <v>18.076000000000001</v>
      </c>
      <c r="F196">
        <v>354042.37199999997</v>
      </c>
      <c r="G196">
        <v>18.076000000000001</v>
      </c>
      <c r="L196" t="s">
        <v>7</v>
      </c>
      <c r="M196" t="s">
        <v>8</v>
      </c>
      <c r="N196" t="s">
        <v>8</v>
      </c>
      <c r="P196">
        <f t="shared" ref="P196" si="951">IF(C196=D196,0,((E196-D196)-(C196-E196))/(C196-D196))</f>
        <v>-0.10087902888237596</v>
      </c>
      <c r="Q196">
        <f t="shared" ref="Q196" si="952">F196*P196</f>
        <v>-35715.450670572893</v>
      </c>
      <c r="R196">
        <f t="shared" ref="R196" si="953">R197+Q196</f>
        <v>-23763102.107536774</v>
      </c>
      <c r="S196">
        <f t="shared" ref="S196" si="954">R196/100000</f>
        <v>-237.63102107536776</v>
      </c>
      <c r="T196">
        <f t="shared" si="934"/>
        <v>-0.23763102107536777</v>
      </c>
    </row>
    <row r="197" spans="1:20" x14ac:dyDescent="0.25">
      <c r="A197" s="5">
        <v>44396</v>
      </c>
      <c r="B197">
        <v>17.741</v>
      </c>
      <c r="C197">
        <v>19.298999999999999</v>
      </c>
      <c r="D197">
        <v>17.350000000000001</v>
      </c>
      <c r="E197">
        <v>18.805</v>
      </c>
      <c r="F197">
        <v>347494.82699999999</v>
      </c>
      <c r="G197">
        <v>0</v>
      </c>
      <c r="L197" t="s">
        <v>8</v>
      </c>
      <c r="M197" t="s">
        <v>8</v>
      </c>
      <c r="N197" t="s">
        <v>8</v>
      </c>
      <c r="P197">
        <f t="shared" ref="P197" si="955">IF(C197=D197,0,((E197-D197)-(C197-E197))/(C197-D197))</f>
        <v>0.49307337095946613</v>
      </c>
      <c r="Q197">
        <f t="shared" ref="Q197" si="956">F197*P197</f>
        <v>171340.4457398665</v>
      </c>
      <c r="R197">
        <f t="shared" ref="R197" si="957">R198+Q197</f>
        <v>-23727386.6568662</v>
      </c>
      <c r="S197">
        <f t="shared" ref="S197" si="958">R197/100000</f>
        <v>-237.27386656866202</v>
      </c>
      <c r="T197">
        <f t="shared" si="934"/>
        <v>-0.23727386656866201</v>
      </c>
    </row>
    <row r="198" spans="1:20" x14ac:dyDescent="0.25">
      <c r="A198" s="5">
        <v>44395</v>
      </c>
      <c r="B198">
        <v>17.103999999999999</v>
      </c>
      <c r="C198">
        <v>18.253</v>
      </c>
      <c r="D198">
        <v>16.817</v>
      </c>
      <c r="E198">
        <v>17.760000000000002</v>
      </c>
      <c r="F198">
        <v>113518.211</v>
      </c>
      <c r="G198">
        <v>0</v>
      </c>
      <c r="L198" t="s">
        <v>8</v>
      </c>
      <c r="M198" t="s">
        <v>8</v>
      </c>
      <c r="N198" t="s">
        <v>8</v>
      </c>
      <c r="P198">
        <f t="shared" ref="P198:P261" si="959">IF(C198=D198,0,((E198-D198)-(C198-E198))/(C198-D198))</f>
        <v>0.31337047353760644</v>
      </c>
      <c r="Q198">
        <f t="shared" ref="Q198:Q261" si="960">F198*P198</f>
        <v>35573.255536211924</v>
      </c>
      <c r="R198">
        <f t="shared" ref="R198:R261" si="961">R199+Q198</f>
        <v>-23898727.102606066</v>
      </c>
      <c r="S198">
        <f t="shared" ref="S198:S261" si="962">R198/100000</f>
        <v>-238.98727102606065</v>
      </c>
      <c r="T198">
        <f t="shared" ref="T198:T261" si="963">S198/1000</f>
        <v>-0.23898727102606065</v>
      </c>
    </row>
    <row r="199" spans="1:20" x14ac:dyDescent="0.25">
      <c r="A199" s="5">
        <v>44394</v>
      </c>
      <c r="B199">
        <v>17.817</v>
      </c>
      <c r="C199">
        <v>18.055</v>
      </c>
      <c r="D199">
        <v>16.646000000000001</v>
      </c>
      <c r="E199">
        <v>17.103999999999999</v>
      </c>
      <c r="F199">
        <v>131099.30799999999</v>
      </c>
      <c r="G199">
        <v>0</v>
      </c>
      <c r="L199" t="s">
        <v>7</v>
      </c>
      <c r="M199" t="s">
        <v>8</v>
      </c>
      <c r="N199" t="s">
        <v>8</v>
      </c>
      <c r="P199">
        <f t="shared" si="959"/>
        <v>-0.34989354151880941</v>
      </c>
      <c r="Q199">
        <f t="shared" si="960"/>
        <v>-45870.801166785182</v>
      </c>
      <c r="R199">
        <f t="shared" si="961"/>
        <v>-23934300.358142279</v>
      </c>
      <c r="S199">
        <f t="shared" si="962"/>
        <v>-239.34300358142278</v>
      </c>
      <c r="T199">
        <f t="shared" si="963"/>
        <v>-0.23934300358142277</v>
      </c>
    </row>
    <row r="200" spans="1:20" x14ac:dyDescent="0.25">
      <c r="A200" s="5">
        <v>44393</v>
      </c>
      <c r="B200">
        <v>18.04</v>
      </c>
      <c r="C200">
        <v>18.98</v>
      </c>
      <c r="D200">
        <v>17.3</v>
      </c>
      <c r="E200">
        <v>17.86</v>
      </c>
      <c r="F200">
        <v>151355.41899999999</v>
      </c>
      <c r="G200">
        <v>0</v>
      </c>
      <c r="L200" t="s">
        <v>7</v>
      </c>
      <c r="M200" t="s">
        <v>8</v>
      </c>
      <c r="N200" t="s">
        <v>8</v>
      </c>
      <c r="P200">
        <f t="shared" si="959"/>
        <v>-0.33333333333333476</v>
      </c>
      <c r="Q200">
        <f t="shared" si="960"/>
        <v>-50451.806333333545</v>
      </c>
      <c r="R200">
        <f t="shared" si="961"/>
        <v>-23888429.556975495</v>
      </c>
      <c r="S200">
        <f t="shared" si="962"/>
        <v>-238.88429556975495</v>
      </c>
      <c r="T200">
        <f t="shared" si="963"/>
        <v>-0.23888429556975496</v>
      </c>
    </row>
    <row r="201" spans="1:20" x14ac:dyDescent="0.25">
      <c r="A201" s="5">
        <v>44392</v>
      </c>
      <c r="B201">
        <v>19.123999999999999</v>
      </c>
      <c r="C201">
        <v>19.571999999999999</v>
      </c>
      <c r="D201">
        <v>17.257999999999999</v>
      </c>
      <c r="E201">
        <v>17.975999999999999</v>
      </c>
      <c r="F201">
        <v>253286.451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-0.37942955920484012</v>
      </c>
      <c r="Q201">
        <f t="shared" si="960"/>
        <v>-96104.366455488329</v>
      </c>
      <c r="R201">
        <f t="shared" si="961"/>
        <v>-23837977.750642162</v>
      </c>
      <c r="S201">
        <f t="shared" si="962"/>
        <v>-238.37977750642162</v>
      </c>
      <c r="T201">
        <f t="shared" si="963"/>
        <v>-0.23837977750642161</v>
      </c>
    </row>
    <row r="202" spans="1:20" x14ac:dyDescent="0.25">
      <c r="A202" s="5">
        <v>44391</v>
      </c>
      <c r="B202">
        <v>17.981999999999999</v>
      </c>
      <c r="C202">
        <v>19.3</v>
      </c>
      <c r="D202">
        <v>17.11</v>
      </c>
      <c r="E202">
        <v>19.123999999999999</v>
      </c>
      <c r="F202">
        <v>377849.52100000001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0.83926940639269243</v>
      </c>
      <c r="Q202">
        <f t="shared" si="960"/>
        <v>317117.54319543316</v>
      </c>
      <c r="R202">
        <f t="shared" si="961"/>
        <v>-23741873.384186674</v>
      </c>
      <c r="S202">
        <f t="shared" si="962"/>
        <v>-237.41873384186673</v>
      </c>
      <c r="T202">
        <f t="shared" si="963"/>
        <v>-0.23741873384186674</v>
      </c>
    </row>
    <row r="203" spans="1:20" x14ac:dyDescent="0.25">
      <c r="A203" s="5">
        <v>44390</v>
      </c>
      <c r="B203">
        <v>16.213999999999999</v>
      </c>
      <c r="C203">
        <v>18.59</v>
      </c>
      <c r="D203">
        <v>16.015999999999998</v>
      </c>
      <c r="E203">
        <v>17.981999999999999</v>
      </c>
      <c r="F203">
        <v>505788.85700000002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0.52758352758352745</v>
      </c>
      <c r="Q203">
        <f t="shared" si="960"/>
        <v>266845.86938850034</v>
      </c>
      <c r="R203">
        <f t="shared" si="961"/>
        <v>-24058990.927382108</v>
      </c>
      <c r="S203">
        <f t="shared" si="962"/>
        <v>-240.58990927382106</v>
      </c>
      <c r="T203">
        <f t="shared" si="963"/>
        <v>-0.24058990927382107</v>
      </c>
    </row>
    <row r="204" spans="1:20" x14ac:dyDescent="0.25">
      <c r="A204" s="5">
        <v>44389</v>
      </c>
      <c r="B204">
        <v>15.26</v>
      </c>
      <c r="C204">
        <v>16.442</v>
      </c>
      <c r="D204">
        <v>15.002000000000001</v>
      </c>
      <c r="E204">
        <v>16.245000000000001</v>
      </c>
      <c r="F204">
        <v>265910.364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0.72638888888888997</v>
      </c>
      <c r="Q204">
        <f t="shared" si="960"/>
        <v>193154.33385000029</v>
      </c>
      <c r="R204">
        <f t="shared" si="961"/>
        <v>-24325836.79677061</v>
      </c>
      <c r="S204">
        <f t="shared" si="962"/>
        <v>-243.25836796770611</v>
      </c>
      <c r="T204">
        <f t="shared" si="963"/>
        <v>-0.24325836796770611</v>
      </c>
    </row>
    <row r="205" spans="1:20" x14ac:dyDescent="0.25">
      <c r="A205" s="5">
        <v>44388</v>
      </c>
      <c r="B205">
        <v>14.632999999999999</v>
      </c>
      <c r="C205">
        <v>16.727</v>
      </c>
      <c r="D205">
        <v>14.6</v>
      </c>
      <c r="E205">
        <v>15.272</v>
      </c>
      <c r="F205">
        <v>569627.01599999995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-0.36812411847672744</v>
      </c>
      <c r="Q205">
        <f t="shared" si="960"/>
        <v>-209693.44312552869</v>
      </c>
      <c r="R205">
        <f t="shared" si="961"/>
        <v>-24518991.13062061</v>
      </c>
      <c r="S205">
        <f t="shared" si="962"/>
        <v>-245.18991130620611</v>
      </c>
      <c r="T205">
        <f t="shared" si="963"/>
        <v>-0.24518991130620613</v>
      </c>
    </row>
    <row r="206" spans="1:20" x14ac:dyDescent="0.25">
      <c r="A206" s="5">
        <v>44387</v>
      </c>
      <c r="B206">
        <v>14.154</v>
      </c>
      <c r="C206">
        <v>14.877000000000001</v>
      </c>
      <c r="D206">
        <v>13.913</v>
      </c>
      <c r="E206">
        <v>14.637</v>
      </c>
      <c r="F206">
        <v>120550.243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0.50207468879668027</v>
      </c>
      <c r="Q206">
        <f t="shared" si="960"/>
        <v>60525.225738589186</v>
      </c>
      <c r="R206">
        <f t="shared" si="961"/>
        <v>-24309297.687495083</v>
      </c>
      <c r="S206">
        <f t="shared" si="962"/>
        <v>-243.09297687495084</v>
      </c>
      <c r="T206">
        <f t="shared" si="963"/>
        <v>-0.24309297687495082</v>
      </c>
    </row>
    <row r="207" spans="1:20" x14ac:dyDescent="0.25">
      <c r="A207" s="5">
        <v>44386</v>
      </c>
      <c r="B207">
        <v>13.88</v>
      </c>
      <c r="C207">
        <v>14.269</v>
      </c>
      <c r="D207">
        <v>13.567</v>
      </c>
      <c r="E207">
        <v>14.14</v>
      </c>
      <c r="F207">
        <v>99132.577000000005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0.63247863247863367</v>
      </c>
      <c r="Q207">
        <f t="shared" si="960"/>
        <v>62699.236735042854</v>
      </c>
      <c r="R207">
        <f t="shared" si="961"/>
        <v>-24369822.913233671</v>
      </c>
      <c r="S207">
        <f t="shared" si="962"/>
        <v>-243.69822913233671</v>
      </c>
      <c r="T207">
        <f t="shared" si="963"/>
        <v>-0.24369822913233671</v>
      </c>
    </row>
    <row r="208" spans="1:20" x14ac:dyDescent="0.25">
      <c r="A208" s="5">
        <v>44385</v>
      </c>
      <c r="B208">
        <v>14.114000000000001</v>
      </c>
      <c r="C208">
        <v>14.909000000000001</v>
      </c>
      <c r="D208">
        <v>13.439</v>
      </c>
      <c r="E208">
        <v>13.88</v>
      </c>
      <c r="F208">
        <v>379251.94699999999</v>
      </c>
      <c r="G208">
        <v>0</v>
      </c>
      <c r="L208" t="s">
        <v>8</v>
      </c>
      <c r="M208" t="s">
        <v>8</v>
      </c>
      <c r="N208" t="s">
        <v>8</v>
      </c>
      <c r="P208">
        <f t="shared" si="959"/>
        <v>-0.3999999999999993</v>
      </c>
      <c r="Q208">
        <f t="shared" si="960"/>
        <v>-151700.77879999974</v>
      </c>
      <c r="R208">
        <f t="shared" si="961"/>
        <v>-24432522.149968714</v>
      </c>
      <c r="S208">
        <f t="shared" si="962"/>
        <v>-244.32522149968713</v>
      </c>
      <c r="T208">
        <f t="shared" si="963"/>
        <v>-0.24432522149968713</v>
      </c>
    </row>
    <row r="209" spans="1:20" x14ac:dyDescent="0.25">
      <c r="A209" s="5">
        <v>44384</v>
      </c>
      <c r="B209">
        <v>13.59</v>
      </c>
      <c r="C209">
        <v>14.557</v>
      </c>
      <c r="D209">
        <v>13.552</v>
      </c>
      <c r="E209">
        <v>14.163</v>
      </c>
      <c r="F209">
        <v>298470.23300000001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0.21592039800995061</v>
      </c>
      <c r="Q209">
        <f t="shared" si="960"/>
        <v>64445.811503482699</v>
      </c>
      <c r="R209">
        <f t="shared" si="961"/>
        <v>-24280821.371168714</v>
      </c>
      <c r="S209">
        <f t="shared" si="962"/>
        <v>-242.80821371168713</v>
      </c>
      <c r="T209">
        <f t="shared" si="963"/>
        <v>-0.24280821371168712</v>
      </c>
    </row>
    <row r="210" spans="1:20" x14ac:dyDescent="0.25">
      <c r="A210" s="5">
        <v>44383</v>
      </c>
      <c r="B210">
        <v>13.446999999999999</v>
      </c>
      <c r="C210">
        <v>13.785</v>
      </c>
      <c r="D210">
        <v>13.3</v>
      </c>
      <c r="E210">
        <v>13.565</v>
      </c>
      <c r="F210">
        <v>191308.14199999999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9.2783505154635473E-2</v>
      </c>
      <c r="Q210">
        <f t="shared" si="960"/>
        <v>17750.239979380734</v>
      </c>
      <c r="R210">
        <f t="shared" si="961"/>
        <v>-24345267.182672195</v>
      </c>
      <c r="S210">
        <f t="shared" si="962"/>
        <v>-243.45267182672194</v>
      </c>
      <c r="T210">
        <f t="shared" si="963"/>
        <v>-0.24345267182672195</v>
      </c>
    </row>
    <row r="211" spans="1:20" x14ac:dyDescent="0.25">
      <c r="A211" s="5">
        <v>44382</v>
      </c>
      <c r="B211">
        <v>13.579000000000001</v>
      </c>
      <c r="C211">
        <v>13.683</v>
      </c>
      <c r="D211">
        <v>13.228999999999999</v>
      </c>
      <c r="E211">
        <v>13.473000000000001</v>
      </c>
      <c r="F211">
        <v>104531.74099999999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7.4889867841415034E-2</v>
      </c>
      <c r="Q211">
        <f t="shared" si="960"/>
        <v>7828.3682687230248</v>
      </c>
      <c r="R211">
        <f t="shared" si="961"/>
        <v>-24363017.422651574</v>
      </c>
      <c r="S211">
        <f t="shared" si="962"/>
        <v>-243.63017422651575</v>
      </c>
      <c r="T211">
        <f t="shared" si="963"/>
        <v>-0.24363017422651576</v>
      </c>
    </row>
    <row r="212" spans="1:20" x14ac:dyDescent="0.25">
      <c r="A212" s="5">
        <v>44381</v>
      </c>
      <c r="B212">
        <v>13.423</v>
      </c>
      <c r="C212">
        <v>13.978999999999999</v>
      </c>
      <c r="D212">
        <v>13.292</v>
      </c>
      <c r="E212">
        <v>13.583</v>
      </c>
      <c r="F212">
        <v>164459.14600000001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-0.15283842794759642</v>
      </c>
      <c r="Q212">
        <f t="shared" si="960"/>
        <v>-25135.67733624424</v>
      </c>
      <c r="R212">
        <f t="shared" si="961"/>
        <v>-24370845.790920299</v>
      </c>
      <c r="S212">
        <f t="shared" si="962"/>
        <v>-243.70845790920299</v>
      </c>
      <c r="T212">
        <f t="shared" si="963"/>
        <v>-0.24370845790920298</v>
      </c>
    </row>
    <row r="213" spans="1:20" x14ac:dyDescent="0.25">
      <c r="A213" s="5">
        <v>44380</v>
      </c>
      <c r="B213">
        <v>13.144</v>
      </c>
      <c r="C213">
        <v>14.148999999999999</v>
      </c>
      <c r="D213">
        <v>12.9</v>
      </c>
      <c r="E213">
        <v>13.452999999999999</v>
      </c>
      <c r="F213">
        <v>202726.13500000001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-0.11449159327462036</v>
      </c>
      <c r="Q213">
        <f t="shared" si="960"/>
        <v>-23210.43819455578</v>
      </c>
      <c r="R213">
        <f t="shared" si="961"/>
        <v>-24345710.113584053</v>
      </c>
      <c r="S213">
        <f t="shared" si="962"/>
        <v>-243.45710113584053</v>
      </c>
      <c r="T213">
        <f t="shared" si="963"/>
        <v>-0.24345710113584054</v>
      </c>
    </row>
    <row r="214" spans="1:20" x14ac:dyDescent="0.25">
      <c r="A214" s="5">
        <v>44379</v>
      </c>
      <c r="B214">
        <v>13.329000000000001</v>
      </c>
      <c r="C214">
        <v>14.898</v>
      </c>
      <c r="D214">
        <v>12.888999999999999</v>
      </c>
      <c r="E214">
        <v>13.185</v>
      </c>
      <c r="F214">
        <v>525051.36699999997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-0.70532603285216411</v>
      </c>
      <c r="Q214">
        <f t="shared" si="960"/>
        <v>-370332.39772971562</v>
      </c>
      <c r="R214">
        <f t="shared" si="961"/>
        <v>-24322499.675389498</v>
      </c>
      <c r="S214">
        <f t="shared" si="962"/>
        <v>-243.224996753895</v>
      </c>
      <c r="T214">
        <f t="shared" si="963"/>
        <v>-0.243224996753895</v>
      </c>
    </row>
    <row r="215" spans="1:20" x14ac:dyDescent="0.25">
      <c r="A215" s="5">
        <v>44378</v>
      </c>
      <c r="B215">
        <v>12.532</v>
      </c>
      <c r="C215">
        <v>15.31</v>
      </c>
      <c r="D215">
        <v>12.087999999999999</v>
      </c>
      <c r="E215">
        <v>13.349</v>
      </c>
      <c r="F215">
        <v>617597.43299999996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-0.21725636250775884</v>
      </c>
      <c r="Q215">
        <f t="shared" si="960"/>
        <v>-134176.97178770931</v>
      </c>
      <c r="R215">
        <f t="shared" si="961"/>
        <v>-23952167.277659781</v>
      </c>
      <c r="S215">
        <f t="shared" si="962"/>
        <v>-239.52167277659782</v>
      </c>
      <c r="T215">
        <f t="shared" si="963"/>
        <v>-0.23952167277659783</v>
      </c>
    </row>
    <row r="216" spans="1:20" x14ac:dyDescent="0.25">
      <c r="A216" s="5">
        <v>44377</v>
      </c>
      <c r="B216">
        <v>12.398</v>
      </c>
      <c r="C216">
        <v>12.669</v>
      </c>
      <c r="D216">
        <v>11.909000000000001</v>
      </c>
      <c r="E216">
        <v>12.532</v>
      </c>
      <c r="F216">
        <v>93584.413</v>
      </c>
      <c r="G216">
        <v>0</v>
      </c>
      <c r="L216" t="s">
        <v>8</v>
      </c>
      <c r="M216" t="s">
        <v>7</v>
      </c>
      <c r="N216" t="s">
        <v>7</v>
      </c>
      <c r="P216">
        <f t="shared" si="959"/>
        <v>0.63947368421052497</v>
      </c>
      <c r="Q216">
        <f t="shared" si="960"/>
        <v>59844.769365789347</v>
      </c>
      <c r="R216">
        <f t="shared" si="961"/>
        <v>-23817990.305872072</v>
      </c>
      <c r="S216">
        <f t="shared" si="962"/>
        <v>-238.17990305872073</v>
      </c>
      <c r="T216">
        <f t="shared" si="963"/>
        <v>-0.23817990305872072</v>
      </c>
    </row>
    <row r="217" spans="1:20" x14ac:dyDescent="0.25">
      <c r="A217" s="5">
        <v>44376</v>
      </c>
      <c r="B217">
        <v>12.039</v>
      </c>
      <c r="C217">
        <v>12.631</v>
      </c>
      <c r="D217">
        <v>11.968999999999999</v>
      </c>
      <c r="E217">
        <v>12.397</v>
      </c>
      <c r="F217">
        <v>114663.079</v>
      </c>
      <c r="G217">
        <v>0</v>
      </c>
      <c r="L217" t="s">
        <v>8</v>
      </c>
      <c r="M217" t="s">
        <v>7</v>
      </c>
      <c r="N217" t="s">
        <v>7</v>
      </c>
      <c r="P217">
        <f t="shared" si="959"/>
        <v>0.2930513595166172</v>
      </c>
      <c r="Q217">
        <f t="shared" si="960"/>
        <v>33602.17118731128</v>
      </c>
      <c r="R217">
        <f t="shared" si="961"/>
        <v>-23877835.075237859</v>
      </c>
      <c r="S217">
        <f t="shared" si="962"/>
        <v>-238.7783507523786</v>
      </c>
      <c r="T217">
        <f t="shared" si="963"/>
        <v>-0.2387783507523786</v>
      </c>
    </row>
    <row r="218" spans="1:20" x14ac:dyDescent="0.25">
      <c r="A218" s="5">
        <v>44375</v>
      </c>
      <c r="B218">
        <v>12.083</v>
      </c>
      <c r="C218">
        <v>12.433</v>
      </c>
      <c r="D218">
        <v>11.829000000000001</v>
      </c>
      <c r="E218">
        <v>12.039</v>
      </c>
      <c r="F218">
        <v>113012.988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-0.30463576158940614</v>
      </c>
      <c r="Q218">
        <f t="shared" si="960"/>
        <v>-34427.797668874417</v>
      </c>
      <c r="R218">
        <f t="shared" si="961"/>
        <v>-23911437.24642517</v>
      </c>
      <c r="S218">
        <f t="shared" si="962"/>
        <v>-239.11437246425172</v>
      </c>
      <c r="T218">
        <f t="shared" si="963"/>
        <v>-0.23911437246425171</v>
      </c>
    </row>
    <row r="219" spans="1:20" x14ac:dyDescent="0.25">
      <c r="A219" s="5">
        <v>44374</v>
      </c>
      <c r="B219">
        <v>11.805999999999999</v>
      </c>
      <c r="C219">
        <v>12.097</v>
      </c>
      <c r="D219">
        <v>11.528</v>
      </c>
      <c r="E219">
        <v>12.061</v>
      </c>
      <c r="F219">
        <v>111821.272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0.87346221441124905</v>
      </c>
      <c r="Q219">
        <f t="shared" si="960"/>
        <v>97671.655859402599</v>
      </c>
      <c r="R219">
        <f t="shared" si="961"/>
        <v>-23877009.448756296</v>
      </c>
      <c r="S219">
        <f t="shared" si="962"/>
        <v>-238.77009448756297</v>
      </c>
      <c r="T219">
        <f t="shared" si="963"/>
        <v>-0.23877009448756298</v>
      </c>
    </row>
    <row r="220" spans="1:20" x14ac:dyDescent="0.25">
      <c r="A220" s="5">
        <v>44373</v>
      </c>
      <c r="B220">
        <v>11.939</v>
      </c>
      <c r="C220">
        <v>12.194000000000001</v>
      </c>
      <c r="D220">
        <v>11</v>
      </c>
      <c r="E220">
        <v>11.816000000000001</v>
      </c>
      <c r="F220">
        <v>158754.99900000001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0.36683417085427161</v>
      </c>
      <c r="Q220">
        <f t="shared" si="960"/>
        <v>58236.758427135726</v>
      </c>
      <c r="R220">
        <f t="shared" si="961"/>
        <v>-23974681.104615699</v>
      </c>
      <c r="S220">
        <f t="shared" si="962"/>
        <v>-239.74681104615701</v>
      </c>
      <c r="T220">
        <f t="shared" si="963"/>
        <v>-0.239746811046157</v>
      </c>
    </row>
    <row r="221" spans="1:20" x14ac:dyDescent="0.25">
      <c r="A221" s="5">
        <v>44372</v>
      </c>
      <c r="B221">
        <v>12.316000000000001</v>
      </c>
      <c r="C221">
        <v>12.627000000000001</v>
      </c>
      <c r="D221">
        <v>11.441000000000001</v>
      </c>
      <c r="E221">
        <v>11.938000000000001</v>
      </c>
      <c r="F221">
        <v>127668.557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-0.16188870151770673</v>
      </c>
      <c r="Q221">
        <f t="shared" si="960"/>
        <v>-20668.09691736933</v>
      </c>
      <c r="R221">
        <f t="shared" si="961"/>
        <v>-24032917.863042835</v>
      </c>
      <c r="S221">
        <f t="shared" si="962"/>
        <v>-240.32917863042834</v>
      </c>
      <c r="T221">
        <f t="shared" si="963"/>
        <v>-0.24032917863042835</v>
      </c>
    </row>
    <row r="222" spans="1:20" x14ac:dyDescent="0.25">
      <c r="A222" s="5">
        <v>44371</v>
      </c>
      <c r="B222">
        <v>12.285</v>
      </c>
      <c r="C222">
        <v>12.941000000000001</v>
      </c>
      <c r="D222">
        <v>12.081</v>
      </c>
      <c r="E222">
        <v>12.308</v>
      </c>
      <c r="F222">
        <v>136185.61199999999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-0.47209302325581398</v>
      </c>
      <c r="Q222">
        <f t="shared" si="960"/>
        <v>-64292.277293023253</v>
      </c>
      <c r="R222">
        <f t="shared" si="961"/>
        <v>-24012249.766125467</v>
      </c>
      <c r="S222">
        <f t="shared" si="962"/>
        <v>-240.12249766125467</v>
      </c>
      <c r="T222">
        <f t="shared" si="963"/>
        <v>-0.24012249766125468</v>
      </c>
    </row>
    <row r="223" spans="1:20" x14ac:dyDescent="0.25">
      <c r="A223" s="5">
        <v>44370</v>
      </c>
      <c r="B223">
        <v>11.654</v>
      </c>
      <c r="C223">
        <v>13.308999999999999</v>
      </c>
      <c r="D223">
        <v>11.451000000000001</v>
      </c>
      <c r="E223">
        <v>12.295</v>
      </c>
      <c r="F223">
        <v>174353.356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-9.1496232508073219E-2</v>
      </c>
      <c r="Q223">
        <f t="shared" si="960"/>
        <v>-15952.675199138863</v>
      </c>
      <c r="R223">
        <f t="shared" si="961"/>
        <v>-23947957.488832444</v>
      </c>
      <c r="S223">
        <f t="shared" si="962"/>
        <v>-239.47957488832444</v>
      </c>
      <c r="T223">
        <f t="shared" si="963"/>
        <v>-0.23947957488832444</v>
      </c>
    </row>
    <row r="224" spans="1:20" x14ac:dyDescent="0.25">
      <c r="A224" s="5">
        <v>44369</v>
      </c>
      <c r="B224">
        <v>11.715999999999999</v>
      </c>
      <c r="C224">
        <v>12.436</v>
      </c>
      <c r="D224">
        <v>10.784000000000001</v>
      </c>
      <c r="E224">
        <v>11.666</v>
      </c>
      <c r="F224">
        <v>263594.74099999998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6.7796610169491622E-2</v>
      </c>
      <c r="Q224">
        <f t="shared" si="960"/>
        <v>17870.82989830511</v>
      </c>
      <c r="R224">
        <f t="shared" si="961"/>
        <v>-23932004.813633304</v>
      </c>
      <c r="S224">
        <f t="shared" si="962"/>
        <v>-239.32004813633304</v>
      </c>
      <c r="T224">
        <f t="shared" si="963"/>
        <v>-0.23932004813633304</v>
      </c>
    </row>
    <row r="225" spans="1:20" x14ac:dyDescent="0.25">
      <c r="A225" s="5">
        <v>44368</v>
      </c>
      <c r="B225">
        <v>14.374000000000001</v>
      </c>
      <c r="C225">
        <v>14.443</v>
      </c>
      <c r="D225">
        <v>11.643000000000001</v>
      </c>
      <c r="E225">
        <v>11.74</v>
      </c>
      <c r="F225">
        <v>252318.06099999999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-0.93071428571428605</v>
      </c>
      <c r="Q225">
        <f t="shared" si="960"/>
        <v>-234836.02391642865</v>
      </c>
      <c r="R225">
        <f t="shared" si="961"/>
        <v>-23949875.643531609</v>
      </c>
      <c r="S225">
        <f t="shared" si="962"/>
        <v>-239.4987564353161</v>
      </c>
      <c r="T225">
        <f t="shared" si="963"/>
        <v>-0.2394987564353161</v>
      </c>
    </row>
    <row r="226" spans="1:20" x14ac:dyDescent="0.25">
      <c r="A226" s="5">
        <v>44367</v>
      </c>
      <c r="B226">
        <v>14.563000000000001</v>
      </c>
      <c r="C226">
        <v>14.957000000000001</v>
      </c>
      <c r="D226">
        <v>13.55</v>
      </c>
      <c r="E226">
        <v>14.374000000000001</v>
      </c>
      <c r="F226">
        <v>146600.372</v>
      </c>
      <c r="G226">
        <v>0</v>
      </c>
      <c r="L226" t="s">
        <v>7</v>
      </c>
      <c r="M226" t="s">
        <v>7</v>
      </c>
      <c r="N226" t="s">
        <v>8</v>
      </c>
      <c r="P226">
        <f t="shared" si="959"/>
        <v>0.17128642501776806</v>
      </c>
      <c r="Q226">
        <f t="shared" si="960"/>
        <v>25110.653626154904</v>
      </c>
      <c r="R226">
        <f t="shared" si="961"/>
        <v>-23715039.619615182</v>
      </c>
      <c r="S226">
        <f t="shared" si="962"/>
        <v>-237.15039619615183</v>
      </c>
      <c r="T226">
        <f t="shared" si="963"/>
        <v>-0.23715039619615183</v>
      </c>
    </row>
    <row r="227" spans="1:20" x14ac:dyDescent="0.25">
      <c r="A227" s="5">
        <v>44366</v>
      </c>
      <c r="B227">
        <v>14.339</v>
      </c>
      <c r="C227">
        <v>15.5</v>
      </c>
      <c r="D227">
        <v>14.028</v>
      </c>
      <c r="E227">
        <v>14.583</v>
      </c>
      <c r="F227">
        <v>194141.75099999999</v>
      </c>
      <c r="G227">
        <v>0</v>
      </c>
      <c r="L227" t="s">
        <v>8</v>
      </c>
      <c r="M227" t="s">
        <v>7</v>
      </c>
      <c r="N227" t="s">
        <v>8</v>
      </c>
      <c r="P227">
        <f t="shared" si="959"/>
        <v>-0.24592391304347841</v>
      </c>
      <c r="Q227">
        <f t="shared" si="960"/>
        <v>-47744.099091032636</v>
      </c>
      <c r="R227">
        <f t="shared" si="961"/>
        <v>-23740150.273241337</v>
      </c>
      <c r="S227">
        <f t="shared" si="962"/>
        <v>-237.40150273241338</v>
      </c>
      <c r="T227">
        <f t="shared" si="963"/>
        <v>-0.23740150273241337</v>
      </c>
    </row>
    <row r="228" spans="1:20" x14ac:dyDescent="0.25">
      <c r="A228" s="5">
        <v>44365</v>
      </c>
      <c r="B228">
        <v>15.193</v>
      </c>
      <c r="C228">
        <v>15.48</v>
      </c>
      <c r="D228">
        <v>13.87</v>
      </c>
      <c r="E228">
        <v>14.34</v>
      </c>
      <c r="F228">
        <v>162585.785</v>
      </c>
      <c r="G228">
        <v>0</v>
      </c>
      <c r="L228" t="s">
        <v>7</v>
      </c>
      <c r="M228" t="s">
        <v>7</v>
      </c>
      <c r="N228" t="s">
        <v>8</v>
      </c>
      <c r="P228">
        <f t="shared" si="959"/>
        <v>-0.41614906832298099</v>
      </c>
      <c r="Q228">
        <f t="shared" si="960"/>
        <v>-67659.922950310502</v>
      </c>
      <c r="R228">
        <f t="shared" si="961"/>
        <v>-23692406.174150303</v>
      </c>
      <c r="S228">
        <f t="shared" si="962"/>
        <v>-236.92406174150304</v>
      </c>
      <c r="T228">
        <f t="shared" si="963"/>
        <v>-0.23692406174150304</v>
      </c>
    </row>
    <row r="229" spans="1:20" x14ac:dyDescent="0.25">
      <c r="A229" s="5">
        <v>44364</v>
      </c>
      <c r="B229">
        <v>14.821999999999999</v>
      </c>
      <c r="C229">
        <v>16</v>
      </c>
      <c r="D229">
        <v>14.727</v>
      </c>
      <c r="E229">
        <v>15.193</v>
      </c>
      <c r="F229">
        <v>274303.32799999998</v>
      </c>
      <c r="G229">
        <v>0</v>
      </c>
      <c r="L229" t="s">
        <v>8</v>
      </c>
      <c r="M229" t="s">
        <v>7</v>
      </c>
      <c r="N229" t="s">
        <v>8</v>
      </c>
      <c r="P229">
        <f t="shared" si="959"/>
        <v>-0.26787117046347303</v>
      </c>
      <c r="Q229">
        <f t="shared" si="960"/>
        <v>-73477.953533385953</v>
      </c>
      <c r="R229">
        <f t="shared" si="961"/>
        <v>-23624746.251199994</v>
      </c>
      <c r="S229">
        <f t="shared" si="962"/>
        <v>-236.24746251199994</v>
      </c>
      <c r="T229">
        <f t="shared" si="963"/>
        <v>-0.23624746251199993</v>
      </c>
    </row>
    <row r="230" spans="1:20" x14ac:dyDescent="0.25">
      <c r="A230" s="5">
        <v>44363</v>
      </c>
      <c r="B230">
        <v>15.231</v>
      </c>
      <c r="C230">
        <v>15.499000000000001</v>
      </c>
      <c r="D230">
        <v>14.589</v>
      </c>
      <c r="E230">
        <v>14.824999999999999</v>
      </c>
      <c r="F230">
        <v>187105.08300000001</v>
      </c>
      <c r="G230">
        <v>0</v>
      </c>
      <c r="L230" t="s">
        <v>7</v>
      </c>
      <c r="M230" t="s">
        <v>7</v>
      </c>
      <c r="N230" t="s">
        <v>8</v>
      </c>
      <c r="P230">
        <f t="shared" si="959"/>
        <v>-0.48131868131868388</v>
      </c>
      <c r="Q230">
        <f t="shared" si="960"/>
        <v>-90057.171817582901</v>
      </c>
      <c r="R230">
        <f t="shared" si="961"/>
        <v>-23551268.297666609</v>
      </c>
      <c r="S230">
        <f t="shared" si="962"/>
        <v>-235.5126829766661</v>
      </c>
      <c r="T230">
        <f t="shared" si="963"/>
        <v>-0.23551268297666611</v>
      </c>
    </row>
    <row r="231" spans="1:20" x14ac:dyDescent="0.25">
      <c r="A231" s="5">
        <v>44362</v>
      </c>
      <c r="B231">
        <v>15.176</v>
      </c>
      <c r="C231">
        <v>15.94</v>
      </c>
      <c r="D231">
        <v>14.829000000000001</v>
      </c>
      <c r="E231">
        <v>15.242000000000001</v>
      </c>
      <c r="F231">
        <v>289302.38199999998</v>
      </c>
      <c r="G231">
        <v>0</v>
      </c>
      <c r="L231" t="s">
        <v>8</v>
      </c>
      <c r="M231" t="s">
        <v>7</v>
      </c>
      <c r="N231" t="s">
        <v>8</v>
      </c>
      <c r="P231">
        <f t="shared" si="959"/>
        <v>-0.25652565256525534</v>
      </c>
      <c r="Q231">
        <f t="shared" si="960"/>
        <v>-74213.482331232779</v>
      </c>
      <c r="R231">
        <f t="shared" si="961"/>
        <v>-23461211.125849027</v>
      </c>
      <c r="S231">
        <f t="shared" si="962"/>
        <v>-234.61211125849027</v>
      </c>
      <c r="T231">
        <f t="shared" si="963"/>
        <v>-0.23461211125849027</v>
      </c>
    </row>
    <row r="232" spans="1:20" x14ac:dyDescent="0.25">
      <c r="A232" s="5">
        <v>44361</v>
      </c>
      <c r="B232">
        <v>15.042</v>
      </c>
      <c r="C232">
        <v>15.7</v>
      </c>
      <c r="D232">
        <v>14.851000000000001</v>
      </c>
      <c r="E232">
        <v>15.189</v>
      </c>
      <c r="F232">
        <v>240563.514</v>
      </c>
      <c r="G232">
        <v>0</v>
      </c>
      <c r="L232" t="s">
        <v>8</v>
      </c>
      <c r="M232" t="s">
        <v>7</v>
      </c>
      <c r="N232" t="s">
        <v>8</v>
      </c>
      <c r="P232">
        <f t="shared" si="959"/>
        <v>-0.2037691401649003</v>
      </c>
      <c r="Q232">
        <f t="shared" si="960"/>
        <v>-49019.420402826952</v>
      </c>
      <c r="R232">
        <f t="shared" si="961"/>
        <v>-23386997.643517796</v>
      </c>
      <c r="S232">
        <f t="shared" si="962"/>
        <v>-233.86997643517796</v>
      </c>
      <c r="T232">
        <f t="shared" si="963"/>
        <v>-0.23386997643517796</v>
      </c>
    </row>
    <row r="233" spans="1:20" x14ac:dyDescent="0.25">
      <c r="A233" s="5">
        <v>44360</v>
      </c>
      <c r="B233">
        <v>14.855</v>
      </c>
      <c r="C233">
        <v>15.263</v>
      </c>
      <c r="D233">
        <v>14.132999999999999</v>
      </c>
      <c r="E233">
        <v>15.03</v>
      </c>
      <c r="F233">
        <v>198150.80300000001</v>
      </c>
      <c r="G233">
        <v>0</v>
      </c>
      <c r="L233" t="s">
        <v>8</v>
      </c>
      <c r="M233" t="s">
        <v>7</v>
      </c>
      <c r="N233" t="s">
        <v>8</v>
      </c>
      <c r="P233">
        <f t="shared" si="959"/>
        <v>0.58761061946902593</v>
      </c>
      <c r="Q233">
        <f t="shared" si="960"/>
        <v>116435.51609911493</v>
      </c>
      <c r="R233">
        <f t="shared" si="961"/>
        <v>-23337978.223114967</v>
      </c>
      <c r="S233">
        <f t="shared" si="962"/>
        <v>-233.37978223114968</v>
      </c>
      <c r="T233">
        <f t="shared" si="963"/>
        <v>-0.23337978223114966</v>
      </c>
    </row>
    <row r="234" spans="1:20" x14ac:dyDescent="0.25">
      <c r="A234" s="5">
        <v>44359</v>
      </c>
      <c r="B234">
        <v>15.19</v>
      </c>
      <c r="C234">
        <v>15.224</v>
      </c>
      <c r="D234">
        <v>13.579000000000001</v>
      </c>
      <c r="E234">
        <v>14.817</v>
      </c>
      <c r="F234">
        <v>341880.76199999999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0.50516717325227944</v>
      </c>
      <c r="Q234">
        <f t="shared" si="960"/>
        <v>172706.93812887531</v>
      </c>
      <c r="R234">
        <f t="shared" si="961"/>
        <v>-23454413.739214081</v>
      </c>
      <c r="S234">
        <f t="shared" si="962"/>
        <v>-234.54413739214081</v>
      </c>
      <c r="T234">
        <f t="shared" si="963"/>
        <v>-0.23454413739214081</v>
      </c>
    </row>
    <row r="235" spans="1:20" x14ac:dyDescent="0.25">
      <c r="A235" s="5">
        <v>44358</v>
      </c>
      <c r="B235">
        <v>16.13</v>
      </c>
      <c r="C235">
        <v>18.481999999999999</v>
      </c>
      <c r="D235">
        <v>15.02</v>
      </c>
      <c r="E235">
        <v>15.183</v>
      </c>
      <c r="F235">
        <v>1238032.21</v>
      </c>
      <c r="G235">
        <v>0</v>
      </c>
      <c r="L235" t="s">
        <v>8</v>
      </c>
      <c r="M235" t="s">
        <v>8</v>
      </c>
      <c r="N235" t="s">
        <v>8</v>
      </c>
      <c r="P235">
        <f t="shared" si="959"/>
        <v>-0.90583477758521069</v>
      </c>
      <c r="Q235">
        <f t="shared" si="960"/>
        <v>-1121452.6315886767</v>
      </c>
      <c r="R235">
        <f t="shared" si="961"/>
        <v>-23627120.677342955</v>
      </c>
      <c r="S235">
        <f t="shared" si="962"/>
        <v>-236.27120677342955</v>
      </c>
      <c r="T235">
        <f t="shared" si="963"/>
        <v>-0.23627120677342955</v>
      </c>
    </row>
    <row r="236" spans="1:20" x14ac:dyDescent="0.25">
      <c r="A236" s="5">
        <v>44357</v>
      </c>
      <c r="B236">
        <v>14.544</v>
      </c>
      <c r="C236">
        <v>16.942</v>
      </c>
      <c r="D236">
        <v>13.867000000000001</v>
      </c>
      <c r="E236">
        <v>16.148</v>
      </c>
      <c r="F236">
        <v>453386.96100000001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0.48357723577235728</v>
      </c>
      <c r="Q236">
        <f t="shared" si="960"/>
        <v>219247.61333560955</v>
      </c>
      <c r="R236">
        <f t="shared" si="961"/>
        <v>-22505668.04575428</v>
      </c>
      <c r="S236">
        <f t="shared" si="962"/>
        <v>-225.0566804575428</v>
      </c>
      <c r="T236">
        <f t="shared" si="963"/>
        <v>-0.22505668045754279</v>
      </c>
    </row>
    <row r="237" spans="1:20" x14ac:dyDescent="0.25">
      <c r="A237" s="5">
        <v>44356</v>
      </c>
      <c r="B237">
        <v>14.018000000000001</v>
      </c>
      <c r="C237">
        <v>14.593</v>
      </c>
      <c r="D237">
        <v>13.321</v>
      </c>
      <c r="E237">
        <v>14.532999999999999</v>
      </c>
      <c r="F237">
        <v>200878.86199999999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0.90566037735848981</v>
      </c>
      <c r="Q237">
        <f t="shared" si="960"/>
        <v>181928.02596226399</v>
      </c>
      <c r="R237">
        <f t="shared" si="961"/>
        <v>-22724915.659089889</v>
      </c>
      <c r="S237">
        <f t="shared" si="962"/>
        <v>-227.24915659089891</v>
      </c>
      <c r="T237">
        <f t="shared" si="963"/>
        <v>-0.22724915659089889</v>
      </c>
    </row>
    <row r="238" spans="1:20" x14ac:dyDescent="0.25">
      <c r="A238" s="5">
        <v>44355</v>
      </c>
      <c r="B238">
        <v>13.992000000000001</v>
      </c>
      <c r="C238">
        <v>14.404999999999999</v>
      </c>
      <c r="D238">
        <v>12.555999999999999</v>
      </c>
      <c r="E238">
        <v>14.01</v>
      </c>
      <c r="F238">
        <v>274341.52600000001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0.57274202271498154</v>
      </c>
      <c r="Q238">
        <f t="shared" si="960"/>
        <v>157126.9205159547</v>
      </c>
      <c r="R238">
        <f t="shared" si="961"/>
        <v>-22906843.685052153</v>
      </c>
      <c r="S238">
        <f t="shared" si="962"/>
        <v>-229.06843685052152</v>
      </c>
      <c r="T238">
        <f t="shared" si="963"/>
        <v>-0.22906843685052153</v>
      </c>
    </row>
    <row r="239" spans="1:20" x14ac:dyDescent="0.25">
      <c r="A239" s="5">
        <v>44354</v>
      </c>
      <c r="B239">
        <v>15.473000000000001</v>
      </c>
      <c r="C239">
        <v>16.077000000000002</v>
      </c>
      <c r="D239">
        <v>13.848000000000001</v>
      </c>
      <c r="E239">
        <v>13.961</v>
      </c>
      <c r="F239">
        <v>262214.11900000001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-0.89860924181247237</v>
      </c>
      <c r="Q239">
        <f t="shared" si="960"/>
        <v>-235628.03066711541</v>
      </c>
      <c r="R239">
        <f t="shared" si="961"/>
        <v>-23063970.605568107</v>
      </c>
      <c r="S239">
        <f t="shared" si="962"/>
        <v>-230.63970605568107</v>
      </c>
      <c r="T239">
        <f t="shared" si="963"/>
        <v>-0.23063970605568107</v>
      </c>
    </row>
    <row r="240" spans="1:20" x14ac:dyDescent="0.25">
      <c r="A240" s="5">
        <v>44353</v>
      </c>
      <c r="B240">
        <v>15.353999999999999</v>
      </c>
      <c r="C240">
        <v>15.722</v>
      </c>
      <c r="D240">
        <v>15.19</v>
      </c>
      <c r="E240">
        <v>15.492000000000001</v>
      </c>
      <c r="F240">
        <v>111868.474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0.13533834586466678</v>
      </c>
      <c r="Q240">
        <f t="shared" si="960"/>
        <v>15140.094225564484</v>
      </c>
      <c r="R240">
        <f t="shared" si="961"/>
        <v>-22828342.574900992</v>
      </c>
      <c r="S240">
        <f t="shared" si="962"/>
        <v>-228.28342574900992</v>
      </c>
      <c r="T240">
        <f t="shared" si="963"/>
        <v>-0.22828342574900992</v>
      </c>
    </row>
    <row r="241" spans="1:20" x14ac:dyDescent="0.25">
      <c r="A241" s="5">
        <v>44352</v>
      </c>
      <c r="B241">
        <v>15.483000000000001</v>
      </c>
      <c r="C241">
        <v>16.277000000000001</v>
      </c>
      <c r="D241">
        <v>15</v>
      </c>
      <c r="E241">
        <v>15.364000000000001</v>
      </c>
      <c r="F241">
        <v>288754.76899999997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-0.42991386061080583</v>
      </c>
      <c r="Q241">
        <f t="shared" si="960"/>
        <v>-124139.67751057142</v>
      </c>
      <c r="R241">
        <f t="shared" si="961"/>
        <v>-22843482.669126555</v>
      </c>
      <c r="S241">
        <f t="shared" si="962"/>
        <v>-228.43482669126556</v>
      </c>
      <c r="T241">
        <f t="shared" si="963"/>
        <v>-0.22843482669126555</v>
      </c>
    </row>
    <row r="242" spans="1:20" x14ac:dyDescent="0.25">
      <c r="A242" s="5">
        <v>44351</v>
      </c>
      <c r="B242">
        <v>16.603999999999999</v>
      </c>
      <c r="C242">
        <v>16.998000000000001</v>
      </c>
      <c r="D242">
        <v>14.89</v>
      </c>
      <c r="E242">
        <v>15.475</v>
      </c>
      <c r="F242">
        <v>449433.98800000001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-0.44497153700189856</v>
      </c>
      <c r="Q242">
        <f t="shared" si="960"/>
        <v>-199985.33242125285</v>
      </c>
      <c r="R242">
        <f t="shared" si="961"/>
        <v>-22719342.991615985</v>
      </c>
      <c r="S242">
        <f t="shared" si="962"/>
        <v>-227.19342991615986</v>
      </c>
      <c r="T242">
        <f t="shared" si="963"/>
        <v>-0.22719342991615984</v>
      </c>
    </row>
    <row r="243" spans="1:20" x14ac:dyDescent="0.25">
      <c r="A243" s="5">
        <v>44350</v>
      </c>
      <c r="B243">
        <v>16.004999999999999</v>
      </c>
      <c r="C243">
        <v>17.95</v>
      </c>
      <c r="D243">
        <v>15.808999999999999</v>
      </c>
      <c r="E243">
        <v>16.596</v>
      </c>
      <c r="F243">
        <v>494123.38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-0.26482951891639345</v>
      </c>
      <c r="Q243">
        <f t="shared" si="960"/>
        <v>-130858.45701074226</v>
      </c>
      <c r="R243">
        <f t="shared" si="961"/>
        <v>-22519357.65919473</v>
      </c>
      <c r="S243">
        <f t="shared" si="962"/>
        <v>-225.19357659194731</v>
      </c>
      <c r="T243">
        <f t="shared" si="963"/>
        <v>-0.2251935765919473</v>
      </c>
    </row>
    <row r="244" spans="1:20" x14ac:dyDescent="0.25">
      <c r="A244" s="5">
        <v>44349</v>
      </c>
      <c r="B244">
        <v>15.849</v>
      </c>
      <c r="C244">
        <v>16.86</v>
      </c>
      <c r="D244">
        <v>15.718</v>
      </c>
      <c r="E244">
        <v>15.993</v>
      </c>
      <c r="F244">
        <v>243868.27600000001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-0.51838879159369444</v>
      </c>
      <c r="Q244">
        <f t="shared" si="960"/>
        <v>-126418.58090367756</v>
      </c>
      <c r="R244">
        <f t="shared" si="961"/>
        <v>-22388499.202183988</v>
      </c>
      <c r="S244">
        <f t="shared" si="962"/>
        <v>-223.88499202183988</v>
      </c>
      <c r="T244">
        <f t="shared" si="963"/>
        <v>-0.22388499202183987</v>
      </c>
    </row>
    <row r="245" spans="1:20" x14ac:dyDescent="0.25">
      <c r="A245" s="5">
        <v>44348</v>
      </c>
      <c r="B245">
        <v>16.555</v>
      </c>
      <c r="C245">
        <v>17</v>
      </c>
      <c r="D245">
        <v>15.531000000000001</v>
      </c>
      <c r="E245">
        <v>15.849</v>
      </c>
      <c r="F245">
        <v>221772.55900000001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-0.5670524166099391</v>
      </c>
      <c r="Q245">
        <f t="shared" si="960"/>
        <v>-125756.6655187203</v>
      </c>
      <c r="R245">
        <f t="shared" si="961"/>
        <v>-22262080.621280309</v>
      </c>
      <c r="S245">
        <f t="shared" si="962"/>
        <v>-222.62080621280307</v>
      </c>
      <c r="T245">
        <f t="shared" si="963"/>
        <v>-0.22262080621280309</v>
      </c>
    </row>
    <row r="246" spans="1:20" x14ac:dyDescent="0.25">
      <c r="A246" s="5">
        <v>44347</v>
      </c>
      <c r="B246">
        <v>15.981</v>
      </c>
      <c r="C246">
        <v>16.878</v>
      </c>
      <c r="D246">
        <v>15.131</v>
      </c>
      <c r="E246">
        <v>16.553000000000001</v>
      </c>
      <c r="F246">
        <v>318476.43699999998</v>
      </c>
      <c r="G246">
        <v>0</v>
      </c>
      <c r="L246" t="s">
        <v>7</v>
      </c>
      <c r="M246" t="s">
        <v>7</v>
      </c>
      <c r="N246" t="s">
        <v>7</v>
      </c>
      <c r="P246">
        <f t="shared" si="959"/>
        <v>0.62793360045792868</v>
      </c>
      <c r="Q246">
        <f t="shared" si="960"/>
        <v>199982.05574642267</v>
      </c>
      <c r="R246">
        <f t="shared" si="961"/>
        <v>-22136323.955761589</v>
      </c>
      <c r="S246">
        <f t="shared" si="962"/>
        <v>-221.36323955761588</v>
      </c>
      <c r="T246">
        <f t="shared" si="963"/>
        <v>-0.22136323955761589</v>
      </c>
    </row>
    <row r="247" spans="1:20" x14ac:dyDescent="0.25">
      <c r="A247" s="5">
        <v>44346</v>
      </c>
      <c r="B247">
        <v>15.526999999999999</v>
      </c>
      <c r="C247">
        <v>16.89</v>
      </c>
      <c r="D247">
        <v>14.680999999999999</v>
      </c>
      <c r="E247">
        <v>16.015999999999998</v>
      </c>
      <c r="F247">
        <v>288164.34299999999</v>
      </c>
      <c r="G247">
        <v>0</v>
      </c>
      <c r="L247" t="s">
        <v>8</v>
      </c>
      <c r="M247" t="s">
        <v>7</v>
      </c>
      <c r="N247" t="s">
        <v>7</v>
      </c>
      <c r="P247">
        <f t="shared" si="959"/>
        <v>0.20869171570846376</v>
      </c>
      <c r="Q247">
        <f t="shared" si="960"/>
        <v>60137.511146672237</v>
      </c>
      <c r="R247">
        <f t="shared" si="961"/>
        <v>-22336306.01150801</v>
      </c>
      <c r="S247">
        <f t="shared" si="962"/>
        <v>-223.36306011508012</v>
      </c>
      <c r="T247">
        <f t="shared" si="963"/>
        <v>-0.22336306011508011</v>
      </c>
    </row>
    <row r="248" spans="1:20" x14ac:dyDescent="0.25">
      <c r="A248" s="5">
        <v>44345</v>
      </c>
      <c r="B248">
        <v>16.763999999999999</v>
      </c>
      <c r="C248">
        <v>17.667999999999999</v>
      </c>
      <c r="D248">
        <v>14.44</v>
      </c>
      <c r="E248">
        <v>15.529</v>
      </c>
      <c r="F248">
        <v>443072.837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-0.32527881040892165</v>
      </c>
      <c r="Q248">
        <f t="shared" si="960"/>
        <v>-144122.20534386605</v>
      </c>
      <c r="R248">
        <f t="shared" si="961"/>
        <v>-22396443.522654682</v>
      </c>
      <c r="S248">
        <f t="shared" si="962"/>
        <v>-223.96443522654681</v>
      </c>
      <c r="T248">
        <f t="shared" si="963"/>
        <v>-0.2239644352265468</v>
      </c>
    </row>
    <row r="249" spans="1:20" x14ac:dyDescent="0.25">
      <c r="A249" s="5">
        <v>44344</v>
      </c>
      <c r="B249">
        <v>19.581</v>
      </c>
      <c r="C249">
        <v>19.623999999999999</v>
      </c>
      <c r="D249">
        <v>16.045000000000002</v>
      </c>
      <c r="E249">
        <v>16.763999999999999</v>
      </c>
      <c r="F249">
        <v>917302.223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-0.59821179100307442</v>
      </c>
      <c r="Q249">
        <f t="shared" si="960"/>
        <v>-548741.00571193162</v>
      </c>
      <c r="R249">
        <f t="shared" si="961"/>
        <v>-22252321.317310818</v>
      </c>
      <c r="S249">
        <f t="shared" si="962"/>
        <v>-222.52321317310819</v>
      </c>
      <c r="T249">
        <f t="shared" si="963"/>
        <v>-0.22252321317310819</v>
      </c>
    </row>
    <row r="250" spans="1:20" x14ac:dyDescent="0.25">
      <c r="A250" s="5">
        <v>44343</v>
      </c>
      <c r="B250">
        <v>16.818999999999999</v>
      </c>
      <c r="C250">
        <v>23</v>
      </c>
      <c r="D250">
        <v>15.401</v>
      </c>
      <c r="E250">
        <v>19.643999999999998</v>
      </c>
      <c r="F250">
        <v>1659709.791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0.11672588498486602</v>
      </c>
      <c r="Q250">
        <f t="shared" si="960"/>
        <v>193731.09417252202</v>
      </c>
      <c r="R250">
        <f t="shared" si="961"/>
        <v>-21703580.311598886</v>
      </c>
      <c r="S250">
        <f t="shared" si="962"/>
        <v>-217.03580311598887</v>
      </c>
      <c r="T250">
        <f t="shared" si="963"/>
        <v>-0.21703580311598886</v>
      </c>
    </row>
    <row r="251" spans="1:20" x14ac:dyDescent="0.25">
      <c r="A251" s="5">
        <v>44342</v>
      </c>
      <c r="B251">
        <v>16.510000000000002</v>
      </c>
      <c r="C251">
        <v>17.593</v>
      </c>
      <c r="D251">
        <v>15.759</v>
      </c>
      <c r="E251">
        <v>16.846</v>
      </c>
      <c r="F251">
        <v>603744.28899999999</v>
      </c>
      <c r="G251">
        <v>0</v>
      </c>
      <c r="L251" t="s">
        <v>8</v>
      </c>
      <c r="M251" t="s">
        <v>7</v>
      </c>
      <c r="N251" t="s">
        <v>8</v>
      </c>
      <c r="P251">
        <f t="shared" si="959"/>
        <v>0.18538713195201742</v>
      </c>
      <c r="Q251">
        <f t="shared" si="960"/>
        <v>111926.42217011994</v>
      </c>
      <c r="R251">
        <f t="shared" si="961"/>
        <v>-21897311.405771408</v>
      </c>
      <c r="S251">
        <f t="shared" si="962"/>
        <v>-218.97311405771407</v>
      </c>
      <c r="T251">
        <f t="shared" si="963"/>
        <v>-0.21897311405771408</v>
      </c>
    </row>
    <row r="252" spans="1:20" x14ac:dyDescent="0.25">
      <c r="A252" s="5">
        <v>44341</v>
      </c>
      <c r="B252">
        <v>17.555</v>
      </c>
      <c r="C252">
        <v>18</v>
      </c>
      <c r="D252">
        <v>14.701000000000001</v>
      </c>
      <c r="E252">
        <v>16.417000000000002</v>
      </c>
      <c r="F252">
        <v>887803.39800000004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4.0315247044559771E-2</v>
      </c>
      <c r="Q252">
        <f t="shared" si="960"/>
        <v>35792.013317369623</v>
      </c>
      <c r="R252">
        <f t="shared" si="961"/>
        <v>-22009237.827941529</v>
      </c>
      <c r="S252">
        <f t="shared" si="962"/>
        <v>-220.0923782794153</v>
      </c>
      <c r="T252">
        <f t="shared" si="963"/>
        <v>-0.2200923782794153</v>
      </c>
    </row>
    <row r="253" spans="1:20" x14ac:dyDescent="0.25">
      <c r="A253" s="5">
        <v>44340</v>
      </c>
      <c r="B253">
        <v>16.013999999999999</v>
      </c>
      <c r="C253">
        <v>20</v>
      </c>
      <c r="D253">
        <v>14.680999999999999</v>
      </c>
      <c r="E253">
        <v>17.559000000000001</v>
      </c>
      <c r="F253">
        <v>1531847.395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8.2158300432412651E-2</v>
      </c>
      <c r="Q253">
        <f t="shared" si="960"/>
        <v>125853.97849501869</v>
      </c>
      <c r="R253">
        <f t="shared" si="961"/>
        <v>-22045029.841258898</v>
      </c>
      <c r="S253">
        <f t="shared" si="962"/>
        <v>-220.45029841258898</v>
      </c>
      <c r="T253">
        <f t="shared" si="963"/>
        <v>-0.22045029841258898</v>
      </c>
    </row>
    <row r="254" spans="1:20" x14ac:dyDescent="0.25">
      <c r="A254" s="5">
        <v>44339</v>
      </c>
      <c r="B254">
        <v>31.321000000000002</v>
      </c>
      <c r="C254">
        <v>32.146999999999998</v>
      </c>
      <c r="D254">
        <v>12.301</v>
      </c>
      <c r="E254">
        <v>16.001000000000001</v>
      </c>
      <c r="F254">
        <v>2104636.1639999999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-0.62712889247203463</v>
      </c>
      <c r="Q254">
        <f t="shared" si="960"/>
        <v>-1319878.1465859113</v>
      </c>
      <c r="R254">
        <f t="shared" si="961"/>
        <v>-22170883.819753919</v>
      </c>
      <c r="S254">
        <f t="shared" si="962"/>
        <v>-221.70883819753919</v>
      </c>
      <c r="T254">
        <f t="shared" si="963"/>
        <v>-0.2217088381975392</v>
      </c>
    </row>
    <row r="255" spans="1:20" x14ac:dyDescent="0.25">
      <c r="A255" s="5">
        <v>44338</v>
      </c>
      <c r="B255">
        <v>36.491999999999997</v>
      </c>
      <c r="C255">
        <v>36.747999999999998</v>
      </c>
      <c r="D255">
        <v>29.26</v>
      </c>
      <c r="E255">
        <v>31.32</v>
      </c>
      <c r="F255">
        <v>975822.446</v>
      </c>
      <c r="G255">
        <v>0</v>
      </c>
      <c r="L255" t="s">
        <v>7</v>
      </c>
      <c r="M255" t="s">
        <v>7</v>
      </c>
      <c r="N255" t="s">
        <v>8</v>
      </c>
      <c r="P255">
        <f t="shared" si="959"/>
        <v>-0.44978632478632485</v>
      </c>
      <c r="Q255">
        <f t="shared" si="960"/>
        <v>-438911.59163034195</v>
      </c>
      <c r="R255">
        <f t="shared" si="961"/>
        <v>-20851005.673168007</v>
      </c>
      <c r="S255">
        <f t="shared" si="962"/>
        <v>-208.51005673168007</v>
      </c>
      <c r="T255">
        <f t="shared" si="963"/>
        <v>-0.20851005673168008</v>
      </c>
    </row>
    <row r="256" spans="1:20" x14ac:dyDescent="0.25">
      <c r="A256" s="5">
        <v>44337</v>
      </c>
      <c r="B256">
        <v>28.971</v>
      </c>
      <c r="C256">
        <v>39.799999999999997</v>
      </c>
      <c r="D256">
        <v>27.5</v>
      </c>
      <c r="E256">
        <v>36.715000000000003</v>
      </c>
      <c r="F256">
        <v>1475734.4650000001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0.49837398373983832</v>
      </c>
      <c r="Q256">
        <f t="shared" si="960"/>
        <v>735467.66426422901</v>
      </c>
      <c r="R256">
        <f t="shared" si="961"/>
        <v>-20412094.081537664</v>
      </c>
      <c r="S256">
        <f t="shared" si="962"/>
        <v>-204.12094081537663</v>
      </c>
      <c r="T256">
        <f t="shared" si="963"/>
        <v>-0.20412094081537663</v>
      </c>
    </row>
    <row r="257" spans="1:20" x14ac:dyDescent="0.25">
      <c r="A257" s="5">
        <v>44336</v>
      </c>
      <c r="B257">
        <v>25.367999999999999</v>
      </c>
      <c r="C257">
        <v>32.216999999999999</v>
      </c>
      <c r="D257">
        <v>23.126000000000001</v>
      </c>
      <c r="E257">
        <v>28.876000000000001</v>
      </c>
      <c r="F257">
        <v>880191.00899999996</v>
      </c>
      <c r="G257">
        <v>0</v>
      </c>
      <c r="L257" t="s">
        <v>7</v>
      </c>
      <c r="M257" t="s">
        <v>7</v>
      </c>
      <c r="N257" t="s">
        <v>7</v>
      </c>
      <c r="P257">
        <f t="shared" si="959"/>
        <v>0.2649873501264991</v>
      </c>
      <c r="Q257">
        <f t="shared" si="960"/>
        <v>233239.48308007952</v>
      </c>
      <c r="R257">
        <f t="shared" si="961"/>
        <v>-21147561.745801892</v>
      </c>
      <c r="S257">
        <f t="shared" si="962"/>
        <v>-211.47561745801892</v>
      </c>
      <c r="T257">
        <f t="shared" si="963"/>
        <v>-0.21147561745801891</v>
      </c>
    </row>
    <row r="258" spans="1:20" x14ac:dyDescent="0.25">
      <c r="A258" s="5">
        <v>44335</v>
      </c>
      <c r="B258">
        <v>42.930999999999997</v>
      </c>
      <c r="C258">
        <v>44.875999999999998</v>
      </c>
      <c r="D258">
        <v>25.2</v>
      </c>
      <c r="E258">
        <v>25.37</v>
      </c>
      <c r="F258">
        <v>1452450.0379999999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-0.98272006505387255</v>
      </c>
      <c r="Q258">
        <f t="shared" si="960"/>
        <v>-1427351.7958308596</v>
      </c>
      <c r="R258">
        <f t="shared" si="961"/>
        <v>-21380801.22888197</v>
      </c>
      <c r="S258">
        <f t="shared" si="962"/>
        <v>-213.8080122888197</v>
      </c>
      <c r="T258">
        <f t="shared" si="963"/>
        <v>-0.21380801228881971</v>
      </c>
    </row>
    <row r="259" spans="1:20" x14ac:dyDescent="0.25">
      <c r="A259" s="5">
        <v>44334</v>
      </c>
      <c r="B259">
        <v>35.825000000000003</v>
      </c>
      <c r="C259">
        <v>44.95</v>
      </c>
      <c r="D259">
        <v>35.200000000000003</v>
      </c>
      <c r="E259">
        <v>43.021000000000001</v>
      </c>
      <c r="F259">
        <v>1633230.21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0.60430769230769188</v>
      </c>
      <c r="Q259">
        <f t="shared" si="960"/>
        <v>986973.579212307</v>
      </c>
      <c r="R259">
        <f t="shared" si="961"/>
        <v>-19953449.433051109</v>
      </c>
      <c r="S259">
        <f t="shared" si="962"/>
        <v>-199.53449433051108</v>
      </c>
      <c r="T259">
        <f t="shared" si="963"/>
        <v>-0.19953449433051107</v>
      </c>
    </row>
    <row r="260" spans="1:20" x14ac:dyDescent="0.25">
      <c r="A260" s="5">
        <v>44333</v>
      </c>
      <c r="B260">
        <v>32.356999999999999</v>
      </c>
      <c r="C260">
        <v>35.880000000000003</v>
      </c>
      <c r="D260">
        <v>27.771999999999998</v>
      </c>
      <c r="E260">
        <v>35.880000000000003</v>
      </c>
      <c r="F260">
        <v>757302.89399999997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1</v>
      </c>
      <c r="Q260">
        <f t="shared" si="960"/>
        <v>757302.89399999997</v>
      </c>
      <c r="R260">
        <f t="shared" si="961"/>
        <v>-20940423.012263417</v>
      </c>
      <c r="S260">
        <f t="shared" si="962"/>
        <v>-209.40423012263417</v>
      </c>
      <c r="T260">
        <f t="shared" si="963"/>
        <v>-0.20940423012263418</v>
      </c>
    </row>
    <row r="261" spans="1:20" x14ac:dyDescent="0.25">
      <c r="A261" s="5">
        <v>44332</v>
      </c>
      <c r="B261">
        <v>33.412999999999997</v>
      </c>
      <c r="C261">
        <v>39.478999999999999</v>
      </c>
      <c r="D261">
        <v>31.024999999999999</v>
      </c>
      <c r="E261">
        <v>32.356000000000002</v>
      </c>
      <c r="F261">
        <v>2149483.821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-0.6851194700733374</v>
      </c>
      <c r="Q261">
        <f t="shared" si="960"/>
        <v>-1472653.2163747323</v>
      </c>
      <c r="R261">
        <f t="shared" si="961"/>
        <v>-21697725.906263418</v>
      </c>
      <c r="S261">
        <f t="shared" si="962"/>
        <v>-216.97725906263418</v>
      </c>
      <c r="T261">
        <f t="shared" si="963"/>
        <v>-0.21697725906263418</v>
      </c>
    </row>
    <row r="262" spans="1:20" x14ac:dyDescent="0.25">
      <c r="A262" s="5">
        <v>44331</v>
      </c>
      <c r="B262">
        <v>29.119</v>
      </c>
      <c r="C262">
        <v>41</v>
      </c>
      <c r="D262">
        <v>28.606999999999999</v>
      </c>
      <c r="E262">
        <v>33.412999999999997</v>
      </c>
      <c r="F262">
        <v>2657519.352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-0.22440087145969545</v>
      </c>
      <c r="Q262">
        <f t="shared" ref="Q262:Q325" si="965">F262*P262</f>
        <v>-596349.6585098051</v>
      </c>
      <c r="R262">
        <f t="shared" ref="R262:R325" si="966">R263+Q262</f>
        <v>-20225072.689888686</v>
      </c>
      <c r="S262">
        <f t="shared" ref="S262:S325" si="967">R262/100000</f>
        <v>-202.25072689888685</v>
      </c>
      <c r="T262">
        <f t="shared" ref="T262:T325" si="968">S262/1000</f>
        <v>-0.20225072689888685</v>
      </c>
    </row>
    <row r="263" spans="1:20" x14ac:dyDescent="0.25">
      <c r="A263" s="5">
        <v>44330</v>
      </c>
      <c r="B263">
        <v>27.352</v>
      </c>
      <c r="C263">
        <v>29.933</v>
      </c>
      <c r="D263">
        <v>26.536999999999999</v>
      </c>
      <c r="E263">
        <v>29.163</v>
      </c>
      <c r="F263">
        <v>489322.41499999998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0.54652532391048325</v>
      </c>
      <c r="Q263">
        <f t="shared" si="965"/>
        <v>267427.0913545349</v>
      </c>
      <c r="R263">
        <f t="shared" si="966"/>
        <v>-19628723.03137888</v>
      </c>
      <c r="S263">
        <f t="shared" si="967"/>
        <v>-196.2872303137888</v>
      </c>
      <c r="T263">
        <f t="shared" si="968"/>
        <v>-0.19628723031378881</v>
      </c>
    </row>
    <row r="264" spans="1:20" x14ac:dyDescent="0.25">
      <c r="A264" s="5">
        <v>44329</v>
      </c>
      <c r="B264">
        <v>26.187999999999999</v>
      </c>
      <c r="C264">
        <v>35</v>
      </c>
      <c r="D264">
        <v>26.154</v>
      </c>
      <c r="E264">
        <v>27.346</v>
      </c>
      <c r="F264">
        <v>1237616.5120000001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-0.73049966086366713</v>
      </c>
      <c r="Q264">
        <f t="shared" si="965"/>
        <v>-904078.4422952747</v>
      </c>
      <c r="R264">
        <f t="shared" si="966"/>
        <v>-19896150.122733414</v>
      </c>
      <c r="S264">
        <f t="shared" si="967"/>
        <v>-198.96150122733414</v>
      </c>
      <c r="T264">
        <f t="shared" si="968"/>
        <v>-0.19896150122733414</v>
      </c>
    </row>
    <row r="265" spans="1:20" x14ac:dyDescent="0.25">
      <c r="A265" s="5">
        <v>44328</v>
      </c>
      <c r="B265">
        <v>28.209</v>
      </c>
      <c r="C265">
        <v>36.299999999999997</v>
      </c>
      <c r="D265">
        <v>26</v>
      </c>
      <c r="E265">
        <v>26.134</v>
      </c>
      <c r="F265">
        <v>1328709.608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-0.97398058252427178</v>
      </c>
      <c r="Q265">
        <f t="shared" si="965"/>
        <v>-1294137.3580054368</v>
      </c>
      <c r="R265">
        <f t="shared" si="966"/>
        <v>-18992071.680438139</v>
      </c>
      <c r="S265">
        <f t="shared" si="967"/>
        <v>-189.92071680438139</v>
      </c>
      <c r="T265">
        <f t="shared" si="968"/>
        <v>-0.18992071680438138</v>
      </c>
    </row>
    <row r="266" spans="1:20" x14ac:dyDescent="0.25">
      <c r="A266" s="5">
        <v>44327</v>
      </c>
      <c r="B266">
        <v>28.667000000000002</v>
      </c>
      <c r="C266">
        <v>30.928999999999998</v>
      </c>
      <c r="D266">
        <v>26.411999999999999</v>
      </c>
      <c r="E266">
        <v>28.21</v>
      </c>
      <c r="F266">
        <v>464993.23599999998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-0.20389639141022714</v>
      </c>
      <c r="Q266">
        <f t="shared" si="965"/>
        <v>-94810.442850564112</v>
      </c>
      <c r="R266">
        <f t="shared" si="966"/>
        <v>-17697934.322432701</v>
      </c>
      <c r="S266">
        <f t="shared" si="967"/>
        <v>-176.97934322432701</v>
      </c>
      <c r="T266">
        <f t="shared" si="968"/>
        <v>-0.17697934322432701</v>
      </c>
    </row>
    <row r="267" spans="1:20" x14ac:dyDescent="0.25">
      <c r="A267" s="5">
        <v>44326</v>
      </c>
      <c r="B267">
        <v>29.399000000000001</v>
      </c>
      <c r="C267">
        <v>33.5</v>
      </c>
      <c r="D267">
        <v>25.957999999999998</v>
      </c>
      <c r="E267">
        <v>28.675000000000001</v>
      </c>
      <c r="F267">
        <v>738061.91099999996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-0.27950145849907143</v>
      </c>
      <c r="Q267">
        <f t="shared" si="965"/>
        <v>-206289.38058711184</v>
      </c>
      <c r="R267">
        <f t="shared" si="966"/>
        <v>-17603123.879582137</v>
      </c>
      <c r="S267">
        <f t="shared" si="967"/>
        <v>-176.03123879582137</v>
      </c>
      <c r="T267">
        <f t="shared" si="968"/>
        <v>-0.17603123879582136</v>
      </c>
    </row>
    <row r="268" spans="1:20" x14ac:dyDescent="0.25">
      <c r="A268" s="5">
        <v>44325</v>
      </c>
      <c r="B268">
        <v>32.072000000000003</v>
      </c>
      <c r="C268">
        <v>32.286000000000001</v>
      </c>
      <c r="D268">
        <v>29.204000000000001</v>
      </c>
      <c r="E268">
        <v>29.399000000000001</v>
      </c>
      <c r="F268">
        <v>312230.777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-0.87345879299156381</v>
      </c>
      <c r="Q268">
        <f t="shared" si="965"/>
        <v>-272720.71761323814</v>
      </c>
      <c r="R268">
        <f t="shared" si="966"/>
        <v>-17396834.498995025</v>
      </c>
      <c r="S268">
        <f t="shared" si="967"/>
        <v>-173.96834498995025</v>
      </c>
      <c r="T268">
        <f t="shared" si="968"/>
        <v>-0.17396834498995026</v>
      </c>
    </row>
    <row r="269" spans="1:20" x14ac:dyDescent="0.25">
      <c r="A269" s="5">
        <v>44324</v>
      </c>
      <c r="B269">
        <v>32.109000000000002</v>
      </c>
      <c r="C269">
        <v>34.89</v>
      </c>
      <c r="D269">
        <v>31.59</v>
      </c>
      <c r="E269">
        <v>32.073</v>
      </c>
      <c r="F269">
        <v>389046.95899999997</v>
      </c>
      <c r="G269">
        <v>0</v>
      </c>
      <c r="L269" t="s">
        <v>8</v>
      </c>
      <c r="M269" t="s">
        <v>7</v>
      </c>
      <c r="N269" t="s">
        <v>7</v>
      </c>
      <c r="P269">
        <f t="shared" si="964"/>
        <v>-0.70727272727272705</v>
      </c>
      <c r="Q269">
        <f t="shared" si="965"/>
        <v>-275162.30372909078</v>
      </c>
      <c r="R269">
        <f t="shared" si="966"/>
        <v>-17124113.781381786</v>
      </c>
      <c r="S269">
        <f t="shared" si="967"/>
        <v>-171.24113781381786</v>
      </c>
      <c r="T269">
        <f t="shared" si="968"/>
        <v>-0.17124113781381786</v>
      </c>
    </row>
    <row r="270" spans="1:20" x14ac:dyDescent="0.25">
      <c r="A270" s="5">
        <v>44323</v>
      </c>
      <c r="B270">
        <v>32.762999999999998</v>
      </c>
      <c r="C270">
        <v>34.988</v>
      </c>
      <c r="D270">
        <v>31.42</v>
      </c>
      <c r="E270">
        <v>32.137</v>
      </c>
      <c r="F270">
        <v>331080.30800000002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-0.59809417040358792</v>
      </c>
      <c r="Q270">
        <f t="shared" si="965"/>
        <v>-198017.20215022439</v>
      </c>
      <c r="R270">
        <f t="shared" si="966"/>
        <v>-16848951.477652695</v>
      </c>
      <c r="S270">
        <f t="shared" si="967"/>
        <v>-168.48951477652696</v>
      </c>
      <c r="T270">
        <f t="shared" si="968"/>
        <v>-0.16848951477652696</v>
      </c>
    </row>
    <row r="271" spans="1:20" x14ac:dyDescent="0.25">
      <c r="A271" s="5">
        <v>44322</v>
      </c>
      <c r="B271">
        <v>34.524999999999999</v>
      </c>
      <c r="C271">
        <v>36</v>
      </c>
      <c r="D271">
        <v>32.401000000000003</v>
      </c>
      <c r="E271">
        <v>32.76</v>
      </c>
      <c r="F271">
        <v>308263.40500000003</v>
      </c>
      <c r="G271">
        <v>0</v>
      </c>
      <c r="L271" t="s">
        <v>8</v>
      </c>
      <c r="M271" t="s">
        <v>7</v>
      </c>
      <c r="N271" t="s">
        <v>7</v>
      </c>
      <c r="P271">
        <f t="shared" si="964"/>
        <v>-0.80050013892748262</v>
      </c>
      <c r="Q271">
        <f t="shared" si="965"/>
        <v>-246764.89852875887</v>
      </c>
      <c r="R271">
        <f t="shared" si="966"/>
        <v>-16650934.275502471</v>
      </c>
      <c r="S271">
        <f t="shared" si="967"/>
        <v>-166.5093427550247</v>
      </c>
      <c r="T271">
        <f t="shared" si="968"/>
        <v>-0.16650934275502471</v>
      </c>
    </row>
    <row r="272" spans="1:20" x14ac:dyDescent="0.25">
      <c r="A272" s="5">
        <v>44321</v>
      </c>
      <c r="B272">
        <v>32.762999999999998</v>
      </c>
      <c r="C272">
        <v>37.200000000000003</v>
      </c>
      <c r="D272">
        <v>32.070999999999998</v>
      </c>
      <c r="E272">
        <v>34.511000000000003</v>
      </c>
      <c r="F272">
        <v>715941.59400000004</v>
      </c>
      <c r="G272">
        <v>0</v>
      </c>
      <c r="L272" t="s">
        <v>7</v>
      </c>
      <c r="M272" t="s">
        <v>7</v>
      </c>
      <c r="N272" t="s">
        <v>7</v>
      </c>
      <c r="P272">
        <f t="shared" si="964"/>
        <v>-4.854747514135211E-2</v>
      </c>
      <c r="Q272">
        <f t="shared" si="965"/>
        <v>-34757.156737375008</v>
      </c>
      <c r="R272">
        <f t="shared" si="966"/>
        <v>-16404169.376973713</v>
      </c>
      <c r="S272">
        <f t="shared" si="967"/>
        <v>-164.04169376973712</v>
      </c>
      <c r="T272">
        <f t="shared" si="968"/>
        <v>-0.16404169376973712</v>
      </c>
    </row>
    <row r="273" spans="1:20" x14ac:dyDescent="0.25">
      <c r="A273" s="5">
        <v>44320</v>
      </c>
      <c r="B273">
        <v>39.892000000000003</v>
      </c>
      <c r="C273">
        <v>41.82</v>
      </c>
      <c r="D273">
        <v>32.670999999999999</v>
      </c>
      <c r="E273">
        <v>32.761000000000003</v>
      </c>
      <c r="F273">
        <v>1373751.3959999999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-0.98032571865777607</v>
      </c>
      <c r="Q273">
        <f t="shared" si="965"/>
        <v>-1346723.824540823</v>
      </c>
      <c r="R273">
        <f t="shared" si="966"/>
        <v>-16369412.220236339</v>
      </c>
      <c r="S273">
        <f t="shared" si="967"/>
        <v>-163.69412220236339</v>
      </c>
      <c r="T273">
        <f t="shared" si="968"/>
        <v>-0.1636941222023634</v>
      </c>
    </row>
    <row r="274" spans="1:20" x14ac:dyDescent="0.25">
      <c r="A274" s="5">
        <v>44319</v>
      </c>
      <c r="B274">
        <v>43.896000000000001</v>
      </c>
      <c r="C274">
        <v>44.2</v>
      </c>
      <c r="D274">
        <v>39.375999999999998</v>
      </c>
      <c r="E274">
        <v>39.892000000000003</v>
      </c>
      <c r="F274">
        <v>539025.48</v>
      </c>
      <c r="G274">
        <v>0</v>
      </c>
      <c r="L274" t="s">
        <v>7</v>
      </c>
      <c r="M274" t="s">
        <v>7</v>
      </c>
      <c r="N274" t="s">
        <v>7</v>
      </c>
      <c r="P274">
        <f t="shared" si="964"/>
        <v>-0.78606965174129151</v>
      </c>
      <c r="Q274">
        <f t="shared" si="965"/>
        <v>-423711.57134328247</v>
      </c>
      <c r="R274">
        <f t="shared" si="966"/>
        <v>-15022688.395695515</v>
      </c>
      <c r="S274">
        <f t="shared" si="967"/>
        <v>-150.22688395695516</v>
      </c>
      <c r="T274">
        <f t="shared" si="968"/>
        <v>-0.15022688395695516</v>
      </c>
    </row>
    <row r="275" spans="1:20" x14ac:dyDescent="0.25">
      <c r="A275" s="5">
        <v>44318</v>
      </c>
      <c r="B275">
        <v>42.982999999999997</v>
      </c>
      <c r="C275">
        <v>44.4</v>
      </c>
      <c r="D275">
        <v>41.94</v>
      </c>
      <c r="E275">
        <v>43.896000000000001</v>
      </c>
      <c r="F275">
        <v>391932.913</v>
      </c>
      <c r="G275">
        <v>0</v>
      </c>
      <c r="L275" t="s">
        <v>7</v>
      </c>
      <c r="M275" t="s">
        <v>8</v>
      </c>
      <c r="N275" t="s">
        <v>7</v>
      </c>
      <c r="P275">
        <f t="shared" si="964"/>
        <v>0.59024390243902636</v>
      </c>
      <c r="Q275">
        <f t="shared" si="965"/>
        <v>231336.0120634154</v>
      </c>
      <c r="R275">
        <f t="shared" si="966"/>
        <v>-14598976.824352233</v>
      </c>
      <c r="S275">
        <f t="shared" si="967"/>
        <v>-145.98976824352232</v>
      </c>
      <c r="T275">
        <f t="shared" si="968"/>
        <v>-0.14598976824352233</v>
      </c>
    </row>
    <row r="276" spans="1:20" x14ac:dyDescent="0.25">
      <c r="A276" s="5">
        <v>44317</v>
      </c>
      <c r="B276">
        <v>43.768000000000001</v>
      </c>
      <c r="C276">
        <v>46.994999999999997</v>
      </c>
      <c r="D276">
        <v>42.662999999999997</v>
      </c>
      <c r="E276">
        <v>43.133000000000003</v>
      </c>
      <c r="F276">
        <v>723249.33600000001</v>
      </c>
      <c r="G276">
        <v>0</v>
      </c>
      <c r="L276" t="s">
        <v>7</v>
      </c>
      <c r="M276" t="s">
        <v>8</v>
      </c>
      <c r="N276" t="s">
        <v>7</v>
      </c>
      <c r="P276">
        <f t="shared" si="964"/>
        <v>-0.78301015697137311</v>
      </c>
      <c r="Q276">
        <f t="shared" si="965"/>
        <v>-566311.57611080143</v>
      </c>
      <c r="R276">
        <f t="shared" si="966"/>
        <v>-14830312.836415648</v>
      </c>
      <c r="S276">
        <f t="shared" si="967"/>
        <v>-148.30312836415649</v>
      </c>
      <c r="T276">
        <f t="shared" si="968"/>
        <v>-0.14830312836415649</v>
      </c>
    </row>
    <row r="277" spans="1:20" x14ac:dyDescent="0.25">
      <c r="A277" s="5">
        <v>44316</v>
      </c>
      <c r="B277">
        <v>44.942999999999998</v>
      </c>
      <c r="C277">
        <v>45.54</v>
      </c>
      <c r="D277">
        <v>43.4</v>
      </c>
      <c r="E277">
        <v>43.741999999999997</v>
      </c>
      <c r="F277">
        <v>394460.04700000002</v>
      </c>
      <c r="G277">
        <v>0</v>
      </c>
      <c r="L277" t="s">
        <v>7</v>
      </c>
      <c r="M277" t="s">
        <v>8</v>
      </c>
      <c r="N277" t="s">
        <v>7</v>
      </c>
      <c r="P277">
        <f t="shared" si="964"/>
        <v>-0.68037383177570221</v>
      </c>
      <c r="Q277">
        <f t="shared" si="965"/>
        <v>-268380.29365981359</v>
      </c>
      <c r="R277">
        <f t="shared" si="966"/>
        <v>-14264001.260304848</v>
      </c>
      <c r="S277">
        <f t="shared" si="967"/>
        <v>-142.64001260304849</v>
      </c>
      <c r="T277">
        <f t="shared" si="968"/>
        <v>-0.14264001260304848</v>
      </c>
    </row>
    <row r="278" spans="1:20" x14ac:dyDescent="0.25">
      <c r="A278" s="5">
        <v>44315</v>
      </c>
      <c r="B278">
        <v>42.988999999999997</v>
      </c>
      <c r="C278">
        <v>47.3</v>
      </c>
      <c r="D278">
        <v>41.948999999999998</v>
      </c>
      <c r="E278">
        <v>44.893000000000001</v>
      </c>
      <c r="F278">
        <v>1036258.907</v>
      </c>
      <c r="G278">
        <v>0</v>
      </c>
      <c r="L278" t="s">
        <v>8</v>
      </c>
      <c r="M278" t="s">
        <v>8</v>
      </c>
      <c r="N278" t="s">
        <v>7</v>
      </c>
      <c r="P278">
        <f t="shared" si="964"/>
        <v>0.10035507381797912</v>
      </c>
      <c r="Q278">
        <f t="shared" si="965"/>
        <v>103993.83910652336</v>
      </c>
      <c r="R278">
        <f t="shared" si="966"/>
        <v>-13995620.966645034</v>
      </c>
      <c r="S278">
        <f t="shared" si="967"/>
        <v>-139.95620966645035</v>
      </c>
      <c r="T278">
        <f t="shared" si="968"/>
        <v>-0.13995620966645034</v>
      </c>
    </row>
    <row r="279" spans="1:20" x14ac:dyDescent="0.25">
      <c r="A279" s="5">
        <v>44314</v>
      </c>
      <c r="B279">
        <v>53.186</v>
      </c>
      <c r="C279">
        <v>56.167999999999999</v>
      </c>
      <c r="D279">
        <v>40.549999999999997</v>
      </c>
      <c r="E279">
        <v>42.921999999999997</v>
      </c>
      <c r="F279">
        <v>2588062.037</v>
      </c>
      <c r="G279">
        <v>0</v>
      </c>
      <c r="L279" t="s">
        <v>7</v>
      </c>
      <c r="M279" t="s">
        <v>7</v>
      </c>
      <c r="N279" t="s">
        <v>7</v>
      </c>
      <c r="P279">
        <f t="shared" si="964"/>
        <v>-0.69624791906774242</v>
      </c>
      <c r="Q279">
        <f t="shared" si="965"/>
        <v>-1801932.8076794725</v>
      </c>
      <c r="R279">
        <f t="shared" si="966"/>
        <v>-14099614.805751557</v>
      </c>
      <c r="S279">
        <f t="shared" si="967"/>
        <v>-140.99614805751557</v>
      </c>
      <c r="T279">
        <f t="shared" si="968"/>
        <v>-0.14099614805751556</v>
      </c>
    </row>
    <row r="280" spans="1:20" x14ac:dyDescent="0.25">
      <c r="A280" s="5">
        <v>44313</v>
      </c>
      <c r="B280">
        <v>56.000999999999998</v>
      </c>
      <c r="C280">
        <v>59</v>
      </c>
      <c r="D280">
        <v>49.923000000000002</v>
      </c>
      <c r="E280">
        <v>53.118000000000002</v>
      </c>
      <c r="F280">
        <v>1244023.1059999999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-0.29602291506004164</v>
      </c>
      <c r="Q280">
        <f t="shared" si="965"/>
        <v>-368259.34624016716</v>
      </c>
      <c r="R280">
        <f t="shared" si="966"/>
        <v>-12297681.998072084</v>
      </c>
      <c r="S280">
        <f t="shared" si="967"/>
        <v>-122.97681998072083</v>
      </c>
      <c r="T280">
        <f t="shared" si="968"/>
        <v>-0.12297681998072084</v>
      </c>
    </row>
    <row r="281" spans="1:20" x14ac:dyDescent="0.25">
      <c r="A281" s="5">
        <v>44312</v>
      </c>
      <c r="B281">
        <v>48.314999999999998</v>
      </c>
      <c r="C281">
        <v>57.8</v>
      </c>
      <c r="D281">
        <v>48.000999999999998</v>
      </c>
      <c r="E281">
        <v>56.033000000000001</v>
      </c>
      <c r="F281">
        <v>1393976.449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0.63935095417899868</v>
      </c>
      <c r="Q281">
        <f t="shared" si="965"/>
        <v>891240.17277120228</v>
      </c>
      <c r="R281">
        <f t="shared" si="966"/>
        <v>-11929422.651831917</v>
      </c>
      <c r="S281">
        <f t="shared" si="967"/>
        <v>-119.29422651831918</v>
      </c>
      <c r="T281">
        <f t="shared" si="968"/>
        <v>-0.11929422651831918</v>
      </c>
    </row>
    <row r="282" spans="1:20" x14ac:dyDescent="0.25">
      <c r="A282" s="5">
        <v>44311</v>
      </c>
      <c r="B282">
        <v>40.533999999999999</v>
      </c>
      <c r="C282">
        <v>51.932000000000002</v>
      </c>
      <c r="D282">
        <v>40.460999999999999</v>
      </c>
      <c r="E282">
        <v>48.317999999999998</v>
      </c>
      <c r="F282">
        <v>2123699.3620000002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0.36988928602562932</v>
      </c>
      <c r="Q282">
        <f t="shared" si="965"/>
        <v>785533.64074326458</v>
      </c>
      <c r="R282">
        <f t="shared" si="966"/>
        <v>-12820662.82460312</v>
      </c>
      <c r="S282">
        <f t="shared" si="967"/>
        <v>-128.20662824603119</v>
      </c>
      <c r="T282">
        <f t="shared" si="968"/>
        <v>-0.12820662824603118</v>
      </c>
    </row>
    <row r="283" spans="1:20" x14ac:dyDescent="0.25">
      <c r="A283" s="5">
        <v>44310</v>
      </c>
      <c r="B283">
        <v>38.787999999999997</v>
      </c>
      <c r="C283">
        <v>41.98</v>
      </c>
      <c r="D283">
        <v>38.25</v>
      </c>
      <c r="E283">
        <v>40.411999999999999</v>
      </c>
      <c r="F283">
        <v>774897.92099999997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0.15924932975871359</v>
      </c>
      <c r="Q283">
        <f t="shared" si="965"/>
        <v>123401.97455067058</v>
      </c>
      <c r="R283">
        <f t="shared" si="966"/>
        <v>-13606196.465346385</v>
      </c>
      <c r="S283">
        <f t="shared" si="967"/>
        <v>-136.06196465346386</v>
      </c>
      <c r="T283">
        <f t="shared" si="968"/>
        <v>-0.13606196465346387</v>
      </c>
    </row>
    <row r="284" spans="1:20" x14ac:dyDescent="0.25">
      <c r="A284" s="5">
        <v>44309</v>
      </c>
      <c r="B284">
        <v>39.436999999999998</v>
      </c>
      <c r="C284">
        <v>43</v>
      </c>
      <c r="D284">
        <v>34.549999999999997</v>
      </c>
      <c r="E284">
        <v>38.753</v>
      </c>
      <c r="F284">
        <v>1493978.6429999999</v>
      </c>
      <c r="G284">
        <v>0</v>
      </c>
      <c r="L284" t="s">
        <v>7</v>
      </c>
      <c r="M284" t="s">
        <v>7</v>
      </c>
      <c r="N284" t="s">
        <v>8</v>
      </c>
      <c r="P284">
        <f t="shared" si="964"/>
        <v>-5.2071005917156115E-3</v>
      </c>
      <c r="Q284">
        <f t="shared" si="965"/>
        <v>-7779.2970759757864</v>
      </c>
      <c r="R284">
        <f t="shared" si="966"/>
        <v>-13729598.439897055</v>
      </c>
      <c r="S284">
        <f t="shared" si="967"/>
        <v>-137.29598439897055</v>
      </c>
      <c r="T284">
        <f t="shared" si="968"/>
        <v>-0.13729598439897053</v>
      </c>
    </row>
    <row r="285" spans="1:20" x14ac:dyDescent="0.25">
      <c r="A285" s="5">
        <v>44308</v>
      </c>
      <c r="B285">
        <v>35.338999999999999</v>
      </c>
      <c r="C285">
        <v>44.454999999999998</v>
      </c>
      <c r="D285">
        <v>34.700000000000003</v>
      </c>
      <c r="E285">
        <v>39.438000000000002</v>
      </c>
      <c r="F285">
        <v>2122929.077</v>
      </c>
      <c r="G285">
        <v>0</v>
      </c>
      <c r="L285" t="s">
        <v>8</v>
      </c>
      <c r="M285" t="s">
        <v>8</v>
      </c>
      <c r="N285" t="s">
        <v>8</v>
      </c>
      <c r="P285">
        <f t="shared" si="964"/>
        <v>-2.8600717580727471E-2</v>
      </c>
      <c r="Q285">
        <f t="shared" si="965"/>
        <v>-60717.294975191442</v>
      </c>
      <c r="R285">
        <f t="shared" si="966"/>
        <v>-13721819.142821079</v>
      </c>
      <c r="S285">
        <f t="shared" si="967"/>
        <v>-137.21819142821079</v>
      </c>
      <c r="T285">
        <f t="shared" si="968"/>
        <v>-0.13721819142821079</v>
      </c>
    </row>
    <row r="286" spans="1:20" x14ac:dyDescent="0.25">
      <c r="A286" s="5">
        <v>44307</v>
      </c>
      <c r="B286">
        <v>34.418999999999997</v>
      </c>
      <c r="C286">
        <v>38.665999999999997</v>
      </c>
      <c r="D286">
        <v>34.027999999999999</v>
      </c>
      <c r="E286">
        <v>35.292999999999999</v>
      </c>
      <c r="F286">
        <v>1108654.166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-0.45450625269512673</v>
      </c>
      <c r="Q286">
        <f t="shared" si="965"/>
        <v>-503890.25052350096</v>
      </c>
      <c r="R286">
        <f t="shared" si="966"/>
        <v>-13661101.847845888</v>
      </c>
      <c r="S286">
        <f t="shared" si="967"/>
        <v>-136.61101847845887</v>
      </c>
      <c r="T286">
        <f t="shared" si="968"/>
        <v>-0.13661101847845888</v>
      </c>
    </row>
    <row r="287" spans="1:20" x14ac:dyDescent="0.25">
      <c r="A287" s="5">
        <v>44306</v>
      </c>
      <c r="B287">
        <v>31.09</v>
      </c>
      <c r="C287">
        <v>37.840000000000003</v>
      </c>
      <c r="D287">
        <v>30.5</v>
      </c>
      <c r="E287">
        <v>34.426000000000002</v>
      </c>
      <c r="F287">
        <v>1428152.1089999999</v>
      </c>
      <c r="G287">
        <v>0</v>
      </c>
      <c r="L287" t="s">
        <v>8</v>
      </c>
      <c r="M287" t="s">
        <v>8</v>
      </c>
      <c r="N287" t="s">
        <v>8</v>
      </c>
      <c r="P287">
        <f t="shared" si="964"/>
        <v>6.9754768392370603E-2</v>
      </c>
      <c r="Q287">
        <f t="shared" si="965"/>
        <v>99620.419592370614</v>
      </c>
      <c r="R287">
        <f t="shared" si="966"/>
        <v>-13157211.597322388</v>
      </c>
      <c r="S287">
        <f t="shared" si="967"/>
        <v>-131.57211597322387</v>
      </c>
      <c r="T287">
        <f t="shared" si="968"/>
        <v>-0.13157211597322388</v>
      </c>
    </row>
    <row r="288" spans="1:20" x14ac:dyDescent="0.25">
      <c r="A288" s="5">
        <v>44305</v>
      </c>
      <c r="B288">
        <v>30.609000000000002</v>
      </c>
      <c r="C288">
        <v>31.899000000000001</v>
      </c>
      <c r="D288">
        <v>30.164999999999999</v>
      </c>
      <c r="E288">
        <v>31.1</v>
      </c>
      <c r="F288">
        <v>603028.05700000003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7.8431372549021133E-2</v>
      </c>
      <c r="Q288">
        <f t="shared" si="965"/>
        <v>47296.318196079352</v>
      </c>
      <c r="R288">
        <f t="shared" si="966"/>
        <v>-13256832.016914759</v>
      </c>
      <c r="S288">
        <f t="shared" si="967"/>
        <v>-132.5683201691476</v>
      </c>
      <c r="T288">
        <f t="shared" si="968"/>
        <v>-0.1325683201691476</v>
      </c>
    </row>
    <row r="289" spans="1:20" x14ac:dyDescent="0.25">
      <c r="A289" s="5">
        <v>44304</v>
      </c>
      <c r="B289">
        <v>31.794</v>
      </c>
      <c r="C289">
        <v>39</v>
      </c>
      <c r="D289">
        <v>28.055</v>
      </c>
      <c r="E289">
        <v>30.61</v>
      </c>
      <c r="F289">
        <v>1826586.6470000001</v>
      </c>
      <c r="G289">
        <v>0</v>
      </c>
      <c r="L289" t="s">
        <v>8</v>
      </c>
      <c r="M289" t="s">
        <v>8</v>
      </c>
      <c r="N289" t="s">
        <v>7</v>
      </c>
      <c r="P289">
        <f t="shared" si="964"/>
        <v>-0.53312014618547288</v>
      </c>
      <c r="Q289">
        <f t="shared" si="965"/>
        <v>-973790.14026907284</v>
      </c>
      <c r="R289">
        <f t="shared" si="966"/>
        <v>-13304128.335110838</v>
      </c>
      <c r="S289">
        <f t="shared" si="967"/>
        <v>-133.04128335110838</v>
      </c>
      <c r="T289">
        <f t="shared" si="968"/>
        <v>-0.13304128335110837</v>
      </c>
    </row>
    <row r="290" spans="1:20" x14ac:dyDescent="0.25">
      <c r="A290" s="5">
        <v>44303</v>
      </c>
      <c r="B290">
        <v>29.658999999999999</v>
      </c>
      <c r="C290">
        <v>33.375</v>
      </c>
      <c r="D290">
        <v>29.265999999999998</v>
      </c>
      <c r="E290">
        <v>31.721</v>
      </c>
      <c r="F290">
        <v>647482.15700000001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0.1949379411048921</v>
      </c>
      <c r="Q290">
        <f t="shared" si="965"/>
        <v>126218.8385877345</v>
      </c>
      <c r="R290">
        <f t="shared" si="966"/>
        <v>-12330338.194841765</v>
      </c>
      <c r="S290">
        <f t="shared" si="967"/>
        <v>-123.30338194841765</v>
      </c>
      <c r="T290">
        <f t="shared" si="968"/>
        <v>-0.12330338194841765</v>
      </c>
    </row>
    <row r="291" spans="1:20" x14ac:dyDescent="0.25">
      <c r="A291" s="5">
        <v>44302</v>
      </c>
      <c r="B291">
        <v>31.631</v>
      </c>
      <c r="C291">
        <v>31.983000000000001</v>
      </c>
      <c r="D291">
        <v>28.3</v>
      </c>
      <c r="E291">
        <v>29.658999999999999</v>
      </c>
      <c r="F291">
        <v>553940.78300000005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-0.26201466196035933</v>
      </c>
      <c r="Q291">
        <f t="shared" si="965"/>
        <v>-145140.60700380176</v>
      </c>
      <c r="R291">
        <f t="shared" si="966"/>
        <v>-12456557.0334295</v>
      </c>
      <c r="S291">
        <f t="shared" si="967"/>
        <v>-124.565570334295</v>
      </c>
      <c r="T291">
        <f t="shared" si="968"/>
        <v>-0.12456557033429501</v>
      </c>
    </row>
    <row r="292" spans="1:20" x14ac:dyDescent="0.25">
      <c r="A292" s="5">
        <v>44301</v>
      </c>
      <c r="B292">
        <v>32.39</v>
      </c>
      <c r="C292">
        <v>34.173000000000002</v>
      </c>
      <c r="D292">
        <v>30</v>
      </c>
      <c r="E292">
        <v>31.635000000000002</v>
      </c>
      <c r="F292">
        <v>599568.54399999999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-0.21639108554996364</v>
      </c>
      <c r="Q292">
        <f t="shared" si="965"/>
        <v>-129741.28809777113</v>
      </c>
      <c r="R292">
        <f t="shared" si="966"/>
        <v>-12311416.426425697</v>
      </c>
      <c r="S292">
        <f t="shared" si="967"/>
        <v>-123.11416426425697</v>
      </c>
      <c r="T292">
        <f t="shared" si="968"/>
        <v>-0.12311416426425698</v>
      </c>
    </row>
    <row r="293" spans="1:20" x14ac:dyDescent="0.25">
      <c r="A293" s="5">
        <v>44300</v>
      </c>
      <c r="B293">
        <v>31.931000000000001</v>
      </c>
      <c r="C293">
        <v>34.89</v>
      </c>
      <c r="D293">
        <v>29.95</v>
      </c>
      <c r="E293">
        <v>32.389000000000003</v>
      </c>
      <c r="F293">
        <v>1214253.493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-1.2550607287448187E-2</v>
      </c>
      <c r="Q293">
        <f t="shared" si="965"/>
        <v>-15239.618738055216</v>
      </c>
      <c r="R293">
        <f t="shared" si="966"/>
        <v>-12181675.138327926</v>
      </c>
      <c r="S293">
        <f t="shared" si="967"/>
        <v>-121.81675138327927</v>
      </c>
      <c r="T293">
        <f t="shared" si="968"/>
        <v>-0.12181675138327927</v>
      </c>
    </row>
    <row r="294" spans="1:20" x14ac:dyDescent="0.25">
      <c r="A294" s="5">
        <v>44299</v>
      </c>
      <c r="B294">
        <v>35.378</v>
      </c>
      <c r="C294">
        <v>47.27</v>
      </c>
      <c r="D294">
        <v>31.623000000000001</v>
      </c>
      <c r="E294">
        <v>31.827999999999999</v>
      </c>
      <c r="F294">
        <v>4093958.9750000001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-0.97379689397328584</v>
      </c>
      <c r="Q294">
        <f t="shared" si="965"/>
        <v>-3986684.5339090573</v>
      </c>
      <c r="R294">
        <f t="shared" si="966"/>
        <v>-12166435.519589871</v>
      </c>
      <c r="S294">
        <f t="shared" si="967"/>
        <v>-121.66435519589871</v>
      </c>
      <c r="T294">
        <f t="shared" si="968"/>
        <v>-0.1216643551958987</v>
      </c>
    </row>
    <row r="295" spans="1:20" x14ac:dyDescent="0.25">
      <c r="A295" s="5">
        <v>44298</v>
      </c>
      <c r="B295">
        <v>29.824999999999999</v>
      </c>
      <c r="C295">
        <v>38.479999999999997</v>
      </c>
      <c r="D295">
        <v>28.724</v>
      </c>
      <c r="E295">
        <v>35.439</v>
      </c>
      <c r="F295">
        <v>2436547.4950000001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0.37658876588765933</v>
      </c>
      <c r="Q295">
        <f t="shared" si="965"/>
        <v>917576.41416871781</v>
      </c>
      <c r="R295">
        <f t="shared" si="966"/>
        <v>-8179750.985680813</v>
      </c>
      <c r="S295">
        <f t="shared" si="967"/>
        <v>-81.797509856808134</v>
      </c>
      <c r="T295">
        <f t="shared" si="968"/>
        <v>-8.1797509856808129E-2</v>
      </c>
    </row>
    <row r="296" spans="1:20" x14ac:dyDescent="0.25">
      <c r="A296" s="5">
        <v>44297</v>
      </c>
      <c r="B296">
        <v>25.314</v>
      </c>
      <c r="C296">
        <v>29.975000000000001</v>
      </c>
      <c r="D296">
        <v>25.25</v>
      </c>
      <c r="E296">
        <v>29.713999999999999</v>
      </c>
      <c r="F296">
        <v>661485.81000000006</v>
      </c>
      <c r="G296">
        <v>0</v>
      </c>
      <c r="L296" t="s">
        <v>8</v>
      </c>
      <c r="M296" t="s">
        <v>8</v>
      </c>
      <c r="N296" t="s">
        <v>7</v>
      </c>
      <c r="P296">
        <f t="shared" si="964"/>
        <v>0.88952380952380838</v>
      </c>
      <c r="Q296">
        <f t="shared" si="965"/>
        <v>588407.37765714212</v>
      </c>
      <c r="R296">
        <f t="shared" si="966"/>
        <v>-9097327.3998495303</v>
      </c>
      <c r="S296">
        <f t="shared" si="967"/>
        <v>-90.973273998495301</v>
      </c>
      <c r="T296">
        <f t="shared" si="968"/>
        <v>-9.0973273998495308E-2</v>
      </c>
    </row>
    <row r="297" spans="1:20" x14ac:dyDescent="0.25">
      <c r="A297" s="5">
        <v>44296</v>
      </c>
      <c r="B297">
        <v>25.788</v>
      </c>
      <c r="C297">
        <v>28.077000000000002</v>
      </c>
      <c r="D297">
        <v>24.594999999999999</v>
      </c>
      <c r="E297">
        <v>25.277999999999999</v>
      </c>
      <c r="F297">
        <v>547880.57900000003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-0.6076967260195294</v>
      </c>
      <c r="Q297">
        <f t="shared" si="965"/>
        <v>-332945.23410798417</v>
      </c>
      <c r="R297">
        <f t="shared" si="966"/>
        <v>-9685734.7775066718</v>
      </c>
      <c r="S297">
        <f t="shared" si="967"/>
        <v>-96.857347775066714</v>
      </c>
      <c r="T297">
        <f t="shared" si="968"/>
        <v>-9.6857347775066716E-2</v>
      </c>
    </row>
    <row r="298" spans="1:20" x14ac:dyDescent="0.25">
      <c r="A298" s="5">
        <v>44295</v>
      </c>
      <c r="B298">
        <v>25.036999999999999</v>
      </c>
      <c r="C298">
        <v>27.98</v>
      </c>
      <c r="D298">
        <v>24.16</v>
      </c>
      <c r="E298">
        <v>25.901</v>
      </c>
      <c r="F298">
        <v>638050.86100000003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-8.8481675392670406E-2</v>
      </c>
      <c r="Q298">
        <f t="shared" si="965"/>
        <v>-56455.809167015868</v>
      </c>
      <c r="R298">
        <f t="shared" si="966"/>
        <v>-9352789.5433986876</v>
      </c>
      <c r="S298">
        <f t="shared" si="967"/>
        <v>-93.52789543398687</v>
      </c>
      <c r="T298">
        <f t="shared" si="968"/>
        <v>-9.3527895433986874E-2</v>
      </c>
    </row>
    <row r="299" spans="1:20" x14ac:dyDescent="0.25">
      <c r="A299" s="5">
        <v>44294</v>
      </c>
      <c r="B299">
        <v>27.105</v>
      </c>
      <c r="C299">
        <v>29.856999999999999</v>
      </c>
      <c r="D299">
        <v>23.213999999999999</v>
      </c>
      <c r="E299">
        <v>25.001000000000001</v>
      </c>
      <c r="F299">
        <v>1249772.3899999999</v>
      </c>
      <c r="G299">
        <v>0</v>
      </c>
      <c r="L299" t="s">
        <v>7</v>
      </c>
      <c r="M299" t="s">
        <v>7</v>
      </c>
      <c r="N299" t="s">
        <v>7</v>
      </c>
      <c r="P299">
        <f t="shared" si="964"/>
        <v>-0.46199006472979004</v>
      </c>
      <c r="Q299">
        <f t="shared" si="965"/>
        <v>-577382.42735360435</v>
      </c>
      <c r="R299">
        <f t="shared" si="966"/>
        <v>-9296333.7342316713</v>
      </c>
      <c r="S299">
        <f t="shared" si="967"/>
        <v>-92.96333734231672</v>
      </c>
      <c r="T299">
        <f t="shared" si="968"/>
        <v>-9.2963337342316724E-2</v>
      </c>
    </row>
    <row r="300" spans="1:20" x14ac:dyDescent="0.25">
      <c r="A300" s="5">
        <v>44293</v>
      </c>
      <c r="B300">
        <v>23.071000000000002</v>
      </c>
      <c r="C300">
        <v>39.451999999999998</v>
      </c>
      <c r="D300">
        <v>21.707999999999998</v>
      </c>
      <c r="E300">
        <v>27.251000000000001</v>
      </c>
      <c r="F300">
        <v>5694584.9419999998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-0.37522542831379591</v>
      </c>
      <c r="Q300">
        <f t="shared" si="965"/>
        <v>-2136753.0739312423</v>
      </c>
      <c r="R300">
        <f t="shared" si="966"/>
        <v>-8718951.3068780676</v>
      </c>
      <c r="S300">
        <f t="shared" si="967"/>
        <v>-87.18951306878067</v>
      </c>
      <c r="T300">
        <f t="shared" si="968"/>
        <v>-8.7189513068780672E-2</v>
      </c>
    </row>
    <row r="301" spans="1:20" x14ac:dyDescent="0.25">
      <c r="A301" s="5">
        <v>44292</v>
      </c>
      <c r="B301">
        <v>17.603000000000002</v>
      </c>
      <c r="C301">
        <v>28.7</v>
      </c>
      <c r="D301">
        <v>17.523</v>
      </c>
      <c r="E301">
        <v>23.02</v>
      </c>
      <c r="F301">
        <v>1506046.9950000001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-1.6372908651695432E-2</v>
      </c>
      <c r="Q301">
        <f t="shared" si="965"/>
        <v>-24658.369874295407</v>
      </c>
      <c r="R301">
        <f t="shared" si="966"/>
        <v>-6582198.2329468252</v>
      </c>
      <c r="S301">
        <f t="shared" si="967"/>
        <v>-65.821982329468256</v>
      </c>
      <c r="T301">
        <f t="shared" si="968"/>
        <v>-6.5821982329468259E-2</v>
      </c>
    </row>
    <row r="302" spans="1:20" x14ac:dyDescent="0.25">
      <c r="A302" s="5">
        <v>44291</v>
      </c>
      <c r="B302">
        <v>17.919</v>
      </c>
      <c r="C302">
        <v>18.18</v>
      </c>
      <c r="D302">
        <v>17.172000000000001</v>
      </c>
      <c r="E302">
        <v>17.603999999999999</v>
      </c>
      <c r="F302">
        <v>107705.24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-0.14285714285714488</v>
      </c>
      <c r="Q302">
        <f t="shared" si="965"/>
        <v>-15386.462857143075</v>
      </c>
      <c r="R302">
        <f t="shared" si="966"/>
        <v>-6557539.8630725294</v>
      </c>
      <c r="S302">
        <f t="shared" si="967"/>
        <v>-65.575398630725289</v>
      </c>
      <c r="T302">
        <f t="shared" si="968"/>
        <v>-6.5575398630725285E-2</v>
      </c>
    </row>
    <row r="303" spans="1:20" x14ac:dyDescent="0.25">
      <c r="A303" s="5">
        <v>44290</v>
      </c>
      <c r="B303">
        <v>17.166</v>
      </c>
      <c r="C303">
        <v>18.3</v>
      </c>
      <c r="D303">
        <v>17.03</v>
      </c>
      <c r="E303">
        <v>17.983000000000001</v>
      </c>
      <c r="F303">
        <v>114553.09699999999</v>
      </c>
      <c r="G303">
        <v>0</v>
      </c>
      <c r="L303" t="s">
        <v>7</v>
      </c>
      <c r="M303" t="s">
        <v>7</v>
      </c>
      <c r="N303" t="s">
        <v>7</v>
      </c>
      <c r="P303">
        <f t="shared" si="964"/>
        <v>0.50078740157480273</v>
      </c>
      <c r="Q303">
        <f t="shared" si="965"/>
        <v>57366.747788976325</v>
      </c>
      <c r="R303">
        <f t="shared" si="966"/>
        <v>-6542153.4002153864</v>
      </c>
      <c r="S303">
        <f t="shared" si="967"/>
        <v>-65.421534002153862</v>
      </c>
      <c r="T303">
        <f t="shared" si="968"/>
        <v>-6.5421534002153864E-2</v>
      </c>
    </row>
    <row r="304" spans="1:20" x14ac:dyDescent="0.25">
      <c r="A304" s="5">
        <v>44289</v>
      </c>
      <c r="B304">
        <v>18.18</v>
      </c>
      <c r="C304">
        <v>18.89</v>
      </c>
      <c r="D304">
        <v>17.145</v>
      </c>
      <c r="E304">
        <v>17.184000000000001</v>
      </c>
      <c r="F304">
        <v>140717.99600000001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-0.95530085959885225</v>
      </c>
      <c r="Q304">
        <f t="shared" si="965"/>
        <v>-134428.02253982786</v>
      </c>
      <c r="R304">
        <f t="shared" si="966"/>
        <v>-6599520.1480043624</v>
      </c>
      <c r="S304">
        <f t="shared" si="967"/>
        <v>-65.995201480043619</v>
      </c>
      <c r="T304">
        <f t="shared" si="968"/>
        <v>-6.5995201480043619E-2</v>
      </c>
    </row>
    <row r="305" spans="1:20" x14ac:dyDescent="0.25">
      <c r="A305" s="5">
        <v>44288</v>
      </c>
      <c r="B305">
        <v>18.306000000000001</v>
      </c>
      <c r="C305">
        <v>19</v>
      </c>
      <c r="D305">
        <v>18.001000000000001</v>
      </c>
      <c r="E305">
        <v>18.18</v>
      </c>
      <c r="F305">
        <v>162578.33300000001</v>
      </c>
      <c r="G305">
        <v>0</v>
      </c>
      <c r="L305" t="s">
        <v>7</v>
      </c>
      <c r="M305" t="s">
        <v>8</v>
      </c>
      <c r="N305" t="s">
        <v>7</v>
      </c>
      <c r="P305">
        <f t="shared" si="964"/>
        <v>-0.64164164164164417</v>
      </c>
      <c r="Q305">
        <f t="shared" si="965"/>
        <v>-104317.0284814819</v>
      </c>
      <c r="R305">
        <f t="shared" si="966"/>
        <v>-6465092.1254645344</v>
      </c>
      <c r="S305">
        <f t="shared" si="967"/>
        <v>-64.65092125464534</v>
      </c>
      <c r="T305">
        <f t="shared" si="968"/>
        <v>-6.4650921254645347E-2</v>
      </c>
    </row>
    <row r="306" spans="1:20" x14ac:dyDescent="0.25">
      <c r="A306" s="5">
        <v>44287</v>
      </c>
      <c r="B306">
        <v>18.013000000000002</v>
      </c>
      <c r="C306">
        <v>19.3</v>
      </c>
      <c r="D306">
        <v>17.943000000000001</v>
      </c>
      <c r="E306">
        <v>18.302</v>
      </c>
      <c r="F306">
        <v>162012.106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-0.47089167280766636</v>
      </c>
      <c r="Q306">
        <f t="shared" si="965"/>
        <v>-76290.151609432956</v>
      </c>
      <c r="R306">
        <f t="shared" si="966"/>
        <v>-6360775.0969830528</v>
      </c>
      <c r="S306">
        <f t="shared" si="967"/>
        <v>-63.607750969830526</v>
      </c>
      <c r="T306">
        <f t="shared" si="968"/>
        <v>-6.3607750969830526E-2</v>
      </c>
    </row>
    <row r="307" spans="1:20" x14ac:dyDescent="0.25">
      <c r="A307" s="5">
        <v>44286</v>
      </c>
      <c r="B307">
        <v>18.481999999999999</v>
      </c>
      <c r="C307">
        <v>21.268000000000001</v>
      </c>
      <c r="D307">
        <v>17.413</v>
      </c>
      <c r="E307">
        <v>18.071999999999999</v>
      </c>
      <c r="F307">
        <v>328185.18699999998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-0.65810635538262052</v>
      </c>
      <c r="Q307">
        <f t="shared" si="965"/>
        <v>-215980.75730713375</v>
      </c>
      <c r="R307">
        <f t="shared" si="966"/>
        <v>-6284484.9453736199</v>
      </c>
      <c r="S307">
        <f t="shared" si="967"/>
        <v>-62.844849453736202</v>
      </c>
      <c r="T307">
        <f t="shared" si="968"/>
        <v>-6.2844849453736196E-2</v>
      </c>
    </row>
    <row r="308" spans="1:20" x14ac:dyDescent="0.25">
      <c r="A308" s="5">
        <v>44285</v>
      </c>
      <c r="B308">
        <v>19.018999999999998</v>
      </c>
      <c r="C308">
        <v>19.446000000000002</v>
      </c>
      <c r="D308">
        <v>18.306000000000001</v>
      </c>
      <c r="E308">
        <v>18.545000000000002</v>
      </c>
      <c r="F308">
        <v>179023.351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-0.58070175438596372</v>
      </c>
      <c r="Q308">
        <f t="shared" si="965"/>
        <v>-103959.17400175417</v>
      </c>
      <c r="R308">
        <f t="shared" si="966"/>
        <v>-6068504.1880664863</v>
      </c>
      <c r="S308">
        <f t="shared" si="967"/>
        <v>-60.685041880664862</v>
      </c>
      <c r="T308">
        <f t="shared" si="968"/>
        <v>-6.0685041880664863E-2</v>
      </c>
    </row>
    <row r="309" spans="1:20" x14ac:dyDescent="0.25">
      <c r="A309" s="5">
        <v>44284</v>
      </c>
      <c r="B309">
        <v>18.742999999999999</v>
      </c>
      <c r="C309">
        <v>19.5</v>
      </c>
      <c r="D309">
        <v>18.388000000000002</v>
      </c>
      <c r="E309">
        <v>19.042999999999999</v>
      </c>
      <c r="F309">
        <v>166562.671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0.17805755395683195</v>
      </c>
      <c r="Q309">
        <f t="shared" si="965"/>
        <v>29657.741778776548</v>
      </c>
      <c r="R309">
        <f t="shared" si="966"/>
        <v>-5964545.014064732</v>
      </c>
      <c r="S309">
        <f t="shared" si="967"/>
        <v>-59.64545014064732</v>
      </c>
      <c r="T309">
        <f t="shared" si="968"/>
        <v>-5.9645450140647323E-2</v>
      </c>
    </row>
    <row r="310" spans="1:20" x14ac:dyDescent="0.25">
      <c r="A310" s="5">
        <v>44283</v>
      </c>
      <c r="B310">
        <v>18.734999999999999</v>
      </c>
      <c r="C310">
        <v>19.888999999999999</v>
      </c>
      <c r="D310">
        <v>18.405999999999999</v>
      </c>
      <c r="E310">
        <v>18.786000000000001</v>
      </c>
      <c r="F310">
        <v>174931.984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-0.48752528658125094</v>
      </c>
      <c r="Q310">
        <f t="shared" si="965"/>
        <v>-85283.765631826798</v>
      </c>
      <c r="R310">
        <f t="shared" si="966"/>
        <v>-5994202.755843509</v>
      </c>
      <c r="S310">
        <f t="shared" si="967"/>
        <v>-59.942027558435093</v>
      </c>
      <c r="T310">
        <f t="shared" si="968"/>
        <v>-5.9942027558435092E-2</v>
      </c>
    </row>
    <row r="311" spans="1:20" x14ac:dyDescent="0.25">
      <c r="A311" s="5">
        <v>44282</v>
      </c>
      <c r="B311">
        <v>18.745000000000001</v>
      </c>
      <c r="C311">
        <v>19.341000000000001</v>
      </c>
      <c r="D311">
        <v>17.899999999999999</v>
      </c>
      <c r="E311">
        <v>18.731000000000002</v>
      </c>
      <c r="F311">
        <v>181969.43700000001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0.1533657182512167</v>
      </c>
      <c r="Q311">
        <f t="shared" si="965"/>
        <v>27907.873405274528</v>
      </c>
      <c r="R311">
        <f t="shared" si="966"/>
        <v>-5908918.9902116824</v>
      </c>
      <c r="S311">
        <f t="shared" si="967"/>
        <v>-59.089189902116821</v>
      </c>
      <c r="T311">
        <f t="shared" si="968"/>
        <v>-5.9089189902116819E-2</v>
      </c>
    </row>
    <row r="312" spans="1:20" x14ac:dyDescent="0.25">
      <c r="A312" s="5">
        <v>44281</v>
      </c>
      <c r="B312">
        <v>18.158000000000001</v>
      </c>
      <c r="C312">
        <v>19.966000000000001</v>
      </c>
      <c r="D312">
        <v>18.132999999999999</v>
      </c>
      <c r="E312">
        <v>18.786000000000001</v>
      </c>
      <c r="F312">
        <v>221239.709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-0.28750681942171136</v>
      </c>
      <c r="Q312">
        <f t="shared" si="965"/>
        <v>-63607.925064374969</v>
      </c>
      <c r="R312">
        <f t="shared" si="966"/>
        <v>-5936826.8636169573</v>
      </c>
      <c r="S312">
        <f t="shared" si="967"/>
        <v>-59.368268636169574</v>
      </c>
      <c r="T312">
        <f t="shared" si="968"/>
        <v>-5.9368268636169577E-2</v>
      </c>
    </row>
    <row r="313" spans="1:20" x14ac:dyDescent="0.25">
      <c r="A313" s="5">
        <v>44280</v>
      </c>
      <c r="B313">
        <v>17.856999999999999</v>
      </c>
      <c r="C313">
        <v>21.149000000000001</v>
      </c>
      <c r="D313">
        <v>16.928999999999998</v>
      </c>
      <c r="E313">
        <v>18.157</v>
      </c>
      <c r="F313">
        <v>531695.63500000001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-0.41800947867298538</v>
      </c>
      <c r="Q313">
        <f t="shared" si="965"/>
        <v>-222253.81519905193</v>
      </c>
      <c r="R313">
        <f t="shared" si="966"/>
        <v>-5873218.9385525826</v>
      </c>
      <c r="S313">
        <f t="shared" si="967"/>
        <v>-58.732189385525828</v>
      </c>
      <c r="T313">
        <f t="shared" si="968"/>
        <v>-5.8732189385525831E-2</v>
      </c>
    </row>
    <row r="314" spans="1:20" x14ac:dyDescent="0.25">
      <c r="A314" s="5">
        <v>44279</v>
      </c>
      <c r="B314">
        <v>19.004000000000001</v>
      </c>
      <c r="C314">
        <v>20.292999999999999</v>
      </c>
      <c r="D314">
        <v>17.7</v>
      </c>
      <c r="E314">
        <v>17.856000000000002</v>
      </c>
      <c r="F314">
        <v>208312.80799999999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-0.87967605090628431</v>
      </c>
      <c r="Q314">
        <f t="shared" si="965"/>
        <v>-183247.78829463903</v>
      </c>
      <c r="R314">
        <f t="shared" si="966"/>
        <v>-5650965.1233535307</v>
      </c>
      <c r="S314">
        <f t="shared" si="967"/>
        <v>-56.509651233535308</v>
      </c>
      <c r="T314">
        <f t="shared" si="968"/>
        <v>-5.650965123353531E-2</v>
      </c>
    </row>
    <row r="315" spans="1:20" x14ac:dyDescent="0.25">
      <c r="A315" s="5">
        <v>44278</v>
      </c>
      <c r="B315">
        <v>19.245000000000001</v>
      </c>
      <c r="C315">
        <v>21.029</v>
      </c>
      <c r="D315">
        <v>18.5</v>
      </c>
      <c r="E315">
        <v>19.021999999999998</v>
      </c>
      <c r="F315">
        <v>365611.66499999998</v>
      </c>
      <c r="G315">
        <v>0</v>
      </c>
      <c r="L315" t="s">
        <v>8</v>
      </c>
      <c r="M315" t="s">
        <v>7</v>
      </c>
      <c r="N315" t="s">
        <v>7</v>
      </c>
      <c r="P315">
        <f t="shared" si="964"/>
        <v>-0.58718861209964535</v>
      </c>
      <c r="Q315">
        <f t="shared" si="965"/>
        <v>-214683.00613879046</v>
      </c>
      <c r="R315">
        <f t="shared" si="966"/>
        <v>-5467717.3350588912</v>
      </c>
      <c r="S315">
        <f t="shared" si="967"/>
        <v>-54.677173350588909</v>
      </c>
      <c r="T315">
        <f t="shared" si="968"/>
        <v>-5.4677173350588908E-2</v>
      </c>
    </row>
    <row r="316" spans="1:20" x14ac:dyDescent="0.25">
      <c r="A316" s="5">
        <v>44277</v>
      </c>
      <c r="B316">
        <v>20.059000000000001</v>
      </c>
      <c r="C316">
        <v>20.83</v>
      </c>
      <c r="D316">
        <v>18.600000000000001</v>
      </c>
      <c r="E316">
        <v>19.277999999999999</v>
      </c>
      <c r="F316">
        <v>170704.67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-0.39192825112107782</v>
      </c>
      <c r="Q316">
        <f t="shared" si="965"/>
        <v>-66903.982771300725</v>
      </c>
      <c r="R316">
        <f t="shared" si="966"/>
        <v>-5253034.3289201008</v>
      </c>
      <c r="S316">
        <f t="shared" si="967"/>
        <v>-52.530343289201006</v>
      </c>
      <c r="T316">
        <f t="shared" si="968"/>
        <v>-5.2530343289201004E-2</v>
      </c>
    </row>
    <row r="317" spans="1:20" x14ac:dyDescent="0.25">
      <c r="A317" s="5">
        <v>44276</v>
      </c>
      <c r="B317">
        <v>20.451000000000001</v>
      </c>
      <c r="C317">
        <v>23.5</v>
      </c>
      <c r="D317">
        <v>19.803999999999998</v>
      </c>
      <c r="E317">
        <v>20.062000000000001</v>
      </c>
      <c r="F317">
        <v>352280.31900000002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-0.86038961038960904</v>
      </c>
      <c r="Q317">
        <f t="shared" si="965"/>
        <v>-303098.32641233719</v>
      </c>
      <c r="R317">
        <f t="shared" si="966"/>
        <v>-5186130.3461488001</v>
      </c>
      <c r="S317">
        <f t="shared" si="967"/>
        <v>-51.861303461487999</v>
      </c>
      <c r="T317">
        <f t="shared" si="968"/>
        <v>-5.1861303461487998E-2</v>
      </c>
    </row>
    <row r="318" spans="1:20" x14ac:dyDescent="0.25">
      <c r="A318" s="5">
        <v>44275</v>
      </c>
      <c r="B318">
        <v>22.061</v>
      </c>
      <c r="C318">
        <v>22.524000000000001</v>
      </c>
      <c r="D318">
        <v>20.408999999999999</v>
      </c>
      <c r="E318">
        <v>20.452999999999999</v>
      </c>
      <c r="F318">
        <v>196627.12</v>
      </c>
      <c r="G318">
        <v>0</v>
      </c>
      <c r="L318" t="s">
        <v>7</v>
      </c>
      <c r="M318" t="s">
        <v>7</v>
      </c>
      <c r="N318" t="s">
        <v>7</v>
      </c>
      <c r="P318">
        <f t="shared" si="964"/>
        <v>-0.95839243498817928</v>
      </c>
      <c r="Q318">
        <f t="shared" si="965"/>
        <v>-188445.94432151291</v>
      </c>
      <c r="R318">
        <f t="shared" si="966"/>
        <v>-4883032.0197364632</v>
      </c>
      <c r="S318">
        <f t="shared" si="967"/>
        <v>-48.830320197364635</v>
      </c>
      <c r="T318">
        <f t="shared" si="968"/>
        <v>-4.8830320197364635E-2</v>
      </c>
    </row>
    <row r="319" spans="1:20" x14ac:dyDescent="0.25">
      <c r="A319" s="5">
        <v>44274</v>
      </c>
      <c r="B319">
        <v>21.713000000000001</v>
      </c>
      <c r="C319">
        <v>23.35</v>
      </c>
      <c r="D319">
        <v>21.181999999999999</v>
      </c>
      <c r="E319">
        <v>22.085000000000001</v>
      </c>
      <c r="F319">
        <v>214038.15900000001</v>
      </c>
      <c r="G319">
        <v>0</v>
      </c>
      <c r="L319" t="s">
        <v>8</v>
      </c>
      <c r="M319" t="s">
        <v>8</v>
      </c>
      <c r="N319" t="s">
        <v>7</v>
      </c>
      <c r="P319">
        <f t="shared" si="964"/>
        <v>-0.16697416974169643</v>
      </c>
      <c r="Q319">
        <f t="shared" si="965"/>
        <v>-35738.843892066216</v>
      </c>
      <c r="R319">
        <f t="shared" si="966"/>
        <v>-4694586.07541495</v>
      </c>
      <c r="S319">
        <f t="shared" si="967"/>
        <v>-46.9458607541495</v>
      </c>
      <c r="T319">
        <f t="shared" si="968"/>
        <v>-4.6945860754149499E-2</v>
      </c>
    </row>
    <row r="320" spans="1:20" x14ac:dyDescent="0.25">
      <c r="A320" s="5">
        <v>44273</v>
      </c>
      <c r="B320">
        <v>21.731999999999999</v>
      </c>
      <c r="C320">
        <v>23.26</v>
      </c>
      <c r="D320">
        <v>21.241</v>
      </c>
      <c r="E320">
        <v>21.745999999999999</v>
      </c>
      <c r="F320">
        <v>235300.73300000001</v>
      </c>
      <c r="G320">
        <v>0</v>
      </c>
      <c r="L320" t="s">
        <v>7</v>
      </c>
      <c r="M320" t="s">
        <v>8</v>
      </c>
      <c r="N320" t="s">
        <v>7</v>
      </c>
      <c r="P320">
        <f t="shared" si="964"/>
        <v>-0.49975235264982809</v>
      </c>
      <c r="Q320">
        <f t="shared" si="965"/>
        <v>-117592.09489697905</v>
      </c>
      <c r="R320">
        <f t="shared" si="966"/>
        <v>-4658847.2315228842</v>
      </c>
      <c r="S320">
        <f t="shared" si="967"/>
        <v>-46.588472315228842</v>
      </c>
      <c r="T320">
        <f t="shared" si="968"/>
        <v>-4.6588472315228842E-2</v>
      </c>
    </row>
    <row r="321" spans="1:20" x14ac:dyDescent="0.25">
      <c r="A321" s="5">
        <v>44272</v>
      </c>
      <c r="B321">
        <v>21.913</v>
      </c>
      <c r="C321">
        <v>24</v>
      </c>
      <c r="D321">
        <v>20.829000000000001</v>
      </c>
      <c r="E321">
        <v>21.727</v>
      </c>
      <c r="F321">
        <v>403094.05300000001</v>
      </c>
      <c r="G321">
        <v>0</v>
      </c>
      <c r="L321" t="s">
        <v>8</v>
      </c>
      <c r="M321" t="s">
        <v>8</v>
      </c>
      <c r="N321" t="s">
        <v>7</v>
      </c>
      <c r="P321">
        <f t="shared" si="964"/>
        <v>-0.43361715547146018</v>
      </c>
      <c r="Q321">
        <f t="shared" si="965"/>
        <v>-174788.49664932201</v>
      </c>
      <c r="R321">
        <f t="shared" si="966"/>
        <v>-4541255.1366259055</v>
      </c>
      <c r="S321">
        <f t="shared" si="967"/>
        <v>-45.412551366259052</v>
      </c>
      <c r="T321">
        <f t="shared" si="968"/>
        <v>-4.5412551366259053E-2</v>
      </c>
    </row>
    <row r="322" spans="1:20" x14ac:dyDescent="0.25">
      <c r="A322" s="5">
        <v>44271</v>
      </c>
      <c r="B322">
        <v>20.762</v>
      </c>
      <c r="C322">
        <v>23.99</v>
      </c>
      <c r="D322">
        <v>19.27</v>
      </c>
      <c r="E322">
        <v>21.884</v>
      </c>
      <c r="F322">
        <v>489194.78200000001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0.10762711864406839</v>
      </c>
      <c r="Q322">
        <f t="shared" si="965"/>
        <v>52650.624842373174</v>
      </c>
      <c r="R322">
        <f t="shared" si="966"/>
        <v>-4366466.6399765834</v>
      </c>
      <c r="S322">
        <f t="shared" si="967"/>
        <v>-43.664666399765835</v>
      </c>
      <c r="T322">
        <f t="shared" si="968"/>
        <v>-4.3664666399765836E-2</v>
      </c>
    </row>
    <row r="323" spans="1:20" x14ac:dyDescent="0.25">
      <c r="A323" s="5">
        <v>44270</v>
      </c>
      <c r="B323">
        <v>22.981000000000002</v>
      </c>
      <c r="C323">
        <v>24.538</v>
      </c>
      <c r="D323">
        <v>20.6</v>
      </c>
      <c r="E323">
        <v>20.747</v>
      </c>
      <c r="F323">
        <v>424399.95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-0.92534281361097082</v>
      </c>
      <c r="Q323">
        <f t="shared" si="965"/>
        <v>-392715.44382935535</v>
      </c>
      <c r="R323">
        <f t="shared" si="966"/>
        <v>-4419117.2648189561</v>
      </c>
      <c r="S323">
        <f t="shared" si="967"/>
        <v>-44.191172648189564</v>
      </c>
      <c r="T323">
        <f t="shared" si="968"/>
        <v>-4.4191172648189565E-2</v>
      </c>
    </row>
    <row r="324" spans="1:20" x14ac:dyDescent="0.25">
      <c r="A324" s="5">
        <v>44269</v>
      </c>
      <c r="B324">
        <v>26.98</v>
      </c>
      <c r="C324">
        <v>27.318000000000001</v>
      </c>
      <c r="D324">
        <v>22.927</v>
      </c>
      <c r="E324">
        <v>22.983000000000001</v>
      </c>
      <c r="F324">
        <v>712623.23800000001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-0.97449328171259353</v>
      </c>
      <c r="Q324">
        <f t="shared" si="965"/>
        <v>-694446.55782327463</v>
      </c>
      <c r="R324">
        <f t="shared" si="966"/>
        <v>-4026401.8209896008</v>
      </c>
      <c r="S324">
        <f t="shared" si="967"/>
        <v>-40.264018209896008</v>
      </c>
      <c r="T324">
        <f t="shared" si="968"/>
        <v>-4.0264018209896009E-2</v>
      </c>
    </row>
    <row r="325" spans="1:20" x14ac:dyDescent="0.25">
      <c r="A325" s="5">
        <v>44268</v>
      </c>
      <c r="B325">
        <v>19.823</v>
      </c>
      <c r="C325">
        <v>30</v>
      </c>
      <c r="D325">
        <v>19.498999999999999</v>
      </c>
      <c r="E325">
        <v>26.981000000000002</v>
      </c>
      <c r="F325">
        <v>1955472.9839999999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0.42500714217693591</v>
      </c>
      <c r="Q325">
        <f t="shared" si="965"/>
        <v>831089.9845340451</v>
      </c>
      <c r="R325">
        <f t="shared" si="966"/>
        <v>-3331955.2631663261</v>
      </c>
      <c r="S325">
        <f t="shared" si="967"/>
        <v>-33.319552631663264</v>
      </c>
      <c r="T325">
        <f t="shared" si="968"/>
        <v>-3.3319552631663266E-2</v>
      </c>
    </row>
    <row r="326" spans="1:20" x14ac:dyDescent="0.25">
      <c r="A326" s="5">
        <v>44267</v>
      </c>
      <c r="B326">
        <v>16.927</v>
      </c>
      <c r="C326">
        <v>23.242999999999999</v>
      </c>
      <c r="D326">
        <v>16.193000000000001</v>
      </c>
      <c r="E326">
        <v>19.835999999999999</v>
      </c>
      <c r="F326">
        <v>1500963.895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3.3475177304964139E-2</v>
      </c>
      <c r="Q326">
        <f t="shared" ref="Q326:Q389" si="970">F326*P326</f>
        <v>50245.03251347458</v>
      </c>
      <c r="R326">
        <f t="shared" ref="R326:R389" si="971">R327+Q326</f>
        <v>-4163045.2477003713</v>
      </c>
      <c r="S326">
        <f t="shared" ref="S326:S389" si="972">R326/100000</f>
        <v>-41.630452477003715</v>
      </c>
      <c r="T326">
        <f t="shared" ref="T326:T389" si="973">S326/1000</f>
        <v>-4.1630452477003713E-2</v>
      </c>
    </row>
    <row r="327" spans="1:20" x14ac:dyDescent="0.25">
      <c r="A327" s="5">
        <v>44266</v>
      </c>
      <c r="B327">
        <v>17.344999999999999</v>
      </c>
      <c r="C327">
        <v>21.812000000000001</v>
      </c>
      <c r="D327">
        <v>14.87</v>
      </c>
      <c r="E327">
        <v>16.841999999999999</v>
      </c>
      <c r="F327">
        <v>2700948.7510000002</v>
      </c>
      <c r="G327">
        <v>0</v>
      </c>
      <c r="L327" t="s">
        <v>7</v>
      </c>
      <c r="M327" t="s">
        <v>7</v>
      </c>
      <c r="N327" t="s">
        <v>7</v>
      </c>
      <c r="P327">
        <f t="shared" si="969"/>
        <v>-0.43186401613367936</v>
      </c>
      <c r="Q327">
        <f t="shared" si="970"/>
        <v>-1166442.5749781053</v>
      </c>
      <c r="R327">
        <f t="shared" si="971"/>
        <v>-4213290.2802138459</v>
      </c>
      <c r="S327">
        <f t="shared" si="972"/>
        <v>-42.13290280213846</v>
      </c>
      <c r="T327">
        <f t="shared" si="973"/>
        <v>-4.213290280213846E-2</v>
      </c>
    </row>
    <row r="328" spans="1:20" x14ac:dyDescent="0.25">
      <c r="A328" s="5">
        <v>44265</v>
      </c>
      <c r="B328">
        <v>11.351000000000001</v>
      </c>
      <c r="C328">
        <v>25.567</v>
      </c>
      <c r="D328">
        <v>10.862</v>
      </c>
      <c r="E328">
        <v>17.321999999999999</v>
      </c>
      <c r="F328">
        <v>3737069.895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-0.12138728323699435</v>
      </c>
      <c r="Q328">
        <f t="shared" si="970"/>
        <v>-453632.76182080974</v>
      </c>
      <c r="R328">
        <f t="shared" si="971"/>
        <v>-3046847.7052357411</v>
      </c>
      <c r="S328">
        <f t="shared" si="972"/>
        <v>-30.468477052357411</v>
      </c>
      <c r="T328">
        <f t="shared" si="973"/>
        <v>-3.0468477052357411E-2</v>
      </c>
    </row>
    <row r="329" spans="1:20" x14ac:dyDescent="0.25">
      <c r="A329" s="5">
        <v>44264</v>
      </c>
      <c r="B329">
        <v>10.199999999999999</v>
      </c>
      <c r="C329">
        <v>11.581</v>
      </c>
      <c r="D329">
        <v>10.138999999999999</v>
      </c>
      <c r="E329">
        <v>11.35</v>
      </c>
      <c r="F329">
        <v>262418.777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0.67961165048543715</v>
      </c>
      <c r="Q329">
        <f t="shared" si="970"/>
        <v>178342.85815533987</v>
      </c>
      <c r="R329">
        <f t="shared" si="971"/>
        <v>-2593214.9434149312</v>
      </c>
      <c r="S329">
        <f t="shared" si="972"/>
        <v>-25.932149434149313</v>
      </c>
      <c r="T329">
        <f t="shared" si="973"/>
        <v>-2.5932149434149312E-2</v>
      </c>
    </row>
    <row r="330" spans="1:20" x14ac:dyDescent="0.25">
      <c r="A330" s="5">
        <v>44263</v>
      </c>
      <c r="B330">
        <v>10.145</v>
      </c>
      <c r="C330">
        <v>10.396000000000001</v>
      </c>
      <c r="D330">
        <v>9.9</v>
      </c>
      <c r="E330">
        <v>10.199999999999999</v>
      </c>
      <c r="F330">
        <v>99975.928</v>
      </c>
      <c r="G330">
        <v>0</v>
      </c>
      <c r="L330" t="s">
        <v>7</v>
      </c>
      <c r="M330" t="s">
        <v>8</v>
      </c>
      <c r="N330" t="s">
        <v>7</v>
      </c>
      <c r="P330">
        <f t="shared" si="969"/>
        <v>0.20967741935483333</v>
      </c>
      <c r="Q330">
        <f t="shared" si="970"/>
        <v>20962.694580644624</v>
      </c>
      <c r="R330">
        <f t="shared" si="971"/>
        <v>-2771557.8015702711</v>
      </c>
      <c r="S330">
        <f t="shared" si="972"/>
        <v>-27.715578015702711</v>
      </c>
      <c r="T330">
        <f t="shared" si="973"/>
        <v>-2.7715578015702711E-2</v>
      </c>
    </row>
    <row r="331" spans="1:20" x14ac:dyDescent="0.25">
      <c r="A331" s="5">
        <v>44262</v>
      </c>
      <c r="B331">
        <v>9.907</v>
      </c>
      <c r="C331">
        <v>10.685</v>
      </c>
      <c r="D331">
        <v>9.9030000000000005</v>
      </c>
      <c r="E331">
        <v>10.146000000000001</v>
      </c>
      <c r="F331">
        <v>125219.977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-0.3785166240409199</v>
      </c>
      <c r="Q331">
        <f t="shared" si="970"/>
        <v>-47397.842956521636</v>
      </c>
      <c r="R331">
        <f t="shared" si="971"/>
        <v>-2792520.496150916</v>
      </c>
      <c r="S331">
        <f t="shared" si="972"/>
        <v>-27.925204961509159</v>
      </c>
      <c r="T331">
        <f t="shared" si="973"/>
        <v>-2.7925204961509159E-2</v>
      </c>
    </row>
    <row r="332" spans="1:20" x14ac:dyDescent="0.25">
      <c r="A332" s="5">
        <v>44261</v>
      </c>
      <c r="B332">
        <v>9.4290000000000003</v>
      </c>
      <c r="C332">
        <v>10.058</v>
      </c>
      <c r="D332">
        <v>9.3070000000000004</v>
      </c>
      <c r="E332">
        <v>9.907</v>
      </c>
      <c r="F332">
        <v>93326.576000000001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0.59786950732356881</v>
      </c>
      <c r="Q332">
        <f t="shared" si="970"/>
        <v>55797.1140133156</v>
      </c>
      <c r="R332">
        <f t="shared" si="971"/>
        <v>-2745122.6531943944</v>
      </c>
      <c r="S332">
        <f t="shared" si="972"/>
        <v>-27.451226531943945</v>
      </c>
      <c r="T332">
        <f t="shared" si="973"/>
        <v>-2.7451226531943946E-2</v>
      </c>
    </row>
    <row r="333" spans="1:20" x14ac:dyDescent="0.25">
      <c r="A333" s="5">
        <v>44260</v>
      </c>
      <c r="B333">
        <v>9.5760000000000005</v>
      </c>
      <c r="C333">
        <v>10.051</v>
      </c>
      <c r="D333">
        <v>8.59</v>
      </c>
      <c r="E333">
        <v>9.4109999999999996</v>
      </c>
      <c r="F333">
        <v>94627.880999999994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0.12388774811772699</v>
      </c>
      <c r="Q333">
        <f t="shared" si="970"/>
        <v>11723.235086242243</v>
      </c>
      <c r="R333">
        <f t="shared" si="971"/>
        <v>-2800919.7672077101</v>
      </c>
      <c r="S333">
        <f t="shared" si="972"/>
        <v>-28.0091976720771</v>
      </c>
      <c r="T333">
        <f t="shared" si="973"/>
        <v>-2.8009197672077098E-2</v>
      </c>
    </row>
    <row r="334" spans="1:20" x14ac:dyDescent="0.25">
      <c r="A334" s="5">
        <v>44259</v>
      </c>
      <c r="B334">
        <v>10.128</v>
      </c>
      <c r="C334">
        <v>10.382</v>
      </c>
      <c r="D334">
        <v>9.33</v>
      </c>
      <c r="E334">
        <v>9.5820000000000007</v>
      </c>
      <c r="F334">
        <v>116704.38099999999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-0.52091254752851568</v>
      </c>
      <c r="Q334">
        <f t="shared" si="970"/>
        <v>-60792.776414448497</v>
      </c>
      <c r="R334">
        <f t="shared" si="971"/>
        <v>-2812643.0022939523</v>
      </c>
      <c r="S334">
        <f t="shared" si="972"/>
        <v>-28.126430022939523</v>
      </c>
      <c r="T334">
        <f t="shared" si="973"/>
        <v>-2.8126430022939523E-2</v>
      </c>
    </row>
    <row r="335" spans="1:20" x14ac:dyDescent="0.25">
      <c r="A335" s="5">
        <v>44258</v>
      </c>
      <c r="B335">
        <v>9.6120000000000001</v>
      </c>
      <c r="C335">
        <v>10.545999999999999</v>
      </c>
      <c r="D335">
        <v>9.6</v>
      </c>
      <c r="E335">
        <v>10.114000000000001</v>
      </c>
      <c r="F335">
        <v>73659.505000000005</v>
      </c>
      <c r="G335">
        <v>0</v>
      </c>
      <c r="L335" t="s">
        <v>7</v>
      </c>
      <c r="M335" t="s">
        <v>8</v>
      </c>
      <c r="N335" t="s">
        <v>7</v>
      </c>
      <c r="P335">
        <f t="shared" si="969"/>
        <v>8.6680761099368439E-2</v>
      </c>
      <c r="Q335">
        <f t="shared" si="970"/>
        <v>6384.8619556027352</v>
      </c>
      <c r="R335">
        <f t="shared" si="971"/>
        <v>-2751850.2258795039</v>
      </c>
      <c r="S335">
        <f t="shared" si="972"/>
        <v>-27.518502258795039</v>
      </c>
      <c r="T335">
        <f t="shared" si="973"/>
        <v>-2.7518502258795038E-2</v>
      </c>
    </row>
    <row r="336" spans="1:20" x14ac:dyDescent="0.25">
      <c r="A336" s="5">
        <v>44257</v>
      </c>
      <c r="B336">
        <v>9.9990000000000006</v>
      </c>
      <c r="C336">
        <v>10.58</v>
      </c>
      <c r="D336">
        <v>9.02</v>
      </c>
      <c r="E336">
        <v>9.6120000000000001</v>
      </c>
      <c r="F336">
        <v>111386.823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-0.24102564102564059</v>
      </c>
      <c r="Q336">
        <f t="shared" si="970"/>
        <v>-26847.080415384567</v>
      </c>
      <c r="R336">
        <f t="shared" si="971"/>
        <v>-2758235.0878351065</v>
      </c>
      <c r="S336">
        <f t="shared" si="972"/>
        <v>-27.582350878351065</v>
      </c>
      <c r="T336">
        <f t="shared" si="973"/>
        <v>-2.7582350878351064E-2</v>
      </c>
    </row>
    <row r="337" spans="1:20" x14ac:dyDescent="0.25">
      <c r="A337" s="5">
        <v>44256</v>
      </c>
      <c r="B337">
        <v>9.0960000000000001</v>
      </c>
      <c r="C337">
        <v>10.15</v>
      </c>
      <c r="D337">
        <v>9.0960000000000001</v>
      </c>
      <c r="E337">
        <v>9.9860000000000007</v>
      </c>
      <c r="F337">
        <v>115743.31</v>
      </c>
      <c r="G337">
        <v>0</v>
      </c>
      <c r="L337" t="s">
        <v>7</v>
      </c>
      <c r="M337" t="s">
        <v>8</v>
      </c>
      <c r="N337" t="s">
        <v>7</v>
      </c>
      <c r="P337">
        <f t="shared" si="969"/>
        <v>0.6888045540796971</v>
      </c>
      <c r="Q337">
        <f t="shared" si="970"/>
        <v>79724.519032258147</v>
      </c>
      <c r="R337">
        <f t="shared" si="971"/>
        <v>-2731388.0074197222</v>
      </c>
      <c r="S337">
        <f t="shared" si="972"/>
        <v>-27.313880074197222</v>
      </c>
      <c r="T337">
        <f t="shared" si="973"/>
        <v>-2.7313880074197223E-2</v>
      </c>
    </row>
    <row r="338" spans="1:20" x14ac:dyDescent="0.25">
      <c r="A338" s="5">
        <v>44255</v>
      </c>
      <c r="B338">
        <v>9.3719999999999999</v>
      </c>
      <c r="C338">
        <v>11.3</v>
      </c>
      <c r="D338">
        <v>8.4410000000000007</v>
      </c>
      <c r="E338">
        <v>9.0920000000000005</v>
      </c>
      <c r="F338">
        <v>362716.29200000002</v>
      </c>
      <c r="G338">
        <v>0</v>
      </c>
      <c r="L338" t="s">
        <v>8</v>
      </c>
      <c r="M338" t="s">
        <v>7</v>
      </c>
      <c r="N338" t="s">
        <v>7</v>
      </c>
      <c r="P338">
        <f t="shared" si="969"/>
        <v>-0.54459601259181545</v>
      </c>
      <c r="Q338">
        <f t="shared" si="970"/>
        <v>-197533.84632528861</v>
      </c>
      <c r="R338">
        <f t="shared" si="971"/>
        <v>-2811112.5264519802</v>
      </c>
      <c r="S338">
        <f t="shared" si="972"/>
        <v>-28.111125264519803</v>
      </c>
      <c r="T338">
        <f t="shared" si="973"/>
        <v>-2.8111125264519803E-2</v>
      </c>
    </row>
    <row r="339" spans="1:20" x14ac:dyDescent="0.25">
      <c r="A339" s="5">
        <v>44254</v>
      </c>
      <c r="B339">
        <v>9.15</v>
      </c>
      <c r="C339">
        <v>9.7919999999999998</v>
      </c>
      <c r="D339">
        <v>9.1379999999999999</v>
      </c>
      <c r="E339">
        <v>9.3539999999999992</v>
      </c>
      <c r="F339">
        <v>63056.442000000003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-0.33944954128440569</v>
      </c>
      <c r="Q339">
        <f t="shared" si="970"/>
        <v>-21404.480311926734</v>
      </c>
      <c r="R339">
        <f t="shared" si="971"/>
        <v>-2613578.6801266917</v>
      </c>
      <c r="S339">
        <f t="shared" si="972"/>
        <v>-26.135786801266917</v>
      </c>
      <c r="T339">
        <f t="shared" si="973"/>
        <v>-2.6135786801266919E-2</v>
      </c>
    </row>
    <row r="340" spans="1:20" x14ac:dyDescent="0.25">
      <c r="A340" s="5">
        <v>44253</v>
      </c>
      <c r="B340">
        <v>9.6199999999999992</v>
      </c>
      <c r="C340">
        <v>9.718</v>
      </c>
      <c r="D340">
        <v>8.9190000000000005</v>
      </c>
      <c r="E340">
        <v>9.1289999999999996</v>
      </c>
      <c r="F340">
        <v>67895.088000000003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-0.474342928660828</v>
      </c>
      <c r="Q340">
        <f t="shared" si="970"/>
        <v>-32205.55488360464</v>
      </c>
      <c r="R340">
        <f t="shared" si="971"/>
        <v>-2592174.1998147648</v>
      </c>
      <c r="S340">
        <f t="shared" si="972"/>
        <v>-25.921741998147649</v>
      </c>
      <c r="T340">
        <f t="shared" si="973"/>
        <v>-2.5921741998147649E-2</v>
      </c>
    </row>
    <row r="341" spans="1:20" x14ac:dyDescent="0.25">
      <c r="A341" s="5">
        <v>44252</v>
      </c>
      <c r="B341">
        <v>9.8000000000000007</v>
      </c>
      <c r="C341">
        <v>10.531000000000001</v>
      </c>
      <c r="D341">
        <v>9.56</v>
      </c>
      <c r="E341">
        <v>9.6029999999999998</v>
      </c>
      <c r="F341">
        <v>66667.487999999998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-0.9114315139031941</v>
      </c>
      <c r="Q341">
        <f t="shared" si="970"/>
        <v>-60762.849515963026</v>
      </c>
      <c r="R341">
        <f t="shared" si="971"/>
        <v>-2559968.6449311599</v>
      </c>
      <c r="S341">
        <f t="shared" si="972"/>
        <v>-25.599686449311598</v>
      </c>
      <c r="T341">
        <f t="shared" si="973"/>
        <v>-2.5599686449311598E-2</v>
      </c>
    </row>
    <row r="342" spans="1:20" x14ac:dyDescent="0.25">
      <c r="A342" s="5">
        <v>44251</v>
      </c>
      <c r="B342">
        <v>9.3610000000000007</v>
      </c>
      <c r="C342">
        <v>10.977</v>
      </c>
      <c r="D342">
        <v>8.8140000000000001</v>
      </c>
      <c r="E342">
        <v>9.7449999999999992</v>
      </c>
      <c r="F342">
        <v>108605.503</v>
      </c>
      <c r="G342">
        <v>0</v>
      </c>
      <c r="L342" t="s">
        <v>8</v>
      </c>
      <c r="M342" t="s">
        <v>7</v>
      </c>
      <c r="N342" t="s">
        <v>7</v>
      </c>
      <c r="P342">
        <f t="shared" si="969"/>
        <v>-0.13915857605178081</v>
      </c>
      <c r="Q342">
        <f t="shared" si="970"/>
        <v>-15113.387148867409</v>
      </c>
      <c r="R342">
        <f t="shared" si="971"/>
        <v>-2499205.795415197</v>
      </c>
      <c r="S342">
        <f t="shared" si="972"/>
        <v>-24.992057954151971</v>
      </c>
      <c r="T342">
        <f t="shared" si="973"/>
        <v>-2.4992057954151971E-2</v>
      </c>
    </row>
    <row r="343" spans="1:20" x14ac:dyDescent="0.25">
      <c r="A343" s="5">
        <v>44250</v>
      </c>
      <c r="B343">
        <v>10.788</v>
      </c>
      <c r="C343">
        <v>11.298999999999999</v>
      </c>
      <c r="D343">
        <v>8.2289999999999992</v>
      </c>
      <c r="E343">
        <v>9.36</v>
      </c>
      <c r="F343">
        <v>130995.755</v>
      </c>
      <c r="G343">
        <v>0</v>
      </c>
      <c r="L343" t="s">
        <v>7</v>
      </c>
      <c r="M343" t="s">
        <v>8</v>
      </c>
      <c r="N343" t="s">
        <v>7</v>
      </c>
      <c r="P343">
        <f t="shared" si="969"/>
        <v>-0.26319218241042336</v>
      </c>
      <c r="Q343">
        <f t="shared" si="970"/>
        <v>-34477.058644951132</v>
      </c>
      <c r="R343">
        <f t="shared" si="971"/>
        <v>-2484092.4082663297</v>
      </c>
      <c r="S343">
        <f t="shared" si="972"/>
        <v>-24.840924082663296</v>
      </c>
      <c r="T343">
        <f t="shared" si="973"/>
        <v>-2.4840924082663297E-2</v>
      </c>
    </row>
    <row r="344" spans="1:20" x14ac:dyDescent="0.25">
      <c r="A344" s="5">
        <v>44249</v>
      </c>
      <c r="B344">
        <v>11.903</v>
      </c>
      <c r="C344">
        <v>11.999000000000001</v>
      </c>
      <c r="D344">
        <v>8.52</v>
      </c>
      <c r="E344">
        <v>10.788</v>
      </c>
      <c r="F344">
        <v>152718.647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0.30382293762575457</v>
      </c>
      <c r="Q344">
        <f t="shared" si="970"/>
        <v>46399.427961770627</v>
      </c>
      <c r="R344">
        <f t="shared" si="971"/>
        <v>-2449615.3496213784</v>
      </c>
      <c r="S344">
        <f t="shared" si="972"/>
        <v>-24.496153496213783</v>
      </c>
      <c r="T344">
        <f t="shared" si="973"/>
        <v>-2.4496153496213782E-2</v>
      </c>
    </row>
    <row r="345" spans="1:20" x14ac:dyDescent="0.25">
      <c r="A345" s="5">
        <v>44248</v>
      </c>
      <c r="B345">
        <v>11.266999999999999</v>
      </c>
      <c r="C345">
        <v>12.6</v>
      </c>
      <c r="D345">
        <v>10.817</v>
      </c>
      <c r="E345">
        <v>11.903</v>
      </c>
      <c r="F345">
        <v>138497.98000000001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0.21817162086371353</v>
      </c>
      <c r="Q345">
        <f t="shared" si="970"/>
        <v>30216.328782950182</v>
      </c>
      <c r="R345">
        <f t="shared" si="971"/>
        <v>-2496014.7775831488</v>
      </c>
      <c r="S345">
        <f t="shared" si="972"/>
        <v>-24.960147775831487</v>
      </c>
      <c r="T345">
        <f t="shared" si="973"/>
        <v>-2.4960147775831488E-2</v>
      </c>
    </row>
    <row r="346" spans="1:20" x14ac:dyDescent="0.25">
      <c r="A346" s="5">
        <v>44247</v>
      </c>
      <c r="B346">
        <v>12.641999999999999</v>
      </c>
      <c r="C346">
        <v>12.863</v>
      </c>
      <c r="D346">
        <v>10.75</v>
      </c>
      <c r="E346">
        <v>11.266999999999999</v>
      </c>
      <c r="F346">
        <v>166623.038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-0.51064836725035534</v>
      </c>
      <c r="Q346">
        <f t="shared" si="970"/>
        <v>-85085.782300993917</v>
      </c>
      <c r="R346">
        <f t="shared" si="971"/>
        <v>-2526231.1063660989</v>
      </c>
      <c r="S346">
        <f t="shared" si="972"/>
        <v>-25.262311063660988</v>
      </c>
      <c r="T346">
        <f t="shared" si="973"/>
        <v>-2.5262311063660989E-2</v>
      </c>
    </row>
    <row r="347" spans="1:20" x14ac:dyDescent="0.25">
      <c r="A347" s="5">
        <v>44246</v>
      </c>
      <c r="B347">
        <v>11.993</v>
      </c>
      <c r="C347">
        <v>13.5</v>
      </c>
      <c r="D347">
        <v>11.941000000000001</v>
      </c>
      <c r="E347">
        <v>12.641999999999999</v>
      </c>
      <c r="F347">
        <v>228656.323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-0.10070558050032193</v>
      </c>
      <c r="Q347">
        <f t="shared" si="970"/>
        <v>-23026.967742784112</v>
      </c>
      <c r="R347">
        <f t="shared" si="971"/>
        <v>-2441145.3240651051</v>
      </c>
      <c r="S347">
        <f t="shared" si="972"/>
        <v>-24.411453240651049</v>
      </c>
      <c r="T347">
        <f t="shared" si="973"/>
        <v>-2.4411453240651051E-2</v>
      </c>
    </row>
    <row r="348" spans="1:20" x14ac:dyDescent="0.25">
      <c r="A348" s="5">
        <v>44245</v>
      </c>
      <c r="B348">
        <v>11.180999999999999</v>
      </c>
      <c r="C348">
        <v>12.55</v>
      </c>
      <c r="D348">
        <v>10.913</v>
      </c>
      <c r="E348">
        <v>11.994</v>
      </c>
      <c r="F348">
        <v>231691.92300000001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0.32070861331704242</v>
      </c>
      <c r="Q348">
        <f t="shared" si="970"/>
        <v>74305.595342088971</v>
      </c>
      <c r="R348">
        <f t="shared" si="971"/>
        <v>-2418118.3563223211</v>
      </c>
      <c r="S348">
        <f t="shared" si="972"/>
        <v>-24.181183563223211</v>
      </c>
      <c r="T348">
        <f t="shared" si="973"/>
        <v>-2.418118356322321E-2</v>
      </c>
    </row>
    <row r="349" spans="1:20" x14ac:dyDescent="0.25">
      <c r="A349" s="5">
        <v>44244</v>
      </c>
      <c r="B349">
        <v>11.038</v>
      </c>
      <c r="C349">
        <v>11.86</v>
      </c>
      <c r="D349">
        <v>10.471</v>
      </c>
      <c r="E349">
        <v>11.092000000000001</v>
      </c>
      <c r="F349">
        <v>113198.228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-0.10583153347732076</v>
      </c>
      <c r="Q349">
        <f t="shared" si="970"/>
        <v>-11979.942056155389</v>
      </c>
      <c r="R349">
        <f t="shared" si="971"/>
        <v>-2492423.9516644101</v>
      </c>
      <c r="S349">
        <f t="shared" si="972"/>
        <v>-24.9242395166441</v>
      </c>
      <c r="T349">
        <f t="shared" si="973"/>
        <v>-2.49242395166441E-2</v>
      </c>
    </row>
    <row r="350" spans="1:20" x14ac:dyDescent="0.25">
      <c r="A350" s="5">
        <v>44243</v>
      </c>
      <c r="B350">
        <v>10.425000000000001</v>
      </c>
      <c r="C350">
        <v>11.747999999999999</v>
      </c>
      <c r="D350">
        <v>10.135</v>
      </c>
      <c r="E350">
        <v>11.061999999999999</v>
      </c>
      <c r="F350">
        <v>146393.386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0.14941103533787956</v>
      </c>
      <c r="Q350">
        <f t="shared" si="970"/>
        <v>21872.787368877842</v>
      </c>
      <c r="R350">
        <f t="shared" si="971"/>
        <v>-2480444.0096082548</v>
      </c>
      <c r="S350">
        <f t="shared" si="972"/>
        <v>-24.804440096082548</v>
      </c>
      <c r="T350">
        <f t="shared" si="973"/>
        <v>-2.4804440096082549E-2</v>
      </c>
    </row>
    <row r="351" spans="1:20" x14ac:dyDescent="0.25">
      <c r="A351" s="5">
        <v>44242</v>
      </c>
      <c r="B351">
        <v>11.336</v>
      </c>
      <c r="C351">
        <v>11.428000000000001</v>
      </c>
      <c r="D351">
        <v>9.7200000000000006</v>
      </c>
      <c r="E351">
        <v>10.474</v>
      </c>
      <c r="F351">
        <v>125901.96</v>
      </c>
      <c r="G351">
        <v>0</v>
      </c>
      <c r="L351" t="s">
        <v>8</v>
      </c>
      <c r="M351" t="s">
        <v>7</v>
      </c>
      <c r="N351" t="s">
        <v>7</v>
      </c>
      <c r="P351">
        <f t="shared" si="969"/>
        <v>-0.11709601873536361</v>
      </c>
      <c r="Q351">
        <f t="shared" si="970"/>
        <v>-14742.618266979001</v>
      </c>
      <c r="R351">
        <f t="shared" si="971"/>
        <v>-2502316.7969771326</v>
      </c>
      <c r="S351">
        <f t="shared" si="972"/>
        <v>-25.023167969771325</v>
      </c>
      <c r="T351">
        <f t="shared" si="973"/>
        <v>-2.5023167969771325E-2</v>
      </c>
    </row>
    <row r="352" spans="1:20" x14ac:dyDescent="0.25">
      <c r="A352" s="5">
        <v>44241</v>
      </c>
      <c r="B352">
        <v>12.297000000000001</v>
      </c>
      <c r="C352">
        <v>12.8</v>
      </c>
      <c r="D352">
        <v>9.5</v>
      </c>
      <c r="E352">
        <v>11.27</v>
      </c>
      <c r="F352">
        <v>218225.861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7.2727272727272238E-2</v>
      </c>
      <c r="Q352">
        <f t="shared" si="970"/>
        <v>15870.971709090803</v>
      </c>
      <c r="R352">
        <f t="shared" si="971"/>
        <v>-2487574.1787101533</v>
      </c>
      <c r="S352">
        <f t="shared" si="972"/>
        <v>-24.875741787101532</v>
      </c>
      <c r="T352">
        <f t="shared" si="973"/>
        <v>-2.4875741787101533E-2</v>
      </c>
    </row>
    <row r="353" spans="1:20" x14ac:dyDescent="0.25">
      <c r="A353" s="5">
        <v>44240</v>
      </c>
      <c r="B353">
        <v>10.999000000000001</v>
      </c>
      <c r="C353">
        <v>14.8</v>
      </c>
      <c r="D353">
        <v>10.728999999999999</v>
      </c>
      <c r="E353">
        <v>12.22</v>
      </c>
      <c r="F353">
        <v>608133.94900000002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-0.26750184229918894</v>
      </c>
      <c r="Q353">
        <f t="shared" si="970"/>
        <v>-162676.95172218102</v>
      </c>
      <c r="R353">
        <f t="shared" si="971"/>
        <v>-2503445.1504192441</v>
      </c>
      <c r="S353">
        <f t="shared" si="972"/>
        <v>-25.03445150419244</v>
      </c>
      <c r="T353">
        <f t="shared" si="973"/>
        <v>-2.5034451504192441E-2</v>
      </c>
    </row>
    <row r="354" spans="1:20" x14ac:dyDescent="0.25">
      <c r="A354" s="5">
        <v>44239</v>
      </c>
      <c r="B354">
        <v>9.8689999999999998</v>
      </c>
      <c r="C354">
        <v>11</v>
      </c>
      <c r="D354">
        <v>9.68</v>
      </c>
      <c r="E354">
        <v>10.994999999999999</v>
      </c>
      <c r="F354">
        <v>282667.96600000001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0.99242424242424121</v>
      </c>
      <c r="Q354">
        <f t="shared" si="970"/>
        <v>280526.54201515118</v>
      </c>
      <c r="R354">
        <f t="shared" si="971"/>
        <v>-2340768.1986970631</v>
      </c>
      <c r="S354">
        <f t="shared" si="972"/>
        <v>-23.40768198697063</v>
      </c>
      <c r="T354">
        <f t="shared" si="973"/>
        <v>-2.340768198697063E-2</v>
      </c>
    </row>
    <row r="355" spans="1:20" x14ac:dyDescent="0.25">
      <c r="A355" s="5">
        <v>44238</v>
      </c>
      <c r="B355">
        <v>9.0150000000000006</v>
      </c>
      <c r="C355">
        <v>11.316000000000001</v>
      </c>
      <c r="D355">
        <v>8.9710000000000001</v>
      </c>
      <c r="E355">
        <v>9.8699999999999992</v>
      </c>
      <c r="F355">
        <v>372197.87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-0.23326226012793272</v>
      </c>
      <c r="Q355">
        <f t="shared" si="970"/>
        <v>-86819.716371002491</v>
      </c>
      <c r="R355">
        <f t="shared" si="971"/>
        <v>-2621294.7407122143</v>
      </c>
      <c r="S355">
        <f t="shared" si="972"/>
        <v>-26.212947407122144</v>
      </c>
      <c r="T355">
        <f t="shared" si="973"/>
        <v>-2.6212947407122145E-2</v>
      </c>
    </row>
    <row r="356" spans="1:20" x14ac:dyDescent="0.25">
      <c r="A356" s="5">
        <v>44237</v>
      </c>
      <c r="B356">
        <v>8.9939999999999998</v>
      </c>
      <c r="C356">
        <v>10.444000000000001</v>
      </c>
      <c r="D356">
        <v>8.41</v>
      </c>
      <c r="E356">
        <v>8.9960000000000004</v>
      </c>
      <c r="F356">
        <v>279833.35700000002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-0.42379547689282193</v>
      </c>
      <c r="Q356">
        <f t="shared" si="970"/>
        <v>-118592.1109803343</v>
      </c>
      <c r="R356">
        <f t="shared" si="971"/>
        <v>-2534475.0243412117</v>
      </c>
      <c r="S356">
        <f t="shared" si="972"/>
        <v>-25.344750243412115</v>
      </c>
      <c r="T356">
        <f t="shared" si="973"/>
        <v>-2.5344750243412116E-2</v>
      </c>
    </row>
    <row r="357" spans="1:20" x14ac:dyDescent="0.25">
      <c r="A357" s="5">
        <v>44236</v>
      </c>
      <c r="B357">
        <v>8.5519999999999996</v>
      </c>
      <c r="C357">
        <v>9.468</v>
      </c>
      <c r="D357">
        <v>8.468</v>
      </c>
      <c r="E357">
        <v>8.9939999999999998</v>
      </c>
      <c r="F357">
        <v>181531.79699999999</v>
      </c>
      <c r="G357">
        <v>0</v>
      </c>
      <c r="L357" t="s">
        <v>8</v>
      </c>
      <c r="M357" t="s">
        <v>7</v>
      </c>
      <c r="N357" t="s">
        <v>8</v>
      </c>
      <c r="P357">
        <f t="shared" si="969"/>
        <v>5.1999999999999602E-2</v>
      </c>
      <c r="Q357">
        <f t="shared" si="970"/>
        <v>9439.6534439999268</v>
      </c>
      <c r="R357">
        <f t="shared" si="971"/>
        <v>-2415882.9133608774</v>
      </c>
      <c r="S357">
        <f t="shared" si="972"/>
        <v>-24.158829133608773</v>
      </c>
      <c r="T357">
        <f t="shared" si="973"/>
        <v>-2.4158829133608773E-2</v>
      </c>
    </row>
    <row r="358" spans="1:20" x14ac:dyDescent="0.25">
      <c r="A358" s="5">
        <v>44235</v>
      </c>
      <c r="B358">
        <v>8.2629999999999999</v>
      </c>
      <c r="C358">
        <v>8.7810000000000006</v>
      </c>
      <c r="D358">
        <v>8.2620000000000005</v>
      </c>
      <c r="E358">
        <v>8.577</v>
      </c>
      <c r="F358">
        <v>108297.061</v>
      </c>
      <c r="G358">
        <v>0</v>
      </c>
      <c r="L358" t="s">
        <v>7</v>
      </c>
      <c r="M358" t="s">
        <v>7</v>
      </c>
      <c r="N358" t="s">
        <v>8</v>
      </c>
      <c r="P358">
        <f t="shared" si="969"/>
        <v>0.21387283236993998</v>
      </c>
      <c r="Q358">
        <f t="shared" si="970"/>
        <v>23161.799173410163</v>
      </c>
      <c r="R358">
        <f t="shared" si="971"/>
        <v>-2425322.5668048775</v>
      </c>
      <c r="S358">
        <f t="shared" si="972"/>
        <v>-24.253225668048774</v>
      </c>
      <c r="T358">
        <f t="shared" si="973"/>
        <v>-2.4253225668048776E-2</v>
      </c>
    </row>
    <row r="359" spans="1:20" x14ac:dyDescent="0.25">
      <c r="A359" s="5">
        <v>44234</v>
      </c>
      <c r="B359">
        <v>8.5069999999999997</v>
      </c>
      <c r="C359">
        <v>8.8480000000000008</v>
      </c>
      <c r="D359">
        <v>8.19</v>
      </c>
      <c r="E359">
        <v>8.3000000000000007</v>
      </c>
      <c r="F359">
        <v>102191.55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-0.66565349544072649</v>
      </c>
      <c r="Q359">
        <f t="shared" si="970"/>
        <v>-68024.16246200577</v>
      </c>
      <c r="R359">
        <f t="shared" si="971"/>
        <v>-2448484.3659782875</v>
      </c>
      <c r="S359">
        <f t="shared" si="972"/>
        <v>-24.484843659782875</v>
      </c>
      <c r="T359">
        <f t="shared" si="973"/>
        <v>-2.4484843659782877E-2</v>
      </c>
    </row>
    <row r="360" spans="1:20" x14ac:dyDescent="0.25">
      <c r="A360" s="5">
        <v>44233</v>
      </c>
      <c r="B360">
        <v>8.1709999999999994</v>
      </c>
      <c r="C360">
        <v>11.289</v>
      </c>
      <c r="D360">
        <v>7.9</v>
      </c>
      <c r="E360">
        <v>8.51</v>
      </c>
      <c r="F360">
        <v>374506.89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-0.64001180289170878</v>
      </c>
      <c r="Q360">
        <f t="shared" si="970"/>
        <v>-239688.82986426688</v>
      </c>
      <c r="R360">
        <f t="shared" si="971"/>
        <v>-2380460.2035162817</v>
      </c>
      <c r="S360">
        <f t="shared" si="972"/>
        <v>-23.804602035162816</v>
      </c>
      <c r="T360">
        <f t="shared" si="973"/>
        <v>-2.3804602035162815E-2</v>
      </c>
    </row>
    <row r="361" spans="1:20" x14ac:dyDescent="0.25">
      <c r="A361" s="5">
        <v>44232</v>
      </c>
      <c r="B361">
        <v>7.8170000000000002</v>
      </c>
      <c r="C361">
        <v>8.6999999999999993</v>
      </c>
      <c r="D361">
        <v>7.8029999999999999</v>
      </c>
      <c r="E361">
        <v>8.1709999999999994</v>
      </c>
      <c r="F361">
        <v>100319.20299999999</v>
      </c>
      <c r="G361">
        <v>0</v>
      </c>
      <c r="L361" t="s">
        <v>8</v>
      </c>
      <c r="M361" t="s">
        <v>7</v>
      </c>
      <c r="N361" t="s">
        <v>7</v>
      </c>
      <c r="P361">
        <f t="shared" si="969"/>
        <v>-0.17948717948718015</v>
      </c>
      <c r="Q361">
        <f t="shared" si="970"/>
        <v>-18006.010794871861</v>
      </c>
      <c r="R361">
        <f t="shared" si="971"/>
        <v>-2140771.3736520149</v>
      </c>
      <c r="S361">
        <f t="shared" si="972"/>
        <v>-21.407713736520147</v>
      </c>
      <c r="T361">
        <f t="shared" si="973"/>
        <v>-2.1407713736520149E-2</v>
      </c>
    </row>
    <row r="362" spans="1:20" x14ac:dyDescent="0.25">
      <c r="A362" s="5">
        <v>44231</v>
      </c>
      <c r="B362">
        <v>8.0289999999999999</v>
      </c>
      <c r="C362">
        <v>8.0879999999999992</v>
      </c>
      <c r="D362">
        <v>7.7</v>
      </c>
      <c r="E362">
        <v>7.851</v>
      </c>
      <c r="F362">
        <v>55006.411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-0.22164948453608152</v>
      </c>
      <c r="Q362">
        <f t="shared" si="970"/>
        <v>-12192.142644329844</v>
      </c>
      <c r="R362">
        <f t="shared" si="971"/>
        <v>-2122765.3628571429</v>
      </c>
      <c r="S362">
        <f t="shared" si="972"/>
        <v>-21.227653628571428</v>
      </c>
      <c r="T362">
        <f t="shared" si="973"/>
        <v>-2.1227653628571427E-2</v>
      </c>
    </row>
    <row r="363" spans="1:20" x14ac:dyDescent="0.25">
      <c r="A363" s="5">
        <v>44230</v>
      </c>
      <c r="B363">
        <v>8.0660000000000007</v>
      </c>
      <c r="C363">
        <v>8.1430000000000007</v>
      </c>
      <c r="D363">
        <v>7.8540000000000001</v>
      </c>
      <c r="E363">
        <v>8.016</v>
      </c>
      <c r="F363">
        <v>61440.841</v>
      </c>
      <c r="G363">
        <v>0</v>
      </c>
      <c r="L363" t="s">
        <v>7</v>
      </c>
      <c r="M363" t="s">
        <v>7</v>
      </c>
      <c r="N363" t="s">
        <v>7</v>
      </c>
      <c r="P363">
        <f t="shared" si="969"/>
        <v>0.12110726643598332</v>
      </c>
      <c r="Q363">
        <f t="shared" si="970"/>
        <v>7440.9323010378885</v>
      </c>
      <c r="R363">
        <f t="shared" si="971"/>
        <v>-2110573.220212813</v>
      </c>
      <c r="S363">
        <f t="shared" si="972"/>
        <v>-21.105732202128131</v>
      </c>
      <c r="T363">
        <f t="shared" si="973"/>
        <v>-2.1105732202128132E-2</v>
      </c>
    </row>
    <row r="364" spans="1:20" x14ac:dyDescent="0.25">
      <c r="A364" s="5">
        <v>44229</v>
      </c>
      <c r="B364">
        <v>8.1690000000000005</v>
      </c>
      <c r="C364">
        <v>8.4979999999999993</v>
      </c>
      <c r="D364">
        <v>7.78</v>
      </c>
      <c r="E364">
        <v>8.0660000000000007</v>
      </c>
      <c r="F364">
        <v>61719.025999999998</v>
      </c>
      <c r="G364">
        <v>0</v>
      </c>
      <c r="L364" t="s">
        <v>8</v>
      </c>
      <c r="M364" t="s">
        <v>7</v>
      </c>
      <c r="N364" t="s">
        <v>7</v>
      </c>
      <c r="P364">
        <f t="shared" si="969"/>
        <v>-0.20334261838439877</v>
      </c>
      <c r="Q364">
        <f t="shared" si="970"/>
        <v>-12550.108350974784</v>
      </c>
      <c r="R364">
        <f t="shared" si="971"/>
        <v>-2118014.1525138509</v>
      </c>
      <c r="S364">
        <f t="shared" si="972"/>
        <v>-21.180141525138509</v>
      </c>
      <c r="T364">
        <f t="shared" si="973"/>
        <v>-2.1180141525138509E-2</v>
      </c>
    </row>
    <row r="365" spans="1:20" x14ac:dyDescent="0.25">
      <c r="A365" s="5">
        <v>44228</v>
      </c>
      <c r="B365">
        <v>8.0510000000000002</v>
      </c>
      <c r="C365">
        <v>8.2260000000000009</v>
      </c>
      <c r="D365">
        <v>7.6879999999999997</v>
      </c>
      <c r="E365">
        <v>8.1690000000000005</v>
      </c>
      <c r="F365">
        <v>93472.252999999997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0.78810408921932984</v>
      </c>
      <c r="Q365">
        <f t="shared" si="970"/>
        <v>73665.864817843772</v>
      </c>
      <c r="R365">
        <f t="shared" si="971"/>
        <v>-2105464.044162876</v>
      </c>
      <c r="S365">
        <f t="shared" si="972"/>
        <v>-21.054640441628759</v>
      </c>
      <c r="T365">
        <f t="shared" si="973"/>
        <v>-2.1054640441628761E-2</v>
      </c>
    </row>
    <row r="366" spans="1:20" x14ac:dyDescent="0.25">
      <c r="A366" s="5">
        <v>44227</v>
      </c>
      <c r="B366">
        <v>8.1310000000000002</v>
      </c>
      <c r="C366">
        <v>11.445</v>
      </c>
      <c r="D366">
        <v>7.782</v>
      </c>
      <c r="E366">
        <v>7.9770000000000003</v>
      </c>
      <c r="F366">
        <v>226784.12899999999</v>
      </c>
      <c r="G366">
        <v>0</v>
      </c>
      <c r="L366" t="s">
        <v>7</v>
      </c>
      <c r="M366" t="s">
        <v>8</v>
      </c>
      <c r="N366" t="s">
        <v>8</v>
      </c>
      <c r="P366">
        <f t="shared" si="969"/>
        <v>-0.89352989352989343</v>
      </c>
      <c r="Q366">
        <f t="shared" si="970"/>
        <v>-202638.39863963961</v>
      </c>
      <c r="R366">
        <f t="shared" si="971"/>
        <v>-2179129.9089807197</v>
      </c>
      <c r="S366">
        <f t="shared" si="972"/>
        <v>-21.791299089807197</v>
      </c>
      <c r="T366">
        <f t="shared" si="973"/>
        <v>-2.1791299089807196E-2</v>
      </c>
    </row>
    <row r="367" spans="1:20" x14ac:dyDescent="0.25">
      <c r="A367" s="5">
        <v>44226</v>
      </c>
      <c r="B367">
        <v>8.0649999999999995</v>
      </c>
      <c r="C367">
        <v>8.5449999999999999</v>
      </c>
      <c r="D367">
        <v>7.9290000000000003</v>
      </c>
      <c r="E367">
        <v>8.1890000000000001</v>
      </c>
      <c r="F367">
        <v>49245.516000000003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-0.15584415584415606</v>
      </c>
      <c r="Q367">
        <f t="shared" si="970"/>
        <v>-7674.6258701298812</v>
      </c>
      <c r="R367">
        <f t="shared" si="971"/>
        <v>-1976491.5103410804</v>
      </c>
      <c r="S367">
        <f t="shared" si="972"/>
        <v>-19.764915103410804</v>
      </c>
      <c r="T367">
        <f t="shared" si="973"/>
        <v>-1.9764915103410805E-2</v>
      </c>
    </row>
    <row r="368" spans="1:20" x14ac:dyDescent="0.25">
      <c r="A368" s="5">
        <v>44225</v>
      </c>
      <c r="B368">
        <v>8.36</v>
      </c>
      <c r="C368">
        <v>8.6170000000000009</v>
      </c>
      <c r="D368">
        <v>7.9320000000000004</v>
      </c>
      <c r="E368">
        <v>8.0030000000000001</v>
      </c>
      <c r="F368">
        <v>59720.707000000002</v>
      </c>
      <c r="G368">
        <v>0</v>
      </c>
      <c r="L368" t="s">
        <v>8</v>
      </c>
      <c r="M368" t="s">
        <v>7</v>
      </c>
      <c r="N368" t="s">
        <v>7</v>
      </c>
      <c r="P368">
        <f t="shared" si="969"/>
        <v>-0.79270072992700824</v>
      </c>
      <c r="Q368">
        <f t="shared" si="970"/>
        <v>-47340.648030656994</v>
      </c>
      <c r="R368">
        <f t="shared" si="971"/>
        <v>-1968816.8844709506</v>
      </c>
      <c r="S368">
        <f t="shared" si="972"/>
        <v>-19.688168844709505</v>
      </c>
      <c r="T368">
        <f t="shared" si="973"/>
        <v>-1.9688168844709506E-2</v>
      </c>
    </row>
    <row r="369" spans="1:20" x14ac:dyDescent="0.25">
      <c r="A369" s="5">
        <v>44224</v>
      </c>
      <c r="B369">
        <v>8.0210000000000008</v>
      </c>
      <c r="C369">
        <v>9.5</v>
      </c>
      <c r="D369">
        <v>7.9470000000000001</v>
      </c>
      <c r="E369">
        <v>8.36</v>
      </c>
      <c r="F369">
        <v>87035.626999999993</v>
      </c>
      <c r="G369">
        <v>0</v>
      </c>
      <c r="L369" t="s">
        <v>7</v>
      </c>
      <c r="M369" t="s">
        <v>8</v>
      </c>
      <c r="N369" t="s">
        <v>7</v>
      </c>
      <c r="P369">
        <f t="shared" si="969"/>
        <v>-0.46812620734063182</v>
      </c>
      <c r="Q369">
        <f t="shared" si="970"/>
        <v>-40743.657971023888</v>
      </c>
      <c r="R369">
        <f t="shared" si="971"/>
        <v>-1921476.2364402935</v>
      </c>
      <c r="S369">
        <f t="shared" si="972"/>
        <v>-19.214762364402937</v>
      </c>
      <c r="T369">
        <f t="shared" si="973"/>
        <v>-1.9214762364402938E-2</v>
      </c>
    </row>
    <row r="370" spans="1:20" x14ac:dyDescent="0.25">
      <c r="A370" s="5">
        <v>44223</v>
      </c>
      <c r="B370">
        <v>8.7390000000000008</v>
      </c>
      <c r="C370">
        <v>8.8119999999999994</v>
      </c>
      <c r="D370">
        <v>8.016</v>
      </c>
      <c r="E370">
        <v>8.0210000000000008</v>
      </c>
      <c r="F370">
        <v>32160.451000000001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-0.98743718592964624</v>
      </c>
      <c r="Q370">
        <f t="shared" si="970"/>
        <v>-31756.425233668277</v>
      </c>
      <c r="R370">
        <f t="shared" si="971"/>
        <v>-1880732.5784692697</v>
      </c>
      <c r="S370">
        <f t="shared" si="972"/>
        <v>-18.807325784692697</v>
      </c>
      <c r="T370">
        <f t="shared" si="973"/>
        <v>-1.8807325784692696E-2</v>
      </c>
    </row>
    <row r="371" spans="1:20" x14ac:dyDescent="0.25">
      <c r="A371" s="5">
        <v>44222</v>
      </c>
      <c r="B371">
        <v>8.6950000000000003</v>
      </c>
      <c r="C371">
        <v>8.9600000000000009</v>
      </c>
      <c r="D371">
        <v>8.2929999999999993</v>
      </c>
      <c r="E371">
        <v>8.7189999999999994</v>
      </c>
      <c r="F371">
        <v>42151.250999999997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0.27736131934032726</v>
      </c>
      <c r="Q371">
        <f t="shared" si="970"/>
        <v>11691.126589205287</v>
      </c>
      <c r="R371">
        <f t="shared" si="971"/>
        <v>-1848976.1532356015</v>
      </c>
      <c r="S371">
        <f t="shared" si="972"/>
        <v>-18.489761532356017</v>
      </c>
      <c r="T371">
        <f t="shared" si="973"/>
        <v>-1.8489761532356017E-2</v>
      </c>
    </row>
    <row r="372" spans="1:20" x14ac:dyDescent="0.25">
      <c r="A372" s="5">
        <v>44221</v>
      </c>
      <c r="B372">
        <v>9.0939999999999994</v>
      </c>
      <c r="C372">
        <v>9.2409999999999997</v>
      </c>
      <c r="D372">
        <v>8.6010000000000009</v>
      </c>
      <c r="E372">
        <v>8.75</v>
      </c>
      <c r="F372">
        <v>19322.438999999998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-0.53437500000000182</v>
      </c>
      <c r="Q372">
        <f t="shared" si="970"/>
        <v>-10325.428340625034</v>
      </c>
      <c r="R372">
        <f t="shared" si="971"/>
        <v>-1860667.2798248068</v>
      </c>
      <c r="S372">
        <f t="shared" si="972"/>
        <v>-18.60667279824807</v>
      </c>
      <c r="T372">
        <f t="shared" si="973"/>
        <v>-1.860667279824807E-2</v>
      </c>
    </row>
    <row r="373" spans="1:20" x14ac:dyDescent="0.25">
      <c r="A373" s="5">
        <v>44220</v>
      </c>
      <c r="B373">
        <v>9.1479999999999997</v>
      </c>
      <c r="C373">
        <v>9.6229999999999993</v>
      </c>
      <c r="D373">
        <v>8.6999999999999993</v>
      </c>
      <c r="E373">
        <v>9.093</v>
      </c>
      <c r="F373">
        <v>23898.367999999999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-0.14842903575297797</v>
      </c>
      <c r="Q373">
        <f t="shared" si="970"/>
        <v>-3547.2117183098244</v>
      </c>
      <c r="R373">
        <f t="shared" si="971"/>
        <v>-1850341.8514841818</v>
      </c>
      <c r="S373">
        <f t="shared" si="972"/>
        <v>-18.503418514841819</v>
      </c>
      <c r="T373">
        <f t="shared" si="973"/>
        <v>-1.8503418514841819E-2</v>
      </c>
    </row>
    <row r="374" spans="1:20" x14ac:dyDescent="0.25">
      <c r="A374" s="5">
        <v>44219</v>
      </c>
      <c r="B374">
        <v>9.2159999999999993</v>
      </c>
      <c r="C374">
        <v>9.65</v>
      </c>
      <c r="D374">
        <v>8.9149999999999991</v>
      </c>
      <c r="E374">
        <v>9.1859999999999999</v>
      </c>
      <c r="F374">
        <v>21444.346000000001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-0.2625850340136045</v>
      </c>
      <c r="Q374">
        <f t="shared" si="970"/>
        <v>-5630.9643238095041</v>
      </c>
      <c r="R374">
        <f t="shared" si="971"/>
        <v>-1846794.6397658719</v>
      </c>
      <c r="S374">
        <f t="shared" si="972"/>
        <v>-18.467946397658718</v>
      </c>
      <c r="T374">
        <f t="shared" si="973"/>
        <v>-1.8467946397658717E-2</v>
      </c>
    </row>
    <row r="375" spans="1:20" x14ac:dyDescent="0.25">
      <c r="A375" s="5">
        <v>44218</v>
      </c>
      <c r="B375">
        <v>8.7029999999999994</v>
      </c>
      <c r="C375">
        <v>9.6</v>
      </c>
      <c r="D375">
        <v>8.1199999999999992</v>
      </c>
      <c r="E375">
        <v>9.2149999999999999</v>
      </c>
      <c r="F375">
        <v>21018.904999999999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0.47972972972973016</v>
      </c>
      <c r="Q375">
        <f t="shared" si="970"/>
        <v>10083.393614864874</v>
      </c>
      <c r="R375">
        <f t="shared" si="971"/>
        <v>-1841163.6754420623</v>
      </c>
      <c r="S375">
        <f t="shared" si="972"/>
        <v>-18.411636754420623</v>
      </c>
      <c r="T375">
        <f t="shared" si="973"/>
        <v>-1.8411636754420622E-2</v>
      </c>
    </row>
    <row r="376" spans="1:20" x14ac:dyDescent="0.25">
      <c r="A376" s="5">
        <v>44217</v>
      </c>
      <c r="B376">
        <v>9.65</v>
      </c>
      <c r="C376">
        <v>9.7289999999999992</v>
      </c>
      <c r="D376">
        <v>8.6739999999999995</v>
      </c>
      <c r="E376">
        <v>8.7070000000000007</v>
      </c>
      <c r="F376">
        <v>114573.76700000001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-0.93744075829383644</v>
      </c>
      <c r="Q376">
        <f t="shared" si="970"/>
        <v>-107406.11901706134</v>
      </c>
      <c r="R376">
        <f t="shared" si="971"/>
        <v>-1851247.0690569272</v>
      </c>
      <c r="S376">
        <f t="shared" si="972"/>
        <v>-18.512470690569273</v>
      </c>
      <c r="T376">
        <f t="shared" si="973"/>
        <v>-1.8512470690569275E-2</v>
      </c>
    </row>
    <row r="377" spans="1:20" x14ac:dyDescent="0.25">
      <c r="A377" s="5">
        <v>44216</v>
      </c>
      <c r="B377">
        <v>9.6820000000000004</v>
      </c>
      <c r="C377">
        <v>9.8219999999999992</v>
      </c>
      <c r="D377">
        <v>9.1999999999999993</v>
      </c>
      <c r="E377">
        <v>9.6579999999999995</v>
      </c>
      <c r="F377">
        <v>63653.824999999997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0.47266881028938995</v>
      </c>
      <c r="Q377">
        <f t="shared" si="970"/>
        <v>30087.177733119024</v>
      </c>
      <c r="R377">
        <f t="shared" si="971"/>
        <v>-1743840.9500398659</v>
      </c>
      <c r="S377">
        <f t="shared" si="972"/>
        <v>-17.438409500398659</v>
      </c>
      <c r="T377">
        <f t="shared" si="973"/>
        <v>-1.7438409500398658E-2</v>
      </c>
    </row>
    <row r="378" spans="1:20" x14ac:dyDescent="0.25">
      <c r="A378" s="5">
        <v>44215</v>
      </c>
      <c r="B378">
        <v>9.952</v>
      </c>
      <c r="C378">
        <v>10.195</v>
      </c>
      <c r="D378">
        <v>9.68</v>
      </c>
      <c r="E378">
        <v>9.6820000000000004</v>
      </c>
      <c r="F378">
        <v>194529.46100000001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-0.99223300970873529</v>
      </c>
      <c r="Q378">
        <f t="shared" si="970"/>
        <v>-193018.55256504804</v>
      </c>
      <c r="R378">
        <f t="shared" si="971"/>
        <v>-1773928.127772985</v>
      </c>
      <c r="S378">
        <f t="shared" si="972"/>
        <v>-17.739281277729852</v>
      </c>
      <c r="T378">
        <f t="shared" si="973"/>
        <v>-1.7739281277729852E-2</v>
      </c>
    </row>
    <row r="379" spans="1:20" x14ac:dyDescent="0.25">
      <c r="A379" s="5">
        <v>44214</v>
      </c>
      <c r="B379">
        <v>9.8130000000000006</v>
      </c>
      <c r="C379">
        <v>10.249000000000001</v>
      </c>
      <c r="D379">
        <v>9.6050000000000004</v>
      </c>
      <c r="E379">
        <v>9.9529999999999994</v>
      </c>
      <c r="F379">
        <v>251583.96299999999</v>
      </c>
      <c r="G379">
        <v>0</v>
      </c>
      <c r="L379" t="s">
        <v>7</v>
      </c>
      <c r="M379" t="s">
        <v>7</v>
      </c>
      <c r="N379" t="s">
        <v>8</v>
      </c>
      <c r="P379">
        <f t="shared" si="969"/>
        <v>8.0745341614903446E-2</v>
      </c>
      <c r="Q379">
        <f t="shared" si="970"/>
        <v>20314.233037266229</v>
      </c>
      <c r="R379">
        <f t="shared" si="971"/>
        <v>-1580909.575207937</v>
      </c>
      <c r="S379">
        <f t="shared" si="972"/>
        <v>-15.80909575207937</v>
      </c>
      <c r="T379">
        <f t="shared" si="973"/>
        <v>-1.580909575207937E-2</v>
      </c>
    </row>
    <row r="380" spans="1:20" x14ac:dyDescent="0.25">
      <c r="A380" s="5">
        <v>44213</v>
      </c>
      <c r="B380">
        <v>10.093999999999999</v>
      </c>
      <c r="C380">
        <v>10.32</v>
      </c>
      <c r="D380">
        <v>9.6199999999999992</v>
      </c>
      <c r="E380">
        <v>9.8130000000000006</v>
      </c>
      <c r="F380">
        <v>106529.374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-0.44857142857142546</v>
      </c>
      <c r="Q380">
        <f t="shared" si="970"/>
        <v>-47786.033479999664</v>
      </c>
      <c r="R380">
        <f t="shared" si="971"/>
        <v>-1601223.8082452032</v>
      </c>
      <c r="S380">
        <f t="shared" si="972"/>
        <v>-16.012238082452033</v>
      </c>
      <c r="T380">
        <f t="shared" si="973"/>
        <v>-1.6012238082452033E-2</v>
      </c>
    </row>
    <row r="381" spans="1:20" x14ac:dyDescent="0.25">
      <c r="A381" s="5">
        <v>44212</v>
      </c>
      <c r="B381">
        <v>9.99</v>
      </c>
      <c r="C381">
        <v>10.5</v>
      </c>
      <c r="D381">
        <v>9.6280000000000001</v>
      </c>
      <c r="E381">
        <v>10.087999999999999</v>
      </c>
      <c r="F381">
        <v>161456.424</v>
      </c>
      <c r="G381">
        <v>0</v>
      </c>
      <c r="L381" t="s">
        <v>8</v>
      </c>
      <c r="M381" t="s">
        <v>7</v>
      </c>
      <c r="N381" t="s">
        <v>8</v>
      </c>
      <c r="P381">
        <f t="shared" si="969"/>
        <v>5.5045871559631046E-2</v>
      </c>
      <c r="Q381">
        <f t="shared" si="970"/>
        <v>8887.5095779813309</v>
      </c>
      <c r="R381">
        <f t="shared" si="971"/>
        <v>-1553437.7747652035</v>
      </c>
      <c r="S381">
        <f t="shared" si="972"/>
        <v>-15.534377747652035</v>
      </c>
      <c r="T381">
        <f t="shared" si="973"/>
        <v>-1.5534377747652036E-2</v>
      </c>
    </row>
    <row r="382" spans="1:20" x14ac:dyDescent="0.25">
      <c r="A382" s="5">
        <v>44211</v>
      </c>
      <c r="B382">
        <v>10.159000000000001</v>
      </c>
      <c r="C382">
        <v>10.284000000000001</v>
      </c>
      <c r="D382">
        <v>9.4649999999999999</v>
      </c>
      <c r="E382">
        <v>9.9730000000000008</v>
      </c>
      <c r="F382">
        <v>169141.82199999999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0.24053724053724146</v>
      </c>
      <c r="Q382">
        <f t="shared" si="970"/>
        <v>40684.907123321274</v>
      </c>
      <c r="R382">
        <f t="shared" si="971"/>
        <v>-1562325.2843431849</v>
      </c>
      <c r="S382">
        <f t="shared" si="972"/>
        <v>-15.62325284343185</v>
      </c>
      <c r="T382">
        <f t="shared" si="973"/>
        <v>-1.5623252843431849E-2</v>
      </c>
    </row>
    <row r="383" spans="1:20" x14ac:dyDescent="0.25">
      <c r="A383" s="5">
        <v>44210</v>
      </c>
      <c r="B383">
        <v>10.492000000000001</v>
      </c>
      <c r="C383">
        <v>10.999000000000001</v>
      </c>
      <c r="D383">
        <v>9.8000000000000007</v>
      </c>
      <c r="E383">
        <v>10.166</v>
      </c>
      <c r="F383">
        <v>92677.228000000003</v>
      </c>
      <c r="G383">
        <v>0</v>
      </c>
      <c r="L383" t="s">
        <v>7</v>
      </c>
      <c r="M383" t="s">
        <v>7</v>
      </c>
      <c r="N383" t="s">
        <v>8</v>
      </c>
      <c r="P383">
        <f t="shared" si="969"/>
        <v>-0.38949124270225238</v>
      </c>
      <c r="Q383">
        <f t="shared" si="970"/>
        <v>-36096.968703919978</v>
      </c>
      <c r="R383">
        <f t="shared" si="971"/>
        <v>-1603010.1914665061</v>
      </c>
      <c r="S383">
        <f t="shared" si="972"/>
        <v>-16.03010191466506</v>
      </c>
      <c r="T383">
        <f t="shared" si="973"/>
        <v>-1.603010191466506E-2</v>
      </c>
    </row>
    <row r="384" spans="1:20" x14ac:dyDescent="0.25">
      <c r="A384" s="5">
        <v>44209</v>
      </c>
      <c r="B384">
        <v>9.2100000000000009</v>
      </c>
      <c r="C384">
        <v>12</v>
      </c>
      <c r="D384">
        <v>9.0850000000000009</v>
      </c>
      <c r="E384">
        <v>10.512</v>
      </c>
      <c r="F384">
        <v>176947.272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-2.0926243567752988E-2</v>
      </c>
      <c r="Q384">
        <f t="shared" si="970"/>
        <v>-3702.8417125214382</v>
      </c>
      <c r="R384">
        <f t="shared" si="971"/>
        <v>-1566913.2227625861</v>
      </c>
      <c r="S384">
        <f t="shared" si="972"/>
        <v>-15.669132227625861</v>
      </c>
      <c r="T384">
        <f t="shared" si="973"/>
        <v>-1.5669132227625861E-2</v>
      </c>
    </row>
    <row r="385" spans="1:20" x14ac:dyDescent="0.25">
      <c r="A385" s="5">
        <v>44208</v>
      </c>
      <c r="B385">
        <v>9.4380000000000006</v>
      </c>
      <c r="C385">
        <v>10.069000000000001</v>
      </c>
      <c r="D385">
        <v>8.83</v>
      </c>
      <c r="E385">
        <v>9.15</v>
      </c>
      <c r="F385">
        <v>30918.755000000001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-0.48345439870863588</v>
      </c>
      <c r="Q385">
        <f t="shared" si="970"/>
        <v>-14947.80810734463</v>
      </c>
      <c r="R385">
        <f t="shared" si="971"/>
        <v>-1563210.3810500647</v>
      </c>
      <c r="S385">
        <f t="shared" si="972"/>
        <v>-15.632103810500647</v>
      </c>
      <c r="T385">
        <f t="shared" si="973"/>
        <v>-1.5632103810500647E-2</v>
      </c>
    </row>
    <row r="386" spans="1:20" x14ac:dyDescent="0.25">
      <c r="A386" s="5">
        <v>44207</v>
      </c>
      <c r="B386">
        <v>9.85</v>
      </c>
      <c r="C386">
        <v>10.1</v>
      </c>
      <c r="D386">
        <v>8.1</v>
      </c>
      <c r="E386">
        <v>9.4290000000000003</v>
      </c>
      <c r="F386">
        <v>43398.665000000001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0.32900000000000063</v>
      </c>
      <c r="Q386">
        <f t="shared" si="970"/>
        <v>14278.160785000027</v>
      </c>
      <c r="R386">
        <f t="shared" si="971"/>
        <v>-1548262.57294272</v>
      </c>
      <c r="S386">
        <f t="shared" si="972"/>
        <v>-15.4826257294272</v>
      </c>
      <c r="T386">
        <f t="shared" si="973"/>
        <v>-1.5482625729427201E-2</v>
      </c>
    </row>
    <row r="387" spans="1:20" x14ac:dyDescent="0.25">
      <c r="A387" s="5">
        <v>44206</v>
      </c>
      <c r="B387">
        <v>10.507999999999999</v>
      </c>
      <c r="C387">
        <v>10.888</v>
      </c>
      <c r="D387">
        <v>9.56</v>
      </c>
      <c r="E387">
        <v>9.85</v>
      </c>
      <c r="F387">
        <v>25789.595000000001</v>
      </c>
      <c r="G387">
        <v>0</v>
      </c>
      <c r="L387" t="s">
        <v>8</v>
      </c>
      <c r="M387" t="s">
        <v>7</v>
      </c>
      <c r="N387" t="s">
        <v>8</v>
      </c>
      <c r="P387">
        <f t="shared" si="969"/>
        <v>-0.56325301204819389</v>
      </c>
      <c r="Q387">
        <f t="shared" si="970"/>
        <v>-14526.067063253042</v>
      </c>
      <c r="R387">
        <f t="shared" si="971"/>
        <v>-1562540.7337277201</v>
      </c>
      <c r="S387">
        <f t="shared" si="972"/>
        <v>-15.625407337277201</v>
      </c>
      <c r="T387">
        <f t="shared" si="973"/>
        <v>-1.56254073372772E-2</v>
      </c>
    </row>
    <row r="388" spans="1:20" x14ac:dyDescent="0.25">
      <c r="A388" s="5">
        <v>44205</v>
      </c>
      <c r="B388">
        <v>10.36</v>
      </c>
      <c r="C388">
        <v>10.98</v>
      </c>
      <c r="D388">
        <v>9.6999999999999993</v>
      </c>
      <c r="E388">
        <v>10.505000000000001</v>
      </c>
      <c r="F388">
        <v>33337.027000000002</v>
      </c>
      <c r="G388">
        <v>0</v>
      </c>
      <c r="L388" t="s">
        <v>7</v>
      </c>
      <c r="M388" t="s">
        <v>7</v>
      </c>
      <c r="N388" t="s">
        <v>8</v>
      </c>
      <c r="P388">
        <f t="shared" si="969"/>
        <v>0.25781250000000122</v>
      </c>
      <c r="Q388">
        <f t="shared" si="970"/>
        <v>8594.7022734375405</v>
      </c>
      <c r="R388">
        <f t="shared" si="971"/>
        <v>-1548014.666664467</v>
      </c>
      <c r="S388">
        <f t="shared" si="972"/>
        <v>-15.48014666664467</v>
      </c>
      <c r="T388">
        <f t="shared" si="973"/>
        <v>-1.548014666664467E-2</v>
      </c>
    </row>
    <row r="389" spans="1:20" x14ac:dyDescent="0.25">
      <c r="A389" s="5">
        <v>44204</v>
      </c>
      <c r="B389">
        <v>9.6969999999999992</v>
      </c>
      <c r="C389">
        <v>12.797000000000001</v>
      </c>
      <c r="D389">
        <v>8.7899999999999991</v>
      </c>
      <c r="E389">
        <v>10.36</v>
      </c>
      <c r="F389">
        <v>117441.099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-0.21637135013725994</v>
      </c>
      <c r="Q389">
        <f t="shared" si="970"/>
        <v>-25410.889152233609</v>
      </c>
      <c r="R389">
        <f t="shared" si="971"/>
        <v>-1556609.3689379045</v>
      </c>
      <c r="S389">
        <f t="shared" si="972"/>
        <v>-15.566093689379045</v>
      </c>
      <c r="T389">
        <f t="shared" si="973"/>
        <v>-1.5566093689379045E-2</v>
      </c>
    </row>
    <row r="390" spans="1:20" x14ac:dyDescent="0.25">
      <c r="A390" s="5">
        <v>44203</v>
      </c>
      <c r="B390">
        <v>9.9329999999999998</v>
      </c>
      <c r="C390">
        <v>10.621</v>
      </c>
      <c r="D390">
        <v>8.6349999999999998</v>
      </c>
      <c r="E390">
        <v>9.7989999999999995</v>
      </c>
      <c r="F390">
        <v>76916.751999999993</v>
      </c>
      <c r="G390">
        <v>0</v>
      </c>
      <c r="L390" t="s">
        <v>7</v>
      </c>
      <c r="M390" t="s">
        <v>7</v>
      </c>
      <c r="N390" t="s">
        <v>7</v>
      </c>
      <c r="P390">
        <f t="shared" ref="P390:P453" si="974">IF(C390=D390,0,((E390-D390)-(C390-E390))/(C390-D390))</f>
        <v>0.17220543806646457</v>
      </c>
      <c r="Q390">
        <f t="shared" ref="Q390:Q453" si="975">F390*P390</f>
        <v>13245.482972809614</v>
      </c>
      <c r="R390">
        <f t="shared" ref="R390:R453" si="976">R391+Q390</f>
        <v>-1531198.4797856708</v>
      </c>
      <c r="S390">
        <f t="shared" ref="S390:S453" si="977">R390/100000</f>
        <v>-15.311984797856708</v>
      </c>
      <c r="T390">
        <f t="shared" ref="T390:T453" si="978">S390/1000</f>
        <v>-1.5311984797856708E-2</v>
      </c>
    </row>
    <row r="391" spans="1:20" x14ac:dyDescent="0.25">
      <c r="A391" s="5">
        <v>44202</v>
      </c>
      <c r="B391">
        <v>10.239000000000001</v>
      </c>
      <c r="C391">
        <v>10.85</v>
      </c>
      <c r="D391">
        <v>9.5220000000000002</v>
      </c>
      <c r="E391">
        <v>9.9329999999999998</v>
      </c>
      <c r="F391">
        <v>40072.938000000002</v>
      </c>
      <c r="G391">
        <v>0</v>
      </c>
      <c r="L391" t="s">
        <v>7</v>
      </c>
      <c r="M391" t="s">
        <v>7</v>
      </c>
      <c r="N391" t="s">
        <v>7</v>
      </c>
      <c r="P391">
        <f t="shared" si="974"/>
        <v>-0.38102409638554252</v>
      </c>
      <c r="Q391">
        <f t="shared" si="975"/>
        <v>-15268.754990963871</v>
      </c>
      <c r="R391">
        <f t="shared" si="976"/>
        <v>-1544443.9627584803</v>
      </c>
      <c r="S391">
        <f t="shared" si="977"/>
        <v>-15.444439627584803</v>
      </c>
      <c r="T391">
        <f t="shared" si="978"/>
        <v>-1.5444439627584803E-2</v>
      </c>
    </row>
    <row r="392" spans="1:20" x14ac:dyDescent="0.25">
      <c r="A392" s="5">
        <v>44201</v>
      </c>
      <c r="B392">
        <v>10.45</v>
      </c>
      <c r="C392">
        <v>11</v>
      </c>
      <c r="D392">
        <v>9.6</v>
      </c>
      <c r="E392">
        <v>10.231</v>
      </c>
      <c r="F392">
        <v>41682.328999999998</v>
      </c>
      <c r="G392">
        <v>0</v>
      </c>
      <c r="L392" t="s">
        <v>8</v>
      </c>
      <c r="M392" t="s">
        <v>7</v>
      </c>
      <c r="N392" t="s">
        <v>7</v>
      </c>
      <c r="P392">
        <f t="shared" si="974"/>
        <v>-9.8571428571428477E-2</v>
      </c>
      <c r="Q392">
        <f t="shared" si="975"/>
        <v>-4108.6867157142815</v>
      </c>
      <c r="R392">
        <f t="shared" si="976"/>
        <v>-1529175.2077675164</v>
      </c>
      <c r="S392">
        <f t="shared" si="977"/>
        <v>-15.291752077675163</v>
      </c>
      <c r="T392">
        <f t="shared" si="978"/>
        <v>-1.5291752077675164E-2</v>
      </c>
    </row>
    <row r="393" spans="1:20" x14ac:dyDescent="0.25">
      <c r="A393" s="5">
        <v>44200</v>
      </c>
      <c r="B393">
        <v>11.483000000000001</v>
      </c>
      <c r="C393">
        <v>11.577</v>
      </c>
      <c r="D393">
        <v>9.6999999999999993</v>
      </c>
      <c r="E393">
        <v>10.37</v>
      </c>
      <c r="F393">
        <v>56125.46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-0.28609483217900938</v>
      </c>
      <c r="Q393">
        <f t="shared" si="975"/>
        <v>-16057.204059669704</v>
      </c>
      <c r="R393">
        <f t="shared" si="976"/>
        <v>-1525066.5210518022</v>
      </c>
      <c r="S393">
        <f t="shared" si="977"/>
        <v>-15.250665210518022</v>
      </c>
      <c r="T393">
        <f t="shared" si="978"/>
        <v>-1.5250665210518021E-2</v>
      </c>
    </row>
    <row r="394" spans="1:20" x14ac:dyDescent="0.25">
      <c r="A394" s="5">
        <v>44199</v>
      </c>
      <c r="B394">
        <v>11.907</v>
      </c>
      <c r="C394">
        <v>12.3</v>
      </c>
      <c r="D394">
        <v>11.263999999999999</v>
      </c>
      <c r="E394">
        <v>11.413</v>
      </c>
      <c r="F394">
        <v>39472.451999999997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-0.71235521235521093</v>
      </c>
      <c r="Q394">
        <f t="shared" si="975"/>
        <v>-28118.40692664087</v>
      </c>
      <c r="R394">
        <f t="shared" si="976"/>
        <v>-1509009.3169921325</v>
      </c>
      <c r="S394">
        <f t="shared" si="977"/>
        <v>-15.090093169921325</v>
      </c>
      <c r="T394">
        <f t="shared" si="978"/>
        <v>-1.5090093169921324E-2</v>
      </c>
    </row>
    <row r="395" spans="1:20" x14ac:dyDescent="0.25">
      <c r="A395" s="5">
        <v>44198</v>
      </c>
      <c r="B395">
        <v>12.401</v>
      </c>
      <c r="C395">
        <v>13.499000000000001</v>
      </c>
      <c r="D395">
        <v>11.547000000000001</v>
      </c>
      <c r="E395">
        <v>11.901999999999999</v>
      </c>
      <c r="F395">
        <v>53325.864000000001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-0.6362704918032801</v>
      </c>
      <c r="Q395">
        <f t="shared" si="975"/>
        <v>-33929.673713114833</v>
      </c>
      <c r="R395">
        <f t="shared" si="976"/>
        <v>-1480890.9100654917</v>
      </c>
      <c r="S395">
        <f t="shared" si="977"/>
        <v>-14.808909100654917</v>
      </c>
      <c r="T395">
        <f t="shared" si="978"/>
        <v>-1.4808909100654917E-2</v>
      </c>
    </row>
    <row r="396" spans="1:20" x14ac:dyDescent="0.25">
      <c r="A396" s="5">
        <v>44197</v>
      </c>
      <c r="B396">
        <v>12.41</v>
      </c>
      <c r="C396">
        <v>13.906000000000001</v>
      </c>
      <c r="D396">
        <v>11.760999999999999</v>
      </c>
      <c r="E396">
        <v>12.478999999999999</v>
      </c>
      <c r="F396">
        <v>100247.50199999999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-0.33053613053613096</v>
      </c>
      <c r="Q396">
        <f t="shared" si="975"/>
        <v>-33135.421406993046</v>
      </c>
      <c r="R396">
        <f t="shared" si="976"/>
        <v>-1446961.2363523769</v>
      </c>
      <c r="S396">
        <f t="shared" si="977"/>
        <v>-14.469612363523769</v>
      </c>
      <c r="T396">
        <f t="shared" si="978"/>
        <v>-1.446961236352377E-2</v>
      </c>
    </row>
    <row r="397" spans="1:20" x14ac:dyDescent="0.25">
      <c r="A397" s="5">
        <v>44196</v>
      </c>
      <c r="B397">
        <v>13.768000000000001</v>
      </c>
      <c r="C397">
        <v>13.956</v>
      </c>
      <c r="D397">
        <v>12.28</v>
      </c>
      <c r="E397">
        <v>12.324</v>
      </c>
      <c r="F397">
        <v>92889.178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-0.94749403341288729</v>
      </c>
      <c r="Q397">
        <f t="shared" si="975"/>
        <v>-88011.94192362763</v>
      </c>
      <c r="R397">
        <f t="shared" si="976"/>
        <v>-1413825.8149453839</v>
      </c>
      <c r="S397">
        <f t="shared" si="977"/>
        <v>-14.13825814945384</v>
      </c>
      <c r="T397">
        <f t="shared" si="978"/>
        <v>-1.4138258149453841E-2</v>
      </c>
    </row>
    <row r="398" spans="1:20" x14ac:dyDescent="0.25">
      <c r="A398" s="5">
        <v>44195</v>
      </c>
      <c r="B398">
        <v>14.994</v>
      </c>
      <c r="C398">
        <v>15.112</v>
      </c>
      <c r="D398">
        <v>13.55</v>
      </c>
      <c r="E398">
        <v>13.803000000000001</v>
      </c>
      <c r="F398">
        <v>147323.93599999999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-0.67605633802816878</v>
      </c>
      <c r="Q398">
        <f t="shared" si="975"/>
        <v>-99599.280676056296</v>
      </c>
      <c r="R398">
        <f t="shared" si="976"/>
        <v>-1325813.8730217563</v>
      </c>
      <c r="S398">
        <f t="shared" si="977"/>
        <v>-13.258138730217564</v>
      </c>
      <c r="T398">
        <f t="shared" si="978"/>
        <v>-1.3258138730217563E-2</v>
      </c>
    </row>
    <row r="399" spans="1:20" x14ac:dyDescent="0.25">
      <c r="A399" s="5">
        <v>44194</v>
      </c>
      <c r="B399">
        <v>16.367000000000001</v>
      </c>
      <c r="C399">
        <v>16.611999999999998</v>
      </c>
      <c r="D399">
        <v>14.45</v>
      </c>
      <c r="E399">
        <v>14.95</v>
      </c>
      <c r="F399">
        <v>138724.976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-0.53746530989824215</v>
      </c>
      <c r="Q399">
        <f t="shared" si="975"/>
        <v>-74559.862216466208</v>
      </c>
      <c r="R399">
        <f t="shared" si="976"/>
        <v>-1226214.5923456999</v>
      </c>
      <c r="S399">
        <f t="shared" si="977"/>
        <v>-12.262145923456998</v>
      </c>
      <c r="T399">
        <f t="shared" si="978"/>
        <v>-1.2262145923456999E-2</v>
      </c>
    </row>
    <row r="400" spans="1:20" x14ac:dyDescent="0.25">
      <c r="A400" s="5">
        <v>44193</v>
      </c>
      <c r="B400">
        <v>15.22</v>
      </c>
      <c r="C400">
        <v>18.64</v>
      </c>
      <c r="D400">
        <v>14.9</v>
      </c>
      <c r="E400">
        <v>16.352</v>
      </c>
      <c r="F400">
        <v>307480.821</v>
      </c>
      <c r="G400">
        <v>0</v>
      </c>
      <c r="L400" t="s">
        <v>8</v>
      </c>
      <c r="M400" t="s">
        <v>8</v>
      </c>
      <c r="N400" t="s">
        <v>7</v>
      </c>
      <c r="P400">
        <f t="shared" si="974"/>
        <v>-0.22352941176470595</v>
      </c>
      <c r="Q400">
        <f t="shared" si="975"/>
        <v>-68731.00704705884</v>
      </c>
      <c r="R400">
        <f t="shared" si="976"/>
        <v>-1151654.7301292338</v>
      </c>
      <c r="S400">
        <f t="shared" si="977"/>
        <v>-11.516547301292338</v>
      </c>
      <c r="T400">
        <f t="shared" si="978"/>
        <v>-1.1516547301292339E-2</v>
      </c>
    </row>
    <row r="401" spans="1:20" x14ac:dyDescent="0.25">
      <c r="A401" s="5">
        <v>44192</v>
      </c>
      <c r="B401">
        <v>14.438000000000001</v>
      </c>
      <c r="C401">
        <v>16.283000000000001</v>
      </c>
      <c r="D401">
        <v>13.65</v>
      </c>
      <c r="E401">
        <v>15.154</v>
      </c>
      <c r="F401">
        <v>252888.79399999999</v>
      </c>
      <c r="G401">
        <v>0</v>
      </c>
      <c r="L401" t="s">
        <v>7</v>
      </c>
      <c r="M401" t="s">
        <v>8</v>
      </c>
      <c r="N401" t="s">
        <v>7</v>
      </c>
      <c r="P401">
        <f t="shared" si="974"/>
        <v>0.14242309153057275</v>
      </c>
      <c r="Q401">
        <f t="shared" si="975"/>
        <v>36017.20385491816</v>
      </c>
      <c r="R401">
        <f t="shared" si="976"/>
        <v>-1082923.723082175</v>
      </c>
      <c r="S401">
        <f t="shared" si="977"/>
        <v>-10.82923723082175</v>
      </c>
      <c r="T401">
        <f t="shared" si="978"/>
        <v>-1.0829237230821751E-2</v>
      </c>
    </row>
    <row r="402" spans="1:20" x14ac:dyDescent="0.25">
      <c r="A402" s="5">
        <v>44191</v>
      </c>
      <c r="B402">
        <v>14.73</v>
      </c>
      <c r="C402">
        <v>16.899999999999999</v>
      </c>
      <c r="D402">
        <v>13.657999999999999</v>
      </c>
      <c r="E402">
        <v>14.369</v>
      </c>
      <c r="F402">
        <v>314585.71799999999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-0.56138186304750126</v>
      </c>
      <c r="Q402">
        <f t="shared" si="975"/>
        <v>-176602.71645897586</v>
      </c>
      <c r="R402">
        <f t="shared" si="976"/>
        <v>-1118940.9269370933</v>
      </c>
      <c r="S402">
        <f t="shared" si="977"/>
        <v>-11.189409269370932</v>
      </c>
      <c r="T402">
        <f t="shared" si="978"/>
        <v>-1.1189409269370933E-2</v>
      </c>
    </row>
    <row r="403" spans="1:20" x14ac:dyDescent="0.25">
      <c r="A403" s="5">
        <v>44190</v>
      </c>
      <c r="B403">
        <v>16.706</v>
      </c>
      <c r="C403">
        <v>17.5</v>
      </c>
      <c r="D403">
        <v>14.039</v>
      </c>
      <c r="E403">
        <v>14.622</v>
      </c>
      <c r="F403">
        <v>390951.15700000001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-0.66310314937879222</v>
      </c>
      <c r="Q403">
        <f t="shared" si="975"/>
        <v>-259240.94345998266</v>
      </c>
      <c r="R403">
        <f t="shared" si="976"/>
        <v>-942338.21047811746</v>
      </c>
      <c r="S403">
        <f t="shared" si="977"/>
        <v>-9.4233821047811741</v>
      </c>
      <c r="T403">
        <f t="shared" si="978"/>
        <v>-9.4233821047811743E-3</v>
      </c>
    </row>
    <row r="404" spans="1:20" x14ac:dyDescent="0.25">
      <c r="A404" s="5">
        <v>44189</v>
      </c>
      <c r="B404">
        <v>14.039</v>
      </c>
      <c r="C404">
        <v>19.577000000000002</v>
      </c>
      <c r="D404">
        <v>12.1</v>
      </c>
      <c r="E404">
        <v>16.675000000000001</v>
      </c>
      <c r="F404">
        <v>1186146.1529999999</v>
      </c>
      <c r="G404">
        <v>0</v>
      </c>
      <c r="L404" t="s">
        <v>7</v>
      </c>
      <c r="M404" t="s">
        <v>8</v>
      </c>
      <c r="N404" t="s">
        <v>8</v>
      </c>
      <c r="P404">
        <f t="shared" si="974"/>
        <v>0.22375284204895005</v>
      </c>
      <c r="Q404">
        <f t="shared" si="975"/>
        <v>265403.57281917869</v>
      </c>
      <c r="R404">
        <f t="shared" si="976"/>
        <v>-683097.26701813482</v>
      </c>
      <c r="S404">
        <f t="shared" si="977"/>
        <v>-6.8309726701813478</v>
      </c>
      <c r="T404">
        <f t="shared" si="978"/>
        <v>-6.8309726701813482E-3</v>
      </c>
    </row>
    <row r="405" spans="1:20" x14ac:dyDescent="0.25">
      <c r="A405" s="5">
        <v>44188</v>
      </c>
      <c r="B405">
        <v>21.741</v>
      </c>
      <c r="C405">
        <v>26</v>
      </c>
      <c r="D405">
        <v>12.6</v>
      </c>
      <c r="E405">
        <v>14.03</v>
      </c>
      <c r="F405">
        <v>1205873.933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-0.78656716417910455</v>
      </c>
      <c r="Q405">
        <f t="shared" si="975"/>
        <v>-948500.83983731351</v>
      </c>
      <c r="R405">
        <f t="shared" si="976"/>
        <v>-948500.83983731351</v>
      </c>
      <c r="S405">
        <f t="shared" si="977"/>
        <v>-9.4850083983731359</v>
      </c>
      <c r="T405">
        <f t="shared" si="978"/>
        <v>-9.4850083983731362E-3</v>
      </c>
    </row>
    <row r="406" spans="1:20" x14ac:dyDescent="0.25">
      <c r="A406" s="5"/>
      <c r="C406"/>
      <c r="D406"/>
    </row>
    <row r="407" spans="1:20" x14ac:dyDescent="0.25">
      <c r="A407" s="5"/>
      <c r="C407"/>
      <c r="D407"/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R460" sqref="GR46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$A$459</v>
      </c>
      <c r="D111" s="1" t="str">
        <f>ADDRESS(C121-1,D121,1,1)</f>
        <v>$GR$459</v>
      </c>
      <c r="E111"/>
    </row>
    <row r="112" spans="1:5" x14ac:dyDescent="0.25">
      <c r="A112" s="7">
        <v>12164.144957890772</v>
      </c>
      <c r="C112" s="1" t="str">
        <f>ADDRESS(C121,1,1,1)</f>
        <v>$A$460</v>
      </c>
      <c r="D112" s="1" t="str">
        <f>ADDRESS(C121,D121-1,1,1)</f>
        <v>$GQ$460</v>
      </c>
      <c r="E112"/>
    </row>
    <row r="113" spans="1:5" x14ac:dyDescent="0.25">
      <c r="A113" s="7">
        <v>11925.63231165762</v>
      </c>
      <c r="C113" s="1" t="str">
        <f>ADDRESS(C121+1,1,1,1)</f>
        <v>$A$461</v>
      </c>
      <c r="D113" s="1" t="str">
        <f>ADDRESS(C121-1,D121+1,1,1)</f>
        <v>$GS$459</v>
      </c>
    </row>
    <row r="114" spans="1:5" x14ac:dyDescent="0.25">
      <c r="A114" s="7">
        <v>11691.796383978059</v>
      </c>
      <c r="C114" s="1" t="str">
        <f>ADDRESS(C121,D121,1,1)</f>
        <v>$GR$460</v>
      </c>
      <c r="D114" s="1" t="str">
        <f>ADDRESS(C121+1,D121+1,1,1)</f>
        <v>$GS$461</v>
      </c>
    </row>
    <row r="115" spans="1:5" x14ac:dyDescent="0.25">
      <c r="A115" s="7">
        <v>11462.545474488292</v>
      </c>
      <c r="C115" s="1" t="str">
        <f>ADDRESS(C121+1,D121,1,1)</f>
        <v>$GR$461</v>
      </c>
    </row>
    <row r="116" spans="1:5" x14ac:dyDescent="0.25">
      <c r="A116" s="7">
        <v>11237.789680870874</v>
      </c>
      <c r="C116" s="1">
        <f>C117-1</f>
        <v>459</v>
      </c>
    </row>
    <row r="117" spans="1:5" x14ac:dyDescent="0.25">
      <c r="A117" s="7">
        <v>11017.440863598895</v>
      </c>
      <c r="C117" s="1">
        <f>C121</f>
        <v>460</v>
      </c>
      <c r="D117" s="1">
        <f>D121</f>
        <v>200</v>
      </c>
    </row>
    <row r="118" spans="1:5" x14ac:dyDescent="0.25">
      <c r="A118" s="7">
        <v>10801.412611371465</v>
      </c>
      <c r="C118" s="1">
        <f>C117+1</f>
        <v>461</v>
      </c>
      <c r="D118" s="1">
        <f>D117+1</f>
        <v>201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460</v>
      </c>
      <c r="D121" s="19">
        <v>200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R460</v>
      </c>
      <c r="D123" s="1" t="str">
        <f>"C"&amp;D121</f>
        <v>C200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12.36578848729541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134" x14ac:dyDescent="0.25">
      <c r="A369" s="7">
        <v>74.961357735566622</v>
      </c>
      <c r="B369"/>
      <c r="C369"/>
      <c r="D369"/>
      <c r="E369"/>
    </row>
    <row r="370" spans="1:134" x14ac:dyDescent="0.25">
      <c r="A370" s="7">
        <v>73.491527191731976</v>
      </c>
      <c r="B370"/>
      <c r="C370"/>
      <c r="D370"/>
      <c r="E370"/>
    </row>
    <row r="371" spans="1:134" x14ac:dyDescent="0.25">
      <c r="A371" s="7">
        <v>72.050516854639184</v>
      </c>
      <c r="B371"/>
      <c r="C371"/>
      <c r="D371"/>
      <c r="E371"/>
    </row>
    <row r="372" spans="1:134" x14ac:dyDescent="0.25">
      <c r="A372" s="7">
        <v>70.637761622195271</v>
      </c>
      <c r="B372"/>
      <c r="C372"/>
      <c r="D372"/>
      <c r="E372"/>
    </row>
    <row r="373" spans="1:134" x14ac:dyDescent="0.25">
      <c r="A373" s="7">
        <v>69.252707472740454</v>
      </c>
      <c r="B373"/>
      <c r="C373"/>
      <c r="D373"/>
      <c r="E373"/>
    </row>
    <row r="374" spans="1:134" x14ac:dyDescent="0.25">
      <c r="A374" s="7">
        <v>67.894811247784759</v>
      </c>
      <c r="B374"/>
      <c r="C374"/>
      <c r="D374"/>
      <c r="E374"/>
    </row>
    <row r="375" spans="1:134" x14ac:dyDescent="0.25">
      <c r="A375" s="7">
        <v>66.563540439004669</v>
      </c>
      <c r="B375"/>
      <c r="C375"/>
      <c r="D375"/>
      <c r="E375"/>
    </row>
    <row r="376" spans="1:134" x14ac:dyDescent="0.25">
      <c r="A376" s="7">
        <v>65.258372979416336</v>
      </c>
      <c r="B376"/>
      <c r="C376"/>
      <c r="D376"/>
      <c r="E376"/>
    </row>
    <row r="377" spans="1:134" x14ac:dyDescent="0.25">
      <c r="A377" s="7">
        <v>63.978797038643471</v>
      </c>
      <c r="B377"/>
      <c r="C377"/>
      <c r="D377"/>
      <c r="E377"/>
    </row>
    <row r="378" spans="1:134" x14ac:dyDescent="0.25">
      <c r="A378" s="7">
        <v>62.724310822199477</v>
      </c>
      <c r="B378"/>
      <c r="C378"/>
      <c r="D378"/>
      <c r="E378"/>
    </row>
    <row r="379" spans="1:134" x14ac:dyDescent="0.25">
      <c r="A379" s="7">
        <v>61.494422374705366</v>
      </c>
      <c r="B379"/>
      <c r="C379"/>
      <c r="D379"/>
      <c r="E379"/>
      <c r="EC379" s="27" t="s">
        <v>8</v>
      </c>
    </row>
    <row r="380" spans="1:134" x14ac:dyDescent="0.25">
      <c r="A380" s="7">
        <v>60.288649386966043</v>
      </c>
      <c r="B380"/>
      <c r="C380"/>
      <c r="D380"/>
      <c r="E380"/>
      <c r="EC380" s="27" t="s">
        <v>8</v>
      </c>
      <c r="ED380" s="27" t="s">
        <v>7</v>
      </c>
    </row>
    <row r="381" spans="1:134" x14ac:dyDescent="0.25">
      <c r="A381" s="7">
        <v>59.106519006829451</v>
      </c>
      <c r="B381"/>
      <c r="C381"/>
      <c r="D381"/>
      <c r="E381"/>
      <c r="EC381" s="27" t="s">
        <v>8</v>
      </c>
      <c r="ED381" s="27" t="s">
        <v>7</v>
      </c>
    </row>
    <row r="382" spans="1:134" x14ac:dyDescent="0.25">
      <c r="A382" s="7">
        <v>57.947567653754362</v>
      </c>
      <c r="B382"/>
      <c r="C382"/>
      <c r="D382"/>
      <c r="E382"/>
      <c r="BW382" s="27" t="s">
        <v>8</v>
      </c>
      <c r="EC382" s="27" t="s">
        <v>8</v>
      </c>
      <c r="ED382" s="27" t="s">
        <v>7</v>
      </c>
    </row>
    <row r="383" spans="1:134" x14ac:dyDescent="0.25">
      <c r="A383" s="7">
        <v>56.811340837014079</v>
      </c>
      <c r="B383"/>
      <c r="C383"/>
      <c r="D383"/>
      <c r="E383"/>
      <c r="BW383" s="27" t="s">
        <v>8</v>
      </c>
      <c r="BX383" s="27" t="s">
        <v>7</v>
      </c>
      <c r="EC383" s="27" t="s">
        <v>8</v>
      </c>
      <c r="ED383" s="27" t="s">
        <v>7</v>
      </c>
    </row>
    <row r="384" spans="1:134" x14ac:dyDescent="0.25">
      <c r="A384" s="7">
        <v>55.69739297746478</v>
      </c>
      <c r="B384"/>
      <c r="C384"/>
      <c r="D384"/>
      <c r="E384"/>
      <c r="BW384" s="27" t="s">
        <v>8</v>
      </c>
      <c r="BX384" s="27" t="s">
        <v>7</v>
      </c>
      <c r="EC384" s="27" t="s">
        <v>8</v>
      </c>
      <c r="ED384" s="27" t="s">
        <v>7</v>
      </c>
    </row>
    <row r="385" spans="1:136" x14ac:dyDescent="0.25">
      <c r="A385" s="7">
        <v>54.605287232808607</v>
      </c>
      <c r="B385"/>
      <c r="C385"/>
      <c r="D385"/>
      <c r="E385"/>
      <c r="BW385" s="27" t="s">
        <v>8</v>
      </c>
      <c r="BX385" s="27" t="s">
        <v>7</v>
      </c>
      <c r="EC385" s="27" t="s">
        <v>8</v>
      </c>
      <c r="ED385" s="27" t="s">
        <v>7</v>
      </c>
    </row>
    <row r="386" spans="1:136" x14ac:dyDescent="0.25">
      <c r="A386" s="7">
        <v>53.534595326282947</v>
      </c>
      <c r="B386"/>
      <c r="C386"/>
      <c r="D386"/>
      <c r="E386"/>
      <c r="BW386" s="27" t="s">
        <v>8</v>
      </c>
      <c r="BX386" s="27" t="s">
        <v>7</v>
      </c>
      <c r="EC386" s="27" t="s">
        <v>8</v>
      </c>
      <c r="ED386" s="27" t="s">
        <v>7</v>
      </c>
    </row>
    <row r="387" spans="1:136" x14ac:dyDescent="0.25">
      <c r="A387" s="7">
        <v>52.484897378708773</v>
      </c>
      <c r="B387"/>
      <c r="C387"/>
      <c r="D387"/>
      <c r="E387"/>
      <c r="BW387" s="27" t="s">
        <v>8</v>
      </c>
      <c r="BX387" s="27" t="s">
        <v>7</v>
      </c>
      <c r="EC387" s="27" t="s">
        <v>8</v>
      </c>
      <c r="ED387" s="27" t="s">
        <v>7</v>
      </c>
    </row>
    <row r="388" spans="1:136" x14ac:dyDescent="0.25">
      <c r="A388" s="7">
        <v>51.455781743832127</v>
      </c>
      <c r="B388"/>
      <c r="C388"/>
      <c r="D388"/>
      <c r="E388"/>
      <c r="BW388" s="27" t="s">
        <v>8</v>
      </c>
      <c r="BX388" s="27" t="s">
        <v>7</v>
      </c>
      <c r="EC388" s="27" t="s">
        <v>8</v>
      </c>
      <c r="ED388" s="27" t="s">
        <v>7</v>
      </c>
    </row>
    <row r="389" spans="1:136" x14ac:dyDescent="0.25">
      <c r="A389" s="7">
        <v>50.446844846894244</v>
      </c>
      <c r="B389"/>
      <c r="C389"/>
      <c r="D389"/>
      <c r="E389"/>
      <c r="BW389" s="27" t="s">
        <v>8</v>
      </c>
      <c r="BX389" s="27" t="s">
        <v>7</v>
      </c>
      <c r="EC389" s="27" t="s">
        <v>8</v>
      </c>
      <c r="ED389" s="27" t="s">
        <v>7</v>
      </c>
    </row>
    <row r="390" spans="1:136" x14ac:dyDescent="0.25">
      <c r="A390" s="7">
        <v>49.457691026366902</v>
      </c>
      <c r="B390"/>
      <c r="C390"/>
      <c r="D390"/>
      <c r="E390"/>
      <c r="BW390" s="27" t="s">
        <v>8</v>
      </c>
      <c r="BX390" s="27" t="s">
        <v>7</v>
      </c>
      <c r="EC390" s="27" t="s">
        <v>8</v>
      </c>
      <c r="ED390" s="27" t="s">
        <v>7</v>
      </c>
    </row>
    <row r="391" spans="1:136" x14ac:dyDescent="0.25">
      <c r="A391" s="7">
        <v>48.487932378791079</v>
      </c>
      <c r="B391"/>
      <c r="C391"/>
      <c r="D391"/>
      <c r="E391"/>
      <c r="BW391" s="27" t="s">
        <v>8</v>
      </c>
      <c r="BX391" s="27" t="s">
        <v>7</v>
      </c>
      <c r="EC391" s="27" t="s">
        <v>8</v>
      </c>
      <c r="ED391" s="27" t="s">
        <v>7</v>
      </c>
    </row>
    <row r="392" spans="1:136" x14ac:dyDescent="0.25">
      <c r="A392" s="7">
        <v>47.537188606657921</v>
      </c>
      <c r="B392"/>
      <c r="C392"/>
      <c r="D392"/>
      <c r="E392"/>
      <c r="BW392" s="27" t="s">
        <v>8</v>
      </c>
      <c r="BX392" s="27" t="s">
        <v>7</v>
      </c>
      <c r="EC392" s="27" t="s">
        <v>8</v>
      </c>
      <c r="ED392" s="27" t="s">
        <v>7</v>
      </c>
    </row>
    <row r="393" spans="1:136" x14ac:dyDescent="0.25">
      <c r="A393" s="7">
        <v>46.605086869272469</v>
      </c>
      <c r="B393"/>
      <c r="C393"/>
      <c r="D393"/>
      <c r="E393"/>
      <c r="BO393" s="27" t="s">
        <v>8</v>
      </c>
      <c r="BW393" s="27" t="s">
        <v>8</v>
      </c>
      <c r="BX393" s="27" t="s">
        <v>7</v>
      </c>
      <c r="BY393" s="27" t="s">
        <v>8</v>
      </c>
      <c r="EC393" s="27" t="s">
        <v>8</v>
      </c>
      <c r="ED393" s="27" t="s">
        <v>7</v>
      </c>
      <c r="EE393" s="27" t="s">
        <v>8</v>
      </c>
    </row>
    <row r="394" spans="1:136" x14ac:dyDescent="0.25">
      <c r="A394" s="7">
        <v>45.691261636541633</v>
      </c>
      <c r="B394"/>
      <c r="C394"/>
      <c r="D394"/>
      <c r="E394"/>
      <c r="BO394" s="27" t="s">
        <v>8</v>
      </c>
      <c r="BP394" s="27" t="s">
        <v>7</v>
      </c>
      <c r="BW394" s="27" t="s">
        <v>8</v>
      </c>
      <c r="BX394" s="27" t="s">
        <v>7</v>
      </c>
      <c r="BY394" s="27" t="s">
        <v>8</v>
      </c>
      <c r="BZ394" s="27" t="s">
        <v>7</v>
      </c>
      <c r="EC394" s="27" t="s">
        <v>8</v>
      </c>
      <c r="ED394" s="27" t="s">
        <v>7</v>
      </c>
      <c r="EE394" s="27" t="s">
        <v>8</v>
      </c>
      <c r="EF394" s="27" t="s">
        <v>7</v>
      </c>
    </row>
    <row r="395" spans="1:136" x14ac:dyDescent="0.25">
      <c r="A395" s="7">
        <v>44.795354545629053</v>
      </c>
      <c r="B395"/>
      <c r="C395"/>
      <c r="D395"/>
      <c r="E395"/>
      <c r="BO395" s="27" t="s">
        <v>8</v>
      </c>
      <c r="BP395" s="27" t="s">
        <v>7</v>
      </c>
      <c r="BW395" s="27" t="s">
        <v>8</v>
      </c>
      <c r="BX395" s="27" t="s">
        <v>7</v>
      </c>
      <c r="BY395" s="27" t="s">
        <v>8</v>
      </c>
      <c r="BZ395" s="27" t="s">
        <v>7</v>
      </c>
      <c r="CI395" s="27" t="s">
        <v>8</v>
      </c>
      <c r="EC395" s="27" t="s">
        <v>8</v>
      </c>
      <c r="ED395" s="27" t="s">
        <v>7</v>
      </c>
      <c r="EE395" s="27" t="s">
        <v>8</v>
      </c>
      <c r="EF395" s="27" t="s">
        <v>7</v>
      </c>
    </row>
    <row r="396" spans="1:136" x14ac:dyDescent="0.25">
      <c r="A396" s="7">
        <v>43.917014260420636</v>
      </c>
      <c r="B396"/>
      <c r="C396"/>
      <c r="D396"/>
      <c r="E396"/>
      <c r="BO396" s="27" t="s">
        <v>8</v>
      </c>
      <c r="BP396" s="27" t="s">
        <v>7</v>
      </c>
      <c r="BU396" s="27" t="s">
        <v>8</v>
      </c>
      <c r="BW396" s="27" t="s">
        <v>8</v>
      </c>
      <c r="BX396" s="27" t="s">
        <v>7</v>
      </c>
      <c r="BY396" s="27" t="s">
        <v>8</v>
      </c>
      <c r="BZ396" s="27" t="s">
        <v>7</v>
      </c>
      <c r="CI396" s="27" t="s">
        <v>8</v>
      </c>
      <c r="CJ396" s="27" t="s">
        <v>7</v>
      </c>
      <c r="EC396" s="27" t="s">
        <v>8</v>
      </c>
      <c r="ED396" s="27" t="s">
        <v>7</v>
      </c>
      <c r="EE396" s="27" t="s">
        <v>8</v>
      </c>
      <c r="EF396" s="27" t="s">
        <v>7</v>
      </c>
    </row>
    <row r="397" spans="1:136" x14ac:dyDescent="0.25">
      <c r="A397" s="7">
        <v>43.055896333745721</v>
      </c>
      <c r="B397"/>
      <c r="C397"/>
      <c r="D397"/>
      <c r="E397"/>
      <c r="BO397" s="27" t="s">
        <v>8</v>
      </c>
      <c r="BP397" s="27" t="s">
        <v>7</v>
      </c>
      <c r="BU397" s="27" t="s">
        <v>8</v>
      </c>
      <c r="BV397" s="27" t="s">
        <v>7</v>
      </c>
      <c r="BW397" s="27" t="s">
        <v>8</v>
      </c>
      <c r="BX397" s="27" t="s">
        <v>7</v>
      </c>
      <c r="BY397" s="27" t="s">
        <v>8</v>
      </c>
      <c r="BZ397" s="27" t="s">
        <v>7</v>
      </c>
      <c r="CI397" s="27" t="s">
        <v>8</v>
      </c>
      <c r="CJ397" s="27" t="s">
        <v>7</v>
      </c>
      <c r="EC397" s="27" t="s">
        <v>8</v>
      </c>
      <c r="ED397" s="27" t="s">
        <v>7</v>
      </c>
      <c r="EE397" s="27" t="s">
        <v>8</v>
      </c>
      <c r="EF397" s="27" t="s">
        <v>7</v>
      </c>
    </row>
    <row r="398" spans="1:136" x14ac:dyDescent="0.25">
      <c r="A398" s="7">
        <v>42.211663072299729</v>
      </c>
      <c r="B398"/>
      <c r="C398"/>
      <c r="D398"/>
      <c r="E398"/>
      <c r="BO398" s="27" t="s">
        <v>8</v>
      </c>
      <c r="BP398" s="27" t="s">
        <v>7</v>
      </c>
      <c r="BU398" s="27" t="s">
        <v>8</v>
      </c>
      <c r="BV398" s="27" t="s">
        <v>7</v>
      </c>
      <c r="BW398" s="27" t="s">
        <v>8</v>
      </c>
      <c r="BX398" s="27" t="s">
        <v>7</v>
      </c>
      <c r="BY398" s="27" t="s">
        <v>8</v>
      </c>
      <c r="BZ398" s="27" t="s">
        <v>7</v>
      </c>
      <c r="CI398" s="27" t="s">
        <v>8</v>
      </c>
      <c r="CJ398" s="27" t="s">
        <v>7</v>
      </c>
      <c r="EC398" s="27" t="s">
        <v>8</v>
      </c>
      <c r="ED398" s="27" t="s">
        <v>7</v>
      </c>
      <c r="EE398" s="27" t="s">
        <v>8</v>
      </c>
      <c r="EF398" s="27" t="s">
        <v>7</v>
      </c>
    </row>
    <row r="399" spans="1:136" x14ac:dyDescent="0.25">
      <c r="A399" s="7">
        <v>41.383983404215421</v>
      </c>
      <c r="B399"/>
      <c r="C399"/>
      <c r="D399"/>
      <c r="E399"/>
      <c r="BO399" s="27" t="s">
        <v>8</v>
      </c>
      <c r="BP399" s="27" t="s">
        <v>7</v>
      </c>
      <c r="BU399" s="27" t="s">
        <v>8</v>
      </c>
      <c r="BV399" s="27" t="s">
        <v>7</v>
      </c>
      <c r="BW399" s="27" t="s">
        <v>8</v>
      </c>
      <c r="BX399" s="27" t="s">
        <v>7</v>
      </c>
      <c r="BY399" s="27" t="s">
        <v>8</v>
      </c>
      <c r="BZ399" s="27" t="s">
        <v>7</v>
      </c>
      <c r="CI399" s="27" t="s">
        <v>8</v>
      </c>
      <c r="CJ399" s="27" t="s">
        <v>7</v>
      </c>
      <c r="EC399" s="27" t="s">
        <v>8</v>
      </c>
      <c r="ED399" s="27" t="s">
        <v>7</v>
      </c>
      <c r="EE399" s="27" t="s">
        <v>8</v>
      </c>
      <c r="EF399" s="27" t="s">
        <v>7</v>
      </c>
    </row>
    <row r="400" spans="1:136" x14ac:dyDescent="0.25">
      <c r="A400" s="7">
        <v>40.572532749230803</v>
      </c>
      <c r="B400"/>
      <c r="C400"/>
      <c r="D400"/>
      <c r="E400"/>
      <c r="BO400" s="27" t="s">
        <v>8</v>
      </c>
      <c r="BP400" s="27" t="s">
        <v>7</v>
      </c>
      <c r="BU400" s="27" t="s">
        <v>8</v>
      </c>
      <c r="BV400" s="27" t="s">
        <v>7</v>
      </c>
      <c r="BW400" s="27" t="s">
        <v>8</v>
      </c>
      <c r="BX400" s="27" t="s">
        <v>7</v>
      </c>
      <c r="BZ400" s="27" t="s">
        <v>7</v>
      </c>
      <c r="CG400" s="27" t="s">
        <v>8</v>
      </c>
      <c r="CI400" s="27" t="s">
        <v>8</v>
      </c>
      <c r="CJ400" s="27" t="s">
        <v>7</v>
      </c>
      <c r="EC400" s="27" t="s">
        <v>8</v>
      </c>
      <c r="ED400" s="27" t="s">
        <v>7</v>
      </c>
      <c r="EE400" s="27" t="s">
        <v>8</v>
      </c>
      <c r="EF400" s="27" t="s">
        <v>7</v>
      </c>
    </row>
    <row r="401" spans="1:150" x14ac:dyDescent="0.25">
      <c r="A401" s="7">
        <v>39.776992891402749</v>
      </c>
      <c r="B401"/>
      <c r="C401"/>
      <c r="D401"/>
      <c r="E401"/>
      <c r="BO401" s="27" t="s">
        <v>8</v>
      </c>
      <c r="BP401" s="27" t="s">
        <v>7</v>
      </c>
      <c r="BU401" s="27" t="s">
        <v>8</v>
      </c>
      <c r="BV401" s="27" t="s">
        <v>7</v>
      </c>
      <c r="BW401" s="27" t="s">
        <v>8</v>
      </c>
      <c r="BZ401" s="27" t="s">
        <v>7</v>
      </c>
      <c r="CG401" s="27" t="s">
        <v>8</v>
      </c>
      <c r="CH401" s="27" t="s">
        <v>7</v>
      </c>
      <c r="CI401" s="27" t="s">
        <v>8</v>
      </c>
      <c r="CJ401" s="27" t="s">
        <v>7</v>
      </c>
      <c r="CK401" s="27" t="s">
        <v>8</v>
      </c>
      <c r="EA401" s="27" t="s">
        <v>8</v>
      </c>
      <c r="EC401" s="27" t="s">
        <v>8</v>
      </c>
      <c r="ED401" s="27" t="s">
        <v>7</v>
      </c>
      <c r="EE401" s="27" t="s">
        <v>8</v>
      </c>
      <c r="EF401" s="27" t="s">
        <v>7</v>
      </c>
    </row>
    <row r="402" spans="1:150" x14ac:dyDescent="0.25">
      <c r="A402" s="7">
        <v>38.997051854316418</v>
      </c>
      <c r="B402"/>
      <c r="C402"/>
      <c r="D402"/>
      <c r="E402"/>
      <c r="BK402" s="27" t="s">
        <v>8</v>
      </c>
      <c r="BO402" s="27" t="s">
        <v>8</v>
      </c>
      <c r="BP402" s="27" t="s">
        <v>7</v>
      </c>
      <c r="BS402" s="27" t="s">
        <v>8</v>
      </c>
      <c r="BU402" s="27" t="s">
        <v>8</v>
      </c>
      <c r="BV402" s="27" t="s">
        <v>7</v>
      </c>
      <c r="BW402" s="27" t="s">
        <v>8</v>
      </c>
      <c r="BZ402" s="27" t="s">
        <v>7</v>
      </c>
      <c r="CG402" s="27" t="s">
        <v>8</v>
      </c>
      <c r="CH402" s="27" t="s">
        <v>7</v>
      </c>
      <c r="CI402" s="27" t="s">
        <v>8</v>
      </c>
      <c r="CJ402" s="27" t="s">
        <v>7</v>
      </c>
      <c r="CK402" s="27" t="s">
        <v>8</v>
      </c>
      <c r="CL402" s="27" t="s">
        <v>7</v>
      </c>
      <c r="EA402" s="27" t="s">
        <v>8</v>
      </c>
      <c r="EB402" s="27" t="s">
        <v>7</v>
      </c>
      <c r="EC402" s="27" t="s">
        <v>8</v>
      </c>
      <c r="ED402" s="27" t="s">
        <v>7</v>
      </c>
      <c r="EE402" s="27" t="s">
        <v>8</v>
      </c>
      <c r="EF402" s="27" t="s">
        <v>7</v>
      </c>
      <c r="EG402" s="27" t="s">
        <v>8</v>
      </c>
      <c r="EK402" s="27" t="s">
        <v>8</v>
      </c>
    </row>
    <row r="403" spans="1:150" x14ac:dyDescent="0.25">
      <c r="A403" s="7">
        <v>38.232403778741585</v>
      </c>
      <c r="B403"/>
      <c r="C403"/>
      <c r="D403"/>
      <c r="E403"/>
      <c r="BK403" s="27" t="s">
        <v>8</v>
      </c>
      <c r="BL403" s="27" t="s">
        <v>7</v>
      </c>
      <c r="BO403" s="27" t="s">
        <v>8</v>
      </c>
      <c r="BP403" s="27" t="s">
        <v>7</v>
      </c>
      <c r="BS403" s="27" t="s">
        <v>8</v>
      </c>
      <c r="BT403" s="27" t="s">
        <v>7</v>
      </c>
      <c r="BU403" s="27" t="s">
        <v>8</v>
      </c>
      <c r="BV403" s="27" t="s">
        <v>7</v>
      </c>
      <c r="BW403" s="27" t="s">
        <v>8</v>
      </c>
      <c r="BZ403" s="27" t="s">
        <v>7</v>
      </c>
      <c r="CG403" s="27" t="s">
        <v>8</v>
      </c>
      <c r="CH403" s="27" t="s">
        <v>7</v>
      </c>
      <c r="CI403" s="27" t="s">
        <v>8</v>
      </c>
      <c r="CJ403" s="27" t="s">
        <v>7</v>
      </c>
      <c r="CK403" s="27" t="s">
        <v>8</v>
      </c>
      <c r="CL403" s="27" t="s">
        <v>7</v>
      </c>
      <c r="EA403" s="27" t="s">
        <v>8</v>
      </c>
      <c r="EB403" s="27" t="s">
        <v>7</v>
      </c>
      <c r="EC403" s="27" t="s">
        <v>8</v>
      </c>
      <c r="ED403" s="27" t="s">
        <v>7</v>
      </c>
      <c r="EE403" s="27" t="s">
        <v>8</v>
      </c>
      <c r="EF403" s="27" t="s">
        <v>7</v>
      </c>
      <c r="EG403" s="27" t="s">
        <v>8</v>
      </c>
      <c r="EH403" s="27" t="s">
        <v>7</v>
      </c>
      <c r="EK403" s="27" t="s">
        <v>8</v>
      </c>
      <c r="EL403" s="27" t="s">
        <v>7</v>
      </c>
    </row>
    <row r="404" spans="1:150" x14ac:dyDescent="0.25">
      <c r="A404" s="7">
        <v>37.48274880268783</v>
      </c>
      <c r="B404"/>
      <c r="C404"/>
      <c r="D404"/>
      <c r="E404"/>
      <c r="BK404" s="27" t="s">
        <v>8</v>
      </c>
      <c r="BL404" s="27" t="s">
        <v>7</v>
      </c>
      <c r="BO404" s="27" t="s">
        <v>8</v>
      </c>
      <c r="BP404" s="27" t="s">
        <v>7</v>
      </c>
      <c r="BS404" s="27" t="s">
        <v>8</v>
      </c>
      <c r="BT404" s="27" t="s">
        <v>7</v>
      </c>
      <c r="BU404" s="27" t="s">
        <v>8</v>
      </c>
      <c r="BV404" s="27" t="s">
        <v>7</v>
      </c>
      <c r="BW404" s="27" t="s">
        <v>8</v>
      </c>
      <c r="BZ404" s="27" t="s">
        <v>7</v>
      </c>
      <c r="CG404" s="27" t="s">
        <v>8</v>
      </c>
      <c r="CH404" s="27" t="s">
        <v>7</v>
      </c>
      <c r="CI404" s="27" t="s">
        <v>8</v>
      </c>
      <c r="CJ404" s="27" t="s">
        <v>7</v>
      </c>
      <c r="CK404" s="27" t="s">
        <v>8</v>
      </c>
      <c r="CL404" s="27" t="s">
        <v>7</v>
      </c>
      <c r="EA404" s="27" t="s">
        <v>8</v>
      </c>
      <c r="EB404" s="27" t="s">
        <v>7</v>
      </c>
      <c r="EC404" s="27" t="s">
        <v>8</v>
      </c>
      <c r="ED404" s="27" t="s">
        <v>7</v>
      </c>
      <c r="EF404" s="27" t="s">
        <v>7</v>
      </c>
      <c r="EG404" s="27" t="s">
        <v>8</v>
      </c>
      <c r="EH404" s="27" t="s">
        <v>7</v>
      </c>
      <c r="EI404" s="27" t="s">
        <v>8</v>
      </c>
      <c r="EK404" s="27" t="s">
        <v>8</v>
      </c>
      <c r="EL404" s="27" t="s">
        <v>7</v>
      </c>
    </row>
    <row r="405" spans="1:150" x14ac:dyDescent="0.25">
      <c r="A405" s="7">
        <v>36.747792943811596</v>
      </c>
      <c r="B405"/>
      <c r="C405"/>
      <c r="D405"/>
      <c r="E405"/>
      <c r="BK405" s="27" t="s">
        <v>8</v>
      </c>
      <c r="BL405" s="27" t="s">
        <v>7</v>
      </c>
      <c r="BO405" s="27" t="s">
        <v>8</v>
      </c>
      <c r="BP405" s="27" t="s">
        <v>7</v>
      </c>
      <c r="BS405" s="27" t="s">
        <v>8</v>
      </c>
      <c r="BT405" s="27" t="s">
        <v>7</v>
      </c>
      <c r="BU405" s="27" t="s">
        <v>8</v>
      </c>
      <c r="BV405" s="27" t="s">
        <v>7</v>
      </c>
      <c r="BW405" s="27" t="s">
        <v>8</v>
      </c>
      <c r="BZ405" s="27" t="s">
        <v>7</v>
      </c>
      <c r="CG405" s="27" t="s">
        <v>8</v>
      </c>
      <c r="CH405" s="27" t="s">
        <v>7</v>
      </c>
      <c r="CI405" s="27" t="s">
        <v>8</v>
      </c>
      <c r="CJ405" s="27" t="s">
        <v>7</v>
      </c>
      <c r="CK405" s="27" t="s">
        <v>8</v>
      </c>
      <c r="CL405" s="27" t="s">
        <v>7</v>
      </c>
      <c r="EA405" s="27" t="s">
        <v>8</v>
      </c>
      <c r="EB405" s="27" t="s">
        <v>7</v>
      </c>
      <c r="EC405" s="27" t="s">
        <v>8</v>
      </c>
      <c r="EF405" s="27" t="s">
        <v>7</v>
      </c>
      <c r="EG405" s="27" t="s">
        <v>8</v>
      </c>
      <c r="EH405" s="27" t="s">
        <v>7</v>
      </c>
      <c r="EI405" s="27" t="s">
        <v>8</v>
      </c>
      <c r="EJ405" s="27" t="s">
        <v>7</v>
      </c>
      <c r="EK405" s="27" t="s">
        <v>8</v>
      </c>
      <c r="EL405" s="27" t="s">
        <v>7</v>
      </c>
    </row>
    <row r="406" spans="1:150" x14ac:dyDescent="0.25">
      <c r="A406" s="7">
        <v>36.027247984129012</v>
      </c>
      <c r="B406"/>
      <c r="C406"/>
      <c r="D406"/>
      <c r="E406"/>
      <c r="BK406" s="27" t="s">
        <v>8</v>
      </c>
      <c r="BL406" s="27" t="s">
        <v>7</v>
      </c>
      <c r="BO406" s="27" t="s">
        <v>8</v>
      </c>
      <c r="BP406" s="27" t="s">
        <v>7</v>
      </c>
      <c r="BS406" s="27" t="s">
        <v>8</v>
      </c>
      <c r="BT406" s="27" t="s">
        <v>7</v>
      </c>
      <c r="BU406" s="27" t="s">
        <v>8</v>
      </c>
      <c r="BV406" s="27" t="s">
        <v>7</v>
      </c>
      <c r="BW406" s="27" t="s">
        <v>8</v>
      </c>
      <c r="BZ406" s="27" t="s">
        <v>7</v>
      </c>
      <c r="CE406" s="27" t="s">
        <v>8</v>
      </c>
      <c r="CG406" s="27" t="s">
        <v>8</v>
      </c>
      <c r="CH406" s="27" t="s">
        <v>7</v>
      </c>
      <c r="CI406" s="27" t="s">
        <v>8</v>
      </c>
      <c r="CJ406" s="27" t="s">
        <v>7</v>
      </c>
      <c r="CK406" s="27" t="s">
        <v>8</v>
      </c>
      <c r="CL406" s="27" t="s">
        <v>7</v>
      </c>
      <c r="EA406" s="27" t="s">
        <v>8</v>
      </c>
      <c r="EB406" s="27" t="s">
        <v>7</v>
      </c>
      <c r="EC406" s="27" t="s">
        <v>8</v>
      </c>
      <c r="EF406" s="27" t="s">
        <v>7</v>
      </c>
      <c r="EG406" s="27" t="s">
        <v>8</v>
      </c>
      <c r="EH406" s="27" t="s">
        <v>7</v>
      </c>
      <c r="EI406" s="27" t="s">
        <v>8</v>
      </c>
      <c r="EJ406" s="27" t="s">
        <v>7</v>
      </c>
      <c r="EK406" s="27" t="s">
        <v>8</v>
      </c>
      <c r="EL406" s="27" t="s">
        <v>7</v>
      </c>
    </row>
    <row r="407" spans="1:150" x14ac:dyDescent="0.25">
      <c r="A407" s="7">
        <v>35.320831356989224</v>
      </c>
      <c r="B407"/>
      <c r="C407"/>
      <c r="D407"/>
      <c r="E407"/>
      <c r="BK407" s="27" t="s">
        <v>8</v>
      </c>
      <c r="BL407" s="27" t="s">
        <v>7</v>
      </c>
      <c r="BO407" s="27" t="s">
        <v>8</v>
      </c>
      <c r="BP407" s="27" t="s">
        <v>7</v>
      </c>
      <c r="BS407" s="27" t="s">
        <v>8</v>
      </c>
      <c r="BT407" s="27" t="s">
        <v>7</v>
      </c>
      <c r="BU407" s="27" t="s">
        <v>8</v>
      </c>
      <c r="BV407" s="27" t="s">
        <v>7</v>
      </c>
      <c r="BW407" s="27" t="s">
        <v>8</v>
      </c>
      <c r="BZ407" s="27" t="s">
        <v>7</v>
      </c>
      <c r="CA407" s="27" t="s">
        <v>8</v>
      </c>
      <c r="CE407" s="27" t="s">
        <v>8</v>
      </c>
      <c r="CF407" s="27" t="s">
        <v>7</v>
      </c>
      <c r="CG407" s="27" t="s">
        <v>8</v>
      </c>
      <c r="CH407" s="27" t="s">
        <v>7</v>
      </c>
      <c r="CI407" s="27" t="s">
        <v>8</v>
      </c>
      <c r="CJ407" s="27" t="s">
        <v>7</v>
      </c>
      <c r="CK407" s="27" t="s">
        <v>8</v>
      </c>
      <c r="CL407" s="27" t="s">
        <v>7</v>
      </c>
      <c r="EA407" s="27" t="s">
        <v>8</v>
      </c>
      <c r="EB407" s="27" t="s">
        <v>7</v>
      </c>
      <c r="EC407" s="27" t="s">
        <v>8</v>
      </c>
      <c r="EF407" s="27" t="s">
        <v>7</v>
      </c>
      <c r="EG407" s="27" t="s">
        <v>8</v>
      </c>
      <c r="EH407" s="27" t="s">
        <v>7</v>
      </c>
      <c r="EI407" s="27" t="s">
        <v>8</v>
      </c>
      <c r="EJ407" s="27" t="s">
        <v>7</v>
      </c>
      <c r="EK407" s="27" t="s">
        <v>8</v>
      </c>
      <c r="EL407" s="27" t="s">
        <v>7</v>
      </c>
    </row>
    <row r="408" spans="1:150" x14ac:dyDescent="0.25">
      <c r="A408" s="7">
        <v>34.628266036263945</v>
      </c>
      <c r="B408"/>
      <c r="C408"/>
      <c r="D408"/>
      <c r="E408"/>
      <c r="BK408" s="27" t="s">
        <v>8</v>
      </c>
      <c r="BL408" s="27" t="s">
        <v>7</v>
      </c>
      <c r="BO408" s="27" t="s">
        <v>8</v>
      </c>
      <c r="BP408" s="27" t="s">
        <v>7</v>
      </c>
      <c r="BS408" s="27" t="s">
        <v>8</v>
      </c>
      <c r="BT408" s="27" t="s">
        <v>7</v>
      </c>
      <c r="BU408" s="27" t="s">
        <v>8</v>
      </c>
      <c r="BV408" s="27" t="s">
        <v>7</v>
      </c>
      <c r="BZ408" s="27" t="s">
        <v>7</v>
      </c>
      <c r="CA408" s="27" t="s">
        <v>8</v>
      </c>
      <c r="CB408" s="27" t="s">
        <v>7</v>
      </c>
      <c r="CC408" s="27" t="s">
        <v>8</v>
      </c>
      <c r="CE408" s="27" t="s">
        <v>8</v>
      </c>
      <c r="CF408" s="27" t="s">
        <v>7</v>
      </c>
      <c r="CG408" s="27" t="s">
        <v>8</v>
      </c>
      <c r="CH408" s="27" t="s">
        <v>7</v>
      </c>
      <c r="CI408" s="27" t="s">
        <v>8</v>
      </c>
      <c r="CJ408" s="27" t="s">
        <v>7</v>
      </c>
      <c r="CK408" s="27" t="s">
        <v>8</v>
      </c>
      <c r="CL408" s="27" t="s">
        <v>7</v>
      </c>
      <c r="EA408" s="27" t="s">
        <v>8</v>
      </c>
      <c r="EB408" s="27" t="s">
        <v>7</v>
      </c>
      <c r="EC408" s="27" t="s">
        <v>8</v>
      </c>
      <c r="EF408" s="27" t="s">
        <v>7</v>
      </c>
      <c r="EG408" s="27" t="s">
        <v>8</v>
      </c>
      <c r="EH408" s="27" t="s">
        <v>7</v>
      </c>
      <c r="EI408" s="27" t="s">
        <v>8</v>
      </c>
      <c r="EJ408" s="27" t="s">
        <v>7</v>
      </c>
      <c r="EK408" s="27" t="s">
        <v>8</v>
      </c>
      <c r="EL408" s="27" t="s">
        <v>7</v>
      </c>
    </row>
    <row r="409" spans="1:150" x14ac:dyDescent="0.25">
      <c r="A409" s="7">
        <v>33.949280427709752</v>
      </c>
      <c r="B409"/>
      <c r="C409"/>
      <c r="D409"/>
      <c r="E409"/>
      <c r="BK409" s="27" t="s">
        <v>8</v>
      </c>
      <c r="BL409" s="27" t="s">
        <v>7</v>
      </c>
      <c r="BO409" s="27" t="s">
        <v>8</v>
      </c>
      <c r="BP409" s="27" t="s">
        <v>7</v>
      </c>
      <c r="BQ409" s="27" t="s">
        <v>8</v>
      </c>
      <c r="BS409" s="27" t="s">
        <v>8</v>
      </c>
      <c r="BT409" s="27" t="s">
        <v>7</v>
      </c>
      <c r="BU409" s="27" t="s">
        <v>8</v>
      </c>
      <c r="BZ409" s="27" t="s">
        <v>7</v>
      </c>
      <c r="CA409" s="27" t="s">
        <v>8</v>
      </c>
      <c r="CB409" s="27" t="s">
        <v>7</v>
      </c>
      <c r="CC409" s="27" t="s">
        <v>8</v>
      </c>
      <c r="CD409" s="27" t="s">
        <v>7</v>
      </c>
      <c r="CE409" s="27" t="s">
        <v>8</v>
      </c>
      <c r="CF409" s="27" t="s">
        <v>7</v>
      </c>
      <c r="CG409" s="27" t="s">
        <v>8</v>
      </c>
      <c r="CH409" s="27" t="s">
        <v>7</v>
      </c>
      <c r="CI409" s="27" t="s">
        <v>8</v>
      </c>
      <c r="CJ409" s="27" t="s">
        <v>7</v>
      </c>
      <c r="CK409" s="27" t="s">
        <v>8</v>
      </c>
      <c r="CL409" s="27" t="s">
        <v>7</v>
      </c>
      <c r="EA409" s="27" t="s">
        <v>8</v>
      </c>
      <c r="EB409" s="27" t="s">
        <v>7</v>
      </c>
      <c r="EC409" s="27" t="s">
        <v>8</v>
      </c>
      <c r="EF409" s="27" t="s">
        <v>7</v>
      </c>
      <c r="EG409" s="27" t="s">
        <v>8</v>
      </c>
      <c r="EH409" s="27" t="s">
        <v>7</v>
      </c>
      <c r="EI409" s="27" t="s">
        <v>8</v>
      </c>
      <c r="EJ409" s="27" t="s">
        <v>7</v>
      </c>
      <c r="EK409" s="27" t="s">
        <v>8</v>
      </c>
      <c r="EL409" s="27" t="s">
        <v>7</v>
      </c>
      <c r="EM409" s="27" t="s">
        <v>8</v>
      </c>
      <c r="EO409" s="27" t="s">
        <v>8</v>
      </c>
    </row>
    <row r="410" spans="1:150" x14ac:dyDescent="0.25">
      <c r="A410" s="7">
        <v>33.28360826246054</v>
      </c>
      <c r="B410"/>
      <c r="C410"/>
      <c r="D410"/>
      <c r="E410"/>
      <c r="BK410" s="27" t="s">
        <v>8</v>
      </c>
      <c r="BL410" s="27" t="s">
        <v>7</v>
      </c>
      <c r="BO410" s="27" t="s">
        <v>8</v>
      </c>
      <c r="BP410" s="27" t="s">
        <v>7</v>
      </c>
      <c r="BQ410" s="27" t="s">
        <v>8</v>
      </c>
      <c r="BR410" s="27" t="s">
        <v>7</v>
      </c>
      <c r="BS410" s="27" t="s">
        <v>8</v>
      </c>
      <c r="BT410" s="27" t="s">
        <v>7</v>
      </c>
      <c r="BU410" s="27" t="s">
        <v>8</v>
      </c>
      <c r="BZ410" s="27" t="s">
        <v>7</v>
      </c>
      <c r="CA410" s="27" t="s">
        <v>8</v>
      </c>
      <c r="CB410" s="27" t="s">
        <v>7</v>
      </c>
      <c r="CC410" s="27" t="s">
        <v>8</v>
      </c>
      <c r="CD410" s="27" t="s">
        <v>7</v>
      </c>
      <c r="CE410" s="27" t="s">
        <v>8</v>
      </c>
      <c r="CF410" s="27" t="s">
        <v>7</v>
      </c>
      <c r="CG410" s="27" t="s">
        <v>8</v>
      </c>
      <c r="CH410" s="27" t="s">
        <v>7</v>
      </c>
      <c r="CI410" s="27" t="s">
        <v>8</v>
      </c>
      <c r="CJ410" s="27" t="s">
        <v>7</v>
      </c>
      <c r="CK410" s="27" t="s">
        <v>8</v>
      </c>
      <c r="CL410" s="27" t="s">
        <v>7</v>
      </c>
      <c r="EA410" s="27" t="s">
        <v>8</v>
      </c>
      <c r="EB410" s="27" t="s">
        <v>7</v>
      </c>
      <c r="EC410" s="27" t="s">
        <v>8</v>
      </c>
      <c r="EF410" s="27" t="s">
        <v>7</v>
      </c>
      <c r="EG410" s="27" t="s">
        <v>8</v>
      </c>
      <c r="EH410" s="27" t="s">
        <v>7</v>
      </c>
      <c r="EJ410" s="27" t="s">
        <v>7</v>
      </c>
      <c r="EL410" s="27" t="s">
        <v>7</v>
      </c>
      <c r="EM410" s="27" t="s">
        <v>8</v>
      </c>
      <c r="EN410" s="27" t="s">
        <v>7</v>
      </c>
      <c r="EO410" s="27" t="s">
        <v>8</v>
      </c>
      <c r="EP410" s="27" t="s">
        <v>7</v>
      </c>
      <c r="ES410" s="27" t="s">
        <v>8</v>
      </c>
    </row>
    <row r="411" spans="1:150" x14ac:dyDescent="0.25">
      <c r="A411" s="7">
        <v>32.630988492608374</v>
      </c>
      <c r="B411"/>
      <c r="C411"/>
      <c r="D411"/>
      <c r="E411"/>
      <c r="BK411" s="27" t="s">
        <v>8</v>
      </c>
      <c r="BL411" s="27" t="s">
        <v>7</v>
      </c>
      <c r="BO411" s="27" t="s">
        <v>8</v>
      </c>
      <c r="BP411" s="27" t="s">
        <v>7</v>
      </c>
      <c r="BQ411" s="27" t="s">
        <v>8</v>
      </c>
      <c r="BR411" s="27" t="s">
        <v>7</v>
      </c>
      <c r="BS411" s="27" t="s">
        <v>8</v>
      </c>
      <c r="BT411" s="27" t="s">
        <v>7</v>
      </c>
      <c r="BU411" s="27" t="s">
        <v>8</v>
      </c>
      <c r="BZ411" s="27" t="s">
        <v>7</v>
      </c>
      <c r="CB411" s="27" t="s">
        <v>7</v>
      </c>
      <c r="CC411" s="27" t="s">
        <v>8</v>
      </c>
      <c r="CD411" s="27" t="s">
        <v>7</v>
      </c>
      <c r="CE411" s="27" t="s">
        <v>8</v>
      </c>
      <c r="CF411" s="27" t="s">
        <v>7</v>
      </c>
      <c r="CG411" s="27" t="s">
        <v>8</v>
      </c>
      <c r="CH411" s="27" t="s">
        <v>7</v>
      </c>
      <c r="CI411" s="27" t="s">
        <v>8</v>
      </c>
      <c r="CJ411" s="27" t="s">
        <v>7</v>
      </c>
      <c r="CK411" s="27" t="s">
        <v>8</v>
      </c>
      <c r="CL411" s="27" t="s">
        <v>7</v>
      </c>
      <c r="EA411" s="27" t="s">
        <v>8</v>
      </c>
      <c r="EB411" s="27" t="s">
        <v>7</v>
      </c>
      <c r="EC411" s="27" t="s">
        <v>8</v>
      </c>
      <c r="EF411" s="27" t="s">
        <v>7</v>
      </c>
      <c r="EG411" s="27" t="s">
        <v>8</v>
      </c>
      <c r="EL411" s="27" t="s">
        <v>7</v>
      </c>
      <c r="EM411" s="27" t="s">
        <v>8</v>
      </c>
      <c r="EN411" s="27" t="s">
        <v>7</v>
      </c>
      <c r="EO411" s="27" t="s">
        <v>8</v>
      </c>
      <c r="EP411" s="27" t="s">
        <v>7</v>
      </c>
      <c r="ES411" s="27" t="s">
        <v>8</v>
      </c>
      <c r="ET411" s="27" t="s">
        <v>7</v>
      </c>
    </row>
    <row r="412" spans="1:150" x14ac:dyDescent="0.25">
      <c r="A412" s="7">
        <v>31.99116518883174</v>
      </c>
      <c r="B412"/>
      <c r="C412"/>
      <c r="D412"/>
      <c r="E412" t="s">
        <v>8</v>
      </c>
      <c r="BK412" s="27" t="s">
        <v>8</v>
      </c>
      <c r="BL412" s="27" t="s">
        <v>7</v>
      </c>
      <c r="BO412" s="27" t="s">
        <v>8</v>
      </c>
      <c r="BP412" s="27" t="s">
        <v>7</v>
      </c>
      <c r="BQ412" s="27" t="s">
        <v>8</v>
      </c>
      <c r="BR412" s="27" t="s">
        <v>7</v>
      </c>
      <c r="BS412" s="27" t="s">
        <v>8</v>
      </c>
      <c r="BT412" s="27" t="s">
        <v>7</v>
      </c>
      <c r="BU412" s="27" t="s">
        <v>8</v>
      </c>
      <c r="CB412" s="27" t="s">
        <v>7</v>
      </c>
      <c r="CD412" s="27" t="s">
        <v>7</v>
      </c>
      <c r="CE412" s="27" t="s">
        <v>8</v>
      </c>
      <c r="CF412" s="27" t="s">
        <v>7</v>
      </c>
      <c r="CG412" s="27" t="s">
        <v>8</v>
      </c>
      <c r="CH412" s="27" t="s">
        <v>7</v>
      </c>
      <c r="CI412" s="27" t="s">
        <v>8</v>
      </c>
      <c r="CJ412" s="27" t="s">
        <v>7</v>
      </c>
      <c r="CK412" s="27" t="s">
        <v>8</v>
      </c>
      <c r="CL412" s="27" t="s">
        <v>7</v>
      </c>
      <c r="EA412" s="27" t="s">
        <v>8</v>
      </c>
      <c r="EB412" s="27" t="s">
        <v>7</v>
      </c>
      <c r="EC412" s="27" t="s">
        <v>8</v>
      </c>
      <c r="EF412" s="27" t="s">
        <v>7</v>
      </c>
      <c r="EL412" s="27" t="s">
        <v>7</v>
      </c>
      <c r="EN412" s="27" t="s">
        <v>7</v>
      </c>
      <c r="EO412" s="27" t="s">
        <v>8</v>
      </c>
      <c r="EP412" s="27" t="s">
        <v>7</v>
      </c>
      <c r="EQ412" s="27" t="s">
        <v>8</v>
      </c>
      <c r="ES412" s="27" t="s">
        <v>8</v>
      </c>
      <c r="ET412" s="27" t="s">
        <v>7</v>
      </c>
    </row>
    <row r="413" spans="1:150" x14ac:dyDescent="0.25">
      <c r="A413" s="7">
        <v>31.363887440031117</v>
      </c>
      <c r="B413"/>
      <c r="C413"/>
      <c r="D413"/>
      <c r="E413" t="s">
        <v>8</v>
      </c>
      <c r="F413" s="27" t="s">
        <v>7</v>
      </c>
      <c r="BK413" s="27" t="s">
        <v>8</v>
      </c>
      <c r="BL413" s="27" t="s">
        <v>7</v>
      </c>
      <c r="BO413" s="27" t="s">
        <v>8</v>
      </c>
      <c r="BP413" s="27" t="s">
        <v>7</v>
      </c>
      <c r="BQ413" s="27" t="s">
        <v>8</v>
      </c>
      <c r="BR413" s="27" t="s">
        <v>7</v>
      </c>
      <c r="BS413" s="27" t="s">
        <v>8</v>
      </c>
      <c r="BT413" s="27" t="s">
        <v>7</v>
      </c>
      <c r="BU413" s="27" t="s">
        <v>8</v>
      </c>
      <c r="CD413" s="27" t="s">
        <v>7</v>
      </c>
      <c r="CE413" s="27" t="s">
        <v>8</v>
      </c>
      <c r="CF413" s="27" t="s">
        <v>7</v>
      </c>
      <c r="CG413" s="27" t="s">
        <v>8</v>
      </c>
      <c r="CH413" s="27" t="s">
        <v>7</v>
      </c>
      <c r="CI413" s="27" t="s">
        <v>8</v>
      </c>
      <c r="CJ413" s="27" t="s">
        <v>7</v>
      </c>
      <c r="CK413" s="27" t="s">
        <v>8</v>
      </c>
      <c r="CL413" s="27" t="s">
        <v>7</v>
      </c>
      <c r="EA413" s="27" t="s">
        <v>8</v>
      </c>
      <c r="EB413" s="27" t="s">
        <v>7</v>
      </c>
      <c r="EC413" s="27" t="s">
        <v>8</v>
      </c>
      <c r="EN413" s="27" t="s">
        <v>7</v>
      </c>
      <c r="EO413" s="27" t="s">
        <v>8</v>
      </c>
      <c r="EP413" s="27" t="s">
        <v>7</v>
      </c>
      <c r="EQ413" s="27" t="s">
        <v>8</v>
      </c>
      <c r="ER413" s="27" t="s">
        <v>7</v>
      </c>
      <c r="ES413" s="27" t="s">
        <v>8</v>
      </c>
      <c r="ET413" s="27" t="s">
        <v>7</v>
      </c>
    </row>
    <row r="414" spans="1:150" x14ac:dyDescent="0.25">
      <c r="A414" s="7">
        <v>30.748909254932467</v>
      </c>
      <c r="B414"/>
      <c r="C414"/>
      <c r="D414"/>
      <c r="E414" t="s">
        <v>8</v>
      </c>
      <c r="F414" s="27" t="s">
        <v>7</v>
      </c>
      <c r="BK414" s="27" t="s">
        <v>8</v>
      </c>
      <c r="BL414" s="27" t="s">
        <v>7</v>
      </c>
      <c r="BO414" s="27" t="s">
        <v>8</v>
      </c>
      <c r="BP414" s="27" t="s">
        <v>7</v>
      </c>
      <c r="BQ414" s="27" t="s">
        <v>8</v>
      </c>
      <c r="BR414" s="27" t="s">
        <v>7</v>
      </c>
      <c r="BS414" s="27" t="s">
        <v>8</v>
      </c>
      <c r="BT414" s="27" t="s">
        <v>7</v>
      </c>
      <c r="CD414" s="27" t="s">
        <v>7</v>
      </c>
      <c r="CE414" s="27" t="s">
        <v>8</v>
      </c>
      <c r="CF414" s="27" t="s">
        <v>7</v>
      </c>
      <c r="CG414" s="27" t="s">
        <v>8</v>
      </c>
      <c r="CH414" s="27" t="s">
        <v>7</v>
      </c>
      <c r="CI414" s="27" t="s">
        <v>8</v>
      </c>
      <c r="CJ414" s="27" t="s">
        <v>7</v>
      </c>
      <c r="CK414" s="27" t="s">
        <v>8</v>
      </c>
      <c r="CL414" s="27" t="s">
        <v>7</v>
      </c>
      <c r="EA414" s="27" t="s">
        <v>8</v>
      </c>
      <c r="EB414" s="27" t="s">
        <v>7</v>
      </c>
      <c r="EC414" s="27" t="s">
        <v>8</v>
      </c>
      <c r="EN414" s="27" t="s">
        <v>7</v>
      </c>
      <c r="EO414" s="27" t="s">
        <v>8</v>
      </c>
      <c r="EP414" s="27" t="s">
        <v>7</v>
      </c>
      <c r="EQ414" s="27" t="s">
        <v>8</v>
      </c>
      <c r="ER414" s="27" t="s">
        <v>7</v>
      </c>
      <c r="ES414" s="27" t="s">
        <v>8</v>
      </c>
      <c r="ET414" s="27" t="s">
        <v>7</v>
      </c>
    </row>
    <row r="415" spans="1:150" x14ac:dyDescent="0.25">
      <c r="A415" s="7">
        <v>30.145989465620065</v>
      </c>
      <c r="B415"/>
      <c r="C415"/>
      <c r="D415"/>
      <c r="E415" t="s">
        <v>8</v>
      </c>
      <c r="F415" s="27" t="s">
        <v>7</v>
      </c>
      <c r="BK415" s="27" t="s">
        <v>8</v>
      </c>
      <c r="BL415" s="27" t="s">
        <v>7</v>
      </c>
      <c r="BO415" s="27" t="s">
        <v>8</v>
      </c>
      <c r="BP415" s="27" t="s">
        <v>7</v>
      </c>
      <c r="BR415" s="27" t="s">
        <v>7</v>
      </c>
      <c r="BS415" s="27" t="s">
        <v>8</v>
      </c>
      <c r="CD415" s="27" t="s">
        <v>7</v>
      </c>
      <c r="CE415" s="27" t="s">
        <v>8</v>
      </c>
      <c r="CF415" s="27" t="s">
        <v>7</v>
      </c>
      <c r="CG415" s="27" t="s">
        <v>8</v>
      </c>
      <c r="CH415" s="27" t="s">
        <v>7</v>
      </c>
      <c r="CI415" s="27" t="s">
        <v>8</v>
      </c>
      <c r="CJ415" s="27" t="s">
        <v>7</v>
      </c>
      <c r="CK415" s="27" t="s">
        <v>8</v>
      </c>
      <c r="CL415" s="27" t="s">
        <v>7</v>
      </c>
      <c r="EA415" s="27" t="s">
        <v>8</v>
      </c>
      <c r="EB415" s="27" t="s">
        <v>7</v>
      </c>
      <c r="EC415" s="27" t="s">
        <v>8</v>
      </c>
      <c r="EN415" s="27" t="s">
        <v>7</v>
      </c>
      <c r="EO415" s="27" t="s">
        <v>8</v>
      </c>
      <c r="EP415" s="27" t="s">
        <v>7</v>
      </c>
      <c r="ER415" s="27" t="s">
        <v>7</v>
      </c>
      <c r="ES415" s="27" t="s">
        <v>8</v>
      </c>
      <c r="ET415" s="27" t="s">
        <v>7</v>
      </c>
    </row>
    <row r="416" spans="1:150" x14ac:dyDescent="0.25">
      <c r="A416" s="7">
        <v>29.55489163296085</v>
      </c>
      <c r="B416"/>
      <c r="C416"/>
      <c r="D416"/>
      <c r="E416" t="s">
        <v>8</v>
      </c>
      <c r="F416" s="27" t="s">
        <v>7</v>
      </c>
      <c r="AW416" s="27" t="s">
        <v>8</v>
      </c>
      <c r="BK416" s="27" t="s">
        <v>8</v>
      </c>
      <c r="BL416" s="27" t="s">
        <v>7</v>
      </c>
      <c r="BO416" s="27" t="s">
        <v>8</v>
      </c>
      <c r="BR416" s="27" t="s">
        <v>7</v>
      </c>
      <c r="BS416" s="27" t="s">
        <v>8</v>
      </c>
      <c r="CD416" s="27" t="s">
        <v>7</v>
      </c>
      <c r="CE416" s="27" t="s">
        <v>8</v>
      </c>
      <c r="CF416" s="27" t="s">
        <v>7</v>
      </c>
      <c r="CG416" s="27" t="s">
        <v>8</v>
      </c>
      <c r="CH416" s="27" t="s">
        <v>7</v>
      </c>
      <c r="CI416" s="27" t="s">
        <v>8</v>
      </c>
      <c r="CJ416" s="27" t="s">
        <v>7</v>
      </c>
      <c r="CK416" s="27" t="s">
        <v>8</v>
      </c>
      <c r="CL416" s="27" t="s">
        <v>7</v>
      </c>
      <c r="EA416" s="27" t="s">
        <v>8</v>
      </c>
      <c r="EB416" s="27" t="s">
        <v>7</v>
      </c>
      <c r="EN416" s="27" t="s">
        <v>7</v>
      </c>
      <c r="EO416" s="27" t="s">
        <v>8</v>
      </c>
      <c r="ER416" s="27" t="s">
        <v>7</v>
      </c>
      <c r="ET416" s="27" t="s">
        <v>7</v>
      </c>
    </row>
    <row r="417" spans="1:176" x14ac:dyDescent="0.25">
      <c r="A417" s="7">
        <v>28.975383953883185</v>
      </c>
      <c r="B417"/>
      <c r="C417"/>
      <c r="D417"/>
      <c r="E417" t="s">
        <v>8</v>
      </c>
      <c r="F417" s="27" t="s">
        <v>7</v>
      </c>
      <c r="AW417" s="27" t="s">
        <v>8</v>
      </c>
      <c r="AX417" s="27" t="s">
        <v>7</v>
      </c>
      <c r="BK417" s="27" t="s">
        <v>8</v>
      </c>
      <c r="BL417" s="27" t="s">
        <v>7</v>
      </c>
      <c r="BO417" s="27" t="s">
        <v>8</v>
      </c>
      <c r="BR417" s="27" t="s">
        <v>7</v>
      </c>
      <c r="BS417" s="27" t="s">
        <v>8</v>
      </c>
      <c r="CD417" s="27" t="s">
        <v>7</v>
      </c>
      <c r="CE417" s="27" t="s">
        <v>8</v>
      </c>
      <c r="CF417" s="27" t="s">
        <v>7</v>
      </c>
      <c r="CG417" s="27" t="s">
        <v>8</v>
      </c>
      <c r="CH417" s="27" t="s">
        <v>7</v>
      </c>
      <c r="CI417" s="27" t="s">
        <v>8</v>
      </c>
      <c r="CJ417" s="27" t="s">
        <v>7</v>
      </c>
      <c r="CK417" s="27" t="s">
        <v>8</v>
      </c>
      <c r="CL417" s="27" t="s">
        <v>7</v>
      </c>
      <c r="EA417" s="27" t="s">
        <v>8</v>
      </c>
      <c r="EN417" s="27" t="s">
        <v>7</v>
      </c>
      <c r="EO417" s="27" t="s">
        <v>8</v>
      </c>
      <c r="ET417" s="27" t="s">
        <v>7</v>
      </c>
    </row>
    <row r="418" spans="1:176" x14ac:dyDescent="0.25">
      <c r="A418" s="7">
        <v>28.407239170473709</v>
      </c>
      <c r="B418"/>
      <c r="C418"/>
      <c r="D418"/>
      <c r="E418" t="s">
        <v>8</v>
      </c>
      <c r="F418" s="27" t="s">
        <v>7</v>
      </c>
      <c r="AW418" s="27" t="s">
        <v>8</v>
      </c>
      <c r="AX418" s="27" t="s">
        <v>7</v>
      </c>
      <c r="BK418" s="27" t="s">
        <v>8</v>
      </c>
      <c r="BL418" s="27" t="s">
        <v>7</v>
      </c>
      <c r="BO418" s="27" t="s">
        <v>8</v>
      </c>
      <c r="BR418" s="27" t="s">
        <v>7</v>
      </c>
      <c r="CD418" s="27" t="s">
        <v>7</v>
      </c>
      <c r="CE418" s="27" t="s">
        <v>8</v>
      </c>
      <c r="CF418" s="27" t="s">
        <v>7</v>
      </c>
      <c r="CG418" s="27" t="s">
        <v>8</v>
      </c>
      <c r="CH418" s="27" t="s">
        <v>7</v>
      </c>
      <c r="CI418" s="27" t="s">
        <v>8</v>
      </c>
      <c r="CJ418" s="27" t="s">
        <v>7</v>
      </c>
      <c r="CK418" s="27" t="s">
        <v>8</v>
      </c>
      <c r="CL418" s="27" t="s">
        <v>7</v>
      </c>
      <c r="EA418" s="27" t="s">
        <v>8</v>
      </c>
      <c r="EN418" s="27" t="s">
        <v>7</v>
      </c>
      <c r="EO418" s="27" t="s">
        <v>8</v>
      </c>
      <c r="ET418" s="27" t="s">
        <v>7</v>
      </c>
      <c r="EU418" s="27" t="s">
        <v>8</v>
      </c>
      <c r="FM418" s="27" t="s">
        <v>8</v>
      </c>
    </row>
    <row r="419" spans="1:176" x14ac:dyDescent="0.25">
      <c r="A419" s="7">
        <v>27.850234480856578</v>
      </c>
      <c r="B419"/>
      <c r="C419"/>
      <c r="D419"/>
      <c r="E419" t="s">
        <v>8</v>
      </c>
      <c r="F419" s="27" t="s">
        <v>7</v>
      </c>
      <c r="AW419" s="27" t="s">
        <v>8</v>
      </c>
      <c r="AX419" s="27" t="s">
        <v>7</v>
      </c>
      <c r="BK419" s="27" t="s">
        <v>8</v>
      </c>
      <c r="BL419" s="27" t="s">
        <v>7</v>
      </c>
      <c r="BM419" s="27" t="s">
        <v>8</v>
      </c>
      <c r="BO419" s="27" t="s">
        <v>8</v>
      </c>
      <c r="CD419" s="27" t="s">
        <v>7</v>
      </c>
      <c r="CE419" s="27" t="s">
        <v>8</v>
      </c>
      <c r="CF419" s="27" t="s">
        <v>7</v>
      </c>
      <c r="CG419" s="27" t="s">
        <v>8</v>
      </c>
      <c r="CH419" s="27" t="s">
        <v>7</v>
      </c>
      <c r="CJ419" s="27" t="s">
        <v>7</v>
      </c>
      <c r="CK419" s="27" t="s">
        <v>8</v>
      </c>
      <c r="CL419" s="27" t="s">
        <v>7</v>
      </c>
      <c r="DW419" s="27" t="s">
        <v>8</v>
      </c>
      <c r="EA419" s="27" t="s">
        <v>8</v>
      </c>
      <c r="EN419" s="27" t="s">
        <v>7</v>
      </c>
      <c r="EO419" s="27" t="s">
        <v>8</v>
      </c>
      <c r="ET419" s="27" t="s">
        <v>7</v>
      </c>
      <c r="EU419" s="27" t="s">
        <v>8</v>
      </c>
      <c r="EV419" s="27" t="s">
        <v>7</v>
      </c>
      <c r="EW419" s="27" t="s">
        <v>8</v>
      </c>
      <c r="FM419" s="27" t="s">
        <v>8</v>
      </c>
      <c r="FN419" s="27" t="s">
        <v>7</v>
      </c>
    </row>
    <row r="420" spans="1:176" x14ac:dyDescent="0.25">
      <c r="A420" s="7">
        <v>27.304151451820175</v>
      </c>
      <c r="B420"/>
      <c r="C420"/>
      <c r="D420"/>
      <c r="E420" t="s">
        <v>8</v>
      </c>
      <c r="F420" s="27" t="s">
        <v>7</v>
      </c>
      <c r="AW420" s="27" t="s">
        <v>8</v>
      </c>
      <c r="AX420" s="27" t="s">
        <v>7</v>
      </c>
      <c r="BK420" s="27" t="s">
        <v>8</v>
      </c>
      <c r="BL420" s="27" t="s">
        <v>7</v>
      </c>
      <c r="BM420" s="27" t="s">
        <v>8</v>
      </c>
      <c r="BN420" s="27" t="s">
        <v>7</v>
      </c>
      <c r="BO420" s="27" t="s">
        <v>8</v>
      </c>
      <c r="CD420" s="27" t="s">
        <v>7</v>
      </c>
      <c r="CE420" s="27" t="s">
        <v>8</v>
      </c>
      <c r="CF420" s="27" t="s">
        <v>7</v>
      </c>
      <c r="CG420" s="27" t="s">
        <v>8</v>
      </c>
      <c r="CJ420" s="27" t="s">
        <v>7</v>
      </c>
      <c r="CK420" s="27" t="s">
        <v>8</v>
      </c>
      <c r="CL420" s="27" t="s">
        <v>7</v>
      </c>
      <c r="DW420" s="27" t="s">
        <v>8</v>
      </c>
      <c r="DX420" s="27" t="s">
        <v>7</v>
      </c>
      <c r="DY420" s="27" t="s">
        <v>8</v>
      </c>
      <c r="EA420" s="27" t="s">
        <v>8</v>
      </c>
      <c r="EN420" s="27" t="s">
        <v>7</v>
      </c>
      <c r="EO420" s="27" t="s">
        <v>8</v>
      </c>
      <c r="ET420" s="27" t="s">
        <v>7</v>
      </c>
      <c r="EU420" s="27" t="s">
        <v>8</v>
      </c>
      <c r="EV420" s="27" t="s">
        <v>7</v>
      </c>
      <c r="EW420" s="27" t="s">
        <v>8</v>
      </c>
      <c r="EX420" s="27" t="s">
        <v>7</v>
      </c>
      <c r="FM420" s="27" t="s">
        <v>8</v>
      </c>
      <c r="FN420" s="27" t="s">
        <v>7</v>
      </c>
    </row>
    <row r="421" spans="1:176" x14ac:dyDescent="0.25">
      <c r="A421" s="7">
        <v>26.768775933157034</v>
      </c>
      <c r="B421"/>
      <c r="C421"/>
      <c r="D421"/>
      <c r="E421" t="s">
        <v>8</v>
      </c>
      <c r="F421" s="27" t="s">
        <v>7</v>
      </c>
      <c r="AW421" s="27" t="s">
        <v>8</v>
      </c>
      <c r="AX421" s="27" t="s">
        <v>7</v>
      </c>
      <c r="BK421" s="27" t="s">
        <v>8</v>
      </c>
      <c r="BL421" s="27" t="s">
        <v>7</v>
      </c>
      <c r="BM421" s="27" t="s">
        <v>8</v>
      </c>
      <c r="BN421" s="27" t="s">
        <v>7</v>
      </c>
      <c r="BO421" s="27" t="s">
        <v>8</v>
      </c>
      <c r="CD421" s="27" t="s">
        <v>7</v>
      </c>
      <c r="CE421" s="27" t="s">
        <v>8</v>
      </c>
      <c r="CF421" s="27" t="s">
        <v>7</v>
      </c>
      <c r="CG421" s="27" t="s">
        <v>8</v>
      </c>
      <c r="CJ421" s="27" t="s">
        <v>7</v>
      </c>
      <c r="CK421" s="27" t="s">
        <v>8</v>
      </c>
      <c r="CL421" s="27" t="s">
        <v>7</v>
      </c>
      <c r="DW421" s="27" t="s">
        <v>8</v>
      </c>
      <c r="DX421" s="27" t="s">
        <v>7</v>
      </c>
      <c r="DY421" s="27" t="s">
        <v>8</v>
      </c>
      <c r="DZ421" s="27" t="s">
        <v>7</v>
      </c>
      <c r="EA421" s="27" t="s">
        <v>8</v>
      </c>
      <c r="EN421" s="27" t="s">
        <v>7</v>
      </c>
      <c r="EO421" s="27" t="s">
        <v>8</v>
      </c>
      <c r="ET421" s="27" t="s">
        <v>7</v>
      </c>
      <c r="EU421" s="27" t="s">
        <v>8</v>
      </c>
      <c r="EV421" s="27" t="s">
        <v>7</v>
      </c>
      <c r="EW421" s="27" t="s">
        <v>8</v>
      </c>
      <c r="EX421" s="27" t="s">
        <v>7</v>
      </c>
      <c r="FM421" s="27" t="s">
        <v>8</v>
      </c>
      <c r="FN421" s="27" t="s">
        <v>7</v>
      </c>
    </row>
    <row r="422" spans="1:176" x14ac:dyDescent="0.25">
      <c r="A422" s="7">
        <v>26.243897973683367</v>
      </c>
      <c r="B422"/>
      <c r="C422"/>
      <c r="D422"/>
      <c r="E422" t="s">
        <v>8</v>
      </c>
      <c r="F422" s="27" t="s">
        <v>7</v>
      </c>
      <c r="AW422" s="27" t="s">
        <v>8</v>
      </c>
      <c r="AX422" s="27" t="s">
        <v>7</v>
      </c>
      <c r="BK422" s="27" t="s">
        <v>8</v>
      </c>
      <c r="BL422" s="27" t="s">
        <v>7</v>
      </c>
      <c r="BM422" s="27" t="s">
        <v>8</v>
      </c>
      <c r="BN422" s="27" t="s">
        <v>7</v>
      </c>
      <c r="BO422" s="27" t="s">
        <v>8</v>
      </c>
      <c r="CD422" s="27" t="s">
        <v>7</v>
      </c>
      <c r="CF422" s="27" t="s">
        <v>7</v>
      </c>
      <c r="CJ422" s="27" t="s">
        <v>7</v>
      </c>
      <c r="CK422" s="27" t="s">
        <v>8</v>
      </c>
      <c r="CL422" s="27" t="s">
        <v>7</v>
      </c>
      <c r="DW422" s="27" t="s">
        <v>8</v>
      </c>
      <c r="DX422" s="27" t="s">
        <v>7</v>
      </c>
      <c r="DY422" s="27" t="s">
        <v>8</v>
      </c>
      <c r="DZ422" s="27" t="s">
        <v>7</v>
      </c>
      <c r="EA422" s="27" t="s">
        <v>8</v>
      </c>
      <c r="EN422" s="27" t="s">
        <v>7</v>
      </c>
      <c r="EO422" s="27" t="s">
        <v>8</v>
      </c>
      <c r="ET422" s="27" t="s">
        <v>7</v>
      </c>
      <c r="EU422" s="27" t="s">
        <v>8</v>
      </c>
      <c r="EV422" s="27" t="s">
        <v>7</v>
      </c>
      <c r="EW422" s="27" t="s">
        <v>8</v>
      </c>
      <c r="EX422" s="27" t="s">
        <v>7</v>
      </c>
      <c r="EY422" s="27" t="s">
        <v>8</v>
      </c>
      <c r="FA422" s="27" t="s">
        <v>8</v>
      </c>
      <c r="FM422" s="27" t="s">
        <v>8</v>
      </c>
      <c r="FN422" s="27" t="s">
        <v>7</v>
      </c>
    </row>
    <row r="423" spans="1:176" x14ac:dyDescent="0.25">
      <c r="A423" s="7">
        <v>25.729311738905263</v>
      </c>
      <c r="B423"/>
      <c r="C423"/>
      <c r="D423"/>
      <c r="E423" t="s">
        <v>8</v>
      </c>
      <c r="F423" s="27" t="s">
        <v>7</v>
      </c>
      <c r="AW423" s="27" t="s">
        <v>8</v>
      </c>
      <c r="AX423" s="27" t="s">
        <v>7</v>
      </c>
      <c r="BK423" s="27" t="s">
        <v>8</v>
      </c>
      <c r="BL423" s="27" t="s">
        <v>7</v>
      </c>
      <c r="BM423" s="27" t="s">
        <v>8</v>
      </c>
      <c r="BN423" s="27" t="s">
        <v>7</v>
      </c>
      <c r="BO423" s="27" t="s">
        <v>8</v>
      </c>
      <c r="CJ423" s="27" t="s">
        <v>7</v>
      </c>
      <c r="CK423" s="27" t="s">
        <v>8</v>
      </c>
      <c r="CL423" s="27" t="s">
        <v>7</v>
      </c>
      <c r="DW423" s="27" t="s">
        <v>8</v>
      </c>
      <c r="DX423" s="27" t="s">
        <v>7</v>
      </c>
      <c r="DY423" s="27" t="s">
        <v>8</v>
      </c>
      <c r="DZ423" s="27" t="s">
        <v>7</v>
      </c>
      <c r="EA423" s="27" t="s">
        <v>8</v>
      </c>
      <c r="EN423" s="27" t="s">
        <v>7</v>
      </c>
      <c r="ET423" s="27" t="s">
        <v>7</v>
      </c>
      <c r="EU423" s="27" t="s">
        <v>8</v>
      </c>
      <c r="EV423" s="27" t="s">
        <v>7</v>
      </c>
      <c r="EW423" s="27" t="s">
        <v>8</v>
      </c>
      <c r="EX423" s="27" t="s">
        <v>7</v>
      </c>
      <c r="EY423" s="27" t="s">
        <v>8</v>
      </c>
      <c r="EZ423" s="27" t="s">
        <v>7</v>
      </c>
      <c r="FA423" s="27" t="s">
        <v>8</v>
      </c>
      <c r="FB423" s="27" t="s">
        <v>7</v>
      </c>
      <c r="FM423" s="27" t="s">
        <v>8</v>
      </c>
      <c r="FN423" s="27" t="s">
        <v>7</v>
      </c>
    </row>
    <row r="424" spans="1:176" x14ac:dyDescent="0.25">
      <c r="A424" s="7">
        <v>25.224815430299277</v>
      </c>
      <c r="B424"/>
      <c r="C424"/>
      <c r="D424"/>
      <c r="E424" t="s">
        <v>8</v>
      </c>
      <c r="F424" s="27" t="s">
        <v>7</v>
      </c>
      <c r="AU424" s="27" t="s">
        <v>8</v>
      </c>
      <c r="AW424" s="27" t="s">
        <v>8</v>
      </c>
      <c r="AX424" s="27" t="s">
        <v>7</v>
      </c>
      <c r="BK424" s="27" t="s">
        <v>8</v>
      </c>
      <c r="BL424" s="27" t="s">
        <v>7</v>
      </c>
      <c r="BM424" s="27" t="s">
        <v>8</v>
      </c>
      <c r="BN424" s="27" t="s">
        <v>7</v>
      </c>
      <c r="BO424" s="27" t="s">
        <v>8</v>
      </c>
      <c r="CJ424" s="27" t="s">
        <v>7</v>
      </c>
      <c r="CK424" s="27" t="s">
        <v>8</v>
      </c>
      <c r="CL424" s="27" t="s">
        <v>7</v>
      </c>
      <c r="DW424" s="27" t="s">
        <v>8</v>
      </c>
      <c r="DX424" s="27" t="s">
        <v>7</v>
      </c>
      <c r="DY424" s="27" t="s">
        <v>8</v>
      </c>
      <c r="DZ424" s="27" t="s">
        <v>7</v>
      </c>
      <c r="EA424" s="27" t="s">
        <v>8</v>
      </c>
      <c r="ET424" s="27" t="s">
        <v>7</v>
      </c>
      <c r="EU424" s="27" t="s">
        <v>8</v>
      </c>
      <c r="EV424" s="27" t="s">
        <v>7</v>
      </c>
      <c r="EX424" s="27" t="s">
        <v>7</v>
      </c>
      <c r="EY424" s="27" t="s">
        <v>8</v>
      </c>
      <c r="EZ424" s="27" t="s">
        <v>7</v>
      </c>
      <c r="FA424" s="27" t="s">
        <v>8</v>
      </c>
      <c r="FB424" s="27" t="s">
        <v>7</v>
      </c>
      <c r="FC424" s="27" t="s">
        <v>8</v>
      </c>
      <c r="FM424" s="27" t="s">
        <v>8</v>
      </c>
      <c r="FN424" s="27" t="s">
        <v>7</v>
      </c>
    </row>
    <row r="425" spans="1:176" x14ac:dyDescent="0.25">
      <c r="A425" s="7">
        <v>24.73021120617576</v>
      </c>
      <c r="B425"/>
      <c r="C425"/>
      <c r="D425"/>
      <c r="E425" t="s">
        <v>8</v>
      </c>
      <c r="F425" s="27" t="s">
        <v>7</v>
      </c>
      <c r="AU425" s="27" t="s">
        <v>8</v>
      </c>
      <c r="AV425" s="27" t="s">
        <v>7</v>
      </c>
      <c r="AW425" s="27" t="s">
        <v>8</v>
      </c>
      <c r="AX425" s="27" t="s">
        <v>7</v>
      </c>
      <c r="BK425" s="27" t="s">
        <v>8</v>
      </c>
      <c r="BL425" s="27" t="s">
        <v>7</v>
      </c>
      <c r="BM425" s="27" t="s">
        <v>8</v>
      </c>
      <c r="BN425" s="27" t="s">
        <v>7</v>
      </c>
      <c r="CJ425" s="27" t="s">
        <v>7</v>
      </c>
      <c r="CK425" s="27" t="s">
        <v>8</v>
      </c>
      <c r="CL425" s="27" t="s">
        <v>7</v>
      </c>
      <c r="DW425" s="27" t="s">
        <v>8</v>
      </c>
      <c r="DX425" s="27" t="s">
        <v>7</v>
      </c>
      <c r="DZ425" s="27" t="s">
        <v>7</v>
      </c>
      <c r="EA425" s="27" t="s">
        <v>8</v>
      </c>
      <c r="ET425" s="27" t="s">
        <v>7</v>
      </c>
      <c r="EU425" s="27" t="s">
        <v>8</v>
      </c>
      <c r="EX425" s="27" t="s">
        <v>7</v>
      </c>
      <c r="EY425" s="27" t="s">
        <v>8</v>
      </c>
      <c r="EZ425" s="27" t="s">
        <v>7</v>
      </c>
      <c r="FA425" s="27" t="s">
        <v>8</v>
      </c>
      <c r="FB425" s="27" t="s">
        <v>7</v>
      </c>
      <c r="FC425" s="27" t="s">
        <v>8</v>
      </c>
      <c r="FD425" s="27" t="s">
        <v>7</v>
      </c>
      <c r="FM425" s="27" t="s">
        <v>8</v>
      </c>
      <c r="FN425" s="27" t="s">
        <v>7</v>
      </c>
    </row>
    <row r="426" spans="1:176" x14ac:dyDescent="0.25">
      <c r="A426" s="7">
        <v>24.24530510409388</v>
      </c>
      <c r="B426"/>
      <c r="C426"/>
      <c r="D426"/>
      <c r="E426" t="s">
        <v>8</v>
      </c>
      <c r="F426" s="27" t="s">
        <v>7</v>
      </c>
      <c r="AU426" s="27" t="s">
        <v>8</v>
      </c>
      <c r="AV426" s="27" t="s">
        <v>7</v>
      </c>
      <c r="AW426" s="27" t="s">
        <v>8</v>
      </c>
      <c r="AX426" s="27" t="s">
        <v>7</v>
      </c>
      <c r="BK426" s="27" t="s">
        <v>8</v>
      </c>
      <c r="BL426" s="27" t="s">
        <v>7</v>
      </c>
      <c r="BM426" s="27" t="s">
        <v>8</v>
      </c>
      <c r="CJ426" s="27" t="s">
        <v>7</v>
      </c>
      <c r="CK426" s="27" t="s">
        <v>8</v>
      </c>
      <c r="CL426" s="27" t="s">
        <v>7</v>
      </c>
      <c r="DU426" s="27" t="s">
        <v>8</v>
      </c>
      <c r="DW426" s="27" t="s">
        <v>8</v>
      </c>
      <c r="DZ426" s="27" t="s">
        <v>7</v>
      </c>
      <c r="EA426" s="27" t="s">
        <v>8</v>
      </c>
      <c r="ET426" s="27" t="s">
        <v>7</v>
      </c>
      <c r="EU426" s="27" t="s">
        <v>8</v>
      </c>
      <c r="EX426" s="27" t="s">
        <v>7</v>
      </c>
      <c r="EY426" s="27" t="s">
        <v>8</v>
      </c>
      <c r="EZ426" s="27" t="s">
        <v>7</v>
      </c>
      <c r="FA426" s="27" t="s">
        <v>8</v>
      </c>
      <c r="FB426" s="27" t="s">
        <v>7</v>
      </c>
      <c r="FC426" s="27" t="s">
        <v>8</v>
      </c>
      <c r="FD426" s="27" t="s">
        <v>7</v>
      </c>
      <c r="FM426" s="27" t="s">
        <v>8</v>
      </c>
      <c r="FN426" s="27" t="s">
        <v>7</v>
      </c>
    </row>
    <row r="427" spans="1:176" x14ac:dyDescent="0.25">
      <c r="A427" s="7">
        <v>23.769906964797922</v>
      </c>
      <c r="B427"/>
      <c r="C427"/>
      <c r="D427"/>
      <c r="E427" t="s">
        <v>8</v>
      </c>
      <c r="F427" s="27" t="s">
        <v>7</v>
      </c>
      <c r="AU427" s="27" t="s">
        <v>8</v>
      </c>
      <c r="AV427" s="27" t="s">
        <v>7</v>
      </c>
      <c r="AW427" s="27" t="s">
        <v>8</v>
      </c>
      <c r="AX427" s="27" t="s">
        <v>7</v>
      </c>
      <c r="AY427" s="27" t="s">
        <v>8</v>
      </c>
      <c r="BK427" s="27" t="s">
        <v>8</v>
      </c>
      <c r="BL427" s="27" t="s">
        <v>7</v>
      </c>
      <c r="BM427" s="27" t="s">
        <v>8</v>
      </c>
      <c r="CJ427" s="27" t="s">
        <v>7</v>
      </c>
      <c r="CK427" s="27" t="s">
        <v>8</v>
      </c>
      <c r="CL427" s="27" t="s">
        <v>7</v>
      </c>
      <c r="DS427" s="27" t="s">
        <v>8</v>
      </c>
      <c r="DU427" s="27" t="s">
        <v>8</v>
      </c>
      <c r="DV427" s="27" t="s">
        <v>7</v>
      </c>
      <c r="DW427" s="27" t="s">
        <v>8</v>
      </c>
      <c r="DZ427" s="27" t="s">
        <v>7</v>
      </c>
      <c r="EA427" s="27" t="s">
        <v>8</v>
      </c>
      <c r="ET427" s="27" t="s">
        <v>7</v>
      </c>
      <c r="EX427" s="27" t="s">
        <v>7</v>
      </c>
      <c r="EZ427" s="27" t="s">
        <v>7</v>
      </c>
      <c r="FB427" s="27" t="s">
        <v>7</v>
      </c>
      <c r="FD427" s="27" t="s">
        <v>7</v>
      </c>
      <c r="FE427" s="27" t="s">
        <v>8</v>
      </c>
      <c r="FM427" s="27" t="s">
        <v>8</v>
      </c>
      <c r="FN427" s="27" t="s">
        <v>7</v>
      </c>
    </row>
    <row r="428" spans="1:176" x14ac:dyDescent="0.25">
      <c r="A428" s="7">
        <v>23.303830357645023</v>
      </c>
      <c r="B428"/>
      <c r="C428"/>
      <c r="D428"/>
      <c r="E428" t="s">
        <v>8</v>
      </c>
      <c r="F428" s="27" t="s">
        <v>7</v>
      </c>
      <c r="AU428" s="27" t="s">
        <v>8</v>
      </c>
      <c r="AV428" s="27" t="s">
        <v>7</v>
      </c>
      <c r="AW428" s="27" t="s">
        <v>8</v>
      </c>
      <c r="AX428" s="27" t="s">
        <v>7</v>
      </c>
      <c r="AY428" s="27" t="s">
        <v>8</v>
      </c>
      <c r="AZ428" s="27" t="s">
        <v>7</v>
      </c>
      <c r="BA428" s="27" t="s">
        <v>8</v>
      </c>
      <c r="BK428" s="27" t="s">
        <v>8</v>
      </c>
      <c r="BL428" s="27" t="s">
        <v>7</v>
      </c>
      <c r="CJ428" s="27" t="s">
        <v>7</v>
      </c>
      <c r="CL428" s="27" t="s">
        <v>7</v>
      </c>
      <c r="DS428" s="27" t="s">
        <v>8</v>
      </c>
      <c r="DT428" s="27" t="s">
        <v>7</v>
      </c>
      <c r="DU428" s="27" t="s">
        <v>8</v>
      </c>
      <c r="DV428" s="27" t="s">
        <v>7</v>
      </c>
      <c r="DW428" s="27" t="s">
        <v>8</v>
      </c>
      <c r="DZ428" s="27" t="s">
        <v>7</v>
      </c>
      <c r="EA428" s="27" t="s">
        <v>8</v>
      </c>
      <c r="FD428" s="27" t="s">
        <v>7</v>
      </c>
      <c r="FE428" s="27" t="s">
        <v>8</v>
      </c>
      <c r="FF428" s="27" t="s">
        <v>7</v>
      </c>
      <c r="FM428" s="27" t="s">
        <v>8</v>
      </c>
      <c r="FN428" s="27" t="s">
        <v>7</v>
      </c>
      <c r="FO428" s="27" t="s">
        <v>8</v>
      </c>
    </row>
    <row r="429" spans="1:176" x14ac:dyDescent="0.25">
      <c r="A429" s="7">
        <v>22.84689250749512</v>
      </c>
      <c r="B429"/>
      <c r="C429"/>
      <c r="D429"/>
      <c r="E429" t="s">
        <v>8</v>
      </c>
      <c r="F429" s="27" t="s">
        <v>7</v>
      </c>
      <c r="AU429" s="27" t="s">
        <v>8</v>
      </c>
      <c r="AV429" s="27" t="s">
        <v>7</v>
      </c>
      <c r="AW429" s="27" t="s">
        <v>8</v>
      </c>
      <c r="AX429" s="27" t="s">
        <v>7</v>
      </c>
      <c r="AY429" s="27" t="s">
        <v>8</v>
      </c>
      <c r="AZ429" s="27" t="s">
        <v>7</v>
      </c>
      <c r="BA429" s="27" t="s">
        <v>8</v>
      </c>
      <c r="BB429" s="27" t="s">
        <v>7</v>
      </c>
      <c r="BK429" s="27" t="s">
        <v>8</v>
      </c>
      <c r="CL429" s="27" t="s">
        <v>7</v>
      </c>
      <c r="CO429" s="27" t="s">
        <v>8</v>
      </c>
      <c r="DS429" s="27" t="s">
        <v>8</v>
      </c>
      <c r="DT429" s="27" t="s">
        <v>7</v>
      </c>
      <c r="DU429" s="27" t="s">
        <v>8</v>
      </c>
      <c r="DV429" s="27" t="s">
        <v>7</v>
      </c>
      <c r="DZ429" s="27" t="s">
        <v>7</v>
      </c>
      <c r="EA429" s="27" t="s">
        <v>8</v>
      </c>
      <c r="FD429" s="27" t="s">
        <v>7</v>
      </c>
      <c r="FE429" s="27" t="s">
        <v>8</v>
      </c>
      <c r="FF429" s="27" t="s">
        <v>7</v>
      </c>
      <c r="FM429" s="27" t="s">
        <v>8</v>
      </c>
      <c r="FN429" s="27" t="s">
        <v>7</v>
      </c>
      <c r="FO429" s="27" t="s">
        <v>8</v>
      </c>
      <c r="FP429" s="27" t="s">
        <v>7</v>
      </c>
    </row>
    <row r="430" spans="1:176" x14ac:dyDescent="0.25">
      <c r="A430" s="7">
        <v>22.398914223034431</v>
      </c>
      <c r="B430"/>
      <c r="C430"/>
      <c r="D430"/>
      <c r="E430" t="s">
        <v>8</v>
      </c>
      <c r="F430" s="27" t="s">
        <v>7</v>
      </c>
      <c r="AU430" s="27" t="s">
        <v>8</v>
      </c>
      <c r="AV430" s="27" t="s">
        <v>7</v>
      </c>
      <c r="AW430" s="27" t="s">
        <v>8</v>
      </c>
      <c r="AX430" s="27" t="s">
        <v>7</v>
      </c>
      <c r="AY430" s="27" t="s">
        <v>8</v>
      </c>
      <c r="AZ430" s="27" t="s">
        <v>7</v>
      </c>
      <c r="BA430" s="27" t="s">
        <v>8</v>
      </c>
      <c r="BB430" s="27" t="s">
        <v>7</v>
      </c>
      <c r="BK430" s="27" t="s">
        <v>8</v>
      </c>
      <c r="CL430" s="27" t="s">
        <v>7</v>
      </c>
      <c r="CO430" s="27" t="s">
        <v>8</v>
      </c>
      <c r="CP430" s="27" t="s">
        <v>7</v>
      </c>
      <c r="DS430" s="27" t="s">
        <v>8</v>
      </c>
      <c r="DT430" s="27" t="s">
        <v>7</v>
      </c>
      <c r="DU430" s="27" t="s">
        <v>8</v>
      </c>
      <c r="DZ430" s="27" t="s">
        <v>7</v>
      </c>
      <c r="EA430" s="27" t="s">
        <v>8</v>
      </c>
      <c r="FD430" s="27" t="s">
        <v>7</v>
      </c>
      <c r="FF430" s="27" t="s">
        <v>7</v>
      </c>
      <c r="FM430" s="27" t="s">
        <v>8</v>
      </c>
      <c r="FN430" s="27" t="s">
        <v>7</v>
      </c>
      <c r="FO430" s="27" t="s">
        <v>8</v>
      </c>
      <c r="FP430" s="27" t="s">
        <v>7</v>
      </c>
      <c r="FQ430" s="27" t="s">
        <v>8</v>
      </c>
    </row>
    <row r="431" spans="1:176" x14ac:dyDescent="0.25">
      <c r="A431" s="7">
        <v>21.959719826504344</v>
      </c>
      <c r="B431"/>
      <c r="C431"/>
      <c r="D431"/>
      <c r="E431" t="s">
        <v>8</v>
      </c>
      <c r="F431" s="27" t="s">
        <v>7</v>
      </c>
      <c r="AU431" s="27" t="s">
        <v>8</v>
      </c>
      <c r="AV431" s="27" t="s">
        <v>7</v>
      </c>
      <c r="AW431" s="27" t="s">
        <v>8</v>
      </c>
      <c r="AX431" s="27" t="s">
        <v>7</v>
      </c>
      <c r="AY431" s="27" t="s">
        <v>8</v>
      </c>
      <c r="AZ431" s="27" t="s">
        <v>7</v>
      </c>
      <c r="BA431" s="27" t="s">
        <v>8</v>
      </c>
      <c r="BB431" s="27" t="s">
        <v>7</v>
      </c>
      <c r="BK431" s="27" t="s">
        <v>8</v>
      </c>
      <c r="CL431" s="27" t="s">
        <v>7</v>
      </c>
      <c r="CO431" s="27" t="s">
        <v>8</v>
      </c>
      <c r="CP431" s="27" t="s">
        <v>7</v>
      </c>
      <c r="DS431" s="27" t="s">
        <v>8</v>
      </c>
      <c r="DT431" s="27" t="s">
        <v>7</v>
      </c>
      <c r="DU431" s="27" t="s">
        <v>8</v>
      </c>
      <c r="DZ431" s="27" t="s">
        <v>7</v>
      </c>
      <c r="FF431" s="27" t="s">
        <v>7</v>
      </c>
      <c r="FI431" s="27" t="s">
        <v>8</v>
      </c>
      <c r="FM431" s="27" t="s">
        <v>8</v>
      </c>
      <c r="FN431" s="27" t="s">
        <v>7</v>
      </c>
      <c r="FO431" s="27" t="s">
        <v>8</v>
      </c>
      <c r="FP431" s="27" t="s">
        <v>7</v>
      </c>
      <c r="FQ431" s="27" t="s">
        <v>8</v>
      </c>
      <c r="FR431" s="27" t="s">
        <v>7</v>
      </c>
      <c r="FS431" s="27" t="s">
        <v>8</v>
      </c>
    </row>
    <row r="432" spans="1:176" x14ac:dyDescent="0.25">
      <c r="A432" s="7">
        <v>21.52913708480818</v>
      </c>
      <c r="B432"/>
      <c r="C432"/>
      <c r="D432"/>
      <c r="E432" t="s">
        <v>8</v>
      </c>
      <c r="F432" s="27" t="s">
        <v>7</v>
      </c>
      <c r="AU432" s="27" t="s">
        <v>8</v>
      </c>
      <c r="AV432" s="27" t="s">
        <v>7</v>
      </c>
      <c r="AW432" s="27" t="s">
        <v>8</v>
      </c>
      <c r="AX432" s="27" t="s">
        <v>7</v>
      </c>
      <c r="AY432" s="27" t="s">
        <v>8</v>
      </c>
      <c r="AZ432" s="27" t="s">
        <v>7</v>
      </c>
      <c r="BB432" s="27" t="s">
        <v>7</v>
      </c>
      <c r="BK432" s="27" t="s">
        <v>8</v>
      </c>
      <c r="CL432" s="27" t="s">
        <v>7</v>
      </c>
      <c r="CO432" s="27" t="s">
        <v>8</v>
      </c>
      <c r="CP432" s="27" t="s">
        <v>7</v>
      </c>
      <c r="DS432" s="27" t="s">
        <v>8</v>
      </c>
      <c r="DT432" s="27" t="s">
        <v>7</v>
      </c>
      <c r="FF432" s="27" t="s">
        <v>7</v>
      </c>
      <c r="FG432" s="27" t="s">
        <v>8</v>
      </c>
      <c r="FI432" s="27" t="s">
        <v>8</v>
      </c>
      <c r="FJ432" s="27" t="s">
        <v>7</v>
      </c>
      <c r="FM432" s="27" t="s">
        <v>8</v>
      </c>
      <c r="FN432" s="27" t="s">
        <v>7</v>
      </c>
      <c r="FO432" s="27" t="s">
        <v>8</v>
      </c>
      <c r="FP432" s="27" t="s">
        <v>7</v>
      </c>
      <c r="FQ432" s="27" t="s">
        <v>8</v>
      </c>
      <c r="FR432" s="27" t="s">
        <v>7</v>
      </c>
      <c r="FS432" s="27" t="s">
        <v>8</v>
      </c>
      <c r="FT432" s="27" t="s">
        <v>7</v>
      </c>
    </row>
    <row r="433" spans="1:194" x14ac:dyDescent="0.25">
      <c r="A433" s="7">
        <v>21.106997141968804</v>
      </c>
      <c r="B433"/>
      <c r="C433"/>
      <c r="D433"/>
      <c r="E433" t="s">
        <v>8</v>
      </c>
      <c r="F433" s="27" t="s">
        <v>7</v>
      </c>
      <c r="AU433" s="27" t="s">
        <v>8</v>
      </c>
      <c r="AV433" s="27" t="s">
        <v>7</v>
      </c>
      <c r="AW433" s="27" t="s">
        <v>8</v>
      </c>
      <c r="AX433" s="27" t="s">
        <v>7</v>
      </c>
      <c r="AY433" s="27" t="s">
        <v>8</v>
      </c>
      <c r="BB433" s="27" t="s">
        <v>7</v>
      </c>
      <c r="BK433" s="27" t="s">
        <v>8</v>
      </c>
      <c r="CL433" s="27" t="s">
        <v>7</v>
      </c>
      <c r="CO433" s="27" t="s">
        <v>8</v>
      </c>
      <c r="CP433" s="27" t="s">
        <v>7</v>
      </c>
      <c r="DS433" s="27" t="s">
        <v>8</v>
      </c>
      <c r="FF433" s="27" t="s">
        <v>7</v>
      </c>
      <c r="FG433" s="27" t="s">
        <v>8</v>
      </c>
      <c r="FH433" s="27" t="s">
        <v>7</v>
      </c>
      <c r="FI433" s="27" t="s">
        <v>8</v>
      </c>
      <c r="FJ433" s="27" t="s">
        <v>7</v>
      </c>
      <c r="FK433" s="27" t="s">
        <v>8</v>
      </c>
      <c r="FM433" s="27" t="s">
        <v>8</v>
      </c>
      <c r="FN433" s="27" t="s">
        <v>7</v>
      </c>
      <c r="FO433" s="27" t="s">
        <v>8</v>
      </c>
      <c r="FP433" s="27" t="s">
        <v>7</v>
      </c>
      <c r="FQ433" s="27" t="s">
        <v>8</v>
      </c>
      <c r="FR433" s="27" t="s">
        <v>7</v>
      </c>
      <c r="FS433" s="27" t="s">
        <v>8</v>
      </c>
      <c r="FT433" s="27" t="s">
        <v>7</v>
      </c>
    </row>
    <row r="434" spans="1:194" x14ac:dyDescent="0.25">
      <c r="A434" s="7">
        <v>20.693134452910591</v>
      </c>
      <c r="B434"/>
      <c r="C434"/>
      <c r="D434"/>
      <c r="E434" t="s">
        <v>8</v>
      </c>
      <c r="F434" s="27" t="s">
        <v>7</v>
      </c>
      <c r="AU434" s="27" t="s">
        <v>8</v>
      </c>
      <c r="AV434" s="27" t="s">
        <v>7</v>
      </c>
      <c r="AW434" s="27" t="s">
        <v>8</v>
      </c>
      <c r="AX434" s="27" t="s">
        <v>7</v>
      </c>
      <c r="AY434" s="27" t="s">
        <v>8</v>
      </c>
      <c r="BB434" s="27" t="s">
        <v>7</v>
      </c>
      <c r="BC434" s="27" t="s">
        <v>8</v>
      </c>
      <c r="BK434" s="27" t="s">
        <v>8</v>
      </c>
      <c r="CL434" s="27" t="s">
        <v>7</v>
      </c>
      <c r="CO434" s="27" t="s">
        <v>8</v>
      </c>
      <c r="CP434" s="27" t="s">
        <v>7</v>
      </c>
      <c r="DS434" s="27" t="s">
        <v>8</v>
      </c>
      <c r="FF434" s="27" t="s">
        <v>7</v>
      </c>
      <c r="FG434" s="27" t="s">
        <v>8</v>
      </c>
      <c r="FH434" s="27" t="s">
        <v>7</v>
      </c>
      <c r="FI434" s="27" t="s">
        <v>8</v>
      </c>
      <c r="FJ434" s="27" t="s">
        <v>7</v>
      </c>
      <c r="FK434" s="27" t="s">
        <v>8</v>
      </c>
      <c r="FL434" s="27" t="s">
        <v>7</v>
      </c>
      <c r="FM434" s="27" t="s">
        <v>8</v>
      </c>
      <c r="FN434" s="27" t="s">
        <v>7</v>
      </c>
      <c r="FO434" s="27" t="s">
        <v>8</v>
      </c>
      <c r="FP434" s="27" t="s">
        <v>7</v>
      </c>
      <c r="FR434" s="27" t="s">
        <v>7</v>
      </c>
      <c r="FS434" s="27" t="s">
        <v>8</v>
      </c>
      <c r="FT434" s="27" t="s">
        <v>7</v>
      </c>
    </row>
    <row r="435" spans="1:194" x14ac:dyDescent="0.25">
      <c r="A435" s="7">
        <v>20.287386718539796</v>
      </c>
      <c r="B435"/>
      <c r="C435"/>
      <c r="D435"/>
      <c r="E435" t="s">
        <v>8</v>
      </c>
      <c r="F435" s="27" t="s">
        <v>7</v>
      </c>
      <c r="AU435" s="27" t="s">
        <v>8</v>
      </c>
      <c r="AV435" s="27" t="s">
        <v>7</v>
      </c>
      <c r="AW435" s="27" t="s">
        <v>8</v>
      </c>
      <c r="AX435" s="27" t="s">
        <v>7</v>
      </c>
      <c r="AY435" s="27" t="s">
        <v>8</v>
      </c>
      <c r="BB435" s="27" t="s">
        <v>7</v>
      </c>
      <c r="BC435" s="27" t="s">
        <v>8</v>
      </c>
      <c r="BD435" s="27" t="s">
        <v>7</v>
      </c>
      <c r="BK435" s="27" t="s">
        <v>8</v>
      </c>
      <c r="CL435" s="27" t="s">
        <v>7</v>
      </c>
      <c r="CO435" s="27" t="s">
        <v>8</v>
      </c>
      <c r="CP435" s="27" t="s">
        <v>7</v>
      </c>
      <c r="DS435" s="27" t="s">
        <v>8</v>
      </c>
      <c r="FF435" s="27" t="s">
        <v>7</v>
      </c>
      <c r="FH435" s="27" t="s">
        <v>7</v>
      </c>
      <c r="FJ435" s="27" t="s">
        <v>7</v>
      </c>
      <c r="FK435" s="27" t="s">
        <v>8</v>
      </c>
      <c r="FL435" s="27" t="s">
        <v>7</v>
      </c>
      <c r="FM435" s="27" t="s">
        <v>8</v>
      </c>
      <c r="FN435" s="27" t="s">
        <v>7</v>
      </c>
      <c r="FR435" s="27" t="s">
        <v>7</v>
      </c>
      <c r="FS435" s="27" t="s">
        <v>8</v>
      </c>
      <c r="FT435" s="27" t="s">
        <v>7</v>
      </c>
    </row>
    <row r="436" spans="1:194" x14ac:dyDescent="0.25">
      <c r="A436" s="7">
        <v>19.889594822097838</v>
      </c>
      <c r="B436"/>
      <c r="C436"/>
      <c r="D436"/>
      <c r="E436" t="s">
        <v>8</v>
      </c>
      <c r="F436" s="27" t="s">
        <v>7</v>
      </c>
      <c r="AU436" s="27" t="s">
        <v>8</v>
      </c>
      <c r="AV436" s="27" t="s">
        <v>7</v>
      </c>
      <c r="AW436" s="27" t="s">
        <v>8</v>
      </c>
      <c r="AX436" s="27" t="s">
        <v>7</v>
      </c>
      <c r="AY436" s="27" t="s">
        <v>8</v>
      </c>
      <c r="BB436" s="27" t="s">
        <v>7</v>
      </c>
      <c r="BC436" s="27" t="s">
        <v>8</v>
      </c>
      <c r="BD436" s="27" t="s">
        <v>7</v>
      </c>
      <c r="BE436" s="27" t="s">
        <v>8</v>
      </c>
      <c r="BK436" s="27" t="s">
        <v>8</v>
      </c>
      <c r="CL436" s="27" t="s">
        <v>7</v>
      </c>
      <c r="CM436" s="27" t="s">
        <v>8</v>
      </c>
      <c r="CO436" s="27" t="s">
        <v>8</v>
      </c>
      <c r="CP436" s="27" t="s">
        <v>7</v>
      </c>
      <c r="DS436" s="27" t="s">
        <v>8</v>
      </c>
      <c r="FJ436" s="27" t="s">
        <v>7</v>
      </c>
      <c r="FK436" s="27" t="s">
        <v>8</v>
      </c>
      <c r="FL436" s="27" t="s">
        <v>7</v>
      </c>
      <c r="FR436" s="27" t="s">
        <v>7</v>
      </c>
      <c r="FS436" s="27" t="s">
        <v>8</v>
      </c>
      <c r="FT436" s="27" t="s">
        <v>7</v>
      </c>
    </row>
    <row r="437" spans="1:194" x14ac:dyDescent="0.25">
      <c r="A437" s="7">
        <v>19.499602766762585</v>
      </c>
      <c r="B437"/>
      <c r="C437"/>
      <c r="D437"/>
      <c r="E437" t="s">
        <v>8</v>
      </c>
      <c r="F437" s="27" t="s">
        <v>7</v>
      </c>
      <c r="AU437" s="27" t="s">
        <v>8</v>
      </c>
      <c r="AV437" s="27" t="s">
        <v>7</v>
      </c>
      <c r="AW437" s="27" t="s">
        <v>8</v>
      </c>
      <c r="AX437" s="27" t="s">
        <v>7</v>
      </c>
      <c r="BB437" s="27" t="s">
        <v>7</v>
      </c>
      <c r="BC437" s="27" t="s">
        <v>8</v>
      </c>
      <c r="BD437" s="27" t="s">
        <v>7</v>
      </c>
      <c r="BE437" s="27" t="s">
        <v>8</v>
      </c>
      <c r="BF437" s="27" t="s">
        <v>7</v>
      </c>
      <c r="BG437" s="27" t="s">
        <v>8</v>
      </c>
      <c r="BK437" s="27" t="s">
        <v>8</v>
      </c>
      <c r="CL437" s="27" t="s">
        <v>7</v>
      </c>
      <c r="CM437" s="27" t="s">
        <v>8</v>
      </c>
      <c r="CN437" s="27" t="s">
        <v>7</v>
      </c>
      <c r="CO437" s="27" t="s">
        <v>8</v>
      </c>
      <c r="CP437" s="27" t="s">
        <v>7</v>
      </c>
      <c r="DO437" s="27" t="s">
        <v>8</v>
      </c>
      <c r="DS437" s="27" t="s">
        <v>8</v>
      </c>
      <c r="FJ437" s="27" t="s">
        <v>7</v>
      </c>
      <c r="FR437" s="27" t="s">
        <v>7</v>
      </c>
      <c r="FS437" s="27" t="s">
        <v>8</v>
      </c>
      <c r="FT437" s="27" t="s">
        <v>7</v>
      </c>
      <c r="FW437" s="27" t="s">
        <v>8</v>
      </c>
    </row>
    <row r="438" spans="1:194" x14ac:dyDescent="0.25">
      <c r="A438" s="7">
        <v>19.117257614473122</v>
      </c>
      <c r="B438"/>
      <c r="C438"/>
      <c r="D438"/>
      <c r="E438" t="s">
        <v>8</v>
      </c>
      <c r="F438" s="27" t="s">
        <v>7</v>
      </c>
      <c r="AU438" s="27" t="s">
        <v>8</v>
      </c>
      <c r="AV438" s="27" t="s">
        <v>7</v>
      </c>
      <c r="AW438" s="27" t="s">
        <v>8</v>
      </c>
      <c r="BB438" s="27" t="s">
        <v>7</v>
      </c>
      <c r="BC438" s="27" t="s">
        <v>8</v>
      </c>
      <c r="BD438" s="27" t="s">
        <v>7</v>
      </c>
      <c r="BE438" s="27" t="s">
        <v>8</v>
      </c>
      <c r="BF438" s="27" t="s">
        <v>7</v>
      </c>
      <c r="BG438" s="27" t="s">
        <v>8</v>
      </c>
      <c r="BH438" s="27" t="s">
        <v>7</v>
      </c>
      <c r="BI438" s="27" t="s">
        <v>8</v>
      </c>
      <c r="BK438" s="27" t="s">
        <v>8</v>
      </c>
      <c r="CL438" s="27" t="s">
        <v>7</v>
      </c>
      <c r="CM438" s="27" t="s">
        <v>8</v>
      </c>
      <c r="CN438" s="27" t="s">
        <v>7</v>
      </c>
      <c r="CO438" s="27" t="s">
        <v>8</v>
      </c>
      <c r="CP438" s="27" t="s">
        <v>7</v>
      </c>
      <c r="DO438" s="27" t="s">
        <v>8</v>
      </c>
      <c r="DP438" s="27" t="s">
        <v>7</v>
      </c>
      <c r="DQ438" s="18" t="s">
        <v>8</v>
      </c>
      <c r="DS438" s="27" t="s">
        <v>8</v>
      </c>
      <c r="FR438" s="27" t="s">
        <v>7</v>
      </c>
      <c r="FS438" s="27" t="s">
        <v>8</v>
      </c>
      <c r="FT438" s="27" t="s">
        <v>7</v>
      </c>
      <c r="FW438" s="27" t="s">
        <v>8</v>
      </c>
      <c r="FX438" s="27" t="s">
        <v>7</v>
      </c>
    </row>
    <row r="439" spans="1:194" x14ac:dyDescent="0.25">
      <c r="A439" s="7">
        <v>18.74240942595404</v>
      </c>
      <c r="B439"/>
      <c r="C439"/>
      <c r="D439"/>
      <c r="E439" t="s">
        <v>8</v>
      </c>
      <c r="F439" s="27" t="s">
        <v>7</v>
      </c>
      <c r="AU439" s="27" t="s">
        <v>8</v>
      </c>
      <c r="AV439" s="27" t="s">
        <v>7</v>
      </c>
      <c r="AW439" s="27" t="s">
        <v>8</v>
      </c>
      <c r="BB439" s="27" t="s">
        <v>7</v>
      </c>
      <c r="BD439" s="27" t="s">
        <v>7</v>
      </c>
      <c r="BE439" s="27" t="s">
        <v>8</v>
      </c>
      <c r="BF439" s="27" t="s">
        <v>7</v>
      </c>
      <c r="BG439" s="27" t="s">
        <v>8</v>
      </c>
      <c r="BH439" s="27" t="s">
        <v>7</v>
      </c>
      <c r="BI439" s="27" t="s">
        <v>8</v>
      </c>
      <c r="BJ439" s="27" t="s">
        <v>7</v>
      </c>
      <c r="BK439" s="27" t="s">
        <v>8</v>
      </c>
      <c r="CL439" s="27" t="s">
        <v>7</v>
      </c>
      <c r="CM439" s="27" t="s">
        <v>8</v>
      </c>
      <c r="CN439" s="27" t="s">
        <v>7</v>
      </c>
      <c r="CO439" s="27" t="s">
        <v>8</v>
      </c>
      <c r="CP439" s="27" t="s">
        <v>7</v>
      </c>
      <c r="DO439" s="27" t="s">
        <v>8</v>
      </c>
      <c r="DP439" s="27" t="s">
        <v>7</v>
      </c>
      <c r="DQ439" s="27" t="s">
        <v>8</v>
      </c>
      <c r="DR439" s="27" t="s">
        <v>7</v>
      </c>
      <c r="DS439" s="27" t="s">
        <v>8</v>
      </c>
      <c r="FR439" s="27" t="s">
        <v>7</v>
      </c>
      <c r="FT439" s="27" t="s">
        <v>7</v>
      </c>
      <c r="FW439" s="27" t="s">
        <v>8</v>
      </c>
      <c r="FX439" s="27" t="s">
        <v>7</v>
      </c>
    </row>
    <row r="440" spans="1:194" x14ac:dyDescent="0.25">
      <c r="A440" s="7">
        <v>18.374911201915726</v>
      </c>
      <c r="B440"/>
      <c r="C440"/>
      <c r="D440"/>
      <c r="E440" t="s">
        <v>8</v>
      </c>
      <c r="F440" s="27" t="s">
        <v>7</v>
      </c>
      <c r="I440" s="27" t="s">
        <v>8</v>
      </c>
      <c r="AU440" s="27" t="s">
        <v>8</v>
      </c>
      <c r="AV440" s="27" t="s">
        <v>7</v>
      </c>
      <c r="AW440" s="27" t="s">
        <v>8</v>
      </c>
      <c r="BD440" s="27" t="s">
        <v>7</v>
      </c>
      <c r="BE440" s="27" t="s">
        <v>8</v>
      </c>
      <c r="BF440" s="27" t="s">
        <v>7</v>
      </c>
      <c r="BG440" s="27" t="s">
        <v>8</v>
      </c>
      <c r="BH440" s="27" t="s">
        <v>7</v>
      </c>
      <c r="BI440" s="27" t="s">
        <v>8</v>
      </c>
      <c r="BJ440" s="27" t="s">
        <v>7</v>
      </c>
      <c r="BK440" s="27" t="s">
        <v>8</v>
      </c>
      <c r="CL440" s="27" t="s">
        <v>7</v>
      </c>
      <c r="CM440" s="27" t="s">
        <v>8</v>
      </c>
      <c r="CN440" s="27" t="s">
        <v>7</v>
      </c>
      <c r="CO440" s="27" t="s">
        <v>8</v>
      </c>
      <c r="CP440" s="27" t="s">
        <v>7</v>
      </c>
      <c r="CY440" s="27" t="s">
        <v>8</v>
      </c>
      <c r="DO440" s="27" t="s">
        <v>8</v>
      </c>
      <c r="DP440" s="27" t="s">
        <v>7</v>
      </c>
      <c r="DQ440" s="27" t="s">
        <v>8</v>
      </c>
      <c r="DR440" s="27" t="s">
        <v>7</v>
      </c>
      <c r="DS440" s="27" t="s">
        <v>8</v>
      </c>
      <c r="FT440" s="27" t="s">
        <v>7</v>
      </c>
      <c r="FW440" s="27" t="s">
        <v>8</v>
      </c>
      <c r="FX440" s="27" t="s">
        <v>7</v>
      </c>
    </row>
    <row r="441" spans="1:194" x14ac:dyDescent="0.25">
      <c r="A441" s="7">
        <v>18.014618825407574</v>
      </c>
      <c r="B441"/>
      <c r="C441"/>
      <c r="D441"/>
      <c r="E441" t="s">
        <v>8</v>
      </c>
      <c r="F441" s="27" t="s">
        <v>7</v>
      </c>
      <c r="I441" s="27" t="s">
        <v>8</v>
      </c>
      <c r="J441" s="27" t="s">
        <v>7</v>
      </c>
      <c r="AU441" s="27" t="s">
        <v>8</v>
      </c>
      <c r="AV441" s="27" t="s">
        <v>7</v>
      </c>
      <c r="AW441" s="27" t="s">
        <v>8</v>
      </c>
      <c r="BD441" s="27" t="s">
        <v>7</v>
      </c>
      <c r="BE441" s="27" t="s">
        <v>8</v>
      </c>
      <c r="BF441" s="27" t="s">
        <v>7</v>
      </c>
      <c r="BH441" s="27" t="s">
        <v>7</v>
      </c>
      <c r="BI441" s="27" t="s">
        <v>8</v>
      </c>
      <c r="BJ441" s="27" t="s">
        <v>7</v>
      </c>
      <c r="BK441" s="27" t="s">
        <v>8</v>
      </c>
      <c r="CL441" s="27" t="s">
        <v>7</v>
      </c>
      <c r="CM441" s="27" t="s">
        <v>8</v>
      </c>
      <c r="CN441" s="27" t="s">
        <v>7</v>
      </c>
      <c r="CO441" s="27" t="s">
        <v>8</v>
      </c>
      <c r="CP441" s="27" t="s">
        <v>7</v>
      </c>
      <c r="CY441" s="27" t="s">
        <v>8</v>
      </c>
      <c r="CZ441" s="27" t="s">
        <v>7</v>
      </c>
      <c r="DO441" s="27" t="s">
        <v>8</v>
      </c>
      <c r="DP441" s="27" t="s">
        <v>7</v>
      </c>
      <c r="DQ441" s="27" t="s">
        <v>8</v>
      </c>
      <c r="DR441" s="27" t="s">
        <v>7</v>
      </c>
      <c r="DS441" s="27" t="s">
        <v>8</v>
      </c>
      <c r="FT441" s="27" t="s">
        <v>7</v>
      </c>
      <c r="FU441" s="27" t="s">
        <v>8</v>
      </c>
      <c r="FW441" s="27" t="s">
        <v>8</v>
      </c>
      <c r="FX441" s="27" t="s">
        <v>7</v>
      </c>
    </row>
    <row r="442" spans="1:194" x14ac:dyDescent="0.25">
      <c r="A442" s="7">
        <v>17.661391005301542</v>
      </c>
      <c r="B442"/>
      <c r="C442"/>
      <c r="D442"/>
      <c r="E442" t="s">
        <v>8</v>
      </c>
      <c r="F442" s="27" t="s">
        <v>7</v>
      </c>
      <c r="I442" s="27" t="s">
        <v>8</v>
      </c>
      <c r="J442" s="27" t="s">
        <v>7</v>
      </c>
      <c r="AU442" s="27" t="s">
        <v>8</v>
      </c>
      <c r="AV442" s="27" t="s">
        <v>7</v>
      </c>
      <c r="AW442" s="27" t="s">
        <v>8</v>
      </c>
      <c r="BD442" s="27" t="s">
        <v>7</v>
      </c>
      <c r="BE442" s="27" t="s">
        <v>8</v>
      </c>
      <c r="BH442" s="27" t="s">
        <v>7</v>
      </c>
      <c r="BJ442" s="27" t="s">
        <v>7</v>
      </c>
      <c r="BK442" s="27" t="s">
        <v>8</v>
      </c>
      <c r="CL442" s="27" t="s">
        <v>7</v>
      </c>
      <c r="CM442" s="27" t="s">
        <v>8</v>
      </c>
      <c r="CN442" s="27" t="s">
        <v>7</v>
      </c>
      <c r="CO442" s="27" t="s">
        <v>8</v>
      </c>
      <c r="CP442" s="27" t="s">
        <v>7</v>
      </c>
      <c r="CU442" s="27" t="s">
        <v>8</v>
      </c>
      <c r="CY442" s="27" t="s">
        <v>8</v>
      </c>
      <c r="CZ442" s="27" t="s">
        <v>7</v>
      </c>
      <c r="DO442" s="27" t="s">
        <v>8</v>
      </c>
      <c r="DP442" s="27" t="s">
        <v>7</v>
      </c>
      <c r="DQ442" s="27" t="s">
        <v>8</v>
      </c>
      <c r="DR442" s="27" t="s">
        <v>7</v>
      </c>
      <c r="DS442" s="27" t="s">
        <v>8</v>
      </c>
      <c r="FT442" s="27" t="s">
        <v>7</v>
      </c>
      <c r="FU442" s="27" t="s">
        <v>8</v>
      </c>
      <c r="FV442" s="27" t="s">
        <v>7</v>
      </c>
      <c r="FW442" s="27" t="s">
        <v>8</v>
      </c>
      <c r="FX442" s="27" t="s">
        <v>7</v>
      </c>
      <c r="GI442" s="27" t="s">
        <v>8</v>
      </c>
    </row>
    <row r="443" spans="1:194" x14ac:dyDescent="0.25">
      <c r="A443" s="7">
        <v>17.315089220883866</v>
      </c>
      <c r="B443"/>
      <c r="C443"/>
      <c r="D443"/>
      <c r="E443" t="s">
        <v>8</v>
      </c>
      <c r="F443" s="27" t="s">
        <v>7</v>
      </c>
      <c r="G443" s="27" t="s">
        <v>8</v>
      </c>
      <c r="I443" s="27" t="s">
        <v>8</v>
      </c>
      <c r="J443" s="27" t="s">
        <v>7</v>
      </c>
      <c r="AU443" s="27" t="s">
        <v>8</v>
      </c>
      <c r="AV443" s="27" t="s">
        <v>7</v>
      </c>
      <c r="AW443" s="27" t="s">
        <v>8</v>
      </c>
      <c r="BD443" s="27" t="s">
        <v>7</v>
      </c>
      <c r="BE443" s="27" t="s">
        <v>8</v>
      </c>
      <c r="BJ443" s="27" t="s">
        <v>7</v>
      </c>
      <c r="CL443" s="27" t="s">
        <v>7</v>
      </c>
      <c r="CM443" s="27" t="s">
        <v>8</v>
      </c>
      <c r="CN443" s="27" t="s">
        <v>7</v>
      </c>
      <c r="CO443" s="27" t="s">
        <v>8</v>
      </c>
      <c r="CP443" s="27" t="s">
        <v>7</v>
      </c>
      <c r="CU443" s="27" t="s">
        <v>8</v>
      </c>
      <c r="CV443" s="27" t="s">
        <v>7</v>
      </c>
      <c r="CY443" s="27" t="s">
        <v>8</v>
      </c>
      <c r="CZ443" s="27" t="s">
        <v>7</v>
      </c>
      <c r="DO443" s="27" t="s">
        <v>8</v>
      </c>
      <c r="DP443" s="27" t="s">
        <v>7</v>
      </c>
      <c r="DQ443" s="27" t="s">
        <v>8</v>
      </c>
      <c r="DR443" s="27" t="s">
        <v>7</v>
      </c>
      <c r="FT443" s="27" t="s">
        <v>7</v>
      </c>
      <c r="FU443" s="27" t="s">
        <v>8</v>
      </c>
      <c r="FV443" s="27" t="s">
        <v>7</v>
      </c>
      <c r="FW443" s="27" t="s">
        <v>8</v>
      </c>
      <c r="FX443" s="27" t="s">
        <v>7</v>
      </c>
      <c r="GI443" s="27" t="s">
        <v>8</v>
      </c>
      <c r="GJ443" s="27" t="s">
        <v>7</v>
      </c>
    </row>
    <row r="444" spans="1:194" x14ac:dyDescent="0.25">
      <c r="A444" s="7">
        <v>16.975577667533202</v>
      </c>
      <c r="B444"/>
      <c r="C444"/>
      <c r="D444"/>
      <c r="E444" t="s">
        <v>8</v>
      </c>
      <c r="F444" s="27" t="s">
        <v>7</v>
      </c>
      <c r="G444" s="27" t="s">
        <v>8</v>
      </c>
      <c r="H444" s="27" t="s">
        <v>7</v>
      </c>
      <c r="I444" s="27" t="s">
        <v>8</v>
      </c>
      <c r="J444" s="27" t="s">
        <v>7</v>
      </c>
      <c r="AU444" s="27" t="s">
        <v>8</v>
      </c>
      <c r="AV444" s="27" t="s">
        <v>7</v>
      </c>
      <c r="AW444" s="27" t="s">
        <v>8</v>
      </c>
      <c r="BD444" s="27" t="s">
        <v>7</v>
      </c>
      <c r="CL444" s="27" t="s">
        <v>7</v>
      </c>
      <c r="CM444" s="27" t="s">
        <v>8</v>
      </c>
      <c r="CN444" s="27" t="s">
        <v>7</v>
      </c>
      <c r="CO444" s="27" t="s">
        <v>8</v>
      </c>
      <c r="CP444" s="27" t="s">
        <v>7</v>
      </c>
      <c r="CS444" s="27" t="s">
        <v>8</v>
      </c>
      <c r="CU444" s="27" t="s">
        <v>8</v>
      </c>
      <c r="CV444" s="27" t="s">
        <v>7</v>
      </c>
      <c r="CY444" s="27" t="s">
        <v>8</v>
      </c>
      <c r="CZ444" s="27" t="s">
        <v>7</v>
      </c>
      <c r="DO444" s="27" t="s">
        <v>8</v>
      </c>
      <c r="DP444" s="27" t="s">
        <v>7</v>
      </c>
      <c r="FT444" s="27" t="s">
        <v>7</v>
      </c>
      <c r="FV444" s="27" t="s">
        <v>7</v>
      </c>
      <c r="FW444" s="27" t="s">
        <v>8</v>
      </c>
      <c r="FX444" s="27" t="s">
        <v>7</v>
      </c>
      <c r="FY444" s="27" t="s">
        <v>8</v>
      </c>
      <c r="GI444" s="27" t="s">
        <v>8</v>
      </c>
      <c r="GJ444" s="27" t="s">
        <v>7</v>
      </c>
    </row>
    <row r="445" spans="1:194" x14ac:dyDescent="0.25">
      <c r="A445" s="7">
        <v>16.642723203463923</v>
      </c>
      <c r="B445"/>
      <c r="C445"/>
      <c r="D445"/>
      <c r="E445" t="s">
        <v>8</v>
      </c>
      <c r="F445" s="27" t="s">
        <v>7</v>
      </c>
      <c r="G445" s="27" t="s">
        <v>8</v>
      </c>
      <c r="H445" s="27" t="s">
        <v>7</v>
      </c>
      <c r="I445" s="27" t="s">
        <v>8</v>
      </c>
      <c r="J445" s="27" t="s">
        <v>7</v>
      </c>
      <c r="AU445" s="27" t="s">
        <v>8</v>
      </c>
      <c r="AV445" s="27" t="s">
        <v>7</v>
      </c>
      <c r="AW445" s="27" t="s">
        <v>8</v>
      </c>
      <c r="CL445" s="27" t="s">
        <v>7</v>
      </c>
      <c r="CM445" s="27" t="s">
        <v>8</v>
      </c>
      <c r="CN445" s="27" t="s">
        <v>7</v>
      </c>
      <c r="CO445" s="27" t="s">
        <v>8</v>
      </c>
      <c r="CP445" s="27" t="s">
        <v>7</v>
      </c>
      <c r="CQ445" s="27" t="s">
        <v>8</v>
      </c>
      <c r="CS445" s="27" t="s">
        <v>8</v>
      </c>
      <c r="CT445" s="27" t="s">
        <v>7</v>
      </c>
      <c r="CU445" s="27" t="s">
        <v>8</v>
      </c>
      <c r="CV445" s="27" t="s">
        <v>7</v>
      </c>
      <c r="CY445" s="27" t="s">
        <v>8</v>
      </c>
      <c r="CZ445" s="27" t="s">
        <v>7</v>
      </c>
      <c r="DM445" s="27" t="s">
        <v>8</v>
      </c>
      <c r="DO445" s="27" t="s">
        <v>8</v>
      </c>
      <c r="FV445" s="27" t="s">
        <v>7</v>
      </c>
      <c r="FW445" s="27" t="s">
        <v>8</v>
      </c>
      <c r="FX445" s="27" t="s">
        <v>7</v>
      </c>
      <c r="FY445" s="27" t="s">
        <v>8</v>
      </c>
      <c r="FZ445" s="27" t="s">
        <v>7</v>
      </c>
      <c r="GA445" s="27" t="s">
        <v>8</v>
      </c>
      <c r="GI445" s="27" t="s">
        <v>8</v>
      </c>
      <c r="GJ445" s="27" t="s">
        <v>7</v>
      </c>
    </row>
    <row r="446" spans="1:194" x14ac:dyDescent="0.25">
      <c r="A446" s="7">
        <v>16.316395297513651</v>
      </c>
      <c r="B446"/>
      <c r="C446"/>
      <c r="D446"/>
      <c r="E446" t="s">
        <v>8</v>
      </c>
      <c r="F446" s="27" t="s">
        <v>7</v>
      </c>
      <c r="G446" s="27" t="s">
        <v>8</v>
      </c>
      <c r="H446" s="27" t="s">
        <v>7</v>
      </c>
      <c r="I446" s="27" t="s">
        <v>8</v>
      </c>
      <c r="J446" s="27" t="s">
        <v>7</v>
      </c>
      <c r="AU446" s="27" t="s">
        <v>8</v>
      </c>
      <c r="AV446" s="27" t="s">
        <v>7</v>
      </c>
      <c r="AW446" s="27" t="s">
        <v>8</v>
      </c>
      <c r="CL446" s="27" t="s">
        <v>7</v>
      </c>
      <c r="CM446" s="27" t="s">
        <v>8</v>
      </c>
      <c r="CN446" s="27" t="s">
        <v>7</v>
      </c>
      <c r="CO446" s="27" t="s">
        <v>8</v>
      </c>
      <c r="CP446" s="27" t="s">
        <v>7</v>
      </c>
      <c r="CQ446" s="27" t="s">
        <v>8</v>
      </c>
      <c r="CR446" s="27" t="s">
        <v>7</v>
      </c>
      <c r="CS446" s="27" t="s">
        <v>8</v>
      </c>
      <c r="CT446" s="27" t="s">
        <v>7</v>
      </c>
      <c r="CU446" s="27" t="s">
        <v>8</v>
      </c>
      <c r="CV446" s="27" t="s">
        <v>7</v>
      </c>
      <c r="CY446" s="27" t="s">
        <v>8</v>
      </c>
      <c r="CZ446" s="27" t="s">
        <v>7</v>
      </c>
      <c r="DM446" s="27" t="s">
        <v>8</v>
      </c>
      <c r="DN446" s="27" t="s">
        <v>7</v>
      </c>
      <c r="DO446" s="27" t="s">
        <v>8</v>
      </c>
      <c r="FV446" s="27" t="s">
        <v>7</v>
      </c>
      <c r="FW446" s="27" t="s">
        <v>8</v>
      </c>
      <c r="FX446" s="27" t="s">
        <v>7</v>
      </c>
      <c r="FY446" s="27" t="s">
        <v>8</v>
      </c>
      <c r="FZ446" s="27" t="s">
        <v>7</v>
      </c>
      <c r="GA446" s="27" t="s">
        <v>8</v>
      </c>
      <c r="GB446" s="27" t="s">
        <v>7</v>
      </c>
      <c r="GI446" s="27" t="s">
        <v>8</v>
      </c>
      <c r="GJ446" s="27" t="s">
        <v>7</v>
      </c>
    </row>
    <row r="447" spans="1:194" x14ac:dyDescent="0.25">
      <c r="A447" s="7">
        <v>15.996465977954561</v>
      </c>
      <c r="B447"/>
      <c r="C447"/>
      <c r="D447"/>
      <c r="E447" t="s">
        <v>8</v>
      </c>
      <c r="F447" s="27" t="s">
        <v>7</v>
      </c>
      <c r="G447" s="27" t="s">
        <v>8</v>
      </c>
      <c r="H447" s="27" t="s">
        <v>7</v>
      </c>
      <c r="I447" s="27" t="s">
        <v>8</v>
      </c>
      <c r="J447" s="27" t="s">
        <v>7</v>
      </c>
      <c r="AU447" s="27" t="s">
        <v>8</v>
      </c>
      <c r="AV447" s="27" t="s">
        <v>7</v>
      </c>
      <c r="AW447" s="27" t="s">
        <v>8</v>
      </c>
      <c r="CL447" s="27" t="s">
        <v>7</v>
      </c>
      <c r="CM447" s="27" t="s">
        <v>8</v>
      </c>
      <c r="CN447" s="27" t="s">
        <v>7</v>
      </c>
      <c r="CO447" s="27" t="s">
        <v>8</v>
      </c>
      <c r="CP447" s="27" t="s">
        <v>7</v>
      </c>
      <c r="CQ447" s="27" t="s">
        <v>8</v>
      </c>
      <c r="CR447" s="27" t="s">
        <v>7</v>
      </c>
      <c r="CS447" s="27" t="s">
        <v>8</v>
      </c>
      <c r="CT447" s="27" t="s">
        <v>7</v>
      </c>
      <c r="CV447" s="27" t="s">
        <v>7</v>
      </c>
      <c r="CW447" s="27" t="s">
        <v>8</v>
      </c>
      <c r="CY447" s="27" t="s">
        <v>8</v>
      </c>
      <c r="CZ447" s="27" t="s">
        <v>7</v>
      </c>
      <c r="DC447" s="27" t="s">
        <v>8</v>
      </c>
      <c r="DM447" s="27" t="s">
        <v>8</v>
      </c>
      <c r="DN447" s="27" t="s">
        <v>7</v>
      </c>
      <c r="DO447" s="27" t="s">
        <v>8</v>
      </c>
      <c r="FV447" s="27" t="s">
        <v>7</v>
      </c>
      <c r="FW447" s="27" t="s">
        <v>8</v>
      </c>
      <c r="FX447" s="27" t="s">
        <v>7</v>
      </c>
      <c r="FY447" s="27" t="s">
        <v>8</v>
      </c>
      <c r="FZ447" s="27" t="s">
        <v>7</v>
      </c>
      <c r="GA447" s="27" t="s">
        <v>8</v>
      </c>
      <c r="GB447" s="27" t="s">
        <v>7</v>
      </c>
      <c r="GC447" s="27" t="s">
        <v>8</v>
      </c>
      <c r="GG447" s="27" t="s">
        <v>8</v>
      </c>
      <c r="GI447" s="27" t="s">
        <v>8</v>
      </c>
      <c r="GJ447" s="27" t="s">
        <v>7</v>
      </c>
      <c r="GK447" s="27" t="s">
        <v>8</v>
      </c>
    </row>
    <row r="448" spans="1:194" x14ac:dyDescent="0.25">
      <c r="A448" s="7">
        <v>15.682809782308393</v>
      </c>
      <c r="B448"/>
      <c r="C448"/>
      <c r="D448"/>
      <c r="E448" t="s">
        <v>8</v>
      </c>
      <c r="F448" s="27" t="s">
        <v>7</v>
      </c>
      <c r="G448" s="27" t="s">
        <v>8</v>
      </c>
      <c r="H448" s="27" t="s">
        <v>7</v>
      </c>
      <c r="I448" s="27" t="s">
        <v>8</v>
      </c>
      <c r="J448" s="27" t="s">
        <v>7</v>
      </c>
      <c r="AU448" s="27" t="s">
        <v>8</v>
      </c>
      <c r="AV448" s="27" t="s">
        <v>7</v>
      </c>
      <c r="AW448" s="27" t="s">
        <v>8</v>
      </c>
      <c r="CL448" s="27" t="s">
        <v>7</v>
      </c>
      <c r="CM448" s="27" t="s">
        <v>8</v>
      </c>
      <c r="CN448" s="27" t="s">
        <v>7</v>
      </c>
      <c r="CO448" s="27" t="s">
        <v>8</v>
      </c>
      <c r="CP448" s="27" t="s">
        <v>7</v>
      </c>
      <c r="CQ448" s="27" t="s">
        <v>8</v>
      </c>
      <c r="CR448" s="27" t="s">
        <v>7</v>
      </c>
      <c r="CS448" s="27" t="s">
        <v>8</v>
      </c>
      <c r="CV448" s="27" t="s">
        <v>7</v>
      </c>
      <c r="CW448" s="27" t="s">
        <v>8</v>
      </c>
      <c r="CX448" s="27" t="s">
        <v>7</v>
      </c>
      <c r="CY448" s="27" t="s">
        <v>8</v>
      </c>
      <c r="CZ448" s="27" t="s">
        <v>7</v>
      </c>
      <c r="DA448" s="27" t="s">
        <v>8</v>
      </c>
      <c r="DC448" s="27" t="s">
        <v>8</v>
      </c>
      <c r="DD448" s="27" t="s">
        <v>7</v>
      </c>
      <c r="DM448" s="27" t="s">
        <v>8</v>
      </c>
      <c r="DN448" s="27" t="s">
        <v>7</v>
      </c>
      <c r="DO448" s="27" t="s">
        <v>8</v>
      </c>
      <c r="FV448" s="27" t="s">
        <v>7</v>
      </c>
      <c r="FW448" s="27" t="s">
        <v>8</v>
      </c>
      <c r="FX448" s="27" t="s">
        <v>7</v>
      </c>
      <c r="FY448" s="27" t="s">
        <v>8</v>
      </c>
      <c r="FZ448" s="27" t="s">
        <v>7</v>
      </c>
      <c r="GB448" s="27" t="s">
        <v>7</v>
      </c>
      <c r="GC448" s="27" t="s">
        <v>8</v>
      </c>
      <c r="GD448" s="27" t="s">
        <v>7</v>
      </c>
      <c r="GG448" s="27" t="s">
        <v>8</v>
      </c>
      <c r="GH448" s="27" t="s">
        <v>7</v>
      </c>
      <c r="GI448" s="27" t="s">
        <v>8</v>
      </c>
      <c r="GJ448" s="27" t="s">
        <v>7</v>
      </c>
      <c r="GK448" s="27" t="s">
        <v>8</v>
      </c>
      <c r="GL448" s="27" t="s">
        <v>7</v>
      </c>
    </row>
    <row r="449" spans="1:200" x14ac:dyDescent="0.25">
      <c r="A449" s="7">
        <v>15.375303708145482</v>
      </c>
      <c r="B449"/>
      <c r="C449"/>
      <c r="D449"/>
      <c r="E449" t="s">
        <v>8</v>
      </c>
      <c r="F449" s="27" t="s">
        <v>7</v>
      </c>
      <c r="G449" s="27" t="s">
        <v>8</v>
      </c>
      <c r="H449" s="27" t="s">
        <v>7</v>
      </c>
      <c r="I449" s="27" t="s">
        <v>8</v>
      </c>
      <c r="J449" s="27" t="s">
        <v>7</v>
      </c>
      <c r="AU449" s="27" t="s">
        <v>8</v>
      </c>
      <c r="AV449" s="27" t="s">
        <v>7</v>
      </c>
      <c r="AW449" s="27" t="s">
        <v>8</v>
      </c>
      <c r="CL449" s="27" t="s">
        <v>7</v>
      </c>
      <c r="CM449" s="27" t="s">
        <v>8</v>
      </c>
      <c r="CN449" s="27" t="s">
        <v>7</v>
      </c>
      <c r="CO449" s="27" t="s">
        <v>8</v>
      </c>
      <c r="CP449" s="27" t="s">
        <v>7</v>
      </c>
      <c r="CQ449" s="27" t="s">
        <v>8</v>
      </c>
      <c r="CR449" s="27" t="s">
        <v>7</v>
      </c>
      <c r="CV449" s="27" t="s">
        <v>7</v>
      </c>
      <c r="CW449" s="27" t="s">
        <v>8</v>
      </c>
      <c r="CX449" s="27" t="s">
        <v>7</v>
      </c>
      <c r="CY449" s="27" t="s">
        <v>8</v>
      </c>
      <c r="CZ449" s="27" t="s">
        <v>7</v>
      </c>
      <c r="DA449" s="27" t="s">
        <v>8</v>
      </c>
      <c r="DB449" s="27" t="s">
        <v>7</v>
      </c>
      <c r="DC449" s="27" t="s">
        <v>8</v>
      </c>
      <c r="DD449" s="27" t="s">
        <v>7</v>
      </c>
      <c r="DE449" s="27" t="s">
        <v>8</v>
      </c>
      <c r="DM449" s="27" t="s">
        <v>8</v>
      </c>
      <c r="DN449" s="27" t="s">
        <v>7</v>
      </c>
      <c r="DO449" s="27" t="s">
        <v>8</v>
      </c>
      <c r="FV449" s="27" t="s">
        <v>7</v>
      </c>
      <c r="FW449" s="27" t="s">
        <v>8</v>
      </c>
      <c r="FX449" s="27" t="s">
        <v>7</v>
      </c>
      <c r="FY449" s="27" t="s">
        <v>8</v>
      </c>
      <c r="GB449" s="27" t="s">
        <v>7</v>
      </c>
      <c r="GC449" s="27" t="s">
        <v>8</v>
      </c>
      <c r="GD449" s="27" t="s">
        <v>7</v>
      </c>
      <c r="GG449" s="27" t="s">
        <v>8</v>
      </c>
      <c r="GH449" s="27" t="s">
        <v>7</v>
      </c>
      <c r="GI449" s="27" t="s">
        <v>8</v>
      </c>
      <c r="GJ449" s="27" t="s">
        <v>7</v>
      </c>
      <c r="GK449" s="27" t="s">
        <v>8</v>
      </c>
      <c r="GL449" s="27" t="s">
        <v>7</v>
      </c>
      <c r="GM449" s="27" t="s">
        <v>8</v>
      </c>
    </row>
    <row r="450" spans="1:200" x14ac:dyDescent="0.25">
      <c r="A450" s="7">
        <v>15.073827164848511</v>
      </c>
      <c r="B450"/>
      <c r="C450"/>
      <c r="D450"/>
      <c r="E450" t="s">
        <v>8</v>
      </c>
      <c r="F450" s="27" t="s">
        <v>7</v>
      </c>
      <c r="G450" s="27" t="s">
        <v>8</v>
      </c>
      <c r="H450" s="27" t="s">
        <v>7</v>
      </c>
      <c r="I450" s="27" t="s">
        <v>8</v>
      </c>
      <c r="J450" s="27" t="s">
        <v>7</v>
      </c>
      <c r="AU450" s="27" t="s">
        <v>8</v>
      </c>
      <c r="AV450" s="27" t="s">
        <v>7</v>
      </c>
      <c r="CL450" s="27" t="s">
        <v>7</v>
      </c>
      <c r="CM450" s="27" t="s">
        <v>8</v>
      </c>
      <c r="CN450" s="27" t="s">
        <v>7</v>
      </c>
      <c r="CO450" s="27" t="s">
        <v>8</v>
      </c>
      <c r="CP450" s="27" t="s">
        <v>7</v>
      </c>
      <c r="CQ450" s="27" t="s">
        <v>8</v>
      </c>
      <c r="CV450" s="27" t="s">
        <v>7</v>
      </c>
      <c r="CX450" s="27" t="s">
        <v>7</v>
      </c>
      <c r="CY450" s="27" t="s">
        <v>8</v>
      </c>
      <c r="CZ450" s="27" t="s">
        <v>7</v>
      </c>
      <c r="DA450" s="27" t="s">
        <v>8</v>
      </c>
      <c r="DB450" s="27" t="s">
        <v>7</v>
      </c>
      <c r="DC450" s="27" t="s">
        <v>8</v>
      </c>
      <c r="DD450" s="27" t="s">
        <v>7</v>
      </c>
      <c r="DE450" s="27" t="s">
        <v>8</v>
      </c>
      <c r="DF450" s="27" t="s">
        <v>7</v>
      </c>
      <c r="DI450" s="27" t="s">
        <v>8</v>
      </c>
      <c r="DM450" s="27" t="s">
        <v>8</v>
      </c>
      <c r="DN450" s="27" t="s">
        <v>7</v>
      </c>
      <c r="FV450" s="27" t="s">
        <v>7</v>
      </c>
      <c r="FW450" s="27" t="s">
        <v>8</v>
      </c>
      <c r="FX450" s="27" t="s">
        <v>7</v>
      </c>
      <c r="GB450" s="27" t="s">
        <v>7</v>
      </c>
      <c r="GD450" s="27" t="s">
        <v>7</v>
      </c>
      <c r="GE450" s="27" t="s">
        <v>8</v>
      </c>
      <c r="GG450" s="27" t="s">
        <v>8</v>
      </c>
      <c r="GH450" s="27" t="s">
        <v>7</v>
      </c>
      <c r="GI450" s="27" t="s">
        <v>8</v>
      </c>
      <c r="GJ450" s="27" t="s">
        <v>7</v>
      </c>
      <c r="GK450" s="27" t="s">
        <v>8</v>
      </c>
      <c r="GL450" s="27" t="s">
        <v>7</v>
      </c>
      <c r="GM450" s="27" t="s">
        <v>8</v>
      </c>
      <c r="GN450" s="27" t="s">
        <v>7</v>
      </c>
    </row>
    <row r="451" spans="1:200" x14ac:dyDescent="0.25">
      <c r="A451" s="7">
        <v>14.77826192632207</v>
      </c>
      <c r="B451"/>
      <c r="C451"/>
      <c r="D451"/>
      <c r="E451" t="s">
        <v>8</v>
      </c>
      <c r="F451" s="27" t="s">
        <v>7</v>
      </c>
      <c r="G451" s="27" t="s">
        <v>8</v>
      </c>
      <c r="H451" s="27" t="s">
        <v>7</v>
      </c>
      <c r="I451" s="27" t="s">
        <v>8</v>
      </c>
      <c r="J451" s="27" t="s">
        <v>7</v>
      </c>
      <c r="AE451" s="27" t="s">
        <v>8</v>
      </c>
      <c r="AU451" s="27" t="s">
        <v>8</v>
      </c>
      <c r="CL451" s="27" t="s">
        <v>7</v>
      </c>
      <c r="CM451" s="27" t="s">
        <v>8</v>
      </c>
      <c r="CN451" s="27" t="s">
        <v>7</v>
      </c>
      <c r="CP451" s="27" t="s">
        <v>7</v>
      </c>
      <c r="CQ451" s="27" t="s">
        <v>8</v>
      </c>
      <c r="CX451" s="27" t="s">
        <v>7</v>
      </c>
      <c r="CY451" s="27" t="s">
        <v>8</v>
      </c>
      <c r="CZ451" s="27" t="s">
        <v>7</v>
      </c>
      <c r="DA451" s="27" t="s">
        <v>8</v>
      </c>
      <c r="DB451" s="27" t="s">
        <v>7</v>
      </c>
      <c r="DD451" s="27" t="s">
        <v>7</v>
      </c>
      <c r="DE451" s="27" t="s">
        <v>8</v>
      </c>
      <c r="DF451" s="27" t="s">
        <v>7</v>
      </c>
      <c r="DI451" s="27" t="s">
        <v>8</v>
      </c>
      <c r="DJ451" s="27" t="s">
        <v>7</v>
      </c>
      <c r="DK451" s="27" t="s">
        <v>8</v>
      </c>
      <c r="DM451" s="27" t="s">
        <v>8</v>
      </c>
      <c r="FV451" s="27" t="s">
        <v>7</v>
      </c>
      <c r="FW451" s="27" t="s">
        <v>8</v>
      </c>
      <c r="GD451" s="27" t="s">
        <v>7</v>
      </c>
      <c r="GE451" s="27" t="s">
        <v>8</v>
      </c>
      <c r="GF451" s="27" t="s">
        <v>7</v>
      </c>
      <c r="GG451" s="27" t="s">
        <v>8</v>
      </c>
      <c r="GH451" s="27" t="s">
        <v>7</v>
      </c>
      <c r="GJ451" s="27" t="s">
        <v>7</v>
      </c>
      <c r="GK451" s="27" t="s">
        <v>8</v>
      </c>
      <c r="GL451" s="27" t="s">
        <v>7</v>
      </c>
      <c r="GM451" s="27" t="s">
        <v>8</v>
      </c>
      <c r="GN451" s="27" t="s">
        <v>7</v>
      </c>
    </row>
    <row r="452" spans="1:200" x14ac:dyDescent="0.25">
      <c r="A452" s="7">
        <v>14.488492084629481</v>
      </c>
      <c r="B452"/>
      <c r="C452"/>
      <c r="D452"/>
      <c r="E452" t="s">
        <v>8</v>
      </c>
      <c r="F452" s="27" t="s">
        <v>7</v>
      </c>
      <c r="G452" s="27" t="s">
        <v>8</v>
      </c>
      <c r="H452" s="27" t="s">
        <v>7</v>
      </c>
      <c r="I452" s="27" t="s">
        <v>8</v>
      </c>
      <c r="J452" s="27" t="s">
        <v>7</v>
      </c>
      <c r="AE452" s="27" t="s">
        <v>8</v>
      </c>
      <c r="AF452" s="27" t="s">
        <v>7</v>
      </c>
      <c r="AU452" s="27" t="s">
        <v>8</v>
      </c>
      <c r="CL452" s="27" t="s">
        <v>7</v>
      </c>
      <c r="CM452" s="27" t="s">
        <v>8</v>
      </c>
      <c r="CP452" s="27" t="s">
        <v>7</v>
      </c>
      <c r="CX452" s="27" t="s">
        <v>7</v>
      </c>
      <c r="CY452" s="27" t="s">
        <v>8</v>
      </c>
      <c r="CZ452" s="27" t="s">
        <v>7</v>
      </c>
      <c r="DA452" s="27" t="s">
        <v>8</v>
      </c>
      <c r="DD452" s="27" t="s">
        <v>7</v>
      </c>
      <c r="DE452" s="27" t="s">
        <v>8</v>
      </c>
      <c r="DF452" s="27" t="s">
        <v>7</v>
      </c>
      <c r="DI452" s="27" t="s">
        <v>8</v>
      </c>
      <c r="DJ452" s="27" t="s">
        <v>7</v>
      </c>
      <c r="DK452" s="27" t="s">
        <v>8</v>
      </c>
      <c r="DL452" s="27" t="s">
        <v>7</v>
      </c>
      <c r="DM452" s="27" t="s">
        <v>8</v>
      </c>
      <c r="FV452" s="27" t="s">
        <v>7</v>
      </c>
      <c r="FW452" s="27" t="s">
        <v>8</v>
      </c>
      <c r="GD452" s="27" t="s">
        <v>7</v>
      </c>
      <c r="GE452" s="27" t="s">
        <v>8</v>
      </c>
      <c r="GF452" s="27" t="s">
        <v>7</v>
      </c>
      <c r="GG452" s="27" t="s">
        <v>8</v>
      </c>
      <c r="GJ452" s="27" t="s">
        <v>7</v>
      </c>
      <c r="GK452" s="27" t="s">
        <v>8</v>
      </c>
      <c r="GL452" s="27" t="s">
        <v>7</v>
      </c>
      <c r="GM452" s="27" t="s">
        <v>8</v>
      </c>
      <c r="GN452" s="27" t="s">
        <v>7</v>
      </c>
    </row>
    <row r="453" spans="1:200" x14ac:dyDescent="0.25">
      <c r="A453" s="7">
        <v>14.204404004538707</v>
      </c>
      <c r="B453"/>
      <c r="C453"/>
      <c r="D453"/>
      <c r="E453" t="s">
        <v>8</v>
      </c>
      <c r="F453" s="27" t="s">
        <v>7</v>
      </c>
      <c r="G453" s="27" t="s">
        <v>8</v>
      </c>
      <c r="H453" s="27" t="s">
        <v>7</v>
      </c>
      <c r="I453" s="27" t="s">
        <v>8</v>
      </c>
      <c r="J453" s="27" t="s">
        <v>7</v>
      </c>
      <c r="AE453" s="27" t="s">
        <v>8</v>
      </c>
      <c r="AF453" s="27" t="s">
        <v>7</v>
      </c>
      <c r="AU453" s="27" t="s">
        <v>8</v>
      </c>
      <c r="CL453" s="27" t="s">
        <v>7</v>
      </c>
      <c r="CM453" s="27" t="s">
        <v>8</v>
      </c>
      <c r="CX453" s="27" t="s">
        <v>7</v>
      </c>
      <c r="CY453" s="27" t="s">
        <v>8</v>
      </c>
      <c r="CZ453" s="27" t="s">
        <v>7</v>
      </c>
      <c r="DA453" s="27" t="s">
        <v>8</v>
      </c>
      <c r="DD453" s="27" t="s">
        <v>7</v>
      </c>
      <c r="DE453" s="27" t="s">
        <v>8</v>
      </c>
      <c r="DF453" s="27" t="s">
        <v>7</v>
      </c>
      <c r="DI453" s="27" t="s">
        <v>8</v>
      </c>
      <c r="DJ453" s="27" t="s">
        <v>7</v>
      </c>
      <c r="DK453" s="27" t="s">
        <v>8</v>
      </c>
      <c r="DL453" s="27" t="s">
        <v>7</v>
      </c>
      <c r="DM453" s="27" t="s">
        <v>8</v>
      </c>
      <c r="FV453" s="27" t="s">
        <v>7</v>
      </c>
      <c r="FW453" s="27" t="s">
        <v>8</v>
      </c>
      <c r="GD453" s="27" t="s">
        <v>7</v>
      </c>
      <c r="GF453" s="27" t="s">
        <v>7</v>
      </c>
      <c r="GG453" s="27" t="s">
        <v>8</v>
      </c>
      <c r="GJ453" s="27" t="s">
        <v>7</v>
      </c>
      <c r="GL453" s="27" t="s">
        <v>7</v>
      </c>
      <c r="GM453" s="27" t="s">
        <v>8</v>
      </c>
      <c r="GN453" s="27" t="s">
        <v>7</v>
      </c>
    </row>
    <row r="454" spans="1:200" x14ac:dyDescent="0.25">
      <c r="A454" s="7">
        <v>13.925886278959517</v>
      </c>
      <c r="B454"/>
      <c r="C454"/>
      <c r="D454"/>
      <c r="E454" t="s">
        <v>8</v>
      </c>
      <c r="F454" s="27" t="s">
        <v>7</v>
      </c>
      <c r="G454" s="27" t="s">
        <v>8</v>
      </c>
      <c r="H454" s="27" t="s">
        <v>7</v>
      </c>
      <c r="I454" s="27" t="s">
        <v>8</v>
      </c>
      <c r="J454" s="27" t="s">
        <v>7</v>
      </c>
      <c r="AE454" s="27" t="s">
        <v>8</v>
      </c>
      <c r="AF454" s="27" t="s">
        <v>7</v>
      </c>
      <c r="AU454" s="27" t="s">
        <v>8</v>
      </c>
      <c r="CL454" s="27" t="s">
        <v>7</v>
      </c>
      <c r="CM454" s="27" t="s">
        <v>8</v>
      </c>
      <c r="CX454" s="27" t="s">
        <v>7</v>
      </c>
      <c r="CY454" s="27" t="s">
        <v>8</v>
      </c>
      <c r="CZ454" s="27" t="s">
        <v>7</v>
      </c>
      <c r="DA454" s="27" t="s">
        <v>8</v>
      </c>
      <c r="DD454" s="27" t="s">
        <v>7</v>
      </c>
      <c r="DF454" s="27" t="s">
        <v>7</v>
      </c>
      <c r="DI454" s="27" t="s">
        <v>8</v>
      </c>
      <c r="DJ454" s="27" t="s">
        <v>7</v>
      </c>
      <c r="DK454" s="27" t="s">
        <v>8</v>
      </c>
      <c r="DL454" s="27" t="s">
        <v>7</v>
      </c>
      <c r="DM454" s="27" t="s">
        <v>8</v>
      </c>
      <c r="FV454" s="27" t="s">
        <v>7</v>
      </c>
      <c r="FW454" s="27" t="s">
        <v>8</v>
      </c>
      <c r="GF454" s="27" t="s">
        <v>7</v>
      </c>
      <c r="GG454" s="27" t="s">
        <v>8</v>
      </c>
      <c r="GL454" s="27" t="s">
        <v>7</v>
      </c>
      <c r="GM454" s="27" t="s">
        <v>8</v>
      </c>
      <c r="GN454" s="27" t="s">
        <v>7</v>
      </c>
    </row>
    <row r="455" spans="1:200" x14ac:dyDescent="0.25">
      <c r="A455" s="7">
        <v>13.652829685254428</v>
      </c>
      <c r="B455"/>
      <c r="C455"/>
      <c r="D455"/>
      <c r="E455" t="s">
        <v>8</v>
      </c>
      <c r="F455" s="27" t="s">
        <v>7</v>
      </c>
      <c r="G455" s="27" t="s">
        <v>8</v>
      </c>
      <c r="H455" s="27" t="s">
        <v>7</v>
      </c>
      <c r="J455" s="27" t="s">
        <v>7</v>
      </c>
      <c r="AE455" s="27" t="s">
        <v>8</v>
      </c>
      <c r="AF455" s="27" t="s">
        <v>7</v>
      </c>
      <c r="AU455" s="27" t="s">
        <v>8</v>
      </c>
      <c r="CL455" s="27" t="s">
        <v>7</v>
      </c>
      <c r="CM455" s="27" t="s">
        <v>8</v>
      </c>
      <c r="CX455" s="27" t="s">
        <v>7</v>
      </c>
      <c r="CY455" s="27" t="s">
        <v>8</v>
      </c>
      <c r="CZ455" s="27" t="s">
        <v>7</v>
      </c>
      <c r="DF455" s="27" t="s">
        <v>7</v>
      </c>
      <c r="DI455" s="27" t="s">
        <v>8</v>
      </c>
      <c r="DJ455" s="27" t="s">
        <v>7</v>
      </c>
      <c r="DK455" s="27" t="s">
        <v>8</v>
      </c>
      <c r="DL455" s="27" t="s">
        <v>7</v>
      </c>
      <c r="FV455" s="27" t="s">
        <v>7</v>
      </c>
      <c r="GF455" s="27" t="s">
        <v>7</v>
      </c>
      <c r="GG455" s="27" t="s">
        <v>8</v>
      </c>
      <c r="GL455" s="27" t="s">
        <v>7</v>
      </c>
      <c r="GN455" s="27" t="s">
        <v>7</v>
      </c>
      <c r="GO455" s="27" t="s">
        <v>8</v>
      </c>
    </row>
    <row r="456" spans="1:200" x14ac:dyDescent="0.25">
      <c r="A456" s="7">
        <v>13.385127142406303</v>
      </c>
      <c r="B456"/>
      <c r="C456"/>
      <c r="D456"/>
      <c r="E456" t="s">
        <v>8</v>
      </c>
      <c r="F456" s="27" t="s">
        <v>7</v>
      </c>
      <c r="G456" s="27" t="s">
        <v>8</v>
      </c>
      <c r="J456" s="27" t="s">
        <v>7</v>
      </c>
      <c r="AE456" s="27" t="s">
        <v>8</v>
      </c>
      <c r="AF456" s="27" t="s">
        <v>7</v>
      </c>
      <c r="AI456" s="27" t="s">
        <v>8</v>
      </c>
      <c r="AU456" s="27" t="s">
        <v>8</v>
      </c>
      <c r="CL456" s="27" t="s">
        <v>7</v>
      </c>
      <c r="CM456" s="27" t="s">
        <v>8</v>
      </c>
      <c r="CX456" s="27" t="s">
        <v>7</v>
      </c>
      <c r="CY456" s="27" t="s">
        <v>8</v>
      </c>
      <c r="DF456" s="27" t="s">
        <v>7</v>
      </c>
      <c r="DI456" s="27" t="s">
        <v>8</v>
      </c>
      <c r="DJ456" s="27" t="s">
        <v>7</v>
      </c>
      <c r="DK456" s="27" t="s">
        <v>8</v>
      </c>
      <c r="GF456" s="27" t="s">
        <v>7</v>
      </c>
      <c r="GN456" s="27" t="s">
        <v>7</v>
      </c>
      <c r="GO456" s="27" t="s">
        <v>8</v>
      </c>
      <c r="GP456" s="27" t="s">
        <v>7</v>
      </c>
    </row>
    <row r="457" spans="1:200" x14ac:dyDescent="0.25">
      <c r="A457" s="7">
        <v>13.122673669025787</v>
      </c>
      <c r="B457"/>
      <c r="C457"/>
      <c r="D457"/>
      <c r="E457" t="s">
        <v>8</v>
      </c>
      <c r="F457" s="27" t="s">
        <v>7</v>
      </c>
      <c r="G457" s="27" t="s">
        <v>8</v>
      </c>
      <c r="J457" s="27" t="s">
        <v>7</v>
      </c>
      <c r="AE457" s="27" t="s">
        <v>8</v>
      </c>
      <c r="AF457" s="27" t="s">
        <v>7</v>
      </c>
      <c r="AI457" s="27" t="s">
        <v>8</v>
      </c>
      <c r="AJ457" s="27" t="s">
        <v>7</v>
      </c>
      <c r="AU457" s="27" t="s">
        <v>8</v>
      </c>
      <c r="CL457" s="27" t="s">
        <v>7</v>
      </c>
      <c r="CM457" s="27" t="s">
        <v>8</v>
      </c>
      <c r="CX457" s="27" t="s">
        <v>7</v>
      </c>
      <c r="CY457" s="27" t="s">
        <v>8</v>
      </c>
      <c r="DF457" s="27" t="s">
        <v>7</v>
      </c>
      <c r="DG457" s="27" t="s">
        <v>8</v>
      </c>
      <c r="DI457" s="27" t="s">
        <v>8</v>
      </c>
      <c r="DJ457" s="27" t="s">
        <v>7</v>
      </c>
      <c r="GN457" s="27" t="s">
        <v>7</v>
      </c>
      <c r="GO457" s="27" t="s">
        <v>8</v>
      </c>
      <c r="GP457" s="27" t="s">
        <v>7</v>
      </c>
      <c r="GQ457" s="27" t="s">
        <v>8</v>
      </c>
    </row>
    <row r="458" spans="1:200" x14ac:dyDescent="0.25">
      <c r="A458" s="7">
        <v>12.865366342182144</v>
      </c>
      <c r="B458"/>
      <c r="C458"/>
      <c r="D458"/>
      <c r="E458" t="s">
        <v>8</v>
      </c>
      <c r="F458" s="27" t="s">
        <v>7</v>
      </c>
      <c r="G458" s="27" t="s">
        <v>8</v>
      </c>
      <c r="J458" s="27" t="s">
        <v>7</v>
      </c>
      <c r="AE458" s="27" t="s">
        <v>8</v>
      </c>
      <c r="AF458" s="27" t="s">
        <v>7</v>
      </c>
      <c r="AI458" s="27" t="s">
        <v>8</v>
      </c>
      <c r="AJ458" s="27" t="s">
        <v>7</v>
      </c>
      <c r="AU458" s="27" t="s">
        <v>8</v>
      </c>
      <c r="CL458" s="27" t="s">
        <v>7</v>
      </c>
      <c r="CM458" s="27" t="s">
        <v>8</v>
      </c>
      <c r="CX458" s="27" t="s">
        <v>7</v>
      </c>
      <c r="CY458" s="27" t="s">
        <v>8</v>
      </c>
      <c r="DF458" s="27" t="s">
        <v>7</v>
      </c>
      <c r="DG458" s="27" t="s">
        <v>8</v>
      </c>
      <c r="DH458" s="27" t="s">
        <v>7</v>
      </c>
      <c r="DI458" s="27" t="s">
        <v>8</v>
      </c>
      <c r="GN458" s="27" t="s">
        <v>7</v>
      </c>
      <c r="GO458" s="27" t="s">
        <v>8</v>
      </c>
      <c r="GP458" s="27" t="s">
        <v>7</v>
      </c>
      <c r="GQ458" s="27" t="s">
        <v>8</v>
      </c>
      <c r="GR458" s="27" t="s">
        <v>7</v>
      </c>
    </row>
    <row r="459" spans="1:200" x14ac:dyDescent="0.25">
      <c r="A459" s="7">
        <v>12.613104257041318</v>
      </c>
      <c r="B459"/>
      <c r="C459"/>
      <c r="D459"/>
      <c r="E459" t="s">
        <v>8</v>
      </c>
      <c r="F459" s="27" t="s">
        <v>7</v>
      </c>
      <c r="G459" s="27" t="s">
        <v>8</v>
      </c>
      <c r="J459" s="27" t="s">
        <v>7</v>
      </c>
      <c r="M459" s="27" t="s">
        <v>8</v>
      </c>
      <c r="AE459" s="27" t="s">
        <v>8</v>
      </c>
      <c r="AF459" s="27" t="s">
        <v>7</v>
      </c>
      <c r="AI459" s="27" t="s">
        <v>8</v>
      </c>
      <c r="AJ459" s="27" t="s">
        <v>7</v>
      </c>
      <c r="AU459" s="27" t="s">
        <v>8</v>
      </c>
      <c r="CL459" s="27" t="s">
        <v>7</v>
      </c>
      <c r="CM459" s="27" t="s">
        <v>8</v>
      </c>
      <c r="CX459" s="27" t="s">
        <v>7</v>
      </c>
      <c r="DF459" s="27" t="s">
        <v>7</v>
      </c>
      <c r="DG459" s="27" t="s">
        <v>8</v>
      </c>
      <c r="DH459" s="27" t="s">
        <v>7</v>
      </c>
      <c r="DI459" s="27" t="s">
        <v>8</v>
      </c>
      <c r="GN459" s="27" t="s">
        <v>7</v>
      </c>
      <c r="GO459" s="27" t="s">
        <v>8</v>
      </c>
      <c r="GP459" s="27" t="s">
        <v>7</v>
      </c>
      <c r="GQ459" s="27" t="s">
        <v>8</v>
      </c>
      <c r="GR459" s="27" t="s">
        <v>7</v>
      </c>
    </row>
    <row r="460" spans="1:200" x14ac:dyDescent="0.25">
      <c r="A460" s="7">
        <v>12.36578848729541</v>
      </c>
      <c r="B460"/>
      <c r="C460"/>
      <c r="D460"/>
      <c r="E460" t="s">
        <v>8</v>
      </c>
      <c r="F460" s="27" t="s">
        <v>7</v>
      </c>
      <c r="G460" s="27" t="s">
        <v>8</v>
      </c>
      <c r="J460" s="27" t="s">
        <v>7</v>
      </c>
      <c r="M460" s="27" t="s">
        <v>8</v>
      </c>
      <c r="N460" s="27" t="s">
        <v>7</v>
      </c>
      <c r="AE460" s="27" t="s">
        <v>8</v>
      </c>
      <c r="AF460" s="27" t="s">
        <v>7</v>
      </c>
      <c r="AI460" s="27" t="s">
        <v>8</v>
      </c>
      <c r="AJ460" s="27" t="s">
        <v>7</v>
      </c>
      <c r="AK460" s="27" t="s">
        <v>8</v>
      </c>
      <c r="AU460" s="27" t="s">
        <v>8</v>
      </c>
      <c r="CL460" s="27" t="s">
        <v>7</v>
      </c>
      <c r="DF460" s="27" t="s">
        <v>7</v>
      </c>
      <c r="DG460" s="27" t="s">
        <v>8</v>
      </c>
      <c r="DH460" s="27" t="s">
        <v>7</v>
      </c>
      <c r="DI460" s="27" t="s">
        <v>8</v>
      </c>
      <c r="GN460" s="27" t="s">
        <v>7</v>
      </c>
      <c r="GO460" s="27" t="s">
        <v>8</v>
      </c>
      <c r="GP460" s="27" t="s">
        <v>7</v>
      </c>
      <c r="GQ460" s="27" t="s">
        <v>8</v>
      </c>
      <c r="GR460" s="27" t="s">
        <v>7</v>
      </c>
    </row>
    <row r="461" spans="1:200" x14ac:dyDescent="0.25">
      <c r="A461" s="7">
        <v>12.123322046368049</v>
      </c>
      <c r="B461"/>
      <c r="C461"/>
      <c r="D461"/>
      <c r="E461" t="s">
        <v>8</v>
      </c>
      <c r="F461" s="27" t="s">
        <v>7</v>
      </c>
      <c r="J461" s="27" t="s">
        <v>7</v>
      </c>
      <c r="M461" s="27" t="s">
        <v>8</v>
      </c>
      <c r="N461" s="27" t="s">
        <v>7</v>
      </c>
      <c r="AE461" s="27" t="s">
        <v>8</v>
      </c>
      <c r="AF461" s="27" t="s">
        <v>7</v>
      </c>
      <c r="AI461" s="27" t="s">
        <v>8</v>
      </c>
      <c r="AJ461" s="27" t="s">
        <v>7</v>
      </c>
      <c r="AK461" s="27" t="s">
        <v>8</v>
      </c>
      <c r="AL461" s="27" t="s">
        <v>7</v>
      </c>
      <c r="AU461" s="27" t="s">
        <v>8</v>
      </c>
      <c r="DF461" s="27" t="s">
        <v>7</v>
      </c>
      <c r="DG461" s="27" t="s">
        <v>8</v>
      </c>
      <c r="DH461" s="27" t="s">
        <v>7</v>
      </c>
      <c r="DI461" s="27" t="s">
        <v>8</v>
      </c>
      <c r="GN461" s="27" t="s">
        <v>7</v>
      </c>
      <c r="GP461" s="27" t="s">
        <v>7</v>
      </c>
      <c r="GQ461" s="27" t="s">
        <v>8</v>
      </c>
    </row>
    <row r="462" spans="1:200" x14ac:dyDescent="0.25">
      <c r="A462" s="7">
        <v>11.88560984938044</v>
      </c>
      <c r="B462"/>
      <c r="C462"/>
      <c r="D462"/>
      <c r="E462" t="s">
        <v>8</v>
      </c>
      <c r="J462" s="27" t="s">
        <v>7</v>
      </c>
      <c r="M462" s="27" t="s">
        <v>8</v>
      </c>
      <c r="N462" s="27" t="s">
        <v>7</v>
      </c>
      <c r="Q462" s="27" t="s">
        <v>8</v>
      </c>
      <c r="AE462" s="27" t="s">
        <v>8</v>
      </c>
      <c r="AF462" s="27" t="s">
        <v>7</v>
      </c>
      <c r="AI462" s="27" t="s">
        <v>8</v>
      </c>
      <c r="AJ462" s="27" t="s">
        <v>7</v>
      </c>
      <c r="AK462" s="27" t="s">
        <v>8</v>
      </c>
      <c r="AL462" s="27" t="s">
        <v>7</v>
      </c>
      <c r="AU462" s="27" t="s">
        <v>8</v>
      </c>
      <c r="DF462" s="27" t="s">
        <v>7</v>
      </c>
      <c r="DG462" s="27" t="s">
        <v>8</v>
      </c>
      <c r="DH462" s="27" t="s">
        <v>7</v>
      </c>
      <c r="DI462" s="27" t="s">
        <v>8</v>
      </c>
      <c r="GP462" s="27" t="s">
        <v>7</v>
      </c>
    </row>
    <row r="463" spans="1:200" x14ac:dyDescent="0.25">
      <c r="A463" s="7">
        <v>11.652558675863176</v>
      </c>
      <c r="B463"/>
      <c r="C463"/>
      <c r="D463"/>
      <c r="E463" t="s">
        <v>8</v>
      </c>
      <c r="J463" s="27" t="s">
        <v>7</v>
      </c>
      <c r="M463" s="27" t="s">
        <v>8</v>
      </c>
      <c r="N463" s="27" t="s">
        <v>7</v>
      </c>
      <c r="Q463" s="27" t="s">
        <v>8</v>
      </c>
      <c r="R463" s="27" t="s">
        <v>7</v>
      </c>
      <c r="AE463" s="27" t="s">
        <v>8</v>
      </c>
      <c r="AF463" s="27" t="s">
        <v>7</v>
      </c>
      <c r="AG463" s="27" t="s">
        <v>8</v>
      </c>
      <c r="AI463" s="27" t="s">
        <v>8</v>
      </c>
      <c r="AJ463" s="27" t="s">
        <v>7</v>
      </c>
      <c r="AK463" s="27" t="s">
        <v>8</v>
      </c>
      <c r="AL463" s="27" t="s">
        <v>7</v>
      </c>
      <c r="AU463" s="27" t="s">
        <v>8</v>
      </c>
      <c r="DF463" s="27" t="s">
        <v>7</v>
      </c>
      <c r="DG463" s="27" t="s">
        <v>8</v>
      </c>
      <c r="DH463" s="27" t="s">
        <v>7</v>
      </c>
      <c r="DI463" s="27" t="s">
        <v>8</v>
      </c>
    </row>
    <row r="464" spans="1:200" x14ac:dyDescent="0.25">
      <c r="A464" s="7">
        <v>11.424077133199193</v>
      </c>
      <c r="B464"/>
      <c r="C464"/>
      <c r="D464"/>
      <c r="E464" t="s">
        <v>8</v>
      </c>
      <c r="J464" s="27" t="s">
        <v>7</v>
      </c>
      <c r="M464" s="27" t="s">
        <v>8</v>
      </c>
      <c r="N464" s="27" t="s">
        <v>7</v>
      </c>
      <c r="Q464" s="27" t="s">
        <v>8</v>
      </c>
      <c r="R464" s="27" t="s">
        <v>7</v>
      </c>
      <c r="AE464" s="27" t="s">
        <v>8</v>
      </c>
      <c r="AF464" s="27" t="s">
        <v>7</v>
      </c>
      <c r="AG464" s="27" t="s">
        <v>8</v>
      </c>
      <c r="AH464" s="27" t="s">
        <v>7</v>
      </c>
      <c r="AI464" s="27" t="s">
        <v>8</v>
      </c>
      <c r="AJ464" s="27" t="s">
        <v>7</v>
      </c>
      <c r="AK464" s="27" t="s">
        <v>8</v>
      </c>
      <c r="AL464" s="27" t="s">
        <v>7</v>
      </c>
      <c r="AU464" s="27" t="s">
        <v>8</v>
      </c>
      <c r="DF464" s="27" t="s">
        <v>7</v>
      </c>
      <c r="DG464" s="27" t="s">
        <v>8</v>
      </c>
      <c r="DH464" s="27" t="s">
        <v>7</v>
      </c>
      <c r="DI464" s="27" t="s">
        <v>8</v>
      </c>
    </row>
    <row r="465" spans="1:112" x14ac:dyDescent="0.25">
      <c r="A465" s="7">
        <v>11.200075620783522</v>
      </c>
      <c r="B465"/>
      <c r="C465"/>
      <c r="D465"/>
      <c r="E465" t="s">
        <v>8</v>
      </c>
      <c r="J465" s="27" t="s">
        <v>7</v>
      </c>
      <c r="M465" s="27" t="s">
        <v>8</v>
      </c>
      <c r="N465" s="27" t="s">
        <v>7</v>
      </c>
      <c r="Q465" s="27" t="s">
        <v>8</v>
      </c>
      <c r="R465" s="27" t="s">
        <v>7</v>
      </c>
      <c r="AA465" s="27" t="s">
        <v>8</v>
      </c>
      <c r="AC465" s="27" t="s">
        <v>8</v>
      </c>
      <c r="AE465" s="27" t="s">
        <v>8</v>
      </c>
      <c r="AF465" s="27" t="s">
        <v>7</v>
      </c>
      <c r="AG465" s="27" t="s">
        <v>8</v>
      </c>
      <c r="AH465" s="27" t="s">
        <v>7</v>
      </c>
      <c r="AI465" s="27" t="s">
        <v>8</v>
      </c>
      <c r="AJ465" s="27" t="s">
        <v>7</v>
      </c>
      <c r="AK465" s="27" t="s">
        <v>8</v>
      </c>
      <c r="AL465" s="27" t="s">
        <v>7</v>
      </c>
      <c r="AO465" s="27" t="s">
        <v>8</v>
      </c>
      <c r="AU465" s="27" t="s">
        <v>8</v>
      </c>
      <c r="DF465" s="27" t="s">
        <v>7</v>
      </c>
      <c r="DG465" s="27" t="s">
        <v>8</v>
      </c>
      <c r="DH465" s="27" t="s">
        <v>7</v>
      </c>
    </row>
    <row r="466" spans="1:112" x14ac:dyDescent="0.25">
      <c r="A466" s="7">
        <v>10.980466294885806</v>
      </c>
      <c r="B466"/>
      <c r="C466"/>
      <c r="D466"/>
      <c r="E466" t="s">
        <v>8</v>
      </c>
      <c r="J466" s="27" t="s">
        <v>7</v>
      </c>
      <c r="K466" s="27" t="s">
        <v>8</v>
      </c>
      <c r="M466" s="27" t="s">
        <v>8</v>
      </c>
      <c r="N466" s="27" t="s">
        <v>7</v>
      </c>
      <c r="Q466" s="27" t="s">
        <v>8</v>
      </c>
      <c r="R466" s="27" t="s">
        <v>7</v>
      </c>
      <c r="AA466" s="27" t="s">
        <v>8</v>
      </c>
      <c r="AB466" s="27" t="s">
        <v>7</v>
      </c>
      <c r="AC466" s="27" t="s">
        <v>8</v>
      </c>
      <c r="AD466" s="27" t="s">
        <v>7</v>
      </c>
      <c r="AE466" s="27" t="s">
        <v>8</v>
      </c>
      <c r="AF466" s="27" t="s">
        <v>7</v>
      </c>
      <c r="AG466" s="27" t="s">
        <v>8</v>
      </c>
      <c r="AH466" s="27" t="s">
        <v>7</v>
      </c>
      <c r="AI466" s="27" t="s">
        <v>8</v>
      </c>
      <c r="AJ466" s="27" t="s">
        <v>7</v>
      </c>
      <c r="AK466" s="27" t="s">
        <v>8</v>
      </c>
      <c r="AL466" s="27" t="s">
        <v>7</v>
      </c>
      <c r="AO466" s="27" t="s">
        <v>8</v>
      </c>
      <c r="AP466" s="27" t="s">
        <v>7</v>
      </c>
      <c r="AU466" s="27" t="s">
        <v>8</v>
      </c>
      <c r="DF466" s="27" t="s">
        <v>7</v>
      </c>
    </row>
    <row r="467" spans="1:112" x14ac:dyDescent="0.25">
      <c r="A467" s="7">
        <v>10.765163034201771</v>
      </c>
      <c r="B467"/>
      <c r="C467"/>
      <c r="D467"/>
      <c r="E467" t="s">
        <v>8</v>
      </c>
      <c r="J467" s="27" t="s">
        <v>7</v>
      </c>
      <c r="K467" s="27" t="s">
        <v>8</v>
      </c>
      <c r="L467" s="27" t="s">
        <v>7</v>
      </c>
      <c r="M467" s="27" t="s">
        <v>8</v>
      </c>
      <c r="N467" s="27" t="s">
        <v>7</v>
      </c>
      <c r="O467" s="27" t="s">
        <v>8</v>
      </c>
      <c r="Q467" s="27" t="s">
        <v>8</v>
      </c>
      <c r="R467" s="27" t="s">
        <v>7</v>
      </c>
      <c r="AA467" s="27" t="s">
        <v>8</v>
      </c>
      <c r="AB467" s="27" t="s">
        <v>7</v>
      </c>
      <c r="AC467" s="27" t="s">
        <v>8</v>
      </c>
      <c r="AD467" s="27" t="s">
        <v>7</v>
      </c>
      <c r="AE467" s="27" t="s">
        <v>8</v>
      </c>
      <c r="AF467" s="27" t="s">
        <v>7</v>
      </c>
      <c r="AG467" s="27" t="s">
        <v>8</v>
      </c>
      <c r="AH467" s="27" t="s">
        <v>7</v>
      </c>
      <c r="AI467" s="27" t="s">
        <v>8</v>
      </c>
      <c r="AJ467" s="27" t="s">
        <v>7</v>
      </c>
      <c r="AL467" s="27" t="s">
        <v>7</v>
      </c>
      <c r="AM467" s="27" t="s">
        <v>8</v>
      </c>
      <c r="AO467" s="27" t="s">
        <v>8</v>
      </c>
      <c r="AP467" s="27" t="s">
        <v>7</v>
      </c>
      <c r="AU467" s="27" t="s">
        <v>8</v>
      </c>
    </row>
    <row r="468" spans="1:112" x14ac:dyDescent="0.25">
      <c r="A468" s="7">
        <v>10.554081406080169</v>
      </c>
      <c r="B468"/>
      <c r="C468"/>
      <c r="D468"/>
      <c r="E468" t="s">
        <v>8</v>
      </c>
      <c r="J468" s="27" t="s">
        <v>7</v>
      </c>
      <c r="K468" s="27" t="s">
        <v>8</v>
      </c>
      <c r="L468" s="27" t="s">
        <v>7</v>
      </c>
      <c r="M468" s="27" t="s">
        <v>8</v>
      </c>
      <c r="N468" s="27" t="s">
        <v>7</v>
      </c>
      <c r="O468" s="27" t="s">
        <v>8</v>
      </c>
      <c r="P468" s="27" t="s">
        <v>7</v>
      </c>
      <c r="Q468" s="27" t="s">
        <v>8</v>
      </c>
      <c r="R468" s="27" t="s">
        <v>7</v>
      </c>
      <c r="AA468" s="27" t="s">
        <v>8</v>
      </c>
      <c r="AB468" s="27" t="s">
        <v>7</v>
      </c>
      <c r="AC468" s="27" t="s">
        <v>8</v>
      </c>
      <c r="AD468" s="27" t="s">
        <v>7</v>
      </c>
      <c r="AE468" s="27" t="s">
        <v>8</v>
      </c>
      <c r="AF468" s="27" t="s">
        <v>7</v>
      </c>
      <c r="AG468" s="27" t="s">
        <v>8</v>
      </c>
      <c r="AH468" s="27" t="s">
        <v>7</v>
      </c>
      <c r="AL468" s="27" t="s">
        <v>7</v>
      </c>
      <c r="AM468" s="27" t="s">
        <v>8</v>
      </c>
      <c r="AN468" s="27" t="s">
        <v>7</v>
      </c>
      <c r="AO468" s="27" t="s">
        <v>8</v>
      </c>
      <c r="AP468" s="27" t="s">
        <v>7</v>
      </c>
      <c r="AQ468" s="27" t="s">
        <v>8</v>
      </c>
      <c r="AS468" s="27" t="s">
        <v>8</v>
      </c>
      <c r="AU468" s="27" t="s">
        <v>8</v>
      </c>
    </row>
    <row r="469" spans="1:112" x14ac:dyDescent="0.25">
      <c r="A469" s="7">
        <v>10.34713863341193</v>
      </c>
      <c r="B469"/>
      <c r="C469"/>
      <c r="D469"/>
      <c r="E469" t="s">
        <v>8</v>
      </c>
      <c r="J469" s="27" t="s">
        <v>7</v>
      </c>
      <c r="K469" s="27" t="s">
        <v>8</v>
      </c>
      <c r="L469" s="27" t="s">
        <v>7</v>
      </c>
      <c r="M469" s="27" t="s">
        <v>8</v>
      </c>
      <c r="N469" s="27" t="s">
        <v>7</v>
      </c>
      <c r="O469" s="27" t="s">
        <v>8</v>
      </c>
      <c r="P469" s="27" t="s">
        <v>7</v>
      </c>
      <c r="Q469" s="27" t="s">
        <v>8</v>
      </c>
      <c r="R469" s="27" t="s">
        <v>7</v>
      </c>
      <c r="S469" s="27" t="s">
        <v>8</v>
      </c>
      <c r="AA469" s="27" t="s">
        <v>8</v>
      </c>
      <c r="AB469" s="27" t="s">
        <v>7</v>
      </c>
      <c r="AC469" s="27" t="s">
        <v>8</v>
      </c>
      <c r="AD469" s="27" t="s">
        <v>7</v>
      </c>
      <c r="AE469" s="27" t="s">
        <v>8</v>
      </c>
      <c r="AF469" s="27" t="s">
        <v>7</v>
      </c>
      <c r="AG469" s="27" t="s">
        <v>8</v>
      </c>
      <c r="AL469" s="27" t="s">
        <v>7</v>
      </c>
      <c r="AM469" s="27" t="s">
        <v>8</v>
      </c>
      <c r="AN469" s="27" t="s">
        <v>7</v>
      </c>
      <c r="AO469" s="27" t="s">
        <v>8</v>
      </c>
      <c r="AP469" s="27" t="s">
        <v>7</v>
      </c>
      <c r="AQ469" s="27" t="s">
        <v>8</v>
      </c>
      <c r="AR469" s="27" t="s">
        <v>7</v>
      </c>
      <c r="AS469" s="27" t="s">
        <v>8</v>
      </c>
      <c r="AT469" s="27" t="s">
        <v>7</v>
      </c>
      <c r="AU469" s="27" t="s">
        <v>8</v>
      </c>
    </row>
    <row r="470" spans="1:112" x14ac:dyDescent="0.25">
      <c r="A470" s="7">
        <v>10.14425356216856</v>
      </c>
      <c r="B470"/>
      <c r="C470"/>
      <c r="D470"/>
      <c r="E470" t="s">
        <v>8</v>
      </c>
      <c r="J470" s="27" t="s">
        <v>7</v>
      </c>
      <c r="K470" s="27" t="s">
        <v>8</v>
      </c>
      <c r="L470" s="27" t="s">
        <v>7</v>
      </c>
      <c r="M470" s="27" t="s">
        <v>8</v>
      </c>
      <c r="N470" s="27" t="s">
        <v>7</v>
      </c>
      <c r="O470" s="27" t="s">
        <v>8</v>
      </c>
      <c r="P470" s="27" t="s">
        <v>7</v>
      </c>
      <c r="Q470" s="27" t="s">
        <v>8</v>
      </c>
      <c r="R470" s="27" t="s">
        <v>7</v>
      </c>
      <c r="S470" s="27" t="s">
        <v>8</v>
      </c>
      <c r="T470" s="27" t="s">
        <v>7</v>
      </c>
      <c r="AA470" s="27" t="s">
        <v>8</v>
      </c>
      <c r="AB470" s="27" t="s">
        <v>7</v>
      </c>
      <c r="AC470" s="27" t="s">
        <v>8</v>
      </c>
      <c r="AD470" s="27" t="s">
        <v>7</v>
      </c>
      <c r="AE470" s="27" t="s">
        <v>8</v>
      </c>
      <c r="AF470" s="27" t="s">
        <v>7</v>
      </c>
      <c r="AG470" s="27" t="s">
        <v>8</v>
      </c>
      <c r="AL470" s="27" t="s">
        <v>7</v>
      </c>
      <c r="AM470" s="27" t="s">
        <v>8</v>
      </c>
      <c r="AN470" s="27" t="s">
        <v>7</v>
      </c>
      <c r="AO470" s="27" t="s">
        <v>8</v>
      </c>
      <c r="AP470" s="27" t="s">
        <v>7</v>
      </c>
      <c r="AQ470" s="27" t="s">
        <v>8</v>
      </c>
      <c r="AR470" s="27" t="s">
        <v>7</v>
      </c>
      <c r="AS470" s="27" t="s">
        <v>8</v>
      </c>
      <c r="AT470" s="27" t="s">
        <v>7</v>
      </c>
      <c r="AU470" s="27" t="s">
        <v>8</v>
      </c>
    </row>
    <row r="471" spans="1:112" x14ac:dyDescent="0.25">
      <c r="A471" s="7">
        <v>9.9453466295770188</v>
      </c>
      <c r="B471"/>
      <c r="C471"/>
      <c r="D471"/>
      <c r="E471" t="s">
        <v>8</v>
      </c>
      <c r="J471" s="27" t="s">
        <v>7</v>
      </c>
      <c r="K471" s="27" t="s">
        <v>8</v>
      </c>
      <c r="L471" s="27" t="s">
        <v>7</v>
      </c>
      <c r="M471" s="27" t="s">
        <v>8</v>
      </c>
      <c r="N471" s="27" t="s">
        <v>7</v>
      </c>
      <c r="O471" s="27" t="s">
        <v>8</v>
      </c>
      <c r="P471" s="27" t="s">
        <v>7</v>
      </c>
      <c r="Q471" s="27" t="s">
        <v>8</v>
      </c>
      <c r="R471" s="27" t="s">
        <v>7</v>
      </c>
      <c r="S471" s="27" t="s">
        <v>8</v>
      </c>
      <c r="T471" s="27" t="s">
        <v>7</v>
      </c>
      <c r="AA471" s="27" t="s">
        <v>8</v>
      </c>
      <c r="AB471" s="27" t="s">
        <v>7</v>
      </c>
      <c r="AC471" s="27" t="s">
        <v>8</v>
      </c>
      <c r="AD471" s="27" t="s">
        <v>7</v>
      </c>
      <c r="AE471" s="27" t="s">
        <v>8</v>
      </c>
      <c r="AF471" s="27" t="s">
        <v>7</v>
      </c>
      <c r="AG471" s="27" t="s">
        <v>8</v>
      </c>
      <c r="AL471" s="27" t="s">
        <v>7</v>
      </c>
      <c r="AM471" s="27" t="s">
        <v>8</v>
      </c>
      <c r="AN471" s="27" t="s">
        <v>7</v>
      </c>
      <c r="AO471" s="27" t="s">
        <v>8</v>
      </c>
      <c r="AP471" s="27" t="s">
        <v>7</v>
      </c>
      <c r="AQ471" s="27" t="s">
        <v>8</v>
      </c>
      <c r="AR471" s="27" t="s">
        <v>7</v>
      </c>
      <c r="AS471" s="27" t="s">
        <v>8</v>
      </c>
      <c r="AT471" s="27" t="s">
        <v>7</v>
      </c>
    </row>
    <row r="472" spans="1:112" x14ac:dyDescent="0.25">
      <c r="A472" s="7">
        <v>9.7503398329186464</v>
      </c>
      <c r="B472"/>
      <c r="C472"/>
      <c r="D472"/>
      <c r="E472" t="s">
        <v>8</v>
      </c>
      <c r="J472" s="27" t="s">
        <v>7</v>
      </c>
      <c r="L472" s="27" t="s">
        <v>7</v>
      </c>
      <c r="M472" s="27" t="s">
        <v>8</v>
      </c>
      <c r="N472" s="27" t="s">
        <v>7</v>
      </c>
      <c r="P472" s="27" t="s">
        <v>7</v>
      </c>
      <c r="Q472" s="27" t="s">
        <v>8</v>
      </c>
      <c r="R472" s="27" t="s">
        <v>7</v>
      </c>
      <c r="S472" s="27" t="s">
        <v>8</v>
      </c>
      <c r="T472" s="27" t="s">
        <v>7</v>
      </c>
      <c r="AA472" s="27" t="s">
        <v>8</v>
      </c>
      <c r="AB472" s="27" t="s">
        <v>7</v>
      </c>
      <c r="AC472" s="27" t="s">
        <v>8</v>
      </c>
      <c r="AD472" s="27" t="s">
        <v>7</v>
      </c>
      <c r="AF472" s="27" t="s">
        <v>7</v>
      </c>
      <c r="AG472" s="27" t="s">
        <v>8</v>
      </c>
      <c r="AL472" s="27" t="s">
        <v>7</v>
      </c>
      <c r="AM472" s="27" t="s">
        <v>8</v>
      </c>
      <c r="AN472" s="27" t="s">
        <v>7</v>
      </c>
      <c r="AO472" s="27" t="s">
        <v>8</v>
      </c>
      <c r="AP472" s="27" t="s">
        <v>7</v>
      </c>
      <c r="AQ472" s="27" t="s">
        <v>8</v>
      </c>
      <c r="AR472" s="27" t="s">
        <v>7</v>
      </c>
      <c r="AS472" s="27" t="s">
        <v>8</v>
      </c>
    </row>
    <row r="473" spans="1:112" x14ac:dyDescent="0.25">
      <c r="A473" s="7">
        <v>9.5591566989398498</v>
      </c>
      <c r="B473"/>
      <c r="C473"/>
      <c r="D473"/>
      <c r="E473" t="s">
        <v>8</v>
      </c>
      <c r="L473" s="27" t="s">
        <v>7</v>
      </c>
      <c r="M473" s="27" t="s">
        <v>8</v>
      </c>
      <c r="P473" s="27" t="s">
        <v>7</v>
      </c>
      <c r="Q473" s="27" t="s">
        <v>8</v>
      </c>
      <c r="R473" s="27" t="s">
        <v>7</v>
      </c>
      <c r="T473" s="27" t="s">
        <v>7</v>
      </c>
      <c r="U473" s="27" t="s">
        <v>8</v>
      </c>
      <c r="AA473" s="27" t="s">
        <v>8</v>
      </c>
      <c r="AB473" s="27" t="s">
        <v>7</v>
      </c>
      <c r="AC473" s="27" t="s">
        <v>8</v>
      </c>
      <c r="AF473" s="27" t="s">
        <v>7</v>
      </c>
      <c r="AL473" s="27" t="s">
        <v>7</v>
      </c>
      <c r="AM473" s="27" t="s">
        <v>8</v>
      </c>
      <c r="AN473" s="27" t="s">
        <v>7</v>
      </c>
      <c r="AO473" s="27" t="s">
        <v>8</v>
      </c>
      <c r="AP473" s="27" t="s">
        <v>7</v>
      </c>
      <c r="AQ473" s="27" t="s">
        <v>8</v>
      </c>
      <c r="AR473" s="27" t="s">
        <v>7</v>
      </c>
      <c r="AS473" s="27" t="s">
        <v>8</v>
      </c>
    </row>
    <row r="474" spans="1:112" x14ac:dyDescent="0.25">
      <c r="A474" s="7">
        <v>9.3717222538625968</v>
      </c>
      <c r="B474"/>
      <c r="C474"/>
      <c r="D474"/>
      <c r="E474" t="s">
        <v>8</v>
      </c>
      <c r="L474" s="27" t="s">
        <v>7</v>
      </c>
      <c r="M474" s="27" t="s">
        <v>8</v>
      </c>
      <c r="P474" s="27" t="s">
        <v>7</v>
      </c>
      <c r="Q474" s="27" t="s">
        <v>8</v>
      </c>
      <c r="T474" s="27" t="s">
        <v>7</v>
      </c>
      <c r="U474" s="27" t="s">
        <v>8</v>
      </c>
      <c r="V474" s="27" t="s">
        <v>7</v>
      </c>
      <c r="AA474" s="27" t="s">
        <v>8</v>
      </c>
      <c r="AB474" s="27" t="s">
        <v>7</v>
      </c>
      <c r="AC474" s="27" t="s">
        <v>8</v>
      </c>
      <c r="AL474" s="27" t="s">
        <v>7</v>
      </c>
      <c r="AM474" s="27" t="s">
        <v>8</v>
      </c>
      <c r="AN474" s="27" t="s">
        <v>7</v>
      </c>
      <c r="AO474" s="27" t="s">
        <v>8</v>
      </c>
      <c r="AP474" s="27" t="s">
        <v>7</v>
      </c>
      <c r="AQ474" s="27" t="s">
        <v>8</v>
      </c>
      <c r="AR474" s="27" t="s">
        <v>7</v>
      </c>
      <c r="AS474" s="27" t="s">
        <v>8</v>
      </c>
    </row>
    <row r="475" spans="1:112" x14ac:dyDescent="0.25">
      <c r="A475" s="7">
        <v>9.1879629939829375</v>
      </c>
      <c r="B475"/>
      <c r="C475"/>
      <c r="D475"/>
      <c r="E475" t="s">
        <v>8</v>
      </c>
      <c r="L475" s="27" t="s">
        <v>7</v>
      </c>
      <c r="M475" s="27" t="s">
        <v>8</v>
      </c>
      <c r="P475" s="27" t="s">
        <v>7</v>
      </c>
      <c r="Q475" s="27" t="s">
        <v>8</v>
      </c>
      <c r="T475" s="27" t="s">
        <v>7</v>
      </c>
      <c r="U475" s="27" t="s">
        <v>8</v>
      </c>
      <c r="V475" s="27" t="s">
        <v>7</v>
      </c>
      <c r="AA475" s="27" t="s">
        <v>8</v>
      </c>
      <c r="AB475" s="27" t="s">
        <v>7</v>
      </c>
      <c r="AC475" s="27" t="s">
        <v>8</v>
      </c>
      <c r="AL475" s="27" t="s">
        <v>7</v>
      </c>
      <c r="AM475" s="27" t="s">
        <v>8</v>
      </c>
      <c r="AN475" s="27" t="s">
        <v>7</v>
      </c>
      <c r="AO475" s="27" t="s">
        <v>8</v>
      </c>
      <c r="AP475" s="27" t="s">
        <v>7</v>
      </c>
      <c r="AR475" s="27" t="s">
        <v>7</v>
      </c>
      <c r="AS475" s="27" t="s">
        <v>8</v>
      </c>
    </row>
    <row r="476" spans="1:112" x14ac:dyDescent="0.25">
      <c r="A476" s="7">
        <v>9.0078068568460168</v>
      </c>
      <c r="B476"/>
      <c r="C476"/>
      <c r="D476"/>
      <c r="E476" t="s">
        <v>8</v>
      </c>
      <c r="L476" s="27" t="s">
        <v>7</v>
      </c>
      <c r="M476" s="27" t="s">
        <v>8</v>
      </c>
      <c r="P476" s="27" t="s">
        <v>7</v>
      </c>
      <c r="Q476" s="27" t="s">
        <v>8</v>
      </c>
      <c r="T476" s="27" t="s">
        <v>7</v>
      </c>
      <c r="U476" s="27" t="s">
        <v>8</v>
      </c>
      <c r="V476" s="27" t="s">
        <v>7</v>
      </c>
      <c r="AA476" s="27" t="s">
        <v>8</v>
      </c>
      <c r="AB476" s="27" t="s">
        <v>7</v>
      </c>
      <c r="AC476" s="27" t="s">
        <v>8</v>
      </c>
      <c r="AL476" s="27" t="s">
        <v>7</v>
      </c>
      <c r="AM476" s="27" t="s">
        <v>8</v>
      </c>
      <c r="AN476" s="27" t="s">
        <v>7</v>
      </c>
      <c r="AR476" s="27" t="s">
        <v>7</v>
      </c>
      <c r="AS476" s="27" t="s">
        <v>8</v>
      </c>
    </row>
    <row r="477" spans="1:112" x14ac:dyDescent="0.25">
      <c r="A477" s="7">
        <v>8.8311831929862912</v>
      </c>
      <c r="B477"/>
      <c r="C477"/>
      <c r="D477"/>
      <c r="E477" t="s">
        <v>8</v>
      </c>
      <c r="L477" s="27" t="s">
        <v>7</v>
      </c>
      <c r="M477" s="27" t="s">
        <v>8</v>
      </c>
      <c r="P477" s="27" t="s">
        <v>7</v>
      </c>
      <c r="Q477" s="27" t="s">
        <v>8</v>
      </c>
      <c r="T477" s="27" t="s">
        <v>7</v>
      </c>
      <c r="U477" s="27" t="s">
        <v>8</v>
      </c>
      <c r="V477" s="27" t="s">
        <v>7</v>
      </c>
      <c r="AA477" s="27" t="s">
        <v>8</v>
      </c>
      <c r="AB477" s="27" t="s">
        <v>7</v>
      </c>
      <c r="AC477" s="27" t="s">
        <v>8</v>
      </c>
      <c r="AL477" s="27" t="s">
        <v>7</v>
      </c>
      <c r="AM477" s="27" t="s">
        <v>8</v>
      </c>
      <c r="AR477" s="27" t="s">
        <v>7</v>
      </c>
      <c r="AS477" s="27" t="s">
        <v>8</v>
      </c>
    </row>
    <row r="478" spans="1:112" x14ac:dyDescent="0.25">
      <c r="A478" s="7">
        <v>8.6580227382218542</v>
      </c>
      <c r="B478"/>
      <c r="C478"/>
      <c r="D478"/>
      <c r="E478" t="s">
        <v>8</v>
      </c>
      <c r="L478" s="27" t="s">
        <v>7</v>
      </c>
      <c r="P478" s="27" t="s">
        <v>7</v>
      </c>
      <c r="Q478" s="27" t="s">
        <v>8</v>
      </c>
      <c r="T478" s="27" t="s">
        <v>7</v>
      </c>
      <c r="U478" s="27" t="s">
        <v>8</v>
      </c>
      <c r="V478" s="27" t="s">
        <v>7</v>
      </c>
      <c r="AA478" s="27" t="s">
        <v>8</v>
      </c>
      <c r="AB478" s="27" t="s">
        <v>7</v>
      </c>
      <c r="AC478" s="27" t="s">
        <v>8</v>
      </c>
      <c r="AL478" s="27" t="s">
        <v>7</v>
      </c>
      <c r="AM478" s="27" t="s">
        <v>8</v>
      </c>
      <c r="AR478" s="27" t="s">
        <v>7</v>
      </c>
    </row>
    <row r="479" spans="1:112" x14ac:dyDescent="0.25">
      <c r="A479" s="7">
        <v>8.4882575864920131</v>
      </c>
      <c r="B479"/>
      <c r="C479"/>
      <c r="D479"/>
      <c r="E479" t="s">
        <v>8</v>
      </c>
      <c r="P479" s="27" t="s">
        <v>7</v>
      </c>
      <c r="Q479" s="27" t="s">
        <v>8</v>
      </c>
      <c r="T479" s="27" t="s">
        <v>7</v>
      </c>
      <c r="U479" s="27" t="s">
        <v>8</v>
      </c>
      <c r="V479" s="27" t="s">
        <v>7</v>
      </c>
      <c r="W479" s="27" t="s">
        <v>8</v>
      </c>
      <c r="Y479" s="27" t="s">
        <v>8</v>
      </c>
      <c r="AA479" s="27" t="s">
        <v>8</v>
      </c>
      <c r="AB479" s="27" t="s">
        <v>7</v>
      </c>
      <c r="AC479" s="27" t="s">
        <v>8</v>
      </c>
      <c r="AL479" s="27" t="s">
        <v>7</v>
      </c>
      <c r="AM479" s="27" t="s">
        <v>8</v>
      </c>
    </row>
    <row r="480" spans="1:112" x14ac:dyDescent="0.25">
      <c r="A480" s="7">
        <v>8.3218211632274635</v>
      </c>
      <c r="B480"/>
      <c r="C480"/>
      <c r="D480"/>
      <c r="E480" t="s">
        <v>8</v>
      </c>
      <c r="P480" s="27" t="s">
        <v>7</v>
      </c>
      <c r="Q480" s="27" t="s">
        <v>8</v>
      </c>
      <c r="T480" s="27" t="s">
        <v>7</v>
      </c>
      <c r="U480" s="27" t="s">
        <v>8</v>
      </c>
      <c r="V480" s="27" t="s">
        <v>7</v>
      </c>
      <c r="W480" s="27" t="s">
        <v>8</v>
      </c>
      <c r="X480" s="27" t="s">
        <v>7</v>
      </c>
      <c r="Y480" s="27" t="s">
        <v>8</v>
      </c>
      <c r="Z480" s="27" t="s">
        <v>7</v>
      </c>
      <c r="AA480" s="27" t="s">
        <v>8</v>
      </c>
      <c r="AB480" s="27" t="s">
        <v>7</v>
      </c>
      <c r="AL480" s="27" t="s">
        <v>7</v>
      </c>
    </row>
    <row r="481" spans="1:27" x14ac:dyDescent="0.25">
      <c r="A481" s="7">
        <v>8.1586481992426112</v>
      </c>
      <c r="B481"/>
      <c r="C481"/>
      <c r="D481"/>
      <c r="E481" t="s">
        <v>8</v>
      </c>
      <c r="P481" s="27" t="s">
        <v>7</v>
      </c>
      <c r="T481" s="27" t="s">
        <v>7</v>
      </c>
      <c r="V481" s="27" t="s">
        <v>7</v>
      </c>
      <c r="W481" s="27" t="s">
        <v>8</v>
      </c>
      <c r="X481" s="27" t="s">
        <v>7</v>
      </c>
      <c r="Y481" s="27" t="s">
        <v>8</v>
      </c>
      <c r="Z481" s="27" t="s">
        <v>7</v>
      </c>
      <c r="AA481" s="27" t="s">
        <v>8</v>
      </c>
    </row>
    <row r="482" spans="1:27" x14ac:dyDescent="0.25">
      <c r="A482" s="7">
        <v>7.9986747051398144</v>
      </c>
      <c r="B482"/>
      <c r="C482"/>
      <c r="D482"/>
      <c r="E482" t="s">
        <v>8</v>
      </c>
      <c r="V482" s="27" t="s">
        <v>7</v>
      </c>
      <c r="X482" s="27" t="s">
        <v>7</v>
      </c>
      <c r="Y482" s="27" t="s">
        <v>8</v>
      </c>
      <c r="Z482" s="27" t="s">
        <v>7</v>
      </c>
      <c r="AA482" s="27" t="s">
        <v>8</v>
      </c>
    </row>
    <row r="483" spans="1:27" x14ac:dyDescent="0.25">
      <c r="A483" s="7">
        <v>7.8418379462155041</v>
      </c>
      <c r="B483"/>
      <c r="C483"/>
      <c r="D483"/>
      <c r="E483" t="s">
        <v>8</v>
      </c>
      <c r="X483" s="27" t="s">
        <v>7</v>
      </c>
      <c r="Y483" s="27" t="s">
        <v>8</v>
      </c>
      <c r="Z483" s="27" t="s">
        <v>7</v>
      </c>
    </row>
    <row r="484" spans="1:27" x14ac:dyDescent="0.25">
      <c r="A484" s="7">
        <v>7.688076417858337</v>
      </c>
      <c r="B484"/>
      <c r="C484"/>
      <c r="D484"/>
      <c r="E484" t="s">
        <v>8</v>
      </c>
      <c r="X484" s="27" t="s">
        <v>7</v>
      </c>
    </row>
    <row r="485" spans="1:27" x14ac:dyDescent="0.25">
      <c r="A485" s="7">
        <v>7.5373298214297417</v>
      </c>
      <c r="B485"/>
      <c r="C485"/>
      <c r="D485"/>
      <c r="E485" t="s">
        <v>8</v>
      </c>
    </row>
    <row r="486" spans="1:27" x14ac:dyDescent="0.25">
      <c r="A486" s="7">
        <v>7.389539040617394</v>
      </c>
      <c r="B486"/>
      <c r="C486"/>
      <c r="D486"/>
      <c r="E486" t="s">
        <v>8</v>
      </c>
    </row>
    <row r="487" spans="1:27" x14ac:dyDescent="0.25">
      <c r="A487" s="7">
        <v>7.2446461182523469</v>
      </c>
      <c r="B487"/>
      <c r="C487"/>
      <c r="D487"/>
      <c r="E487" t="s">
        <v>8</v>
      </c>
    </row>
    <row r="488" spans="1:27" x14ac:dyDescent="0.25">
      <c r="A488" s="7">
        <v>7.1025942335807324</v>
      </c>
      <c r="B488"/>
      <c r="C488"/>
      <c r="D488"/>
      <c r="E488" t="s">
        <v>8</v>
      </c>
    </row>
    <row r="489" spans="1:27" x14ac:dyDescent="0.25">
      <c r="A489" s="7">
        <v>6.9633276799811101</v>
      </c>
      <c r="B489"/>
      <c r="C489"/>
      <c r="D489"/>
      <c r="E489" t="s">
        <v>8</v>
      </c>
    </row>
    <row r="490" spans="1:27" x14ac:dyDescent="0.25">
      <c r="A490" s="7">
        <v>6.8267918431187349</v>
      </c>
      <c r="B490"/>
      <c r="C490"/>
      <c r="D490"/>
      <c r="E490" t="s">
        <v>8</v>
      </c>
    </row>
    <row r="491" spans="1:27" x14ac:dyDescent="0.25">
      <c r="A491" s="7">
        <v>6.692933179528171</v>
      </c>
      <c r="B491"/>
      <c r="C491"/>
      <c r="D491"/>
      <c r="E491" t="s">
        <v>8</v>
      </c>
    </row>
    <row r="492" spans="1:27" x14ac:dyDescent="0.25">
      <c r="A492" s="7">
        <v>6.5616991956158541</v>
      </c>
      <c r="B492"/>
      <c r="C492"/>
      <c r="D492"/>
      <c r="E492" t="s">
        <v>8</v>
      </c>
    </row>
    <row r="493" spans="1:27" x14ac:dyDescent="0.25">
      <c r="A493" s="7">
        <v>6.4330384270743668</v>
      </c>
      <c r="B493"/>
      <c r="C493"/>
      <c r="D493"/>
      <c r="E493" t="s">
        <v>8</v>
      </c>
    </row>
    <row r="494" spans="1:27" x14ac:dyDescent="0.25">
      <c r="A494" s="7">
        <v>6.3069004187003594</v>
      </c>
      <c r="B494"/>
      <c r="C494"/>
      <c r="D494"/>
      <c r="E494" t="s">
        <v>8</v>
      </c>
    </row>
    <row r="495" spans="1:27" x14ac:dyDescent="0.25">
      <c r="A495" s="7">
        <v>6.1832357046081956</v>
      </c>
      <c r="B495"/>
      <c r="C495"/>
      <c r="D495"/>
      <c r="E495" t="s">
        <v>8</v>
      </c>
    </row>
    <row r="496" spans="1:27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08" operator="equal">
      <formula>$U$1</formula>
    </cfRule>
    <cfRule type="cellIs" dxfId="89" priority="809" operator="equal">
      <formula>$S$1</formula>
    </cfRule>
  </conditionalFormatting>
  <conditionalFormatting sqref="D27">
    <cfRule type="cellIs" dxfId="88" priority="806" operator="equal">
      <formula>$S$1</formula>
    </cfRule>
    <cfRule type="cellIs" dxfId="87" priority="807" operator="equal">
      <formula>$U$1</formula>
    </cfRule>
  </conditionalFormatting>
  <conditionalFormatting sqref="C164">
    <cfRule type="cellIs" dxfId="86" priority="804" operator="equal">
      <formula>$U$1</formula>
    </cfRule>
    <cfRule type="cellIs" dxfId="85" priority="805" operator="equal">
      <formula>$S$1</formula>
    </cfRule>
  </conditionalFormatting>
  <conditionalFormatting sqref="D164">
    <cfRule type="cellIs" dxfId="84" priority="802" operator="equal">
      <formula>$S$1</formula>
    </cfRule>
    <cfRule type="cellIs" dxfId="83" priority="803" operator="equal">
      <formula>$U$1</formula>
    </cfRule>
  </conditionalFormatting>
  <conditionalFormatting sqref="C55">
    <cfRule type="cellIs" dxfId="82" priority="800" operator="equal">
      <formula>$U$1</formula>
    </cfRule>
    <cfRule type="cellIs" dxfId="81" priority="801" operator="equal">
      <formula>$S$1</formula>
    </cfRule>
  </conditionalFormatting>
  <conditionalFormatting sqref="D55">
    <cfRule type="cellIs" dxfId="80" priority="798" operator="equal">
      <formula>$S$1</formula>
    </cfRule>
    <cfRule type="cellIs" dxfId="79" priority="799" operator="equal">
      <formula>$U$1</formula>
    </cfRule>
  </conditionalFormatting>
  <conditionalFormatting sqref="C89">
    <cfRule type="cellIs" dxfId="78" priority="796" operator="equal">
      <formula>$U$1</formula>
    </cfRule>
    <cfRule type="cellIs" dxfId="77" priority="797" operator="equal">
      <formula>$S$1</formula>
    </cfRule>
  </conditionalFormatting>
  <conditionalFormatting sqref="D89">
    <cfRule type="cellIs" dxfId="76" priority="794" operator="equal">
      <formula>$S$1</formula>
    </cfRule>
    <cfRule type="cellIs" dxfId="75" priority="795" operator="equal">
      <formula>$U$1</formula>
    </cfRule>
  </conditionalFormatting>
  <conditionalFormatting sqref="C136">
    <cfRule type="cellIs" dxfId="74" priority="792" operator="equal">
      <formula>$U$1</formula>
    </cfRule>
    <cfRule type="cellIs" dxfId="73" priority="793" operator="equal">
      <formula>$S$1</formula>
    </cfRule>
  </conditionalFormatting>
  <conditionalFormatting sqref="D136">
    <cfRule type="cellIs" dxfId="72" priority="790" operator="equal">
      <formula>$S$1</formula>
    </cfRule>
    <cfRule type="cellIs" dxfId="71" priority="791" operator="equal">
      <formula>$U$1</formula>
    </cfRule>
  </conditionalFormatting>
  <conditionalFormatting sqref="C1">
    <cfRule type="cellIs" dxfId="70" priority="789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CR189" sqref="CR18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$A$188</v>
      </c>
      <c r="D111" s="1" t="str">
        <f>ADDRESS(C121-1,D121,1,1)</f>
        <v>$CR$188</v>
      </c>
      <c r="E111"/>
    </row>
    <row r="112" spans="1:5" x14ac:dyDescent="0.25">
      <c r="A112" s="30">
        <v>515.50191262726139</v>
      </c>
      <c r="C112" s="1" t="str">
        <f>ADDRESS(C121,1,1,1)</f>
        <v>$A$189</v>
      </c>
      <c r="D112" s="1" t="str">
        <f>ADDRESS(C121,D121-1,1,1)</f>
        <v>$CQ$189</v>
      </c>
      <c r="E112"/>
    </row>
    <row r="113" spans="1:5" x14ac:dyDescent="0.25">
      <c r="A113" s="30">
        <v>490.95420250215363</v>
      </c>
      <c r="C113" s="1" t="str">
        <f>ADDRESS(C121+1,1,1,1)</f>
        <v>$A$190</v>
      </c>
      <c r="D113" s="1" t="str">
        <f>ADDRESS(C121-1,D121+1,1,1)</f>
        <v>$CS$188</v>
      </c>
    </row>
    <row r="114" spans="1:5" x14ac:dyDescent="0.25">
      <c r="A114" s="30">
        <v>467.57543095443202</v>
      </c>
      <c r="C114" s="1" t="str">
        <f>ADDRESS(C121,D121,1,1)</f>
        <v>$CR$189</v>
      </c>
      <c r="D114" s="1" t="str">
        <f>ADDRESS(C121+1,D121+1,1,1)</f>
        <v>$CS$190</v>
      </c>
    </row>
    <row r="115" spans="1:5" x14ac:dyDescent="0.25">
      <c r="A115" s="30">
        <v>445.30993424231622</v>
      </c>
      <c r="C115" s="1" t="str">
        <f>ADDRESS(C121+1,D121,1,1)</f>
        <v>$CR$190</v>
      </c>
    </row>
    <row r="116" spans="1:5" x14ac:dyDescent="0.25">
      <c r="A116" s="30">
        <v>424.10469927839637</v>
      </c>
      <c r="C116" s="1">
        <f>C117-1</f>
        <v>188</v>
      </c>
    </row>
    <row r="117" spans="1:5" x14ac:dyDescent="0.25">
      <c r="A117" s="30">
        <v>403.9092374079965</v>
      </c>
      <c r="C117" s="1">
        <f>C121</f>
        <v>189</v>
      </c>
      <c r="D117" s="1">
        <f>D121</f>
        <v>96</v>
      </c>
    </row>
    <row r="118" spans="1:5" x14ac:dyDescent="0.25">
      <c r="A118" s="30">
        <v>384.6754641980919</v>
      </c>
      <c r="C118" s="1">
        <f>C117+1</f>
        <v>190</v>
      </c>
      <c r="D118" s="1">
        <f>D117+1</f>
        <v>97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189</v>
      </c>
      <c r="D121" s="19">
        <v>96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R189</v>
      </c>
      <c r="D123" s="1" t="str">
        <f>"C"&amp;D121</f>
        <v>C96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12.04076977504139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76" x14ac:dyDescent="0.25">
      <c r="A145" s="30">
        <v>103.03467644609493</v>
      </c>
      <c r="E145"/>
    </row>
    <row r="146" spans="1:76" x14ac:dyDescent="0.25">
      <c r="A146" s="30">
        <v>98.128263281995174</v>
      </c>
      <c r="E146"/>
    </row>
    <row r="147" spans="1:76" x14ac:dyDescent="0.25">
      <c r="A147" s="30">
        <v>93.455488839995397</v>
      </c>
      <c r="E147"/>
    </row>
    <row r="148" spans="1:76" x14ac:dyDescent="0.25">
      <c r="A148" s="30">
        <v>89.005227466662276</v>
      </c>
      <c r="E148"/>
    </row>
    <row r="149" spans="1:76" x14ac:dyDescent="0.25">
      <c r="A149" s="30">
        <v>84.766883301583121</v>
      </c>
      <c r="E149"/>
    </row>
    <row r="150" spans="1:76" x14ac:dyDescent="0.25">
      <c r="A150" s="30">
        <v>80.730365049126775</v>
      </c>
      <c r="E150"/>
    </row>
    <row r="151" spans="1:76" x14ac:dyDescent="0.25">
      <c r="A151" s="30">
        <v>76.886061951549308</v>
      </c>
      <c r="E151"/>
    </row>
    <row r="152" spans="1:76" x14ac:dyDescent="0.25">
      <c r="A152" s="30">
        <v>73.22482090623744</v>
      </c>
      <c r="E152"/>
    </row>
    <row r="153" spans="1:76" x14ac:dyDescent="0.25">
      <c r="A153" s="30">
        <v>69.737924672607079</v>
      </c>
      <c r="C153" s="7"/>
      <c r="D153"/>
      <c r="E153"/>
    </row>
    <row r="154" spans="1:76" x14ac:dyDescent="0.25">
      <c r="A154" s="30">
        <v>66.417071116768639</v>
      </c>
      <c r="E154"/>
    </row>
    <row r="155" spans="1:76" x14ac:dyDescent="0.25">
      <c r="A155" s="30">
        <v>63.254353444541557</v>
      </c>
      <c r="E155"/>
    </row>
    <row r="156" spans="1:76" x14ac:dyDescent="0.25">
      <c r="A156" s="30">
        <v>60.242241375753864</v>
      </c>
      <c r="C156"/>
      <c r="D156"/>
      <c r="E156"/>
      <c r="BW156" s="27" t="s">
        <v>8</v>
      </c>
    </row>
    <row r="157" spans="1:76" x14ac:dyDescent="0.25">
      <c r="A157" s="30">
        <v>57.373563215003678</v>
      </c>
      <c r="E157"/>
      <c r="AW157" s="27" t="s">
        <v>8</v>
      </c>
      <c r="BW157" s="27" t="s">
        <v>8</v>
      </c>
      <c r="BX157" s="27" t="s">
        <v>7</v>
      </c>
    </row>
    <row r="158" spans="1:76" x14ac:dyDescent="0.25">
      <c r="A158" s="30">
        <v>54.641488776193974</v>
      </c>
      <c r="E158"/>
      <c r="AW158" s="27" t="s">
        <v>8</v>
      </c>
      <c r="AX158" s="27" t="s">
        <v>7</v>
      </c>
      <c r="BW158" s="27" t="s">
        <v>8</v>
      </c>
      <c r="BX158" s="27" t="s">
        <v>7</v>
      </c>
    </row>
    <row r="159" spans="1:76" x14ac:dyDescent="0.25">
      <c r="A159" s="30">
        <v>52.039513120184736</v>
      </c>
      <c r="E159"/>
      <c r="AW159" s="27" t="s">
        <v>8</v>
      </c>
      <c r="AX159" s="27" t="s">
        <v>7</v>
      </c>
      <c r="BW159" s="27" t="s">
        <v>8</v>
      </c>
      <c r="BX159" s="27" t="s">
        <v>7</v>
      </c>
    </row>
    <row r="160" spans="1:76" x14ac:dyDescent="0.25">
      <c r="A160" s="30">
        <v>49.561441066842605</v>
      </c>
      <c r="C160"/>
      <c r="E160"/>
      <c r="AW160" s="27" t="s">
        <v>8</v>
      </c>
      <c r="AX160" s="27" t="s">
        <v>7</v>
      </c>
      <c r="BW160" s="27" t="s">
        <v>8</v>
      </c>
      <c r="BX160" s="27" t="s">
        <v>7</v>
      </c>
    </row>
    <row r="161" spans="1:90" x14ac:dyDescent="0.25">
      <c r="A161" s="30">
        <v>47.201372444612005</v>
      </c>
      <c r="E161"/>
      <c r="AQ161" s="27" t="s">
        <v>8</v>
      </c>
      <c r="AW161" s="27" t="s">
        <v>8</v>
      </c>
      <c r="AX161" s="27" t="s">
        <v>7</v>
      </c>
      <c r="AY161" s="27" t="s">
        <v>8</v>
      </c>
      <c r="BW161" s="27" t="s">
        <v>8</v>
      </c>
      <c r="BX161" s="27" t="s">
        <v>7</v>
      </c>
    </row>
    <row r="162" spans="1:90" x14ac:dyDescent="0.25">
      <c r="A162" s="30">
        <v>44.95368804248762</v>
      </c>
      <c r="E162"/>
      <c r="AQ162" s="27" t="s">
        <v>8</v>
      </c>
      <c r="AR162" s="27" t="s">
        <v>7</v>
      </c>
      <c r="AW162" s="27" t="s">
        <v>8</v>
      </c>
      <c r="AX162" s="27" t="s">
        <v>7</v>
      </c>
      <c r="AY162" s="27" t="s">
        <v>8</v>
      </c>
      <c r="AZ162" s="27" t="s">
        <v>7</v>
      </c>
      <c r="BW162" s="27" t="s">
        <v>8</v>
      </c>
      <c r="BX162" s="27" t="s">
        <v>7</v>
      </c>
      <c r="BY162" s="27" t="s">
        <v>8</v>
      </c>
    </row>
    <row r="163" spans="1:90" x14ac:dyDescent="0.25">
      <c r="A163" s="30">
        <v>42.81303623094059</v>
      </c>
      <c r="E163"/>
      <c r="AQ163" s="27" t="s">
        <v>8</v>
      </c>
      <c r="AR163" s="27" t="s">
        <v>7</v>
      </c>
      <c r="AU163" s="27" t="s">
        <v>8</v>
      </c>
      <c r="AW163" s="27" t="s">
        <v>8</v>
      </c>
      <c r="AX163" s="27" t="s">
        <v>7</v>
      </c>
      <c r="AY163" s="27" t="s">
        <v>8</v>
      </c>
      <c r="AZ163" s="27" t="s">
        <v>7</v>
      </c>
      <c r="BE163" s="27" t="s">
        <v>8</v>
      </c>
      <c r="BW163" s="27" t="s">
        <v>8</v>
      </c>
      <c r="BX163" s="27" t="s">
        <v>7</v>
      </c>
      <c r="BY163" s="27" t="s">
        <v>8</v>
      </c>
      <c r="BZ163" s="27" t="s">
        <v>7</v>
      </c>
    </row>
    <row r="164" spans="1:90" x14ac:dyDescent="0.25">
      <c r="A164" s="30">
        <v>40.774320219943419</v>
      </c>
      <c r="E164"/>
      <c r="AQ164" s="27" t="s">
        <v>8</v>
      </c>
      <c r="AR164" s="27" t="s">
        <v>7</v>
      </c>
      <c r="AU164" s="27" t="s">
        <v>8</v>
      </c>
      <c r="AV164" s="27" t="s">
        <v>7</v>
      </c>
      <c r="AW164" s="27" t="s">
        <v>8</v>
      </c>
      <c r="AX164" s="27" t="s">
        <v>7</v>
      </c>
      <c r="AZ164" s="27" t="s">
        <v>7</v>
      </c>
      <c r="BC164" s="27" t="s">
        <v>8</v>
      </c>
      <c r="BE164" s="27" t="s">
        <v>8</v>
      </c>
      <c r="BF164" s="27" t="s">
        <v>7</v>
      </c>
      <c r="BW164" s="27" t="s">
        <v>8</v>
      </c>
      <c r="BX164" s="27" t="s">
        <v>7</v>
      </c>
      <c r="BY164" s="27" t="s">
        <v>8</v>
      </c>
      <c r="BZ164" s="27" t="s">
        <v>7</v>
      </c>
    </row>
    <row r="165" spans="1:90" x14ac:dyDescent="0.25">
      <c r="A165" s="30">
        <v>38.832685923755633</v>
      </c>
      <c r="E165"/>
      <c r="AO165" s="27" t="s">
        <v>8</v>
      </c>
      <c r="AQ165" s="27" t="s">
        <v>8</v>
      </c>
      <c r="AR165" s="27" t="s">
        <v>7</v>
      </c>
      <c r="AS165" s="27" t="s">
        <v>8</v>
      </c>
      <c r="AU165" s="27" t="s">
        <v>8</v>
      </c>
      <c r="AV165" s="27" t="s">
        <v>7</v>
      </c>
      <c r="AW165" s="27" t="s">
        <v>8</v>
      </c>
      <c r="AZ165" s="27" t="s">
        <v>7</v>
      </c>
      <c r="BC165" s="27" t="s">
        <v>8</v>
      </c>
      <c r="BD165" s="27" t="s">
        <v>7</v>
      </c>
      <c r="BE165" s="27" t="s">
        <v>8</v>
      </c>
      <c r="BF165" s="27" t="s">
        <v>7</v>
      </c>
      <c r="BG165" s="27" t="s">
        <v>8</v>
      </c>
      <c r="BU165" s="27" t="s">
        <v>8</v>
      </c>
      <c r="BW165" s="27" t="s">
        <v>8</v>
      </c>
      <c r="BX165" s="27" t="s">
        <v>7</v>
      </c>
      <c r="BZ165" s="27" t="s">
        <v>7</v>
      </c>
      <c r="CA165" s="27" t="s">
        <v>8</v>
      </c>
      <c r="CC165" s="27" t="s">
        <v>8</v>
      </c>
    </row>
    <row r="166" spans="1:90" x14ac:dyDescent="0.25">
      <c r="A166" s="30">
        <v>36.983510403576794</v>
      </c>
      <c r="E166"/>
      <c r="AO166" s="27" t="s">
        <v>8</v>
      </c>
      <c r="AP166" s="27" t="s">
        <v>7</v>
      </c>
      <c r="AQ166" s="27" t="s">
        <v>8</v>
      </c>
      <c r="AR166" s="27" t="s">
        <v>7</v>
      </c>
      <c r="AS166" s="27" t="s">
        <v>8</v>
      </c>
      <c r="AT166" s="27" t="s">
        <v>7</v>
      </c>
      <c r="AU166" s="27" t="s">
        <v>8</v>
      </c>
      <c r="AV166" s="27" t="s">
        <v>7</v>
      </c>
      <c r="AW166" s="27" t="s">
        <v>8</v>
      </c>
      <c r="AZ166" s="27" t="s">
        <v>7</v>
      </c>
      <c r="BC166" s="27" t="s">
        <v>8</v>
      </c>
      <c r="BD166" s="27" t="s">
        <v>7</v>
      </c>
      <c r="BE166" s="27" t="s">
        <v>8</v>
      </c>
      <c r="BF166" s="27" t="s">
        <v>7</v>
      </c>
      <c r="BG166" s="27" t="s">
        <v>8</v>
      </c>
      <c r="BH166" s="27" t="s">
        <v>7</v>
      </c>
      <c r="BU166" s="27" t="s">
        <v>8</v>
      </c>
      <c r="BV166" s="27" t="s">
        <v>7</v>
      </c>
      <c r="BW166" s="27" t="s">
        <v>8</v>
      </c>
      <c r="BZ166" s="27" t="s">
        <v>7</v>
      </c>
      <c r="CA166" s="27" t="s">
        <v>8</v>
      </c>
      <c r="CB166" s="27" t="s">
        <v>7</v>
      </c>
      <c r="CC166" s="27" t="s">
        <v>8</v>
      </c>
      <c r="CD166" s="27" t="s">
        <v>7</v>
      </c>
    </row>
    <row r="167" spans="1:90" x14ac:dyDescent="0.25">
      <c r="A167" s="30">
        <v>35.222390860549325</v>
      </c>
      <c r="E167"/>
      <c r="AO167" s="27" t="s">
        <v>8</v>
      </c>
      <c r="AP167" s="27" t="s">
        <v>7</v>
      </c>
      <c r="AQ167" s="27" t="s">
        <v>8</v>
      </c>
      <c r="AR167" s="27" t="s">
        <v>7</v>
      </c>
      <c r="AS167" s="27" t="s">
        <v>8</v>
      </c>
      <c r="AT167" s="27" t="s">
        <v>7</v>
      </c>
      <c r="AU167" s="27" t="s">
        <v>8</v>
      </c>
      <c r="AV167" s="27" t="s">
        <v>7</v>
      </c>
      <c r="AZ167" s="27" t="s">
        <v>7</v>
      </c>
      <c r="BA167" s="27" t="s">
        <v>8</v>
      </c>
      <c r="BC167" s="27" t="s">
        <v>8</v>
      </c>
      <c r="BD167" s="27" t="s">
        <v>7</v>
      </c>
      <c r="BE167" s="27" t="s">
        <v>8</v>
      </c>
      <c r="BF167" s="27" t="s">
        <v>7</v>
      </c>
      <c r="BG167" s="27" t="s">
        <v>8</v>
      </c>
      <c r="BH167" s="27" t="s">
        <v>7</v>
      </c>
      <c r="BU167" s="27" t="s">
        <v>8</v>
      </c>
      <c r="BV167" s="27" t="s">
        <v>7</v>
      </c>
      <c r="BW167" s="27" t="s">
        <v>8</v>
      </c>
      <c r="BZ167" s="27" t="s">
        <v>7</v>
      </c>
      <c r="CA167" s="27" t="s">
        <v>8</v>
      </c>
      <c r="CB167" s="27" t="s">
        <v>7</v>
      </c>
      <c r="CC167" s="27" t="s">
        <v>8</v>
      </c>
      <c r="CD167" s="27" t="s">
        <v>7</v>
      </c>
    </row>
    <row r="168" spans="1:90" x14ac:dyDescent="0.25">
      <c r="A168" s="30">
        <v>33.545134152904119</v>
      </c>
      <c r="E168"/>
      <c r="AO168" s="27" t="s">
        <v>8</v>
      </c>
      <c r="AP168" s="27" t="s">
        <v>7</v>
      </c>
      <c r="AQ168" s="27" t="s">
        <v>8</v>
      </c>
      <c r="AR168" s="27" t="s">
        <v>7</v>
      </c>
      <c r="AS168" s="27" t="s">
        <v>8</v>
      </c>
      <c r="AT168" s="27" t="s">
        <v>7</v>
      </c>
      <c r="AU168" s="27" t="s">
        <v>8</v>
      </c>
      <c r="AZ168" s="27" t="s">
        <v>7</v>
      </c>
      <c r="BA168" s="27" t="s">
        <v>8</v>
      </c>
      <c r="BB168" s="27" t="s">
        <v>7</v>
      </c>
      <c r="BC168" s="27" t="s">
        <v>8</v>
      </c>
      <c r="BD168" s="27" t="s">
        <v>7</v>
      </c>
      <c r="BE168" s="27" t="s">
        <v>8</v>
      </c>
      <c r="BF168" s="27" t="s">
        <v>7</v>
      </c>
      <c r="BG168" s="27" t="s">
        <v>8</v>
      </c>
      <c r="BH168" s="27" t="s">
        <v>7</v>
      </c>
      <c r="BU168" s="27" t="s">
        <v>8</v>
      </c>
      <c r="BV168" s="27" t="s">
        <v>7</v>
      </c>
      <c r="BW168" s="27" t="s">
        <v>8</v>
      </c>
      <c r="BZ168" s="27" t="s">
        <v>7</v>
      </c>
      <c r="CA168" s="27" t="s">
        <v>8</v>
      </c>
      <c r="CB168" s="27" t="s">
        <v>7</v>
      </c>
      <c r="CD168" s="27" t="s">
        <v>7</v>
      </c>
      <c r="CE168" s="27" t="s">
        <v>8</v>
      </c>
    </row>
    <row r="169" spans="1:90" x14ac:dyDescent="0.25">
      <c r="A169" s="30">
        <v>31.947746812289637</v>
      </c>
      <c r="E169" t="s">
        <v>8</v>
      </c>
      <c r="AO169" s="27" t="s">
        <v>8</v>
      </c>
      <c r="AP169" s="27" t="s">
        <v>7</v>
      </c>
      <c r="AQ169" s="27" t="s">
        <v>8</v>
      </c>
      <c r="AR169" s="27" t="s">
        <v>7</v>
      </c>
      <c r="AS169" s="27" t="s">
        <v>8</v>
      </c>
      <c r="AT169" s="27" t="s">
        <v>7</v>
      </c>
      <c r="AU169" s="27" t="s">
        <v>8</v>
      </c>
      <c r="AZ169" s="27" t="s">
        <v>7</v>
      </c>
      <c r="BA169" s="27" t="s">
        <v>8</v>
      </c>
      <c r="BB169" s="27" t="s">
        <v>7</v>
      </c>
      <c r="BC169" s="27" t="s">
        <v>8</v>
      </c>
      <c r="BD169" s="27" t="s">
        <v>7</v>
      </c>
      <c r="BE169" s="27" t="s">
        <v>8</v>
      </c>
      <c r="BF169" s="27" t="s">
        <v>7</v>
      </c>
      <c r="BG169" s="27" t="s">
        <v>8</v>
      </c>
      <c r="BH169" s="27" t="s">
        <v>7</v>
      </c>
      <c r="BU169" s="27" t="s">
        <v>8</v>
      </c>
      <c r="BV169" s="27" t="s">
        <v>7</v>
      </c>
      <c r="BW169" s="27" t="s">
        <v>8</v>
      </c>
      <c r="BZ169" s="27" t="s">
        <v>7</v>
      </c>
      <c r="CD169" s="27" t="s">
        <v>7</v>
      </c>
      <c r="CE169" s="27" t="s">
        <v>8</v>
      </c>
      <c r="CF169" s="27" t="s">
        <v>7</v>
      </c>
    </row>
    <row r="170" spans="1:90" x14ac:dyDescent="0.25">
      <c r="A170" s="30">
        <v>30.426425535513939</v>
      </c>
      <c r="E170" t="s">
        <v>8</v>
      </c>
      <c r="F170" s="27" t="s">
        <v>7</v>
      </c>
      <c r="AO170" s="27" t="s">
        <v>8</v>
      </c>
      <c r="AP170" s="27" t="s">
        <v>7</v>
      </c>
      <c r="AQ170" s="27" t="s">
        <v>8</v>
      </c>
      <c r="AR170" s="27" t="s">
        <v>7</v>
      </c>
      <c r="AS170" s="27" t="s">
        <v>8</v>
      </c>
      <c r="AT170" s="27" t="s">
        <v>7</v>
      </c>
      <c r="AZ170" s="27" t="s">
        <v>7</v>
      </c>
      <c r="BA170" s="27" t="s">
        <v>8</v>
      </c>
      <c r="BB170" s="27" t="s">
        <v>7</v>
      </c>
      <c r="BC170" s="27" t="s">
        <v>8</v>
      </c>
      <c r="BD170" s="27" t="s">
        <v>7</v>
      </c>
      <c r="BE170" s="27" t="s">
        <v>8</v>
      </c>
      <c r="BF170" s="27" t="s">
        <v>7</v>
      </c>
      <c r="BG170" s="27" t="s">
        <v>8</v>
      </c>
      <c r="BH170" s="27" t="s">
        <v>7</v>
      </c>
      <c r="BU170" s="27" t="s">
        <v>8</v>
      </c>
      <c r="BV170" s="27" t="s">
        <v>7</v>
      </c>
      <c r="CD170" s="27" t="s">
        <v>7</v>
      </c>
      <c r="CE170" s="27" t="s">
        <v>8</v>
      </c>
      <c r="CF170" s="27" t="s">
        <v>7</v>
      </c>
    </row>
    <row r="171" spans="1:90" x14ac:dyDescent="0.25">
      <c r="A171" s="30">
        <v>28.977548129060892</v>
      </c>
      <c r="E171" t="s">
        <v>8</v>
      </c>
      <c r="F171" s="27" t="s">
        <v>7</v>
      </c>
      <c r="AI171" s="27" t="s">
        <v>8</v>
      </c>
      <c r="AO171" s="27" t="s">
        <v>8</v>
      </c>
      <c r="AP171" s="27" t="s">
        <v>7</v>
      </c>
      <c r="AQ171" s="27" t="s">
        <v>8</v>
      </c>
      <c r="AR171" s="27" t="s">
        <v>7</v>
      </c>
      <c r="AZ171" s="27" t="s">
        <v>7</v>
      </c>
      <c r="BA171" s="27" t="s">
        <v>8</v>
      </c>
      <c r="BB171" s="27" t="s">
        <v>7</v>
      </c>
      <c r="BC171" s="27" t="s">
        <v>8</v>
      </c>
      <c r="BD171" s="27" t="s">
        <v>7</v>
      </c>
      <c r="BF171" s="27" t="s">
        <v>7</v>
      </c>
      <c r="BG171" s="27" t="s">
        <v>8</v>
      </c>
      <c r="BH171" s="27" t="s">
        <v>7</v>
      </c>
      <c r="BU171" s="27" t="s">
        <v>8</v>
      </c>
      <c r="CD171" s="27" t="s">
        <v>7</v>
      </c>
      <c r="CE171" s="27" t="s">
        <v>8</v>
      </c>
      <c r="CF171" s="27" t="s">
        <v>7</v>
      </c>
    </row>
    <row r="172" spans="1:90" x14ac:dyDescent="0.25">
      <c r="A172" s="30">
        <v>27.597664884819896</v>
      </c>
      <c r="E172" t="s">
        <v>8</v>
      </c>
      <c r="F172" s="27" t="s">
        <v>7</v>
      </c>
      <c r="AI172" s="27" t="s">
        <v>8</v>
      </c>
      <c r="AJ172" s="27" t="s">
        <v>7</v>
      </c>
      <c r="AO172" s="27" t="s">
        <v>8</v>
      </c>
      <c r="AP172" s="27" t="s">
        <v>7</v>
      </c>
      <c r="AQ172" s="27" t="s">
        <v>8</v>
      </c>
      <c r="AZ172" s="27" t="s">
        <v>7</v>
      </c>
      <c r="BA172" s="27" t="s">
        <v>8</v>
      </c>
      <c r="BB172" s="27" t="s">
        <v>7</v>
      </c>
      <c r="BC172" s="27" t="s">
        <v>8</v>
      </c>
      <c r="BF172" s="27" t="s">
        <v>7</v>
      </c>
      <c r="BG172" s="27" t="s">
        <v>8</v>
      </c>
      <c r="BH172" s="27" t="s">
        <v>7</v>
      </c>
      <c r="BS172" s="27" t="s">
        <v>8</v>
      </c>
      <c r="BU172" s="27" t="s">
        <v>8</v>
      </c>
      <c r="CD172" s="27" t="s">
        <v>7</v>
      </c>
      <c r="CE172" s="27" t="s">
        <v>8</v>
      </c>
      <c r="CF172" s="27" t="s">
        <v>7</v>
      </c>
      <c r="CG172" s="27" t="s">
        <v>8</v>
      </c>
      <c r="CI172" s="27" t="s">
        <v>8</v>
      </c>
    </row>
    <row r="173" spans="1:90" x14ac:dyDescent="0.25">
      <c r="A173" s="30">
        <v>26.283490366495137</v>
      </c>
      <c r="E173" t="s">
        <v>8</v>
      </c>
      <c r="F173" s="27" t="s">
        <v>7</v>
      </c>
      <c r="AI173" s="27" t="s">
        <v>8</v>
      </c>
      <c r="AJ173" s="27" t="s">
        <v>7</v>
      </c>
      <c r="AO173" s="27" t="s">
        <v>8</v>
      </c>
      <c r="AP173" s="27" t="s">
        <v>7</v>
      </c>
      <c r="AQ173" s="27" t="s">
        <v>8</v>
      </c>
      <c r="AZ173" s="27" t="s">
        <v>7</v>
      </c>
      <c r="BB173" s="27" t="s">
        <v>7</v>
      </c>
      <c r="BF173" s="27" t="s">
        <v>7</v>
      </c>
      <c r="BG173" s="27" t="s">
        <v>8</v>
      </c>
      <c r="BH173" s="27" t="s">
        <v>7</v>
      </c>
      <c r="BS173" s="27" t="s">
        <v>8</v>
      </c>
      <c r="BT173" s="27" t="s">
        <v>7</v>
      </c>
      <c r="BU173" s="27" t="s">
        <v>8</v>
      </c>
      <c r="CD173" s="27" t="s">
        <v>7</v>
      </c>
      <c r="CF173" s="27" t="s">
        <v>7</v>
      </c>
      <c r="CG173" s="27" t="s">
        <v>8</v>
      </c>
      <c r="CH173" s="27" t="s">
        <v>7</v>
      </c>
      <c r="CI173" s="27" t="s">
        <v>8</v>
      </c>
      <c r="CJ173" s="27" t="s">
        <v>7</v>
      </c>
    </row>
    <row r="174" spans="1:90" x14ac:dyDescent="0.25">
      <c r="A174" s="30">
        <v>25.031895587138223</v>
      </c>
      <c r="E174" t="s">
        <v>8</v>
      </c>
      <c r="F174" s="27" t="s">
        <v>7</v>
      </c>
      <c r="AG174" s="27" t="s">
        <v>8</v>
      </c>
      <c r="AI174" s="27" t="s">
        <v>8</v>
      </c>
      <c r="AJ174" s="27" t="s">
        <v>7</v>
      </c>
      <c r="AO174" s="27" t="s">
        <v>8</v>
      </c>
      <c r="AP174" s="27" t="s">
        <v>7</v>
      </c>
      <c r="AQ174" s="27" t="s">
        <v>8</v>
      </c>
      <c r="BF174" s="27" t="s">
        <v>7</v>
      </c>
      <c r="BG174" s="27" t="s">
        <v>8</v>
      </c>
      <c r="BH174" s="27" t="s">
        <v>7</v>
      </c>
      <c r="BS174" s="27" t="s">
        <v>8</v>
      </c>
      <c r="BT174" s="27" t="s">
        <v>7</v>
      </c>
      <c r="BU174" s="27" t="s">
        <v>8</v>
      </c>
      <c r="CF174" s="27" t="s">
        <v>7</v>
      </c>
      <c r="CG174" s="27" t="s">
        <v>8</v>
      </c>
      <c r="CH174" s="27" t="s">
        <v>7</v>
      </c>
      <c r="CI174" s="27" t="s">
        <v>8</v>
      </c>
      <c r="CJ174" s="27" t="s">
        <v>7</v>
      </c>
    </row>
    <row r="175" spans="1:90" x14ac:dyDescent="0.25">
      <c r="A175" s="30">
        <v>23.839900559179259</v>
      </c>
      <c r="E175" t="s">
        <v>8</v>
      </c>
      <c r="F175" s="27" t="s">
        <v>7</v>
      </c>
      <c r="AG175" s="27" t="s">
        <v>8</v>
      </c>
      <c r="AH175" s="27" t="s">
        <v>7</v>
      </c>
      <c r="AI175" s="27" t="s">
        <v>8</v>
      </c>
      <c r="AJ175" s="27" t="s">
        <v>7</v>
      </c>
      <c r="AK175" s="27" t="s">
        <v>8</v>
      </c>
      <c r="AO175" s="27" t="s">
        <v>8</v>
      </c>
      <c r="AP175" s="27" t="s">
        <v>7</v>
      </c>
      <c r="BF175" s="27" t="s">
        <v>7</v>
      </c>
      <c r="BH175" s="27" t="s">
        <v>7</v>
      </c>
      <c r="BS175" s="27" t="s">
        <v>8</v>
      </c>
      <c r="BT175" s="27" t="s">
        <v>7</v>
      </c>
      <c r="BU175" s="27" t="s">
        <v>8</v>
      </c>
      <c r="CF175" s="27" t="s">
        <v>7</v>
      </c>
      <c r="CH175" s="27" t="s">
        <v>7</v>
      </c>
      <c r="CI175" s="27" t="s">
        <v>8</v>
      </c>
      <c r="CJ175" s="27" t="s">
        <v>7</v>
      </c>
      <c r="CK175" s="27" t="s">
        <v>8</v>
      </c>
    </row>
    <row r="176" spans="1:90" x14ac:dyDescent="0.25">
      <c r="A176" s="30">
        <v>22.704667199218342</v>
      </c>
      <c r="E176" t="s">
        <v>8</v>
      </c>
      <c r="F176" s="27" t="s">
        <v>7</v>
      </c>
      <c r="AG176" s="27" t="s">
        <v>8</v>
      </c>
      <c r="AH176" s="27" t="s">
        <v>7</v>
      </c>
      <c r="AI176" s="27" t="s">
        <v>8</v>
      </c>
      <c r="AJ176" s="27" t="s">
        <v>7</v>
      </c>
      <c r="AK176" s="27" t="s">
        <v>8</v>
      </c>
      <c r="AL176" s="27" t="s">
        <v>7</v>
      </c>
      <c r="AO176" s="27" t="s">
        <v>8</v>
      </c>
      <c r="BH176" s="27" t="s">
        <v>7</v>
      </c>
      <c r="BK176" s="27" t="s">
        <v>8</v>
      </c>
      <c r="BS176" s="27" t="s">
        <v>8</v>
      </c>
      <c r="BT176" s="27" t="s">
        <v>7</v>
      </c>
      <c r="CH176" s="27" t="s">
        <v>7</v>
      </c>
      <c r="CI176" s="27" t="s">
        <v>8</v>
      </c>
      <c r="CJ176" s="27" t="s">
        <v>7</v>
      </c>
      <c r="CK176" s="27" t="s">
        <v>8</v>
      </c>
      <c r="CL176" s="27" t="s">
        <v>7</v>
      </c>
    </row>
    <row r="177" spans="1:96" x14ac:dyDescent="0.25">
      <c r="A177" s="30">
        <v>21.623492570684135</v>
      </c>
      <c r="E177" t="s">
        <v>8</v>
      </c>
      <c r="F177" s="27" t="s">
        <v>7</v>
      </c>
      <c r="AG177" s="27" t="s">
        <v>8</v>
      </c>
      <c r="AH177" s="27" t="s">
        <v>7</v>
      </c>
      <c r="AI177" s="27" t="s">
        <v>8</v>
      </c>
      <c r="AJ177" s="27" t="s">
        <v>7</v>
      </c>
      <c r="AK177" s="27" t="s">
        <v>8</v>
      </c>
      <c r="AL177" s="27" t="s">
        <v>7</v>
      </c>
      <c r="AO177" s="27" t="s">
        <v>8</v>
      </c>
      <c r="BH177" s="27" t="s">
        <v>7</v>
      </c>
      <c r="BK177" s="27" t="s">
        <v>8</v>
      </c>
      <c r="BL177" s="27" t="s">
        <v>7</v>
      </c>
      <c r="BS177" s="27" t="s">
        <v>8</v>
      </c>
      <c r="CH177" s="27" t="s">
        <v>7</v>
      </c>
      <c r="CI177" s="27" t="s">
        <v>8</v>
      </c>
      <c r="CJ177" s="27" t="s">
        <v>7</v>
      </c>
      <c r="CK177" s="27" t="s">
        <v>8</v>
      </c>
      <c r="CL177" s="27" t="s">
        <v>7</v>
      </c>
      <c r="CM177" s="27" t="s">
        <v>8</v>
      </c>
    </row>
    <row r="178" spans="1:96" x14ac:dyDescent="0.25">
      <c r="A178" s="30">
        <v>20.593802448270605</v>
      </c>
      <c r="C178" s="7"/>
      <c r="D178"/>
      <c r="E178" t="s">
        <v>8</v>
      </c>
      <c r="F178" s="27" t="s">
        <v>7</v>
      </c>
      <c r="AG178" s="27" t="s">
        <v>8</v>
      </c>
      <c r="AH178" s="27" t="s">
        <v>7</v>
      </c>
      <c r="AI178" s="27" t="s">
        <v>8</v>
      </c>
      <c r="AJ178" s="27" t="s">
        <v>7</v>
      </c>
      <c r="AK178" s="27" t="s">
        <v>8</v>
      </c>
      <c r="AL178" s="27" t="s">
        <v>7</v>
      </c>
      <c r="AM178" s="27" t="s">
        <v>8</v>
      </c>
      <c r="AO178" s="27" t="s">
        <v>8</v>
      </c>
      <c r="BH178" s="27" t="s">
        <v>7</v>
      </c>
      <c r="BK178" s="27" t="s">
        <v>8</v>
      </c>
      <c r="BL178" s="27" t="s">
        <v>7</v>
      </c>
      <c r="BS178" s="27" t="s">
        <v>8</v>
      </c>
      <c r="CH178" s="27" t="s">
        <v>7</v>
      </c>
      <c r="CI178" s="27" t="s">
        <v>8</v>
      </c>
      <c r="CJ178" s="27" t="s">
        <v>7</v>
      </c>
      <c r="CL178" s="27" t="s">
        <v>7</v>
      </c>
      <c r="CM178" s="27" t="s">
        <v>8</v>
      </c>
      <c r="CN178" s="27" t="s">
        <v>7</v>
      </c>
    </row>
    <row r="179" spans="1:96" x14ac:dyDescent="0.25">
      <c r="A179" s="30">
        <v>19.613145188829147</v>
      </c>
      <c r="E179" t="s">
        <v>8</v>
      </c>
      <c r="F179" s="27" t="s">
        <v>7</v>
      </c>
      <c r="AG179" s="27" t="s">
        <v>8</v>
      </c>
      <c r="AH179" s="27" t="s">
        <v>7</v>
      </c>
      <c r="AI179" s="27" t="s">
        <v>8</v>
      </c>
      <c r="AJ179" s="27" t="s">
        <v>7</v>
      </c>
      <c r="AL179" s="27" t="s">
        <v>7</v>
      </c>
      <c r="AM179" s="27" t="s">
        <v>8</v>
      </c>
      <c r="AN179" s="27" t="s">
        <v>7</v>
      </c>
      <c r="AO179" s="27" t="s">
        <v>8</v>
      </c>
      <c r="BH179" s="27" t="s">
        <v>7</v>
      </c>
      <c r="BI179" s="27" t="s">
        <v>8</v>
      </c>
      <c r="BK179" s="27" t="s">
        <v>8</v>
      </c>
      <c r="BL179" s="27" t="s">
        <v>7</v>
      </c>
      <c r="BS179" s="27" t="s">
        <v>8</v>
      </c>
      <c r="CH179" s="27" t="s">
        <v>7</v>
      </c>
      <c r="CL179" s="27" t="s">
        <v>7</v>
      </c>
      <c r="CM179" s="27" t="s">
        <v>8</v>
      </c>
      <c r="CN179" s="27" t="s">
        <v>7</v>
      </c>
      <c r="CO179" s="27" t="s">
        <v>8</v>
      </c>
    </row>
    <row r="180" spans="1:96" x14ac:dyDescent="0.25">
      <c r="A180" s="30">
        <v>18.679185894122998</v>
      </c>
      <c r="E180" t="s">
        <v>8</v>
      </c>
      <c r="F180" s="27" t="s">
        <v>7</v>
      </c>
      <c r="G180" s="27" t="s">
        <v>8</v>
      </c>
      <c r="AG180" s="27" t="s">
        <v>8</v>
      </c>
      <c r="AH180" s="27" t="s">
        <v>7</v>
      </c>
      <c r="AI180" s="27" t="s">
        <v>8</v>
      </c>
      <c r="AL180" s="27" t="s">
        <v>7</v>
      </c>
      <c r="AM180" s="27" t="s">
        <v>8</v>
      </c>
      <c r="AN180" s="27" t="s">
        <v>7</v>
      </c>
      <c r="AO180" s="27" t="s">
        <v>8</v>
      </c>
      <c r="BH180" s="27" t="s">
        <v>7</v>
      </c>
      <c r="BI180" s="27" t="s">
        <v>8</v>
      </c>
      <c r="BJ180" s="27" t="s">
        <v>7</v>
      </c>
      <c r="BK180" s="27" t="s">
        <v>8</v>
      </c>
      <c r="BL180" s="27" t="s">
        <v>7</v>
      </c>
      <c r="BS180" s="18" t="s">
        <v>8</v>
      </c>
      <c r="CL180" s="27" t="s">
        <v>7</v>
      </c>
      <c r="CN180" s="27" t="s">
        <v>7</v>
      </c>
      <c r="CO180" s="27" t="s">
        <v>8</v>
      </c>
      <c r="CP180" s="27" t="s">
        <v>7</v>
      </c>
    </row>
    <row r="181" spans="1:96" x14ac:dyDescent="0.25">
      <c r="A181" s="30">
        <v>17.78970085154571</v>
      </c>
      <c r="C181"/>
      <c r="D181"/>
      <c r="E181" t="s">
        <v>8</v>
      </c>
      <c r="F181" s="27" t="s">
        <v>7</v>
      </c>
      <c r="G181" s="27" t="s">
        <v>8</v>
      </c>
      <c r="H181" s="27" t="s">
        <v>7</v>
      </c>
      <c r="I181" s="27" t="s">
        <v>8</v>
      </c>
      <c r="AG181" s="27" t="s">
        <v>8</v>
      </c>
      <c r="AH181" s="27" t="s">
        <v>7</v>
      </c>
      <c r="AI181" s="27" t="s">
        <v>8</v>
      </c>
      <c r="AL181" s="27" t="s">
        <v>7</v>
      </c>
      <c r="AM181" s="27" t="s">
        <v>8</v>
      </c>
      <c r="AN181" s="27" t="s">
        <v>7</v>
      </c>
      <c r="BH181" s="27" t="s">
        <v>7</v>
      </c>
      <c r="BI181" s="27" t="s">
        <v>8</v>
      </c>
      <c r="BJ181" s="27" t="s">
        <v>7</v>
      </c>
      <c r="BK181" s="27" t="s">
        <v>8</v>
      </c>
      <c r="BL181" s="27" t="s">
        <v>7</v>
      </c>
      <c r="BM181" s="27" t="s">
        <v>8</v>
      </c>
      <c r="BO181" s="27" t="s">
        <v>8</v>
      </c>
      <c r="BS181" s="27" t="s">
        <v>8</v>
      </c>
      <c r="CN181" s="27" t="s">
        <v>7</v>
      </c>
      <c r="CO181" s="27" t="s">
        <v>8</v>
      </c>
      <c r="CP181" s="27" t="s">
        <v>7</v>
      </c>
      <c r="CQ181" s="27" t="s">
        <v>8</v>
      </c>
    </row>
    <row r="182" spans="1:96" x14ac:dyDescent="0.25">
      <c r="A182" s="30">
        <v>16.942572239567344</v>
      </c>
      <c r="E182" t="s">
        <v>8</v>
      </c>
      <c r="F182" s="27" t="s">
        <v>7</v>
      </c>
      <c r="G182" s="27" t="s">
        <v>8</v>
      </c>
      <c r="H182" s="27" t="s">
        <v>7</v>
      </c>
      <c r="I182" s="27" t="s">
        <v>8</v>
      </c>
      <c r="J182" s="27" t="s">
        <v>7</v>
      </c>
      <c r="AG182" s="27" t="s">
        <v>8</v>
      </c>
      <c r="AH182" s="27" t="s">
        <v>7</v>
      </c>
      <c r="AI182" s="27" t="s">
        <v>8</v>
      </c>
      <c r="AL182" s="27" t="s">
        <v>7</v>
      </c>
      <c r="BH182" s="27" t="s">
        <v>7</v>
      </c>
      <c r="BI182" s="27" t="s">
        <v>8</v>
      </c>
      <c r="BJ182" s="27" t="s">
        <v>7</v>
      </c>
      <c r="BK182" s="27" t="s">
        <v>8</v>
      </c>
      <c r="BL182" s="27" t="s">
        <v>7</v>
      </c>
      <c r="BM182" s="27" t="s">
        <v>8</v>
      </c>
      <c r="BN182" s="27" t="s">
        <v>7</v>
      </c>
      <c r="BO182" s="27" t="s">
        <v>8</v>
      </c>
      <c r="BP182" s="27" t="s">
        <v>7</v>
      </c>
      <c r="BS182" s="27" t="s">
        <v>8</v>
      </c>
      <c r="CN182" s="27" t="s">
        <v>7</v>
      </c>
      <c r="CO182" s="27" t="s">
        <v>8</v>
      </c>
      <c r="CP182" s="27" t="s">
        <v>7</v>
      </c>
      <c r="CQ182" s="27" t="s">
        <v>8</v>
      </c>
      <c r="CR182" s="27" t="s">
        <v>7</v>
      </c>
    </row>
    <row r="183" spans="1:96" x14ac:dyDescent="0.25">
      <c r="A183" s="30">
        <v>16.135783085302233</v>
      </c>
      <c r="E183" t="s">
        <v>8</v>
      </c>
      <c r="F183" s="27" t="s">
        <v>7</v>
      </c>
      <c r="G183" s="27" t="s">
        <v>8</v>
      </c>
      <c r="H183" s="27" t="s">
        <v>7</v>
      </c>
      <c r="I183" s="27" t="s">
        <v>8</v>
      </c>
      <c r="J183" s="27" t="s">
        <v>7</v>
      </c>
      <c r="AG183" s="27" t="s">
        <v>8</v>
      </c>
      <c r="AH183" s="27" t="s">
        <v>7</v>
      </c>
      <c r="AI183" s="27" t="s">
        <v>8</v>
      </c>
      <c r="BH183" s="27" t="s">
        <v>7</v>
      </c>
      <c r="BI183" s="27" t="s">
        <v>8</v>
      </c>
      <c r="BJ183" s="27" t="s">
        <v>7</v>
      </c>
      <c r="BK183" s="27" t="s">
        <v>8</v>
      </c>
      <c r="BL183" s="27" t="s">
        <v>7</v>
      </c>
      <c r="BM183" s="27" t="s">
        <v>8</v>
      </c>
      <c r="BN183" s="27" t="s">
        <v>7</v>
      </c>
      <c r="BO183" s="27" t="s">
        <v>8</v>
      </c>
      <c r="BP183" s="27" t="s">
        <v>7</v>
      </c>
      <c r="BS183" s="27" t="s">
        <v>8</v>
      </c>
      <c r="CN183" s="27" t="s">
        <v>7</v>
      </c>
      <c r="CO183" s="27" t="s">
        <v>8</v>
      </c>
      <c r="CP183" s="27" t="s">
        <v>7</v>
      </c>
      <c r="CQ183" s="27" t="s">
        <v>8</v>
      </c>
      <c r="CR183" s="27" t="s">
        <v>7</v>
      </c>
    </row>
    <row r="184" spans="1:96" x14ac:dyDescent="0.25">
      <c r="A184" s="30">
        <v>15.367412462192602</v>
      </c>
      <c r="E184" t="s">
        <v>8</v>
      </c>
      <c r="F184" s="27" t="s">
        <v>7</v>
      </c>
      <c r="G184" s="27" t="s">
        <v>8</v>
      </c>
      <c r="H184" s="27" t="s">
        <v>7</v>
      </c>
      <c r="I184" s="27" t="s">
        <v>8</v>
      </c>
      <c r="J184" s="27" t="s">
        <v>7</v>
      </c>
      <c r="AG184" s="27" t="s">
        <v>8</v>
      </c>
      <c r="AH184" s="27" t="s">
        <v>7</v>
      </c>
      <c r="BH184" s="27" t="s">
        <v>7</v>
      </c>
      <c r="BI184" s="27" t="s">
        <v>8</v>
      </c>
      <c r="BJ184" s="27" t="s">
        <v>7</v>
      </c>
      <c r="BL184" s="27" t="s">
        <v>7</v>
      </c>
      <c r="BM184" s="27" t="s">
        <v>8</v>
      </c>
      <c r="BN184" s="27" t="s">
        <v>7</v>
      </c>
      <c r="BO184" s="27" t="s">
        <v>8</v>
      </c>
      <c r="BP184" s="27" t="s">
        <v>7</v>
      </c>
      <c r="BS184" s="27" t="s">
        <v>8</v>
      </c>
      <c r="CN184" s="27" t="s">
        <v>7</v>
      </c>
      <c r="CO184" s="27" t="s">
        <v>8</v>
      </c>
      <c r="CP184" s="27" t="s">
        <v>7</v>
      </c>
      <c r="CQ184" s="27" t="s">
        <v>8</v>
      </c>
      <c r="CR184" s="27" t="s">
        <v>7</v>
      </c>
    </row>
    <row r="185" spans="1:96" x14ac:dyDescent="0.25">
      <c r="A185" s="30">
        <v>14.635630916373906</v>
      </c>
      <c r="C185"/>
      <c r="E185" t="s">
        <v>8</v>
      </c>
      <c r="F185" s="27" t="s">
        <v>7</v>
      </c>
      <c r="G185" s="27" t="s">
        <v>8</v>
      </c>
      <c r="H185" s="27" t="s">
        <v>7</v>
      </c>
      <c r="I185" s="27" t="s">
        <v>8</v>
      </c>
      <c r="J185" s="27" t="s">
        <v>7</v>
      </c>
      <c r="W185" s="27" t="s">
        <v>8</v>
      </c>
      <c r="AG185" s="27" t="s">
        <v>8</v>
      </c>
      <c r="BH185" s="27" t="s">
        <v>7</v>
      </c>
      <c r="BI185" s="27" t="s">
        <v>8</v>
      </c>
      <c r="BL185" s="27" t="s">
        <v>7</v>
      </c>
      <c r="BN185" s="27" t="s">
        <v>7</v>
      </c>
      <c r="BO185" s="27" t="s">
        <v>8</v>
      </c>
      <c r="BP185" s="27" t="s">
        <v>7</v>
      </c>
      <c r="BS185" s="27" t="s">
        <v>8</v>
      </c>
      <c r="CN185" s="27" t="s">
        <v>7</v>
      </c>
      <c r="CO185" s="27" t="s">
        <v>8</v>
      </c>
      <c r="CP185" s="27" t="s">
        <v>7</v>
      </c>
      <c r="CQ185" s="27" t="s">
        <v>8</v>
      </c>
      <c r="CR185" s="27" t="s">
        <v>7</v>
      </c>
    </row>
    <row r="186" spans="1:96" x14ac:dyDescent="0.25">
      <c r="A186" s="30">
        <v>13.938696110832291</v>
      </c>
      <c r="E186" t="s">
        <v>8</v>
      </c>
      <c r="F186" s="27" t="s">
        <v>7</v>
      </c>
      <c r="G186" s="27" t="s">
        <v>8</v>
      </c>
      <c r="H186" s="27" t="s">
        <v>7</v>
      </c>
      <c r="J186" s="27" t="s">
        <v>7</v>
      </c>
      <c r="W186" s="27" t="s">
        <v>8</v>
      </c>
      <c r="X186" s="27" t="s">
        <v>7</v>
      </c>
      <c r="AG186" s="27" t="s">
        <v>8</v>
      </c>
      <c r="BH186" s="27" t="s">
        <v>7</v>
      </c>
      <c r="BI186" s="27" t="s">
        <v>8</v>
      </c>
      <c r="BN186" s="27" t="s">
        <v>7</v>
      </c>
      <c r="BO186" s="27" t="s">
        <v>8</v>
      </c>
      <c r="BP186" s="27" t="s">
        <v>7</v>
      </c>
      <c r="BS186" s="27" t="s">
        <v>8</v>
      </c>
      <c r="CN186" s="27" t="s">
        <v>7</v>
      </c>
      <c r="CP186" s="27" t="s">
        <v>7</v>
      </c>
      <c r="CQ186" s="27" t="s">
        <v>8</v>
      </c>
      <c r="CR186" s="27" t="s">
        <v>7</v>
      </c>
    </row>
    <row r="187" spans="1:96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  <c r="F187" s="27" t="s">
        <v>7</v>
      </c>
      <c r="G187" s="27" t="s">
        <v>8</v>
      </c>
      <c r="J187" s="27" t="s">
        <v>7</v>
      </c>
      <c r="W187" s="27" t="s">
        <v>8</v>
      </c>
      <c r="X187" s="27" t="s">
        <v>7</v>
      </c>
      <c r="Y187" s="27" t="s">
        <v>8</v>
      </c>
      <c r="AG187" s="27" t="s">
        <v>8</v>
      </c>
      <c r="BH187" s="27" t="s">
        <v>7</v>
      </c>
      <c r="BI187" s="27" t="s">
        <v>8</v>
      </c>
      <c r="BN187" s="27" t="s">
        <v>7</v>
      </c>
      <c r="BO187" s="27" t="s">
        <v>8</v>
      </c>
      <c r="BP187" s="27" t="s">
        <v>7</v>
      </c>
      <c r="BQ187" s="27" t="s">
        <v>8</v>
      </c>
      <c r="BS187" s="27" t="s">
        <v>8</v>
      </c>
      <c r="CP187" s="27" t="s">
        <v>7</v>
      </c>
      <c r="CQ187" s="27" t="s">
        <v>8</v>
      </c>
      <c r="CR187" s="27" t="s">
        <v>7</v>
      </c>
    </row>
    <row r="188" spans="1:96" x14ac:dyDescent="0.25">
      <c r="A188" s="30">
        <v>12.64280826379346</v>
      </c>
      <c r="E188" t="s">
        <v>8</v>
      </c>
      <c r="F188" s="27" t="s">
        <v>7</v>
      </c>
      <c r="J188" s="27" t="s">
        <v>7</v>
      </c>
      <c r="K188" s="27" t="s">
        <v>8</v>
      </c>
      <c r="W188" s="27" t="s">
        <v>8</v>
      </c>
      <c r="X188" s="27" t="s">
        <v>7</v>
      </c>
      <c r="Y188" s="27" t="s">
        <v>8</v>
      </c>
      <c r="Z188" s="27" t="s">
        <v>7</v>
      </c>
      <c r="AG188" s="27" t="s">
        <v>8</v>
      </c>
      <c r="BH188" s="27" t="s">
        <v>7</v>
      </c>
      <c r="BN188" s="27" t="s">
        <v>7</v>
      </c>
      <c r="BP188" s="27" t="s">
        <v>7</v>
      </c>
      <c r="BQ188" s="27" t="s">
        <v>8</v>
      </c>
      <c r="BR188" s="27" t="s">
        <v>7</v>
      </c>
      <c r="BS188" s="27" t="s">
        <v>8</v>
      </c>
      <c r="CP188" s="27" t="s">
        <v>7</v>
      </c>
      <c r="CR188" s="27" t="s">
        <v>7</v>
      </c>
    </row>
    <row r="189" spans="1:96" x14ac:dyDescent="0.25">
      <c r="A189" s="30">
        <v>12.04076977504139</v>
      </c>
      <c r="E189" t="s">
        <v>8</v>
      </c>
      <c r="J189" s="27" t="s">
        <v>7</v>
      </c>
      <c r="K189" s="27" t="s">
        <v>8</v>
      </c>
      <c r="L189" s="27" t="s">
        <v>7</v>
      </c>
      <c r="W189" s="27" t="s">
        <v>8</v>
      </c>
      <c r="X189" s="27" t="s">
        <v>7</v>
      </c>
      <c r="Y189" s="27" t="s">
        <v>8</v>
      </c>
      <c r="Z189" s="27" t="s">
        <v>7</v>
      </c>
      <c r="AG189" s="27" t="s">
        <v>8</v>
      </c>
      <c r="BP189" s="27" t="s">
        <v>7</v>
      </c>
      <c r="BQ189" s="27" t="s">
        <v>8</v>
      </c>
      <c r="BR189" s="27" t="s">
        <v>7</v>
      </c>
      <c r="BS189" s="27" t="s">
        <v>8</v>
      </c>
      <c r="CR189" s="27" t="s">
        <v>7</v>
      </c>
    </row>
    <row r="190" spans="1:96" x14ac:dyDescent="0.25">
      <c r="A190" s="30">
        <v>11.467399785753704</v>
      </c>
      <c r="E190" t="s">
        <v>8</v>
      </c>
      <c r="J190" s="27" t="s">
        <v>7</v>
      </c>
      <c r="K190" s="27" t="s">
        <v>8</v>
      </c>
      <c r="L190" s="27" t="s">
        <v>7</v>
      </c>
      <c r="M190" s="27" t="s">
        <v>8</v>
      </c>
      <c r="W190" s="27" t="s">
        <v>8</v>
      </c>
      <c r="X190" s="27" t="s">
        <v>7</v>
      </c>
      <c r="Y190" s="27" t="s">
        <v>8</v>
      </c>
      <c r="Z190" s="27" t="s">
        <v>7</v>
      </c>
      <c r="AG190" s="27" t="s">
        <v>8</v>
      </c>
      <c r="BP190" s="27" t="s">
        <v>7</v>
      </c>
      <c r="BQ190" s="27" t="s">
        <v>8</v>
      </c>
      <c r="BR190" s="27" t="s">
        <v>7</v>
      </c>
    </row>
    <row r="191" spans="1:96" x14ac:dyDescent="0.25">
      <c r="A191" s="30">
        <v>10.921333129289241</v>
      </c>
      <c r="E191" t="s">
        <v>8</v>
      </c>
      <c r="J191" s="27" t="s">
        <v>7</v>
      </c>
      <c r="K191" s="27" t="s">
        <v>8</v>
      </c>
      <c r="L191" s="27" t="s">
        <v>7</v>
      </c>
      <c r="M191" s="27" t="s">
        <v>8</v>
      </c>
      <c r="N191" s="27" t="s">
        <v>7</v>
      </c>
      <c r="S191" s="27" t="s">
        <v>8</v>
      </c>
      <c r="U191" s="27" t="s">
        <v>8</v>
      </c>
      <c r="W191" s="27" t="s">
        <v>8</v>
      </c>
      <c r="X191" s="27" t="s">
        <v>7</v>
      </c>
      <c r="Y191" s="27" t="s">
        <v>8</v>
      </c>
      <c r="Z191" s="27" t="s">
        <v>7</v>
      </c>
      <c r="AA191" s="27" t="s">
        <v>8</v>
      </c>
      <c r="AG191" s="27" t="s">
        <v>8</v>
      </c>
      <c r="BP191" s="27" t="s">
        <v>7</v>
      </c>
    </row>
    <row r="192" spans="1:96" x14ac:dyDescent="0.25">
      <c r="A192" s="30">
        <v>10.401269646942135</v>
      </c>
      <c r="E192" t="s">
        <v>8</v>
      </c>
      <c r="J192" s="27" t="s">
        <v>7</v>
      </c>
      <c r="K192" s="27" t="s">
        <v>8</v>
      </c>
      <c r="L192" s="27" t="s">
        <v>7</v>
      </c>
      <c r="M192" s="27" t="s">
        <v>8</v>
      </c>
      <c r="N192" s="27" t="s">
        <v>7</v>
      </c>
      <c r="S192" s="27" t="s">
        <v>8</v>
      </c>
      <c r="T192" s="27" t="s">
        <v>7</v>
      </c>
      <c r="U192" s="27" t="s">
        <v>8</v>
      </c>
      <c r="V192" s="27" t="s">
        <v>7</v>
      </c>
      <c r="W192" s="27" t="s">
        <v>8</v>
      </c>
      <c r="X192" s="27" t="s">
        <v>7</v>
      </c>
      <c r="Y192" s="27" t="s">
        <v>8</v>
      </c>
      <c r="Z192" s="27" t="s">
        <v>7</v>
      </c>
      <c r="AA192" s="27" t="s">
        <v>8</v>
      </c>
      <c r="AB192" s="27" t="s">
        <v>7</v>
      </c>
      <c r="AC192" s="27" t="s">
        <v>8</v>
      </c>
      <c r="AE192" s="27" t="s">
        <v>8</v>
      </c>
      <c r="AG192" s="27" t="s">
        <v>8</v>
      </c>
    </row>
    <row r="193" spans="1:33" x14ac:dyDescent="0.25">
      <c r="A193" s="30">
        <v>9.9059710923258422</v>
      </c>
      <c r="E193" t="s">
        <v>8</v>
      </c>
      <c r="J193" s="27" t="s">
        <v>7</v>
      </c>
      <c r="K193" s="27" t="s">
        <v>8</v>
      </c>
      <c r="L193" s="27" t="s">
        <v>7</v>
      </c>
      <c r="M193" s="27" t="s">
        <v>8</v>
      </c>
      <c r="N193" s="27" t="s">
        <v>7</v>
      </c>
      <c r="S193" s="27" t="s">
        <v>8</v>
      </c>
      <c r="T193" s="27" t="s">
        <v>7</v>
      </c>
      <c r="U193" s="27" t="s">
        <v>8</v>
      </c>
      <c r="V193" s="27" t="s">
        <v>7</v>
      </c>
      <c r="W193" s="27" t="s">
        <v>8</v>
      </c>
      <c r="X193" s="27" t="s">
        <v>7</v>
      </c>
      <c r="Z193" s="27" t="s">
        <v>7</v>
      </c>
      <c r="AA193" s="27" t="s">
        <v>8</v>
      </c>
      <c r="AB193" s="27" t="s">
        <v>7</v>
      </c>
      <c r="AC193" s="27" t="s">
        <v>8</v>
      </c>
      <c r="AD193" s="27" t="s">
        <v>7</v>
      </c>
      <c r="AE193" s="27" t="s">
        <v>8</v>
      </c>
      <c r="AF193" s="27" t="s">
        <v>7</v>
      </c>
      <c r="AG193" s="27" t="s">
        <v>8</v>
      </c>
    </row>
    <row r="194" spans="1:33" x14ac:dyDescent="0.25">
      <c r="A194" s="30">
        <v>9.4342581831674686</v>
      </c>
      <c r="E194" t="s">
        <v>8</v>
      </c>
      <c r="J194" s="27" t="s">
        <v>7</v>
      </c>
      <c r="K194" s="27" t="s">
        <v>8</v>
      </c>
      <c r="L194" s="27" t="s">
        <v>7</v>
      </c>
      <c r="M194" s="27" t="s">
        <v>8</v>
      </c>
      <c r="N194" s="27" t="s">
        <v>7</v>
      </c>
      <c r="O194" s="27" t="s">
        <v>8</v>
      </c>
      <c r="Q194" s="27" t="s">
        <v>8</v>
      </c>
      <c r="S194" s="27" t="s">
        <v>8</v>
      </c>
      <c r="T194" s="27" t="s">
        <v>7</v>
      </c>
      <c r="U194" s="27" t="s">
        <v>8</v>
      </c>
      <c r="V194" s="27" t="s">
        <v>7</v>
      </c>
      <c r="W194" s="27" t="s">
        <v>8</v>
      </c>
      <c r="Z194" s="27" t="s">
        <v>7</v>
      </c>
      <c r="AA194" s="27" t="s">
        <v>8</v>
      </c>
      <c r="AB194" s="27" t="s">
        <v>7</v>
      </c>
      <c r="AC194" s="27" t="s">
        <v>8</v>
      </c>
      <c r="AD194" s="27" t="s">
        <v>7</v>
      </c>
      <c r="AE194" s="27" t="s">
        <v>8</v>
      </c>
      <c r="AF194" s="27" t="s">
        <v>7</v>
      </c>
      <c r="AG194" s="27" t="s">
        <v>8</v>
      </c>
    </row>
    <row r="195" spans="1:33" x14ac:dyDescent="0.25">
      <c r="A195" s="30">
        <v>8.9850077934928265</v>
      </c>
      <c r="E195" t="s">
        <v>8</v>
      </c>
      <c r="J195" s="27" t="s">
        <v>7</v>
      </c>
      <c r="L195" s="27" t="s">
        <v>7</v>
      </c>
      <c r="M195" s="27" t="s">
        <v>8</v>
      </c>
      <c r="N195" s="27" t="s">
        <v>7</v>
      </c>
      <c r="O195" s="27" t="s">
        <v>8</v>
      </c>
      <c r="P195" s="27" t="s">
        <v>7</v>
      </c>
      <c r="Q195" s="27" t="s">
        <v>8</v>
      </c>
      <c r="R195" s="27" t="s">
        <v>7</v>
      </c>
      <c r="S195" s="27" t="s">
        <v>8</v>
      </c>
      <c r="T195" s="27" t="s">
        <v>7</v>
      </c>
      <c r="U195" s="27" t="s">
        <v>8</v>
      </c>
      <c r="V195" s="27" t="s">
        <v>7</v>
      </c>
      <c r="W195" s="27" t="s">
        <v>8</v>
      </c>
      <c r="Z195" s="27" t="s">
        <v>7</v>
      </c>
      <c r="AA195" s="27" t="s">
        <v>8</v>
      </c>
      <c r="AB195" s="27" t="s">
        <v>7</v>
      </c>
      <c r="AD195" s="27" t="s">
        <v>7</v>
      </c>
      <c r="AE195" s="27" t="s">
        <v>8</v>
      </c>
      <c r="AF195" s="27" t="s">
        <v>7</v>
      </c>
    </row>
    <row r="196" spans="1:33" x14ac:dyDescent="0.25">
      <c r="A196" s="30">
        <v>8.5571502795169767</v>
      </c>
      <c r="E196" t="s">
        <v>8</v>
      </c>
      <c r="L196" s="27" t="s">
        <v>7</v>
      </c>
      <c r="M196" s="27" t="s">
        <v>8</v>
      </c>
      <c r="N196" s="27" t="s">
        <v>7</v>
      </c>
      <c r="O196" s="27" t="s">
        <v>8</v>
      </c>
      <c r="P196" s="27" t="s">
        <v>7</v>
      </c>
      <c r="Q196" s="27" t="s">
        <v>8</v>
      </c>
      <c r="R196" s="27" t="s">
        <v>7</v>
      </c>
      <c r="S196" s="27" t="s">
        <v>8</v>
      </c>
      <c r="T196" s="27" t="s">
        <v>7</v>
      </c>
      <c r="U196" s="27" t="s">
        <v>8</v>
      </c>
      <c r="V196" s="27" t="s">
        <v>7</v>
      </c>
      <c r="Z196" s="27" t="s">
        <v>7</v>
      </c>
      <c r="AD196" s="27" t="s">
        <v>7</v>
      </c>
    </row>
    <row r="197" spans="1:33" x14ac:dyDescent="0.25">
      <c r="A197" s="30">
        <v>8.1496669328733109</v>
      </c>
      <c r="E197" t="s">
        <v>8</v>
      </c>
      <c r="L197" s="27" t="s">
        <v>7</v>
      </c>
      <c r="N197" s="27" t="s">
        <v>7</v>
      </c>
      <c r="P197" s="27" t="s">
        <v>7</v>
      </c>
      <c r="R197" s="27" t="s">
        <v>7</v>
      </c>
      <c r="T197" s="27" t="s">
        <v>7</v>
      </c>
      <c r="U197" s="27" t="s">
        <v>8</v>
      </c>
    </row>
    <row r="198" spans="1:33" x14ac:dyDescent="0.25">
      <c r="A198" s="30">
        <v>7.7615875551174378</v>
      </c>
      <c r="E198" t="s">
        <v>8</v>
      </c>
      <c r="T198" s="27" t="s">
        <v>7</v>
      </c>
    </row>
    <row r="199" spans="1:33" x14ac:dyDescent="0.25">
      <c r="A199" s="30">
        <v>7.3919881477308929</v>
      </c>
      <c r="E199" t="s">
        <v>8</v>
      </c>
    </row>
    <row r="200" spans="1:33" x14ac:dyDescent="0.25">
      <c r="A200" s="30">
        <v>7.0399887121246598</v>
      </c>
      <c r="E200" t="s">
        <v>8</v>
      </c>
    </row>
    <row r="201" spans="1:33" x14ac:dyDescent="0.25">
      <c r="A201" s="30">
        <v>6.7047511544044376</v>
      </c>
      <c r="E201" t="s">
        <v>8</v>
      </c>
    </row>
    <row r="202" spans="1:33" x14ac:dyDescent="0.25">
      <c r="A202" s="30">
        <v>6.3854772899089882</v>
      </c>
      <c r="E202" t="s">
        <v>8</v>
      </c>
    </row>
    <row r="203" spans="1:33" x14ac:dyDescent="0.25">
      <c r="A203" s="30">
        <v>6.0814069427704647</v>
      </c>
      <c r="C203" s="7"/>
      <c r="D203"/>
      <c r="E203" t="s">
        <v>8</v>
      </c>
    </row>
    <row r="204" spans="1:33" x14ac:dyDescent="0.25">
      <c r="A204" s="30">
        <v>5.7918161359718709</v>
      </c>
      <c r="E204" t="s">
        <v>8</v>
      </c>
    </row>
    <row r="205" spans="1:33" x14ac:dyDescent="0.25">
      <c r="A205" s="30">
        <v>5.5160153675922574</v>
      </c>
      <c r="E205" t="s">
        <v>8</v>
      </c>
    </row>
    <row r="206" spans="1:33" x14ac:dyDescent="0.25">
      <c r="A206" s="30">
        <v>5.2533479691354827</v>
      </c>
      <c r="C206"/>
      <c r="D206"/>
      <c r="E206" t="s">
        <v>8</v>
      </c>
    </row>
    <row r="207" spans="1:33" x14ac:dyDescent="0.25">
      <c r="A207" s="30">
        <v>5.0031885420337927</v>
      </c>
      <c r="E207" t="s">
        <v>8</v>
      </c>
    </row>
    <row r="208" spans="1:33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23" operator="equal">
      <formula>$U$1</formula>
    </cfRule>
    <cfRule type="cellIs" dxfId="67" priority="824" operator="equal">
      <formula>$S$1</formula>
    </cfRule>
  </conditionalFormatting>
  <conditionalFormatting sqref="D136">
    <cfRule type="cellIs" dxfId="66" priority="821" operator="equal">
      <formula>$S$1</formula>
    </cfRule>
    <cfRule type="cellIs" dxfId="65" priority="822" operator="equal">
      <formula>$U$1</formula>
    </cfRule>
  </conditionalFormatting>
  <conditionalFormatting sqref="C162">
    <cfRule type="cellIs" dxfId="64" priority="819" operator="equal">
      <formula>$U$1</formula>
    </cfRule>
    <cfRule type="cellIs" dxfId="63" priority="820" operator="equal">
      <formula>$S$1</formula>
    </cfRule>
  </conditionalFormatting>
  <conditionalFormatting sqref="D162">
    <cfRule type="cellIs" dxfId="62" priority="817" operator="equal">
      <formula>$S$1</formula>
    </cfRule>
    <cfRule type="cellIs" dxfId="61" priority="818" operator="equal">
      <formula>$U$1</formula>
    </cfRule>
  </conditionalFormatting>
  <conditionalFormatting sqref="C187">
    <cfRule type="cellIs" dxfId="60" priority="815" operator="equal">
      <formula>$U$1</formula>
    </cfRule>
    <cfRule type="cellIs" dxfId="59" priority="816" operator="equal">
      <formula>$S$1</formula>
    </cfRule>
  </conditionalFormatting>
  <conditionalFormatting sqref="D187">
    <cfRule type="cellIs" dxfId="58" priority="813" operator="equal">
      <formula>$S$1</formula>
    </cfRule>
    <cfRule type="cellIs" dxfId="57" priority="814" operator="equal">
      <formula>$U$1</formula>
    </cfRule>
  </conditionalFormatting>
  <conditionalFormatting sqref="C212">
    <cfRule type="cellIs" dxfId="56" priority="811" operator="equal">
      <formula>$U$1</formula>
    </cfRule>
    <cfRule type="cellIs" dxfId="55" priority="812" operator="equal">
      <formula>$S$1</formula>
    </cfRule>
  </conditionalFormatting>
  <conditionalFormatting sqref="D212">
    <cfRule type="cellIs" dxfId="54" priority="809" operator="equal">
      <formula>$S$1</formula>
    </cfRule>
    <cfRule type="cellIs" dxfId="53" priority="810" operator="equal">
      <formula>$U$1</formula>
    </cfRule>
  </conditionalFormatting>
  <conditionalFormatting sqref="C237">
    <cfRule type="cellIs" dxfId="52" priority="807" operator="equal">
      <formula>$U$1</formula>
    </cfRule>
    <cfRule type="cellIs" dxfId="51" priority="808" operator="equal">
      <formula>$S$1</formula>
    </cfRule>
  </conditionalFormatting>
  <conditionalFormatting sqref="D237">
    <cfRule type="cellIs" dxfId="50" priority="805" operator="equal">
      <formula>$S$1</formula>
    </cfRule>
    <cfRule type="cellIs" dxfId="49" priority="806" operator="equal">
      <formula>$U$1</formula>
    </cfRule>
  </conditionalFormatting>
  <conditionalFormatting sqref="C106">
    <cfRule type="cellIs" dxfId="48" priority="803" operator="equal">
      <formula>$U$1</formula>
    </cfRule>
    <cfRule type="cellIs" dxfId="47" priority="804" operator="equal">
      <formula>$S$1</formula>
    </cfRule>
  </conditionalFormatting>
  <conditionalFormatting sqref="D106">
    <cfRule type="cellIs" dxfId="46" priority="801" operator="equal">
      <formula>$S$1</formula>
    </cfRule>
    <cfRule type="cellIs" dxfId="45" priority="802" operator="equal">
      <formula>$U$1</formula>
    </cfRule>
  </conditionalFormatting>
  <conditionalFormatting sqref="C81">
    <cfRule type="cellIs" dxfId="44" priority="799" operator="equal">
      <formula>$U$1</formula>
    </cfRule>
    <cfRule type="cellIs" dxfId="43" priority="800" operator="equal">
      <formula>$S$1</formula>
    </cfRule>
  </conditionalFormatting>
  <conditionalFormatting sqref="D81">
    <cfRule type="cellIs" dxfId="42" priority="797" operator="equal">
      <formula>$S$1</formula>
    </cfRule>
    <cfRule type="cellIs" dxfId="41" priority="798" operator="equal">
      <formula>$U$1</formula>
    </cfRule>
  </conditionalFormatting>
  <conditionalFormatting sqref="C56">
    <cfRule type="cellIs" dxfId="40" priority="795" operator="equal">
      <formula>$U$1</formula>
    </cfRule>
    <cfRule type="cellIs" dxfId="39" priority="796" operator="equal">
      <formula>$S$1</formula>
    </cfRule>
  </conditionalFormatting>
  <conditionalFormatting sqref="D56">
    <cfRule type="cellIs" dxfId="38" priority="793" operator="equal">
      <formula>$S$1</formula>
    </cfRule>
    <cfRule type="cellIs" dxfId="37" priority="794" operator="equal">
      <formula>$U$1</formula>
    </cfRule>
  </conditionalFormatting>
  <conditionalFormatting sqref="C31">
    <cfRule type="cellIs" dxfId="36" priority="791" operator="equal">
      <formula>$U$1</formula>
    </cfRule>
    <cfRule type="cellIs" dxfId="35" priority="792" operator="equal">
      <formula>$S$1</formula>
    </cfRule>
  </conditionalFormatting>
  <conditionalFormatting sqref="D31">
    <cfRule type="cellIs" dxfId="34" priority="789" operator="equal">
      <formula>$S$1</formula>
    </cfRule>
    <cfRule type="cellIs" dxfId="33" priority="790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T95" sqref="AT9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40" x14ac:dyDescent="0.25">
      <c r="A65" s="30">
        <v>207.96505671840671</v>
      </c>
      <c r="E65"/>
    </row>
    <row r="66" spans="1:40" x14ac:dyDescent="0.25">
      <c r="A66" s="30">
        <v>189.05914247127882</v>
      </c>
      <c r="E66"/>
    </row>
    <row r="67" spans="1:40" x14ac:dyDescent="0.25">
      <c r="A67" s="30">
        <v>171.87194770116255</v>
      </c>
      <c r="C67" s="1" t="s">
        <v>15</v>
      </c>
      <c r="E67"/>
    </row>
    <row r="68" spans="1:40" x14ac:dyDescent="0.25">
      <c r="A68" s="30">
        <v>156.24722518287504</v>
      </c>
      <c r="C68" s="7">
        <v>0.11167815779424731</v>
      </c>
      <c r="D68"/>
      <c r="E68"/>
    </row>
    <row r="69" spans="1:40" x14ac:dyDescent="0.25">
      <c r="A69" s="30">
        <v>142.04293198443185</v>
      </c>
      <c r="E69"/>
    </row>
    <row r="70" spans="1:40" x14ac:dyDescent="0.25">
      <c r="A70" s="30">
        <v>129.1299381676653</v>
      </c>
      <c r="C70" s="1" t="s">
        <v>11</v>
      </c>
      <c r="D70" s="1" t="s">
        <v>12</v>
      </c>
      <c r="E70"/>
    </row>
    <row r="71" spans="1:40" x14ac:dyDescent="0.25">
      <c r="A71" s="30">
        <v>117.39085287969573</v>
      </c>
      <c r="C71"/>
      <c r="D71"/>
      <c r="E71"/>
    </row>
    <row r="72" spans="1:40" x14ac:dyDescent="0.25">
      <c r="A72" s="30">
        <v>106.71895716335975</v>
      </c>
      <c r="E72"/>
    </row>
    <row r="73" spans="1:40" x14ac:dyDescent="0.25">
      <c r="A73" s="30">
        <v>97.017233784872488</v>
      </c>
      <c r="C73" s="1" t="s">
        <v>13</v>
      </c>
      <c r="E73"/>
    </row>
    <row r="74" spans="1:40" x14ac:dyDescent="0.25">
      <c r="A74" s="30">
        <v>88.197485258974979</v>
      </c>
      <c r="C74" s="1">
        <f>C63</f>
        <v>0</v>
      </c>
      <c r="E74"/>
    </row>
    <row r="75" spans="1:40" x14ac:dyDescent="0.25">
      <c r="A75" s="30">
        <v>80.179532053613613</v>
      </c>
      <c r="C75"/>
      <c r="D75"/>
      <c r="E75"/>
    </row>
    <row r="76" spans="1:40" x14ac:dyDescent="0.25">
      <c r="A76" s="30">
        <v>72.890483685103277</v>
      </c>
      <c r="C76" s="1" t="s">
        <v>14</v>
      </c>
      <c r="E76"/>
    </row>
    <row r="77" spans="1:40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40" x14ac:dyDescent="0.25">
      <c r="A78" s="30">
        <v>60.240069161242367</v>
      </c>
      <c r="E78"/>
      <c r="AM78" s="27" t="s">
        <v>8</v>
      </c>
    </row>
    <row r="79" spans="1:40" x14ac:dyDescent="0.25">
      <c r="A79" s="30">
        <v>54.763699237493057</v>
      </c>
      <c r="E79"/>
      <c r="AA79" s="27" t="s">
        <v>8</v>
      </c>
      <c r="AM79" s="27" t="s">
        <v>8</v>
      </c>
      <c r="AN79" s="27" t="s">
        <v>7</v>
      </c>
    </row>
    <row r="80" spans="1:40" x14ac:dyDescent="0.25">
      <c r="A80" s="30">
        <v>49.785181124993684</v>
      </c>
      <c r="E80"/>
      <c r="AA80" s="27" t="s">
        <v>8</v>
      </c>
      <c r="AB80" s="27" t="s">
        <v>7</v>
      </c>
      <c r="AM80" s="27" t="s">
        <v>8</v>
      </c>
      <c r="AN80" s="27" t="s">
        <v>7</v>
      </c>
    </row>
    <row r="81" spans="1:46" x14ac:dyDescent="0.25">
      <c r="A81" s="30">
        <v>45.259255568176073</v>
      </c>
      <c r="E81"/>
      <c r="Y81" s="27" t="s">
        <v>8</v>
      </c>
      <c r="AA81" s="27" t="s">
        <v>8</v>
      </c>
      <c r="AB81" s="27" t="s">
        <v>7</v>
      </c>
      <c r="AM81" s="27" t="s">
        <v>8</v>
      </c>
      <c r="AN81" s="27" t="s">
        <v>7</v>
      </c>
    </row>
    <row r="82" spans="1:46" x14ac:dyDescent="0.25">
      <c r="A82" s="30">
        <v>41.144777789250973</v>
      </c>
      <c r="E82"/>
      <c r="Y82" s="27" t="s">
        <v>8</v>
      </c>
      <c r="Z82" s="27" t="s">
        <v>7</v>
      </c>
      <c r="AA82" s="27" t="s">
        <v>8</v>
      </c>
      <c r="AB82" s="27" t="s">
        <v>7</v>
      </c>
      <c r="AE82" s="27" t="s">
        <v>8</v>
      </c>
      <c r="AM82" s="27" t="s">
        <v>8</v>
      </c>
      <c r="AN82" s="27" t="s">
        <v>7</v>
      </c>
    </row>
    <row r="83" spans="1:46" x14ac:dyDescent="0.25">
      <c r="A83" s="30">
        <v>37.404343444773609</v>
      </c>
      <c r="E83"/>
      <c r="W83" s="27" t="s">
        <v>8</v>
      </c>
      <c r="Y83" s="27" t="s">
        <v>8</v>
      </c>
      <c r="Z83" s="27" t="s">
        <v>7</v>
      </c>
      <c r="AA83" s="27" t="s">
        <v>8</v>
      </c>
      <c r="AB83" s="27" t="s">
        <v>7</v>
      </c>
      <c r="AC83" s="27" t="s">
        <v>8</v>
      </c>
      <c r="AE83" s="27" t="s">
        <v>8</v>
      </c>
      <c r="AF83" s="27" t="s">
        <v>7</v>
      </c>
      <c r="AG83" s="27" t="s">
        <v>8</v>
      </c>
      <c r="AM83" s="27" t="s">
        <v>8</v>
      </c>
      <c r="AN83" s="27" t="s">
        <v>7</v>
      </c>
    </row>
    <row r="84" spans="1:46" x14ac:dyDescent="0.25">
      <c r="A84" s="30">
        <v>34.003948586157826</v>
      </c>
      <c r="E84"/>
      <c r="W84" s="27" t="s">
        <v>8</v>
      </c>
      <c r="X84" s="27" t="s">
        <v>7</v>
      </c>
      <c r="Y84" s="27" t="s">
        <v>8</v>
      </c>
      <c r="Z84" s="27" t="s">
        <v>7</v>
      </c>
      <c r="AA84" s="27" t="s">
        <v>8</v>
      </c>
      <c r="AB84" s="27" t="s">
        <v>7</v>
      </c>
      <c r="AC84" s="27" t="s">
        <v>8</v>
      </c>
      <c r="AD84" s="27" t="s">
        <v>7</v>
      </c>
      <c r="AE84" s="27" t="s">
        <v>8</v>
      </c>
      <c r="AF84" s="27" t="s">
        <v>7</v>
      </c>
      <c r="AG84" s="27" t="s">
        <v>8</v>
      </c>
      <c r="AH84" s="27" t="s">
        <v>7</v>
      </c>
      <c r="AM84" s="27" t="s">
        <v>8</v>
      </c>
      <c r="AN84" s="27" t="s">
        <v>7</v>
      </c>
    </row>
    <row r="85" spans="1:46" x14ac:dyDescent="0.25">
      <c r="A85" s="30">
        <v>30.912680532870748</v>
      </c>
      <c r="E85" t="s">
        <v>8</v>
      </c>
      <c r="W85" s="27" t="s">
        <v>8</v>
      </c>
      <c r="X85" s="27" t="s">
        <v>7</v>
      </c>
      <c r="Y85" s="27" t="s">
        <v>8</v>
      </c>
      <c r="Z85" s="27" t="s">
        <v>7</v>
      </c>
      <c r="AA85" s="27" t="s">
        <v>8</v>
      </c>
      <c r="AB85" s="27" t="s">
        <v>7</v>
      </c>
      <c r="AC85" s="27" t="s">
        <v>8</v>
      </c>
      <c r="AD85" s="27" t="s">
        <v>7</v>
      </c>
      <c r="AE85" s="27" t="s">
        <v>8</v>
      </c>
      <c r="AF85" s="27" t="s">
        <v>7</v>
      </c>
      <c r="AG85" s="27" t="s">
        <v>8</v>
      </c>
      <c r="AH85" s="27" t="s">
        <v>7</v>
      </c>
      <c r="AM85" s="27" t="s">
        <v>8</v>
      </c>
      <c r="AN85" s="27" t="s">
        <v>7</v>
      </c>
    </row>
    <row r="86" spans="1:46" x14ac:dyDescent="0.25">
      <c r="A86" s="30">
        <v>28.102436848064315</v>
      </c>
      <c r="E86" t="s">
        <v>8</v>
      </c>
      <c r="F86" s="27" t="s">
        <v>7</v>
      </c>
      <c r="U86" s="27" t="s">
        <v>8</v>
      </c>
      <c r="W86" s="27" t="s">
        <v>8</v>
      </c>
      <c r="X86" s="27" t="s">
        <v>7</v>
      </c>
      <c r="Y86" s="27" t="s">
        <v>8</v>
      </c>
      <c r="Z86" s="27" t="s">
        <v>7</v>
      </c>
      <c r="AB86" s="27" t="s">
        <v>7</v>
      </c>
      <c r="AD86" s="27" t="s">
        <v>7</v>
      </c>
      <c r="AF86" s="27" t="s">
        <v>7</v>
      </c>
      <c r="AG86" s="27" t="s">
        <v>8</v>
      </c>
      <c r="AH86" s="27" t="s">
        <v>7</v>
      </c>
      <c r="AM86" s="27" t="s">
        <v>8</v>
      </c>
      <c r="AN86" s="27" t="s">
        <v>7</v>
      </c>
      <c r="AO86" s="27" t="s">
        <v>8</v>
      </c>
    </row>
    <row r="87" spans="1:46" x14ac:dyDescent="0.25">
      <c r="A87" s="30">
        <v>25.547669861876649</v>
      </c>
      <c r="E87" t="s">
        <v>8</v>
      </c>
      <c r="F87" s="27" t="s">
        <v>7</v>
      </c>
      <c r="S87" s="27" t="s">
        <v>8</v>
      </c>
      <c r="U87" s="27" t="s">
        <v>8</v>
      </c>
      <c r="V87" s="27" t="s">
        <v>7</v>
      </c>
      <c r="W87" s="27" t="s">
        <v>8</v>
      </c>
      <c r="X87" s="27" t="s">
        <v>7</v>
      </c>
      <c r="Y87" s="27" t="s">
        <v>8</v>
      </c>
      <c r="AF87" s="27" t="s">
        <v>7</v>
      </c>
      <c r="AG87" s="27" t="s">
        <v>8</v>
      </c>
      <c r="AH87" s="27" t="s">
        <v>7</v>
      </c>
      <c r="AM87" s="27" t="s">
        <v>8</v>
      </c>
      <c r="AN87" s="27" t="s">
        <v>7</v>
      </c>
      <c r="AO87" s="27" t="s">
        <v>8</v>
      </c>
      <c r="AP87" s="27" t="s">
        <v>7</v>
      </c>
    </row>
    <row r="88" spans="1:46" x14ac:dyDescent="0.25">
      <c r="A88" s="30">
        <v>23.225154419887861</v>
      </c>
      <c r="E88" t="s">
        <v>8</v>
      </c>
      <c r="F88" s="27" t="s">
        <v>7</v>
      </c>
      <c r="S88" s="27" t="s">
        <v>8</v>
      </c>
      <c r="T88" s="27" t="s">
        <v>7</v>
      </c>
      <c r="U88" s="27" t="s">
        <v>8</v>
      </c>
      <c r="V88" s="27" t="s">
        <v>7</v>
      </c>
      <c r="W88" s="27" t="s">
        <v>8</v>
      </c>
      <c r="X88" s="27" t="s">
        <v>7</v>
      </c>
      <c r="AF88" s="27" t="s">
        <v>7</v>
      </c>
      <c r="AH88" s="27" t="s">
        <v>7</v>
      </c>
      <c r="AM88" s="27" t="s">
        <v>8</v>
      </c>
      <c r="AN88" s="27" t="s">
        <v>7</v>
      </c>
      <c r="AO88" s="27" t="s">
        <v>8</v>
      </c>
      <c r="AP88" s="27" t="s">
        <v>7</v>
      </c>
    </row>
    <row r="89" spans="1:46" x14ac:dyDescent="0.25">
      <c r="A89" s="30">
        <v>21.113776745352599</v>
      </c>
      <c r="E89" t="s">
        <v>8</v>
      </c>
      <c r="F89" s="27" t="s">
        <v>7</v>
      </c>
      <c r="S89" s="27" t="s">
        <v>8</v>
      </c>
      <c r="T89" s="27" t="s">
        <v>7</v>
      </c>
      <c r="U89" s="27" t="s">
        <v>8</v>
      </c>
      <c r="V89" s="27" t="s">
        <v>7</v>
      </c>
      <c r="W89" s="27" t="s">
        <v>8</v>
      </c>
      <c r="AH89" s="27" t="s">
        <v>7</v>
      </c>
      <c r="AI89" s="27" t="s">
        <v>8</v>
      </c>
      <c r="AM89" s="27" t="s">
        <v>8</v>
      </c>
      <c r="AN89" s="27" t="s">
        <v>7</v>
      </c>
      <c r="AP89" s="27" t="s">
        <v>7</v>
      </c>
    </row>
    <row r="90" spans="1:46" x14ac:dyDescent="0.25">
      <c r="A90" s="30">
        <v>19.194342495775089</v>
      </c>
      <c r="E90" t="s">
        <v>8</v>
      </c>
      <c r="F90" s="27" t="s">
        <v>7</v>
      </c>
      <c r="G90" s="27" t="s">
        <v>8</v>
      </c>
      <c r="S90" s="27" t="s">
        <v>8</v>
      </c>
      <c r="T90" s="27" t="s">
        <v>7</v>
      </c>
      <c r="U90" s="27" t="s">
        <v>8</v>
      </c>
      <c r="V90" s="27" t="s">
        <v>7</v>
      </c>
      <c r="W90" s="27" t="s">
        <v>8</v>
      </c>
      <c r="AH90" s="27" t="s">
        <v>7</v>
      </c>
      <c r="AI90" s="27" t="s">
        <v>8</v>
      </c>
      <c r="AJ90" s="27" t="s">
        <v>7</v>
      </c>
      <c r="AM90" s="18" t="s">
        <v>8</v>
      </c>
      <c r="AP90" s="27" t="s">
        <v>7</v>
      </c>
      <c r="AQ90" s="27" t="s">
        <v>8</v>
      </c>
    </row>
    <row r="91" spans="1:46" x14ac:dyDescent="0.25">
      <c r="A91" s="30">
        <v>17.449402268886445</v>
      </c>
      <c r="E91" t="s">
        <v>8</v>
      </c>
      <c r="F91" s="27" t="s">
        <v>7</v>
      </c>
      <c r="G91" s="27" t="s">
        <v>8</v>
      </c>
      <c r="H91" s="27" t="s">
        <v>7</v>
      </c>
      <c r="S91" s="27" t="s">
        <v>8</v>
      </c>
      <c r="T91" s="27" t="s">
        <v>7</v>
      </c>
      <c r="U91" s="27" t="s">
        <v>8</v>
      </c>
      <c r="V91" s="27" t="s">
        <v>7</v>
      </c>
      <c r="AH91" s="27" t="s">
        <v>7</v>
      </c>
      <c r="AI91" s="27" t="s">
        <v>8</v>
      </c>
      <c r="AJ91" s="27" t="s">
        <v>7</v>
      </c>
      <c r="AK91" s="27" t="s">
        <v>8</v>
      </c>
      <c r="AM91" s="27" t="s">
        <v>8</v>
      </c>
      <c r="AP91" s="27" t="s">
        <v>7</v>
      </c>
      <c r="AQ91" s="27" t="s">
        <v>8</v>
      </c>
      <c r="AR91" s="27" t="s">
        <v>7</v>
      </c>
      <c r="AS91" s="27" t="s">
        <v>8</v>
      </c>
    </row>
    <row r="92" spans="1:46" x14ac:dyDescent="0.25">
      <c r="A92" s="30">
        <v>15.863092971714948</v>
      </c>
      <c r="C92" s="1" t="s">
        <v>15</v>
      </c>
      <c r="E92" t="s">
        <v>8</v>
      </c>
      <c r="F92" s="27" t="s">
        <v>7</v>
      </c>
      <c r="G92" s="27" t="s">
        <v>8</v>
      </c>
      <c r="H92" s="27" t="s">
        <v>7</v>
      </c>
      <c r="S92" s="27" t="s">
        <v>8</v>
      </c>
      <c r="T92" s="27" t="s">
        <v>7</v>
      </c>
      <c r="AH92" s="27" t="s">
        <v>7</v>
      </c>
      <c r="AI92" s="27" t="s">
        <v>8</v>
      </c>
      <c r="AJ92" s="27" t="s">
        <v>7</v>
      </c>
      <c r="AK92" s="27" t="s">
        <v>8</v>
      </c>
      <c r="AL92" s="27" t="s">
        <v>7</v>
      </c>
      <c r="AM92" s="27" t="s">
        <v>8</v>
      </c>
      <c r="AP92" s="27" t="s">
        <v>7</v>
      </c>
      <c r="AQ92" s="27" t="s">
        <v>8</v>
      </c>
      <c r="AR92" s="27" t="s">
        <v>7</v>
      </c>
      <c r="AS92" s="27" t="s">
        <v>8</v>
      </c>
      <c r="AT92" s="27" t="s">
        <v>7</v>
      </c>
    </row>
    <row r="93" spans="1:46" x14ac:dyDescent="0.25">
      <c r="A93" s="30">
        <v>14.420993610649951</v>
      </c>
      <c r="C93" s="7">
        <v>0.11167815779424731</v>
      </c>
      <c r="D93"/>
      <c r="E93" t="s">
        <v>8</v>
      </c>
      <c r="F93" s="27" t="s">
        <v>7</v>
      </c>
      <c r="G93" s="27" t="s">
        <v>8</v>
      </c>
      <c r="H93" s="27" t="s">
        <v>7</v>
      </c>
      <c r="O93" s="27" t="s">
        <v>8</v>
      </c>
      <c r="S93" s="27" t="s">
        <v>8</v>
      </c>
      <c r="AH93" s="27" t="s">
        <v>7</v>
      </c>
      <c r="AI93" s="27" t="s">
        <v>8</v>
      </c>
      <c r="AJ93" s="27" t="s">
        <v>7</v>
      </c>
      <c r="AK93" s="27" t="s">
        <v>8</v>
      </c>
      <c r="AL93" s="27" t="s">
        <v>7</v>
      </c>
      <c r="AM93" s="27" t="s">
        <v>8</v>
      </c>
      <c r="AP93" s="27" t="s">
        <v>7</v>
      </c>
      <c r="AR93" s="27" t="s">
        <v>7</v>
      </c>
      <c r="AS93" s="27" t="s">
        <v>8</v>
      </c>
      <c r="AT93" s="27" t="s">
        <v>7</v>
      </c>
    </row>
    <row r="94" spans="1:46" x14ac:dyDescent="0.25">
      <c r="A94" s="30">
        <v>13.109994191499954</v>
      </c>
      <c r="E94" t="s">
        <v>8</v>
      </c>
      <c r="F94" s="27" t="s">
        <v>7</v>
      </c>
      <c r="H94" s="27" t="s">
        <v>7</v>
      </c>
      <c r="O94" s="27" t="s">
        <v>8</v>
      </c>
      <c r="P94" s="27" t="s">
        <v>7</v>
      </c>
      <c r="Q94" s="27" t="s">
        <v>8</v>
      </c>
      <c r="S94" s="27" t="s">
        <v>8</v>
      </c>
      <c r="AH94" s="27" t="s">
        <v>7</v>
      </c>
      <c r="AJ94" s="27" t="s">
        <v>7</v>
      </c>
      <c r="AL94" s="27" t="s">
        <v>7</v>
      </c>
      <c r="AM94" s="27" t="s">
        <v>8</v>
      </c>
      <c r="AR94" s="27" t="s">
        <v>7</v>
      </c>
      <c r="AT94" s="27" t="s">
        <v>7</v>
      </c>
    </row>
    <row r="95" spans="1:46" x14ac:dyDescent="0.25">
      <c r="A95" s="30">
        <v>11.918176537727231</v>
      </c>
      <c r="C95" s="1" t="s">
        <v>11</v>
      </c>
      <c r="D95" s="1" t="s">
        <v>12</v>
      </c>
      <c r="E95" t="s">
        <v>8</v>
      </c>
      <c r="H95" s="27" t="s">
        <v>7</v>
      </c>
      <c r="I95" s="27" t="s">
        <v>8</v>
      </c>
      <c r="K95" s="27" t="s">
        <v>8</v>
      </c>
      <c r="O95" s="27" t="s">
        <v>8</v>
      </c>
      <c r="P95" s="27" t="s">
        <v>7</v>
      </c>
      <c r="Q95" s="27" t="s">
        <v>8</v>
      </c>
      <c r="R95" s="27" t="s">
        <v>7</v>
      </c>
      <c r="S95" s="27" t="s">
        <v>8</v>
      </c>
      <c r="AL95" s="27" t="s">
        <v>7</v>
      </c>
      <c r="AM95" s="27" t="s">
        <v>8</v>
      </c>
      <c r="AT95" s="27" t="s">
        <v>7</v>
      </c>
    </row>
    <row r="96" spans="1:46" x14ac:dyDescent="0.25">
      <c r="A96" s="30">
        <v>10.834705943388391</v>
      </c>
      <c r="C96"/>
      <c r="D96"/>
      <c r="E96" t="s">
        <v>8</v>
      </c>
      <c r="H96" s="27" t="s">
        <v>7</v>
      </c>
      <c r="I96" s="27" t="s">
        <v>8</v>
      </c>
      <c r="J96" s="27" t="s">
        <v>7</v>
      </c>
      <c r="K96" s="27" t="s">
        <v>8</v>
      </c>
      <c r="L96" s="27" t="s">
        <v>7</v>
      </c>
      <c r="M96" s="27" t="s">
        <v>8</v>
      </c>
      <c r="O96" s="27" t="s">
        <v>8</v>
      </c>
      <c r="P96" s="27" t="s">
        <v>7</v>
      </c>
      <c r="Q96" s="27" t="s">
        <v>8</v>
      </c>
      <c r="R96" s="27" t="s">
        <v>7</v>
      </c>
      <c r="S96" s="27" t="s">
        <v>8</v>
      </c>
      <c r="AL96" s="27" t="s">
        <v>7</v>
      </c>
    </row>
    <row r="97" spans="1:19" x14ac:dyDescent="0.25">
      <c r="A97" s="30">
        <v>9.849732675807628</v>
      </c>
      <c r="E97" t="s">
        <v>8</v>
      </c>
      <c r="H97" s="27" t="s">
        <v>7</v>
      </c>
      <c r="I97" s="27" t="s">
        <v>8</v>
      </c>
      <c r="J97" s="27" t="s">
        <v>7</v>
      </c>
      <c r="K97" s="27" t="s">
        <v>8</v>
      </c>
      <c r="L97" s="27" t="s">
        <v>7</v>
      </c>
      <c r="M97" s="27" t="s">
        <v>8</v>
      </c>
      <c r="N97" s="27" t="s">
        <v>7</v>
      </c>
      <c r="O97" s="27" t="s">
        <v>8</v>
      </c>
      <c r="P97" s="27" t="s">
        <v>7</v>
      </c>
      <c r="R97" s="27" t="s">
        <v>7</v>
      </c>
      <c r="S97" s="27" t="s">
        <v>8</v>
      </c>
    </row>
    <row r="98" spans="1:19" x14ac:dyDescent="0.25">
      <c r="A98" s="30">
        <v>8.9543024325523888</v>
      </c>
      <c r="C98" s="1" t="s">
        <v>13</v>
      </c>
      <c r="E98" t="s">
        <v>8</v>
      </c>
      <c r="H98" s="27" t="s">
        <v>7</v>
      </c>
      <c r="J98" s="27" t="s">
        <v>7</v>
      </c>
      <c r="K98" s="27" t="s">
        <v>8</v>
      </c>
      <c r="L98" s="27" t="s">
        <v>7</v>
      </c>
      <c r="M98" s="27" t="s">
        <v>8</v>
      </c>
      <c r="N98" s="27" t="s">
        <v>7</v>
      </c>
      <c r="O98" s="27" t="s">
        <v>8</v>
      </c>
      <c r="R98" s="27" t="s">
        <v>7</v>
      </c>
    </row>
    <row r="99" spans="1:19" x14ac:dyDescent="0.25">
      <c r="A99" s="30">
        <v>8.140274938683989</v>
      </c>
      <c r="C99" s="1">
        <f>C88</f>
        <v>0</v>
      </c>
      <c r="E99" t="s">
        <v>8</v>
      </c>
      <c r="J99" s="27" t="s">
        <v>7</v>
      </c>
      <c r="L99" s="27" t="s">
        <v>7</v>
      </c>
      <c r="N99" s="27" t="s">
        <v>7</v>
      </c>
    </row>
    <row r="100" spans="1:19" x14ac:dyDescent="0.25">
      <c r="A100" s="30">
        <v>7.4002499442581717</v>
      </c>
      <c r="C100"/>
      <c r="D100"/>
      <c r="E100" t="s">
        <v>8</v>
      </c>
    </row>
    <row r="101" spans="1:19" x14ac:dyDescent="0.25">
      <c r="A101" s="30">
        <v>6.72749994932561</v>
      </c>
      <c r="C101" s="1" t="s">
        <v>14</v>
      </c>
      <c r="E101" t="s">
        <v>8</v>
      </c>
    </row>
    <row r="102" spans="1:19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19" x14ac:dyDescent="0.25">
      <c r="A103" s="30">
        <v>5.5599173134922388</v>
      </c>
      <c r="E103" t="s">
        <v>8</v>
      </c>
    </row>
    <row r="104" spans="1:19" x14ac:dyDescent="0.25">
      <c r="A104" s="30">
        <v>5.0544702849929442</v>
      </c>
      <c r="E104" t="s">
        <v>8</v>
      </c>
    </row>
    <row r="105" spans="1:19" x14ac:dyDescent="0.25">
      <c r="A105" s="30">
        <v>4.594972986357222</v>
      </c>
      <c r="E105" t="s">
        <v>8</v>
      </c>
    </row>
    <row r="106" spans="1:19" x14ac:dyDescent="0.25">
      <c r="A106" s="30">
        <v>4.1772481694156562</v>
      </c>
      <c r="E106" t="s">
        <v>8</v>
      </c>
    </row>
    <row r="107" spans="1:19" x14ac:dyDescent="0.25">
      <c r="A107" s="30">
        <v>3.7974983358324148</v>
      </c>
      <c r="E107" t="s">
        <v>8</v>
      </c>
    </row>
    <row r="108" spans="1:19" x14ac:dyDescent="0.25">
      <c r="A108" s="30">
        <v>3.4522712143931042</v>
      </c>
      <c r="E108" t="s">
        <v>8</v>
      </c>
    </row>
    <row r="109" spans="1:19" x14ac:dyDescent="0.25">
      <c r="A109" s="30">
        <v>3.1384283767210035</v>
      </c>
      <c r="E109" t="s">
        <v>8</v>
      </c>
    </row>
    <row r="110" spans="1:19" x14ac:dyDescent="0.25">
      <c r="A110" s="30">
        <v>2.8531167061100029</v>
      </c>
      <c r="E110" t="s">
        <v>8</v>
      </c>
    </row>
    <row r="111" spans="1:19" x14ac:dyDescent="0.25">
      <c r="A111" s="30">
        <v>2.5937424601000023</v>
      </c>
      <c r="C111" s="1" t="str">
        <f>ADDRESS(C121-1,1,1,1)</f>
        <v>$A$94</v>
      </c>
      <c r="D111" s="1" t="str">
        <f>ADDRESS(C121-1,D121,1,1)</f>
        <v>$AT$94</v>
      </c>
      <c r="E111" t="s">
        <v>8</v>
      </c>
    </row>
    <row r="112" spans="1:19" x14ac:dyDescent="0.25">
      <c r="A112" s="30">
        <v>2.3579476910000019</v>
      </c>
      <c r="C112" s="1" t="str">
        <f>ADDRESS(C121,1,1,1)</f>
        <v>$A$95</v>
      </c>
      <c r="D112" s="1" t="str">
        <f>ADDRESS(C121,D121-1,1,1)</f>
        <v>$AS$95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$A$96</v>
      </c>
      <c r="D113" s="1" t="str">
        <f>ADDRESS(C121-1,D121+1,1,1)</f>
        <v>$AU$94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$AT$95</v>
      </c>
      <c r="D114" s="1" t="str">
        <f>ADDRESS(C121+1,D121+1,1,1)</f>
        <v>$AU$96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$AT$96</v>
      </c>
      <c r="E115" s="1" t="s">
        <v>8</v>
      </c>
    </row>
    <row r="116" spans="1:5" x14ac:dyDescent="0.25">
      <c r="A116" s="30">
        <v>1.6105100000000008</v>
      </c>
      <c r="C116" s="1">
        <f>C117-1</f>
        <v>94</v>
      </c>
      <c r="E116" s="1" t="s">
        <v>8</v>
      </c>
    </row>
    <row r="117" spans="1:5" x14ac:dyDescent="0.25">
      <c r="A117" s="30">
        <v>1.4641000000000006</v>
      </c>
      <c r="C117" s="1">
        <f>C121</f>
        <v>95</v>
      </c>
      <c r="D117" s="1">
        <f>D121</f>
        <v>46</v>
      </c>
      <c r="E117" s="1" t="s">
        <v>8</v>
      </c>
    </row>
    <row r="118" spans="1:5" x14ac:dyDescent="0.25">
      <c r="A118" s="30">
        <v>1.3310000000000004</v>
      </c>
      <c r="C118" s="1">
        <f>C117+1</f>
        <v>96</v>
      </c>
      <c r="D118" s="1">
        <f>D117+1</f>
        <v>47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95</v>
      </c>
      <c r="D121" s="19">
        <v>46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R95</v>
      </c>
      <c r="D123" s="1" t="str">
        <f>"C"&amp;D121</f>
        <v>C46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11.918176537727231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07" operator="equal">
      <formula>$U$1</formula>
    </cfRule>
    <cfRule type="cellIs" dxfId="30" priority="808" operator="equal">
      <formula>$S$1</formula>
    </cfRule>
  </conditionalFormatting>
  <conditionalFormatting sqref="D136">
    <cfRule type="cellIs" dxfId="29" priority="805" operator="equal">
      <formula>$S$1</formula>
    </cfRule>
    <cfRule type="cellIs" dxfId="28" priority="806" operator="equal">
      <formula>$U$1</formula>
    </cfRule>
  </conditionalFormatting>
  <conditionalFormatting sqref="C102">
    <cfRule type="cellIs" dxfId="27" priority="803" operator="equal">
      <formula>$U$1</formula>
    </cfRule>
    <cfRule type="cellIs" dxfId="26" priority="804" operator="equal">
      <formula>$S$1</formula>
    </cfRule>
  </conditionalFormatting>
  <conditionalFormatting sqref="D102">
    <cfRule type="cellIs" dxfId="25" priority="801" operator="equal">
      <formula>$S$1</formula>
    </cfRule>
    <cfRule type="cellIs" dxfId="24" priority="802" operator="equal">
      <formula>$U$1</formula>
    </cfRule>
  </conditionalFormatting>
  <conditionalFormatting sqref="C77">
    <cfRule type="cellIs" dxfId="23" priority="799" operator="equal">
      <formula>$U$1</formula>
    </cfRule>
    <cfRule type="cellIs" dxfId="22" priority="800" operator="equal">
      <formula>$S$1</formula>
    </cfRule>
  </conditionalFormatting>
  <conditionalFormatting sqref="D77">
    <cfRule type="cellIs" dxfId="21" priority="797" operator="equal">
      <formula>$S$1</formula>
    </cfRule>
    <cfRule type="cellIs" dxfId="20" priority="798" operator="equal">
      <formula>$U$1</formula>
    </cfRule>
  </conditionalFormatting>
  <conditionalFormatting sqref="C52">
    <cfRule type="cellIs" dxfId="19" priority="795" operator="equal">
      <formula>$U$1</formula>
    </cfRule>
    <cfRule type="cellIs" dxfId="18" priority="796" operator="equal">
      <formula>$S$1</formula>
    </cfRule>
  </conditionalFormatting>
  <conditionalFormatting sqref="D52">
    <cfRule type="cellIs" dxfId="17" priority="793" operator="equal">
      <formula>$S$1</formula>
    </cfRule>
    <cfRule type="cellIs" dxfId="16" priority="794" operator="equal">
      <formula>$U$1</formula>
    </cfRule>
  </conditionalFormatting>
  <conditionalFormatting sqref="C26">
    <cfRule type="cellIs" dxfId="15" priority="791" operator="equal">
      <formula>$U$1</formula>
    </cfRule>
    <cfRule type="cellIs" dxfId="14" priority="792" operator="equal">
      <formula>$S$1</formula>
    </cfRule>
  </conditionalFormatting>
  <conditionalFormatting sqref="D26">
    <cfRule type="cellIs" dxfId="13" priority="789" operator="equal">
      <formula>$S$1</formula>
    </cfRule>
    <cfRule type="cellIs" dxfId="12" priority="790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2022-01-28T01:20:21Z</dcterms:modified>
</cp:coreProperties>
</file>