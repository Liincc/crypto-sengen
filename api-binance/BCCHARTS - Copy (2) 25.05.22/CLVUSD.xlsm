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87B0A98-DF1C-47ED-9CBD-050F59DEDF2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44" i="1"/>
  <c r="T74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22" i="5"/>
  <c r="C133" i="5" s="1"/>
  <c r="D136" i="5" s="1"/>
  <c r="C116" i="4"/>
  <c r="C118" i="4"/>
  <c r="C122" i="3"/>
  <c r="C133" i="3" s="1"/>
  <c r="D136" i="3" s="1"/>
  <c r="R743" i="1"/>
  <c r="C118" i="3"/>
  <c r="D136" i="4" l="1"/>
  <c r="C138" i="4" s="1"/>
  <c r="C136" i="5"/>
  <c r="C138" i="5" s="1"/>
  <c r="C136" i="3"/>
  <c r="C138" i="3" s="1"/>
  <c r="R742" i="1"/>
  <c r="S743" i="1"/>
  <c r="T743" i="1" s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S673" i="1" l="1"/>
  <c r="T673" i="1" s="1"/>
  <c r="R672" i="1"/>
  <c r="S672" i="1" l="1"/>
  <c r="T672" i="1" s="1"/>
  <c r="R671" i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R654" i="1" l="1"/>
  <c r="S655" i="1"/>
  <c r="T655" i="1" s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R348" i="1" l="1"/>
  <c r="S349" i="1"/>
  <c r="T349" i="1" s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R226" i="1" l="1"/>
  <c r="S227" i="1"/>
  <c r="T227" i="1" s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<sst xmlns="http://schemas.openxmlformats.org/spreadsheetml/2006/main" count="1947" uniqueCount="34">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</sst>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0.33900000000000002</c:v>
                </c:pt>
                <c:pt idx="1">
                  <c:v>0.34599999999999997</c:v>
                </c:pt>
                <c:pt idx="2">
                  <c:v>0.36199999999999999</c:v>
                </c:pt>
                <c:pt idx="3">
                  <c:v>0.376</c:v>
                </c:pt>
                <c:pt idx="4">
                  <c:v>0.41099999999999998</c:v>
                </c:pt>
                <c:pt idx="5">
                  <c:v>0.41499999999999998</c:v>
                </c:pt>
                <c:pt idx="6">
                  <c:v>0.44700000000000001</c:v>
                </c:pt>
                <c:pt idx="7">
                  <c:v>0.53900000000000003</c:v>
                </c:pt>
                <c:pt idx="8">
                  <c:v>0.57199999999999995</c:v>
                </c:pt>
                <c:pt idx="9">
                  <c:v>0.58199999999999996</c:v>
                </c:pt>
                <c:pt idx="10">
                  <c:v>0.56899999999999995</c:v>
                </c:pt>
                <c:pt idx="11">
                  <c:v>0.625</c:v>
                </c:pt>
                <c:pt idx="12">
                  <c:v>0.63800000000000001</c:v>
                </c:pt>
                <c:pt idx="13">
                  <c:v>0.67300000000000004</c:v>
                </c:pt>
                <c:pt idx="14">
                  <c:v>0.64300000000000002</c:v>
                </c:pt>
                <c:pt idx="15">
                  <c:v>0.61199999999999999</c:v>
                </c:pt>
                <c:pt idx="16">
                  <c:v>0.58299999999999996</c:v>
                </c:pt>
                <c:pt idx="17">
                  <c:v>0.54900000000000004</c:v>
                </c:pt>
                <c:pt idx="18">
                  <c:v>0.58699999999999997</c:v>
                </c:pt>
                <c:pt idx="19">
                  <c:v>0.58099999999999996</c:v>
                </c:pt>
                <c:pt idx="20">
                  <c:v>0.60399999999999998</c:v>
                </c:pt>
                <c:pt idx="21">
                  <c:v>0.64</c:v>
                </c:pt>
                <c:pt idx="22">
                  <c:v>0.63800000000000001</c:v>
                </c:pt>
                <c:pt idx="23">
                  <c:v>0.70099999999999996</c:v>
                </c:pt>
                <c:pt idx="24">
                  <c:v>0.71299999999999997</c:v>
                </c:pt>
                <c:pt idx="25">
                  <c:v>0.74299999999999999</c:v>
                </c:pt>
                <c:pt idx="26">
                  <c:v>0.75700000000000001</c:v>
                </c:pt>
                <c:pt idx="27">
                  <c:v>0.70299999999999996</c:v>
                </c:pt>
                <c:pt idx="28">
                  <c:v>0.72699999999999998</c:v>
                </c:pt>
                <c:pt idx="29">
                  <c:v>0.71299999999999997</c:v>
                </c:pt>
                <c:pt idx="30">
                  <c:v>0.72299999999999998</c:v>
                </c:pt>
                <c:pt idx="31">
                  <c:v>0.78500000000000003</c:v>
                </c:pt>
                <c:pt idx="32">
                  <c:v>0.80800000000000005</c:v>
                </c:pt>
                <c:pt idx="33">
                  <c:v>0.80500000000000005</c:v>
                </c:pt>
                <c:pt idx="34">
                  <c:v>0.79300000000000004</c:v>
                </c:pt>
                <c:pt idx="35">
                  <c:v>0.82399999999999995</c:v>
                </c:pt>
                <c:pt idx="36">
                  <c:v>0.78600000000000003</c:v>
                </c:pt>
                <c:pt idx="37">
                  <c:v>0.77400000000000002</c:v>
                </c:pt>
                <c:pt idx="38">
                  <c:v>0.754</c:v>
                </c:pt>
                <c:pt idx="39">
                  <c:v>0.76600000000000001</c:v>
                </c:pt>
                <c:pt idx="40">
                  <c:v>0.79</c:v>
                </c:pt>
                <c:pt idx="41">
                  <c:v>0.78300000000000003</c:v>
                </c:pt>
                <c:pt idx="42">
                  <c:v>0.83399999999999996</c:v>
                </c:pt>
                <c:pt idx="43">
                  <c:v>0.78600000000000003</c:v>
                </c:pt>
                <c:pt idx="44">
                  <c:v>0.78400000000000003</c:v>
                </c:pt>
                <c:pt idx="45">
                  <c:v>0.81200000000000006</c:v>
                </c:pt>
                <c:pt idx="46">
                  <c:v>0.96499999999999997</c:v>
                </c:pt>
                <c:pt idx="47">
                  <c:v>0.71399999999999997</c:v>
                </c:pt>
                <c:pt idx="48">
                  <c:v>0.70199999999999996</c:v>
                </c:pt>
                <c:pt idx="49">
                  <c:v>0.753</c:v>
                </c:pt>
                <c:pt idx="50">
                  <c:v>0.84499999999999997</c:v>
                </c:pt>
                <c:pt idx="51">
                  <c:v>0.82</c:v>
                </c:pt>
                <c:pt idx="52">
                  <c:v>0.85399999999999998</c:v>
                </c:pt>
                <c:pt idx="53">
                  <c:v>0.85599999999999998</c:v>
                </c:pt>
                <c:pt idx="54">
                  <c:v>0.90300000000000002</c:v>
                </c:pt>
                <c:pt idx="55">
                  <c:v>1.0649999999999999</c:v>
                </c:pt>
                <c:pt idx="56">
                  <c:v>1.107</c:v>
                </c:pt>
                <c:pt idx="57">
                  <c:v>1.089</c:v>
                </c:pt>
                <c:pt idx="58">
                  <c:v>1.103</c:v>
                </c:pt>
                <c:pt idx="59">
                  <c:v>1.1499999999999999</c:v>
                </c:pt>
                <c:pt idx="60">
                  <c:v>1.1619999999999999</c:v>
                </c:pt>
                <c:pt idx="61">
                  <c:v>1.147</c:v>
                </c:pt>
                <c:pt idx="62">
                  <c:v>1.0960000000000001</c:v>
                </c:pt>
                <c:pt idx="63">
                  <c:v>1.2150000000000001</c:v>
                </c:pt>
                <c:pt idx="64">
                  <c:v>1.1140000000000001</c:v>
                </c:pt>
                <c:pt idx="65">
                  <c:v>1.125</c:v>
                </c:pt>
                <c:pt idx="66">
                  <c:v>1.1319999999999999</c:v>
                </c:pt>
                <c:pt idx="67">
                  <c:v>1.204</c:v>
                </c:pt>
                <c:pt idx="68">
                  <c:v>1.153</c:v>
                </c:pt>
                <c:pt idx="69">
                  <c:v>1.1279999999999999</c:v>
                </c:pt>
                <c:pt idx="70">
                  <c:v>1.0720000000000001</c:v>
                </c:pt>
                <c:pt idx="71">
                  <c:v>1.1779999999999999</c:v>
                </c:pt>
                <c:pt idx="72">
                  <c:v>1.1499999999999999</c:v>
                </c:pt>
                <c:pt idx="73">
                  <c:v>1.2889999999999999</c:v>
                </c:pt>
                <c:pt idx="74">
                  <c:v>1.218</c:v>
                </c:pt>
                <c:pt idx="75">
                  <c:v>1.2110000000000001</c:v>
                </c:pt>
                <c:pt idx="76">
                  <c:v>1.2230000000000001</c:v>
                </c:pt>
                <c:pt idx="77">
                  <c:v>1.286</c:v>
                </c:pt>
                <c:pt idx="78">
                  <c:v>1.2370000000000001</c:v>
                </c:pt>
                <c:pt idx="79">
                  <c:v>1.3340000000000001</c:v>
                </c:pt>
                <c:pt idx="80">
                  <c:v>1.391</c:v>
                </c:pt>
                <c:pt idx="81">
                  <c:v>1.419</c:v>
                </c:pt>
                <c:pt idx="82">
                  <c:v>1.3819999999999999</c:v>
                </c:pt>
                <c:pt idx="83">
                  <c:v>1.36</c:v>
                </c:pt>
                <c:pt idx="84">
                  <c:v>1.4159999999999999</c:v>
                </c:pt>
                <c:pt idx="85">
                  <c:v>1.3859999999999999</c:v>
                </c:pt>
                <c:pt idx="86">
                  <c:v>1.367</c:v>
                </c:pt>
                <c:pt idx="87">
                  <c:v>1.2949999999999999</c:v>
                </c:pt>
                <c:pt idx="88">
                  <c:v>1.2010000000000001</c:v>
                </c:pt>
                <c:pt idx="89">
                  <c:v>1.121</c:v>
                </c:pt>
                <c:pt idx="90">
                  <c:v>1.157</c:v>
                </c:pt>
                <c:pt idx="91">
                  <c:v>1.129</c:v>
                </c:pt>
                <c:pt idx="92">
                  <c:v>1.071</c:v>
                </c:pt>
                <c:pt idx="93">
                  <c:v>1.198</c:v>
                </c:pt>
                <c:pt idx="94">
                  <c:v>1.1950000000000001</c:v>
                </c:pt>
                <c:pt idx="95">
                  <c:v>1.1830000000000001</c:v>
                </c:pt>
                <c:pt idx="96">
                  <c:v>1.2450000000000001</c:v>
                </c:pt>
                <c:pt idx="97">
                  <c:v>1.23</c:v>
                </c:pt>
                <c:pt idx="98">
                  <c:v>1.21</c:v>
                </c:pt>
                <c:pt idx="99">
                  <c:v>1.2809999999999999</c:v>
                </c:pt>
                <c:pt idx="100">
                  <c:v>1.2370000000000001</c:v>
                </c:pt>
                <c:pt idx="101">
                  <c:v>1.2909999999999999</c:v>
                </c:pt>
                <c:pt idx="102">
                  <c:v>1.3320000000000001</c:v>
                </c:pt>
                <c:pt idx="103">
                  <c:v>1.286</c:v>
                </c:pt>
                <c:pt idx="104">
                  <c:v>1.2470000000000001</c:v>
                </c:pt>
                <c:pt idx="105">
                  <c:v>1.212</c:v>
                </c:pt>
                <c:pt idx="106">
                  <c:v>1.1930000000000001</c:v>
                </c:pt>
                <c:pt idx="107">
                  <c:v>1.145</c:v>
                </c:pt>
                <c:pt idx="108">
                  <c:v>1.171</c:v>
                </c:pt>
                <c:pt idx="109">
                  <c:v>1.1830000000000001</c:v>
                </c:pt>
                <c:pt idx="110">
                  <c:v>1.2609999999999999</c:v>
                </c:pt>
                <c:pt idx="111">
                  <c:v>1.19</c:v>
                </c:pt>
                <c:pt idx="112">
                  <c:v>1.236</c:v>
                </c:pt>
                <c:pt idx="113">
                  <c:v>1.069</c:v>
                </c:pt>
                <c:pt idx="114">
                  <c:v>1.117</c:v>
                </c:pt>
                <c:pt idx="115">
                  <c:v>1.093</c:v>
                </c:pt>
                <c:pt idx="116">
                  <c:v>1.1559999999999999</c:v>
                </c:pt>
                <c:pt idx="117">
                  <c:v>1.137</c:v>
                </c:pt>
                <c:pt idx="118">
                  <c:v>1.157</c:v>
                </c:pt>
                <c:pt idx="119">
                  <c:v>1.115</c:v>
                </c:pt>
                <c:pt idx="120">
                  <c:v>0.98499999999999999</c:v>
                </c:pt>
                <c:pt idx="121">
                  <c:v>1.01</c:v>
                </c:pt>
                <c:pt idx="122">
                  <c:v>1.036</c:v>
                </c:pt>
                <c:pt idx="123">
                  <c:v>1.0409999999999999</c:v>
                </c:pt>
                <c:pt idx="124">
                  <c:v>1.121</c:v>
                </c:pt>
                <c:pt idx="125">
                  <c:v>1.157</c:v>
                </c:pt>
                <c:pt idx="126">
                  <c:v>1.228</c:v>
                </c:pt>
                <c:pt idx="127">
                  <c:v>1.244</c:v>
                </c:pt>
                <c:pt idx="128">
                  <c:v>1.1539999999999999</c:v>
                </c:pt>
                <c:pt idx="129">
                  <c:v>1.1990000000000001</c:v>
                </c:pt>
                <c:pt idx="130">
                  <c:v>1.304</c:v>
                </c:pt>
                <c:pt idx="131">
                  <c:v>1.3420000000000001</c:v>
                </c:pt>
                <c:pt idx="132">
                  <c:v>1.2989999999999999</c:v>
                </c:pt>
                <c:pt idx="133">
                  <c:v>1.36</c:v>
                </c:pt>
                <c:pt idx="134">
                  <c:v>1.4359999999999999</c:v>
                </c:pt>
                <c:pt idx="135">
                  <c:v>1.4590000000000001</c:v>
                </c:pt>
                <c:pt idx="136">
                  <c:v>1.4119999999999999</c:v>
                </c:pt>
                <c:pt idx="137">
                  <c:v>1.5349999999999999</c:v>
                </c:pt>
                <c:pt idx="138">
                  <c:v>1.554</c:v>
                </c:pt>
                <c:pt idx="139">
                  <c:v>1.278</c:v>
                </c:pt>
                <c:pt idx="140">
                  <c:v>1.393</c:v>
                </c:pt>
                <c:pt idx="141">
                  <c:v>1.2909999999999999</c:v>
                </c:pt>
                <c:pt idx="142">
                  <c:v>1.3540000000000001</c:v>
                </c:pt>
                <c:pt idx="143">
                  <c:v>1.6579999999999999</c:v>
                </c:pt>
                <c:pt idx="144">
                  <c:v>1.7010000000000001</c:v>
                </c:pt>
                <c:pt idx="145">
                  <c:v>1.714</c:v>
                </c:pt>
                <c:pt idx="146">
                  <c:v>1.796</c:v>
                </c:pt>
                <c:pt idx="147">
                  <c:v>1.7470000000000001</c:v>
                </c:pt>
                <c:pt idx="148">
                  <c:v>1.782</c:v>
                </c:pt>
                <c:pt idx="149">
                  <c:v>1.7649999999999999</c:v>
                </c:pt>
                <c:pt idx="150">
                  <c:v>1.6970000000000001</c:v>
                </c:pt>
                <c:pt idx="151">
                  <c:v>1.607</c:v>
                </c:pt>
                <c:pt idx="152">
                  <c:v>1.7190000000000001</c:v>
                </c:pt>
                <c:pt idx="153">
                  <c:v>1.619</c:v>
                </c:pt>
                <c:pt idx="154">
                  <c:v>1.482</c:v>
                </c:pt>
                <c:pt idx="155">
                  <c:v>1.5860000000000001</c:v>
                </c:pt>
                <c:pt idx="156">
                  <c:v>1.421</c:v>
                </c:pt>
                <c:pt idx="157">
                  <c:v>1.5409999999999999</c:v>
                </c:pt>
                <c:pt idx="158">
                  <c:v>1.52</c:v>
                </c:pt>
                <c:pt idx="159">
                  <c:v>1.5580000000000001</c:v>
                </c:pt>
                <c:pt idx="160">
                  <c:v>1.615</c:v>
                </c:pt>
                <c:pt idx="161">
                  <c:v>1.6639999999999999</c:v>
                </c:pt>
                <c:pt idx="162">
                  <c:v>1.5589999999999999</c:v>
                </c:pt>
                <c:pt idx="163">
                  <c:v>1.5620000000000001</c:v>
                </c:pt>
                <c:pt idx="164">
                  <c:v>1.897</c:v>
                </c:pt>
                <c:pt idx="165">
                  <c:v>1.546</c:v>
                </c:pt>
                <c:pt idx="166">
                  <c:v>1.51</c:v>
                </c:pt>
                <c:pt idx="167">
                  <c:v>1.4570000000000001</c:v>
                </c:pt>
                <c:pt idx="168">
                  <c:v>1.5429999999999999</c:v>
                </c:pt>
                <c:pt idx="169">
                  <c:v>1.236</c:v>
                </c:pt>
                <c:pt idx="170">
                  <c:v>1.238</c:v>
                </c:pt>
                <c:pt idx="171">
                  <c:v>1.081</c:v>
                </c:pt>
                <c:pt idx="172">
                  <c:v>1.018</c:v>
                </c:pt>
                <c:pt idx="173">
                  <c:v>1.0720000000000001</c:v>
                </c:pt>
                <c:pt idx="174">
                  <c:v>1.0580000000000001</c:v>
                </c:pt>
                <c:pt idx="175">
                  <c:v>1.0569999999999999</c:v>
                </c:pt>
                <c:pt idx="176">
                  <c:v>1.137</c:v>
                </c:pt>
                <c:pt idx="177">
                  <c:v>1.016</c:v>
                </c:pt>
                <c:pt idx="178">
                  <c:v>1.087</c:v>
                </c:pt>
                <c:pt idx="179">
                  <c:v>1.1120000000000001</c:v>
                </c:pt>
                <c:pt idx="180">
                  <c:v>1.1879999999999999</c:v>
                </c:pt>
                <c:pt idx="181">
                  <c:v>1.2070000000000001</c:v>
                </c:pt>
                <c:pt idx="182">
                  <c:v>1.282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5-43BC-AF7F-6AD5E5AE90A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-3.4467894908429755</c:v>
                </c:pt>
                <c:pt idx="1">
                  <c:v>-3.4414893579096422</c:v>
                </c:pt>
                <c:pt idx="2">
                  <c:v>-3.3445179162500671</c:v>
                </c:pt>
                <c:pt idx="3">
                  <c:v>-3.312989487321496</c:v>
                </c:pt>
                <c:pt idx="4">
                  <c:v>-3.2959268824863308</c:v>
                </c:pt>
                <c:pt idx="5">
                  <c:v>-3.2788700414015848</c:v>
                </c:pt>
                <c:pt idx="6">
                  <c:v>-3.3002858415867697</c:v>
                </c:pt>
                <c:pt idx="7">
                  <c:v>-3.2114958697140423</c:v>
                </c:pt>
                <c:pt idx="8">
                  <c:v>-3.1552597591402725</c:v>
                </c:pt>
                <c:pt idx="9">
                  <c:v>-2.9686726437744184</c:v>
                </c:pt>
                <c:pt idx="10">
                  <c:v>-2.9773878546315609</c:v>
                </c:pt>
                <c:pt idx="11">
                  <c:v>-2.9314007603374432</c:v>
                </c:pt>
                <c:pt idx="12">
                  <c:v>-2.8858350014485543</c:v>
                </c:pt>
                <c:pt idx="13">
                  <c:v>-2.7952836718485545</c:v>
                </c:pt>
                <c:pt idx="14">
                  <c:v>-2.5916858380024008</c:v>
                </c:pt>
                <c:pt idx="15">
                  <c:v>-2.5054918260436385</c:v>
                </c:pt>
                <c:pt idx="16">
                  <c:v>-2.5274576892529406</c:v>
                </c:pt>
                <c:pt idx="17">
                  <c:v>-2.5494724586647055</c:v>
                </c:pt>
                <c:pt idx="18">
                  <c:v>-2.5227477014258999</c:v>
                </c:pt>
                <c:pt idx="19">
                  <c:v>-2.5206973457502242</c:v>
                </c:pt>
                <c:pt idx="20">
                  <c:v>-2.514159995169579</c:v>
                </c:pt>
                <c:pt idx="21">
                  <c:v>-2.5154626868838643</c:v>
                </c:pt>
                <c:pt idx="22">
                  <c:v>-2.5567419307706567</c:v>
                </c:pt>
                <c:pt idx="23">
                  <c:v>-2.5310932664823684</c:v>
                </c:pt>
                <c:pt idx="24">
                  <c:v>-2.5046468381720239</c:v>
                </c:pt>
                <c:pt idx="25">
                  <c:v>-2.5013057791720232</c:v>
                </c:pt>
                <c:pt idx="26">
                  <c:v>-2.494768360487813</c:v>
                </c:pt>
                <c:pt idx="27">
                  <c:v>-2.5095133795015117</c:v>
                </c:pt>
                <c:pt idx="28">
                  <c:v>-2.4898874707142777</c:v>
                </c:pt>
                <c:pt idx="29">
                  <c:v>-2.4926060324817194</c:v>
                </c:pt>
                <c:pt idx="30">
                  <c:v>-2.4675504321890367</c:v>
                </c:pt>
                <c:pt idx="31">
                  <c:v>-2.4276425351637205</c:v>
                </c:pt>
                <c:pt idx="32">
                  <c:v>-2.3435044391637203</c:v>
                </c:pt>
                <c:pt idx="33">
                  <c:v>-2.3571308023637205</c:v>
                </c:pt>
                <c:pt idx="34">
                  <c:v>-2.351292043834309</c:v>
                </c:pt>
                <c:pt idx="35">
                  <c:v>-2.3127042733676424</c:v>
                </c:pt>
                <c:pt idx="36">
                  <c:v>-2.3179830904076426</c:v>
                </c:pt>
                <c:pt idx="37">
                  <c:v>-2.3179830904076426</c:v>
                </c:pt>
                <c:pt idx="38">
                  <c:v>-2.3167725692076422</c:v>
                </c:pt>
                <c:pt idx="39">
                  <c:v>-2.3251395514440061</c:v>
                </c:pt>
                <c:pt idx="40">
                  <c:v>-2.3000180652675355</c:v>
                </c:pt>
                <c:pt idx="41">
                  <c:v>-2.3065514721997387</c:v>
                </c:pt>
                <c:pt idx="42">
                  <c:v>-2.2743319148872394</c:v>
                </c:pt>
                <c:pt idx="43">
                  <c:v>-2.2046473618872389</c:v>
                </c:pt>
                <c:pt idx="44">
                  <c:v>-2.2383080436680607</c:v>
                </c:pt>
                <c:pt idx="45">
                  <c:v>-2.2346739899862427</c:v>
                </c:pt>
                <c:pt idx="46">
                  <c:v>-2.0718793794777683</c:v>
                </c:pt>
                <c:pt idx="47">
                  <c:v>-2.1999809742368921</c:v>
                </c:pt>
                <c:pt idx="48">
                  <c:v>-2.2008286077530212</c:v>
                </c:pt>
                <c:pt idx="49">
                  <c:v>-2.1365097885307986</c:v>
                </c:pt>
                <c:pt idx="50">
                  <c:v>-2.0958507765658863</c:v>
                </c:pt>
                <c:pt idx="51">
                  <c:v>-2.130268306489937</c:v>
                </c:pt>
                <c:pt idx="52">
                  <c:v>-2.0571174101133134</c:v>
                </c:pt>
                <c:pt idx="53">
                  <c:v>-2.1116070754594669</c:v>
                </c:pt>
                <c:pt idx="54">
                  <c:v>-2.1052065832896556</c:v>
                </c:pt>
                <c:pt idx="55">
                  <c:v>-2.1050122402599825</c:v>
                </c:pt>
                <c:pt idx="56">
                  <c:v>-2.0711607720158876</c:v>
                </c:pt>
                <c:pt idx="57">
                  <c:v>-2.0977155669124392</c:v>
                </c:pt>
                <c:pt idx="58">
                  <c:v>-2.0646975303669848</c:v>
                </c:pt>
                <c:pt idx="59">
                  <c:v>-2.0369002278669845</c:v>
                </c:pt>
                <c:pt idx="60">
                  <c:v>-2.0333327847760754</c:v>
                </c:pt>
                <c:pt idx="61">
                  <c:v>-2.0297622643475042</c:v>
                </c:pt>
                <c:pt idx="62">
                  <c:v>-2.0367755341862139</c:v>
                </c:pt>
                <c:pt idx="63">
                  <c:v>-2.0088646627669999</c:v>
                </c:pt>
                <c:pt idx="64">
                  <c:v>-2.0182835311540965</c:v>
                </c:pt>
                <c:pt idx="65">
                  <c:v>-2.0125551460189617</c:v>
                </c:pt>
                <c:pt idx="66">
                  <c:v>-2.009498103655325</c:v>
                </c:pt>
                <c:pt idx="67">
                  <c:v>-1.9897997169886583</c:v>
                </c:pt>
                <c:pt idx="68">
                  <c:v>-1.9984118225021716</c:v>
                </c:pt>
                <c:pt idx="69">
                  <c:v>-2.0046885238899268</c:v>
                </c:pt>
                <c:pt idx="70">
                  <c:v>-2.0207172766133308</c:v>
                </c:pt>
                <c:pt idx="71">
                  <c:v>-1.9778548662484661</c:v>
                </c:pt>
                <c:pt idx="72">
                  <c:v>-2.0037581811743923</c:v>
                </c:pt>
                <c:pt idx="73">
                  <c:v>-1.9801167506574839</c:v>
                </c:pt>
                <c:pt idx="74">
                  <c:v>-1.9900706321647301</c:v>
                </c:pt>
                <c:pt idx="75">
                  <c:v>-1.9891072122590696</c:v>
                </c:pt>
                <c:pt idx="76">
                  <c:v>-1.9839277414764611</c:v>
                </c:pt>
                <c:pt idx="77">
                  <c:v>-1.978202888381223</c:v>
                </c:pt>
                <c:pt idx="78">
                  <c:v>-2.0146095969749731</c:v>
                </c:pt>
                <c:pt idx="79">
                  <c:v>-1.9721768990676882</c:v>
                </c:pt>
                <c:pt idx="80">
                  <c:v>-1.9447387583413727</c:v>
                </c:pt>
                <c:pt idx="81">
                  <c:v>-1.9188697926096654</c:v>
                </c:pt>
                <c:pt idx="82">
                  <c:v>-1.9542717302346655</c:v>
                </c:pt>
                <c:pt idx="83">
                  <c:v>-1.9950420930146657</c:v>
                </c:pt>
                <c:pt idx="84">
                  <c:v>-1.9283419426146657</c:v>
                </c:pt>
                <c:pt idx="85">
                  <c:v>-1.879290300077352</c:v>
                </c:pt>
                <c:pt idx="86">
                  <c:v>-1.9225210843630662</c:v>
                </c:pt>
                <c:pt idx="87">
                  <c:v>-1.9271657676027358</c:v>
                </c:pt>
                <c:pt idx="88">
                  <c:v>-1.9926573815752129</c:v>
                </c:pt>
                <c:pt idx="89">
                  <c:v>-2.0383164155175209</c:v>
                </c:pt>
                <c:pt idx="90">
                  <c:v>-2.0286604660469321</c:v>
                </c:pt>
                <c:pt idx="91">
                  <c:v>-2.0398298214755037</c:v>
                </c:pt>
                <c:pt idx="92">
                  <c:v>-2.0566716624463774</c:v>
                </c:pt>
                <c:pt idx="93">
                  <c:v>-2.0050763544262433</c:v>
                </c:pt>
                <c:pt idx="94">
                  <c:v>-1.9605444880416281</c:v>
                </c:pt>
                <c:pt idx="95">
                  <c:v>-1.9511511186230235</c:v>
                </c:pt>
                <c:pt idx="96">
                  <c:v>-1.9345362069951166</c:v>
                </c:pt>
                <c:pt idx="97">
                  <c:v>-1.9387181226011772</c:v>
                </c:pt>
                <c:pt idx="98">
                  <c:v>-1.9485057763511768</c:v>
                </c:pt>
                <c:pt idx="99">
                  <c:v>-1.9072998490248607</c:v>
                </c:pt>
                <c:pt idx="100">
                  <c:v>-1.927140043678194</c:v>
                </c:pt>
                <c:pt idx="101">
                  <c:v>-1.910983404847425</c:v>
                </c:pt>
                <c:pt idx="102">
                  <c:v>-1.9002766074902819</c:v>
                </c:pt>
                <c:pt idx="103">
                  <c:v>-1.8323208682561358</c:v>
                </c:pt>
                <c:pt idx="104">
                  <c:v>-1.6426605559059784</c:v>
                </c:pt>
                <c:pt idx="105">
                  <c:v>-1.7101004809263869</c:v>
                </c:pt>
                <c:pt idx="106">
                  <c:v>-1.7063339874206394</c:v>
                </c:pt>
                <c:pt idx="107">
                  <c:v>-1.7801282369256899</c:v>
                </c:pt>
                <c:pt idx="108">
                  <c:v>-1.7911897074917278</c:v>
                </c:pt>
                <c:pt idx="109">
                  <c:v>-1.7747744083178147</c:v>
                </c:pt>
                <c:pt idx="110">
                  <c:v>-1.6431746950321007</c:v>
                </c:pt>
                <c:pt idx="111">
                  <c:v>-1.713661961611048</c:v>
                </c:pt>
                <c:pt idx="112">
                  <c:v>-1.6809733422581068</c:v>
                </c:pt>
                <c:pt idx="113">
                  <c:v>-1.7253533847868421</c:v>
                </c:pt>
                <c:pt idx="114">
                  <c:v>-1.6961630814633128</c:v>
                </c:pt>
                <c:pt idx="115">
                  <c:v>-1.7158219015041292</c:v>
                </c:pt>
                <c:pt idx="116">
                  <c:v>-1.6916523953310523</c:v>
                </c:pt>
                <c:pt idx="117">
                  <c:v>-1.7280460811821161</c:v>
                </c:pt>
                <c:pt idx="118">
                  <c:v>-1.6876477919240513</c:v>
                </c:pt>
                <c:pt idx="119">
                  <c:v>-1.6740552631740513</c:v>
                </c:pt>
                <c:pt idx="120">
                  <c:v>-1.6762000780913444</c:v>
                </c:pt>
                <c:pt idx="121">
                  <c:v>-1.6810659030722361</c:v>
                </c:pt>
                <c:pt idx="122">
                  <c:v>-1.6633868421710016</c:v>
                </c:pt>
                <c:pt idx="123">
                  <c:v>-1.6023574323932239</c:v>
                </c:pt>
                <c:pt idx="124">
                  <c:v>-1.6050682202049884</c:v>
                </c:pt>
                <c:pt idx="125">
                  <c:v>-1.598711648565813</c:v>
                </c:pt>
                <c:pt idx="126">
                  <c:v>-1.5655394896416752</c:v>
                </c:pt>
                <c:pt idx="127">
                  <c:v>-1.5602419925449007</c:v>
                </c:pt>
                <c:pt idx="128">
                  <c:v>-1.5826157024111429</c:v>
                </c:pt>
                <c:pt idx="129">
                  <c:v>-1.556354664633365</c:v>
                </c:pt>
                <c:pt idx="130">
                  <c:v>-1.5400206686333648</c:v>
                </c:pt>
                <c:pt idx="131">
                  <c:v>-1.5091554182333651</c:v>
                </c:pt>
                <c:pt idx="132">
                  <c:v>-1.5120359095306626</c:v>
                </c:pt>
                <c:pt idx="133">
                  <c:v>-1.4871520713768163</c:v>
                </c:pt>
                <c:pt idx="134">
                  <c:v>-1.4625219467875308</c:v>
                </c:pt>
                <c:pt idx="135">
                  <c:v>-1.4655773689380684</c:v>
                </c:pt>
                <c:pt idx="136">
                  <c:v>-1.4823326935070342</c:v>
                </c:pt>
                <c:pt idx="137">
                  <c:v>-1.4658670945070342</c:v>
                </c:pt>
                <c:pt idx="138">
                  <c:v>-1.403475609319534</c:v>
                </c:pt>
                <c:pt idx="139">
                  <c:v>-1.4813954903217224</c:v>
                </c:pt>
                <c:pt idx="140">
                  <c:v>-1.4337092231217223</c:v>
                </c:pt>
                <c:pt idx="141">
                  <c:v>-1.4488095253853208</c:v>
                </c:pt>
                <c:pt idx="142">
                  <c:v>-1.4515120133365402</c:v>
                </c:pt>
                <c:pt idx="143">
                  <c:v>-1.4311660258865402</c:v>
                </c:pt>
                <c:pt idx="144">
                  <c:v>-1.3924780355924222</c:v>
                </c:pt>
                <c:pt idx="145">
                  <c:v>-1.375318543785971</c:v>
                </c:pt>
                <c:pt idx="146">
                  <c:v>-1.3295004080996964</c:v>
                </c:pt>
                <c:pt idx="147">
                  <c:v>-1.3478088666860837</c:v>
                </c:pt>
                <c:pt idx="148">
                  <c:v>-1.3520913222183419</c:v>
                </c:pt>
                <c:pt idx="149">
                  <c:v>-1.3354093791414188</c:v>
                </c:pt>
                <c:pt idx="150">
                  <c:v>-1.0585669185082827</c:v>
                </c:pt>
                <c:pt idx="151">
                  <c:v>-0.97004928936013457</c:v>
                </c:pt>
                <c:pt idx="152">
                  <c:v>-0.90726429657094521</c:v>
                </c:pt>
                <c:pt idx="153">
                  <c:v>-1.0069227221478683</c:v>
                </c:pt>
                <c:pt idx="154">
                  <c:v>-1.0683042097794471</c:v>
                </c:pt>
                <c:pt idx="155">
                  <c:v>-0.99770575931790872</c:v>
                </c:pt>
                <c:pt idx="156">
                  <c:v>-1.0754483852136743</c:v>
                </c:pt>
                <c:pt idx="157">
                  <c:v>-1.0404720824664215</c:v>
                </c:pt>
                <c:pt idx="158">
                  <c:v>-1.0362957112071622</c:v>
                </c:pt>
                <c:pt idx="159">
                  <c:v>-1.0256677169048367</c:v>
                </c:pt>
                <c:pt idx="160">
                  <c:v>-0.96998439026618122</c:v>
                </c:pt>
                <c:pt idx="161">
                  <c:v>-0.93919351810082685</c:v>
                </c:pt>
                <c:pt idx="162">
                  <c:v>-0.96344304857789098</c:v>
                </c:pt>
                <c:pt idx="163">
                  <c:v>-0.93629573154085388</c:v>
                </c:pt>
                <c:pt idx="164">
                  <c:v>-0.79009823038700788</c:v>
                </c:pt>
                <c:pt idx="165">
                  <c:v>-0.97730677725934822</c:v>
                </c:pt>
                <c:pt idx="166">
                  <c:v>-1.013924032752306</c:v>
                </c:pt>
                <c:pt idx="167">
                  <c:v>-0.98678734715589345</c:v>
                </c:pt>
                <c:pt idx="168">
                  <c:v>-0.85257964059944202</c:v>
                </c:pt>
                <c:pt idx="169">
                  <c:v>-0.8269822464959935</c:v>
                </c:pt>
                <c:pt idx="170">
                  <c:v>-0.76816455739763279</c:v>
                </c:pt>
                <c:pt idx="171">
                  <c:v>-0.74625175841825131</c:v>
                </c:pt>
                <c:pt idx="172">
                  <c:v>-0.74256621645967136</c:v>
                </c:pt>
                <c:pt idx="173">
                  <c:v>-0.71333083048406176</c:v>
                </c:pt>
                <c:pt idx="174">
                  <c:v>-0.71876243122176675</c:v>
                </c:pt>
                <c:pt idx="175">
                  <c:v>-0.71438613667631234</c:v>
                </c:pt>
                <c:pt idx="176">
                  <c:v>-0.67527416622176695</c:v>
                </c:pt>
                <c:pt idx="177">
                  <c:v>-0.70770834120012194</c:v>
                </c:pt>
                <c:pt idx="178">
                  <c:v>-0.6923696158624596</c:v>
                </c:pt>
                <c:pt idx="179">
                  <c:v>-0.67423134189775358</c:v>
                </c:pt>
                <c:pt idx="180">
                  <c:v>-0.64470132457632512</c:v>
                </c:pt>
                <c:pt idx="181">
                  <c:v>-0.61542211135893388</c:v>
                </c:pt>
                <c:pt idx="182">
                  <c:v>-0.60116714485893408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5-43BC-AF7F-6AD5E5AE9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0406447"/>
        <c:axId val="410406863"/>
      </c:lineChart>
      <c:dateAx>
        <c:axId val="4104064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6863"/>
        <c:crosses val="autoZero"/>
        <c:auto val="1"/>
        <c:lblOffset val="100"/>
        <c:baseTimeUnit val="days"/>
      </c:dateAx>
      <c:valAx>
        <c:axId val="41040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6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82098C-5169-4512-9F7A-569E91FDE8F4}">
  <sheetPr codeName="Chart9"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B4A589-BE95-4526-9C68-D888EB2CE6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2.4849999999999999</v>
      </c>
      <c r="D2" s="4">
        <f>MIN(D3:D1890)</f>
        <v>0.33700000000000002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0.34699999999999998</v>
      </c>
      <c r="C5">
        <v>0.35199999999999998</v>
      </c>
      <c r="D5">
        <v>0.33700000000000002</v>
      </c>
      <c r="E5">
        <v>0.33900000000000002</v>
      </c>
      <c r="F5">
        <v>722745.4</v>
      </c>
      <c r="G5">
        <v>0.33900000000000002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-0.73333333333333239</v>
      </c>
      <c r="Q5">
        <f t="shared" ref="Q5" si="1">F5*P5</f>
        <v>-530013.29333333264</v>
      </c>
      <c r="R5">
        <f t="shared" ref="R5" si="2">R6+Q5</f>
        <v>-344678949.08429754</v>
      </c>
      <c r="S5">
        <f t="shared" ref="S5" si="3">R5/100000</f>
        <v>-3446.7894908429753</v>
      </c>
      <c r="T5">
        <f t="shared" ref="T5" si="4">S5/1000</f>
        <v>-3.4467894908429755</v>
      </c>
    </row>
    <row r="6" spans="1:20" x14ac:dyDescent="0.25">
      <c r="A6" s="5">
        <v>44587</v>
      </c>
      <c r="B6">
        <v>0.36099999999999999</v>
      </c>
      <c r="C6">
        <v>0.38500000000000001</v>
      </c>
      <c r="D6">
        <v>0.33800000000000002</v>
      </c>
      <c r="E6">
        <v>0.34599999999999997</v>
      </c>
      <c r="F6">
        <v>14702121.800000001</v>
      </c>
      <c r="G6">
        <v>0.34599999999999997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-0.65957446808510833</v>
      </c>
      <c r="Q6">
        <f t="shared" ref="Q6" si="6">F6*P6</f>
        <v>-9697144.1659574751</v>
      </c>
      <c r="R6">
        <f t="shared" ref="R6" si="7">R7+Q6</f>
        <v>-344148935.79096419</v>
      </c>
      <c r="S6">
        <f t="shared" ref="S6" si="8">R6/100000</f>
        <v>-3441.489357909642</v>
      </c>
      <c r="T6">
        <f t="shared" ref="T6" si="9">S6/1000</f>
        <v>-3.4414893579096422</v>
      </c>
    </row>
    <row r="7" spans="1:20" x14ac:dyDescent="0.25">
      <c r="A7" s="5">
        <v>44586</v>
      </c>
      <c r="B7">
        <v>0.375</v>
      </c>
      <c r="C7">
        <v>0.38100000000000001</v>
      </c>
      <c r="D7">
        <v>0.35299999999999998</v>
      </c>
      <c r="E7">
        <v>0.36199999999999999</v>
      </c>
      <c r="F7">
        <v>8827960.0999999996</v>
      </c>
      <c r="G7">
        <v>0.36199999999999999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-0.35714285714285715</v>
      </c>
      <c r="Q7">
        <f t="shared" ref="Q7" si="11">F7*P7</f>
        <v>-3152842.8928571427</v>
      </c>
      <c r="R7">
        <f t="shared" ref="R7" si="12">R8+Q7</f>
        <v>-334451791.62500674</v>
      </c>
      <c r="S7">
        <f t="shared" ref="S7" si="13">R7/100000</f>
        <v>-3344.5179162500672</v>
      </c>
      <c r="T7">
        <f t="shared" ref="T7" si="14">S7/1000</f>
        <v>-3.3445179162500671</v>
      </c>
    </row>
    <row r="8" spans="1:20" x14ac:dyDescent="0.25">
      <c r="A8" s="5">
        <v>44585</v>
      </c>
      <c r="B8">
        <v>0.41099999999999998</v>
      </c>
      <c r="C8">
        <v>0.42899999999999999</v>
      </c>
      <c r="D8">
        <v>0.33800000000000002</v>
      </c>
      <c r="E8">
        <v>0.376</v>
      </c>
      <c r="F8">
        <v>10351313.6</v>
      </c>
      <c r="G8">
        <v>0.376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-0.16483516483516503</v>
      </c>
      <c r="Q8">
        <f t="shared" ref="Q8" si="16">F8*P8</f>
        <v>-1706260.4835164854</v>
      </c>
      <c r="R8">
        <f t="shared" ref="R8" si="17">R9+Q8</f>
        <v>-331298948.7321496</v>
      </c>
      <c r="S8">
        <f t="shared" ref="S8" si="18">R8/100000</f>
        <v>-3312.9894873214962</v>
      </c>
      <c r="T8">
        <f t="shared" ref="T8" si="19">S8/1000</f>
        <v>-3.312989487321496</v>
      </c>
    </row>
    <row r="9" spans="1:20" x14ac:dyDescent="0.25">
      <c r="A9" s="5">
        <v>44584</v>
      </c>
      <c r="B9">
        <v>0.41499999999999998</v>
      </c>
      <c r="C9">
        <v>0.44900000000000001</v>
      </c>
      <c r="D9">
        <v>0.39</v>
      </c>
      <c r="E9">
        <v>0.41099999999999998</v>
      </c>
      <c r="F9">
        <v>5919727.2000000002</v>
      </c>
      <c r="G9">
        <v>0.41099999999999998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-0.28813559322034021</v>
      </c>
      <c r="Q9">
        <f t="shared" ref="Q9" si="21">F9*P9</f>
        <v>-1705684.1084745836</v>
      </c>
      <c r="R9">
        <f t="shared" ref="R9" si="22">R10+Q9</f>
        <v>-329592688.24863309</v>
      </c>
      <c r="S9">
        <f t="shared" ref="S9" si="23">R9/100000</f>
        <v>-3295.9268824863307</v>
      </c>
      <c r="T9">
        <f t="shared" ref="T9" si="24">S9/1000</f>
        <v>-3.2959268824863308</v>
      </c>
    </row>
    <row r="10" spans="1:20" x14ac:dyDescent="0.25">
      <c r="A10" s="5">
        <v>44583</v>
      </c>
      <c r="B10">
        <v>0.44700000000000001</v>
      </c>
      <c r="C10">
        <v>0.45900000000000002</v>
      </c>
      <c r="D10">
        <v>0.35099999999999998</v>
      </c>
      <c r="E10">
        <v>0.41499999999999998</v>
      </c>
      <c r="F10">
        <v>11564532.1</v>
      </c>
      <c r="G10">
        <v>0.41499999999999998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0.18518518518518476</v>
      </c>
      <c r="Q10">
        <f t="shared" ref="Q10" si="26">F10*P10</f>
        <v>2141580.0185185135</v>
      </c>
      <c r="R10">
        <f t="shared" ref="R10" si="27">R11+Q10</f>
        <v>-327887004.14015847</v>
      </c>
      <c r="S10">
        <f t="shared" ref="S10" si="28">R10/100000</f>
        <v>-3278.8700414015848</v>
      </c>
      <c r="T10">
        <f t="shared" ref="T10" si="29">S10/1000</f>
        <v>-3.2788700414015848</v>
      </c>
    </row>
    <row r="11" spans="1:20" x14ac:dyDescent="0.25">
      <c r="A11" s="5">
        <v>44582</v>
      </c>
      <c r="B11">
        <v>0.53800000000000003</v>
      </c>
      <c r="C11">
        <v>0.54100000000000004</v>
      </c>
      <c r="D11">
        <v>0.43099999999999999</v>
      </c>
      <c r="E11">
        <v>0.44700000000000001</v>
      </c>
      <c r="F11">
        <v>12521662.699999999</v>
      </c>
      <c r="G11">
        <v>0.44700000000000001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-0.70909090909090899</v>
      </c>
      <c r="Q11">
        <f t="shared" ref="Q11" si="31">F11*P11</f>
        <v>-8878997.1872727256</v>
      </c>
      <c r="R11">
        <f t="shared" ref="R11" si="32">R12+Q11</f>
        <v>-330028584.15867698</v>
      </c>
      <c r="S11">
        <f t="shared" ref="S11" si="33">R11/100000</f>
        <v>-3300.2858415867699</v>
      </c>
      <c r="T11">
        <f t="shared" ref="T11" si="34">S11/1000</f>
        <v>-3.3002858415867697</v>
      </c>
    </row>
    <row r="12" spans="1:20" x14ac:dyDescent="0.25">
      <c r="A12" s="5">
        <v>44581</v>
      </c>
      <c r="B12">
        <v>0.57099999999999995</v>
      </c>
      <c r="C12">
        <v>0.59699999999999998</v>
      </c>
      <c r="D12">
        <v>0.53600000000000003</v>
      </c>
      <c r="E12">
        <v>0.53900000000000003</v>
      </c>
      <c r="F12">
        <v>6237095.9000000004</v>
      </c>
      <c r="G12">
        <v>0.53900000000000003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-0.90163934426229486</v>
      </c>
      <c r="Q12">
        <f t="shared" ref="Q12" si="36">F12*P12</f>
        <v>-5623611.0573770478</v>
      </c>
      <c r="R12">
        <f t="shared" ref="R12" si="37">R13+Q12</f>
        <v>-321149586.97140425</v>
      </c>
      <c r="S12">
        <f t="shared" ref="S12" si="38">R12/100000</f>
        <v>-3211.4958697140423</v>
      </c>
      <c r="T12">
        <f t="shared" ref="T12" si="39">S12/1000</f>
        <v>-3.2114958697140423</v>
      </c>
    </row>
    <row r="13" spans="1:20" x14ac:dyDescent="0.25">
      <c r="A13" s="5">
        <v>44580</v>
      </c>
      <c r="B13">
        <v>0.58299999999999996</v>
      </c>
      <c r="C13">
        <v>0.64800000000000002</v>
      </c>
      <c r="D13">
        <v>0.56599999999999995</v>
      </c>
      <c r="E13">
        <v>0.57199999999999995</v>
      </c>
      <c r="F13">
        <v>21857347.800000001</v>
      </c>
      <c r="G13">
        <v>0.57199999999999995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-0.85365853658536583</v>
      </c>
      <c r="Q13">
        <f t="shared" ref="Q13" si="41">F13*P13</f>
        <v>-18658711.536585364</v>
      </c>
      <c r="R13">
        <f t="shared" ref="R13" si="42">R14+Q13</f>
        <v>-315525975.91402721</v>
      </c>
      <c r="S13">
        <f t="shared" ref="S13" si="43">R13/100000</f>
        <v>-3155.2597591402723</v>
      </c>
      <c r="T13">
        <f t="shared" ref="T13" si="44">S13/1000</f>
        <v>-3.1552597591402725</v>
      </c>
    </row>
    <row r="14" spans="1:20" x14ac:dyDescent="0.25">
      <c r="A14" s="5">
        <v>44579</v>
      </c>
      <c r="B14">
        <v>0.56899999999999995</v>
      </c>
      <c r="C14">
        <v>0.60399999999999998</v>
      </c>
      <c r="D14">
        <v>0.54800000000000004</v>
      </c>
      <c r="E14">
        <v>0.58199999999999996</v>
      </c>
      <c r="F14">
        <v>4067098.4</v>
      </c>
      <c r="G14">
        <v>0.58199999999999996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0.21428571428571272</v>
      </c>
      <c r="Q14">
        <f t="shared" ref="Q14" si="46">F14*P14</f>
        <v>871521.08571427932</v>
      </c>
      <c r="R14">
        <f t="shared" ref="R14" si="47">R15+Q14</f>
        <v>-296867264.37744182</v>
      </c>
      <c r="S14">
        <f t="shared" ref="S14" si="48">R14/100000</f>
        <v>-2968.6726437744182</v>
      </c>
      <c r="T14">
        <f t="shared" ref="T14" si="49">S14/1000</f>
        <v>-2.9686726437744184</v>
      </c>
    </row>
    <row r="15" spans="1:20" x14ac:dyDescent="0.25">
      <c r="A15" s="5">
        <v>44578</v>
      </c>
      <c r="B15">
        <v>0.624</v>
      </c>
      <c r="C15">
        <v>0.626</v>
      </c>
      <c r="D15">
        <v>0.55800000000000005</v>
      </c>
      <c r="E15">
        <v>0.56899999999999995</v>
      </c>
      <c r="F15">
        <v>6798092.2000000002</v>
      </c>
      <c r="G15">
        <v>0.56899999999999995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-0.67647058823529682</v>
      </c>
      <c r="Q15">
        <f t="shared" ref="Q15" si="51">F15*P15</f>
        <v>-4598709.4294117829</v>
      </c>
      <c r="R15">
        <f t="shared" ref="R15" si="52">R16+Q15</f>
        <v>-297738785.4631561</v>
      </c>
      <c r="S15">
        <f t="shared" ref="S15" si="53">R15/100000</f>
        <v>-2977.3878546315609</v>
      </c>
      <c r="T15">
        <f t="shared" ref="T15" si="54">S15/1000</f>
        <v>-2.9773878546315609</v>
      </c>
    </row>
    <row r="16" spans="1:20" x14ac:dyDescent="0.25">
      <c r="A16" s="5">
        <v>44577</v>
      </c>
      <c r="B16">
        <v>0.63900000000000001</v>
      </c>
      <c r="C16">
        <v>0.66</v>
      </c>
      <c r="D16">
        <v>0.61499999999999999</v>
      </c>
      <c r="E16">
        <v>0.625</v>
      </c>
      <c r="F16">
        <v>8201836.5999999996</v>
      </c>
      <c r="G16">
        <v>0.625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-0.55555555555555558</v>
      </c>
      <c r="Q16">
        <f t="shared" ref="Q16" si="56">F16*P16</f>
        <v>-4556575.888888889</v>
      </c>
      <c r="R16">
        <f t="shared" ref="R16" si="57">R17+Q16</f>
        <v>-293140076.03374434</v>
      </c>
      <c r="S16">
        <f t="shared" ref="S16" si="58">R16/100000</f>
        <v>-2931.4007603374434</v>
      </c>
      <c r="T16">
        <f t="shared" ref="T16" si="59">S16/1000</f>
        <v>-2.9314007603374432</v>
      </c>
    </row>
    <row r="17" spans="1:20" x14ac:dyDescent="0.25">
      <c r="A17" s="5">
        <v>44576</v>
      </c>
      <c r="B17">
        <v>0.67200000000000004</v>
      </c>
      <c r="C17">
        <v>0.67400000000000004</v>
      </c>
      <c r="D17">
        <v>0.63400000000000001</v>
      </c>
      <c r="E17">
        <v>0.63800000000000001</v>
      </c>
      <c r="F17">
        <v>11318916.199999999</v>
      </c>
      <c r="G17">
        <v>0.63800000000000001</v>
      </c>
      <c r="L17" t="s">
        <v>7</v>
      </c>
      <c r="M17" t="s">
        <v>7</v>
      </c>
      <c r="N17" t="s">
        <v>8</v>
      </c>
      <c r="P17">
        <f t="shared" ref="P17" si="60">IF(C17=D17,0,((E17-D17)-(C17-E17))/(C17-D17))</f>
        <v>-0.8</v>
      </c>
      <c r="Q17">
        <f t="shared" ref="Q17" si="61">F17*P17</f>
        <v>-9055132.959999999</v>
      </c>
      <c r="R17">
        <f t="shared" ref="R17" si="62">R18+Q17</f>
        <v>-288583500.14485544</v>
      </c>
      <c r="S17">
        <f t="shared" ref="S17" si="63">R17/100000</f>
        <v>-2885.8350014485545</v>
      </c>
      <c r="T17">
        <f t="shared" ref="T17" si="64">S17/1000</f>
        <v>-2.8858350014485543</v>
      </c>
    </row>
    <row r="18" spans="1:20" x14ac:dyDescent="0.25">
      <c r="A18" s="5">
        <v>44575</v>
      </c>
      <c r="B18">
        <v>0.64300000000000002</v>
      </c>
      <c r="C18">
        <v>0.79900000000000004</v>
      </c>
      <c r="D18">
        <v>0.64300000000000002</v>
      </c>
      <c r="E18">
        <v>0.67300000000000004</v>
      </c>
      <c r="F18">
        <v>33084648</v>
      </c>
      <c r="G18">
        <v>0.67300000000000004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-0.61538461538461509</v>
      </c>
      <c r="Q18">
        <f t="shared" ref="Q18" si="66">F18*P18</f>
        <v>-20359783.384615373</v>
      </c>
      <c r="R18">
        <f t="shared" ref="R18" si="67">R19+Q18</f>
        <v>-279528367.18485546</v>
      </c>
      <c r="S18">
        <f t="shared" ref="S18" si="68">R18/100000</f>
        <v>-2795.2836718485546</v>
      </c>
      <c r="T18">
        <f t="shared" ref="T18" si="69">S18/1000</f>
        <v>-2.7952836718485545</v>
      </c>
    </row>
    <row r="19" spans="1:20" x14ac:dyDescent="0.25">
      <c r="A19" s="5">
        <v>44574</v>
      </c>
      <c r="B19">
        <v>0.61199999999999999</v>
      </c>
      <c r="C19">
        <v>0.78</v>
      </c>
      <c r="D19">
        <v>0.58599999999999997</v>
      </c>
      <c r="E19">
        <v>0.64300000000000002</v>
      </c>
      <c r="F19">
        <v>20902047.899999999</v>
      </c>
      <c r="G19">
        <v>0.64300000000000002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-0.4123711340206182</v>
      </c>
      <c r="Q19">
        <f t="shared" ref="Q19" si="71">F19*P19</f>
        <v>-8619401.1958762798</v>
      </c>
      <c r="R19">
        <f t="shared" ref="R19" si="72">R20+Q19</f>
        <v>-259168583.8002401</v>
      </c>
      <c r="S19">
        <f t="shared" ref="S19" si="73">R19/100000</f>
        <v>-2591.6858380024009</v>
      </c>
      <c r="T19">
        <f t="shared" ref="T19" si="74">S19/1000</f>
        <v>-2.5916858380024008</v>
      </c>
    </row>
    <row r="20" spans="1:20" x14ac:dyDescent="0.25">
      <c r="A20" s="5">
        <v>44573</v>
      </c>
      <c r="B20">
        <v>0.58299999999999996</v>
      </c>
      <c r="C20">
        <v>0.61799999999999999</v>
      </c>
      <c r="D20">
        <v>0.57499999999999996</v>
      </c>
      <c r="E20">
        <v>0.61199999999999999</v>
      </c>
      <c r="F20">
        <v>3046877.8</v>
      </c>
      <c r="G20">
        <v>0.61199999999999999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0.72093023255813948</v>
      </c>
      <c r="Q20">
        <f t="shared" ref="Q20" si="76">F20*P20</f>
        <v>2196586.3209302323</v>
      </c>
      <c r="R20">
        <f t="shared" ref="R20" si="77">R21+Q20</f>
        <v>-250549182.60436383</v>
      </c>
      <c r="S20">
        <f t="shared" ref="S20" si="78">R20/100000</f>
        <v>-2505.4918260436384</v>
      </c>
      <c r="T20">
        <f t="shared" ref="T20" si="79">S20/1000</f>
        <v>-2.5054918260436385</v>
      </c>
    </row>
    <row r="21" spans="1:20" x14ac:dyDescent="0.25">
      <c r="A21" s="5">
        <v>44572</v>
      </c>
      <c r="B21">
        <v>0.54900000000000004</v>
      </c>
      <c r="C21">
        <v>0.59099999999999997</v>
      </c>
      <c r="D21">
        <v>0.54</v>
      </c>
      <c r="E21">
        <v>0.58299999999999996</v>
      </c>
      <c r="F21">
        <v>3207866.4</v>
      </c>
      <c r="G21">
        <v>0.58299999999999996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0.68627450980392091</v>
      </c>
      <c r="Q21">
        <f t="shared" ref="Q21" si="81">F21*P21</f>
        <v>2201476.9411764685</v>
      </c>
      <c r="R21">
        <f t="shared" ref="R21" si="82">R22+Q21</f>
        <v>-252745768.92529407</v>
      </c>
      <c r="S21">
        <f t="shared" ref="S21" si="83">R21/100000</f>
        <v>-2527.4576892529408</v>
      </c>
      <c r="T21">
        <f t="shared" ref="T21" si="84">S21/1000</f>
        <v>-2.5274576892529406</v>
      </c>
    </row>
    <row r="22" spans="1:20" x14ac:dyDescent="0.25">
      <c r="A22" s="5">
        <v>44571</v>
      </c>
      <c r="B22">
        <v>0.58699999999999997</v>
      </c>
      <c r="C22">
        <v>0.6</v>
      </c>
      <c r="D22">
        <v>0.53300000000000003</v>
      </c>
      <c r="E22">
        <v>0.54900000000000004</v>
      </c>
      <c r="F22">
        <v>5115882.0999999996</v>
      </c>
      <c r="G22">
        <v>0.54900000000000004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-0.52238805970149171</v>
      </c>
      <c r="Q22">
        <f t="shared" ref="Q22" si="86">F22*P22</f>
        <v>-2672475.7238805927</v>
      </c>
      <c r="R22">
        <f t="shared" ref="R22" si="87">R23+Q22</f>
        <v>-254947245.86647055</v>
      </c>
      <c r="S22">
        <f t="shared" ref="S22" si="88">R22/100000</f>
        <v>-2549.4724586647053</v>
      </c>
      <c r="T22">
        <f t="shared" ref="T22" si="89">S22/1000</f>
        <v>-2.5494724586647055</v>
      </c>
    </row>
    <row r="23" spans="1:20" x14ac:dyDescent="0.25">
      <c r="A23" s="5">
        <v>44570</v>
      </c>
      <c r="B23">
        <v>0.58099999999999996</v>
      </c>
      <c r="C23">
        <v>0.60799999999999998</v>
      </c>
      <c r="D23">
        <v>0.57099999999999995</v>
      </c>
      <c r="E23">
        <v>0.58699999999999997</v>
      </c>
      <c r="F23">
        <v>1517263.2</v>
      </c>
      <c r="G23">
        <v>0.58699999999999997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-0.13513513513513514</v>
      </c>
      <c r="Q23">
        <f t="shared" ref="Q23" si="91">F23*P23</f>
        <v>-205035.56756756757</v>
      </c>
      <c r="R23">
        <f t="shared" ref="R23" si="92">R24+Q23</f>
        <v>-252274770.14258996</v>
      </c>
      <c r="S23">
        <f t="shared" ref="S23" si="93">R23/100000</f>
        <v>-2522.7477014258998</v>
      </c>
      <c r="T23">
        <f t="shared" ref="T23" si="94">S23/1000</f>
        <v>-2.5227477014258999</v>
      </c>
    </row>
    <row r="24" spans="1:20" x14ac:dyDescent="0.25">
      <c r="A24" s="5">
        <v>44569</v>
      </c>
      <c r="B24">
        <v>0.60499999999999998</v>
      </c>
      <c r="C24">
        <v>0.61899999999999999</v>
      </c>
      <c r="D24">
        <v>0.55700000000000005</v>
      </c>
      <c r="E24">
        <v>0.58099999999999996</v>
      </c>
      <c r="F24">
        <v>2895112.4</v>
      </c>
      <c r="G24">
        <v>0.58099999999999996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-0.22580645161290541</v>
      </c>
      <c r="Q24">
        <f t="shared" ref="Q24" si="96">F24*P24</f>
        <v>-653735.05806452245</v>
      </c>
      <c r="R24">
        <f t="shared" ref="R24" si="97">R25+Q24</f>
        <v>-252069734.5750224</v>
      </c>
      <c r="S24">
        <f t="shared" ref="S24" si="98">R24/100000</f>
        <v>-2520.697345750224</v>
      </c>
      <c r="T24">
        <f t="shared" ref="T24" si="99">S24/1000</f>
        <v>-2.5206973457502242</v>
      </c>
    </row>
    <row r="25" spans="1:20" x14ac:dyDescent="0.25">
      <c r="A25" s="5">
        <v>44568</v>
      </c>
      <c r="B25">
        <v>0.64</v>
      </c>
      <c r="C25">
        <v>0.64500000000000002</v>
      </c>
      <c r="D25">
        <v>0.56100000000000005</v>
      </c>
      <c r="E25">
        <v>0.60399999999999998</v>
      </c>
      <c r="F25">
        <v>5471305.2000000002</v>
      </c>
      <c r="G25">
        <v>0.60399999999999998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2.3809523809522518E-2</v>
      </c>
      <c r="Q25">
        <f t="shared" ref="Q25" si="101">F25*P25</f>
        <v>130269.17142856437</v>
      </c>
      <c r="R25">
        <f t="shared" ref="R25" si="102">R26+Q25</f>
        <v>-251415999.51695788</v>
      </c>
      <c r="S25">
        <f t="shared" ref="S25" si="103">R25/100000</f>
        <v>-2514.1599951695789</v>
      </c>
      <c r="T25">
        <f t="shared" ref="T25" si="104">S25/1000</f>
        <v>-2.514159995169579</v>
      </c>
    </row>
    <row r="26" spans="1:20" x14ac:dyDescent="0.25">
      <c r="A26" s="5">
        <v>44567</v>
      </c>
      <c r="B26">
        <v>0.63900000000000001</v>
      </c>
      <c r="C26">
        <v>0.64700000000000002</v>
      </c>
      <c r="D26">
        <v>0.59399999999999997</v>
      </c>
      <c r="E26">
        <v>0.64</v>
      </c>
      <c r="F26">
        <v>5609743.4000000004</v>
      </c>
      <c r="G26">
        <v>0.64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0.73584905660377353</v>
      </c>
      <c r="Q26">
        <f t="shared" ref="Q26" si="106">F26*P26</f>
        <v>4127924.3886792455</v>
      </c>
      <c r="R26">
        <f t="shared" ref="R26" si="107">R27+Q26</f>
        <v>-251546268.68838644</v>
      </c>
      <c r="S26">
        <f t="shared" ref="S26" si="108">R26/100000</f>
        <v>-2515.4626868838645</v>
      </c>
      <c r="T26">
        <f t="shared" ref="T26" si="109">S26/1000</f>
        <v>-2.5154626868838643</v>
      </c>
    </row>
    <row r="27" spans="1:20" x14ac:dyDescent="0.25">
      <c r="A27" s="5">
        <v>44566</v>
      </c>
      <c r="B27">
        <v>0.70199999999999996</v>
      </c>
      <c r="C27">
        <v>0.72899999999999998</v>
      </c>
      <c r="D27">
        <v>0.61799999999999999</v>
      </c>
      <c r="E27">
        <v>0.63800000000000001</v>
      </c>
      <c r="F27">
        <v>4009861.6</v>
      </c>
      <c r="G27">
        <v>0.63800000000000001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-0.63963963963963932</v>
      </c>
      <c r="Q27">
        <f t="shared" ref="Q27" si="111">F27*P27</f>
        <v>-2564866.4288288276</v>
      </c>
      <c r="R27">
        <f t="shared" ref="R27" si="112">R28+Q27</f>
        <v>-255674193.07706568</v>
      </c>
      <c r="S27">
        <f t="shared" ref="S27" si="113">R27/100000</f>
        <v>-2556.7419307706568</v>
      </c>
      <c r="T27">
        <f t="shared" ref="T27" si="114">S27/1000</f>
        <v>-2.5567419307706567</v>
      </c>
    </row>
    <row r="28" spans="1:20" x14ac:dyDescent="0.25">
      <c r="A28" s="5">
        <v>44565</v>
      </c>
      <c r="B28">
        <v>0.71299999999999997</v>
      </c>
      <c r="C28">
        <v>0.72899999999999998</v>
      </c>
      <c r="D28">
        <v>0.7</v>
      </c>
      <c r="E28">
        <v>0.70099999999999996</v>
      </c>
      <c r="F28">
        <v>2840542.3</v>
      </c>
      <c r="G28">
        <v>0.70099999999999996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-0.93103448275862066</v>
      </c>
      <c r="Q28">
        <f t="shared" ref="Q28" si="116">F28*P28</f>
        <v>-2644642.8310344825</v>
      </c>
      <c r="R28">
        <f t="shared" ref="R28" si="117">R29+Q28</f>
        <v>-253109326.64823684</v>
      </c>
      <c r="S28">
        <f t="shared" ref="S28" si="118">R28/100000</f>
        <v>-2531.0932664823686</v>
      </c>
      <c r="T28">
        <f t="shared" ref="T28" si="119">S28/1000</f>
        <v>-2.5310932664823684</v>
      </c>
    </row>
    <row r="29" spans="1:20" x14ac:dyDescent="0.25">
      <c r="A29" s="5">
        <v>44564</v>
      </c>
      <c r="B29">
        <v>0.74299999999999999</v>
      </c>
      <c r="C29">
        <v>0.74299999999999999</v>
      </c>
      <c r="D29">
        <v>0.68899999999999995</v>
      </c>
      <c r="E29">
        <v>0.71299999999999997</v>
      </c>
      <c r="F29">
        <v>3006953.1</v>
      </c>
      <c r="G29">
        <v>0.71299999999999997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-0.1111111111111111</v>
      </c>
      <c r="Q29">
        <f t="shared" ref="Q29" si="121">F29*P29</f>
        <v>-334105.89999999997</v>
      </c>
      <c r="R29">
        <f t="shared" ref="R29" si="122">R30+Q29</f>
        <v>-250464683.81720236</v>
      </c>
      <c r="S29">
        <f t="shared" ref="S29" si="123">R29/100000</f>
        <v>-2504.6468381720238</v>
      </c>
      <c r="T29">
        <f t="shared" ref="T29" si="124">S29/1000</f>
        <v>-2.5046468381720239</v>
      </c>
    </row>
    <row r="30" spans="1:20" x14ac:dyDescent="0.25">
      <c r="A30" s="5">
        <v>44563</v>
      </c>
      <c r="B30">
        <v>0.75700000000000001</v>
      </c>
      <c r="C30">
        <v>0.76700000000000002</v>
      </c>
      <c r="D30">
        <v>0.72899999999999998</v>
      </c>
      <c r="E30">
        <v>0.74299999999999999</v>
      </c>
      <c r="F30">
        <v>2484219.1</v>
      </c>
      <c r="G30">
        <v>0.74299999999999999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-0.26315789473684209</v>
      </c>
      <c r="Q30">
        <f t="shared" ref="Q30" si="126">F30*P30</f>
        <v>-653741.86842105258</v>
      </c>
      <c r="R30">
        <f t="shared" ref="R30" si="127">R31+Q30</f>
        <v>-250130577.91720235</v>
      </c>
      <c r="S30">
        <f t="shared" ref="S30" si="128">R30/100000</f>
        <v>-2501.3057791720234</v>
      </c>
      <c r="T30">
        <f t="shared" ref="T30" si="129">S30/1000</f>
        <v>-2.5013057791720232</v>
      </c>
    </row>
    <row r="31" spans="1:20" x14ac:dyDescent="0.25">
      <c r="A31" s="5">
        <v>44562</v>
      </c>
      <c r="B31">
        <v>0.70399999999999996</v>
      </c>
      <c r="C31">
        <v>0.77500000000000002</v>
      </c>
      <c r="D31">
        <v>0.70199999999999996</v>
      </c>
      <c r="E31">
        <v>0.75700000000000001</v>
      </c>
      <c r="F31">
        <v>2909152.4</v>
      </c>
      <c r="G31">
        <v>0.75700000000000001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0.50684931506849318</v>
      </c>
      <c r="Q31">
        <f t="shared" ref="Q31" si="131">F31*P31</f>
        <v>1474501.901369863</v>
      </c>
      <c r="R31">
        <f t="shared" ref="R31" si="132">R32+Q31</f>
        <v>-249476836.04878131</v>
      </c>
      <c r="S31">
        <f t="shared" ref="S31" si="133">R31/100000</f>
        <v>-2494.768360487813</v>
      </c>
      <c r="T31">
        <f t="shared" ref="T31" si="134">S31/1000</f>
        <v>-2.494768360487813</v>
      </c>
    </row>
    <row r="32" spans="1:20" x14ac:dyDescent="0.25">
      <c r="A32" s="5">
        <v>44561</v>
      </c>
      <c r="B32">
        <v>0.72499999999999998</v>
      </c>
      <c r="C32">
        <v>0.74</v>
      </c>
      <c r="D32">
        <v>0.69299999999999995</v>
      </c>
      <c r="E32">
        <v>0.70299999999999996</v>
      </c>
      <c r="F32">
        <v>3416361.9</v>
      </c>
      <c r="G32">
        <v>0.70299999999999996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-0.57446808510638303</v>
      </c>
      <c r="Q32">
        <f t="shared" ref="Q32" si="136">F32*P32</f>
        <v>-1962590.8787234044</v>
      </c>
      <c r="R32">
        <f t="shared" ref="R32" si="137">R33+Q32</f>
        <v>-250951337.95015118</v>
      </c>
      <c r="S32">
        <f t="shared" ref="S32" si="138">R32/100000</f>
        <v>-2509.5133795015117</v>
      </c>
      <c r="T32">
        <f t="shared" ref="T32" si="139">S32/1000</f>
        <v>-2.5095133795015117</v>
      </c>
    </row>
    <row r="33" spans="1:20" x14ac:dyDescent="0.25">
      <c r="A33" s="5">
        <v>44560</v>
      </c>
      <c r="B33">
        <v>0.71199999999999997</v>
      </c>
      <c r="C33">
        <v>0.747</v>
      </c>
      <c r="D33">
        <v>0.70399999999999996</v>
      </c>
      <c r="E33">
        <v>0.72699999999999998</v>
      </c>
      <c r="F33">
        <v>3896605.2</v>
      </c>
      <c r="G33">
        <v>0.72699999999999998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6.9767441860465115E-2</v>
      </c>
      <c r="Q33">
        <f t="shared" ref="Q33" si="141">F33*P33</f>
        <v>271856.17674418603</v>
      </c>
      <c r="R33">
        <f t="shared" ref="R33" si="142">R34+Q33</f>
        <v>-248988747.07142776</v>
      </c>
      <c r="S33">
        <f t="shared" ref="S33" si="143">R33/100000</f>
        <v>-2489.8874707142777</v>
      </c>
      <c r="T33">
        <f t="shared" ref="T33" si="144">S33/1000</f>
        <v>-2.4898874707142777</v>
      </c>
    </row>
    <row r="34" spans="1:20" x14ac:dyDescent="0.25">
      <c r="A34" s="5">
        <v>44559</v>
      </c>
      <c r="B34">
        <v>0.72099999999999997</v>
      </c>
      <c r="C34">
        <v>0.749</v>
      </c>
      <c r="D34">
        <v>0.70799999999999996</v>
      </c>
      <c r="E34">
        <v>0.71299999999999997</v>
      </c>
      <c r="F34">
        <v>3313805.2</v>
      </c>
      <c r="G34">
        <v>0.71299999999999997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-0.75609756097560976</v>
      </c>
      <c r="Q34">
        <f t="shared" ref="Q34" si="146">F34*P34</f>
        <v>-2505560.0292682927</v>
      </c>
      <c r="R34">
        <f t="shared" ref="R34" si="147">R35+Q34</f>
        <v>-249260603.24817196</v>
      </c>
      <c r="S34">
        <f t="shared" ref="S34" si="148">R34/100000</f>
        <v>-2492.6060324817195</v>
      </c>
      <c r="T34">
        <f t="shared" ref="T34" si="149">S34/1000</f>
        <v>-2.4926060324817194</v>
      </c>
    </row>
    <row r="35" spans="1:20" x14ac:dyDescent="0.25">
      <c r="A35" s="5">
        <v>44558</v>
      </c>
      <c r="B35">
        <v>0.78500000000000003</v>
      </c>
      <c r="C35">
        <v>0.78800000000000003</v>
      </c>
      <c r="D35">
        <v>0.70899999999999996</v>
      </c>
      <c r="E35">
        <v>0.72299999999999998</v>
      </c>
      <c r="F35">
        <v>6181811.5</v>
      </c>
      <c r="G35">
        <v>0.72299999999999998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-0.64556962025316456</v>
      </c>
      <c r="Q35">
        <f t="shared" ref="Q35" si="151">F35*P35</f>
        <v>-3990789.7025316455</v>
      </c>
      <c r="R35">
        <f t="shared" ref="R35" si="152">R36+Q35</f>
        <v>-246755043.21890366</v>
      </c>
      <c r="S35">
        <f t="shared" ref="S35" si="153">R35/100000</f>
        <v>-2467.5504321890367</v>
      </c>
      <c r="T35">
        <f t="shared" ref="T35" si="154">S35/1000</f>
        <v>-2.4675504321890367</v>
      </c>
    </row>
    <row r="36" spans="1:20" x14ac:dyDescent="0.25">
      <c r="A36" s="5">
        <v>44557</v>
      </c>
      <c r="B36">
        <v>0.80800000000000005</v>
      </c>
      <c r="C36">
        <v>0.83499999999999996</v>
      </c>
      <c r="D36">
        <v>0.78500000000000003</v>
      </c>
      <c r="E36">
        <v>0.78500000000000003</v>
      </c>
      <c r="F36">
        <v>8413809.5999999996</v>
      </c>
      <c r="G36">
        <v>0.78500000000000003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-1</v>
      </c>
      <c r="Q36">
        <f t="shared" ref="Q36" si="156">F36*P36</f>
        <v>-8413809.5999999996</v>
      </c>
      <c r="R36">
        <f t="shared" ref="R36" si="157">R37+Q36</f>
        <v>-242764253.51637203</v>
      </c>
      <c r="S36">
        <f t="shared" ref="S36" si="158">R36/100000</f>
        <v>-2427.6425351637204</v>
      </c>
      <c r="T36">
        <f t="shared" ref="T36" si="159">S36/1000</f>
        <v>-2.4276425351637205</v>
      </c>
    </row>
    <row r="37" spans="1:20" x14ac:dyDescent="0.25">
      <c r="A37" s="5">
        <v>44556</v>
      </c>
      <c r="B37">
        <v>0.80300000000000005</v>
      </c>
      <c r="C37">
        <v>0.82</v>
      </c>
      <c r="D37">
        <v>0.78</v>
      </c>
      <c r="E37">
        <v>0.80800000000000005</v>
      </c>
      <c r="F37">
        <v>3406590.8</v>
      </c>
      <c r="G37">
        <v>0.80800000000000005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0.40000000000000391</v>
      </c>
      <c r="Q37">
        <f t="shared" ref="Q37" si="161">F37*P37</f>
        <v>1362636.3200000133</v>
      </c>
      <c r="R37">
        <f t="shared" ref="R37" si="162">R38+Q37</f>
        <v>-234350443.91637203</v>
      </c>
      <c r="S37">
        <f t="shared" ref="S37" si="163">R37/100000</f>
        <v>-2343.5044391637202</v>
      </c>
      <c r="T37">
        <f t="shared" ref="T37" si="164">S37/1000</f>
        <v>-2.3435044391637203</v>
      </c>
    </row>
    <row r="38" spans="1:20" x14ac:dyDescent="0.25">
      <c r="A38" s="5">
        <v>44555</v>
      </c>
      <c r="B38">
        <v>0.79200000000000004</v>
      </c>
      <c r="C38">
        <v>0.83299999999999996</v>
      </c>
      <c r="D38">
        <v>0.78200000000000003</v>
      </c>
      <c r="E38">
        <v>0.80500000000000005</v>
      </c>
      <c r="F38">
        <v>5955533.7000000002</v>
      </c>
      <c r="G38">
        <v>0.80500000000000005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-9.8039215686272552E-2</v>
      </c>
      <c r="Q38">
        <f t="shared" ref="Q38" si="166">F38*P38</f>
        <v>-583875.85294116486</v>
      </c>
      <c r="R38">
        <f t="shared" ref="R38" si="167">R39+Q38</f>
        <v>-235713080.23637205</v>
      </c>
      <c r="S38">
        <f t="shared" ref="S38" si="168">R38/100000</f>
        <v>-2357.1308023637207</v>
      </c>
      <c r="T38">
        <f t="shared" ref="T38" si="169">S38/1000</f>
        <v>-2.3571308023637205</v>
      </c>
    </row>
    <row r="39" spans="1:20" x14ac:dyDescent="0.25">
      <c r="A39" s="5">
        <v>44554</v>
      </c>
      <c r="B39">
        <v>0.82599999999999996</v>
      </c>
      <c r="C39">
        <v>0.84499999999999997</v>
      </c>
      <c r="D39">
        <v>0.78500000000000003</v>
      </c>
      <c r="E39">
        <v>0.79300000000000004</v>
      </c>
      <c r="F39">
        <v>5261968.7</v>
      </c>
      <c r="G39">
        <v>0.79300000000000004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-0.73333333333333284</v>
      </c>
      <c r="Q39">
        <f t="shared" ref="Q39" si="171">F39*P39</f>
        <v>-3858777.0466666641</v>
      </c>
      <c r="R39">
        <f t="shared" ref="R39" si="172">R40+Q39</f>
        <v>-235129204.3834309</v>
      </c>
      <c r="S39">
        <f t="shared" ref="S39" si="173">R39/100000</f>
        <v>-2351.292043834309</v>
      </c>
      <c r="T39">
        <f t="shared" ref="T39" si="174">S39/1000</f>
        <v>-2.351292043834309</v>
      </c>
    </row>
    <row r="40" spans="1:20" x14ac:dyDescent="0.25">
      <c r="A40" s="5">
        <v>44553</v>
      </c>
      <c r="B40">
        <v>0.78500000000000003</v>
      </c>
      <c r="C40">
        <v>0.86699999999999999</v>
      </c>
      <c r="D40">
        <v>0.76700000000000002</v>
      </c>
      <c r="E40">
        <v>0.82399999999999995</v>
      </c>
      <c r="F40">
        <v>3770583.6</v>
      </c>
      <c r="G40">
        <v>0.82399999999999995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0.13999999999999904</v>
      </c>
      <c r="Q40">
        <f t="shared" ref="Q40" si="176">F40*P40</f>
        <v>527881.70399999642</v>
      </c>
      <c r="R40">
        <f t="shared" ref="R40" si="177">R41+Q40</f>
        <v>-231270427.33676425</v>
      </c>
      <c r="S40">
        <f t="shared" ref="S40" si="178">R40/100000</f>
        <v>-2312.7042733676426</v>
      </c>
      <c r="T40">
        <f t="shared" ref="T40" si="179">S40/1000</f>
        <v>-2.3127042733676424</v>
      </c>
    </row>
    <row r="41" spans="1:20" x14ac:dyDescent="0.25">
      <c r="A41" s="5">
        <v>44552</v>
      </c>
      <c r="B41">
        <v>0.77600000000000002</v>
      </c>
      <c r="C41">
        <v>0.80800000000000005</v>
      </c>
      <c r="D41">
        <v>0.76400000000000001</v>
      </c>
      <c r="E41">
        <v>0.78600000000000003</v>
      </c>
      <c r="F41">
        <v>3139595.5</v>
      </c>
      <c r="G41">
        <v>0.78600000000000003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</v>
      </c>
      <c r="Q41">
        <f t="shared" ref="Q41" si="181">F41*P41</f>
        <v>0</v>
      </c>
      <c r="R41">
        <f t="shared" ref="R41" si="182">R42+Q41</f>
        <v>-231798309.04076424</v>
      </c>
      <c r="S41">
        <f t="shared" ref="S41" si="183">R41/100000</f>
        <v>-2317.9830904076425</v>
      </c>
      <c r="T41">
        <f t="shared" ref="T41" si="184">S41/1000</f>
        <v>-2.3179830904076426</v>
      </c>
    </row>
    <row r="42" spans="1:20" x14ac:dyDescent="0.25">
      <c r="A42" s="5">
        <v>44551</v>
      </c>
      <c r="B42">
        <v>0.75600000000000001</v>
      </c>
      <c r="C42">
        <v>0.80500000000000005</v>
      </c>
      <c r="D42">
        <v>0.745</v>
      </c>
      <c r="E42">
        <v>0.77400000000000002</v>
      </c>
      <c r="F42">
        <v>3631563.6</v>
      </c>
      <c r="G42">
        <v>0.77400000000000002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-3.3333333333333333E-2</v>
      </c>
      <c r="Q42">
        <f t="shared" ref="Q42" si="186">F42*P42</f>
        <v>-121052.12</v>
      </c>
      <c r="R42">
        <f t="shared" ref="R42" si="187">R43+Q42</f>
        <v>-231798309.04076424</v>
      </c>
      <c r="S42">
        <f t="shared" ref="S42" si="188">R42/100000</f>
        <v>-2317.9830904076425</v>
      </c>
      <c r="T42">
        <f t="shared" ref="T42" si="189">S42/1000</f>
        <v>-2.3179830904076426</v>
      </c>
    </row>
    <row r="43" spans="1:20" x14ac:dyDescent="0.25">
      <c r="A43" s="5">
        <v>44550</v>
      </c>
      <c r="B43">
        <v>0.76400000000000001</v>
      </c>
      <c r="C43">
        <v>0.77500000000000002</v>
      </c>
      <c r="D43">
        <v>0.72</v>
      </c>
      <c r="E43">
        <v>0.754</v>
      </c>
      <c r="F43">
        <v>3539877.1</v>
      </c>
      <c r="G43">
        <v>0.754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0.23636363636363636</v>
      </c>
      <c r="Q43">
        <f t="shared" ref="Q43" si="191">F43*P43</f>
        <v>836698.22363636363</v>
      </c>
      <c r="R43">
        <f t="shared" ref="R43" si="192">R44+Q43</f>
        <v>-231677256.92076424</v>
      </c>
      <c r="S43">
        <f t="shared" ref="S43" si="193">R43/100000</f>
        <v>-2316.7725692076424</v>
      </c>
      <c r="T43">
        <f t="shared" ref="T43" si="194">S43/1000</f>
        <v>-2.3167725692076422</v>
      </c>
    </row>
    <row r="44" spans="1:20" x14ac:dyDescent="0.25">
      <c r="A44" s="5">
        <v>44549</v>
      </c>
      <c r="B44">
        <v>0.78900000000000003</v>
      </c>
      <c r="C44">
        <v>0.81499999999999995</v>
      </c>
      <c r="D44">
        <v>0.76400000000000001</v>
      </c>
      <c r="E44">
        <v>0.76600000000000001</v>
      </c>
      <c r="F44">
        <v>2725948.5</v>
      </c>
      <c r="G44">
        <v>0.76600000000000001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-0.92156862745098023</v>
      </c>
      <c r="Q44">
        <f t="shared" ref="Q44" si="196">F44*P44</f>
        <v>-2512148.6176470583</v>
      </c>
      <c r="R44">
        <f t="shared" ref="R44" si="197">R45+Q44</f>
        <v>-232513955.1444006</v>
      </c>
      <c r="S44">
        <f t="shared" ref="S44" si="198">R44/100000</f>
        <v>-2325.139551444006</v>
      </c>
      <c r="T44">
        <f t="shared" ref="T44" si="199">S44/1000</f>
        <v>-2.3251395514440061</v>
      </c>
    </row>
    <row r="45" spans="1:20" x14ac:dyDescent="0.25">
      <c r="A45" s="5">
        <v>44548</v>
      </c>
      <c r="B45">
        <v>0.78300000000000003</v>
      </c>
      <c r="C45">
        <v>0.81399999999999995</v>
      </c>
      <c r="D45">
        <v>0.755</v>
      </c>
      <c r="E45">
        <v>0.79</v>
      </c>
      <c r="F45">
        <v>3504281.9</v>
      </c>
      <c r="G45">
        <v>0.79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0.18644067796610392</v>
      </c>
      <c r="Q45">
        <f t="shared" ref="Q45" si="201">F45*P45</f>
        <v>653340.6932203467</v>
      </c>
      <c r="R45">
        <f t="shared" ref="R45" si="202">R46+Q45</f>
        <v>-230001806.52675354</v>
      </c>
      <c r="S45">
        <f t="shared" ref="S45" si="203">R45/100000</f>
        <v>-2300.0180652675353</v>
      </c>
      <c r="T45">
        <f t="shared" ref="T45" si="204">S45/1000</f>
        <v>-2.3000180652675355</v>
      </c>
    </row>
    <row r="46" spans="1:20" x14ac:dyDescent="0.25">
      <c r="A46" s="5">
        <v>44547</v>
      </c>
      <c r="B46">
        <v>0.83299999999999996</v>
      </c>
      <c r="C46">
        <v>0.88300000000000001</v>
      </c>
      <c r="D46">
        <v>0.755</v>
      </c>
      <c r="E46">
        <v>0.78300000000000003</v>
      </c>
      <c r="F46">
        <v>5727921.2999999998</v>
      </c>
      <c r="G46">
        <v>0.78300000000000003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-0.56249999999999967</v>
      </c>
      <c r="Q46">
        <f t="shared" ref="Q46" si="206">F46*P46</f>
        <v>-3221955.7312499979</v>
      </c>
      <c r="R46">
        <f t="shared" ref="R46" si="207">R47+Q46</f>
        <v>-230655147.21997389</v>
      </c>
      <c r="S46">
        <f t="shared" ref="S46" si="208">R46/100000</f>
        <v>-2306.5514721997388</v>
      </c>
      <c r="T46">
        <f t="shared" ref="T46" si="209">S46/1000</f>
        <v>-2.3065514721997387</v>
      </c>
    </row>
    <row r="47" spans="1:20" x14ac:dyDescent="0.25">
      <c r="A47" s="5">
        <v>44546</v>
      </c>
      <c r="B47">
        <v>0.78600000000000003</v>
      </c>
      <c r="C47">
        <v>0.99</v>
      </c>
      <c r="D47">
        <v>0.78200000000000003</v>
      </c>
      <c r="E47">
        <v>0.83399999999999996</v>
      </c>
      <c r="F47">
        <v>13936910.6</v>
      </c>
      <c r="G47">
        <v>0.83399999999999996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-0.50000000000000056</v>
      </c>
      <c r="Q47">
        <f t="shared" ref="Q47" si="211">F47*P47</f>
        <v>-6968455.3000000073</v>
      </c>
      <c r="R47">
        <f t="shared" ref="R47" si="212">R48+Q47</f>
        <v>-227433191.4887239</v>
      </c>
      <c r="S47">
        <f t="shared" ref="S47" si="213">R47/100000</f>
        <v>-2274.3319148872392</v>
      </c>
      <c r="T47">
        <f t="shared" ref="T47" si="214">S47/1000</f>
        <v>-2.2743319148872394</v>
      </c>
    </row>
    <row r="48" spans="1:20" x14ac:dyDescent="0.25">
      <c r="A48" s="5">
        <v>44545</v>
      </c>
      <c r="B48">
        <v>0.78400000000000003</v>
      </c>
      <c r="C48">
        <v>0.8</v>
      </c>
      <c r="D48">
        <v>0.72699999999999998</v>
      </c>
      <c r="E48">
        <v>0.78600000000000003</v>
      </c>
      <c r="F48">
        <v>5460510.5999999996</v>
      </c>
      <c r="G48">
        <v>0.78600000000000003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0.61643835616438358</v>
      </c>
      <c r="Q48">
        <f t="shared" ref="Q48" si="216">F48*P48</f>
        <v>3366068.1780821919</v>
      </c>
      <c r="R48">
        <f t="shared" ref="R48" si="217">R49+Q48</f>
        <v>-220464736.18872389</v>
      </c>
      <c r="S48">
        <f t="shared" ref="S48" si="218">R48/100000</f>
        <v>-2204.6473618872387</v>
      </c>
      <c r="T48">
        <f t="shared" ref="T48" si="219">S48/1000</f>
        <v>-2.2046473618872389</v>
      </c>
    </row>
    <row r="49" spans="1:20" x14ac:dyDescent="0.25">
      <c r="A49" s="5">
        <v>44544</v>
      </c>
      <c r="B49">
        <v>0.81399999999999995</v>
      </c>
      <c r="C49">
        <v>0.83099999999999996</v>
      </c>
      <c r="D49">
        <v>0.74299999999999999</v>
      </c>
      <c r="E49">
        <v>0.78400000000000003</v>
      </c>
      <c r="F49">
        <v>5329945.4000000004</v>
      </c>
      <c r="G49">
        <v>0.78400000000000003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-6.8181818181817011E-2</v>
      </c>
      <c r="Q49">
        <f t="shared" ref="Q49" si="221">F49*P49</f>
        <v>-363405.36818181199</v>
      </c>
      <c r="R49">
        <f t="shared" ref="R49" si="222">R50+Q49</f>
        <v>-223830804.36680609</v>
      </c>
      <c r="S49">
        <f t="shared" ref="S49" si="223">R49/100000</f>
        <v>-2238.3080436680607</v>
      </c>
      <c r="T49">
        <f t="shared" ref="T49" si="224">S49/1000</f>
        <v>-2.2383080436680607</v>
      </c>
    </row>
    <row r="50" spans="1:20" x14ac:dyDescent="0.25">
      <c r="A50" s="5">
        <v>44543</v>
      </c>
      <c r="B50">
        <v>0.96499999999999997</v>
      </c>
      <c r="C50">
        <v>0.97699999999999998</v>
      </c>
      <c r="D50">
        <v>0.8</v>
      </c>
      <c r="E50">
        <v>0.81200000000000006</v>
      </c>
      <c r="F50">
        <v>18833102</v>
      </c>
      <c r="G50">
        <v>0.81200000000000006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-0.86440677966101676</v>
      </c>
      <c r="Q50">
        <f t="shared" ref="Q50" si="226">F50*P50</f>
        <v>-16279461.050847454</v>
      </c>
      <c r="R50">
        <f t="shared" ref="R50" si="227">R51+Q50</f>
        <v>-223467398.99862427</v>
      </c>
      <c r="S50">
        <f t="shared" ref="S50" si="228">R50/100000</f>
        <v>-2234.6739899862428</v>
      </c>
      <c r="T50">
        <f t="shared" ref="T50" si="229">S50/1000</f>
        <v>-2.2346739899862427</v>
      </c>
    </row>
    <row r="51" spans="1:20" x14ac:dyDescent="0.25">
      <c r="A51" s="5">
        <v>44542</v>
      </c>
      <c r="B51">
        <v>0.75800000000000001</v>
      </c>
      <c r="C51">
        <v>1.145</v>
      </c>
      <c r="D51">
        <v>0.73399999999999999</v>
      </c>
      <c r="E51">
        <v>0.96499999999999997</v>
      </c>
      <c r="F51">
        <v>103234814.59999999</v>
      </c>
      <c r="G51">
        <v>0.96499999999999997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0.12408759124087575</v>
      </c>
      <c r="Q51">
        <f t="shared" ref="Q51" si="231">F51*P51</f>
        <v>12810159.47591239</v>
      </c>
      <c r="R51">
        <f t="shared" ref="R51" si="232">R52+Q51</f>
        <v>-207187937.94777682</v>
      </c>
      <c r="S51">
        <f t="shared" ref="S51" si="233">R51/100000</f>
        <v>-2071.8793794777685</v>
      </c>
      <c r="T51">
        <f t="shared" ref="T51" si="234">S51/1000</f>
        <v>-2.0718793794777683</v>
      </c>
    </row>
    <row r="52" spans="1:20" x14ac:dyDescent="0.25">
      <c r="A52" s="5">
        <v>44541</v>
      </c>
      <c r="B52">
        <v>0.70099999999999996</v>
      </c>
      <c r="C52">
        <v>0.72</v>
      </c>
      <c r="D52">
        <v>0.68899999999999995</v>
      </c>
      <c r="E52">
        <v>0.71399999999999997</v>
      </c>
      <c r="F52">
        <v>138298.1</v>
      </c>
      <c r="G52">
        <v>0.71399999999999997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0.61290322580645162</v>
      </c>
      <c r="Q52">
        <f t="shared" ref="Q52" si="236">F52*P52</f>
        <v>84763.351612903236</v>
      </c>
      <c r="R52">
        <f t="shared" ref="R52" si="237">R53+Q52</f>
        <v>-219998097.42368922</v>
      </c>
      <c r="S52">
        <f t="shared" ref="S52" si="238">R52/100000</f>
        <v>-2199.9809742368921</v>
      </c>
      <c r="T52">
        <f t="shared" ref="T52" si="239">S52/1000</f>
        <v>-2.1999809742368921</v>
      </c>
    </row>
    <row r="53" spans="1:20" x14ac:dyDescent="0.25">
      <c r="A53" s="5">
        <v>44540</v>
      </c>
      <c r="B53">
        <v>0.753</v>
      </c>
      <c r="C53">
        <v>0.81200000000000006</v>
      </c>
      <c r="D53">
        <v>0.69499999999999995</v>
      </c>
      <c r="E53">
        <v>0.70199999999999996</v>
      </c>
      <c r="F53">
        <v>7306118.2999999998</v>
      </c>
      <c r="G53">
        <v>0.70199999999999996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-0.88034188034188032</v>
      </c>
      <c r="Q53">
        <f t="shared" ref="Q53" si="241">F53*P53</f>
        <v>-6431881.9222222222</v>
      </c>
      <c r="R53">
        <f t="shared" ref="R53" si="242">R54+Q53</f>
        <v>-220082860.77530211</v>
      </c>
      <c r="S53">
        <f t="shared" ref="S53" si="243">R53/100000</f>
        <v>-2200.8286077530211</v>
      </c>
      <c r="T53">
        <f t="shared" ref="T53" si="244">S53/1000</f>
        <v>-2.2008286077530212</v>
      </c>
    </row>
    <row r="54" spans="1:20" x14ac:dyDescent="0.25">
      <c r="A54" s="5">
        <v>44539</v>
      </c>
      <c r="B54">
        <v>0.84499999999999997</v>
      </c>
      <c r="C54">
        <v>0.85899999999999999</v>
      </c>
      <c r="D54">
        <v>0.745</v>
      </c>
      <c r="E54">
        <v>0.753</v>
      </c>
      <c r="F54">
        <v>4729721.8</v>
      </c>
      <c r="G54">
        <v>0.753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-0.85964912280701744</v>
      </c>
      <c r="Q54">
        <f t="shared" ref="Q54" si="246">F54*P54</f>
        <v>-4065901.1964912275</v>
      </c>
      <c r="R54">
        <f t="shared" ref="R54" si="247">R55+Q54</f>
        <v>-213650978.85307989</v>
      </c>
      <c r="S54">
        <f t="shared" ref="S54" si="248">R54/100000</f>
        <v>-2136.5097885307987</v>
      </c>
      <c r="T54">
        <f t="shared" ref="T54" si="249">S54/1000</f>
        <v>-2.1365097885307986</v>
      </c>
    </row>
    <row r="55" spans="1:20" x14ac:dyDescent="0.25">
      <c r="A55" s="5">
        <v>44538</v>
      </c>
      <c r="B55">
        <v>0.82</v>
      </c>
      <c r="C55">
        <v>0.86399999999999999</v>
      </c>
      <c r="D55">
        <v>0.78500000000000003</v>
      </c>
      <c r="E55">
        <v>0.84499999999999997</v>
      </c>
      <c r="F55">
        <v>6631670.4000000004</v>
      </c>
      <c r="G55">
        <v>0.84499999999999997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0.51898734177215122</v>
      </c>
      <c r="Q55">
        <f t="shared" ref="Q55" si="251">F55*P55</f>
        <v>3441752.9924050588</v>
      </c>
      <c r="R55">
        <f t="shared" ref="R55" si="252">R56+Q55</f>
        <v>-209585077.65658864</v>
      </c>
      <c r="S55">
        <f t="shared" ref="S55" si="253">R55/100000</f>
        <v>-2095.8507765658865</v>
      </c>
      <c r="T55">
        <f t="shared" ref="T55" si="254">S55/1000</f>
        <v>-2.0958507765658863</v>
      </c>
    </row>
    <row r="56" spans="1:20" x14ac:dyDescent="0.25">
      <c r="A56" s="5">
        <v>44537</v>
      </c>
      <c r="B56">
        <v>0.85399999999999998</v>
      </c>
      <c r="C56">
        <v>0.88800000000000001</v>
      </c>
      <c r="D56">
        <v>0.81100000000000005</v>
      </c>
      <c r="E56">
        <v>0.82</v>
      </c>
      <c r="F56">
        <v>9546811.9000000004</v>
      </c>
      <c r="G56">
        <v>0.82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-0.76623376623376882</v>
      </c>
      <c r="Q56">
        <f t="shared" ref="Q56" si="256">F56*P56</f>
        <v>-7315089.6376623623</v>
      </c>
      <c r="R56">
        <f t="shared" ref="R56" si="257">R57+Q56</f>
        <v>-213026830.6489937</v>
      </c>
      <c r="S56">
        <f t="shared" ref="S56" si="258">R56/100000</f>
        <v>-2130.268306489937</v>
      </c>
      <c r="T56">
        <f t="shared" ref="T56" si="259">S56/1000</f>
        <v>-2.130268306489937</v>
      </c>
    </row>
    <row r="57" spans="1:20" x14ac:dyDescent="0.25">
      <c r="A57" s="5">
        <v>44536</v>
      </c>
      <c r="B57">
        <v>0.85599999999999998</v>
      </c>
      <c r="C57">
        <v>0.90900000000000003</v>
      </c>
      <c r="D57">
        <v>0.753</v>
      </c>
      <c r="E57">
        <v>0.85399999999999998</v>
      </c>
      <c r="F57">
        <v>18479103.899999999</v>
      </c>
      <c r="G57">
        <v>0.85399999999999998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0.29487179487179438</v>
      </c>
      <c r="Q57">
        <f t="shared" ref="Q57" si="261">F57*P57</f>
        <v>5448966.5346153751</v>
      </c>
      <c r="R57">
        <f t="shared" ref="R57" si="262">R58+Q57</f>
        <v>-205711741.01133135</v>
      </c>
      <c r="S57">
        <f t="shared" ref="S57" si="263">R57/100000</f>
        <v>-2057.1174101133133</v>
      </c>
      <c r="T57">
        <f t="shared" ref="T57" si="264">S57/1000</f>
        <v>-2.0571174101133134</v>
      </c>
    </row>
    <row r="58" spans="1:20" x14ac:dyDescent="0.25">
      <c r="A58" s="5">
        <v>44535</v>
      </c>
      <c r="B58">
        <v>0.90200000000000002</v>
      </c>
      <c r="C58">
        <v>0.92</v>
      </c>
      <c r="D58">
        <v>0.81399999999999995</v>
      </c>
      <c r="E58">
        <v>0.85599999999999998</v>
      </c>
      <c r="F58">
        <v>3083873.5</v>
      </c>
      <c r="G58">
        <v>0.85599999999999998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-0.20754716981132076</v>
      </c>
      <c r="Q58">
        <f t="shared" ref="Q58" si="266">F58*P58</f>
        <v>-640049.21698113205</v>
      </c>
      <c r="R58">
        <f t="shared" ref="R58" si="267">R59+Q58</f>
        <v>-211160707.54594672</v>
      </c>
      <c r="S58">
        <f t="shared" ref="S58" si="268">R58/100000</f>
        <v>-2111.6070754594671</v>
      </c>
      <c r="T58">
        <f t="shared" ref="T58" si="269">S58/1000</f>
        <v>-2.1116070754594669</v>
      </c>
    </row>
    <row r="59" spans="1:20" x14ac:dyDescent="0.25">
      <c r="A59" s="5">
        <v>44534</v>
      </c>
      <c r="B59">
        <v>1.0649999999999999</v>
      </c>
      <c r="C59">
        <v>1.0720000000000001</v>
      </c>
      <c r="D59">
        <v>0.73499999999999999</v>
      </c>
      <c r="E59">
        <v>0.90300000000000002</v>
      </c>
      <c r="F59">
        <v>6549360.0999999996</v>
      </c>
      <c r="G59">
        <v>0.90300000000000002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-2.9673590504451057E-3</v>
      </c>
      <c r="Q59">
        <f t="shared" ref="Q59" si="271">F59*P59</f>
        <v>-19434.302967359061</v>
      </c>
      <c r="R59">
        <f t="shared" ref="R59" si="272">R60+Q59</f>
        <v>-210520658.32896557</v>
      </c>
      <c r="S59">
        <f t="shared" ref="S59" si="273">R59/100000</f>
        <v>-2105.2065832896556</v>
      </c>
      <c r="T59">
        <f t="shared" ref="T59" si="274">S59/1000</f>
        <v>-2.1052065832896556</v>
      </c>
    </row>
    <row r="60" spans="1:20" x14ac:dyDescent="0.25">
      <c r="A60" s="5">
        <v>44533</v>
      </c>
      <c r="B60">
        <v>1.107</v>
      </c>
      <c r="C60">
        <v>1.159</v>
      </c>
      <c r="D60">
        <v>1.032</v>
      </c>
      <c r="E60">
        <v>1.0649999999999999</v>
      </c>
      <c r="F60">
        <v>7047764.7000000002</v>
      </c>
      <c r="G60">
        <v>1.0649999999999999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-0.48031496062992257</v>
      </c>
      <c r="Q60">
        <f t="shared" ref="Q60" si="276">F60*P60</f>
        <v>-3385146.8244094583</v>
      </c>
      <c r="R60">
        <f t="shared" ref="R60" si="277">R61+Q60</f>
        <v>-210501224.0259982</v>
      </c>
      <c r="S60">
        <f t="shared" ref="S60" si="278">R60/100000</f>
        <v>-2105.0122402599823</v>
      </c>
      <c r="T60">
        <f t="shared" ref="T60" si="279">S60/1000</f>
        <v>-2.1050122402599825</v>
      </c>
    </row>
    <row r="61" spans="1:20" x14ac:dyDescent="0.25">
      <c r="A61" s="5">
        <v>44532</v>
      </c>
      <c r="B61">
        <v>1.089</v>
      </c>
      <c r="C61">
        <v>1.119</v>
      </c>
      <c r="D61">
        <v>1.0609999999999999</v>
      </c>
      <c r="E61">
        <v>1.107</v>
      </c>
      <c r="F61">
        <v>4529935.5999999996</v>
      </c>
      <c r="G61">
        <v>1.107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0.58620689655172409</v>
      </c>
      <c r="Q61">
        <f t="shared" ref="Q61" si="281">F61*P61</f>
        <v>2655479.489655172</v>
      </c>
      <c r="R61">
        <f t="shared" ref="R61" si="282">R62+Q61</f>
        <v>-207116077.20158875</v>
      </c>
      <c r="S61">
        <f t="shared" ref="S61" si="283">R61/100000</f>
        <v>-2071.1607720158877</v>
      </c>
      <c r="T61">
        <f t="shared" ref="T61" si="284">S61/1000</f>
        <v>-2.0711607720158876</v>
      </c>
    </row>
    <row r="62" spans="1:20" x14ac:dyDescent="0.25">
      <c r="A62" s="5">
        <v>44531</v>
      </c>
      <c r="B62">
        <v>1.103</v>
      </c>
      <c r="C62">
        <v>1.125</v>
      </c>
      <c r="D62">
        <v>1.081</v>
      </c>
      <c r="E62">
        <v>1.089</v>
      </c>
      <c r="F62">
        <v>5188548.5999999996</v>
      </c>
      <c r="G62">
        <v>1.089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-0.63636363636363635</v>
      </c>
      <c r="Q62">
        <f t="shared" ref="Q62" si="286">F62*P62</f>
        <v>-3301803.6545454543</v>
      </c>
      <c r="R62">
        <f t="shared" ref="R62" si="287">R63+Q62</f>
        <v>-209771556.69124392</v>
      </c>
      <c r="S62">
        <f t="shared" ref="S62" si="288">R62/100000</f>
        <v>-2097.715566912439</v>
      </c>
      <c r="T62">
        <f t="shared" ref="T62" si="289">S62/1000</f>
        <v>-2.0977155669124392</v>
      </c>
    </row>
    <row r="63" spans="1:20" x14ac:dyDescent="0.25">
      <c r="A63" s="5">
        <v>44530</v>
      </c>
      <c r="B63">
        <v>1.1499999999999999</v>
      </c>
      <c r="C63">
        <v>1.155</v>
      </c>
      <c r="D63">
        <v>1.091</v>
      </c>
      <c r="E63">
        <v>1.103</v>
      </c>
      <c r="F63">
        <v>4447568.4000000004</v>
      </c>
      <c r="G63">
        <v>1.103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-0.625</v>
      </c>
      <c r="Q63">
        <f t="shared" ref="Q63" si="291">F63*P63</f>
        <v>-2779730.25</v>
      </c>
      <c r="R63">
        <f t="shared" ref="R63" si="292">R64+Q63</f>
        <v>-206469753.03669846</v>
      </c>
      <c r="S63">
        <f t="shared" ref="S63" si="293">R63/100000</f>
        <v>-2064.6975303669847</v>
      </c>
      <c r="T63">
        <f t="shared" ref="T63" si="294">S63/1000</f>
        <v>-2.0646975303669848</v>
      </c>
    </row>
    <row r="64" spans="1:20" x14ac:dyDescent="0.25">
      <c r="A64" s="5">
        <v>44529</v>
      </c>
      <c r="B64">
        <v>1.1619999999999999</v>
      </c>
      <c r="C64">
        <v>1.18</v>
      </c>
      <c r="D64">
        <v>1.125</v>
      </c>
      <c r="E64">
        <v>1.1499999999999999</v>
      </c>
      <c r="F64">
        <v>3924187.4</v>
      </c>
      <c r="G64">
        <v>1.1499999999999999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-9.0909090909093104E-2</v>
      </c>
      <c r="Q64">
        <f t="shared" ref="Q64" si="296">F64*P64</f>
        <v>-356744.3090909177</v>
      </c>
      <c r="R64">
        <f t="shared" ref="R64" si="297">R65+Q64</f>
        <v>-203690022.78669846</v>
      </c>
      <c r="S64">
        <f t="shared" ref="S64" si="298">R64/100000</f>
        <v>-2036.9002278669846</v>
      </c>
      <c r="T64">
        <f t="shared" ref="T64" si="299">S64/1000</f>
        <v>-2.0369002278669845</v>
      </c>
    </row>
    <row r="65" spans="1:20" x14ac:dyDescent="0.25">
      <c r="A65" s="5">
        <v>44528</v>
      </c>
      <c r="B65">
        <v>1.147</v>
      </c>
      <c r="C65">
        <v>1.25</v>
      </c>
      <c r="D65">
        <v>1.0820000000000001</v>
      </c>
      <c r="E65">
        <v>1.1619999999999999</v>
      </c>
      <c r="F65">
        <v>7498092.9000000004</v>
      </c>
      <c r="G65">
        <v>1.1619999999999999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-4.7619047619049004E-2</v>
      </c>
      <c r="Q65">
        <f t="shared" ref="Q65" si="301">F65*P65</f>
        <v>-357052.04285715328</v>
      </c>
      <c r="R65">
        <f t="shared" ref="R65" si="302">R66+Q65</f>
        <v>-203333278.47760755</v>
      </c>
      <c r="S65">
        <f t="shared" ref="S65" si="303">R65/100000</f>
        <v>-2033.3327847760754</v>
      </c>
      <c r="T65">
        <f t="shared" ref="T65" si="304">S65/1000</f>
        <v>-2.0333327847760754</v>
      </c>
    </row>
    <row r="66" spans="1:20" x14ac:dyDescent="0.25">
      <c r="A66" s="5">
        <v>44527</v>
      </c>
      <c r="B66">
        <v>1.0980000000000001</v>
      </c>
      <c r="C66">
        <v>1.1859999999999999</v>
      </c>
      <c r="D66">
        <v>1.093</v>
      </c>
      <c r="E66">
        <v>1.147</v>
      </c>
      <c r="F66">
        <v>4348227.3</v>
      </c>
      <c r="G66">
        <v>1.147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0.16129032258064654</v>
      </c>
      <c r="Q66">
        <f t="shared" ref="Q66" si="306">F66*P66</f>
        <v>701326.98387097369</v>
      </c>
      <c r="R66">
        <f t="shared" ref="R66" si="307">R67+Q66</f>
        <v>-202976226.43475041</v>
      </c>
      <c r="S66">
        <f t="shared" ref="S66" si="308">R66/100000</f>
        <v>-2029.762264347504</v>
      </c>
      <c r="T66">
        <f t="shared" ref="T66" si="309">S66/1000</f>
        <v>-2.0297622643475042</v>
      </c>
    </row>
    <row r="67" spans="1:20" x14ac:dyDescent="0.25">
      <c r="A67" s="5">
        <v>44526</v>
      </c>
      <c r="B67">
        <v>1.216</v>
      </c>
      <c r="C67">
        <v>1.2430000000000001</v>
      </c>
      <c r="D67">
        <v>1.014</v>
      </c>
      <c r="E67">
        <v>1.0960000000000001</v>
      </c>
      <c r="F67">
        <v>9833214.6999999993</v>
      </c>
      <c r="G67">
        <v>1.0960000000000001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-0.28384279475982499</v>
      </c>
      <c r="Q67">
        <f t="shared" ref="Q67" si="311">F67*P67</f>
        <v>-2791087.141921394</v>
      </c>
      <c r="R67">
        <f t="shared" ref="R67" si="312">R68+Q67</f>
        <v>-203677553.41862139</v>
      </c>
      <c r="S67">
        <f t="shared" ref="S67" si="313">R67/100000</f>
        <v>-2036.7755341862139</v>
      </c>
      <c r="T67">
        <f t="shared" ref="T67" si="314">S67/1000</f>
        <v>-2.0367755341862139</v>
      </c>
    </row>
    <row r="68" spans="1:20" x14ac:dyDescent="0.25">
      <c r="A68" s="5">
        <v>44525</v>
      </c>
      <c r="B68">
        <v>1.081</v>
      </c>
      <c r="C68">
        <v>1.347</v>
      </c>
      <c r="D68">
        <v>1.0680000000000001</v>
      </c>
      <c r="E68">
        <v>1.2150000000000001</v>
      </c>
      <c r="F68">
        <v>17519095.199999999</v>
      </c>
      <c r="G68">
        <v>1.2150000000000001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5.3763440860215513E-2</v>
      </c>
      <c r="Q68">
        <f t="shared" ref="Q68" si="316">F68*P68</f>
        <v>941886.83870968537</v>
      </c>
      <c r="R68">
        <f t="shared" ref="R68" si="317">R69+Q68</f>
        <v>-200886466.27669999</v>
      </c>
      <c r="S68">
        <f t="shared" ref="S68" si="318">R68/100000</f>
        <v>-2008.8646627669998</v>
      </c>
      <c r="T68">
        <f t="shared" ref="T68" si="319">S68/1000</f>
        <v>-2.0088646627669999</v>
      </c>
    </row>
    <row r="69" spans="1:20" x14ac:dyDescent="0.25">
      <c r="A69" s="5">
        <v>44524</v>
      </c>
      <c r="B69">
        <v>1.1220000000000001</v>
      </c>
      <c r="C69">
        <v>1.145</v>
      </c>
      <c r="D69">
        <v>1.1080000000000001</v>
      </c>
      <c r="E69">
        <v>1.1140000000000001</v>
      </c>
      <c r="F69">
        <v>847801</v>
      </c>
      <c r="G69">
        <v>1.1140000000000001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-0.67567567567567466</v>
      </c>
      <c r="Q69">
        <f t="shared" ref="Q69" si="321">F69*P69</f>
        <v>-572838.51351351268</v>
      </c>
      <c r="R69">
        <f t="shared" ref="R69" si="322">R70+Q69</f>
        <v>-201828353.11540967</v>
      </c>
      <c r="S69">
        <f t="shared" ref="S69" si="323">R69/100000</f>
        <v>-2018.2835311540966</v>
      </c>
      <c r="T69">
        <f t="shared" ref="T69" si="324">S69/1000</f>
        <v>-2.0182835311540965</v>
      </c>
    </row>
    <row r="70" spans="1:20" x14ac:dyDescent="0.25">
      <c r="A70" s="5">
        <v>44523</v>
      </c>
      <c r="B70">
        <v>1.1319999999999999</v>
      </c>
      <c r="C70">
        <v>1.1599999999999999</v>
      </c>
      <c r="D70">
        <v>1.0940000000000001</v>
      </c>
      <c r="E70">
        <v>1.125</v>
      </c>
      <c r="F70">
        <v>5044119.9000000004</v>
      </c>
      <c r="G70">
        <v>1.125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-6.0606060606060809E-2</v>
      </c>
      <c r="Q70">
        <f t="shared" ref="Q70" si="326">F70*P70</f>
        <v>-305704.23636363744</v>
      </c>
      <c r="R70">
        <f t="shared" ref="R70" si="327">R71+Q70</f>
        <v>-201255514.60189617</v>
      </c>
      <c r="S70">
        <f t="shared" ref="S70" si="328">R70/100000</f>
        <v>-2012.5551460189618</v>
      </c>
      <c r="T70">
        <f t="shared" ref="T70" si="329">S70/1000</f>
        <v>-2.0125551460189617</v>
      </c>
    </row>
    <row r="71" spans="1:20" x14ac:dyDescent="0.25">
      <c r="A71" s="5">
        <v>44522</v>
      </c>
      <c r="B71">
        <v>1.206</v>
      </c>
      <c r="C71">
        <v>1.21</v>
      </c>
      <c r="D71">
        <v>1.1020000000000001</v>
      </c>
      <c r="E71">
        <v>1.1319999999999999</v>
      </c>
      <c r="F71">
        <v>4432137</v>
      </c>
      <c r="G71">
        <v>1.1319999999999999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-0.44444444444444742</v>
      </c>
      <c r="Q71">
        <f t="shared" ref="Q71" si="331">F71*P71</f>
        <v>-1969838.6666666798</v>
      </c>
      <c r="R71">
        <f t="shared" ref="R71" si="332">R72+Q71</f>
        <v>-200949810.36553252</v>
      </c>
      <c r="S71">
        <f t="shared" ref="S71" si="333">R71/100000</f>
        <v>-2009.4981036553252</v>
      </c>
      <c r="T71">
        <f t="shared" ref="T71" si="334">S71/1000</f>
        <v>-2.009498103655325</v>
      </c>
    </row>
    <row r="72" spans="1:20" x14ac:dyDescent="0.25">
      <c r="A72" s="5">
        <v>44521</v>
      </c>
      <c r="B72">
        <v>1.1519999999999999</v>
      </c>
      <c r="C72">
        <v>1.27</v>
      </c>
      <c r="D72">
        <v>1.1220000000000001</v>
      </c>
      <c r="E72">
        <v>1.204</v>
      </c>
      <c r="F72">
        <v>7966197.5999999996</v>
      </c>
      <c r="G72">
        <v>1.204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0.10810810810810677</v>
      </c>
      <c r="Q72">
        <f t="shared" ref="Q72" si="336">F72*P72</f>
        <v>861210.5513513406</v>
      </c>
      <c r="R72">
        <f t="shared" ref="R72" si="337">R73+Q72</f>
        <v>-198979971.69886583</v>
      </c>
      <c r="S72">
        <f t="shared" ref="S72" si="338">R72/100000</f>
        <v>-1989.7997169886582</v>
      </c>
      <c r="T72">
        <f t="shared" ref="T72" si="339">S72/1000</f>
        <v>-1.9897997169886583</v>
      </c>
    </row>
    <row r="73" spans="1:20" x14ac:dyDescent="0.25">
      <c r="A73" s="5">
        <v>44520</v>
      </c>
      <c r="B73">
        <v>1.1279999999999999</v>
      </c>
      <c r="C73">
        <v>1.1930000000000001</v>
      </c>
      <c r="D73">
        <v>1.095</v>
      </c>
      <c r="E73">
        <v>1.153</v>
      </c>
      <c r="F73">
        <v>3417315.2</v>
      </c>
      <c r="G73">
        <v>1.153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0.18367346938775511</v>
      </c>
      <c r="Q73">
        <f t="shared" ref="Q73" si="341">F73*P73</f>
        <v>627670.13877551025</v>
      </c>
      <c r="R73">
        <f t="shared" ref="R73" si="342">R74+Q73</f>
        <v>-199841182.25021717</v>
      </c>
      <c r="S73">
        <f t="shared" ref="S73" si="343">R73/100000</f>
        <v>-1998.4118225021716</v>
      </c>
      <c r="T73">
        <f t="shared" ref="T73" si="344">S73/1000</f>
        <v>-1.9984118225021716</v>
      </c>
    </row>
    <row r="74" spans="1:20" x14ac:dyDescent="0.25">
      <c r="A74" s="5">
        <v>44519</v>
      </c>
      <c r="B74">
        <v>1.0720000000000001</v>
      </c>
      <c r="C74">
        <v>1.149</v>
      </c>
      <c r="D74">
        <v>1.0549999999999999</v>
      </c>
      <c r="E74">
        <v>1.1279999999999999</v>
      </c>
      <c r="F74">
        <v>2897505.3</v>
      </c>
      <c r="G74">
        <v>1.1279999999999999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0.55319148936169982</v>
      </c>
      <c r="Q74">
        <f t="shared" ref="Q74" si="346">F74*P74</f>
        <v>1602875.2723404188</v>
      </c>
      <c r="R74">
        <f t="shared" ref="R74" si="347">R75+Q74</f>
        <v>-200468852.38899267</v>
      </c>
      <c r="S74">
        <f t="shared" ref="S74" si="348">R74/100000</f>
        <v>-2004.6885238899267</v>
      </c>
      <c r="T74">
        <f t="shared" ref="T74" si="349">S74/1000</f>
        <v>-2.0046885238899268</v>
      </c>
    </row>
    <row r="75" spans="1:20" x14ac:dyDescent="0.25">
      <c r="A75" s="5">
        <v>44518</v>
      </c>
      <c r="B75">
        <v>1.1779999999999999</v>
      </c>
      <c r="C75">
        <v>1.1970000000000001</v>
      </c>
      <c r="D75">
        <v>1.0489999999999999</v>
      </c>
      <c r="E75">
        <v>1.0720000000000001</v>
      </c>
      <c r="F75">
        <v>6219251.7000000002</v>
      </c>
      <c r="G75">
        <v>1.0720000000000001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-0.6891891891891877</v>
      </c>
      <c r="Q75">
        <f t="shared" ref="Q75" si="351">F75*P75</f>
        <v>-4286241.0364864776</v>
      </c>
      <c r="R75">
        <f t="shared" ref="R75" si="352">R76+Q75</f>
        <v>-202071727.66133308</v>
      </c>
      <c r="S75">
        <f t="shared" ref="S75" si="353">R75/100000</f>
        <v>-2020.7172766133308</v>
      </c>
      <c r="T75">
        <f t="shared" ref="T75" si="354">S75/1000</f>
        <v>-2.0207172766133308</v>
      </c>
    </row>
    <row r="76" spans="1:20" x14ac:dyDescent="0.25">
      <c r="A76" s="5">
        <v>44517</v>
      </c>
      <c r="B76">
        <v>1.155</v>
      </c>
      <c r="C76">
        <v>1.198</v>
      </c>
      <c r="D76">
        <v>1.0900000000000001</v>
      </c>
      <c r="E76">
        <v>1.1779999999999999</v>
      </c>
      <c r="F76">
        <v>4114055.9</v>
      </c>
      <c r="G76">
        <v>1.1779999999999999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0.62962962962962887</v>
      </c>
      <c r="Q76">
        <f t="shared" ref="Q76" si="356">F76*P76</f>
        <v>2590331.4925925895</v>
      </c>
      <c r="R76">
        <f t="shared" ref="R76" si="357">R77+Q76</f>
        <v>-197785486.62484661</v>
      </c>
      <c r="S76">
        <f t="shared" ref="S76" si="358">R76/100000</f>
        <v>-1977.8548662484661</v>
      </c>
      <c r="T76">
        <f t="shared" ref="T76" si="359">S76/1000</f>
        <v>-1.9778548662484661</v>
      </c>
    </row>
    <row r="77" spans="1:20" x14ac:dyDescent="0.25">
      <c r="A77" s="5">
        <v>44516</v>
      </c>
      <c r="B77">
        <v>1.288</v>
      </c>
      <c r="C77">
        <v>1.29</v>
      </c>
      <c r="D77">
        <v>1.083</v>
      </c>
      <c r="E77">
        <v>1.1499999999999999</v>
      </c>
      <c r="F77">
        <v>6703802.9000000004</v>
      </c>
      <c r="G77">
        <v>1.1499999999999999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-0.35265700483091861</v>
      </c>
      <c r="Q77">
        <f t="shared" ref="Q77" si="361">F77*P77</f>
        <v>-2364143.0516908262</v>
      </c>
      <c r="R77">
        <f t="shared" ref="R77" si="362">R78+Q77</f>
        <v>-200375818.11743921</v>
      </c>
      <c r="S77">
        <f t="shared" ref="S77" si="363">R77/100000</f>
        <v>-2003.7581811743921</v>
      </c>
      <c r="T77">
        <f t="shared" ref="T77" si="364">S77/1000</f>
        <v>-2.0037581811743923</v>
      </c>
    </row>
    <row r="78" spans="1:20" x14ac:dyDescent="0.25">
      <c r="A78" s="5">
        <v>44515</v>
      </c>
      <c r="B78">
        <v>1.2210000000000001</v>
      </c>
      <c r="C78">
        <v>1.35</v>
      </c>
      <c r="D78">
        <v>1.212</v>
      </c>
      <c r="E78">
        <v>1.2889999999999999</v>
      </c>
      <c r="F78">
        <v>8585222.8000000007</v>
      </c>
      <c r="G78">
        <v>1.2889999999999999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0.11594202898550564</v>
      </c>
      <c r="Q78">
        <f t="shared" ref="Q78" si="366">F78*P78</f>
        <v>995388.15072462393</v>
      </c>
      <c r="R78">
        <f t="shared" ref="R78" si="367">R79+Q78</f>
        <v>-198011675.06574839</v>
      </c>
      <c r="S78">
        <f t="shared" ref="S78" si="368">R78/100000</f>
        <v>-1980.1167506574839</v>
      </c>
      <c r="T78">
        <f t="shared" ref="T78" si="369">S78/1000</f>
        <v>-1.9801167506574839</v>
      </c>
    </row>
    <row r="79" spans="1:20" x14ac:dyDescent="0.25">
      <c r="A79" s="5">
        <v>44514</v>
      </c>
      <c r="B79">
        <v>1.2110000000000001</v>
      </c>
      <c r="C79">
        <v>1.272</v>
      </c>
      <c r="D79">
        <v>1.1659999999999999</v>
      </c>
      <c r="E79">
        <v>1.218</v>
      </c>
      <c r="F79">
        <v>5106125.5</v>
      </c>
      <c r="G79">
        <v>1.218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-1.8867924528301886E-2</v>
      </c>
      <c r="Q79">
        <f t="shared" ref="Q79" si="371">F79*P79</f>
        <v>-96341.990566037726</v>
      </c>
      <c r="R79">
        <f t="shared" ref="R79" si="372">R80+Q79</f>
        <v>-199007063.21647301</v>
      </c>
      <c r="S79">
        <f t="shared" ref="S79" si="373">R79/100000</f>
        <v>-1990.0706321647301</v>
      </c>
      <c r="T79">
        <f t="shared" ref="T79" si="374">S79/1000</f>
        <v>-1.9900706321647301</v>
      </c>
    </row>
    <row r="80" spans="1:20" x14ac:dyDescent="0.25">
      <c r="A80" s="5">
        <v>44513</v>
      </c>
      <c r="B80">
        <v>1.2210000000000001</v>
      </c>
      <c r="C80">
        <v>1.238</v>
      </c>
      <c r="D80">
        <v>1.1919999999999999</v>
      </c>
      <c r="E80">
        <v>1.2110000000000001</v>
      </c>
      <c r="F80">
        <v>2978195.7</v>
      </c>
      <c r="G80">
        <v>1.2110000000000001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-0.17391304347825604</v>
      </c>
      <c r="Q80">
        <f t="shared" ref="Q80" si="376">F80*P80</f>
        <v>-517947.07826085523</v>
      </c>
      <c r="R80">
        <f t="shared" ref="R80" si="377">R81+Q80</f>
        <v>-198910721.22590697</v>
      </c>
      <c r="S80">
        <f t="shared" ref="S80" si="378">R80/100000</f>
        <v>-1989.1072122590697</v>
      </c>
      <c r="T80">
        <f t="shared" ref="T80" si="379">S80/1000</f>
        <v>-1.9891072122590696</v>
      </c>
    </row>
    <row r="81" spans="1:20" x14ac:dyDescent="0.25">
      <c r="A81" s="5">
        <v>44512</v>
      </c>
      <c r="B81">
        <v>1.286</v>
      </c>
      <c r="C81">
        <v>1.2909999999999999</v>
      </c>
      <c r="D81">
        <v>1.165</v>
      </c>
      <c r="E81">
        <v>1.2230000000000001</v>
      </c>
      <c r="F81">
        <v>7213314.9000000004</v>
      </c>
      <c r="G81">
        <v>1.2230000000000001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-7.9365079365077737E-2</v>
      </c>
      <c r="Q81">
        <f t="shared" ref="Q81" si="381">F81*P81</f>
        <v>-572485.30952379783</v>
      </c>
      <c r="R81">
        <f t="shared" ref="R81" si="382">R82+Q81</f>
        <v>-198392774.1476461</v>
      </c>
      <c r="S81">
        <f t="shared" ref="S81" si="383">R81/100000</f>
        <v>-1983.9277414764611</v>
      </c>
      <c r="T81">
        <f t="shared" ref="T81" si="384">S81/1000</f>
        <v>-1.9839277414764611</v>
      </c>
    </row>
    <row r="82" spans="1:20" x14ac:dyDescent="0.25">
      <c r="A82" s="5">
        <v>44511</v>
      </c>
      <c r="B82">
        <v>1.236</v>
      </c>
      <c r="C82">
        <v>1.3169999999999999</v>
      </c>
      <c r="D82">
        <v>1.1890000000000001</v>
      </c>
      <c r="E82">
        <v>1.286</v>
      </c>
      <c r="F82">
        <v>7060695</v>
      </c>
      <c r="G82">
        <v>1.286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0.51562500000000089</v>
      </c>
      <c r="Q82">
        <f t="shared" ref="Q82" si="386">F82*P82</f>
        <v>3640670.8593750061</v>
      </c>
      <c r="R82">
        <f t="shared" ref="R82" si="387">R83+Q82</f>
        <v>-197820288.83812231</v>
      </c>
      <c r="S82">
        <f t="shared" ref="S82" si="388">R82/100000</f>
        <v>-1978.2028883812231</v>
      </c>
      <c r="T82">
        <f t="shared" ref="T82" si="389">S82/1000</f>
        <v>-1.978202888381223</v>
      </c>
    </row>
    <row r="83" spans="1:20" x14ac:dyDescent="0.25">
      <c r="A83" s="5">
        <v>44510</v>
      </c>
      <c r="B83">
        <v>1.3340000000000001</v>
      </c>
      <c r="C83">
        <v>1.363</v>
      </c>
      <c r="D83">
        <v>1.212</v>
      </c>
      <c r="E83">
        <v>1.2370000000000001</v>
      </c>
      <c r="F83">
        <v>6343898.4000000004</v>
      </c>
      <c r="G83">
        <v>1.2370000000000001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-0.66887417218542877</v>
      </c>
      <c r="Q83">
        <f t="shared" ref="Q83" si="391">F83*P83</f>
        <v>-4243269.7907284666</v>
      </c>
      <c r="R83">
        <f t="shared" ref="R83" si="392">R84+Q83</f>
        <v>-201460959.69749731</v>
      </c>
      <c r="S83">
        <f t="shared" ref="S83" si="393">R83/100000</f>
        <v>-2014.6095969749731</v>
      </c>
      <c r="T83">
        <f t="shared" ref="T83" si="394">S83/1000</f>
        <v>-2.0146095969749731</v>
      </c>
    </row>
    <row r="84" spans="1:20" x14ac:dyDescent="0.25">
      <c r="A84" s="5">
        <v>44509</v>
      </c>
      <c r="B84">
        <v>1.391</v>
      </c>
      <c r="C84">
        <v>1.4079999999999999</v>
      </c>
      <c r="D84">
        <v>1.3129999999999999</v>
      </c>
      <c r="E84">
        <v>1.3340000000000001</v>
      </c>
      <c r="F84">
        <v>4918157.3</v>
      </c>
      <c r="G84">
        <v>1.3340000000000001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-0.55789473684210245</v>
      </c>
      <c r="Q84">
        <f t="shared" ref="Q84" si="396">F84*P84</f>
        <v>-2743814.0726315649</v>
      </c>
      <c r="R84">
        <f t="shared" ref="R84" si="397">R85+Q84</f>
        <v>-197217689.90676883</v>
      </c>
      <c r="S84">
        <f t="shared" ref="S84" si="398">R84/100000</f>
        <v>-1972.1768990676883</v>
      </c>
      <c r="T84">
        <f t="shared" ref="T84" si="399">S84/1000</f>
        <v>-1.9721768990676882</v>
      </c>
    </row>
    <row r="85" spans="1:20" x14ac:dyDescent="0.25">
      <c r="A85" s="5">
        <v>44508</v>
      </c>
      <c r="B85">
        <v>1.42</v>
      </c>
      <c r="C85">
        <v>1.4510000000000001</v>
      </c>
      <c r="D85">
        <v>1.369</v>
      </c>
      <c r="E85">
        <v>1.391</v>
      </c>
      <c r="F85">
        <v>5582250.5</v>
      </c>
      <c r="G85">
        <v>1.391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-0.46341463414634149</v>
      </c>
      <c r="Q85">
        <f t="shared" ref="Q85" si="401">F85*P85</f>
        <v>-2586896.5731707318</v>
      </c>
      <c r="R85">
        <f t="shared" ref="R85" si="402">R86+Q85</f>
        <v>-194473875.83413726</v>
      </c>
      <c r="S85">
        <f t="shared" ref="S85" si="403">R85/100000</f>
        <v>-1944.7387583413727</v>
      </c>
      <c r="T85">
        <f t="shared" ref="T85" si="404">S85/1000</f>
        <v>-1.9447387583413727</v>
      </c>
    </row>
    <row r="86" spans="1:20" x14ac:dyDescent="0.25">
      <c r="A86" s="5">
        <v>44507</v>
      </c>
      <c r="B86">
        <v>1.381</v>
      </c>
      <c r="C86">
        <v>1.4379999999999999</v>
      </c>
      <c r="D86">
        <v>1.3260000000000001</v>
      </c>
      <c r="E86">
        <v>1.419</v>
      </c>
      <c r="F86">
        <v>5358131.0999999996</v>
      </c>
      <c r="G86">
        <v>1.419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0.66071428571428703</v>
      </c>
      <c r="Q86">
        <f t="shared" ref="Q86" si="406">F86*P86</f>
        <v>3540193.7625000067</v>
      </c>
      <c r="R86">
        <f t="shared" ref="R86" si="407">R87+Q86</f>
        <v>-191886979.26096654</v>
      </c>
      <c r="S86">
        <f t="shared" ref="S86" si="408">R86/100000</f>
        <v>-1918.8697926096654</v>
      </c>
      <c r="T86">
        <f t="shared" ref="T86" si="409">S86/1000</f>
        <v>-1.9188697926096654</v>
      </c>
    </row>
    <row r="87" spans="1:20" x14ac:dyDescent="0.25">
      <c r="A87" s="5">
        <v>44506</v>
      </c>
      <c r="B87">
        <v>1.359</v>
      </c>
      <c r="C87">
        <v>1.383</v>
      </c>
      <c r="D87">
        <v>1.2829999999999999</v>
      </c>
      <c r="E87">
        <v>1.3819999999999999</v>
      </c>
      <c r="F87">
        <v>4160241.1</v>
      </c>
      <c r="G87">
        <v>1.3819999999999999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0.97999999999999776</v>
      </c>
      <c r="Q87">
        <f t="shared" ref="Q87" si="411">F87*P87</f>
        <v>4077036.2779999906</v>
      </c>
      <c r="R87">
        <f t="shared" ref="R87" si="412">R88+Q87</f>
        <v>-195427173.02346656</v>
      </c>
      <c r="S87">
        <f t="shared" ref="S87" si="413">R87/100000</f>
        <v>-1954.2717302346655</v>
      </c>
      <c r="T87">
        <f t="shared" ref="T87" si="414">S87/1000</f>
        <v>-1.9542717302346655</v>
      </c>
    </row>
    <row r="88" spans="1:20" x14ac:dyDescent="0.25">
      <c r="A88" s="5">
        <v>44505</v>
      </c>
      <c r="B88">
        <v>1.4159999999999999</v>
      </c>
      <c r="C88">
        <v>1.5</v>
      </c>
      <c r="D88">
        <v>1.35</v>
      </c>
      <c r="E88">
        <v>1.36</v>
      </c>
      <c r="F88">
        <v>7696171.2000000002</v>
      </c>
      <c r="G88">
        <v>1.36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-0.86666666666666647</v>
      </c>
      <c r="Q88">
        <f t="shared" ref="Q88" si="416">F88*P88</f>
        <v>-6670015.0399999991</v>
      </c>
      <c r="R88">
        <f t="shared" ref="R88" si="417">R89+Q88</f>
        <v>-199504209.30146655</v>
      </c>
      <c r="S88">
        <f t="shared" ref="S88" si="418">R88/100000</f>
        <v>-1995.0420930146656</v>
      </c>
      <c r="T88">
        <f t="shared" ref="T88" si="419">S88/1000</f>
        <v>-1.9950420930146657</v>
      </c>
    </row>
    <row r="89" spans="1:20" x14ac:dyDescent="0.25">
      <c r="A89" s="5">
        <v>44504</v>
      </c>
      <c r="B89">
        <v>1.387</v>
      </c>
      <c r="C89">
        <v>1.6</v>
      </c>
      <c r="D89">
        <v>1.3320000000000001</v>
      </c>
      <c r="E89">
        <v>1.4159999999999999</v>
      </c>
      <c r="F89">
        <v>13145840.199999999</v>
      </c>
      <c r="G89">
        <v>1.4159999999999999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-0.37313432835821009</v>
      </c>
      <c r="Q89">
        <f t="shared" ref="Q89" si="421">F89*P89</f>
        <v>-4905164.2537313579</v>
      </c>
      <c r="R89">
        <f t="shared" ref="R89" si="422">R90+Q89</f>
        <v>-192834194.26146656</v>
      </c>
      <c r="S89">
        <f t="shared" ref="S89" si="423">R89/100000</f>
        <v>-1928.3419426146656</v>
      </c>
      <c r="T89">
        <f t="shared" ref="T89" si="424">S89/1000</f>
        <v>-1.9283419426146657</v>
      </c>
    </row>
    <row r="90" spans="1:20" x14ac:dyDescent="0.25">
      <c r="A90" s="5">
        <v>44503</v>
      </c>
      <c r="B90">
        <v>1.3680000000000001</v>
      </c>
      <c r="C90">
        <v>1.44</v>
      </c>
      <c r="D90">
        <v>1.2509999999999999</v>
      </c>
      <c r="E90">
        <v>1.3859999999999999</v>
      </c>
      <c r="F90">
        <v>10087183</v>
      </c>
      <c r="G90">
        <v>1.3859999999999999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0.42857142857142821</v>
      </c>
      <c r="Q90">
        <f t="shared" ref="Q90" si="426">F90*P90</f>
        <v>4323078.4285714254</v>
      </c>
      <c r="R90">
        <f t="shared" ref="R90" si="427">R91+Q90</f>
        <v>-187929030.00773519</v>
      </c>
      <c r="S90">
        <f t="shared" ref="S90" si="428">R90/100000</f>
        <v>-1879.290300077352</v>
      </c>
      <c r="T90">
        <f t="shared" ref="T90" si="429">S90/1000</f>
        <v>-1.879290300077352</v>
      </c>
    </row>
    <row r="91" spans="1:20" x14ac:dyDescent="0.25">
      <c r="A91" s="5">
        <v>44502</v>
      </c>
      <c r="B91">
        <v>1.2949999999999999</v>
      </c>
      <c r="C91">
        <v>1.484</v>
      </c>
      <c r="D91">
        <v>1.242</v>
      </c>
      <c r="E91">
        <v>1.367</v>
      </c>
      <c r="F91">
        <v>14050166.800000001</v>
      </c>
      <c r="G91">
        <v>1.367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3.305785123966945E-2</v>
      </c>
      <c r="Q91">
        <f t="shared" ref="Q91" si="431">F91*P91</f>
        <v>464468.32396694255</v>
      </c>
      <c r="R91">
        <f t="shared" ref="R91" si="432">R92+Q91</f>
        <v>-192252108.43630663</v>
      </c>
      <c r="S91">
        <f t="shared" ref="S91" si="433">R91/100000</f>
        <v>-1922.5210843630662</v>
      </c>
      <c r="T91">
        <f t="shared" ref="T91" si="434">S91/1000</f>
        <v>-1.9225210843630662</v>
      </c>
    </row>
    <row r="92" spans="1:20" x14ac:dyDescent="0.25">
      <c r="A92" s="5">
        <v>44501</v>
      </c>
      <c r="B92">
        <v>1.2010000000000001</v>
      </c>
      <c r="C92">
        <v>1.355</v>
      </c>
      <c r="D92">
        <v>1.137</v>
      </c>
      <c r="E92">
        <v>1.2949999999999999</v>
      </c>
      <c r="F92">
        <v>14568542.699999999</v>
      </c>
      <c r="G92">
        <v>1.2949999999999999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0.44954128440366914</v>
      </c>
      <c r="Q92">
        <f t="shared" ref="Q92" si="436">F92*P92</f>
        <v>6549161.3972476972</v>
      </c>
      <c r="R92">
        <f t="shared" ref="R92" si="437">R93+Q92</f>
        <v>-192716576.76027358</v>
      </c>
      <c r="S92">
        <f t="shared" ref="S92" si="438">R92/100000</f>
        <v>-1927.1657676027357</v>
      </c>
      <c r="T92">
        <f t="shared" ref="T92" si="439">S92/1000</f>
        <v>-1.9271657676027358</v>
      </c>
    </row>
    <row r="93" spans="1:20" x14ac:dyDescent="0.25">
      <c r="A93" s="5">
        <v>44500</v>
      </c>
      <c r="B93">
        <v>1.121</v>
      </c>
      <c r="C93">
        <v>1.218</v>
      </c>
      <c r="D93">
        <v>1.1140000000000001</v>
      </c>
      <c r="E93">
        <v>1.2010000000000001</v>
      </c>
      <c r="F93">
        <v>6783627.9000000004</v>
      </c>
      <c r="G93">
        <v>1.2010000000000001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0.67307692307692446</v>
      </c>
      <c r="Q93">
        <f t="shared" ref="Q93" si="441">F93*P93</f>
        <v>4565903.3942307793</v>
      </c>
      <c r="R93">
        <f t="shared" ref="R93" si="442">R94+Q93</f>
        <v>-199265738.15752128</v>
      </c>
      <c r="S93">
        <f t="shared" ref="S93" si="443">R93/100000</f>
        <v>-1992.6573815752129</v>
      </c>
      <c r="T93">
        <f t="shared" ref="T93" si="444">S93/1000</f>
        <v>-1.9926573815752129</v>
      </c>
    </row>
    <row r="94" spans="1:20" x14ac:dyDescent="0.25">
      <c r="A94" s="5">
        <v>44499</v>
      </c>
      <c r="B94">
        <v>1.157</v>
      </c>
      <c r="C94">
        <v>1.1659999999999999</v>
      </c>
      <c r="D94">
        <v>1.0980000000000001</v>
      </c>
      <c r="E94">
        <v>1.121</v>
      </c>
      <c r="F94">
        <v>2984566.2</v>
      </c>
      <c r="G94">
        <v>1.121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-0.32352941176470695</v>
      </c>
      <c r="Q94">
        <f t="shared" ref="Q94" si="446">F94*P94</f>
        <v>-965594.9470588268</v>
      </c>
      <c r="R94">
        <f t="shared" ref="R94" si="447">R95+Q94</f>
        <v>-203831641.55175206</v>
      </c>
      <c r="S94">
        <f t="shared" ref="S94" si="448">R94/100000</f>
        <v>-2038.3164155175207</v>
      </c>
      <c r="T94">
        <f t="shared" ref="T94" si="449">S94/1000</f>
        <v>-2.0383164155175209</v>
      </c>
    </row>
    <row r="95" spans="1:20" x14ac:dyDescent="0.25">
      <c r="A95" s="5">
        <v>44498</v>
      </c>
      <c r="B95">
        <v>1.129</v>
      </c>
      <c r="C95">
        <v>1.1819999999999999</v>
      </c>
      <c r="D95">
        <v>1.1120000000000001</v>
      </c>
      <c r="E95">
        <v>1.157</v>
      </c>
      <c r="F95">
        <v>3909274.4</v>
      </c>
      <c r="G95">
        <v>1.157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0.28571428571428664</v>
      </c>
      <c r="Q95">
        <f t="shared" ref="Q95" si="451">F95*P95</f>
        <v>1116935.5428571464</v>
      </c>
      <c r="R95">
        <f t="shared" ref="R95" si="452">R96+Q95</f>
        <v>-202866046.60469323</v>
      </c>
      <c r="S95">
        <f t="shared" ref="S95" si="453">R95/100000</f>
        <v>-2028.6604660469322</v>
      </c>
      <c r="T95">
        <f t="shared" ref="T95" si="454">S95/1000</f>
        <v>-2.0286604660469321</v>
      </c>
    </row>
    <row r="96" spans="1:20" x14ac:dyDescent="0.25">
      <c r="A96" s="5">
        <v>44497</v>
      </c>
      <c r="B96">
        <v>1.071</v>
      </c>
      <c r="C96">
        <v>1.163</v>
      </c>
      <c r="D96">
        <v>1.06</v>
      </c>
      <c r="E96">
        <v>1.129</v>
      </c>
      <c r="F96">
        <v>4956313.2</v>
      </c>
      <c r="G96">
        <v>1.129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0.33980582524271774</v>
      </c>
      <c r="Q96">
        <f t="shared" ref="Q96" si="456">F96*P96</f>
        <v>1684184.0970873751</v>
      </c>
      <c r="R96">
        <f t="shared" ref="R96" si="457">R97+Q96</f>
        <v>-203982982.14755037</v>
      </c>
      <c r="S96">
        <f t="shared" ref="S96" si="458">R96/100000</f>
        <v>-2039.8298214755036</v>
      </c>
      <c r="T96">
        <f t="shared" ref="T96" si="459">S96/1000</f>
        <v>-2.0398298214755037</v>
      </c>
    </row>
    <row r="97" spans="1:20" x14ac:dyDescent="0.25">
      <c r="A97" s="5">
        <v>44496</v>
      </c>
      <c r="B97">
        <v>1.198</v>
      </c>
      <c r="C97">
        <v>1.2190000000000001</v>
      </c>
      <c r="D97">
        <v>1.07</v>
      </c>
      <c r="E97">
        <v>1.071</v>
      </c>
      <c r="F97">
        <v>5229728.5</v>
      </c>
      <c r="G97">
        <v>1.071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-0.98657718120805515</v>
      </c>
      <c r="Q97">
        <f t="shared" ref="Q97" si="461">F97*P97</f>
        <v>-5159530.8020134307</v>
      </c>
      <c r="R97">
        <f t="shared" ref="R97" si="462">R98+Q97</f>
        <v>-205667166.24463776</v>
      </c>
      <c r="S97">
        <f t="shared" ref="S97" si="463">R97/100000</f>
        <v>-2056.6716624463775</v>
      </c>
      <c r="T97">
        <f t="shared" ref="T97" si="464">S97/1000</f>
        <v>-2.0566716624463774</v>
      </c>
    </row>
    <row r="98" spans="1:20" x14ac:dyDescent="0.25">
      <c r="A98" s="5">
        <v>44495</v>
      </c>
      <c r="B98">
        <v>1.194</v>
      </c>
      <c r="C98">
        <v>1.2749999999999999</v>
      </c>
      <c r="D98">
        <v>1.1839999999999999</v>
      </c>
      <c r="E98">
        <v>1.198</v>
      </c>
      <c r="F98">
        <v>6432380.7000000002</v>
      </c>
      <c r="G98">
        <v>1.198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-0.69230769230769196</v>
      </c>
      <c r="Q98">
        <f t="shared" ref="Q98" si="466">F98*P98</f>
        <v>-4453186.6384615367</v>
      </c>
      <c r="R98">
        <f t="shared" ref="R98" si="467">R99+Q98</f>
        <v>-200507635.44262433</v>
      </c>
      <c r="S98">
        <f t="shared" ref="S98" si="468">R98/100000</f>
        <v>-2005.0763544262434</v>
      </c>
      <c r="T98">
        <f t="shared" ref="T98" si="469">S98/1000</f>
        <v>-2.0050763544262433</v>
      </c>
    </row>
    <row r="99" spans="1:20" x14ac:dyDescent="0.25">
      <c r="A99" s="5">
        <v>44494</v>
      </c>
      <c r="B99">
        <v>1.1850000000000001</v>
      </c>
      <c r="C99">
        <v>1.222</v>
      </c>
      <c r="D99">
        <v>1.179</v>
      </c>
      <c r="E99">
        <v>1.1950000000000001</v>
      </c>
      <c r="F99">
        <v>3671953.5</v>
      </c>
      <c r="G99">
        <v>1.1950000000000001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-0.25581395348837016</v>
      </c>
      <c r="Q99">
        <f t="shared" ref="Q99" si="471">F99*P99</f>
        <v>-939336.941860458</v>
      </c>
      <c r="R99">
        <f t="shared" ref="R99" si="472">R100+Q99</f>
        <v>-196054448.8041628</v>
      </c>
      <c r="S99">
        <f t="shared" ref="S99" si="473">R99/100000</f>
        <v>-1960.544488041628</v>
      </c>
      <c r="T99">
        <f t="shared" ref="T99" si="474">S99/1000</f>
        <v>-1.9605444880416281</v>
      </c>
    </row>
    <row r="100" spans="1:20" x14ac:dyDescent="0.25">
      <c r="A100" s="5">
        <v>44493</v>
      </c>
      <c r="B100">
        <v>1.2450000000000001</v>
      </c>
      <c r="C100">
        <v>1.248</v>
      </c>
      <c r="D100">
        <v>1.1619999999999999</v>
      </c>
      <c r="E100">
        <v>1.1830000000000001</v>
      </c>
      <c r="F100">
        <v>3247460</v>
      </c>
      <c r="G100">
        <v>1.1830000000000001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-0.51162790697674165</v>
      </c>
      <c r="Q100">
        <f t="shared" ref="Q100" si="476">F100*P100</f>
        <v>-1661491.1627906894</v>
      </c>
      <c r="R100">
        <f t="shared" ref="R100" si="477">R101+Q100</f>
        <v>-195115111.86230233</v>
      </c>
      <c r="S100">
        <f t="shared" ref="S100" si="478">R100/100000</f>
        <v>-1951.1511186230234</v>
      </c>
      <c r="T100">
        <f t="shared" ref="T100" si="479">S100/1000</f>
        <v>-1.9511511186230235</v>
      </c>
    </row>
    <row r="101" spans="1:20" x14ac:dyDescent="0.25">
      <c r="A101" s="5">
        <v>44492</v>
      </c>
      <c r="B101">
        <v>1.228</v>
      </c>
      <c r="C101">
        <v>1.2729999999999999</v>
      </c>
      <c r="D101">
        <v>1.2070000000000001</v>
      </c>
      <c r="E101">
        <v>1.2450000000000001</v>
      </c>
      <c r="F101">
        <v>2760064.3</v>
      </c>
      <c r="G101">
        <v>1.2450000000000001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0.15151515151515538</v>
      </c>
      <c r="Q101">
        <f t="shared" ref="Q101" si="481">F101*P101</f>
        <v>418191.56060607126</v>
      </c>
      <c r="R101">
        <f t="shared" ref="R101" si="482">R102+Q101</f>
        <v>-193453620.69951165</v>
      </c>
      <c r="S101">
        <f t="shared" ref="S101" si="483">R101/100000</f>
        <v>-1934.5362069951166</v>
      </c>
      <c r="T101">
        <f t="shared" ref="T101" si="484">S101/1000</f>
        <v>-1.9345362069951166</v>
      </c>
    </row>
    <row r="102" spans="1:20" x14ac:dyDescent="0.25">
      <c r="A102" s="5">
        <v>44491</v>
      </c>
      <c r="B102">
        <v>1.2090000000000001</v>
      </c>
      <c r="C102">
        <v>1.2490000000000001</v>
      </c>
      <c r="D102">
        <v>1.2010000000000001</v>
      </c>
      <c r="E102">
        <v>1.23</v>
      </c>
      <c r="F102">
        <v>4698073.8</v>
      </c>
      <c r="G102">
        <v>1.23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0.20833333333332871</v>
      </c>
      <c r="Q102">
        <f t="shared" ref="Q102" si="486">F102*P102</f>
        <v>978765.37499997823</v>
      </c>
      <c r="R102">
        <f t="shared" ref="R102" si="487">R103+Q102</f>
        <v>-193871812.26011771</v>
      </c>
      <c r="S102">
        <f t="shared" ref="S102" si="488">R102/100000</f>
        <v>-1938.7181226011771</v>
      </c>
      <c r="T102">
        <f t="shared" ref="T102" si="489">S102/1000</f>
        <v>-1.9387181226011772</v>
      </c>
    </row>
    <row r="103" spans="1:20" x14ac:dyDescent="0.25">
      <c r="A103" s="5">
        <v>44490</v>
      </c>
      <c r="B103">
        <v>1.2809999999999999</v>
      </c>
      <c r="C103">
        <v>1.294</v>
      </c>
      <c r="D103">
        <v>1.1990000000000001</v>
      </c>
      <c r="E103">
        <v>1.21</v>
      </c>
      <c r="F103">
        <v>5362415.2</v>
      </c>
      <c r="G103">
        <v>1.21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-0.768421052631581</v>
      </c>
      <c r="Q103">
        <f t="shared" ref="Q103" si="491">F103*P103</f>
        <v>-4120592.7326315902</v>
      </c>
      <c r="R103">
        <f t="shared" ref="R103" si="492">R104+Q103</f>
        <v>-194850577.63511768</v>
      </c>
      <c r="S103">
        <f t="shared" ref="S103" si="493">R103/100000</f>
        <v>-1948.5057763511768</v>
      </c>
      <c r="T103">
        <f t="shared" ref="T103" si="494">S103/1000</f>
        <v>-1.9485057763511768</v>
      </c>
    </row>
    <row r="104" spans="1:20" x14ac:dyDescent="0.25">
      <c r="A104" s="5">
        <v>44489</v>
      </c>
      <c r="B104">
        <v>1.238</v>
      </c>
      <c r="C104">
        <v>1.298</v>
      </c>
      <c r="D104">
        <v>1.2230000000000001</v>
      </c>
      <c r="E104">
        <v>1.2809999999999999</v>
      </c>
      <c r="F104">
        <v>3629303.9</v>
      </c>
      <c r="G104">
        <v>1.2809999999999999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0.54666666666666308</v>
      </c>
      <c r="Q104">
        <f t="shared" ref="Q104" si="496">F104*P104</f>
        <v>1984019.4653333202</v>
      </c>
      <c r="R104">
        <f t="shared" ref="R104" si="497">R105+Q104</f>
        <v>-190729984.90248609</v>
      </c>
      <c r="S104">
        <f t="shared" ref="S104" si="498">R104/100000</f>
        <v>-1907.2998490248608</v>
      </c>
      <c r="T104">
        <f t="shared" ref="T104" si="499">S104/1000</f>
        <v>-1.9072998490248607</v>
      </c>
    </row>
    <row r="105" spans="1:20" x14ac:dyDescent="0.25">
      <c r="A105" s="5">
        <v>44488</v>
      </c>
      <c r="B105">
        <v>1.2929999999999999</v>
      </c>
      <c r="C105">
        <v>1.33</v>
      </c>
      <c r="D105">
        <v>1.2</v>
      </c>
      <c r="E105">
        <v>1.2370000000000001</v>
      </c>
      <c r="F105">
        <v>3750648.3</v>
      </c>
      <c r="G105">
        <v>1.2370000000000001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-0.43076923076922907</v>
      </c>
      <c r="Q105">
        <f t="shared" ref="Q105" si="501">F105*P105</f>
        <v>-1615663.8830769167</v>
      </c>
      <c r="R105">
        <f t="shared" ref="R105" si="502">R106+Q105</f>
        <v>-192714004.3678194</v>
      </c>
      <c r="S105">
        <f t="shared" ref="S105" si="503">R105/100000</f>
        <v>-1927.1400436781939</v>
      </c>
      <c r="T105">
        <f t="shared" ref="T105" si="504">S105/1000</f>
        <v>-1.927140043678194</v>
      </c>
    </row>
    <row r="106" spans="1:20" x14ac:dyDescent="0.25">
      <c r="A106" s="5">
        <v>44487</v>
      </c>
      <c r="B106">
        <v>1.33</v>
      </c>
      <c r="C106">
        <v>1.3580000000000001</v>
      </c>
      <c r="D106">
        <v>1.246</v>
      </c>
      <c r="E106">
        <v>1.2909999999999999</v>
      </c>
      <c r="F106">
        <v>5450733.2000000002</v>
      </c>
      <c r="G106">
        <v>1.2909999999999999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-0.19642857142857342</v>
      </c>
      <c r="Q106">
        <f t="shared" ref="Q106" si="506">F106*P106</f>
        <v>-1070679.7357142966</v>
      </c>
      <c r="R106">
        <f t="shared" ref="R106" si="507">R107+Q106</f>
        <v>-191098340.48474249</v>
      </c>
      <c r="S106">
        <f t="shared" ref="S106" si="508">R106/100000</f>
        <v>-1910.9834048474249</v>
      </c>
      <c r="T106">
        <f t="shared" ref="T106" si="509">S106/1000</f>
        <v>-1.910983404847425</v>
      </c>
    </row>
    <row r="107" spans="1:20" x14ac:dyDescent="0.25">
      <c r="A107" s="5">
        <v>44486</v>
      </c>
      <c r="B107">
        <v>1.286</v>
      </c>
      <c r="C107">
        <v>1.47</v>
      </c>
      <c r="D107">
        <v>1.2649999999999999</v>
      </c>
      <c r="E107">
        <v>1.3320000000000001</v>
      </c>
      <c r="F107">
        <v>19621023.300000001</v>
      </c>
      <c r="G107">
        <v>1.3320000000000001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-0.34634146341463273</v>
      </c>
      <c r="Q107">
        <f t="shared" ref="Q107" si="511">F107*P107</f>
        <v>-6795573.9234146066</v>
      </c>
      <c r="R107">
        <f t="shared" ref="R107" si="512">R108+Q107</f>
        <v>-190027660.74902821</v>
      </c>
      <c r="S107">
        <f t="shared" ref="S107" si="513">R107/100000</f>
        <v>-1900.276607490282</v>
      </c>
      <c r="T107">
        <f t="shared" ref="T107" si="514">S107/1000</f>
        <v>-1.9002766074902819</v>
      </c>
    </row>
    <row r="108" spans="1:20" x14ac:dyDescent="0.25">
      <c r="A108" s="5">
        <v>44485</v>
      </c>
      <c r="B108">
        <v>1.2450000000000001</v>
      </c>
      <c r="C108">
        <v>1.5449999999999999</v>
      </c>
      <c r="D108">
        <v>1.228</v>
      </c>
      <c r="E108">
        <v>1.286</v>
      </c>
      <c r="F108">
        <v>29911601.5</v>
      </c>
      <c r="G108">
        <v>1.286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-0.63406940063091444</v>
      </c>
      <c r="Q108">
        <f t="shared" ref="Q108" si="516">F108*P108</f>
        <v>-18966031.235015761</v>
      </c>
      <c r="R108">
        <f t="shared" ref="R108" si="517">R109+Q108</f>
        <v>-183232086.82561359</v>
      </c>
      <c r="S108">
        <f t="shared" ref="S108" si="518">R108/100000</f>
        <v>-1832.3208682561358</v>
      </c>
      <c r="T108">
        <f t="shared" ref="T108" si="519">S108/1000</f>
        <v>-1.8323208682561358</v>
      </c>
    </row>
    <row r="109" spans="1:20" x14ac:dyDescent="0.25">
      <c r="A109" s="5">
        <v>44484</v>
      </c>
      <c r="B109">
        <v>1.212</v>
      </c>
      <c r="C109">
        <v>1.25</v>
      </c>
      <c r="D109">
        <v>1.1519999999999999</v>
      </c>
      <c r="E109">
        <v>1.2470000000000001</v>
      </c>
      <c r="F109">
        <v>7183818.0999999996</v>
      </c>
      <c r="G109">
        <v>1.2470000000000001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0.9387755102040839</v>
      </c>
      <c r="Q109">
        <f t="shared" ref="Q109" si="521">F109*P109</f>
        <v>6743992.5020408323</v>
      </c>
      <c r="R109">
        <f t="shared" ref="R109" si="522">R110+Q109</f>
        <v>-164266055.59059784</v>
      </c>
      <c r="S109">
        <f t="shared" ref="S109" si="523">R109/100000</f>
        <v>-1642.6605559059783</v>
      </c>
      <c r="T109">
        <f t="shared" ref="T109" si="524">S109/1000</f>
        <v>-1.6426605559059784</v>
      </c>
    </row>
    <row r="110" spans="1:20" x14ac:dyDescent="0.25">
      <c r="A110" s="5">
        <v>44483</v>
      </c>
      <c r="B110">
        <v>1.1919999999999999</v>
      </c>
      <c r="C110">
        <v>1.258</v>
      </c>
      <c r="D110">
        <v>1.171</v>
      </c>
      <c r="E110">
        <v>1.212</v>
      </c>
      <c r="F110">
        <v>6553698.7000000002</v>
      </c>
      <c r="G110">
        <v>1.212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-5.7471264367817444E-2</v>
      </c>
      <c r="Q110">
        <f t="shared" ref="Q110" si="526">F110*P110</f>
        <v>-376649.35057472152</v>
      </c>
      <c r="R110">
        <f t="shared" ref="R110" si="527">R111+Q110</f>
        <v>-171010048.09263867</v>
      </c>
      <c r="S110">
        <f t="shared" ref="S110" si="528">R110/100000</f>
        <v>-1710.1004809263868</v>
      </c>
      <c r="T110">
        <f t="shared" ref="T110" si="529">S110/1000</f>
        <v>-1.7101004809263869</v>
      </c>
    </row>
    <row r="111" spans="1:20" x14ac:dyDescent="0.25">
      <c r="A111" s="5">
        <v>44482</v>
      </c>
      <c r="B111">
        <v>1.1459999999999999</v>
      </c>
      <c r="C111">
        <v>1.2010000000000001</v>
      </c>
      <c r="D111">
        <v>1.1020000000000001</v>
      </c>
      <c r="E111">
        <v>1.1930000000000001</v>
      </c>
      <c r="F111">
        <v>8801964.6999999993</v>
      </c>
      <c r="G111">
        <v>1.1930000000000001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0.83838383838383823</v>
      </c>
      <c r="Q111">
        <f t="shared" ref="Q111" si="531">F111*P111</f>
        <v>7379424.950505049</v>
      </c>
      <c r="R111">
        <f t="shared" ref="R111" si="532">R112+Q111</f>
        <v>-170633398.74206394</v>
      </c>
      <c r="S111">
        <f t="shared" ref="S111" si="533">R111/100000</f>
        <v>-1706.3339874206395</v>
      </c>
      <c r="T111">
        <f t="shared" ref="T111" si="534">S111/1000</f>
        <v>-1.7063339874206394</v>
      </c>
    </row>
    <row r="112" spans="1:20" x14ac:dyDescent="0.25">
      <c r="A112" s="5">
        <v>44481</v>
      </c>
      <c r="B112">
        <v>1.169</v>
      </c>
      <c r="C112">
        <v>1.1879999999999999</v>
      </c>
      <c r="D112">
        <v>1.0820000000000001</v>
      </c>
      <c r="E112">
        <v>1.145</v>
      </c>
      <c r="F112">
        <v>5862579.4000000004</v>
      </c>
      <c r="G112">
        <v>1.145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0.18867924528301927</v>
      </c>
      <c r="Q112">
        <f t="shared" ref="Q112" si="536">F112*P112</f>
        <v>1106147.0566037761</v>
      </c>
      <c r="R112">
        <f t="shared" ref="R112" si="537">R113+Q112</f>
        <v>-178012823.69256899</v>
      </c>
      <c r="S112">
        <f t="shared" ref="S112" si="538">R112/100000</f>
        <v>-1780.1282369256899</v>
      </c>
      <c r="T112">
        <f t="shared" ref="T112" si="539">S112/1000</f>
        <v>-1.7801282369256899</v>
      </c>
    </row>
    <row r="113" spans="1:20" x14ac:dyDescent="0.25">
      <c r="A113" s="5">
        <v>44480</v>
      </c>
      <c r="B113">
        <v>1.1819999999999999</v>
      </c>
      <c r="C113">
        <v>1.2190000000000001</v>
      </c>
      <c r="D113">
        <v>1.1499999999999999</v>
      </c>
      <c r="E113">
        <v>1.171</v>
      </c>
      <c r="F113">
        <v>4195020.9000000004</v>
      </c>
      <c r="G113">
        <v>1.171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-0.3913043478260847</v>
      </c>
      <c r="Q113">
        <f t="shared" ref="Q113" si="541">F113*P113</f>
        <v>-1641529.9173912951</v>
      </c>
      <c r="R113">
        <f t="shared" ref="R113" si="542">R114+Q113</f>
        <v>-179118970.74917278</v>
      </c>
      <c r="S113">
        <f t="shared" ref="S113" si="543">R113/100000</f>
        <v>-1791.1897074917279</v>
      </c>
      <c r="T113">
        <f t="shared" ref="T113" si="544">S113/1000</f>
        <v>-1.7911897074917278</v>
      </c>
    </row>
    <row r="114" spans="1:20" x14ac:dyDescent="0.25">
      <c r="A114" s="5">
        <v>44479</v>
      </c>
      <c r="B114">
        <v>1.2609999999999999</v>
      </c>
      <c r="C114">
        <v>1.35</v>
      </c>
      <c r="D114">
        <v>1.1819999999999999</v>
      </c>
      <c r="E114">
        <v>1.1830000000000001</v>
      </c>
      <c r="F114">
        <v>13318525.199999999</v>
      </c>
      <c r="G114">
        <v>1.1830000000000001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-0.98809523809523681</v>
      </c>
      <c r="Q114">
        <f t="shared" ref="Q114" si="546">F114*P114</f>
        <v>-13159971.328571411</v>
      </c>
      <c r="R114">
        <f t="shared" ref="R114" si="547">R115+Q114</f>
        <v>-177477440.83178148</v>
      </c>
      <c r="S114">
        <f t="shared" ref="S114" si="548">R114/100000</f>
        <v>-1774.7744083178147</v>
      </c>
      <c r="T114">
        <f t="shared" ref="T114" si="549">S114/1000</f>
        <v>-1.7747744083178147</v>
      </c>
    </row>
    <row r="115" spans="1:20" x14ac:dyDescent="0.25">
      <c r="A115" s="5">
        <v>44478</v>
      </c>
      <c r="B115">
        <v>1.19</v>
      </c>
      <c r="C115">
        <v>1.2729999999999999</v>
      </c>
      <c r="D115">
        <v>1.159</v>
      </c>
      <c r="E115">
        <v>1.2609999999999999</v>
      </c>
      <c r="F115">
        <v>8928387.0999999996</v>
      </c>
      <c r="G115">
        <v>1.2609999999999999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0.78947368421052588</v>
      </c>
      <c r="Q115">
        <f t="shared" ref="Q115" si="551">F115*P115</f>
        <v>7048726.6578947324</v>
      </c>
      <c r="R115">
        <f t="shared" ref="R115" si="552">R116+Q115</f>
        <v>-164317469.50321007</v>
      </c>
      <c r="S115">
        <f t="shared" ref="S115" si="553">R115/100000</f>
        <v>-1643.1746950321008</v>
      </c>
      <c r="T115">
        <f t="shared" ref="T115" si="554">S115/1000</f>
        <v>-1.6431746950321007</v>
      </c>
    </row>
    <row r="116" spans="1:20" x14ac:dyDescent="0.25">
      <c r="A116" s="5">
        <v>44477</v>
      </c>
      <c r="B116">
        <v>1.2370000000000001</v>
      </c>
      <c r="C116">
        <v>1.286</v>
      </c>
      <c r="D116">
        <v>1.1499999999999999</v>
      </c>
      <c r="E116">
        <v>1.19</v>
      </c>
      <c r="F116">
        <v>7938664.7000000002</v>
      </c>
      <c r="G116">
        <v>1.19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-0.41176470588235292</v>
      </c>
      <c r="Q116">
        <f t="shared" ref="Q116" si="556">F116*P116</f>
        <v>-3268861.9352941178</v>
      </c>
      <c r="R116">
        <f t="shared" ref="R116" si="557">R117+Q116</f>
        <v>-171366196.1611048</v>
      </c>
      <c r="S116">
        <f t="shared" ref="S116" si="558">R116/100000</f>
        <v>-1713.6619616110479</v>
      </c>
      <c r="T116">
        <f t="shared" ref="T116" si="559">S116/1000</f>
        <v>-1.713661961611048</v>
      </c>
    </row>
    <row r="117" spans="1:20" x14ac:dyDescent="0.25">
      <c r="A117" s="5">
        <v>44476</v>
      </c>
      <c r="B117">
        <v>1.069</v>
      </c>
      <c r="C117">
        <v>1.37</v>
      </c>
      <c r="D117">
        <v>1.022</v>
      </c>
      <c r="E117">
        <v>1.236</v>
      </c>
      <c r="F117">
        <v>19305318.5</v>
      </c>
      <c r="G117">
        <v>1.236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0.22988505747126387</v>
      </c>
      <c r="Q117">
        <f t="shared" ref="Q117" si="561">F117*P117</f>
        <v>4438004.2528735539</v>
      </c>
      <c r="R117">
        <f t="shared" ref="R117" si="562">R118+Q117</f>
        <v>-168097334.22581068</v>
      </c>
      <c r="S117">
        <f t="shared" ref="S117" si="563">R117/100000</f>
        <v>-1680.9733422581069</v>
      </c>
      <c r="T117">
        <f t="shared" ref="T117" si="564">S117/1000</f>
        <v>-1.6809733422581068</v>
      </c>
    </row>
    <row r="118" spans="1:20" x14ac:dyDescent="0.25">
      <c r="A118" s="5">
        <v>44475</v>
      </c>
      <c r="B118">
        <v>1.117</v>
      </c>
      <c r="C118">
        <v>1.1779999999999999</v>
      </c>
      <c r="D118">
        <v>1.042</v>
      </c>
      <c r="E118">
        <v>1.069</v>
      </c>
      <c r="F118">
        <v>4841318.5999999996</v>
      </c>
      <c r="G118">
        <v>1.069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-0.6029411764705892</v>
      </c>
      <c r="Q118">
        <f t="shared" ref="Q118" si="566">F118*P118</f>
        <v>-2919030.3323529456</v>
      </c>
      <c r="R118">
        <f t="shared" ref="R118" si="567">R119+Q118</f>
        <v>-172535338.47868422</v>
      </c>
      <c r="S118">
        <f t="shared" ref="S118" si="568">R118/100000</f>
        <v>-1725.3533847868421</v>
      </c>
      <c r="T118">
        <f t="shared" ref="T118" si="569">S118/1000</f>
        <v>-1.7253533847868421</v>
      </c>
    </row>
    <row r="119" spans="1:20" x14ac:dyDescent="0.25">
      <c r="A119" s="5">
        <v>44474</v>
      </c>
      <c r="B119">
        <v>1.0980000000000001</v>
      </c>
      <c r="C119">
        <v>1.1299999999999999</v>
      </c>
      <c r="D119">
        <v>1.081</v>
      </c>
      <c r="E119">
        <v>1.117</v>
      </c>
      <c r="F119">
        <v>4188183.4</v>
      </c>
      <c r="G119">
        <v>1.117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0.46938775510204417</v>
      </c>
      <c r="Q119">
        <f t="shared" ref="Q119" si="571">F119*P119</f>
        <v>1965882.0040816467</v>
      </c>
      <c r="R119">
        <f t="shared" ref="R119" si="572">R120+Q119</f>
        <v>-169616308.14633128</v>
      </c>
      <c r="S119">
        <f t="shared" ref="S119" si="573">R119/100000</f>
        <v>-1696.1630814633129</v>
      </c>
      <c r="T119">
        <f t="shared" ref="T119" si="574">S119/1000</f>
        <v>-1.6961630814633128</v>
      </c>
    </row>
    <row r="120" spans="1:20" x14ac:dyDescent="0.25">
      <c r="A120" s="5">
        <v>44473</v>
      </c>
      <c r="B120">
        <v>1.155</v>
      </c>
      <c r="C120">
        <v>1.1659999999999999</v>
      </c>
      <c r="D120">
        <v>1.0620000000000001</v>
      </c>
      <c r="E120">
        <v>1.093</v>
      </c>
      <c r="F120">
        <v>5984830.0999999996</v>
      </c>
      <c r="G120">
        <v>1.093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-0.40384615384615469</v>
      </c>
      <c r="Q120">
        <f t="shared" ref="Q120" si="576">F120*P120</f>
        <v>-2416950.6173076974</v>
      </c>
      <c r="R120">
        <f t="shared" ref="R120" si="577">R121+Q120</f>
        <v>-171582190.15041292</v>
      </c>
      <c r="S120">
        <f t="shared" ref="S120" si="578">R120/100000</f>
        <v>-1715.8219015041291</v>
      </c>
      <c r="T120">
        <f t="shared" ref="T120" si="579">S120/1000</f>
        <v>-1.7158219015041292</v>
      </c>
    </row>
    <row r="121" spans="1:20" x14ac:dyDescent="0.25">
      <c r="A121" s="5">
        <v>44472</v>
      </c>
      <c r="B121">
        <v>1.1379999999999999</v>
      </c>
      <c r="C121">
        <v>1.157</v>
      </c>
      <c r="D121">
        <v>1.1100000000000001</v>
      </c>
      <c r="E121">
        <v>1.1559999999999999</v>
      </c>
      <c r="F121">
        <v>3801118.3</v>
      </c>
      <c r="G121">
        <v>1.1559999999999999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0.95744680851063346</v>
      </c>
      <c r="Q121">
        <f t="shared" ref="Q121" si="581">F121*P121</f>
        <v>3639368.5851063645</v>
      </c>
      <c r="R121">
        <f t="shared" ref="R121" si="582">R122+Q121</f>
        <v>-169165239.53310522</v>
      </c>
      <c r="S121">
        <f t="shared" ref="S121" si="583">R121/100000</f>
        <v>-1691.6523953310523</v>
      </c>
      <c r="T121">
        <f t="shared" ref="T121" si="584">S121/1000</f>
        <v>-1.6916523953310523</v>
      </c>
    </row>
    <row r="122" spans="1:20" x14ac:dyDescent="0.25">
      <c r="A122" s="5">
        <v>44471</v>
      </c>
      <c r="B122">
        <v>1.157</v>
      </c>
      <c r="C122">
        <v>1.1950000000000001</v>
      </c>
      <c r="D122">
        <v>1.133</v>
      </c>
      <c r="E122">
        <v>1.137</v>
      </c>
      <c r="F122">
        <v>4638322.0999999996</v>
      </c>
      <c r="G122">
        <v>1.137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-0.87096774193548387</v>
      </c>
      <c r="Q122">
        <f t="shared" ref="Q122" si="586">F122*P122</f>
        <v>-4039828.9258064511</v>
      </c>
      <c r="R122">
        <f t="shared" ref="R122" si="587">R123+Q122</f>
        <v>-172804608.1182116</v>
      </c>
      <c r="S122">
        <f t="shared" ref="S122" si="588">R122/100000</f>
        <v>-1728.046081182116</v>
      </c>
      <c r="T122">
        <f t="shared" ref="T122" si="589">S122/1000</f>
        <v>-1.7280460811821161</v>
      </c>
    </row>
    <row r="123" spans="1:20" x14ac:dyDescent="0.25">
      <c r="A123" s="5">
        <v>44470</v>
      </c>
      <c r="B123">
        <v>1.1160000000000001</v>
      </c>
      <c r="C123">
        <v>1.2290000000000001</v>
      </c>
      <c r="D123">
        <v>1.101</v>
      </c>
      <c r="E123">
        <v>1.157</v>
      </c>
      <c r="F123">
        <v>10874023</v>
      </c>
      <c r="G123">
        <v>1.157</v>
      </c>
      <c r="L123" t="s">
        <v>7</v>
      </c>
      <c r="M123" t="s">
        <v>8</v>
      </c>
      <c r="N123" t="s">
        <v>8</v>
      </c>
      <c r="P123">
        <f t="shared" ref="P123" si="590">IF(C123=D123,0,((E123-D123)-(C123-E123))/(C123-D123))</f>
        <v>-0.125</v>
      </c>
      <c r="Q123">
        <f t="shared" ref="Q123" si="591">F123*P123</f>
        <v>-1359252.875</v>
      </c>
      <c r="R123">
        <f t="shared" ref="R123" si="592">R124+Q123</f>
        <v>-168764779.19240513</v>
      </c>
      <c r="S123">
        <f t="shared" ref="S123" si="593">R123/100000</f>
        <v>-1687.6477919240513</v>
      </c>
      <c r="T123">
        <f t="shared" ref="T123" si="594">S123/1000</f>
        <v>-1.6876477919240513</v>
      </c>
    </row>
    <row r="124" spans="1:20" x14ac:dyDescent="0.25">
      <c r="A124" s="5">
        <v>44469</v>
      </c>
      <c r="B124">
        <v>0.98499999999999999</v>
      </c>
      <c r="C124">
        <v>1.246</v>
      </c>
      <c r="D124">
        <v>0.98</v>
      </c>
      <c r="E124">
        <v>1.115</v>
      </c>
      <c r="F124">
        <v>14263019.199999999</v>
      </c>
      <c r="G124">
        <v>1.115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1.5037593984962419E-2</v>
      </c>
      <c r="Q124">
        <f t="shared" ref="Q124" si="596">F124*P124</f>
        <v>214481.49172932349</v>
      </c>
      <c r="R124">
        <f t="shared" ref="R124" si="597">R125+Q124</f>
        <v>-167405526.31740513</v>
      </c>
      <c r="S124">
        <f t="shared" ref="S124" si="598">R124/100000</f>
        <v>-1674.0552631740513</v>
      </c>
      <c r="T124">
        <f t="shared" ref="T124" si="599">S124/1000</f>
        <v>-1.6740552631740513</v>
      </c>
    </row>
    <row r="125" spans="1:20" x14ac:dyDescent="0.25">
      <c r="A125" s="5">
        <v>44468</v>
      </c>
      <c r="B125">
        <v>1.0109999999999999</v>
      </c>
      <c r="C125">
        <v>1.0569999999999999</v>
      </c>
      <c r="D125">
        <v>0.9</v>
      </c>
      <c r="E125">
        <v>0.98499999999999999</v>
      </c>
      <c r="F125">
        <v>5876419.4000000004</v>
      </c>
      <c r="G125">
        <v>0.98499999999999999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8.2802547770700757E-2</v>
      </c>
      <c r="Q125">
        <f t="shared" ref="Q125" si="601">F125*P125</f>
        <v>486582.4980891727</v>
      </c>
      <c r="R125">
        <f t="shared" ref="R125" si="602">R126+Q125</f>
        <v>-167620007.80913445</v>
      </c>
      <c r="S125">
        <f t="shared" ref="S125" si="603">R125/100000</f>
        <v>-1676.2000780913445</v>
      </c>
      <c r="T125">
        <f t="shared" ref="T125" si="604">S125/1000</f>
        <v>-1.6762000780913444</v>
      </c>
    </row>
    <row r="126" spans="1:20" x14ac:dyDescent="0.25">
      <c r="A126" s="5">
        <v>44467</v>
      </c>
      <c r="B126">
        <v>1.036</v>
      </c>
      <c r="C126">
        <v>1.069</v>
      </c>
      <c r="D126">
        <v>0.98799999999999999</v>
      </c>
      <c r="E126">
        <v>1.01</v>
      </c>
      <c r="F126">
        <v>3870280.9</v>
      </c>
      <c r="G126">
        <v>1.01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-0.45679012345678938</v>
      </c>
      <c r="Q126">
        <f t="shared" ref="Q126" si="606">F126*P126</f>
        <v>-1767906.0901234539</v>
      </c>
      <c r="R126">
        <f t="shared" ref="R126" si="607">R127+Q126</f>
        <v>-168106590.30722362</v>
      </c>
      <c r="S126">
        <f t="shared" ref="S126" si="608">R126/100000</f>
        <v>-1681.0659030722361</v>
      </c>
      <c r="T126">
        <f t="shared" ref="T126" si="609">S126/1000</f>
        <v>-1.6810659030722361</v>
      </c>
    </row>
    <row r="127" spans="1:20" x14ac:dyDescent="0.25">
      <c r="A127" s="5">
        <v>44466</v>
      </c>
      <c r="B127">
        <v>1.042</v>
      </c>
      <c r="C127">
        <v>1.1379999999999999</v>
      </c>
      <c r="D127">
        <v>1.03</v>
      </c>
      <c r="E127">
        <v>1.036</v>
      </c>
      <c r="F127">
        <v>6865808.5999999996</v>
      </c>
      <c r="G127">
        <v>1.036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-0.88888888888888862</v>
      </c>
      <c r="Q127">
        <f t="shared" ref="Q127" si="611">F127*P127</f>
        <v>-6102940.9777777754</v>
      </c>
      <c r="R127">
        <f t="shared" ref="R127" si="612">R128+Q127</f>
        <v>-166338684.21710017</v>
      </c>
      <c r="S127">
        <f t="shared" ref="S127" si="613">R127/100000</f>
        <v>-1663.3868421710017</v>
      </c>
      <c r="T127">
        <f t="shared" ref="T127" si="614">S127/1000</f>
        <v>-1.6633868421710016</v>
      </c>
    </row>
    <row r="128" spans="1:20" x14ac:dyDescent="0.25">
      <c r="A128" s="5">
        <v>44465</v>
      </c>
      <c r="B128">
        <v>1.1220000000000001</v>
      </c>
      <c r="C128">
        <v>1.1240000000000001</v>
      </c>
      <c r="D128">
        <v>0.95399999999999996</v>
      </c>
      <c r="E128">
        <v>1.0409999999999999</v>
      </c>
      <c r="F128">
        <v>11520848.199999999</v>
      </c>
      <c r="G128">
        <v>1.0409999999999999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2.3529411764704578E-2</v>
      </c>
      <c r="Q128">
        <f t="shared" ref="Q128" si="616">F128*P128</f>
        <v>271078.78117645555</v>
      </c>
      <c r="R128">
        <f t="shared" ref="R128" si="617">R129+Q128</f>
        <v>-160235743.23932239</v>
      </c>
      <c r="S128">
        <f t="shared" ref="S128" si="618">R128/100000</f>
        <v>-1602.3574323932239</v>
      </c>
      <c r="T128">
        <f t="shared" ref="T128" si="619">S128/1000</f>
        <v>-1.6023574323932239</v>
      </c>
    </row>
    <row r="129" spans="1:20" x14ac:dyDescent="0.25">
      <c r="A129" s="5">
        <v>44464</v>
      </c>
      <c r="B129">
        <v>1.1579999999999999</v>
      </c>
      <c r="C129">
        <v>1.179</v>
      </c>
      <c r="D129">
        <v>1.0820000000000001</v>
      </c>
      <c r="E129">
        <v>1.121</v>
      </c>
      <c r="F129">
        <v>3245197.1</v>
      </c>
      <c r="G129">
        <v>1.121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-0.19587628865979517</v>
      </c>
      <c r="Q129">
        <f t="shared" ref="Q129" si="621">F129*P129</f>
        <v>-635657.16391753021</v>
      </c>
      <c r="R129">
        <f t="shared" ref="R129" si="622">R130+Q129</f>
        <v>-160506822.02049884</v>
      </c>
      <c r="S129">
        <f t="shared" ref="S129" si="623">R129/100000</f>
        <v>-1605.0682202049884</v>
      </c>
      <c r="T129">
        <f t="shared" ref="T129" si="624">S129/1000</f>
        <v>-1.6050682202049884</v>
      </c>
    </row>
    <row r="130" spans="1:20" x14ac:dyDescent="0.25">
      <c r="A130" s="5">
        <v>44463</v>
      </c>
      <c r="B130">
        <v>1.228</v>
      </c>
      <c r="C130">
        <v>1.3480000000000001</v>
      </c>
      <c r="D130">
        <v>1.0580000000000001</v>
      </c>
      <c r="E130">
        <v>1.157</v>
      </c>
      <c r="F130">
        <v>10456441.4</v>
      </c>
      <c r="G130">
        <v>1.157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-0.31724137931034507</v>
      </c>
      <c r="Q130">
        <f t="shared" ref="Q130" si="626">F130*P130</f>
        <v>-3317215.8924137959</v>
      </c>
      <c r="R130">
        <f t="shared" ref="R130" si="627">R131+Q130</f>
        <v>-159871164.8565813</v>
      </c>
      <c r="S130">
        <f t="shared" ref="S130" si="628">R130/100000</f>
        <v>-1598.711648565813</v>
      </c>
      <c r="T130">
        <f t="shared" ref="T130" si="629">S130/1000</f>
        <v>-1.598711648565813</v>
      </c>
    </row>
    <row r="131" spans="1:20" x14ac:dyDescent="0.25">
      <c r="A131" s="5">
        <v>44462</v>
      </c>
      <c r="B131">
        <v>1.244</v>
      </c>
      <c r="C131">
        <v>1.28</v>
      </c>
      <c r="D131">
        <v>1.1870000000000001</v>
      </c>
      <c r="E131">
        <v>1.228</v>
      </c>
      <c r="F131">
        <v>4478793</v>
      </c>
      <c r="G131">
        <v>1.228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-0.11827956989247446</v>
      </c>
      <c r="Q131">
        <f t="shared" ref="Q131" si="631">F131*P131</f>
        <v>-529749.70967742533</v>
      </c>
      <c r="R131">
        <f t="shared" ref="R131" si="632">R132+Q131</f>
        <v>-156553948.96416751</v>
      </c>
      <c r="S131">
        <f t="shared" ref="S131" si="633">R131/100000</f>
        <v>-1565.5394896416751</v>
      </c>
      <c r="T131">
        <f t="shared" ref="T131" si="634">S131/1000</f>
        <v>-1.5655394896416752</v>
      </c>
    </row>
    <row r="132" spans="1:20" x14ac:dyDescent="0.25">
      <c r="A132" s="5">
        <v>44461</v>
      </c>
      <c r="B132">
        <v>1.1519999999999999</v>
      </c>
      <c r="C132">
        <v>1.2889999999999999</v>
      </c>
      <c r="D132">
        <v>1.1319999999999999</v>
      </c>
      <c r="E132">
        <v>1.244</v>
      </c>
      <c r="F132">
        <v>5242794.7</v>
      </c>
      <c r="G132">
        <v>1.244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0.42675159235668891</v>
      </c>
      <c r="Q132">
        <f t="shared" ref="Q132" si="636">F132*P132</f>
        <v>2237370.9866242092</v>
      </c>
      <c r="R132">
        <f t="shared" ref="R132" si="637">R133+Q132</f>
        <v>-156024199.25449008</v>
      </c>
      <c r="S132">
        <f t="shared" ref="S132" si="638">R132/100000</f>
        <v>-1560.2419925449008</v>
      </c>
      <c r="T132">
        <f t="shared" ref="T132" si="639">S132/1000</f>
        <v>-1.5602419925449007</v>
      </c>
    </row>
    <row r="133" spans="1:20" x14ac:dyDescent="0.25">
      <c r="A133" s="5">
        <v>44460</v>
      </c>
      <c r="B133">
        <v>1.1910000000000001</v>
      </c>
      <c r="C133">
        <v>1.2589999999999999</v>
      </c>
      <c r="D133">
        <v>1.1240000000000001</v>
      </c>
      <c r="E133">
        <v>1.1539999999999999</v>
      </c>
      <c r="F133">
        <v>4726986.8</v>
      </c>
      <c r="G133">
        <v>1.1539999999999999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-0.5555555555555578</v>
      </c>
      <c r="Q133">
        <f t="shared" ref="Q133" si="641">F133*P133</f>
        <v>-2626103.7777777882</v>
      </c>
      <c r="R133">
        <f t="shared" ref="R133" si="642">R134+Q133</f>
        <v>-158261570.24111429</v>
      </c>
      <c r="S133">
        <f t="shared" ref="S133" si="643">R133/100000</f>
        <v>-1582.6157024111428</v>
      </c>
      <c r="T133">
        <f t="shared" ref="T133" si="644">S133/1000</f>
        <v>-1.5826157024111429</v>
      </c>
    </row>
    <row r="134" spans="1:20" x14ac:dyDescent="0.25">
      <c r="A134" s="5">
        <v>44459</v>
      </c>
      <c r="B134">
        <v>1.306</v>
      </c>
      <c r="C134">
        <v>1.306</v>
      </c>
      <c r="D134">
        <v>1.1679999999999999</v>
      </c>
      <c r="E134">
        <v>1.1990000000000001</v>
      </c>
      <c r="F134">
        <v>2965909.8</v>
      </c>
      <c r="G134">
        <v>1.1990000000000001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-0.55072463768115776</v>
      </c>
      <c r="Q134">
        <f t="shared" ref="Q134" si="646">F134*P134</f>
        <v>-1633399.599999995</v>
      </c>
      <c r="R134">
        <f t="shared" ref="R134" si="647">R135+Q134</f>
        <v>-155635466.4633365</v>
      </c>
      <c r="S134">
        <f t="shared" ref="S134" si="648">R134/100000</f>
        <v>-1556.354664633365</v>
      </c>
      <c r="T134">
        <f t="shared" ref="T134" si="649">S134/1000</f>
        <v>-1.556354664633365</v>
      </c>
    </row>
    <row r="135" spans="1:20" x14ac:dyDescent="0.25">
      <c r="A135" s="5">
        <v>44458</v>
      </c>
      <c r="B135">
        <v>1.3380000000000001</v>
      </c>
      <c r="C135">
        <v>1.3720000000000001</v>
      </c>
      <c r="D135">
        <v>1.2869999999999999</v>
      </c>
      <c r="E135">
        <v>1.304</v>
      </c>
      <c r="F135">
        <v>5144208.4000000004</v>
      </c>
      <c r="G135">
        <v>1.304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-0.59999999999999787</v>
      </c>
      <c r="Q135">
        <f t="shared" ref="Q135" si="651">F135*P135</f>
        <v>-3086525.0399999893</v>
      </c>
      <c r="R135">
        <f t="shared" ref="R135" si="652">R136+Q135</f>
        <v>-154002066.8633365</v>
      </c>
      <c r="S135">
        <f t="shared" ref="S135" si="653">R135/100000</f>
        <v>-1540.0206686333649</v>
      </c>
      <c r="T135">
        <f t="shared" ref="T135" si="654">S135/1000</f>
        <v>-1.5400206686333648</v>
      </c>
    </row>
    <row r="136" spans="1:20" x14ac:dyDescent="0.25">
      <c r="A136" s="5">
        <v>44457</v>
      </c>
      <c r="B136">
        <v>1.2989999999999999</v>
      </c>
      <c r="C136">
        <v>1.3959999999999999</v>
      </c>
      <c r="D136">
        <v>1.2849999999999999</v>
      </c>
      <c r="E136">
        <v>1.3420000000000001</v>
      </c>
      <c r="F136">
        <v>10657817.800000001</v>
      </c>
      <c r="G136">
        <v>1.3420000000000001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2.7027027027030054E-2</v>
      </c>
      <c r="Q136">
        <f t="shared" ref="Q136" si="656">F136*P136</f>
        <v>288049.12972976203</v>
      </c>
      <c r="R136">
        <f t="shared" ref="R136" si="657">R137+Q136</f>
        <v>-150915541.82333651</v>
      </c>
      <c r="S136">
        <f t="shared" ref="S136" si="658">R136/100000</f>
        <v>-1509.155418233365</v>
      </c>
      <c r="T136">
        <f t="shared" ref="T136" si="659">S136/1000</f>
        <v>-1.5091554182333651</v>
      </c>
    </row>
    <row r="137" spans="1:20" x14ac:dyDescent="0.25">
      <c r="A137" s="5">
        <v>44456</v>
      </c>
      <c r="B137">
        <v>1.36</v>
      </c>
      <c r="C137">
        <v>1.367</v>
      </c>
      <c r="D137">
        <v>1.2629999999999999</v>
      </c>
      <c r="E137">
        <v>1.2989999999999999</v>
      </c>
      <c r="F137">
        <v>8087247.4000000004</v>
      </c>
      <c r="G137">
        <v>1.2989999999999999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-0.30769230769230771</v>
      </c>
      <c r="Q137">
        <f t="shared" ref="Q137" si="661">F137*P137</f>
        <v>-2488383.8153846157</v>
      </c>
      <c r="R137">
        <f t="shared" ref="R137" si="662">R138+Q137</f>
        <v>-151203590.95306626</v>
      </c>
      <c r="S137">
        <f t="shared" ref="S137" si="663">R137/100000</f>
        <v>-1512.0359095306626</v>
      </c>
      <c r="T137">
        <f t="shared" ref="T137" si="664">S137/1000</f>
        <v>-1.5120359095306626</v>
      </c>
    </row>
    <row r="138" spans="1:20" x14ac:dyDescent="0.25">
      <c r="A138" s="5">
        <v>44455</v>
      </c>
      <c r="B138">
        <v>1.4339999999999999</v>
      </c>
      <c r="C138">
        <v>1.4390000000000001</v>
      </c>
      <c r="D138">
        <v>1.327</v>
      </c>
      <c r="E138">
        <v>1.36</v>
      </c>
      <c r="F138">
        <v>5996899.9000000004</v>
      </c>
      <c r="G138">
        <v>1.36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-0.41071428571428376</v>
      </c>
      <c r="Q138">
        <f t="shared" ref="Q138" si="666">F138*P138</f>
        <v>-2463012.4589285599</v>
      </c>
      <c r="R138">
        <f t="shared" ref="R138" si="667">R139+Q138</f>
        <v>-148715207.13768163</v>
      </c>
      <c r="S138">
        <f t="shared" ref="S138" si="668">R138/100000</f>
        <v>-1487.1520713768164</v>
      </c>
      <c r="T138">
        <f t="shared" ref="T138" si="669">S138/1000</f>
        <v>-1.4871520713768163</v>
      </c>
    </row>
    <row r="139" spans="1:20" x14ac:dyDescent="0.25">
      <c r="A139" s="5">
        <v>44454</v>
      </c>
      <c r="B139">
        <v>1.4590000000000001</v>
      </c>
      <c r="C139">
        <v>1.48</v>
      </c>
      <c r="D139">
        <v>1.387</v>
      </c>
      <c r="E139">
        <v>1.4359999999999999</v>
      </c>
      <c r="F139">
        <v>5683085.2000000002</v>
      </c>
      <c r="G139">
        <v>1.4359999999999999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5.3763440860213924E-2</v>
      </c>
      <c r="Q139">
        <f t="shared" ref="Q139" si="671">F139*P139</f>
        <v>305542.21505375701</v>
      </c>
      <c r="R139">
        <f t="shared" ref="R139" si="672">R140+Q139</f>
        <v>-146252194.67875308</v>
      </c>
      <c r="S139">
        <f t="shared" ref="S139" si="673">R139/100000</f>
        <v>-1462.5219467875309</v>
      </c>
      <c r="T139">
        <f t="shared" ref="T139" si="674">S139/1000</f>
        <v>-1.4625219467875308</v>
      </c>
    </row>
    <row r="140" spans="1:20" x14ac:dyDescent="0.25">
      <c r="A140" s="5">
        <v>44453</v>
      </c>
      <c r="B140">
        <v>1.4119999999999999</v>
      </c>
      <c r="C140">
        <v>1.5</v>
      </c>
      <c r="D140">
        <v>1.3839999999999999</v>
      </c>
      <c r="E140">
        <v>1.4590000000000001</v>
      </c>
      <c r="F140">
        <v>5716522.5</v>
      </c>
      <c r="G140">
        <v>1.4590000000000001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0.29310344827586399</v>
      </c>
      <c r="Q140">
        <f t="shared" ref="Q140" si="676">F140*P140</f>
        <v>1675532.4568965626</v>
      </c>
      <c r="R140">
        <f t="shared" ref="R140" si="677">R141+Q140</f>
        <v>-146557736.89380684</v>
      </c>
      <c r="S140">
        <f t="shared" ref="S140" si="678">R140/100000</f>
        <v>-1465.5773689380685</v>
      </c>
      <c r="T140">
        <f t="shared" ref="T140" si="679">S140/1000</f>
        <v>-1.4655773689380684</v>
      </c>
    </row>
    <row r="141" spans="1:20" x14ac:dyDescent="0.25">
      <c r="A141" s="5">
        <v>44452</v>
      </c>
      <c r="B141">
        <v>1.5349999999999999</v>
      </c>
      <c r="C141">
        <v>1.5880000000000001</v>
      </c>
      <c r="D141">
        <v>1.28</v>
      </c>
      <c r="E141">
        <v>1.4119999999999999</v>
      </c>
      <c r="F141">
        <v>11525919.300000001</v>
      </c>
      <c r="G141">
        <v>1.4119999999999999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-0.14285714285714368</v>
      </c>
      <c r="Q141">
        <f t="shared" ref="Q141" si="681">F141*P141</f>
        <v>-1646559.9000000097</v>
      </c>
      <c r="R141">
        <f t="shared" ref="R141" si="682">R142+Q141</f>
        <v>-148233269.35070342</v>
      </c>
      <c r="S141">
        <f t="shared" ref="S141" si="683">R141/100000</f>
        <v>-1482.3326935070343</v>
      </c>
      <c r="T141">
        <f t="shared" ref="T141" si="684">S141/1000</f>
        <v>-1.4823326935070342</v>
      </c>
    </row>
    <row r="142" spans="1:20" x14ac:dyDescent="0.25">
      <c r="A142" s="5">
        <v>44451</v>
      </c>
      <c r="B142">
        <v>1.556</v>
      </c>
      <c r="C142">
        <v>1.65</v>
      </c>
      <c r="D142">
        <v>1.49</v>
      </c>
      <c r="E142">
        <v>1.5349999999999999</v>
      </c>
      <c r="F142">
        <v>14260910.9</v>
      </c>
      <c r="G142">
        <v>1.5349999999999999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-0.43750000000000061</v>
      </c>
      <c r="Q142">
        <f t="shared" ref="Q142" si="686">F142*P142</f>
        <v>-6239148.5187500091</v>
      </c>
      <c r="R142">
        <f t="shared" ref="R142" si="687">R143+Q142</f>
        <v>-146586709.45070341</v>
      </c>
      <c r="S142">
        <f t="shared" ref="S142" si="688">R142/100000</f>
        <v>-1465.8670945070342</v>
      </c>
      <c r="T142">
        <f t="shared" ref="T142" si="689">S142/1000</f>
        <v>-1.4658670945070342</v>
      </c>
    </row>
    <row r="143" spans="1:20" x14ac:dyDescent="0.25">
      <c r="A143" s="5">
        <v>44450</v>
      </c>
      <c r="B143">
        <v>1.276</v>
      </c>
      <c r="C143">
        <v>1.6990000000000001</v>
      </c>
      <c r="D143">
        <v>1.242</v>
      </c>
      <c r="E143">
        <v>1.554</v>
      </c>
      <c r="F143">
        <v>21322985.399999999</v>
      </c>
      <c r="G143">
        <v>1.554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0.3654266958424508</v>
      </c>
      <c r="Q143">
        <f t="shared" ref="Q143" si="691">F143*P143</f>
        <v>7791988.1002188185</v>
      </c>
      <c r="R143">
        <f t="shared" ref="R143" si="692">R144+Q143</f>
        <v>-140347560.9319534</v>
      </c>
      <c r="S143">
        <f t="shared" ref="S143" si="693">R143/100000</f>
        <v>-1403.475609319534</v>
      </c>
      <c r="T143">
        <f t="shared" ref="T143" si="694">S143/1000</f>
        <v>-1.403475609319534</v>
      </c>
    </row>
    <row r="144" spans="1:20" x14ac:dyDescent="0.25">
      <c r="A144" s="5">
        <v>44449</v>
      </c>
      <c r="B144">
        <v>1.393</v>
      </c>
      <c r="C144">
        <v>1.498</v>
      </c>
      <c r="D144">
        <v>1.2230000000000001</v>
      </c>
      <c r="E144">
        <v>1.278</v>
      </c>
      <c r="F144">
        <v>7947711.2000000002</v>
      </c>
      <c r="G144">
        <v>1.278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-0.60000000000000031</v>
      </c>
      <c r="Q144">
        <f t="shared" ref="Q144" si="696">F144*P144</f>
        <v>-4768626.7200000025</v>
      </c>
      <c r="R144">
        <f t="shared" ref="R144" si="697">R145+Q144</f>
        <v>-148139549.03217223</v>
      </c>
      <c r="S144">
        <f t="shared" ref="S144" si="698">R144/100000</f>
        <v>-1481.3954903217223</v>
      </c>
      <c r="T144">
        <f t="shared" ref="T144" si="699">S144/1000</f>
        <v>-1.4813954903217224</v>
      </c>
    </row>
    <row r="145" spans="1:20" x14ac:dyDescent="0.25">
      <c r="A145" s="5">
        <v>44448</v>
      </c>
      <c r="B145">
        <v>1.2909999999999999</v>
      </c>
      <c r="C145">
        <v>1.502</v>
      </c>
      <c r="D145">
        <v>1.2629999999999999</v>
      </c>
      <c r="E145">
        <v>1.393</v>
      </c>
      <c r="F145">
        <v>17185582.100000001</v>
      </c>
      <c r="G145">
        <v>1.393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8.7866108786611385E-2</v>
      </c>
      <c r="Q145">
        <f t="shared" ref="Q145" si="701">F145*P145</f>
        <v>1510030.2263598414</v>
      </c>
      <c r="R145">
        <f t="shared" ref="R145" si="702">R146+Q145</f>
        <v>-143370922.31217223</v>
      </c>
      <c r="S145">
        <f t="shared" ref="S145" si="703">R145/100000</f>
        <v>-1433.7092231217223</v>
      </c>
      <c r="T145">
        <f t="shared" ref="T145" si="704">S145/1000</f>
        <v>-1.4337092231217223</v>
      </c>
    </row>
    <row r="146" spans="1:20" x14ac:dyDescent="0.25">
      <c r="A146" s="5">
        <v>44447</v>
      </c>
      <c r="B146">
        <v>1.3540000000000001</v>
      </c>
      <c r="C146">
        <v>1.39</v>
      </c>
      <c r="D146">
        <v>1.1850000000000001</v>
      </c>
      <c r="E146">
        <v>1.2909999999999999</v>
      </c>
      <c r="F146">
        <v>7914429</v>
      </c>
      <c r="G146">
        <v>1.2909999999999999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3.4146341463414151E-2</v>
      </c>
      <c r="Q146">
        <f t="shared" ref="Q146" si="706">F146*P146</f>
        <v>270248.79512194742</v>
      </c>
      <c r="R146">
        <f t="shared" ref="R146" si="707">R147+Q146</f>
        <v>-144880952.53853208</v>
      </c>
      <c r="S146">
        <f t="shared" ref="S146" si="708">R146/100000</f>
        <v>-1448.8095253853207</v>
      </c>
      <c r="T146">
        <f t="shared" ref="T146" si="709">S146/1000</f>
        <v>-1.4488095253853208</v>
      </c>
    </row>
    <row r="147" spans="1:20" x14ac:dyDescent="0.25">
      <c r="A147" s="5">
        <v>44446</v>
      </c>
      <c r="B147">
        <v>1.6579999999999999</v>
      </c>
      <c r="C147">
        <v>1.7010000000000001</v>
      </c>
      <c r="D147">
        <v>1.101</v>
      </c>
      <c r="E147">
        <v>1.3540000000000001</v>
      </c>
      <c r="F147">
        <v>12986800.5</v>
      </c>
      <c r="G147">
        <v>1.3540000000000001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-0.1566666666666664</v>
      </c>
      <c r="Q147">
        <f t="shared" ref="Q147" si="711">F147*P147</f>
        <v>-2034598.7449999966</v>
      </c>
      <c r="R147">
        <f t="shared" ref="R147" si="712">R148+Q147</f>
        <v>-145151201.33365402</v>
      </c>
      <c r="S147">
        <f t="shared" ref="S147" si="713">R147/100000</f>
        <v>-1451.5120133365401</v>
      </c>
      <c r="T147">
        <f t="shared" ref="T147" si="714">S147/1000</f>
        <v>-1.4515120133365402</v>
      </c>
    </row>
    <row r="148" spans="1:20" x14ac:dyDescent="0.25">
      <c r="A148" s="5">
        <v>44445</v>
      </c>
      <c r="B148">
        <v>1.702</v>
      </c>
      <c r="C148">
        <v>1.7749999999999999</v>
      </c>
      <c r="D148">
        <v>1.6220000000000001</v>
      </c>
      <c r="E148">
        <v>1.6579999999999999</v>
      </c>
      <c r="F148">
        <v>7307731.5</v>
      </c>
      <c r="G148">
        <v>1.6579999999999999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-0.52941176470588425</v>
      </c>
      <c r="Q148">
        <f t="shared" ref="Q148" si="716">F148*P148</f>
        <v>-3868799.0294117783</v>
      </c>
      <c r="R148">
        <f t="shared" ref="R148" si="717">R149+Q148</f>
        <v>-143116602.58865401</v>
      </c>
      <c r="S148">
        <f t="shared" ref="S148" si="718">R148/100000</f>
        <v>-1431.1660258865402</v>
      </c>
      <c r="T148">
        <f t="shared" ref="T148" si="719">S148/1000</f>
        <v>-1.4311660258865402</v>
      </c>
    </row>
    <row r="149" spans="1:20" x14ac:dyDescent="0.25">
      <c r="A149" s="5">
        <v>44444</v>
      </c>
      <c r="B149">
        <v>1.7150000000000001</v>
      </c>
      <c r="C149">
        <v>1.78</v>
      </c>
      <c r="D149">
        <v>1.6559999999999999</v>
      </c>
      <c r="E149">
        <v>1.7010000000000001</v>
      </c>
      <c r="F149">
        <v>6258167.5999999996</v>
      </c>
      <c r="G149">
        <v>1.7010000000000001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-0.27419354838709498</v>
      </c>
      <c r="Q149">
        <f t="shared" ref="Q149" si="721">F149*P149</f>
        <v>-1715949.1806451499</v>
      </c>
      <c r="R149">
        <f t="shared" ref="R149" si="722">R150+Q149</f>
        <v>-139247803.55924222</v>
      </c>
      <c r="S149">
        <f t="shared" ref="S149" si="723">R149/100000</f>
        <v>-1392.4780355924222</v>
      </c>
      <c r="T149">
        <f t="shared" ref="T149" si="724">S149/1000</f>
        <v>-1.3924780355924222</v>
      </c>
    </row>
    <row r="150" spans="1:20" x14ac:dyDescent="0.25">
      <c r="A150" s="5">
        <v>44443</v>
      </c>
      <c r="B150">
        <v>1.796</v>
      </c>
      <c r="C150">
        <v>1.8080000000000001</v>
      </c>
      <c r="D150">
        <v>1.706</v>
      </c>
      <c r="E150">
        <v>1.714</v>
      </c>
      <c r="F150">
        <v>5434244</v>
      </c>
      <c r="G150">
        <v>1.714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-0.84313725490196079</v>
      </c>
      <c r="Q150">
        <f t="shared" ref="Q150" si="726">F150*P150</f>
        <v>-4581813.5686274506</v>
      </c>
      <c r="R150">
        <f t="shared" ref="R150" si="727">R151+Q150</f>
        <v>-137531854.37859708</v>
      </c>
      <c r="S150">
        <f t="shared" ref="S150" si="728">R150/100000</f>
        <v>-1375.3185437859709</v>
      </c>
      <c r="T150">
        <f t="shared" ref="T150" si="729">S150/1000</f>
        <v>-1.375318543785971</v>
      </c>
    </row>
    <row r="151" spans="1:20" x14ac:dyDescent="0.25">
      <c r="A151" s="5">
        <v>44442</v>
      </c>
      <c r="B151">
        <v>1.7470000000000001</v>
      </c>
      <c r="C151">
        <v>1.8740000000000001</v>
      </c>
      <c r="D151">
        <v>1.6830000000000001</v>
      </c>
      <c r="E151">
        <v>1.796</v>
      </c>
      <c r="F151">
        <v>9991187.4000000004</v>
      </c>
      <c r="G151">
        <v>1.796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0.18324607329842885</v>
      </c>
      <c r="Q151">
        <f t="shared" ref="Q151" si="731">F151*P151</f>
        <v>1830845.8586387387</v>
      </c>
      <c r="R151">
        <f t="shared" ref="R151" si="732">R152+Q151</f>
        <v>-132950040.80996963</v>
      </c>
      <c r="S151">
        <f t="shared" ref="S151" si="733">R151/100000</f>
        <v>-1329.5004080996964</v>
      </c>
      <c r="T151">
        <f t="shared" ref="T151" si="734">S151/1000</f>
        <v>-1.3295004080996964</v>
      </c>
    </row>
    <row r="152" spans="1:20" x14ac:dyDescent="0.25">
      <c r="A152" s="5">
        <v>44441</v>
      </c>
      <c r="B152">
        <v>1.7809999999999999</v>
      </c>
      <c r="C152">
        <v>1.806</v>
      </c>
      <c r="D152">
        <v>1.6819999999999999</v>
      </c>
      <c r="E152">
        <v>1.7470000000000001</v>
      </c>
      <c r="F152">
        <v>8850408.0999999996</v>
      </c>
      <c r="G152">
        <v>1.7470000000000001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4.8387096774195337E-2</v>
      </c>
      <c r="Q152">
        <f t="shared" ref="Q152" si="736">F152*P152</f>
        <v>428245.55322582228</v>
      </c>
      <c r="R152">
        <f t="shared" ref="R152" si="737">R153+Q152</f>
        <v>-134780886.66860837</v>
      </c>
      <c r="S152">
        <f t="shared" ref="S152" si="738">R152/100000</f>
        <v>-1347.8088666860838</v>
      </c>
      <c r="T152">
        <f t="shared" ref="T152" si="739">S152/1000</f>
        <v>-1.3478088666860837</v>
      </c>
    </row>
    <row r="153" spans="1:20" x14ac:dyDescent="0.25">
      <c r="A153" s="5">
        <v>44440</v>
      </c>
      <c r="B153">
        <v>1.766</v>
      </c>
      <c r="C153">
        <v>1.8879999999999999</v>
      </c>
      <c r="D153">
        <v>1.6930000000000001</v>
      </c>
      <c r="E153">
        <v>1.782</v>
      </c>
      <c r="F153">
        <v>19135170</v>
      </c>
      <c r="G153">
        <v>1.782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-8.7179487179486759E-2</v>
      </c>
      <c r="Q153">
        <f t="shared" ref="Q153" si="741">F153*P153</f>
        <v>-1668194.3076922996</v>
      </c>
      <c r="R153">
        <f t="shared" ref="R153" si="742">R154+Q153</f>
        <v>-135209132.22183418</v>
      </c>
      <c r="S153">
        <f t="shared" ref="S153" si="743">R153/100000</f>
        <v>-1352.0913222183419</v>
      </c>
      <c r="T153">
        <f t="shared" ref="T153" si="744">S153/1000</f>
        <v>-1.3520913222183419</v>
      </c>
    </row>
    <row r="154" spans="1:20" x14ac:dyDescent="0.25">
      <c r="A154" s="5">
        <v>44439</v>
      </c>
      <c r="B154">
        <v>1.698</v>
      </c>
      <c r="C154">
        <v>2.177</v>
      </c>
      <c r="D154">
        <v>1.67</v>
      </c>
      <c r="E154">
        <v>1.7649999999999999</v>
      </c>
      <c r="F154">
        <v>44277327.299999997</v>
      </c>
      <c r="G154">
        <v>1.7649999999999999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-0.6252465483234716</v>
      </c>
      <c r="Q154">
        <f t="shared" ref="Q154" si="746">F154*P154</f>
        <v>-27684246.063313615</v>
      </c>
      <c r="R154">
        <f t="shared" ref="R154" si="747">R155+Q154</f>
        <v>-133540937.91414188</v>
      </c>
      <c r="S154">
        <f t="shared" ref="S154" si="748">R154/100000</f>
        <v>-1335.4093791414189</v>
      </c>
      <c r="T154">
        <f t="shared" ref="T154" si="749">S154/1000</f>
        <v>-1.3354093791414188</v>
      </c>
    </row>
    <row r="155" spans="1:20" x14ac:dyDescent="0.25">
      <c r="A155" s="5">
        <v>44438</v>
      </c>
      <c r="B155">
        <v>1.609</v>
      </c>
      <c r="C155">
        <v>1.952</v>
      </c>
      <c r="D155">
        <v>1.5469999999999999</v>
      </c>
      <c r="E155">
        <v>1.6970000000000001</v>
      </c>
      <c r="F155">
        <v>34142514.100000001</v>
      </c>
      <c r="G155">
        <v>1.6970000000000001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-0.25925925925925863</v>
      </c>
      <c r="Q155">
        <f t="shared" ref="Q155" si="751">F155*P155</f>
        <v>-8851762.9148147944</v>
      </c>
      <c r="R155">
        <f t="shared" ref="R155" si="752">R156+Q155</f>
        <v>-105856691.85082826</v>
      </c>
      <c r="S155">
        <f t="shared" ref="S155" si="753">R155/100000</f>
        <v>-1058.5669185082827</v>
      </c>
      <c r="T155">
        <f t="shared" ref="T155" si="754">S155/1000</f>
        <v>-1.0585669185082827</v>
      </c>
    </row>
    <row r="156" spans="1:20" x14ac:dyDescent="0.25">
      <c r="A156" s="5">
        <v>44437</v>
      </c>
      <c r="B156">
        <v>1.722</v>
      </c>
      <c r="C156">
        <v>1.7430000000000001</v>
      </c>
      <c r="D156">
        <v>1.5580000000000001</v>
      </c>
      <c r="E156">
        <v>1.607</v>
      </c>
      <c r="F156">
        <v>13350831.800000001</v>
      </c>
      <c r="G156">
        <v>1.607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-0.47027027027027113</v>
      </c>
      <c r="Q156">
        <f t="shared" ref="Q156" si="756">F156*P156</f>
        <v>-6278499.2789189303</v>
      </c>
      <c r="R156">
        <f t="shared" ref="R156" si="757">R157+Q156</f>
        <v>-97004928.93601346</v>
      </c>
      <c r="S156">
        <f t="shared" ref="S156" si="758">R156/100000</f>
        <v>-970.04928936013459</v>
      </c>
      <c r="T156">
        <f t="shared" ref="T156" si="759">S156/1000</f>
        <v>-0.97004928936013457</v>
      </c>
    </row>
    <row r="157" spans="1:20" x14ac:dyDescent="0.25">
      <c r="A157" s="5">
        <v>44436</v>
      </c>
      <c r="B157">
        <v>1.619</v>
      </c>
      <c r="C157">
        <v>1.7490000000000001</v>
      </c>
      <c r="D157">
        <v>1.5409999999999999</v>
      </c>
      <c r="E157">
        <v>1.7190000000000001</v>
      </c>
      <c r="F157">
        <v>14006049</v>
      </c>
      <c r="G157">
        <v>1.7190000000000001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0.71153846153846156</v>
      </c>
      <c r="Q157">
        <f t="shared" ref="Q157" si="761">F157*P157</f>
        <v>9965842.557692308</v>
      </c>
      <c r="R157">
        <f t="shared" ref="R157" si="762">R158+Q157</f>
        <v>-90726429.657094523</v>
      </c>
      <c r="S157">
        <f t="shared" ref="S157" si="763">R157/100000</f>
        <v>-907.26429657094525</v>
      </c>
      <c r="T157">
        <f t="shared" ref="T157" si="764">S157/1000</f>
        <v>-0.90726429657094521</v>
      </c>
    </row>
    <row r="158" spans="1:20" x14ac:dyDescent="0.25">
      <c r="A158" s="5">
        <v>44435</v>
      </c>
      <c r="B158">
        <v>1.48</v>
      </c>
      <c r="C158">
        <v>1.7090000000000001</v>
      </c>
      <c r="D158">
        <v>1.4239999999999999</v>
      </c>
      <c r="E158">
        <v>1.619</v>
      </c>
      <c r="F158">
        <v>16660689.5</v>
      </c>
      <c r="G158">
        <v>1.619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0.3684210526315787</v>
      </c>
      <c r="Q158">
        <f t="shared" ref="Q158" si="766">F158*P158</f>
        <v>6138148.7631578911</v>
      </c>
      <c r="R158">
        <f t="shared" ref="R158" si="767">R159+Q158</f>
        <v>-100692272.21478683</v>
      </c>
      <c r="S158">
        <f t="shared" ref="S158" si="768">R158/100000</f>
        <v>-1006.9227221478683</v>
      </c>
      <c r="T158">
        <f t="shared" ref="T158" si="769">S158/1000</f>
        <v>-1.0069227221478683</v>
      </c>
    </row>
    <row r="159" spans="1:20" x14ac:dyDescent="0.25">
      <c r="A159" s="5">
        <v>44434</v>
      </c>
      <c r="B159">
        <v>1.5860000000000001</v>
      </c>
      <c r="C159">
        <v>1.65</v>
      </c>
      <c r="D159">
        <v>1.4419999999999999</v>
      </c>
      <c r="E159">
        <v>1.482</v>
      </c>
      <c r="F159">
        <v>11472248.199999999</v>
      </c>
      <c r="G159">
        <v>1.482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-0.61538461538461497</v>
      </c>
      <c r="Q159">
        <f t="shared" ref="Q159" si="771">F159*P159</f>
        <v>-7059845.0461538406</v>
      </c>
      <c r="R159">
        <f t="shared" ref="R159" si="772">R160+Q159</f>
        <v>-106830420.97794472</v>
      </c>
      <c r="S159">
        <f t="shared" ref="S159" si="773">R159/100000</f>
        <v>-1068.3042097794471</v>
      </c>
      <c r="T159">
        <f t="shared" ref="T159" si="774">S159/1000</f>
        <v>-1.0683042097794471</v>
      </c>
    </row>
    <row r="160" spans="1:20" x14ac:dyDescent="0.25">
      <c r="A160" s="5">
        <v>44433</v>
      </c>
      <c r="B160">
        <v>1.421</v>
      </c>
      <c r="C160">
        <v>1.645</v>
      </c>
      <c r="D160">
        <v>1.3380000000000001</v>
      </c>
      <c r="E160">
        <v>1.5860000000000001</v>
      </c>
      <c r="F160">
        <v>12628035</v>
      </c>
      <c r="G160">
        <v>1.5860000000000001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0.61563517915309474</v>
      </c>
      <c r="Q160">
        <f t="shared" ref="Q160" si="776">F160*P160</f>
        <v>7774262.5895765508</v>
      </c>
      <c r="R160">
        <f t="shared" ref="R160" si="777">R161+Q160</f>
        <v>-99770575.931790873</v>
      </c>
      <c r="S160">
        <f t="shared" ref="S160" si="778">R160/100000</f>
        <v>-997.7057593179087</v>
      </c>
      <c r="T160">
        <f t="shared" ref="T160" si="779">S160/1000</f>
        <v>-0.99770575931790872</v>
      </c>
    </row>
    <row r="161" spans="1:20" x14ac:dyDescent="0.25">
      <c r="A161" s="5">
        <v>44432</v>
      </c>
      <c r="B161">
        <v>1.5409999999999999</v>
      </c>
      <c r="C161">
        <v>1.5620000000000001</v>
      </c>
      <c r="D161">
        <v>1.38</v>
      </c>
      <c r="E161">
        <v>1.421</v>
      </c>
      <c r="F161">
        <v>6365687.0999999996</v>
      </c>
      <c r="G161">
        <v>1.421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-0.54945054945054828</v>
      </c>
      <c r="Q161">
        <f t="shared" ref="Q161" si="781">F161*P161</f>
        <v>-3497630.2747252672</v>
      </c>
      <c r="R161">
        <f t="shared" ref="R161" si="782">R162+Q161</f>
        <v>-107544838.52136743</v>
      </c>
      <c r="S161">
        <f t="shared" ref="S161" si="783">R161/100000</f>
        <v>-1075.4483852136743</v>
      </c>
      <c r="T161">
        <f t="shared" ref="T161" si="784">S161/1000</f>
        <v>-1.0754483852136743</v>
      </c>
    </row>
    <row r="162" spans="1:20" x14ac:dyDescent="0.25">
      <c r="A162" s="5">
        <v>44431</v>
      </c>
      <c r="B162">
        <v>1.5129999999999999</v>
      </c>
      <c r="C162">
        <v>1.639</v>
      </c>
      <c r="D162">
        <v>1.45</v>
      </c>
      <c r="E162">
        <v>1.5409999999999999</v>
      </c>
      <c r="F162">
        <v>11276202.4</v>
      </c>
      <c r="G162">
        <v>1.5409999999999999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-3.7037037037037646E-2</v>
      </c>
      <c r="Q162">
        <f t="shared" ref="Q162" si="786">F162*P162</f>
        <v>-417637.12592593278</v>
      </c>
      <c r="R162">
        <f t="shared" ref="R162" si="787">R163+Q162</f>
        <v>-104047208.24664216</v>
      </c>
      <c r="S162">
        <f t="shared" ref="S162" si="788">R162/100000</f>
        <v>-1040.4720824664216</v>
      </c>
      <c r="T162">
        <f t="shared" ref="T162" si="789">S162/1000</f>
        <v>-1.0404720824664215</v>
      </c>
    </row>
    <row r="163" spans="1:20" x14ac:dyDescent="0.25">
      <c r="A163" s="5">
        <v>44430</v>
      </c>
      <c r="B163">
        <v>1.5569999999999999</v>
      </c>
      <c r="C163">
        <v>1.5609999999999999</v>
      </c>
      <c r="D163">
        <v>1.518</v>
      </c>
      <c r="E163">
        <v>1.52</v>
      </c>
      <c r="F163">
        <v>1171804.5</v>
      </c>
      <c r="G163">
        <v>1.52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-0.90697674418604624</v>
      </c>
      <c r="Q163">
        <f t="shared" ref="Q163" si="791">F163*P163</f>
        <v>-1062799.4302325577</v>
      </c>
      <c r="R163">
        <f t="shared" ref="R163" si="792">R164+Q163</f>
        <v>-103629571.12071623</v>
      </c>
      <c r="S163">
        <f t="shared" ref="S163" si="793">R163/100000</f>
        <v>-1036.2957112071622</v>
      </c>
      <c r="T163">
        <f t="shared" ref="T163" si="794">S163/1000</f>
        <v>-1.0362957112071622</v>
      </c>
    </row>
    <row r="164" spans="1:20" x14ac:dyDescent="0.25">
      <c r="A164" s="5">
        <v>44429</v>
      </c>
      <c r="B164">
        <v>1.615</v>
      </c>
      <c r="C164">
        <v>1.675</v>
      </c>
      <c r="D164">
        <v>1.556</v>
      </c>
      <c r="E164">
        <v>1.5580000000000001</v>
      </c>
      <c r="F164">
        <v>5762013.7999999998</v>
      </c>
      <c r="G164">
        <v>1.5580000000000001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-0.96638655462184875</v>
      </c>
      <c r="Q164">
        <f t="shared" ref="Q164" si="796">F164*P164</f>
        <v>-5568332.6638655458</v>
      </c>
      <c r="R164">
        <f t="shared" ref="R164" si="797">R165+Q164</f>
        <v>-102566771.69048367</v>
      </c>
      <c r="S164">
        <f t="shared" ref="S164" si="798">R164/100000</f>
        <v>-1025.6677169048367</v>
      </c>
      <c r="T164">
        <f t="shared" ref="T164" si="799">S164/1000</f>
        <v>-1.0256677169048367</v>
      </c>
    </row>
    <row r="165" spans="1:20" x14ac:dyDescent="0.25">
      <c r="A165" s="5">
        <v>44428</v>
      </c>
      <c r="B165">
        <v>1.663</v>
      </c>
      <c r="C165">
        <v>1.706</v>
      </c>
      <c r="D165">
        <v>1.579</v>
      </c>
      <c r="E165">
        <v>1.615</v>
      </c>
      <c r="F165">
        <v>7109892.2999999998</v>
      </c>
      <c r="G165">
        <v>1.615</v>
      </c>
      <c r="L165" t="s">
        <v>7</v>
      </c>
      <c r="M165" t="s">
        <v>7</v>
      </c>
      <c r="N165" t="s">
        <v>8</v>
      </c>
      <c r="P165">
        <f t="shared" ref="P165" si="800">IF(C165=D165,0,((E165-D165)-(C165-E165))/(C165-D165))</f>
        <v>-0.43307086614173179</v>
      </c>
      <c r="Q165">
        <f t="shared" ref="Q165" si="801">F165*P165</f>
        <v>-3079087.2165354295</v>
      </c>
      <c r="R165">
        <f t="shared" ref="R165" si="802">R166+Q165</f>
        <v>-96998439.026618123</v>
      </c>
      <c r="S165">
        <f t="shared" ref="S165" si="803">R165/100000</f>
        <v>-969.98439026618121</v>
      </c>
      <c r="T165">
        <f t="shared" ref="T165" si="804">S165/1000</f>
        <v>-0.96998439026618122</v>
      </c>
    </row>
    <row r="166" spans="1:20" x14ac:dyDescent="0.25">
      <c r="A166" s="5">
        <v>44427</v>
      </c>
      <c r="B166">
        <v>1.552</v>
      </c>
      <c r="C166">
        <v>1.74</v>
      </c>
      <c r="D166">
        <v>1.522</v>
      </c>
      <c r="E166">
        <v>1.6639999999999999</v>
      </c>
      <c r="F166">
        <v>8009693.4000000004</v>
      </c>
      <c r="G166">
        <v>1.6639999999999999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0.30275229357798095</v>
      </c>
      <c r="Q166">
        <f t="shared" ref="Q166" si="806">F166*P166</f>
        <v>2424953.0477064163</v>
      </c>
      <c r="R166">
        <f t="shared" ref="R166" si="807">R167+Q166</f>
        <v>-93919351.810082689</v>
      </c>
      <c r="S166">
        <f t="shared" ref="S166" si="808">R166/100000</f>
        <v>-939.19351810082685</v>
      </c>
      <c r="T166">
        <f t="shared" ref="T166" si="809">S166/1000</f>
        <v>-0.93919351810082685</v>
      </c>
    </row>
    <row r="167" spans="1:20" x14ac:dyDescent="0.25">
      <c r="A167" s="5">
        <v>44426</v>
      </c>
      <c r="B167">
        <v>1.56</v>
      </c>
      <c r="C167">
        <v>1.6679999999999999</v>
      </c>
      <c r="D167">
        <v>1.506</v>
      </c>
      <c r="E167">
        <v>1.5589999999999999</v>
      </c>
      <c r="F167">
        <v>7853331</v>
      </c>
      <c r="G167">
        <v>1.5589999999999999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-0.34567901234567949</v>
      </c>
      <c r="Q167">
        <f t="shared" ref="Q167" si="811">F167*P167</f>
        <v>-2714731.7037037075</v>
      </c>
      <c r="R167">
        <f t="shared" ref="R167" si="812">R168+Q167</f>
        <v>-96344304.857789099</v>
      </c>
      <c r="S167">
        <f t="shared" ref="S167" si="813">R167/100000</f>
        <v>-963.44304857789098</v>
      </c>
      <c r="T167">
        <f t="shared" ref="T167" si="814">S167/1000</f>
        <v>-0.96344304857789098</v>
      </c>
    </row>
    <row r="168" spans="1:20" x14ac:dyDescent="0.25">
      <c r="A168" s="5">
        <v>44425</v>
      </c>
      <c r="B168">
        <v>1.897</v>
      </c>
      <c r="C168">
        <v>1.956</v>
      </c>
      <c r="D168">
        <v>1.5529999999999999</v>
      </c>
      <c r="E168">
        <v>1.5620000000000001</v>
      </c>
      <c r="F168">
        <v>15303270.9</v>
      </c>
      <c r="G168">
        <v>1.5620000000000001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-0.95533498759305158</v>
      </c>
      <c r="Q168">
        <f t="shared" ref="Q168" si="816">F168*P168</f>
        <v>-14619750.115384609</v>
      </c>
      <c r="R168">
        <f t="shared" ref="R168" si="817">R169+Q168</f>
        <v>-93629573.154085398</v>
      </c>
      <c r="S168">
        <f t="shared" ref="S168" si="818">R168/100000</f>
        <v>-936.29573154085392</v>
      </c>
      <c r="T168">
        <f t="shared" ref="T168" si="819">S168/1000</f>
        <v>-0.93629573154085388</v>
      </c>
    </row>
    <row r="169" spans="1:20" x14ac:dyDescent="0.25">
      <c r="A169" s="5">
        <v>44424</v>
      </c>
      <c r="B169">
        <v>1.546</v>
      </c>
      <c r="C169">
        <v>1.9690000000000001</v>
      </c>
      <c r="D169">
        <v>1.546</v>
      </c>
      <c r="E169">
        <v>1.897</v>
      </c>
      <c r="F169">
        <v>28383231.300000001</v>
      </c>
      <c r="G169">
        <v>1.897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0.65957446808510611</v>
      </c>
      <c r="Q169">
        <f t="shared" ref="Q169" si="821">F169*P169</f>
        <v>18720854.687234037</v>
      </c>
      <c r="R169">
        <f t="shared" ref="R169" si="822">R170+Q169</f>
        <v>-79009823.038700789</v>
      </c>
      <c r="S169">
        <f t="shared" ref="S169" si="823">R169/100000</f>
        <v>-790.0982303870079</v>
      </c>
      <c r="T169">
        <f t="shared" ref="T169:T175" si="824">S169/1000</f>
        <v>-0.79009823038700788</v>
      </c>
    </row>
    <row r="170" spans="1:20" x14ac:dyDescent="0.25">
      <c r="A170" s="5">
        <v>44423</v>
      </c>
      <c r="B170">
        <v>1.5129999999999999</v>
      </c>
      <c r="C170">
        <v>1.587</v>
      </c>
      <c r="D170">
        <v>1.4450000000000001</v>
      </c>
      <c r="E170">
        <v>1.546</v>
      </c>
      <c r="F170">
        <v>8666083.8000000007</v>
      </c>
      <c r="G170">
        <v>1.546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0.42253521126760629</v>
      </c>
      <c r="Q170">
        <f t="shared" ref="Q170" si="826">F170*P170</f>
        <v>3661725.5492957807</v>
      </c>
      <c r="R170">
        <f t="shared" ref="R170" si="827">R171+Q170</f>
        <v>-97730677.725934818</v>
      </c>
      <c r="S170">
        <f t="shared" ref="S170" si="828">R170/100000</f>
        <v>-977.30677725934822</v>
      </c>
      <c r="T170">
        <f t="shared" si="824"/>
        <v>-0.97730677725934822</v>
      </c>
    </row>
    <row r="171" spans="1:20" x14ac:dyDescent="0.25">
      <c r="A171" s="5">
        <v>44422</v>
      </c>
      <c r="B171">
        <v>1.4570000000000001</v>
      </c>
      <c r="C171">
        <v>1.647</v>
      </c>
      <c r="D171">
        <v>1.4239999999999999</v>
      </c>
      <c r="E171">
        <v>1.51</v>
      </c>
      <c r="F171">
        <v>11865648.800000001</v>
      </c>
      <c r="G171">
        <v>1.51</v>
      </c>
      <c r="L171" t="s">
        <v>7</v>
      </c>
      <c r="M171" t="s">
        <v>7</v>
      </c>
      <c r="N171" t="s">
        <v>8</v>
      </c>
      <c r="P171">
        <f t="shared" ref="P171" si="829">IF(C171=D171,0,((E171-D171)-(C171-E171))/(C171-D171))</f>
        <v>-0.22869955156950633</v>
      </c>
      <c r="Q171">
        <f t="shared" ref="Q171" si="830">F171*P171</f>
        <v>-2713668.5596412509</v>
      </c>
      <c r="R171">
        <f t="shared" ref="R171" si="831">R172+Q171</f>
        <v>-101392403.2752306</v>
      </c>
      <c r="S171">
        <f t="shared" ref="S171" si="832">R171/100000</f>
        <v>-1013.9240327523061</v>
      </c>
      <c r="T171">
        <f t="shared" si="824"/>
        <v>-1.013924032752306</v>
      </c>
    </row>
    <row r="172" spans="1:20" x14ac:dyDescent="0.25">
      <c r="A172" s="5">
        <v>44421</v>
      </c>
      <c r="B172">
        <v>1.544</v>
      </c>
      <c r="C172">
        <v>1.69</v>
      </c>
      <c r="D172">
        <v>1.4419999999999999</v>
      </c>
      <c r="E172">
        <v>1.4570000000000001</v>
      </c>
      <c r="F172">
        <v>15267665.699999999</v>
      </c>
      <c r="G172">
        <v>1.4570000000000001</v>
      </c>
      <c r="L172" t="s">
        <v>7</v>
      </c>
      <c r="M172" t="s">
        <v>7</v>
      </c>
      <c r="N172" t="s">
        <v>8</v>
      </c>
      <c r="P172">
        <f t="shared" ref="P172" si="833">IF(C172=D172,0,((E172-D172)-(C172-E172))/(C172-D172))</f>
        <v>-0.87903225806451513</v>
      </c>
      <c r="Q172">
        <f t="shared" ref="Q172" si="834">F172*P172</f>
        <v>-13420770.655645145</v>
      </c>
      <c r="R172">
        <f t="shared" ref="R172" si="835">R173+Q172</f>
        <v>-98678734.715589345</v>
      </c>
      <c r="S172">
        <f t="shared" ref="S172" si="836">R172/100000</f>
        <v>-986.78734715589349</v>
      </c>
      <c r="T172">
        <f t="shared" si="824"/>
        <v>-0.98678734715589345</v>
      </c>
    </row>
    <row r="173" spans="1:20" x14ac:dyDescent="0.25">
      <c r="A173" s="5">
        <v>44420</v>
      </c>
      <c r="B173">
        <v>1.236</v>
      </c>
      <c r="C173">
        <v>1.8879999999999999</v>
      </c>
      <c r="D173">
        <v>1.2210000000000001</v>
      </c>
      <c r="E173">
        <v>1.5429999999999999</v>
      </c>
      <c r="F173">
        <v>74232442.900000006</v>
      </c>
      <c r="G173">
        <v>1.5429999999999999</v>
      </c>
      <c r="L173" t="s">
        <v>8</v>
      </c>
      <c r="M173" t="s">
        <v>8</v>
      </c>
      <c r="N173" t="s">
        <v>8</v>
      </c>
      <c r="P173">
        <f t="shared" ref="P173" si="837">IF(C173=D173,0,((E173-D173)-(C173-E173))/(C173-D173))</f>
        <v>-3.4482758620689863E-2</v>
      </c>
      <c r="Q173">
        <f t="shared" ref="Q173" si="838">F173*P173</f>
        <v>-2559739.4103448433</v>
      </c>
      <c r="R173">
        <f t="shared" ref="R173" si="839">R174+Q173</f>
        <v>-85257964.059944198</v>
      </c>
      <c r="S173">
        <f t="shared" ref="S173" si="840">R173/100000</f>
        <v>-852.57964059944197</v>
      </c>
      <c r="T173">
        <f t="shared" si="824"/>
        <v>-0.85257964059944202</v>
      </c>
    </row>
    <row r="174" spans="1:20" x14ac:dyDescent="0.25">
      <c r="A174" s="5">
        <v>44419</v>
      </c>
      <c r="B174">
        <v>1.24</v>
      </c>
      <c r="C174">
        <v>1.36</v>
      </c>
      <c r="D174">
        <v>1.177</v>
      </c>
      <c r="E174">
        <v>1.236</v>
      </c>
      <c r="F174">
        <v>16559441.699999999</v>
      </c>
      <c r="G174">
        <v>1.236</v>
      </c>
      <c r="L174" t="s">
        <v>7</v>
      </c>
      <c r="M174" t="s">
        <v>7</v>
      </c>
      <c r="N174" t="s">
        <v>8</v>
      </c>
      <c r="P174">
        <f t="shared" ref="P174" si="841">IF(C174=D174,0,((E174-D174)-(C174-E174))/(C174-D174))</f>
        <v>-0.35519125683060193</v>
      </c>
      <c r="Q174">
        <f t="shared" ref="Q174" si="842">F174*P174</f>
        <v>-5881768.909836079</v>
      </c>
      <c r="R174">
        <f t="shared" ref="R174" si="843">R175+Q174</f>
        <v>-82698224.649599358</v>
      </c>
      <c r="S174">
        <f t="shared" ref="S174" si="844">R174/100000</f>
        <v>-826.98224649599354</v>
      </c>
      <c r="T174">
        <f t="shared" si="824"/>
        <v>-0.8269822464959935</v>
      </c>
    </row>
    <row r="175" spans="1:20" x14ac:dyDescent="0.25">
      <c r="A175" s="5">
        <v>44418</v>
      </c>
      <c r="B175">
        <v>1.083</v>
      </c>
      <c r="C175">
        <v>1.4490000000000001</v>
      </c>
      <c r="D175">
        <v>1.0609999999999999</v>
      </c>
      <c r="E175">
        <v>1.238</v>
      </c>
      <c r="F175">
        <v>25006370.600000001</v>
      </c>
      <c r="G175">
        <v>0</v>
      </c>
      <c r="L175" t="s">
        <v>8</v>
      </c>
      <c r="M175" t="s">
        <v>8</v>
      </c>
      <c r="N175" t="s">
        <v>8</v>
      </c>
      <c r="P175">
        <f t="shared" ref="P175" si="845">IF(C175=D175,0,((E175-D175)-(C175-E175))/(C175-D175))</f>
        <v>-8.7628865979381493E-2</v>
      </c>
      <c r="Q175">
        <f t="shared" ref="Q175" si="846">F175*P175</f>
        <v>-2191279.8979381458</v>
      </c>
      <c r="R175">
        <f t="shared" ref="R175" si="847">R176+Q175</f>
        <v>-76816455.739763275</v>
      </c>
      <c r="S175">
        <f t="shared" ref="S175" si="848">R175/100000</f>
        <v>-768.16455739763273</v>
      </c>
      <c r="T175">
        <f t="shared" si="824"/>
        <v>-0.76816455739763279</v>
      </c>
    </row>
    <row r="176" spans="1:20" x14ac:dyDescent="0.25">
      <c r="A176" s="5">
        <v>44417</v>
      </c>
      <c r="B176">
        <v>1.02</v>
      </c>
      <c r="C176">
        <v>1.169</v>
      </c>
      <c r="D176">
        <v>1</v>
      </c>
      <c r="E176">
        <v>1.081</v>
      </c>
      <c r="F176">
        <v>8897951.3000000007</v>
      </c>
      <c r="G176">
        <v>0</v>
      </c>
      <c r="L176" t="s">
        <v>8</v>
      </c>
      <c r="M176" t="s">
        <v>7</v>
      </c>
      <c r="N176" t="s">
        <v>8</v>
      </c>
      <c r="P176">
        <f t="shared" ref="P176:P239" si="849">IF(C176=D176,0,((E176-D176)-(C176-E176))/(C176-D176))</f>
        <v>-4.142011834319595E-2</v>
      </c>
      <c r="Q176">
        <f t="shared" ref="Q176:Q239" si="850">F176*P176</f>
        <v>-368554.19585799426</v>
      </c>
      <c r="R176">
        <f t="shared" ref="R176:R239" si="851">R177+Q176</f>
        <v>-74625175.841825128</v>
      </c>
      <c r="S176">
        <f t="shared" ref="S176:S239" si="852">R176/100000</f>
        <v>-746.25175841825126</v>
      </c>
      <c r="T176">
        <f t="shared" ref="T176:T239" si="853">S176/1000</f>
        <v>-0.74625175841825131</v>
      </c>
    </row>
    <row r="177" spans="1:20" x14ac:dyDescent="0.25">
      <c r="A177" s="5">
        <v>44416</v>
      </c>
      <c r="B177">
        <v>1.071</v>
      </c>
      <c r="C177">
        <v>1.0860000000000001</v>
      </c>
      <c r="D177">
        <v>1.004</v>
      </c>
      <c r="E177">
        <v>1.018</v>
      </c>
      <c r="F177">
        <v>4439447.5</v>
      </c>
      <c r="G177">
        <v>0</v>
      </c>
      <c r="L177" t="s">
        <v>7</v>
      </c>
      <c r="M177" t="s">
        <v>7</v>
      </c>
      <c r="N177" t="s">
        <v>8</v>
      </c>
      <c r="P177">
        <f t="shared" si="849"/>
        <v>-0.65853658536585369</v>
      </c>
      <c r="Q177">
        <f t="shared" si="850"/>
        <v>-2923538.5975609757</v>
      </c>
      <c r="R177">
        <f t="shared" si="851"/>
        <v>-74256621.645967141</v>
      </c>
      <c r="S177">
        <f t="shared" si="852"/>
        <v>-742.56621645967141</v>
      </c>
      <c r="T177">
        <f t="shared" si="853"/>
        <v>-0.74256621645967136</v>
      </c>
    </row>
    <row r="178" spans="1:20" x14ac:dyDescent="0.25">
      <c r="A178" s="5">
        <v>44415</v>
      </c>
      <c r="B178">
        <v>1.0580000000000001</v>
      </c>
      <c r="C178">
        <v>1.1000000000000001</v>
      </c>
      <c r="D178">
        <v>1.0389999999999999</v>
      </c>
      <c r="E178">
        <v>1.0720000000000001</v>
      </c>
      <c r="F178">
        <v>6626552.9000000004</v>
      </c>
      <c r="G178">
        <v>0</v>
      </c>
      <c r="L178" t="s">
        <v>8</v>
      </c>
      <c r="M178" t="s">
        <v>7</v>
      </c>
      <c r="N178" t="s">
        <v>8</v>
      </c>
      <c r="P178">
        <f t="shared" si="849"/>
        <v>8.1967213114755771E-2</v>
      </c>
      <c r="Q178">
        <f t="shared" si="850"/>
        <v>543160.07377050293</v>
      </c>
      <c r="R178">
        <f t="shared" si="851"/>
        <v>-71333083.048406169</v>
      </c>
      <c r="S178">
        <f t="shared" si="852"/>
        <v>-713.33083048406172</v>
      </c>
      <c r="T178">
        <f t="shared" si="853"/>
        <v>-0.71333083048406176</v>
      </c>
    </row>
    <row r="179" spans="1:20" x14ac:dyDescent="0.25">
      <c r="A179" s="5">
        <v>44414</v>
      </c>
      <c r="B179">
        <v>1.0569999999999999</v>
      </c>
      <c r="C179">
        <v>1.099</v>
      </c>
      <c r="D179">
        <v>1.022</v>
      </c>
      <c r="E179">
        <v>1.0580000000000001</v>
      </c>
      <c r="F179">
        <v>6739493.5999999996</v>
      </c>
      <c r="G179">
        <v>0</v>
      </c>
      <c r="L179" t="s">
        <v>8</v>
      </c>
      <c r="M179" t="s">
        <v>7</v>
      </c>
      <c r="N179" t="s">
        <v>8</v>
      </c>
      <c r="P179">
        <f t="shared" si="849"/>
        <v>-6.4935064935063583E-2</v>
      </c>
      <c r="Q179">
        <f t="shared" si="850"/>
        <v>-437629.45454544539</v>
      </c>
      <c r="R179">
        <f t="shared" si="851"/>
        <v>-71876243.122176677</v>
      </c>
      <c r="S179">
        <f t="shared" si="852"/>
        <v>-718.76243122176675</v>
      </c>
      <c r="T179">
        <f t="shared" si="853"/>
        <v>-0.71876243122176675</v>
      </c>
    </row>
    <row r="180" spans="1:20" x14ac:dyDescent="0.25">
      <c r="A180" s="5">
        <v>44413</v>
      </c>
      <c r="B180">
        <v>1.1379999999999999</v>
      </c>
      <c r="C180">
        <v>1.159</v>
      </c>
      <c r="D180">
        <v>1.0049999999999999</v>
      </c>
      <c r="E180">
        <v>1.0569999999999999</v>
      </c>
      <c r="F180">
        <v>12046486.9</v>
      </c>
      <c r="G180">
        <v>0</v>
      </c>
      <c r="L180" t="s">
        <v>7</v>
      </c>
      <c r="M180" t="s">
        <v>7</v>
      </c>
      <c r="N180" t="s">
        <v>8</v>
      </c>
      <c r="P180">
        <f t="shared" si="849"/>
        <v>-0.32467532467532467</v>
      </c>
      <c r="Q180">
        <f t="shared" si="850"/>
        <v>-3911197.0454545454</v>
      </c>
      <c r="R180">
        <f t="shared" si="851"/>
        <v>-71438613.667631239</v>
      </c>
      <c r="S180">
        <f t="shared" si="852"/>
        <v>-714.38613667631239</v>
      </c>
      <c r="T180">
        <f t="shared" si="853"/>
        <v>-0.71438613667631234</v>
      </c>
    </row>
    <row r="181" spans="1:20" x14ac:dyDescent="0.25">
      <c r="A181" s="5">
        <v>44412</v>
      </c>
      <c r="B181">
        <v>1.0149999999999999</v>
      </c>
      <c r="C181">
        <v>1.22</v>
      </c>
      <c r="D181">
        <v>0.98899999999999999</v>
      </c>
      <c r="E181">
        <v>1.137</v>
      </c>
      <c r="F181">
        <v>11526606.800000001</v>
      </c>
      <c r="G181">
        <v>0</v>
      </c>
      <c r="L181" t="s">
        <v>8</v>
      </c>
      <c r="M181" t="s">
        <v>8</v>
      </c>
      <c r="N181" t="s">
        <v>8</v>
      </c>
      <c r="P181">
        <f t="shared" si="849"/>
        <v>0.28138528138528168</v>
      </c>
      <c r="Q181">
        <f t="shared" si="850"/>
        <v>3243417.4978355016</v>
      </c>
      <c r="R181">
        <f t="shared" si="851"/>
        <v>-67527416.622176692</v>
      </c>
      <c r="S181">
        <f t="shared" si="852"/>
        <v>-675.2741662217669</v>
      </c>
      <c r="T181">
        <f t="shared" si="853"/>
        <v>-0.67527416622176695</v>
      </c>
    </row>
    <row r="182" spans="1:20" x14ac:dyDescent="0.25">
      <c r="A182" s="5">
        <v>44411</v>
      </c>
      <c r="B182">
        <v>1.0880000000000001</v>
      </c>
      <c r="C182">
        <v>1.1100000000000001</v>
      </c>
      <c r="D182">
        <v>0.95599999999999996</v>
      </c>
      <c r="E182">
        <v>1.016</v>
      </c>
      <c r="F182">
        <v>6947540.2999999998</v>
      </c>
      <c r="G182">
        <v>0</v>
      </c>
      <c r="L182" t="s">
        <v>7</v>
      </c>
      <c r="M182" t="s">
        <v>7</v>
      </c>
      <c r="N182" t="s">
        <v>8</v>
      </c>
      <c r="P182">
        <f t="shared" si="849"/>
        <v>-0.22077922077922077</v>
      </c>
      <c r="Q182">
        <f t="shared" si="850"/>
        <v>-1533872.5337662336</v>
      </c>
      <c r="R182">
        <f t="shared" si="851"/>
        <v>-70770834.120012194</v>
      </c>
      <c r="S182">
        <f t="shared" si="852"/>
        <v>-707.70834120012194</v>
      </c>
      <c r="T182">
        <f t="shared" si="853"/>
        <v>-0.70770834120012194</v>
      </c>
    </row>
    <row r="183" spans="1:20" x14ac:dyDescent="0.25">
      <c r="A183" s="5">
        <v>44410</v>
      </c>
      <c r="B183">
        <v>1.115</v>
      </c>
      <c r="C183">
        <v>1.145</v>
      </c>
      <c r="D183">
        <v>1.06</v>
      </c>
      <c r="E183">
        <v>1.087</v>
      </c>
      <c r="F183">
        <v>4973397.7</v>
      </c>
      <c r="G183">
        <v>0</v>
      </c>
      <c r="L183" t="s">
        <v>7</v>
      </c>
      <c r="M183" t="s">
        <v>7</v>
      </c>
      <c r="N183" t="s">
        <v>8</v>
      </c>
      <c r="P183">
        <f t="shared" si="849"/>
        <v>-0.36470588235294293</v>
      </c>
      <c r="Q183">
        <f t="shared" si="850"/>
        <v>-1813827.396470597</v>
      </c>
      <c r="R183">
        <f t="shared" si="851"/>
        <v>-69236961.586245954</v>
      </c>
      <c r="S183">
        <f t="shared" si="852"/>
        <v>-692.36961586245957</v>
      </c>
      <c r="T183">
        <f t="shared" si="853"/>
        <v>-0.6923696158624596</v>
      </c>
    </row>
    <row r="184" spans="1:20" x14ac:dyDescent="0.25">
      <c r="A184" s="5">
        <v>44409</v>
      </c>
      <c r="B184">
        <v>1.1879999999999999</v>
      </c>
      <c r="C184">
        <v>1.198</v>
      </c>
      <c r="D184">
        <v>1.0860000000000001</v>
      </c>
      <c r="E184">
        <v>1.1120000000000001</v>
      </c>
      <c r="F184">
        <v>5512269.9000000004</v>
      </c>
      <c r="G184">
        <v>0</v>
      </c>
      <c r="L184" t="s">
        <v>7</v>
      </c>
      <c r="M184" t="s">
        <v>7</v>
      </c>
      <c r="N184" t="s">
        <v>8</v>
      </c>
      <c r="P184">
        <f t="shared" si="849"/>
        <v>-0.53571428571428481</v>
      </c>
      <c r="Q184">
        <f t="shared" si="850"/>
        <v>-2953001.7321428522</v>
      </c>
      <c r="R184">
        <f t="shared" si="851"/>
        <v>-67423134.189775363</v>
      </c>
      <c r="S184">
        <f t="shared" si="852"/>
        <v>-674.23134189775362</v>
      </c>
      <c r="T184">
        <f t="shared" si="853"/>
        <v>-0.67423134189775358</v>
      </c>
    </row>
    <row r="185" spans="1:20" x14ac:dyDescent="0.25">
      <c r="A185" s="5">
        <v>44408</v>
      </c>
      <c r="B185">
        <v>1.2070000000000001</v>
      </c>
      <c r="C185">
        <v>1.25</v>
      </c>
      <c r="D185">
        <v>1.1579999999999999</v>
      </c>
      <c r="E185">
        <v>1.1879999999999999</v>
      </c>
      <c r="F185">
        <v>8417773.8000000007</v>
      </c>
      <c r="G185">
        <v>0</v>
      </c>
      <c r="L185" t="s">
        <v>7</v>
      </c>
      <c r="M185" t="s">
        <v>8</v>
      </c>
      <c r="N185" t="s">
        <v>8</v>
      </c>
      <c r="P185">
        <f t="shared" si="849"/>
        <v>-0.34782608695652173</v>
      </c>
      <c r="Q185">
        <f t="shared" si="850"/>
        <v>-2927921.3217391307</v>
      </c>
      <c r="R185">
        <f t="shared" si="851"/>
        <v>-64470132.457632512</v>
      </c>
      <c r="S185">
        <f t="shared" si="852"/>
        <v>-644.70132457632508</v>
      </c>
      <c r="T185">
        <f t="shared" si="853"/>
        <v>-0.64470132457632512</v>
      </c>
    </row>
    <row r="186" spans="1:20" x14ac:dyDescent="0.25">
      <c r="A186" s="5">
        <v>44407</v>
      </c>
      <c r="B186">
        <v>1.282</v>
      </c>
      <c r="C186">
        <v>1.282</v>
      </c>
      <c r="D186">
        <v>1.1419999999999999</v>
      </c>
      <c r="E186">
        <v>1.2070000000000001</v>
      </c>
      <c r="F186">
        <v>19956953.100000001</v>
      </c>
      <c r="G186">
        <v>0</v>
      </c>
      <c r="L186" t="s">
        <v>8</v>
      </c>
      <c r="M186" t="s">
        <v>8</v>
      </c>
      <c r="N186" t="s">
        <v>8</v>
      </c>
      <c r="P186">
        <f t="shared" si="849"/>
        <v>-7.1428571428569843E-2</v>
      </c>
      <c r="Q186">
        <f t="shared" si="850"/>
        <v>-1425496.6499999685</v>
      </c>
      <c r="R186">
        <f t="shared" si="851"/>
        <v>-61542211.135893382</v>
      </c>
      <c r="S186">
        <f t="shared" si="852"/>
        <v>-615.42211135893388</v>
      </c>
      <c r="T186">
        <f t="shared" si="853"/>
        <v>-0.61542211135893388</v>
      </c>
    </row>
    <row r="187" spans="1:20" x14ac:dyDescent="0.25">
      <c r="A187" s="5">
        <v>44406</v>
      </c>
      <c r="B187">
        <v>1.2090000000000001</v>
      </c>
      <c r="C187">
        <v>2.4849999999999999</v>
      </c>
      <c r="D187">
        <v>1.2090000000000001</v>
      </c>
      <c r="E187">
        <v>1.282</v>
      </c>
      <c r="F187">
        <v>67884006.799999997</v>
      </c>
      <c r="G187">
        <v>0</v>
      </c>
      <c r="P187">
        <f t="shared" si="849"/>
        <v>-0.88557993730407525</v>
      </c>
      <c r="Q187">
        <f t="shared" si="850"/>
        <v>-60116714.485893413</v>
      </c>
      <c r="R187">
        <f t="shared" si="851"/>
        <v>-60116714.485893413</v>
      </c>
      <c r="S187">
        <f t="shared" si="852"/>
        <v>-601.16714485893408</v>
      </c>
      <c r="T187">
        <f t="shared" si="853"/>
        <v>-0.60116714485893408</v>
      </c>
    </row>
    <row r="188" spans="1:20" x14ac:dyDescent="0.25">
      <c r="A188" s="5"/>
      <c r="P188">
        <f t="shared" si="849"/>
        <v>0</v>
      </c>
      <c r="Q188">
        <f t="shared" si="850"/>
        <v>0</v>
      </c>
      <c r="R188">
        <f t="shared" si="851"/>
        <v>0</v>
      </c>
      <c r="S188">
        <f t="shared" si="852"/>
        <v>0</v>
      </c>
      <c r="T188">
        <f t="shared" si="853"/>
        <v>0</v>
      </c>
    </row>
    <row r="189" spans="1:20" x14ac:dyDescent="0.25">
      <c r="A189" s="5"/>
      <c r="P189">
        <f t="shared" si="849"/>
        <v>0</v>
      </c>
      <c r="Q189">
        <f t="shared" si="850"/>
        <v>0</v>
      </c>
      <c r="R189">
        <f t="shared" si="851"/>
        <v>0</v>
      </c>
      <c r="S189">
        <f t="shared" si="852"/>
        <v>0</v>
      </c>
      <c r="T189">
        <f t="shared" si="853"/>
        <v>0</v>
      </c>
    </row>
    <row r="190" spans="1:20" x14ac:dyDescent="0.25">
      <c r="A190" s="5"/>
      <c r="P190">
        <f t="shared" si="849"/>
        <v>0</v>
      </c>
      <c r="Q190">
        <f t="shared" si="850"/>
        <v>0</v>
      </c>
      <c r="R190">
        <f t="shared" si="851"/>
        <v>0</v>
      </c>
      <c r="S190">
        <f t="shared" si="852"/>
        <v>0</v>
      </c>
      <c r="T190">
        <f t="shared" si="853"/>
        <v>0</v>
      </c>
    </row>
    <row r="191" spans="1:20" x14ac:dyDescent="0.25">
      <c r="A191" s="5"/>
      <c r="P191">
        <f t="shared" si="849"/>
        <v>0</v>
      </c>
      <c r="Q191">
        <f t="shared" si="850"/>
        <v>0</v>
      </c>
      <c r="R191">
        <f t="shared" si="851"/>
        <v>0</v>
      </c>
      <c r="S191">
        <f t="shared" si="852"/>
        <v>0</v>
      </c>
      <c r="T191">
        <f t="shared" si="853"/>
        <v>0</v>
      </c>
    </row>
    <row r="192" spans="1:20" x14ac:dyDescent="0.25">
      <c r="A192" s="5"/>
      <c r="P192">
        <f t="shared" si="849"/>
        <v>0</v>
      </c>
      <c r="Q192">
        <f t="shared" si="850"/>
        <v>0</v>
      </c>
      <c r="R192">
        <f t="shared" si="851"/>
        <v>0</v>
      </c>
      <c r="S192">
        <f t="shared" si="852"/>
        <v>0</v>
      </c>
      <c r="T192">
        <f t="shared" si="853"/>
        <v>0</v>
      </c>
    </row>
    <row r="193" spans="1:20" x14ac:dyDescent="0.25">
      <c r="A193" s="5"/>
      <c r="P193">
        <f t="shared" si="849"/>
        <v>0</v>
      </c>
      <c r="Q193">
        <f t="shared" si="850"/>
        <v>0</v>
      </c>
      <c r="R193">
        <f t="shared" si="851"/>
        <v>0</v>
      </c>
      <c r="S193">
        <f t="shared" si="852"/>
        <v>0</v>
      </c>
      <c r="T193">
        <f t="shared" si="853"/>
        <v>0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R641" sqref="CR64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$A$640</v>
      </c>
      <c r="D111" s="1" t="str">
        <f>ADDRESS(C121-1,D121,1,1)</f>
        <v>$CR$640</v>
      </c>
      <c r="E111"/>
    </row>
    <row r="112" spans="1:5" x14ac:dyDescent="0.25">
      <c r="A112" s="7">
        <v>12164.144957890772</v>
      </c>
      <c r="C112" s="1" t="str">
        <f>ADDRESS(C121,1,1,1)</f>
        <v>$A$641</v>
      </c>
      <c r="D112" s="1" t="str">
        <f>ADDRESS(C121,D121-1,1,1)</f>
        <v>$CQ$641</v>
      </c>
      <c r="E112"/>
    </row>
    <row r="113" spans="1:5" x14ac:dyDescent="0.25">
      <c r="A113" s="7">
        <v>11925.63231165762</v>
      </c>
      <c r="C113" s="1" t="str">
        <f>ADDRESS(C121+1,1,1,1)</f>
        <v>$A$642</v>
      </c>
      <c r="D113" s="1" t="str">
        <f>ADDRESS(C121-1,D121+1,1,1)</f>
        <v>$CS$640</v>
      </c>
    </row>
    <row r="114" spans="1:5" x14ac:dyDescent="0.25">
      <c r="A114" s="7">
        <v>11691.796383978059</v>
      </c>
      <c r="C114" s="1" t="str">
        <f>ADDRESS(C121,D121,1,1)</f>
        <v>$CR$641</v>
      </c>
      <c r="D114" s="1" t="str">
        <f>ADDRESS(C121+1,D121+1,1,1)</f>
        <v>$CS$642</v>
      </c>
    </row>
    <row r="115" spans="1:5" x14ac:dyDescent="0.25">
      <c r="A115" s="7">
        <v>11462.545474488292</v>
      </c>
      <c r="C115" s="1" t="str">
        <f>ADDRESS(C121+1,D121,1,1)</f>
        <v>$CR$642</v>
      </c>
    </row>
    <row r="116" spans="1:5" x14ac:dyDescent="0.25">
      <c r="A116" s="7">
        <v>11237.789680870874</v>
      </c>
      <c r="C116" s="1">
        <f>C117-1</f>
        <v>640</v>
      </c>
    </row>
    <row r="117" spans="1:5" x14ac:dyDescent="0.25">
      <c r="A117" s="7">
        <v>11017.440863598895</v>
      </c>
      <c r="C117" s="1">
        <f>C121</f>
        <v>641</v>
      </c>
      <c r="D117" s="1">
        <f>D121</f>
        <v>96</v>
      </c>
    </row>
    <row r="118" spans="1:5" x14ac:dyDescent="0.25">
      <c r="A118" s="7">
        <v>10801.412611371465</v>
      </c>
      <c r="C118" s="1">
        <f>C117+1</f>
        <v>642</v>
      </c>
      <c r="D118" s="1">
        <f>D117+1</f>
        <v>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641</v>
      </c>
      <c r="D121" s="19">
        <v>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R641</v>
      </c>
      <c r="D123" s="1" t="str">
        <f>"C"&amp;D121</f>
        <v>C96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0.34323433454431179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24" x14ac:dyDescent="0.25">
      <c r="A545" s="7">
        <v>2.2972444660248938</v>
      </c>
      <c r="B545"/>
      <c r="C545"/>
      <c r="D545"/>
      <c r="E545"/>
    </row>
    <row r="546" spans="1:24" x14ac:dyDescent="0.25">
      <c r="A546" s="7">
        <v>2.252200456887151</v>
      </c>
      <c r="B546"/>
      <c r="C546"/>
      <c r="D546"/>
      <c r="E546"/>
    </row>
    <row r="547" spans="1:24" x14ac:dyDescent="0.25">
      <c r="A547" s="7">
        <v>2.208039663614854</v>
      </c>
      <c r="B547"/>
      <c r="C547"/>
      <c r="D547"/>
      <c r="E547"/>
    </row>
    <row r="548" spans="1:24" x14ac:dyDescent="0.25">
      <c r="A548" s="7">
        <v>2.1647447682498568</v>
      </c>
      <c r="B548"/>
      <c r="C548"/>
      <c r="D548"/>
      <c r="E548"/>
      <c r="U548" s="27" t="s">
        <v>8</v>
      </c>
    </row>
    <row r="549" spans="1:24" x14ac:dyDescent="0.25">
      <c r="A549" s="7">
        <v>2.1222987924018204</v>
      </c>
      <c r="B549"/>
      <c r="C549"/>
      <c r="D549"/>
      <c r="E549"/>
      <c r="U549" s="27" t="s">
        <v>8</v>
      </c>
      <c r="V549" s="27" t="s">
        <v>7</v>
      </c>
    </row>
    <row r="550" spans="1:24" x14ac:dyDescent="0.25">
      <c r="A550" s="7">
        <v>2.0806850905900198</v>
      </c>
      <c r="B550"/>
      <c r="C550"/>
      <c r="D550"/>
      <c r="E550"/>
      <c r="U550" s="27" t="s">
        <v>8</v>
      </c>
      <c r="V550" s="27" t="s">
        <v>7</v>
      </c>
    </row>
    <row r="551" spans="1:24" x14ac:dyDescent="0.25">
      <c r="A551" s="7">
        <v>2.0398873437157055</v>
      </c>
      <c r="B551"/>
      <c r="C551"/>
      <c r="D551"/>
      <c r="E551"/>
      <c r="U551" s="27" t="s">
        <v>8</v>
      </c>
      <c r="V551" s="27" t="s">
        <v>7</v>
      </c>
    </row>
    <row r="552" spans="1:24" x14ac:dyDescent="0.25">
      <c r="A552" s="7">
        <v>1.9998895526624565</v>
      </c>
      <c r="B552"/>
      <c r="C552"/>
      <c r="D552"/>
      <c r="E552"/>
      <c r="U552" s="27" t="s">
        <v>8</v>
      </c>
      <c r="V552" s="27" t="s">
        <v>7</v>
      </c>
    </row>
    <row r="553" spans="1:24" x14ac:dyDescent="0.25">
      <c r="A553" s="7">
        <v>1.9606760320220162</v>
      </c>
      <c r="B553"/>
      <c r="C553"/>
      <c r="D553"/>
      <c r="E553"/>
      <c r="O553" s="27" t="s">
        <v>8</v>
      </c>
      <c r="U553" s="27" t="s">
        <v>8</v>
      </c>
      <c r="V553" s="27" t="s">
        <v>7</v>
      </c>
    </row>
    <row r="554" spans="1:24" x14ac:dyDescent="0.25">
      <c r="A554" s="7">
        <v>1.9222314039431532</v>
      </c>
      <c r="B554"/>
      <c r="C554"/>
      <c r="D554"/>
      <c r="E554"/>
      <c r="O554" s="27" t="s">
        <v>8</v>
      </c>
      <c r="P554" s="27" t="s">
        <v>7</v>
      </c>
      <c r="U554" s="27" t="s">
        <v>8</v>
      </c>
      <c r="V554" s="27" t="s">
        <v>7</v>
      </c>
    </row>
    <row r="555" spans="1:24" x14ac:dyDescent="0.25">
      <c r="A555" s="7">
        <v>1.8845405921011305</v>
      </c>
      <c r="B555"/>
      <c r="C555"/>
      <c r="D555"/>
      <c r="E555"/>
      <c r="M555" s="27" t="s">
        <v>8</v>
      </c>
      <c r="O555" s="27" t="s">
        <v>8</v>
      </c>
      <c r="P555" s="27" t="s">
        <v>7</v>
      </c>
      <c r="U555" s="27" t="s">
        <v>8</v>
      </c>
      <c r="V555" s="27" t="s">
        <v>7</v>
      </c>
    </row>
    <row r="556" spans="1:24" x14ac:dyDescent="0.25">
      <c r="A556" s="7">
        <v>1.8475888157854219</v>
      </c>
      <c r="B556"/>
      <c r="C556"/>
      <c r="D556"/>
      <c r="E556"/>
      <c r="M556" s="27" t="s">
        <v>8</v>
      </c>
      <c r="N556" s="27" t="s">
        <v>7</v>
      </c>
      <c r="O556" s="27" t="s">
        <v>8</v>
      </c>
      <c r="P556" s="27" t="s">
        <v>7</v>
      </c>
      <c r="U556" s="27" t="s">
        <v>8</v>
      </c>
      <c r="V556" s="27" t="s">
        <v>7</v>
      </c>
      <c r="W556" s="27" t="s">
        <v>8</v>
      </c>
    </row>
    <row r="557" spans="1:24" x14ac:dyDescent="0.25">
      <c r="A557" s="7">
        <v>1.8113615841033548</v>
      </c>
      <c r="B557"/>
      <c r="C557"/>
      <c r="D557"/>
      <c r="E557"/>
      <c r="M557" s="27" t="s">
        <v>8</v>
      </c>
      <c r="N557" s="27" t="s">
        <v>7</v>
      </c>
      <c r="O557" s="27" t="s">
        <v>8</v>
      </c>
      <c r="P557" s="27" t="s">
        <v>7</v>
      </c>
      <c r="U557" s="27" t="s">
        <v>8</v>
      </c>
      <c r="V557" s="27" t="s">
        <v>7</v>
      </c>
      <c r="W557" s="27" t="s">
        <v>8</v>
      </c>
      <c r="X557" s="27" t="s">
        <v>7</v>
      </c>
    </row>
    <row r="558" spans="1:24" x14ac:dyDescent="0.25">
      <c r="A558" s="7">
        <v>1.7758446902974065</v>
      </c>
      <c r="B558"/>
      <c r="C558"/>
      <c r="D558"/>
      <c r="E558"/>
      <c r="M558" s="27" t="s">
        <v>8</v>
      </c>
      <c r="N558" s="27" t="s">
        <v>7</v>
      </c>
      <c r="O558" s="27" t="s">
        <v>8</v>
      </c>
      <c r="P558" s="27" t="s">
        <v>7</v>
      </c>
      <c r="U558" s="27" t="s">
        <v>8</v>
      </c>
      <c r="V558" s="27" t="s">
        <v>7</v>
      </c>
      <c r="W558" s="27" t="s">
        <v>8</v>
      </c>
      <c r="X558" s="27" t="s">
        <v>7</v>
      </c>
    </row>
    <row r="559" spans="1:24" x14ac:dyDescent="0.25">
      <c r="A559" s="7">
        <v>1.7410242061739281</v>
      </c>
      <c r="B559"/>
      <c r="C559"/>
      <c r="D559"/>
      <c r="E559"/>
      <c r="M559" s="27" t="s">
        <v>8</v>
      </c>
      <c r="N559" s="27" t="s">
        <v>7</v>
      </c>
      <c r="O559" s="27" t="s">
        <v>8</v>
      </c>
      <c r="P559" s="27" t="s">
        <v>7</v>
      </c>
      <c r="S559" s="27" t="s">
        <v>8</v>
      </c>
      <c r="U559" s="27" t="s">
        <v>8</v>
      </c>
      <c r="V559" s="27" t="s">
        <v>7</v>
      </c>
      <c r="W559" s="27" t="s">
        <v>8</v>
      </c>
      <c r="X559" s="27" t="s">
        <v>7</v>
      </c>
    </row>
    <row r="560" spans="1:24" x14ac:dyDescent="0.25">
      <c r="A560" s="7">
        <v>1.7068864766411058</v>
      </c>
      <c r="B560"/>
      <c r="C560"/>
      <c r="D560"/>
      <c r="E560"/>
      <c r="M560" s="27" t="s">
        <v>8</v>
      </c>
      <c r="N560" s="27" t="s">
        <v>7</v>
      </c>
      <c r="O560" s="27" t="s">
        <v>8</v>
      </c>
      <c r="P560" s="27" t="s">
        <v>7</v>
      </c>
      <c r="Q560" s="27" t="s">
        <v>8</v>
      </c>
      <c r="S560" s="27" t="s">
        <v>8</v>
      </c>
      <c r="T560" s="27" t="s">
        <v>7</v>
      </c>
      <c r="U560" s="27" t="s">
        <v>8</v>
      </c>
      <c r="V560" s="27" t="s">
        <v>7</v>
      </c>
      <c r="X560" s="27" t="s">
        <v>7</v>
      </c>
    </row>
    <row r="561" spans="1:71" x14ac:dyDescent="0.25">
      <c r="A561" s="7">
        <v>1.6734181143540252</v>
      </c>
      <c r="B561"/>
      <c r="C561"/>
      <c r="D561"/>
      <c r="E561"/>
      <c r="M561" s="27" t="s">
        <v>8</v>
      </c>
      <c r="N561" s="27" t="s">
        <v>7</v>
      </c>
      <c r="O561" s="27" t="s">
        <v>8</v>
      </c>
      <c r="P561" s="27" t="s">
        <v>7</v>
      </c>
      <c r="Q561" s="27" t="s">
        <v>8</v>
      </c>
      <c r="R561" s="27" t="s">
        <v>7</v>
      </c>
      <c r="S561" s="27" t="s">
        <v>8</v>
      </c>
      <c r="T561" s="27" t="s">
        <v>7</v>
      </c>
      <c r="U561" s="27" t="s">
        <v>8</v>
      </c>
      <c r="X561" s="27" t="s">
        <v>7</v>
      </c>
      <c r="AA561" s="27" t="s">
        <v>8</v>
      </c>
    </row>
    <row r="562" spans="1:71" x14ac:dyDescent="0.25">
      <c r="A562" s="7">
        <v>1.6406059944647307</v>
      </c>
      <c r="B562"/>
      <c r="C562"/>
      <c r="D562"/>
      <c r="E562"/>
      <c r="M562" s="27" t="s">
        <v>8</v>
      </c>
      <c r="N562" s="27" t="s">
        <v>7</v>
      </c>
      <c r="O562" s="27" t="s">
        <v>8</v>
      </c>
      <c r="P562" s="27" t="s">
        <v>7</v>
      </c>
      <c r="Q562" s="27" t="s">
        <v>8</v>
      </c>
      <c r="R562" s="27" t="s">
        <v>7</v>
      </c>
      <c r="S562" s="27" t="s">
        <v>8</v>
      </c>
      <c r="T562" s="27" t="s">
        <v>7</v>
      </c>
      <c r="U562" s="27" t="s">
        <v>8</v>
      </c>
      <c r="X562" s="27" t="s">
        <v>7</v>
      </c>
      <c r="AA562" s="27" t="s">
        <v>8</v>
      </c>
      <c r="AB562" s="27" t="s">
        <v>7</v>
      </c>
    </row>
    <row r="563" spans="1:71" x14ac:dyDescent="0.25">
      <c r="A563" s="7">
        <v>1.6084372494752261</v>
      </c>
      <c r="B563"/>
      <c r="C563"/>
      <c r="D563"/>
      <c r="E563"/>
      <c r="M563" s="27" t="s">
        <v>8</v>
      </c>
      <c r="N563" s="27" t="s">
        <v>7</v>
      </c>
      <c r="O563" s="27" t="s">
        <v>8</v>
      </c>
      <c r="P563" s="27" t="s">
        <v>7</v>
      </c>
      <c r="Q563" s="27" t="s">
        <v>8</v>
      </c>
      <c r="R563" s="27" t="s">
        <v>7</v>
      </c>
      <c r="S563" s="27" t="s">
        <v>8</v>
      </c>
      <c r="T563" s="27" t="s">
        <v>7</v>
      </c>
      <c r="U563" s="27" t="s">
        <v>8</v>
      </c>
      <c r="X563" s="27" t="s">
        <v>7</v>
      </c>
      <c r="AA563" s="27" t="s">
        <v>8</v>
      </c>
      <c r="AB563" s="27" t="s">
        <v>7</v>
      </c>
    </row>
    <row r="564" spans="1:71" x14ac:dyDescent="0.25">
      <c r="A564" s="7">
        <v>1.5768992641913981</v>
      </c>
      <c r="B564"/>
      <c r="C564"/>
      <c r="D564"/>
      <c r="E564"/>
      <c r="M564" s="27" t="s">
        <v>8</v>
      </c>
      <c r="N564" s="27" t="s">
        <v>7</v>
      </c>
      <c r="O564" s="27" t="s">
        <v>8</v>
      </c>
      <c r="P564" s="27" t="s">
        <v>7</v>
      </c>
      <c r="Q564" s="27" t="s">
        <v>8</v>
      </c>
      <c r="R564" s="27" t="s">
        <v>7</v>
      </c>
      <c r="S564" s="27" t="s">
        <v>8</v>
      </c>
      <c r="T564" s="27" t="s">
        <v>7</v>
      </c>
      <c r="X564" s="27" t="s">
        <v>7</v>
      </c>
      <c r="AA564" s="27" t="s">
        <v>8</v>
      </c>
      <c r="AB564" s="27" t="s">
        <v>7</v>
      </c>
      <c r="BI564" s="27" t="s">
        <v>8</v>
      </c>
    </row>
    <row r="565" spans="1:71" x14ac:dyDescent="0.25">
      <c r="A565" s="7">
        <v>1.5459796707758806</v>
      </c>
      <c r="B565"/>
      <c r="C565"/>
      <c r="D565"/>
      <c r="E565"/>
      <c r="M565" s="27" t="s">
        <v>8</v>
      </c>
      <c r="N565" s="27" t="s">
        <v>7</v>
      </c>
      <c r="O565" s="27" t="s">
        <v>8</v>
      </c>
      <c r="P565" s="27" t="s">
        <v>7</v>
      </c>
      <c r="Q565" s="27" t="s">
        <v>8</v>
      </c>
      <c r="R565" s="27" t="s">
        <v>7</v>
      </c>
      <c r="S565" s="27" t="s">
        <v>8</v>
      </c>
      <c r="X565" s="27" t="s">
        <v>7</v>
      </c>
      <c r="AA565" s="27" t="s">
        <v>8</v>
      </c>
      <c r="AB565" s="27" t="s">
        <v>7</v>
      </c>
      <c r="BI565" s="27" t="s">
        <v>8</v>
      </c>
      <c r="BJ565" s="27" t="s">
        <v>7</v>
      </c>
    </row>
    <row r="566" spans="1:71" x14ac:dyDescent="0.25">
      <c r="A566" s="7">
        <v>1.5156663438979221</v>
      </c>
      <c r="B566"/>
      <c r="C566"/>
      <c r="D566"/>
      <c r="E566"/>
      <c r="M566" s="27" t="s">
        <v>8</v>
      </c>
      <c r="N566" s="27" t="s">
        <v>7</v>
      </c>
      <c r="O566" s="27" t="s">
        <v>8</v>
      </c>
      <c r="P566" s="27" t="s">
        <v>7</v>
      </c>
      <c r="R566" s="27" t="s">
        <v>7</v>
      </c>
      <c r="S566" s="27" t="s">
        <v>8</v>
      </c>
      <c r="X566" s="27" t="s">
        <v>7</v>
      </c>
      <c r="AA566" s="27" t="s">
        <v>8</v>
      </c>
      <c r="AB566" s="27" t="s">
        <v>7</v>
      </c>
      <c r="AW566" s="27" t="s">
        <v>8</v>
      </c>
      <c r="BI566" s="27" t="s">
        <v>8</v>
      </c>
      <c r="BJ566" s="27" t="s">
        <v>7</v>
      </c>
    </row>
    <row r="567" spans="1:71" x14ac:dyDescent="0.25">
      <c r="A567" s="7">
        <v>1.4859473959783549</v>
      </c>
      <c r="B567"/>
      <c r="C567"/>
      <c r="D567"/>
      <c r="E567"/>
      <c r="M567" s="27" t="s">
        <v>8</v>
      </c>
      <c r="N567" s="27" t="s">
        <v>7</v>
      </c>
      <c r="O567" s="27" t="s">
        <v>8</v>
      </c>
      <c r="R567" s="27" t="s">
        <v>7</v>
      </c>
      <c r="S567" s="27" t="s">
        <v>8</v>
      </c>
      <c r="X567" s="27" t="s">
        <v>7</v>
      </c>
      <c r="Y567" s="27" t="s">
        <v>8</v>
      </c>
      <c r="AA567" s="27" t="s">
        <v>8</v>
      </c>
      <c r="AB567" s="27" t="s">
        <v>7</v>
      </c>
      <c r="AC567" s="27" t="s">
        <v>8</v>
      </c>
      <c r="AW567" s="27" t="s">
        <v>8</v>
      </c>
      <c r="AX567" s="27" t="s">
        <v>7</v>
      </c>
      <c r="BI567" s="27" t="s">
        <v>8</v>
      </c>
      <c r="BJ567" s="27" t="s">
        <v>7</v>
      </c>
    </row>
    <row r="568" spans="1:71" x14ac:dyDescent="0.25">
      <c r="A568" s="7">
        <v>1.4568111725277988</v>
      </c>
      <c r="B568"/>
      <c r="C568"/>
      <c r="D568"/>
      <c r="E568"/>
      <c r="M568" s="27" t="s">
        <v>8</v>
      </c>
      <c r="N568" s="27" t="s">
        <v>7</v>
      </c>
      <c r="O568" s="27" t="s">
        <v>8</v>
      </c>
      <c r="R568" s="27" t="s">
        <v>7</v>
      </c>
      <c r="S568" s="27" t="s">
        <v>8</v>
      </c>
      <c r="X568" s="27" t="s">
        <v>7</v>
      </c>
      <c r="Y568" s="27" t="s">
        <v>8</v>
      </c>
      <c r="Z568" s="27" t="s">
        <v>7</v>
      </c>
      <c r="AA568" s="27" t="s">
        <v>8</v>
      </c>
      <c r="AB568" s="27" t="s">
        <v>7</v>
      </c>
      <c r="AC568" s="27" t="s">
        <v>8</v>
      </c>
      <c r="AD568" s="27" t="s">
        <v>7</v>
      </c>
      <c r="AW568" s="27" t="s">
        <v>8</v>
      </c>
      <c r="AX568" s="27" t="s">
        <v>7</v>
      </c>
      <c r="BG568" s="27" t="s">
        <v>8</v>
      </c>
      <c r="BI568" s="27" t="s">
        <v>8</v>
      </c>
      <c r="BJ568" s="27" t="s">
        <v>7</v>
      </c>
    </row>
    <row r="569" spans="1:71" x14ac:dyDescent="0.25">
      <c r="A569" s="7">
        <v>1.4282462475762734</v>
      </c>
      <c r="B569"/>
      <c r="C569"/>
      <c r="D569"/>
      <c r="E569"/>
      <c r="K569" s="18" t="s">
        <v>8</v>
      </c>
      <c r="M569" s="27" t="s">
        <v>8</v>
      </c>
      <c r="N569" s="27" t="s">
        <v>7</v>
      </c>
      <c r="R569" s="27" t="s">
        <v>7</v>
      </c>
      <c r="S569" s="27" t="s">
        <v>8</v>
      </c>
      <c r="X569" s="27" t="s">
        <v>7</v>
      </c>
      <c r="Y569" s="27" t="s">
        <v>8</v>
      </c>
      <c r="Z569" s="27" t="s">
        <v>7</v>
      </c>
      <c r="AA569" s="27" t="s">
        <v>8</v>
      </c>
      <c r="AB569" s="27" t="s">
        <v>7</v>
      </c>
      <c r="AC569" s="27" t="s">
        <v>8</v>
      </c>
      <c r="AD569" s="27" t="s">
        <v>7</v>
      </c>
      <c r="AW569" s="27" t="s">
        <v>8</v>
      </c>
      <c r="AX569" s="27" t="s">
        <v>7</v>
      </c>
      <c r="BG569" s="27" t="s">
        <v>8</v>
      </c>
      <c r="BH569" s="27" t="s">
        <v>7</v>
      </c>
      <c r="BI569" s="27" t="s">
        <v>8</v>
      </c>
      <c r="BJ569" s="27" t="s">
        <v>7</v>
      </c>
      <c r="BK569" s="27" t="s">
        <v>8</v>
      </c>
    </row>
    <row r="570" spans="1:71" x14ac:dyDescent="0.25">
      <c r="A570" s="7">
        <v>1.4002414191924248</v>
      </c>
      <c r="B570"/>
      <c r="C570"/>
      <c r="D570"/>
      <c r="E570"/>
      <c r="K570" s="27" t="s">
        <v>8</v>
      </c>
      <c r="L570" s="27" t="s">
        <v>7</v>
      </c>
      <c r="M570" s="27" t="s">
        <v>8</v>
      </c>
      <c r="R570" s="27" t="s">
        <v>7</v>
      </c>
      <c r="S570" s="27" t="s">
        <v>8</v>
      </c>
      <c r="X570" s="27" t="s">
        <v>7</v>
      </c>
      <c r="Y570" s="27" t="s">
        <v>8</v>
      </c>
      <c r="Z570" s="27" t="s">
        <v>7</v>
      </c>
      <c r="AA570" s="27" t="s">
        <v>8</v>
      </c>
      <c r="AB570" s="27" t="s">
        <v>7</v>
      </c>
      <c r="AC570" s="27" t="s">
        <v>8</v>
      </c>
      <c r="AD570" s="27" t="s">
        <v>7</v>
      </c>
      <c r="AW570" s="27" t="s">
        <v>8</v>
      </c>
      <c r="AX570" s="27" t="s">
        <v>7</v>
      </c>
      <c r="BG570" s="27" t="s">
        <v>8</v>
      </c>
      <c r="BH570" s="27" t="s">
        <v>7</v>
      </c>
      <c r="BI570" s="27" t="s">
        <v>8</v>
      </c>
      <c r="BJ570" s="27" t="s">
        <v>7</v>
      </c>
      <c r="BK570" s="27" t="s">
        <v>8</v>
      </c>
      <c r="BL570" s="27" t="s">
        <v>7</v>
      </c>
    </row>
    <row r="571" spans="1:71" x14ac:dyDescent="0.25">
      <c r="A571" s="7">
        <v>1.3727857050906125</v>
      </c>
      <c r="B571"/>
      <c r="C571"/>
      <c r="D571"/>
      <c r="E571"/>
      <c r="K571" s="27" t="s">
        <v>8</v>
      </c>
      <c r="L571" s="27" t="s">
        <v>7</v>
      </c>
      <c r="M571" s="27" t="s">
        <v>8</v>
      </c>
      <c r="R571" s="27" t="s">
        <v>7</v>
      </c>
      <c r="S571" s="27" t="s">
        <v>8</v>
      </c>
      <c r="X571" s="27" t="s">
        <v>7</v>
      </c>
      <c r="Y571" s="27" t="s">
        <v>8</v>
      </c>
      <c r="Z571" s="27" t="s">
        <v>7</v>
      </c>
      <c r="AA571" s="27" t="s">
        <v>8</v>
      </c>
      <c r="AB571" s="27" t="s">
        <v>7</v>
      </c>
      <c r="AC571" s="27" t="s">
        <v>8</v>
      </c>
      <c r="AD571" s="27" t="s">
        <v>7</v>
      </c>
      <c r="AE571" s="27" t="s">
        <v>8</v>
      </c>
      <c r="AW571" s="27" t="s">
        <v>8</v>
      </c>
      <c r="AX571" s="27" t="s">
        <v>7</v>
      </c>
      <c r="BG571" s="27" t="s">
        <v>8</v>
      </c>
      <c r="BH571" s="27" t="s">
        <v>7</v>
      </c>
      <c r="BI571" s="27" t="s">
        <v>8</v>
      </c>
      <c r="BJ571" s="27" t="s">
        <v>7</v>
      </c>
      <c r="BK571" s="27" t="s">
        <v>8</v>
      </c>
      <c r="BL571" s="27" t="s">
        <v>7</v>
      </c>
    </row>
    <row r="572" spans="1:71" x14ac:dyDescent="0.25">
      <c r="A572" s="7">
        <v>1.3458683383241299</v>
      </c>
      <c r="B572"/>
      <c r="C572"/>
      <c r="D572"/>
      <c r="E572"/>
      <c r="K572" s="27" t="s">
        <v>8</v>
      </c>
      <c r="L572" s="27" t="s">
        <v>7</v>
      </c>
      <c r="M572" s="27" t="s">
        <v>8</v>
      </c>
      <c r="R572" s="27" t="s">
        <v>7</v>
      </c>
      <c r="X572" s="27" t="s">
        <v>7</v>
      </c>
      <c r="Y572" s="27" t="s">
        <v>8</v>
      </c>
      <c r="Z572" s="27" t="s">
        <v>7</v>
      </c>
      <c r="AA572" s="27" t="s">
        <v>8</v>
      </c>
      <c r="AB572" s="27" t="s">
        <v>7</v>
      </c>
      <c r="AC572" s="27" t="s">
        <v>8</v>
      </c>
      <c r="AD572" s="27" t="s">
        <v>7</v>
      </c>
      <c r="AE572" s="27" t="s">
        <v>8</v>
      </c>
      <c r="AF572" s="27" t="s">
        <v>7</v>
      </c>
      <c r="AS572" s="27" t="s">
        <v>8</v>
      </c>
      <c r="AW572" s="27" t="s">
        <v>8</v>
      </c>
      <c r="AX572" s="27" t="s">
        <v>7</v>
      </c>
      <c r="AY572" s="27" t="s">
        <v>8</v>
      </c>
      <c r="BG572" s="27" t="s">
        <v>8</v>
      </c>
      <c r="BH572" s="27" t="s">
        <v>7</v>
      </c>
      <c r="BI572" s="27" t="s">
        <v>8</v>
      </c>
      <c r="BJ572" s="27" t="s">
        <v>7</v>
      </c>
      <c r="BK572" s="27" t="s">
        <v>8</v>
      </c>
      <c r="BL572" s="27" t="s">
        <v>7</v>
      </c>
      <c r="BM572" s="27" t="s">
        <v>8</v>
      </c>
    </row>
    <row r="573" spans="1:71" x14ac:dyDescent="0.25">
      <c r="A573" s="7">
        <v>1.3194787630628724</v>
      </c>
      <c r="B573"/>
      <c r="C573"/>
      <c r="D573"/>
      <c r="E573"/>
      <c r="K573" s="27" t="s">
        <v>8</v>
      </c>
      <c r="L573" s="27" t="s">
        <v>7</v>
      </c>
      <c r="M573" s="27" t="s">
        <v>8</v>
      </c>
      <c r="X573" s="27" t="s">
        <v>7</v>
      </c>
      <c r="Y573" s="27" t="s">
        <v>8</v>
      </c>
      <c r="Z573" s="27" t="s">
        <v>7</v>
      </c>
      <c r="AA573" s="27" t="s">
        <v>8</v>
      </c>
      <c r="AB573" s="27" t="s">
        <v>7</v>
      </c>
      <c r="AC573" s="27" t="s">
        <v>8</v>
      </c>
      <c r="AD573" s="27" t="s">
        <v>7</v>
      </c>
      <c r="AE573" s="27" t="s">
        <v>8</v>
      </c>
      <c r="AF573" s="27" t="s">
        <v>7</v>
      </c>
      <c r="AS573" s="27" t="s">
        <v>8</v>
      </c>
      <c r="AT573" s="27" t="s">
        <v>7</v>
      </c>
      <c r="AW573" s="27" t="s">
        <v>8</v>
      </c>
      <c r="AX573" s="27" t="s">
        <v>7</v>
      </c>
      <c r="AY573" s="27" t="s">
        <v>8</v>
      </c>
      <c r="AZ573" s="27" t="s">
        <v>7</v>
      </c>
      <c r="BG573" s="27" t="s">
        <v>8</v>
      </c>
      <c r="BH573" s="27" t="s">
        <v>7</v>
      </c>
      <c r="BI573" s="27" t="s">
        <v>8</v>
      </c>
      <c r="BJ573" s="27" t="s">
        <v>7</v>
      </c>
      <c r="BK573" s="27" t="s">
        <v>8</v>
      </c>
      <c r="BL573" s="27" t="s">
        <v>7</v>
      </c>
      <c r="BM573" s="27" t="s">
        <v>8</v>
      </c>
      <c r="BN573" s="27" t="s">
        <v>7</v>
      </c>
    </row>
    <row r="574" spans="1:71" x14ac:dyDescent="0.25">
      <c r="A574" s="7">
        <v>1.2936066304537963</v>
      </c>
      <c r="B574"/>
      <c r="C574"/>
      <c r="D574"/>
      <c r="E574"/>
      <c r="K574" s="27" t="s">
        <v>8</v>
      </c>
      <c r="L574" s="27" t="s">
        <v>7</v>
      </c>
      <c r="M574" s="27" t="s">
        <v>8</v>
      </c>
      <c r="X574" s="27" t="s">
        <v>7</v>
      </c>
      <c r="Y574" s="27" t="s">
        <v>8</v>
      </c>
      <c r="Z574" s="27" t="s">
        <v>7</v>
      </c>
      <c r="AA574" s="27" t="s">
        <v>8</v>
      </c>
      <c r="AB574" s="27" t="s">
        <v>7</v>
      </c>
      <c r="AD574" s="27" t="s">
        <v>7</v>
      </c>
      <c r="AE574" s="27" t="s">
        <v>8</v>
      </c>
      <c r="AF574" s="27" t="s">
        <v>7</v>
      </c>
      <c r="AS574" s="27" t="s">
        <v>8</v>
      </c>
      <c r="AT574" s="27" t="s">
        <v>7</v>
      </c>
      <c r="AW574" s="27" t="s">
        <v>8</v>
      </c>
      <c r="AX574" s="27" t="s">
        <v>7</v>
      </c>
      <c r="AY574" s="27" t="s">
        <v>8</v>
      </c>
      <c r="AZ574" s="27" t="s">
        <v>7</v>
      </c>
      <c r="BA574" s="27" t="s">
        <v>8</v>
      </c>
      <c r="BG574" s="27" t="s">
        <v>8</v>
      </c>
      <c r="BH574" s="27" t="s">
        <v>7</v>
      </c>
      <c r="BI574" s="27" t="s">
        <v>8</v>
      </c>
      <c r="BJ574" s="27" t="s">
        <v>7</v>
      </c>
      <c r="BL574" s="27" t="s">
        <v>7</v>
      </c>
      <c r="BM574" s="27" t="s">
        <v>8</v>
      </c>
      <c r="BN574" s="27" t="s">
        <v>7</v>
      </c>
    </row>
    <row r="575" spans="1:71" x14ac:dyDescent="0.25">
      <c r="A575" s="7">
        <v>1.2682417945625455</v>
      </c>
      <c r="B575"/>
      <c r="C575"/>
      <c r="D575"/>
      <c r="E575" t="s">
        <v>8</v>
      </c>
      <c r="K575" s="27" t="s">
        <v>8</v>
      </c>
      <c r="L575" s="27" t="s">
        <v>7</v>
      </c>
      <c r="M575" s="27" t="s">
        <v>8</v>
      </c>
      <c r="X575" s="27" t="s">
        <v>7</v>
      </c>
      <c r="Y575" s="27" t="s">
        <v>8</v>
      </c>
      <c r="Z575" s="27" t="s">
        <v>7</v>
      </c>
      <c r="AA575" s="27" t="s">
        <v>8</v>
      </c>
      <c r="AD575" s="27" t="s">
        <v>7</v>
      </c>
      <c r="AF575" s="27" t="s">
        <v>7</v>
      </c>
      <c r="AG575" s="27" t="s">
        <v>8</v>
      </c>
      <c r="AQ575" s="27" t="s">
        <v>8</v>
      </c>
      <c r="AS575" s="27" t="s">
        <v>8</v>
      </c>
      <c r="AT575" s="27" t="s">
        <v>7</v>
      </c>
      <c r="AW575" s="27" t="s">
        <v>8</v>
      </c>
      <c r="AX575" s="27" t="s">
        <v>7</v>
      </c>
      <c r="AZ575" s="27" t="s">
        <v>7</v>
      </c>
      <c r="BA575" s="27" t="s">
        <v>8</v>
      </c>
      <c r="BB575" s="27" t="s">
        <v>7</v>
      </c>
      <c r="BC575" s="27" t="s">
        <v>8</v>
      </c>
      <c r="BG575" s="27" t="s">
        <v>8</v>
      </c>
      <c r="BH575" s="27" t="s">
        <v>7</v>
      </c>
      <c r="BL575" s="27" t="s">
        <v>7</v>
      </c>
      <c r="BM575" s="27" t="s">
        <v>8</v>
      </c>
      <c r="BN575" s="27" t="s">
        <v>7</v>
      </c>
      <c r="BQ575" s="27" t="s">
        <v>8</v>
      </c>
    </row>
    <row r="576" spans="1:71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K576" s="27" t="s">
        <v>8</v>
      </c>
      <c r="L576" s="27" t="s">
        <v>7</v>
      </c>
      <c r="M576" s="27" t="s">
        <v>8</v>
      </c>
      <c r="X576" s="27" t="s">
        <v>7</v>
      </c>
      <c r="Y576" s="27" t="s">
        <v>8</v>
      </c>
      <c r="Z576" s="27" t="s">
        <v>7</v>
      </c>
      <c r="AF576" s="27" t="s">
        <v>7</v>
      </c>
      <c r="AG576" s="27" t="s">
        <v>8</v>
      </c>
      <c r="AH576" s="27" t="s">
        <v>7</v>
      </c>
      <c r="AM576" s="27" t="s">
        <v>8</v>
      </c>
      <c r="AQ576" s="27" t="s">
        <v>8</v>
      </c>
      <c r="AR576" s="27" t="s">
        <v>7</v>
      </c>
      <c r="AS576" s="27" t="s">
        <v>8</v>
      </c>
      <c r="AT576" s="27" t="s">
        <v>7</v>
      </c>
      <c r="AU576" s="27" t="s">
        <v>8</v>
      </c>
      <c r="AW576" s="27" t="s">
        <v>8</v>
      </c>
      <c r="AZ576" s="27" t="s">
        <v>7</v>
      </c>
      <c r="BA576" s="27" t="s">
        <v>8</v>
      </c>
      <c r="BB576" s="27" t="s">
        <v>7</v>
      </c>
      <c r="BC576" s="27" t="s">
        <v>8</v>
      </c>
      <c r="BD576" s="27" t="s">
        <v>7</v>
      </c>
      <c r="BG576" s="27" t="s">
        <v>8</v>
      </c>
      <c r="BL576" s="27" t="s">
        <v>7</v>
      </c>
      <c r="BM576" s="27" t="s">
        <v>8</v>
      </c>
      <c r="BN576" s="27" t="s">
        <v>7</v>
      </c>
      <c r="BQ576" s="27" t="s">
        <v>8</v>
      </c>
      <c r="BR576" s="27" t="s">
        <v>7</v>
      </c>
      <c r="BS576" s="27" t="s">
        <v>8</v>
      </c>
    </row>
    <row r="577" spans="1:80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G577" s="27" t="s">
        <v>8</v>
      </c>
      <c r="K577" s="27" t="s">
        <v>8</v>
      </c>
      <c r="L577" s="27" t="s">
        <v>7</v>
      </c>
      <c r="M577" s="27" t="s">
        <v>8</v>
      </c>
      <c r="X577" s="27" t="s">
        <v>7</v>
      </c>
      <c r="Y577" s="27" t="s">
        <v>8</v>
      </c>
      <c r="AF577" s="27" t="s">
        <v>7</v>
      </c>
      <c r="AG577" s="27" t="s">
        <v>8</v>
      </c>
      <c r="AH577" s="27" t="s">
        <v>7</v>
      </c>
      <c r="AM577" s="27" t="s">
        <v>8</v>
      </c>
      <c r="AN577" s="27" t="s">
        <v>7</v>
      </c>
      <c r="AQ577" s="27" t="s">
        <v>8</v>
      </c>
      <c r="AR577" s="27" t="s">
        <v>7</v>
      </c>
      <c r="AS577" s="27" t="s">
        <v>8</v>
      </c>
      <c r="AT577" s="27" t="s">
        <v>7</v>
      </c>
      <c r="AU577" s="27" t="s">
        <v>8</v>
      </c>
      <c r="AV577" s="27" t="s">
        <v>7</v>
      </c>
      <c r="AW577" s="27" t="s">
        <v>8</v>
      </c>
      <c r="AZ577" s="27" t="s">
        <v>7</v>
      </c>
      <c r="BB577" s="27" t="s">
        <v>7</v>
      </c>
      <c r="BC577" s="27" t="s">
        <v>8</v>
      </c>
      <c r="BD577" s="27" t="s">
        <v>7</v>
      </c>
      <c r="BG577" s="27" t="s">
        <v>8</v>
      </c>
      <c r="BL577" s="27" t="s">
        <v>7</v>
      </c>
      <c r="BM577" s="27" t="s">
        <v>8</v>
      </c>
      <c r="BN577" s="27" t="s">
        <v>7</v>
      </c>
      <c r="BQ577" s="27" t="s">
        <v>8</v>
      </c>
      <c r="BR577" s="27" t="s">
        <v>7</v>
      </c>
      <c r="BS577" s="27" t="s">
        <v>8</v>
      </c>
      <c r="BT577" s="27" t="s">
        <v>7</v>
      </c>
    </row>
    <row r="578" spans="1:80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G578" s="27" t="s">
        <v>8</v>
      </c>
      <c r="H578" s="27" t="s">
        <v>7</v>
      </c>
      <c r="K578" s="27" t="s">
        <v>8</v>
      </c>
      <c r="L578" s="27" t="s">
        <v>7</v>
      </c>
      <c r="X578" s="27" t="s">
        <v>7</v>
      </c>
      <c r="Y578" s="27" t="s">
        <v>8</v>
      </c>
      <c r="AF578" s="27" t="s">
        <v>7</v>
      </c>
      <c r="AG578" s="27" t="s">
        <v>8</v>
      </c>
      <c r="AH578" s="27" t="s">
        <v>7</v>
      </c>
      <c r="AM578" s="27" t="s">
        <v>8</v>
      </c>
      <c r="AN578" s="27" t="s">
        <v>7</v>
      </c>
      <c r="AQ578" s="27" t="s">
        <v>8</v>
      </c>
      <c r="AR578" s="27" t="s">
        <v>7</v>
      </c>
      <c r="AS578" s="27" t="s">
        <v>8</v>
      </c>
      <c r="AT578" s="27" t="s">
        <v>7</v>
      </c>
      <c r="AU578" s="27" t="s">
        <v>8</v>
      </c>
      <c r="AV578" s="27" t="s">
        <v>7</v>
      </c>
      <c r="AW578" s="27" t="s">
        <v>8</v>
      </c>
      <c r="BB578" s="27" t="s">
        <v>7</v>
      </c>
      <c r="BC578" s="27" t="s">
        <v>8</v>
      </c>
      <c r="BD578" s="27" t="s">
        <v>7</v>
      </c>
      <c r="BG578" s="27" t="s">
        <v>8</v>
      </c>
      <c r="BL578" s="27" t="s">
        <v>7</v>
      </c>
      <c r="BM578" s="27" t="s">
        <v>8</v>
      </c>
      <c r="BN578" s="27" t="s">
        <v>7</v>
      </c>
      <c r="BO578" s="27" t="s">
        <v>8</v>
      </c>
      <c r="BQ578" s="27" t="s">
        <v>8</v>
      </c>
      <c r="BR578" s="27" t="s">
        <v>7</v>
      </c>
      <c r="BS578" s="27" t="s">
        <v>8</v>
      </c>
      <c r="BT578" s="27" t="s">
        <v>7</v>
      </c>
    </row>
    <row r="579" spans="1:80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G579" s="27" t="s">
        <v>8</v>
      </c>
      <c r="H579" s="27" t="s">
        <v>7</v>
      </c>
      <c r="K579" s="27" t="s">
        <v>8</v>
      </c>
      <c r="X579" s="27" t="s">
        <v>7</v>
      </c>
      <c r="Y579" s="27" t="s">
        <v>8</v>
      </c>
      <c r="AF579" s="27" t="s">
        <v>7</v>
      </c>
      <c r="AG579" s="27" t="s">
        <v>8</v>
      </c>
      <c r="AH579" s="27" t="s">
        <v>7</v>
      </c>
      <c r="AI579" s="27" t="s">
        <v>8</v>
      </c>
      <c r="AM579" s="27" t="s">
        <v>8</v>
      </c>
      <c r="AN579" s="27" t="s">
        <v>7</v>
      </c>
      <c r="AO579" s="27" t="s">
        <v>8</v>
      </c>
      <c r="AQ579" s="27" t="s">
        <v>8</v>
      </c>
      <c r="AR579" s="27" t="s">
        <v>7</v>
      </c>
      <c r="AT579" s="27" t="s">
        <v>7</v>
      </c>
      <c r="AU579" s="27" t="s">
        <v>8</v>
      </c>
      <c r="AV579" s="27" t="s">
        <v>7</v>
      </c>
      <c r="BB579" s="27" t="s">
        <v>7</v>
      </c>
      <c r="BD579" s="27" t="s">
        <v>7</v>
      </c>
      <c r="BE579" s="27" t="s">
        <v>8</v>
      </c>
      <c r="BG579" s="27" t="s">
        <v>8</v>
      </c>
      <c r="BL579" s="27" t="s">
        <v>7</v>
      </c>
      <c r="BN579" s="27" t="s">
        <v>7</v>
      </c>
      <c r="BO579" s="27" t="s">
        <v>8</v>
      </c>
      <c r="BP579" s="27" t="s">
        <v>7</v>
      </c>
      <c r="BQ579" s="27" t="s">
        <v>8</v>
      </c>
      <c r="BR579" s="27" t="s">
        <v>7</v>
      </c>
      <c r="BS579" s="27" t="s">
        <v>8</v>
      </c>
      <c r="BT579" s="27" t="s">
        <v>7</v>
      </c>
    </row>
    <row r="580" spans="1:80" x14ac:dyDescent="0.25">
      <c r="A580" s="7">
        <v>1.14868566764928</v>
      </c>
      <c r="B580"/>
      <c r="C580"/>
      <c r="D580"/>
      <c r="E580" t="s">
        <v>8</v>
      </c>
      <c r="F580" s="27" t="s">
        <v>7</v>
      </c>
      <c r="G580" s="27" t="s">
        <v>8</v>
      </c>
      <c r="H580" s="27" t="s">
        <v>7</v>
      </c>
      <c r="K580" s="27" t="s">
        <v>8</v>
      </c>
      <c r="X580" s="27" t="s">
        <v>7</v>
      </c>
      <c r="Y580" s="27" t="s">
        <v>8</v>
      </c>
      <c r="AF580" s="27" t="s">
        <v>7</v>
      </c>
      <c r="AG580" s="27" t="s">
        <v>8</v>
      </c>
      <c r="AH580" s="27" t="s">
        <v>7</v>
      </c>
      <c r="AI580" s="27" t="s">
        <v>8</v>
      </c>
      <c r="AJ580" s="27" t="s">
        <v>7</v>
      </c>
      <c r="AM580" s="27" t="s">
        <v>8</v>
      </c>
      <c r="AN580" s="27" t="s">
        <v>7</v>
      </c>
      <c r="AO580" s="27" t="s">
        <v>8</v>
      </c>
      <c r="AP580" s="27" t="s">
        <v>7</v>
      </c>
      <c r="AQ580" s="27" t="s">
        <v>8</v>
      </c>
      <c r="AT580" s="27" t="s">
        <v>7</v>
      </c>
      <c r="AU580" s="27" t="s">
        <v>8</v>
      </c>
      <c r="BD580" s="27" t="s">
        <v>7</v>
      </c>
      <c r="BE580" s="27" t="s">
        <v>8</v>
      </c>
      <c r="BF580" s="27" t="s">
        <v>7</v>
      </c>
      <c r="BG580" s="27" t="s">
        <v>8</v>
      </c>
      <c r="BN580" s="27" t="s">
        <v>7</v>
      </c>
      <c r="BO580" s="27" t="s">
        <v>8</v>
      </c>
      <c r="BP580" s="27" t="s">
        <v>7</v>
      </c>
      <c r="BQ580" s="27" t="s">
        <v>8</v>
      </c>
      <c r="BR580" s="27" t="s">
        <v>7</v>
      </c>
      <c r="BS580" s="27" t="s">
        <v>8</v>
      </c>
      <c r="BT580" s="27" t="s">
        <v>7</v>
      </c>
    </row>
    <row r="581" spans="1:80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H581" s="27" t="s">
        <v>7</v>
      </c>
      <c r="K581" s="27" t="s">
        <v>8</v>
      </c>
      <c r="X581" s="27" t="s">
        <v>7</v>
      </c>
      <c r="Y581" s="27" t="s">
        <v>8</v>
      </c>
      <c r="AF581" s="27" t="s">
        <v>7</v>
      </c>
      <c r="AH581" s="27" t="s">
        <v>7</v>
      </c>
      <c r="AI581" s="27" t="s">
        <v>8</v>
      </c>
      <c r="AJ581" s="27" t="s">
        <v>7</v>
      </c>
      <c r="AK581" s="27" t="s">
        <v>8</v>
      </c>
      <c r="AM581" s="27" t="s">
        <v>8</v>
      </c>
      <c r="AN581" s="27" t="s">
        <v>7</v>
      </c>
      <c r="AO581" s="27" t="s">
        <v>8</v>
      </c>
      <c r="AP581" s="27" t="s">
        <v>7</v>
      </c>
      <c r="AQ581" s="27" t="s">
        <v>8</v>
      </c>
      <c r="AT581" s="27" t="s">
        <v>7</v>
      </c>
      <c r="AU581" s="27" t="s">
        <v>8</v>
      </c>
      <c r="BD581" s="27" t="s">
        <v>7</v>
      </c>
      <c r="BE581" s="27" t="s">
        <v>8</v>
      </c>
      <c r="BF581" s="27" t="s">
        <v>7</v>
      </c>
      <c r="BG581" s="27" t="s">
        <v>8</v>
      </c>
      <c r="BN581" s="27" t="s">
        <v>7</v>
      </c>
      <c r="BO581" s="27" t="s">
        <v>8</v>
      </c>
      <c r="BP581" s="27" t="s">
        <v>7</v>
      </c>
      <c r="BQ581" s="27" t="s">
        <v>8</v>
      </c>
      <c r="BR581" s="27" t="s">
        <v>7</v>
      </c>
      <c r="BS581" s="27" t="s">
        <v>8</v>
      </c>
      <c r="BT581" s="27" t="s">
        <v>7</v>
      </c>
      <c r="BY581" s="27" t="s">
        <v>8</v>
      </c>
    </row>
    <row r="582" spans="1:80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H582" s="27" t="s">
        <v>7</v>
      </c>
      <c r="K582" s="27" t="s">
        <v>8</v>
      </c>
      <c r="X582" s="27" t="s">
        <v>7</v>
      </c>
      <c r="AH582" s="27" t="s">
        <v>7</v>
      </c>
      <c r="AI582" s="27" t="s">
        <v>8</v>
      </c>
      <c r="AJ582" s="27" t="s">
        <v>7</v>
      </c>
      <c r="AK582" s="27" t="s">
        <v>8</v>
      </c>
      <c r="AL582" s="27" t="s">
        <v>7</v>
      </c>
      <c r="AM582" s="27" t="s">
        <v>8</v>
      </c>
      <c r="AN582" s="27" t="s">
        <v>7</v>
      </c>
      <c r="AP582" s="27" t="s">
        <v>7</v>
      </c>
      <c r="AQ582" s="27" t="s">
        <v>8</v>
      </c>
      <c r="AT582" s="27" t="s">
        <v>7</v>
      </c>
      <c r="AU582" s="27" t="s">
        <v>8</v>
      </c>
      <c r="BD582" s="27" t="s">
        <v>7</v>
      </c>
      <c r="BE582" s="27" t="s">
        <v>8</v>
      </c>
      <c r="BF582" s="27" t="s">
        <v>7</v>
      </c>
      <c r="BN582" s="27" t="s">
        <v>7</v>
      </c>
      <c r="BP582" s="27" t="s">
        <v>7</v>
      </c>
      <c r="BQ582" s="27" t="s">
        <v>8</v>
      </c>
      <c r="BR582" s="27" t="s">
        <v>7</v>
      </c>
      <c r="BS582" s="27" t="s">
        <v>8</v>
      </c>
      <c r="BT582" s="27" t="s">
        <v>7</v>
      </c>
      <c r="BY582" s="27" t="s">
        <v>8</v>
      </c>
      <c r="BZ582" s="27" t="s">
        <v>7</v>
      </c>
    </row>
    <row r="583" spans="1:80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H583" s="27" t="s">
        <v>7</v>
      </c>
      <c r="I583" s="27" t="s">
        <v>8</v>
      </c>
      <c r="K583" s="27" t="s">
        <v>8</v>
      </c>
      <c r="AH583" s="27" t="s">
        <v>7</v>
      </c>
      <c r="AI583" s="27" t="s">
        <v>8</v>
      </c>
      <c r="AJ583" s="27" t="s">
        <v>7</v>
      </c>
      <c r="AK583" s="27" t="s">
        <v>8</v>
      </c>
      <c r="AL583" s="27" t="s">
        <v>7</v>
      </c>
      <c r="AM583" s="27" t="s">
        <v>8</v>
      </c>
      <c r="AP583" s="27" t="s">
        <v>7</v>
      </c>
      <c r="AQ583" s="27" t="s">
        <v>8</v>
      </c>
      <c r="AT583" s="27" t="s">
        <v>7</v>
      </c>
      <c r="BD583" s="27" t="s">
        <v>7</v>
      </c>
      <c r="BE583" s="27" t="s">
        <v>8</v>
      </c>
      <c r="BP583" s="27" t="s">
        <v>7</v>
      </c>
      <c r="BQ583" s="27" t="s">
        <v>8</v>
      </c>
      <c r="BR583" s="27" t="s">
        <v>7</v>
      </c>
      <c r="BS583" s="27" t="s">
        <v>8</v>
      </c>
      <c r="BT583" s="27" t="s">
        <v>7</v>
      </c>
      <c r="BY583" s="27" t="s">
        <v>8</v>
      </c>
      <c r="BZ583" s="27" t="s">
        <v>7</v>
      </c>
    </row>
    <row r="584" spans="1:80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H584" s="27" t="s">
        <v>7</v>
      </c>
      <c r="I584" s="27" t="s">
        <v>8</v>
      </c>
      <c r="J584" s="27" t="s">
        <v>7</v>
      </c>
      <c r="K584" s="27" t="s">
        <v>8</v>
      </c>
      <c r="AH584" s="27" t="s">
        <v>7</v>
      </c>
      <c r="AJ584" s="27" t="s">
        <v>7</v>
      </c>
      <c r="AK584" s="27" t="s">
        <v>8</v>
      </c>
      <c r="AL584" s="27" t="s">
        <v>7</v>
      </c>
      <c r="AM584" s="27" t="s">
        <v>8</v>
      </c>
      <c r="AP584" s="27" t="s">
        <v>7</v>
      </c>
      <c r="AQ584" s="27" t="s">
        <v>8</v>
      </c>
      <c r="BD584" s="27" t="s">
        <v>7</v>
      </c>
      <c r="BP584" s="27" t="s">
        <v>7</v>
      </c>
      <c r="BR584" s="27" t="s">
        <v>7</v>
      </c>
      <c r="BS584" s="27" t="s">
        <v>8</v>
      </c>
      <c r="BT584" s="27" t="s">
        <v>7</v>
      </c>
      <c r="BY584" s="27" t="s">
        <v>8</v>
      </c>
      <c r="BZ584" s="27" t="s">
        <v>7</v>
      </c>
    </row>
    <row r="585" spans="1:80" x14ac:dyDescent="0.25">
      <c r="A585" s="7">
        <v>1.0404</v>
      </c>
      <c r="B585"/>
      <c r="C585"/>
      <c r="D585"/>
      <c r="E585" t="s">
        <v>8</v>
      </c>
      <c r="F585" s="27" t="s">
        <v>7</v>
      </c>
      <c r="G585" s="27" t="s">
        <v>8</v>
      </c>
      <c r="H585" s="27" t="s">
        <v>7</v>
      </c>
      <c r="I585" s="27" t="s">
        <v>8</v>
      </c>
      <c r="J585" s="27" t="s">
        <v>7</v>
      </c>
      <c r="K585" s="27" t="s">
        <v>8</v>
      </c>
      <c r="AJ585" s="27" t="s">
        <v>7</v>
      </c>
      <c r="AK585" s="27" t="s">
        <v>8</v>
      </c>
      <c r="AL585" s="27" t="s">
        <v>7</v>
      </c>
      <c r="AM585" s="27" t="s">
        <v>8</v>
      </c>
      <c r="AP585" s="27" t="s">
        <v>7</v>
      </c>
      <c r="BR585" s="27" t="s">
        <v>7</v>
      </c>
      <c r="BS585" s="27" t="s">
        <v>8</v>
      </c>
      <c r="BT585" s="27" t="s">
        <v>7</v>
      </c>
      <c r="BY585" s="27" t="s">
        <v>8</v>
      </c>
      <c r="BZ585" s="27" t="s">
        <v>7</v>
      </c>
    </row>
    <row r="586" spans="1:80" x14ac:dyDescent="0.25">
      <c r="A586" s="7">
        <v>1.02</v>
      </c>
      <c r="B586"/>
      <c r="C586"/>
      <c r="D586"/>
      <c r="E586" t="s">
        <v>8</v>
      </c>
      <c r="F586" s="27" t="s">
        <v>7</v>
      </c>
      <c r="G586" s="27" t="s">
        <v>8</v>
      </c>
      <c r="H586" s="27" t="s">
        <v>7</v>
      </c>
      <c r="J586" s="27" t="s">
        <v>7</v>
      </c>
      <c r="AJ586" s="27" t="s">
        <v>7</v>
      </c>
      <c r="AK586" s="27" t="s">
        <v>8</v>
      </c>
      <c r="AL586" s="27" t="s">
        <v>7</v>
      </c>
      <c r="AM586" s="27" t="s">
        <v>8</v>
      </c>
      <c r="BR586" s="27" t="s">
        <v>7</v>
      </c>
      <c r="BT586" s="27" t="s">
        <v>7</v>
      </c>
      <c r="BY586" s="27" t="s">
        <v>8</v>
      </c>
      <c r="BZ586" s="27" t="s">
        <v>7</v>
      </c>
    </row>
    <row r="587" spans="1:80" x14ac:dyDescent="0.25">
      <c r="A587" s="7">
        <v>1</v>
      </c>
      <c r="B587"/>
      <c r="C587"/>
      <c r="D587"/>
      <c r="E587" s="29" t="s">
        <v>8</v>
      </c>
      <c r="F587" s="27" t="s">
        <v>7</v>
      </c>
      <c r="G587" s="27" t="s">
        <v>8</v>
      </c>
      <c r="AJ587" s="27" t="s">
        <v>7</v>
      </c>
      <c r="AK587" s="27" t="s">
        <v>8</v>
      </c>
      <c r="AL587" s="27" t="s">
        <v>7</v>
      </c>
      <c r="AM587" s="27" t="s">
        <v>8</v>
      </c>
      <c r="BT587" s="27" t="s">
        <v>7</v>
      </c>
      <c r="BY587" s="27" t="s">
        <v>8</v>
      </c>
      <c r="BZ587" s="27" t="s">
        <v>7</v>
      </c>
    </row>
    <row r="588" spans="1:80" x14ac:dyDescent="0.25">
      <c r="A588" s="7">
        <v>0.98039215686274506</v>
      </c>
      <c r="B588"/>
      <c r="C588"/>
      <c r="D588"/>
      <c r="E588"/>
      <c r="F588" s="27" t="s">
        <v>7</v>
      </c>
      <c r="G588" s="27" t="s">
        <v>8</v>
      </c>
      <c r="AJ588" s="27" t="s">
        <v>7</v>
      </c>
      <c r="AK588" s="27" t="s">
        <v>8</v>
      </c>
      <c r="AL588" s="27" t="s">
        <v>7</v>
      </c>
      <c r="AM588" s="27" t="s">
        <v>8</v>
      </c>
      <c r="BT588" s="27" t="s">
        <v>7</v>
      </c>
      <c r="BY588" s="27" t="s">
        <v>8</v>
      </c>
      <c r="BZ588" s="27" t="s">
        <v>7</v>
      </c>
      <c r="CA588" s="27" t="s">
        <v>8</v>
      </c>
    </row>
    <row r="589" spans="1:80" x14ac:dyDescent="0.25">
      <c r="A589" s="7">
        <v>0.96116878123798544</v>
      </c>
      <c r="B589"/>
      <c r="C589"/>
      <c r="D589"/>
      <c r="E589"/>
      <c r="F589" s="27" t="s">
        <v>7</v>
      </c>
      <c r="AJ589" s="27" t="s">
        <v>7</v>
      </c>
      <c r="AL589" s="27" t="s">
        <v>7</v>
      </c>
      <c r="AM589" s="27" t="s">
        <v>8</v>
      </c>
      <c r="BT589" s="27" t="s">
        <v>7</v>
      </c>
      <c r="BY589" s="27" t="s">
        <v>8</v>
      </c>
      <c r="BZ589" s="27" t="s">
        <v>7</v>
      </c>
      <c r="CA589" s="27" t="s">
        <v>8</v>
      </c>
      <c r="CB589" s="27" t="s">
        <v>7</v>
      </c>
    </row>
    <row r="590" spans="1:80" x14ac:dyDescent="0.25">
      <c r="A590" s="7">
        <v>0.94232233454704462</v>
      </c>
      <c r="B590"/>
      <c r="C590"/>
      <c r="D590"/>
      <c r="E590"/>
      <c r="AL590" s="27" t="s">
        <v>7</v>
      </c>
      <c r="AM590" s="27" t="s">
        <v>8</v>
      </c>
      <c r="BT590" s="27" t="s">
        <v>7</v>
      </c>
      <c r="BY590" s="27" t="s">
        <v>8</v>
      </c>
      <c r="BZ590" s="27" t="s">
        <v>7</v>
      </c>
      <c r="CA590" s="27" t="s">
        <v>8</v>
      </c>
      <c r="CB590" s="27" t="s">
        <v>7</v>
      </c>
    </row>
    <row r="591" spans="1:80" x14ac:dyDescent="0.25">
      <c r="A591" s="7">
        <v>0.92384542602651432</v>
      </c>
      <c r="B591"/>
      <c r="C591"/>
      <c r="D591"/>
      <c r="E591"/>
      <c r="AL591" s="27" t="s">
        <v>7</v>
      </c>
      <c r="AM591" s="27" t="s">
        <v>8</v>
      </c>
      <c r="BT591" s="27" t="s">
        <v>7</v>
      </c>
      <c r="BY591" s="27" t="s">
        <v>8</v>
      </c>
      <c r="BZ591" s="27" t="s">
        <v>7</v>
      </c>
      <c r="CA591" s="27" t="s">
        <v>8</v>
      </c>
      <c r="CB591" s="27" t="s">
        <v>7</v>
      </c>
    </row>
    <row r="592" spans="1:80" x14ac:dyDescent="0.25">
      <c r="A592" s="7">
        <v>0.90573080982991594</v>
      </c>
      <c r="B592"/>
      <c r="C592"/>
      <c r="D592"/>
      <c r="E592"/>
      <c r="AL592" s="27" t="s">
        <v>7</v>
      </c>
      <c r="BT592" s="27" t="s">
        <v>7</v>
      </c>
      <c r="BU592" s="27" t="s">
        <v>8</v>
      </c>
      <c r="BY592" s="27" t="s">
        <v>8</v>
      </c>
      <c r="BZ592" s="27" t="s">
        <v>7</v>
      </c>
      <c r="CA592" s="27" t="s">
        <v>8</v>
      </c>
      <c r="CB592" s="27" t="s">
        <v>7</v>
      </c>
    </row>
    <row r="593" spans="1:90" x14ac:dyDescent="0.25">
      <c r="A593" s="7">
        <v>0.8879713821861922</v>
      </c>
      <c r="B593"/>
      <c r="C593"/>
      <c r="D593"/>
      <c r="E593"/>
      <c r="BT593" s="27" t="s">
        <v>7</v>
      </c>
      <c r="BU593" s="27" t="s">
        <v>8</v>
      </c>
      <c r="BV593" s="27" t="s">
        <v>7</v>
      </c>
      <c r="BW593" s="27" t="s">
        <v>8</v>
      </c>
      <c r="BY593" s="27" t="s">
        <v>8</v>
      </c>
      <c r="BZ593" s="27" t="s">
        <v>7</v>
      </c>
      <c r="CA593" s="27" t="s">
        <v>8</v>
      </c>
      <c r="CB593" s="27" t="s">
        <v>7</v>
      </c>
    </row>
    <row r="594" spans="1:90" x14ac:dyDescent="0.25">
      <c r="A594" s="7">
        <v>0.87056017861391399</v>
      </c>
      <c r="B594"/>
      <c r="C594"/>
      <c r="D594"/>
      <c r="E594"/>
      <c r="BT594" s="27" t="s">
        <v>7</v>
      </c>
      <c r="BU594" s="27" t="s">
        <v>8</v>
      </c>
      <c r="BV594" s="27" t="s">
        <v>7</v>
      </c>
      <c r="BW594" s="27" t="s">
        <v>8</v>
      </c>
      <c r="BX594" s="27" t="s">
        <v>7</v>
      </c>
      <c r="BY594" s="27" t="s">
        <v>8</v>
      </c>
      <c r="BZ594" s="27" t="s">
        <v>7</v>
      </c>
      <c r="CA594" s="27" t="s">
        <v>8</v>
      </c>
      <c r="CB594" s="27" t="s">
        <v>7</v>
      </c>
    </row>
    <row r="595" spans="1:90" x14ac:dyDescent="0.25">
      <c r="A595" s="7">
        <v>0.85349037119011173</v>
      </c>
      <c r="B595"/>
      <c r="C595"/>
      <c r="D595"/>
      <c r="E595"/>
      <c r="BT595" s="27" t="s">
        <v>7</v>
      </c>
      <c r="BU595" s="27" t="s">
        <v>8</v>
      </c>
      <c r="BV595" s="27" t="s">
        <v>7</v>
      </c>
      <c r="BW595" s="27" t="s">
        <v>8</v>
      </c>
      <c r="BX595" s="27" t="s">
        <v>7</v>
      </c>
      <c r="BY595" s="27" t="s">
        <v>8</v>
      </c>
      <c r="BZ595" s="27" t="s">
        <v>7</v>
      </c>
      <c r="CA595" s="27" t="s">
        <v>8</v>
      </c>
      <c r="CB595" s="27" t="s">
        <v>7</v>
      </c>
      <c r="CE595" s="27" t="s">
        <v>8</v>
      </c>
    </row>
    <row r="596" spans="1:90" x14ac:dyDescent="0.25">
      <c r="A596" s="7">
        <v>0.83675526587265858</v>
      </c>
      <c r="B596"/>
      <c r="C596"/>
      <c r="D596"/>
      <c r="E596"/>
      <c r="BT596" s="27" t="s">
        <v>7</v>
      </c>
      <c r="BU596" s="27" t="s">
        <v>8</v>
      </c>
      <c r="BV596" s="27" t="s">
        <v>7</v>
      </c>
      <c r="BW596" s="27" t="s">
        <v>8</v>
      </c>
      <c r="BX596" s="27" t="s">
        <v>7</v>
      </c>
      <c r="BY596" s="27" t="s">
        <v>8</v>
      </c>
      <c r="BZ596" s="27" t="s">
        <v>7</v>
      </c>
      <c r="CA596" s="27" t="s">
        <v>8</v>
      </c>
      <c r="CB596" s="27" t="s">
        <v>7</v>
      </c>
      <c r="CE596" s="27" t="s">
        <v>8</v>
      </c>
      <c r="CF596" s="27" t="s">
        <v>7</v>
      </c>
    </row>
    <row r="597" spans="1:90" x14ac:dyDescent="0.25">
      <c r="A597" s="7">
        <v>0.82034829987515545</v>
      </c>
      <c r="B597"/>
      <c r="C597"/>
      <c r="D597"/>
      <c r="E597"/>
      <c r="BT597" s="27" t="s">
        <v>7</v>
      </c>
      <c r="BU597" s="27" t="s">
        <v>8</v>
      </c>
      <c r="BV597" s="27" t="s">
        <v>7</v>
      </c>
      <c r="BW597" s="27" t="s">
        <v>8</v>
      </c>
      <c r="BX597" s="27" t="s">
        <v>7</v>
      </c>
      <c r="BY597" s="27" t="s">
        <v>8</v>
      </c>
      <c r="BZ597" s="27" t="s">
        <v>7</v>
      </c>
      <c r="CA597" s="27" t="s">
        <v>8</v>
      </c>
      <c r="CB597" s="27" t="s">
        <v>7</v>
      </c>
      <c r="CE597" s="27" t="s">
        <v>8</v>
      </c>
      <c r="CF597" s="27" t="s">
        <v>7</v>
      </c>
    </row>
    <row r="598" spans="1:90" x14ac:dyDescent="0.25">
      <c r="A598" s="7">
        <v>0.80426303909328967</v>
      </c>
      <c r="B598"/>
      <c r="C598"/>
      <c r="D598"/>
      <c r="E598"/>
      <c r="BT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BY598" s="27" t="s">
        <v>8</v>
      </c>
      <c r="BZ598" s="27" t="s">
        <v>7</v>
      </c>
      <c r="CA598" s="27" t="s">
        <v>8</v>
      </c>
      <c r="CB598" s="27" t="s">
        <v>7</v>
      </c>
      <c r="CC598" s="27" t="s">
        <v>8</v>
      </c>
      <c r="CE598" s="27" t="s">
        <v>8</v>
      </c>
      <c r="CF598" s="27" t="s">
        <v>7</v>
      </c>
    </row>
    <row r="599" spans="1:90" x14ac:dyDescent="0.25">
      <c r="A599" s="7">
        <v>0.78849317558165644</v>
      </c>
      <c r="B599"/>
      <c r="C599"/>
      <c r="D599"/>
      <c r="E599"/>
      <c r="BT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BY599" s="27" t="s">
        <v>8</v>
      </c>
      <c r="BZ599" s="27" t="s">
        <v>7</v>
      </c>
      <c r="CA599" s="27" t="s">
        <v>8</v>
      </c>
      <c r="CB599" s="27" t="s">
        <v>7</v>
      </c>
      <c r="CC599" s="27" t="s">
        <v>8</v>
      </c>
      <c r="CD599" s="27" t="s">
        <v>7</v>
      </c>
      <c r="CE599" s="27" t="s">
        <v>8</v>
      </c>
      <c r="CF599" s="27" t="s">
        <v>7</v>
      </c>
      <c r="CK599" s="27" t="s">
        <v>8</v>
      </c>
    </row>
    <row r="600" spans="1:90" x14ac:dyDescent="0.25">
      <c r="A600" s="7">
        <v>0.77303252508005538</v>
      </c>
      <c r="B600"/>
      <c r="C600"/>
      <c r="D600"/>
      <c r="E600"/>
      <c r="BT600" s="27" t="s">
        <v>7</v>
      </c>
      <c r="BU600" s="27" t="s">
        <v>8</v>
      </c>
      <c r="BV600" s="27" t="s">
        <v>7</v>
      </c>
      <c r="BW600" s="27" t="s">
        <v>8</v>
      </c>
      <c r="BX600" s="27" t="s">
        <v>7</v>
      </c>
      <c r="BY600" s="27" t="s">
        <v>8</v>
      </c>
      <c r="BZ600" s="27" t="s">
        <v>7</v>
      </c>
      <c r="CA600" s="27" t="s">
        <v>8</v>
      </c>
      <c r="CB600" s="27" t="s">
        <v>7</v>
      </c>
      <c r="CC600" s="27" t="s">
        <v>8</v>
      </c>
      <c r="CD600" s="27" t="s">
        <v>7</v>
      </c>
      <c r="CE600" s="27" t="s">
        <v>8</v>
      </c>
      <c r="CF600" s="27" t="s">
        <v>7</v>
      </c>
      <c r="CG600" s="27" t="s">
        <v>8</v>
      </c>
      <c r="CK600" s="27" t="s">
        <v>8</v>
      </c>
      <c r="CL600" s="27" t="s">
        <v>7</v>
      </c>
    </row>
    <row r="601" spans="1:90" x14ac:dyDescent="0.25">
      <c r="A601" s="7">
        <v>0.75787502458828959</v>
      </c>
      <c r="B601"/>
      <c r="C601"/>
      <c r="D601"/>
      <c r="E601"/>
      <c r="BT601" s="27" t="s">
        <v>7</v>
      </c>
      <c r="BU601" s="27" t="s">
        <v>8</v>
      </c>
      <c r="BV601" s="27" t="s">
        <v>7</v>
      </c>
      <c r="BX601" s="27" t="s">
        <v>7</v>
      </c>
      <c r="BY601" s="27" t="s">
        <v>8</v>
      </c>
      <c r="BZ601" s="27" t="s">
        <v>7</v>
      </c>
      <c r="CA601" s="27" t="s">
        <v>8</v>
      </c>
      <c r="CB601" s="27" t="s">
        <v>7</v>
      </c>
      <c r="CD601" s="27" t="s">
        <v>7</v>
      </c>
      <c r="CE601" s="27" t="s">
        <v>8</v>
      </c>
      <c r="CF601" s="27" t="s">
        <v>7</v>
      </c>
      <c r="CG601" s="27" t="s">
        <v>8</v>
      </c>
      <c r="CH601" s="27" t="s">
        <v>7</v>
      </c>
      <c r="CK601" s="27" t="s">
        <v>8</v>
      </c>
      <c r="CL601" s="27" t="s">
        <v>7</v>
      </c>
    </row>
    <row r="602" spans="1:90" x14ac:dyDescent="0.25">
      <c r="A602" s="7">
        <v>0.74301472998851925</v>
      </c>
      <c r="B602"/>
      <c r="C602"/>
      <c r="D602"/>
      <c r="E602"/>
      <c r="BT602" s="27" t="s">
        <v>7</v>
      </c>
      <c r="BX602" s="27" t="s">
        <v>7</v>
      </c>
      <c r="BY602" s="27" t="s">
        <v>8</v>
      </c>
      <c r="BZ602" s="27" t="s">
        <v>7</v>
      </c>
      <c r="CA602" s="27" t="s">
        <v>8</v>
      </c>
      <c r="CD602" s="27" t="s">
        <v>7</v>
      </c>
      <c r="CE602" s="27" t="s">
        <v>8</v>
      </c>
      <c r="CF602" s="27" t="s">
        <v>7</v>
      </c>
      <c r="CG602" s="27" t="s">
        <v>8</v>
      </c>
      <c r="CH602" s="27" t="s">
        <v>7</v>
      </c>
      <c r="CK602" s="27" t="s">
        <v>8</v>
      </c>
      <c r="CL602" s="27" t="s">
        <v>7</v>
      </c>
    </row>
    <row r="603" spans="1:90" x14ac:dyDescent="0.25">
      <c r="A603" s="7">
        <v>0.72844581371423456</v>
      </c>
      <c r="B603"/>
      <c r="C603"/>
      <c r="D603"/>
      <c r="E603"/>
      <c r="BX603" s="27" t="s">
        <v>7</v>
      </c>
      <c r="BY603" s="27" t="s">
        <v>8</v>
      </c>
      <c r="BZ603" s="27" t="s">
        <v>7</v>
      </c>
      <c r="CD603" s="27" t="s">
        <v>7</v>
      </c>
      <c r="CF603" s="27" t="s">
        <v>7</v>
      </c>
      <c r="CG603" s="27" t="s">
        <v>8</v>
      </c>
      <c r="CH603" s="27" t="s">
        <v>7</v>
      </c>
      <c r="CK603" s="27" t="s">
        <v>8</v>
      </c>
      <c r="CL603" s="27" t="s">
        <v>7</v>
      </c>
    </row>
    <row r="604" spans="1:90" x14ac:dyDescent="0.25">
      <c r="A604" s="7">
        <v>0.71416256246493581</v>
      </c>
      <c r="B604"/>
      <c r="C604"/>
      <c r="D604"/>
      <c r="E604"/>
      <c r="BX604" s="27" t="s">
        <v>7</v>
      </c>
      <c r="BY604" s="27" t="s">
        <v>8</v>
      </c>
      <c r="CF604" s="27" t="s">
        <v>7</v>
      </c>
      <c r="CG604" s="27" t="s">
        <v>8</v>
      </c>
      <c r="CH604" s="27" t="s">
        <v>7</v>
      </c>
      <c r="CK604" s="27" t="s">
        <v>8</v>
      </c>
      <c r="CL604" s="27" t="s">
        <v>7</v>
      </c>
    </row>
    <row r="605" spans="1:90" x14ac:dyDescent="0.25">
      <c r="A605" s="7">
        <v>0.7001593749656233</v>
      </c>
      <c r="B605"/>
      <c r="C605"/>
      <c r="D605"/>
      <c r="E605"/>
      <c r="BX605" s="27" t="s">
        <v>7</v>
      </c>
      <c r="CF605" s="27" t="s">
        <v>7</v>
      </c>
      <c r="CH605" s="27" t="s">
        <v>7</v>
      </c>
      <c r="CK605" s="27" t="s">
        <v>8</v>
      </c>
      <c r="CL605" s="27" t="s">
        <v>7</v>
      </c>
    </row>
    <row r="606" spans="1:90" x14ac:dyDescent="0.25">
      <c r="A606" s="7">
        <v>0.68643075977021883</v>
      </c>
      <c r="B606"/>
      <c r="C606"/>
      <c r="D606"/>
      <c r="E606"/>
      <c r="CH606" s="27" t="s">
        <v>7</v>
      </c>
      <c r="CK606" s="27" t="s">
        <v>8</v>
      </c>
      <c r="CL606" s="27" t="s">
        <v>7</v>
      </c>
    </row>
    <row r="607" spans="1:90" x14ac:dyDescent="0.25">
      <c r="A607" s="7">
        <v>0.67297133310805768</v>
      </c>
      <c r="B607"/>
      <c r="C607"/>
      <c r="D607"/>
      <c r="E607"/>
      <c r="CH607" s="27" t="s">
        <v>7</v>
      </c>
      <c r="CK607" s="27" t="s">
        <v>8</v>
      </c>
      <c r="CL607" s="27" t="s">
        <v>7</v>
      </c>
    </row>
    <row r="608" spans="1:90" x14ac:dyDescent="0.25">
      <c r="A608" s="7">
        <v>0.65977581677260566</v>
      </c>
      <c r="B608"/>
      <c r="C608"/>
      <c r="D608"/>
      <c r="E608"/>
      <c r="CH608" s="27" t="s">
        <v>7</v>
      </c>
      <c r="CK608" s="27" t="s">
        <v>8</v>
      </c>
      <c r="CL608" s="27" t="s">
        <v>7</v>
      </c>
    </row>
    <row r="609" spans="1:92" x14ac:dyDescent="0.25">
      <c r="A609" s="7">
        <v>0.64683903605157422</v>
      </c>
      <c r="B609"/>
      <c r="C609"/>
      <c r="D609"/>
      <c r="E609"/>
      <c r="CH609" s="27" t="s">
        <v>7</v>
      </c>
      <c r="CK609" s="27" t="s">
        <v>8</v>
      </c>
      <c r="CL609" s="27" t="s">
        <v>7</v>
      </c>
      <c r="CM609" s="27" t="s">
        <v>8</v>
      </c>
    </row>
    <row r="610" spans="1:92" x14ac:dyDescent="0.25">
      <c r="A610" s="7">
        <v>0.63415591769762181</v>
      </c>
      <c r="B610"/>
      <c r="C610"/>
      <c r="D610"/>
      <c r="E610"/>
      <c r="CH610" s="27" t="s">
        <v>7</v>
      </c>
      <c r="CK610" s="27" t="s">
        <v>8</v>
      </c>
      <c r="CL610" s="27" t="s">
        <v>7</v>
      </c>
      <c r="CM610" s="27" t="s">
        <v>8</v>
      </c>
      <c r="CN610" s="27" t="s">
        <v>7</v>
      </c>
    </row>
    <row r="611" spans="1:92" x14ac:dyDescent="0.25">
      <c r="A611" s="7">
        <v>0.62172148793884496</v>
      </c>
      <c r="B611"/>
      <c r="C611"/>
      <c r="D611"/>
      <c r="E611"/>
      <c r="CH611" s="27" t="s">
        <v>7</v>
      </c>
      <c r="CK611" s="27" t="s">
        <v>8</v>
      </c>
      <c r="CL611" s="27" t="s">
        <v>7</v>
      </c>
      <c r="CM611" s="27" t="s">
        <v>8</v>
      </c>
      <c r="CN611" s="27" t="s">
        <v>7</v>
      </c>
    </row>
    <row r="612" spans="1:92" x14ac:dyDescent="0.25">
      <c r="A612" s="7">
        <v>0.60953087052827937</v>
      </c>
      <c r="B612"/>
      <c r="C612"/>
      <c r="D612"/>
      <c r="E612"/>
      <c r="CH612" s="27" t="s">
        <v>7</v>
      </c>
      <c r="CI612" s="27" t="s">
        <v>8</v>
      </c>
      <c r="CK612" s="27" t="s">
        <v>8</v>
      </c>
      <c r="CL612" s="27" t="s">
        <v>7</v>
      </c>
      <c r="CM612" s="27" t="s">
        <v>8</v>
      </c>
      <c r="CN612" s="27" t="s">
        <v>7</v>
      </c>
    </row>
    <row r="613" spans="1:92" x14ac:dyDescent="0.25">
      <c r="A613" s="7">
        <v>0.59757928483164646</v>
      </c>
      <c r="B613"/>
      <c r="C613"/>
      <c r="D613"/>
      <c r="E613"/>
      <c r="CH613" s="27" t="s">
        <v>7</v>
      </c>
      <c r="CI613" s="27" t="s">
        <v>8</v>
      </c>
      <c r="CJ613" s="27" t="s">
        <v>7</v>
      </c>
      <c r="CK613" s="27" t="s">
        <v>8</v>
      </c>
      <c r="CL613" s="27" t="s">
        <v>7</v>
      </c>
      <c r="CM613" s="27" t="s">
        <v>8</v>
      </c>
      <c r="CN613" s="27" t="s">
        <v>7</v>
      </c>
    </row>
    <row r="614" spans="1:92" x14ac:dyDescent="0.25">
      <c r="A614" s="7">
        <v>0.58586204395259456</v>
      </c>
      <c r="B614"/>
      <c r="C614"/>
      <c r="D614"/>
      <c r="E614"/>
      <c r="CH614" s="27" t="s">
        <v>7</v>
      </c>
      <c r="CI614" s="27" t="s">
        <v>8</v>
      </c>
      <c r="CJ614" s="27" t="s">
        <v>7</v>
      </c>
      <c r="CK614" s="27" t="s">
        <v>8</v>
      </c>
      <c r="CL614" s="27" t="s">
        <v>7</v>
      </c>
      <c r="CM614" s="27" t="s">
        <v>8</v>
      </c>
      <c r="CN614" s="27" t="s">
        <v>7</v>
      </c>
    </row>
    <row r="615" spans="1:92" x14ac:dyDescent="0.25">
      <c r="A615" s="7">
        <v>0.57437455289470052</v>
      </c>
      <c r="B615"/>
      <c r="C615"/>
      <c r="D615"/>
      <c r="E615"/>
      <c r="CH615" s="27" t="s">
        <v>7</v>
      </c>
      <c r="CI615" s="27" t="s">
        <v>8</v>
      </c>
      <c r="CJ615" s="27" t="s">
        <v>7</v>
      </c>
      <c r="CK615" s="27" t="s">
        <v>8</v>
      </c>
      <c r="CL615" s="27" t="s">
        <v>7</v>
      </c>
      <c r="CM615" s="27" t="s">
        <v>8</v>
      </c>
      <c r="CN615" s="27" t="s">
        <v>7</v>
      </c>
    </row>
    <row r="616" spans="1:92" x14ac:dyDescent="0.25">
      <c r="A616" s="7">
        <v>0.56311230675951029</v>
      </c>
      <c r="B616"/>
      <c r="C616"/>
      <c r="D616"/>
      <c r="E616"/>
      <c r="CH616" s="27" t="s">
        <v>7</v>
      </c>
      <c r="CJ616" s="27" t="s">
        <v>7</v>
      </c>
      <c r="CK616" s="27" t="s">
        <v>8</v>
      </c>
      <c r="CL616" s="27" t="s">
        <v>7</v>
      </c>
      <c r="CM616" s="27" t="s">
        <v>8</v>
      </c>
      <c r="CN616" s="27" t="s">
        <v>7</v>
      </c>
    </row>
    <row r="617" spans="1:92" x14ac:dyDescent="0.25">
      <c r="A617" s="7">
        <v>0.55207088897991208</v>
      </c>
      <c r="B617"/>
      <c r="C617"/>
      <c r="D617"/>
      <c r="E617"/>
      <c r="CJ617" s="27" t="s">
        <v>7</v>
      </c>
      <c r="CK617" s="27" t="s">
        <v>8</v>
      </c>
      <c r="CL617" s="27" t="s">
        <v>7</v>
      </c>
      <c r="CN617" s="27" t="s">
        <v>7</v>
      </c>
    </row>
    <row r="618" spans="1:92" x14ac:dyDescent="0.25">
      <c r="A618" s="7">
        <v>0.54124596958814908</v>
      </c>
      <c r="B618"/>
      <c r="C618"/>
      <c r="D618"/>
      <c r="E618"/>
      <c r="CJ618" s="27" t="s">
        <v>7</v>
      </c>
      <c r="CN618" s="27" t="s">
        <v>7</v>
      </c>
    </row>
    <row r="619" spans="1:92" x14ac:dyDescent="0.25">
      <c r="A619" s="7">
        <v>0.53063330351779314</v>
      </c>
      <c r="B619"/>
      <c r="C619"/>
      <c r="D619"/>
      <c r="E619"/>
      <c r="CN619" s="27" t="s">
        <v>7</v>
      </c>
    </row>
    <row r="620" spans="1:92" x14ac:dyDescent="0.25">
      <c r="A620" s="7">
        <v>0.52022872893901284</v>
      </c>
      <c r="B620"/>
      <c r="C620"/>
      <c r="D620"/>
      <c r="E620"/>
      <c r="CN620" s="27" t="s">
        <v>7</v>
      </c>
    </row>
    <row r="621" spans="1:92" x14ac:dyDescent="0.25">
      <c r="A621" s="7">
        <v>0.51002816562648323</v>
      </c>
      <c r="B621"/>
      <c r="C621"/>
      <c r="D621"/>
      <c r="E621"/>
      <c r="CN621" s="27" t="s">
        <v>7</v>
      </c>
    </row>
    <row r="622" spans="1:92" x14ac:dyDescent="0.25">
      <c r="A622" s="7">
        <v>0.50002761335929735</v>
      </c>
      <c r="B622"/>
      <c r="C622"/>
      <c r="D622"/>
      <c r="E622"/>
      <c r="CN622" s="27" t="s">
        <v>7</v>
      </c>
    </row>
    <row r="623" spans="1:92" x14ac:dyDescent="0.25">
      <c r="A623" s="7">
        <v>0.49022315035225228</v>
      </c>
      <c r="B623"/>
      <c r="C623"/>
      <c r="D623"/>
      <c r="E623"/>
      <c r="CN623" s="27" t="s">
        <v>7</v>
      </c>
    </row>
    <row r="624" spans="1:92" x14ac:dyDescent="0.25">
      <c r="A624" s="7">
        <v>0.48061093171789437</v>
      </c>
      <c r="B624"/>
      <c r="C624"/>
      <c r="D624"/>
      <c r="E624"/>
      <c r="CN624" s="27" t="s">
        <v>7</v>
      </c>
    </row>
    <row r="625" spans="1:96" x14ac:dyDescent="0.25">
      <c r="A625" s="7">
        <v>0.47118718795871994</v>
      </c>
      <c r="B625"/>
      <c r="C625"/>
      <c r="D625"/>
      <c r="E625"/>
      <c r="CN625" s="27" t="s">
        <v>7</v>
      </c>
    </row>
    <row r="626" spans="1:96" x14ac:dyDescent="0.25">
      <c r="A626" s="7">
        <v>0.46194822348894116</v>
      </c>
      <c r="B626"/>
      <c r="C626"/>
      <c r="D626"/>
      <c r="E626"/>
      <c r="CN626" s="27" t="s">
        <v>7</v>
      </c>
    </row>
    <row r="627" spans="1:96" x14ac:dyDescent="0.25">
      <c r="A627" s="7">
        <v>0.45289041518523643</v>
      </c>
      <c r="B627"/>
      <c r="C627"/>
      <c r="D627"/>
      <c r="E627"/>
      <c r="CN627" s="27" t="s">
        <v>7</v>
      </c>
    </row>
    <row r="628" spans="1:96" x14ac:dyDescent="0.25">
      <c r="A628" s="7">
        <v>0.44401021096591808</v>
      </c>
      <c r="B628"/>
      <c r="C628"/>
      <c r="D628"/>
      <c r="E628"/>
      <c r="CN628" s="27" t="s">
        <v>7</v>
      </c>
      <c r="CO628" s="27" t="s">
        <v>8</v>
      </c>
    </row>
    <row r="629" spans="1:96" x14ac:dyDescent="0.25">
      <c r="A629" s="7">
        <v>0.4353041283979589</v>
      </c>
      <c r="B629"/>
      <c r="C629"/>
      <c r="D629"/>
      <c r="E629"/>
      <c r="CN629" s="27" t="s">
        <v>7</v>
      </c>
      <c r="CO629" s="27" t="s">
        <v>8</v>
      </c>
      <c r="CP629" s="27" t="s">
        <v>7</v>
      </c>
    </row>
    <row r="630" spans="1:96" x14ac:dyDescent="0.25">
      <c r="A630" s="7">
        <v>0.4267687533313323</v>
      </c>
      <c r="B630"/>
      <c r="C630"/>
      <c r="D630"/>
      <c r="E630"/>
      <c r="CN630" s="27" t="s">
        <v>7</v>
      </c>
      <c r="CO630" s="27" t="s">
        <v>8</v>
      </c>
      <c r="CP630" s="27" t="s">
        <v>7</v>
      </c>
    </row>
    <row r="631" spans="1:96" x14ac:dyDescent="0.25">
      <c r="A631" s="7">
        <v>0.41840073856012971</v>
      </c>
      <c r="B631"/>
      <c r="C631"/>
      <c r="D631"/>
      <c r="E631"/>
      <c r="CN631" s="27" t="s">
        <v>7</v>
      </c>
      <c r="CO631" s="27" t="s">
        <v>8</v>
      </c>
      <c r="CP631" s="27" t="s">
        <v>7</v>
      </c>
    </row>
    <row r="632" spans="1:96" x14ac:dyDescent="0.25">
      <c r="A632" s="7">
        <v>0.41019680250993112</v>
      </c>
      <c r="B632"/>
      <c r="C632"/>
      <c r="D632"/>
      <c r="E632"/>
      <c r="CN632" s="27" t="s">
        <v>7</v>
      </c>
      <c r="CO632" s="27" t="s">
        <v>8</v>
      </c>
      <c r="CP632" s="27" t="s">
        <v>7</v>
      </c>
    </row>
    <row r="633" spans="1:96" x14ac:dyDescent="0.25">
      <c r="A633" s="7">
        <v>0.40215372795091286</v>
      </c>
      <c r="B633"/>
      <c r="C633"/>
      <c r="D633"/>
      <c r="E633"/>
      <c r="CN633" s="27" t="s">
        <v>7</v>
      </c>
      <c r="CO633" s="27" t="s">
        <v>8</v>
      </c>
      <c r="CP633" s="27" t="s">
        <v>7</v>
      </c>
    </row>
    <row r="634" spans="1:96" x14ac:dyDescent="0.25">
      <c r="A634" s="7">
        <v>0.39426836073618904</v>
      </c>
      <c r="B634"/>
      <c r="C634"/>
      <c r="D634"/>
      <c r="E634"/>
      <c r="CN634" s="27" t="s">
        <v>7</v>
      </c>
      <c r="CO634" s="27" t="s">
        <v>8</v>
      </c>
      <c r="CP634" s="27" t="s">
        <v>7</v>
      </c>
    </row>
    <row r="635" spans="1:96" x14ac:dyDescent="0.25">
      <c r="A635" s="7">
        <v>0.38653760856489122</v>
      </c>
      <c r="B635"/>
      <c r="C635"/>
      <c r="D635"/>
      <c r="E635"/>
      <c r="CN635" s="27" t="s">
        <v>7</v>
      </c>
      <c r="CO635" s="27" t="s">
        <v>8</v>
      </c>
      <c r="CP635" s="27" t="s">
        <v>7</v>
      </c>
    </row>
    <row r="636" spans="1:96" x14ac:dyDescent="0.25">
      <c r="A636" s="7">
        <v>0.37895843976950117</v>
      </c>
      <c r="B636"/>
      <c r="C636"/>
      <c r="D636"/>
      <c r="E636"/>
      <c r="CN636" s="27" t="s">
        <v>7</v>
      </c>
      <c r="CO636" s="27" t="s">
        <v>8</v>
      </c>
      <c r="CP636" s="27" t="s">
        <v>7</v>
      </c>
      <c r="CQ636" s="27" t="s">
        <v>8</v>
      </c>
    </row>
    <row r="637" spans="1:96" x14ac:dyDescent="0.25">
      <c r="A637" s="7">
        <v>0.37152788212696197</v>
      </c>
      <c r="B637"/>
      <c r="C637"/>
      <c r="D637"/>
      <c r="E637"/>
      <c r="CN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</row>
    <row r="638" spans="1:96" x14ac:dyDescent="0.25">
      <c r="A638" s="7">
        <v>0.36424302169310002</v>
      </c>
      <c r="B638"/>
      <c r="C638"/>
      <c r="D638"/>
      <c r="E638"/>
      <c r="CN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</row>
    <row r="639" spans="1:96" x14ac:dyDescent="0.25">
      <c r="A639" s="7">
        <v>0.35710100165990194</v>
      </c>
      <c r="B639"/>
      <c r="C639"/>
      <c r="D639"/>
      <c r="E639"/>
      <c r="CN639" s="27" t="s">
        <v>7</v>
      </c>
      <c r="CP639" s="27" t="s">
        <v>7</v>
      </c>
      <c r="CQ639" s="27" t="s">
        <v>8</v>
      </c>
      <c r="CR639" s="27" t="s">
        <v>7</v>
      </c>
    </row>
    <row r="640" spans="1:96" x14ac:dyDescent="0.25">
      <c r="A640" s="7">
        <v>0.35009902123519804</v>
      </c>
      <c r="B640"/>
      <c r="C640"/>
      <c r="D640"/>
      <c r="E640"/>
      <c r="CP640" s="27" t="s">
        <v>7</v>
      </c>
      <c r="CQ640" s="27" t="s">
        <v>8</v>
      </c>
      <c r="CR640" s="27" t="s">
        <v>7</v>
      </c>
    </row>
    <row r="641" spans="1:96" x14ac:dyDescent="0.25">
      <c r="A641" s="7">
        <v>0.34323433454431179</v>
      </c>
      <c r="B641"/>
      <c r="C641"/>
      <c r="D641"/>
      <c r="E641"/>
      <c r="CP641" s="27" t="s">
        <v>7</v>
      </c>
      <c r="CR641" s="27" t="s">
        <v>7</v>
      </c>
    </row>
    <row r="642" spans="1:96" x14ac:dyDescent="0.25">
      <c r="A642" s="7">
        <v>0.33650424955324681</v>
      </c>
      <c r="B642"/>
      <c r="C642"/>
      <c r="D642"/>
      <c r="E642"/>
    </row>
    <row r="643" spans="1:96" x14ac:dyDescent="0.25">
      <c r="A643" s="7">
        <v>0.3299061270129871</v>
      </c>
      <c r="B643"/>
      <c r="C643"/>
      <c r="D643"/>
      <c r="E643"/>
    </row>
    <row r="644" spans="1:96" x14ac:dyDescent="0.25">
      <c r="A644" s="7">
        <v>0.32343737942449713</v>
      </c>
      <c r="B644"/>
      <c r="C644"/>
      <c r="D644"/>
      <c r="E644"/>
    </row>
    <row r="645" spans="1:96" x14ac:dyDescent="0.25">
      <c r="A645" s="7">
        <v>0.31709547002401678</v>
      </c>
      <c r="B645"/>
      <c r="C645"/>
      <c r="D645"/>
      <c r="E645"/>
    </row>
    <row r="646" spans="1:96" x14ac:dyDescent="0.25">
      <c r="A646" s="7">
        <v>0.31087791178825175</v>
      </c>
      <c r="B646"/>
      <c r="C646"/>
      <c r="D646"/>
      <c r="E646"/>
    </row>
    <row r="647" spans="1:96" x14ac:dyDescent="0.25">
      <c r="A647" s="7">
        <v>0.30478226645907036</v>
      </c>
      <c r="B647"/>
      <c r="C647"/>
      <c r="D647"/>
      <c r="E647"/>
    </row>
    <row r="648" spans="1:96" x14ac:dyDescent="0.25">
      <c r="A648" s="7">
        <v>0.29880614358732388</v>
      </c>
      <c r="B648"/>
      <c r="C648"/>
      <c r="D648"/>
      <c r="E648"/>
    </row>
    <row r="649" spans="1:96" x14ac:dyDescent="0.25">
      <c r="A649" s="7">
        <v>0.2929471995954156</v>
      </c>
      <c r="B649"/>
      <c r="C649"/>
      <c r="D649"/>
      <c r="E649"/>
    </row>
    <row r="650" spans="1:96" x14ac:dyDescent="0.25">
      <c r="A650" s="7">
        <v>0.28720313685825055</v>
      </c>
      <c r="B650"/>
      <c r="C650"/>
      <c r="D650"/>
      <c r="E650"/>
    </row>
    <row r="651" spans="1:96" x14ac:dyDescent="0.25">
      <c r="A651" s="7">
        <v>0.28157170280220645</v>
      </c>
      <c r="B651"/>
      <c r="C651"/>
      <c r="D651"/>
      <c r="E651"/>
    </row>
    <row r="652" spans="1:96" x14ac:dyDescent="0.25">
      <c r="A652" s="7">
        <v>0.27605068902177105</v>
      </c>
      <c r="B652"/>
      <c r="C652"/>
      <c r="D652"/>
      <c r="E652"/>
    </row>
    <row r="653" spans="1:96" x14ac:dyDescent="0.25">
      <c r="A653" s="7">
        <v>0.27063793041350104</v>
      </c>
      <c r="B653"/>
      <c r="C653"/>
      <c r="D653"/>
      <c r="E653"/>
    </row>
    <row r="654" spans="1:96" x14ac:dyDescent="0.25">
      <c r="A654" s="7">
        <v>0.26533130432696184</v>
      </c>
      <c r="B654"/>
      <c r="C654"/>
      <c r="D654"/>
      <c r="E654"/>
    </row>
    <row r="655" spans="1:96" x14ac:dyDescent="0.25">
      <c r="A655" s="7">
        <v>0.26012872973231554</v>
      </c>
      <c r="B655"/>
      <c r="C655"/>
      <c r="D655"/>
      <c r="E655"/>
    </row>
    <row r="656" spans="1:96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44" operator="equal">
      <formula>$U$1</formula>
    </cfRule>
    <cfRule type="cellIs" dxfId="89" priority="545" operator="equal">
      <formula>$S$1</formula>
    </cfRule>
  </conditionalFormatting>
  <conditionalFormatting sqref="D27">
    <cfRule type="cellIs" dxfId="88" priority="542" operator="equal">
      <formula>$S$1</formula>
    </cfRule>
    <cfRule type="cellIs" dxfId="87" priority="543" operator="equal">
      <formula>$U$1</formula>
    </cfRule>
  </conditionalFormatting>
  <conditionalFormatting sqref="C164">
    <cfRule type="cellIs" dxfId="86" priority="540" operator="equal">
      <formula>$U$1</formula>
    </cfRule>
    <cfRule type="cellIs" dxfId="85" priority="541" operator="equal">
      <formula>$S$1</formula>
    </cfRule>
  </conditionalFormatting>
  <conditionalFormatting sqref="D164">
    <cfRule type="cellIs" dxfId="84" priority="538" operator="equal">
      <formula>$S$1</formula>
    </cfRule>
    <cfRule type="cellIs" dxfId="83" priority="539" operator="equal">
      <formula>$U$1</formula>
    </cfRule>
  </conditionalFormatting>
  <conditionalFormatting sqref="C55">
    <cfRule type="cellIs" dxfId="82" priority="536" operator="equal">
      <formula>$U$1</formula>
    </cfRule>
    <cfRule type="cellIs" dxfId="81" priority="537" operator="equal">
      <formula>$S$1</formula>
    </cfRule>
  </conditionalFormatting>
  <conditionalFormatting sqref="D55">
    <cfRule type="cellIs" dxfId="80" priority="534" operator="equal">
      <formula>$S$1</formula>
    </cfRule>
    <cfRule type="cellIs" dxfId="79" priority="535" operator="equal">
      <formula>$U$1</formula>
    </cfRule>
  </conditionalFormatting>
  <conditionalFormatting sqref="C89">
    <cfRule type="cellIs" dxfId="78" priority="532" operator="equal">
      <formula>$U$1</formula>
    </cfRule>
    <cfRule type="cellIs" dxfId="77" priority="533" operator="equal">
      <formula>$S$1</formula>
    </cfRule>
  </conditionalFormatting>
  <conditionalFormatting sqref="D89">
    <cfRule type="cellIs" dxfId="76" priority="530" operator="equal">
      <formula>$S$1</formula>
    </cfRule>
    <cfRule type="cellIs" dxfId="75" priority="531" operator="equal">
      <formula>$U$1</formula>
    </cfRule>
  </conditionalFormatting>
  <conditionalFormatting sqref="C136">
    <cfRule type="cellIs" dxfId="74" priority="528" operator="equal">
      <formula>$U$1</formula>
    </cfRule>
    <cfRule type="cellIs" dxfId="73" priority="529" operator="equal">
      <formula>$S$1</formula>
    </cfRule>
  </conditionalFormatting>
  <conditionalFormatting sqref="D136">
    <cfRule type="cellIs" dxfId="72" priority="526" operator="equal">
      <formula>$S$1</formula>
    </cfRule>
    <cfRule type="cellIs" dxfId="71" priority="527" operator="equal">
      <formula>$U$1</formula>
    </cfRule>
  </conditionalFormatting>
  <conditionalFormatting sqref="C1">
    <cfRule type="cellIs" dxfId="70" priority="52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X330" sqref="AX330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$A$329</v>
      </c>
      <c r="D111" s="1" t="str">
        <f>ADDRESS(C121-1,D121,1,1)</f>
        <v>$AX$329</v>
      </c>
      <c r="E111"/>
    </row>
    <row r="112" spans="1:5" x14ac:dyDescent="0.25">
      <c r="A112" s="30">
        <v>14226.649032170862</v>
      </c>
      <c r="C112" s="1" t="str">
        <f>ADDRESS(C121,1,1,1)</f>
        <v>$A$330</v>
      </c>
      <c r="D112" s="1" t="str">
        <f>ADDRESS(C121,D121-1,1,1)</f>
        <v>$AW$330</v>
      </c>
      <c r="E112"/>
    </row>
    <row r="113" spans="1:5" x14ac:dyDescent="0.25">
      <c r="A113" s="30">
        <v>13549.18955444844</v>
      </c>
      <c r="C113" s="1" t="str">
        <f>ADDRESS(C121+1,1,1,1)</f>
        <v>$A$331</v>
      </c>
      <c r="D113" s="1" t="str">
        <f>ADDRESS(C121-1,D121+1,1,1)</f>
        <v>$AY$329</v>
      </c>
    </row>
    <row r="114" spans="1:5" x14ac:dyDescent="0.25">
      <c r="A114" s="30">
        <v>12903.990051855657</v>
      </c>
      <c r="C114" s="1" t="str">
        <f>ADDRESS(C121,D121,1,1)</f>
        <v>$AX$330</v>
      </c>
      <c r="D114" s="1" t="str">
        <f>ADDRESS(C121+1,D121+1,1,1)</f>
        <v>$AY$331</v>
      </c>
    </row>
    <row r="115" spans="1:5" x14ac:dyDescent="0.25">
      <c r="A115" s="30">
        <v>12289.514335100625</v>
      </c>
      <c r="C115" s="1" t="str">
        <f>ADDRESS(C121+1,D121,1,1)</f>
        <v>$AX$331</v>
      </c>
    </row>
    <row r="116" spans="1:5" x14ac:dyDescent="0.25">
      <c r="A116" s="30">
        <v>11704.2993667625</v>
      </c>
      <c r="C116" s="1">
        <f>C117-1</f>
        <v>329</v>
      </c>
    </row>
    <row r="117" spans="1:5" x14ac:dyDescent="0.25">
      <c r="A117" s="30">
        <v>11146.951777869046</v>
      </c>
      <c r="C117" s="1">
        <f>C121</f>
        <v>330</v>
      </c>
      <c r="D117" s="1">
        <f>D121</f>
        <v>50</v>
      </c>
    </row>
    <row r="118" spans="1:5" x14ac:dyDescent="0.25">
      <c r="A118" s="30">
        <v>10616.144550351471</v>
      </c>
      <c r="C118" s="1">
        <f>C117+1</f>
        <v>331</v>
      </c>
      <c r="D118" s="1">
        <f>D117+1</f>
        <v>51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330</v>
      </c>
      <c r="D121" s="19">
        <v>50</v>
      </c>
      <c r="E121" s="19"/>
    </row>
    <row r="122" spans="1:5" x14ac:dyDescent="0.25">
      <c r="A122" s="30">
        <v>8733.9283943225073</v>
      </c>
      <c r="C122" s="1" t="str">
        <f>INDEX(1:1048576,C117,D117)</f>
        <v>O</v>
      </c>
    </row>
    <row r="123" spans="1:5" x14ac:dyDescent="0.25">
      <c r="A123" s="30">
        <v>8318.027042211912</v>
      </c>
      <c r="C123" s="1" t="str">
        <f>"R"&amp;C121</f>
        <v>R330</v>
      </c>
      <c r="D123" s="1" t="str">
        <f>"C"&amp;D121</f>
        <v>C50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0.34184987108661891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O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35" x14ac:dyDescent="0.25">
      <c r="A289" s="30">
        <v>2.5269501953756404</v>
      </c>
      <c r="B289"/>
      <c r="C289"/>
      <c r="D289"/>
      <c r="E289"/>
    </row>
    <row r="290" spans="1:35" x14ac:dyDescent="0.25">
      <c r="A290" s="30">
        <v>2.4066192336910861</v>
      </c>
      <c r="B290"/>
      <c r="C290"/>
      <c r="D290"/>
      <c r="E290"/>
    </row>
    <row r="291" spans="1:35" x14ac:dyDescent="0.25">
      <c r="A291" s="30">
        <v>2.2920183178010345</v>
      </c>
      <c r="B291"/>
      <c r="C291"/>
      <c r="D291"/>
      <c r="E291"/>
    </row>
    <row r="292" spans="1:35" x14ac:dyDescent="0.25">
      <c r="A292" s="30">
        <v>2.1828745883819374</v>
      </c>
      <c r="B292"/>
      <c r="C292"/>
      <c r="D292"/>
      <c r="E292"/>
    </row>
    <row r="293" spans="1:35" x14ac:dyDescent="0.25">
      <c r="A293" s="30">
        <v>2.0789281794113688</v>
      </c>
      <c r="B293"/>
      <c r="C293"/>
      <c r="D293"/>
      <c r="E293"/>
      <c r="O293" s="27" t="s">
        <v>8</v>
      </c>
    </row>
    <row r="294" spans="1:35" x14ac:dyDescent="0.25">
      <c r="A294" s="30">
        <v>1.9799315994393987</v>
      </c>
      <c r="B294"/>
      <c r="C294"/>
      <c r="D294"/>
      <c r="E294"/>
      <c r="O294" s="27" t="s">
        <v>8</v>
      </c>
      <c r="P294" s="27" t="s">
        <v>7</v>
      </c>
    </row>
    <row r="295" spans="1:35" x14ac:dyDescent="0.25">
      <c r="A295" s="30">
        <v>1.8856491423232367</v>
      </c>
      <c r="B295"/>
      <c r="C295"/>
      <c r="D295"/>
      <c r="E295"/>
      <c r="K295" s="27" t="s">
        <v>8</v>
      </c>
      <c r="M295" s="27" t="s">
        <v>8</v>
      </c>
      <c r="O295" s="27" t="s">
        <v>8</v>
      </c>
      <c r="P295" s="27" t="s">
        <v>7</v>
      </c>
    </row>
    <row r="296" spans="1:35" x14ac:dyDescent="0.25">
      <c r="A296" s="30">
        <v>1.7958563260221301</v>
      </c>
      <c r="B296"/>
      <c r="C296"/>
      <c r="D296"/>
      <c r="E296"/>
      <c r="K296" s="27" t="s">
        <v>8</v>
      </c>
      <c r="L296" s="27" t="s">
        <v>7</v>
      </c>
      <c r="M296" s="27" t="s">
        <v>8</v>
      </c>
      <c r="N296" s="27" t="s">
        <v>7</v>
      </c>
      <c r="O296" s="27" t="s">
        <v>8</v>
      </c>
      <c r="P296" s="27" t="s">
        <v>7</v>
      </c>
    </row>
    <row r="297" spans="1:35" x14ac:dyDescent="0.25">
      <c r="A297" s="30">
        <v>1.7103393581163142</v>
      </c>
      <c r="B297"/>
      <c r="C297"/>
      <c r="D297"/>
      <c r="E297"/>
      <c r="K297" s="27" t="s">
        <v>8</v>
      </c>
      <c r="L297" s="27" t="s">
        <v>7</v>
      </c>
      <c r="M297" s="27" t="s">
        <v>8</v>
      </c>
      <c r="N297" s="27" t="s">
        <v>7</v>
      </c>
      <c r="O297" s="27" t="s">
        <v>8</v>
      </c>
      <c r="P297" s="27" t="s">
        <v>7</v>
      </c>
    </row>
    <row r="298" spans="1:35" x14ac:dyDescent="0.25">
      <c r="A298" s="30">
        <v>1.628894626777442</v>
      </c>
      <c r="B298"/>
      <c r="C298"/>
      <c r="D298"/>
      <c r="E298"/>
      <c r="K298" s="27" t="s">
        <v>8</v>
      </c>
      <c r="L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S298" s="27" t="s">
        <v>8</v>
      </c>
    </row>
    <row r="299" spans="1:35" x14ac:dyDescent="0.25">
      <c r="A299" s="30">
        <v>1.5513282159785162</v>
      </c>
      <c r="B299"/>
      <c r="C299"/>
      <c r="D299"/>
      <c r="E299"/>
      <c r="K299" s="27" t="s">
        <v>8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S299" s="27" t="s">
        <v>8</v>
      </c>
      <c r="T299" s="27" t="s">
        <v>7</v>
      </c>
      <c r="AE299" s="27" t="s">
        <v>8</v>
      </c>
    </row>
    <row r="300" spans="1:35" x14ac:dyDescent="0.25">
      <c r="A300" s="30">
        <v>1.477455443789063</v>
      </c>
      <c r="B300"/>
      <c r="C300"/>
      <c r="D300"/>
      <c r="E300"/>
      <c r="K300" s="27" t="s">
        <v>8</v>
      </c>
      <c r="L300" s="27" t="s">
        <v>7</v>
      </c>
      <c r="N300" s="27" t="s">
        <v>7</v>
      </c>
      <c r="O300" s="27" t="s">
        <v>8</v>
      </c>
      <c r="P300" s="27" t="s">
        <v>7</v>
      </c>
      <c r="Q300" s="27" t="s">
        <v>8</v>
      </c>
      <c r="S300" s="27" t="s">
        <v>8</v>
      </c>
      <c r="T300" s="27" t="s">
        <v>7</v>
      </c>
      <c r="AA300" s="27" t="s">
        <v>8</v>
      </c>
      <c r="AC300" s="27" t="s">
        <v>8</v>
      </c>
      <c r="AE300" s="27" t="s">
        <v>8</v>
      </c>
      <c r="AF300" s="27" t="s">
        <v>7</v>
      </c>
    </row>
    <row r="301" spans="1:35" x14ac:dyDescent="0.25">
      <c r="A301" s="30">
        <v>1.4071004226562505</v>
      </c>
      <c r="B301"/>
      <c r="C301"/>
      <c r="D301"/>
      <c r="E301"/>
      <c r="I301" s="18" t="s">
        <v>8</v>
      </c>
      <c r="K301" s="27" t="s">
        <v>8</v>
      </c>
      <c r="N301" s="27" t="s">
        <v>7</v>
      </c>
      <c r="O301" s="27" t="s">
        <v>8</v>
      </c>
      <c r="P301" s="27" t="s">
        <v>7</v>
      </c>
      <c r="Q301" s="27" t="s">
        <v>8</v>
      </c>
      <c r="R301" s="27" t="s">
        <v>7</v>
      </c>
      <c r="S301" s="27" t="s">
        <v>8</v>
      </c>
      <c r="T301" s="27" t="s">
        <v>7</v>
      </c>
      <c r="AA301" s="27" t="s">
        <v>8</v>
      </c>
      <c r="AB301" s="27" t="s">
        <v>7</v>
      </c>
      <c r="AC301" s="27" t="s">
        <v>8</v>
      </c>
      <c r="AD301" s="27" t="s">
        <v>7</v>
      </c>
      <c r="AE301" s="27" t="s">
        <v>8</v>
      </c>
      <c r="AF301" s="27" t="s">
        <v>7</v>
      </c>
    </row>
    <row r="302" spans="1:35" x14ac:dyDescent="0.25">
      <c r="A302" s="30">
        <v>1.3400956406250004</v>
      </c>
      <c r="B302"/>
      <c r="C302"/>
      <c r="D302"/>
      <c r="E302"/>
      <c r="I302" s="27" t="s">
        <v>8</v>
      </c>
      <c r="J302" s="27" t="s">
        <v>7</v>
      </c>
      <c r="K302" s="27" t="s">
        <v>8</v>
      </c>
      <c r="N302" s="27" t="s">
        <v>7</v>
      </c>
      <c r="P302" s="27" t="s">
        <v>7</v>
      </c>
      <c r="Q302" s="27" t="s">
        <v>8</v>
      </c>
      <c r="R302" s="27" t="s">
        <v>7</v>
      </c>
      <c r="S302" s="27" t="s">
        <v>8</v>
      </c>
      <c r="T302" s="27" t="s">
        <v>7</v>
      </c>
      <c r="W302" s="27" t="s">
        <v>8</v>
      </c>
      <c r="Y302" s="27" t="s">
        <v>8</v>
      </c>
      <c r="AA302" s="27" t="s">
        <v>8</v>
      </c>
      <c r="AB302" s="27" t="s">
        <v>7</v>
      </c>
      <c r="AC302" s="27" t="s">
        <v>8</v>
      </c>
      <c r="AD302" s="27" t="s">
        <v>7</v>
      </c>
      <c r="AE302" s="27" t="s">
        <v>8</v>
      </c>
      <c r="AF302" s="27" t="s">
        <v>7</v>
      </c>
      <c r="AG302" s="27" t="s">
        <v>8</v>
      </c>
    </row>
    <row r="303" spans="1:35" x14ac:dyDescent="0.25">
      <c r="A303" s="30">
        <v>1.2762815625000004</v>
      </c>
      <c r="B303"/>
      <c r="C303"/>
      <c r="D303"/>
      <c r="E303" t="s">
        <v>8</v>
      </c>
      <c r="I303" s="27" t="s">
        <v>8</v>
      </c>
      <c r="J303" s="27" t="s">
        <v>7</v>
      </c>
      <c r="K303" s="27" t="s">
        <v>8</v>
      </c>
      <c r="P303" s="27" t="s">
        <v>7</v>
      </c>
      <c r="Q303" s="27" t="s">
        <v>8</v>
      </c>
      <c r="R303" s="27" t="s">
        <v>7</v>
      </c>
      <c r="T303" s="27" t="s">
        <v>7</v>
      </c>
      <c r="W303" s="27" t="s">
        <v>8</v>
      </c>
      <c r="X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C303" s="27" t="s">
        <v>8</v>
      </c>
      <c r="AD303" s="27" t="s">
        <v>7</v>
      </c>
      <c r="AF303" s="27" t="s">
        <v>7</v>
      </c>
      <c r="AG303" s="27" t="s">
        <v>8</v>
      </c>
      <c r="AH303" s="27" t="s">
        <v>7</v>
      </c>
    </row>
    <row r="304" spans="1:35" x14ac:dyDescent="0.25">
      <c r="A304" s="30">
        <v>1.2155062500000002</v>
      </c>
      <c r="B304"/>
      <c r="C304"/>
      <c r="D304"/>
      <c r="E304" t="s">
        <v>8</v>
      </c>
      <c r="F304" s="27" t="s">
        <v>7</v>
      </c>
      <c r="G304" s="27" t="s">
        <v>8</v>
      </c>
      <c r="I304" s="27" t="s">
        <v>8</v>
      </c>
      <c r="J304" s="27" t="s">
        <v>7</v>
      </c>
      <c r="P304" s="27" t="s">
        <v>7</v>
      </c>
      <c r="Q304" s="27" t="s">
        <v>8</v>
      </c>
      <c r="T304" s="27" t="s">
        <v>7</v>
      </c>
      <c r="U304" s="27" t="s">
        <v>8</v>
      </c>
      <c r="W304" s="27" t="s">
        <v>8</v>
      </c>
      <c r="X304" s="27" t="s">
        <v>7</v>
      </c>
      <c r="Y304" s="27" t="s">
        <v>8</v>
      </c>
      <c r="Z304" s="27" t="s">
        <v>7</v>
      </c>
      <c r="AA304" s="27" t="s">
        <v>8</v>
      </c>
      <c r="AB304" s="27" t="s">
        <v>7</v>
      </c>
      <c r="AC304" s="27" t="s">
        <v>8</v>
      </c>
      <c r="AF304" s="27" t="s">
        <v>7</v>
      </c>
      <c r="AG304" s="27" t="s">
        <v>8</v>
      </c>
      <c r="AH304" s="27" t="s">
        <v>7</v>
      </c>
      <c r="AI304" s="27" t="s">
        <v>8</v>
      </c>
    </row>
    <row r="305" spans="1:48" x14ac:dyDescent="0.25">
      <c r="A305" s="30">
        <v>1.1576249999999999</v>
      </c>
      <c r="B305"/>
      <c r="C305"/>
      <c r="D305"/>
      <c r="E305" t="s">
        <v>8</v>
      </c>
      <c r="F305" s="27" t="s">
        <v>7</v>
      </c>
      <c r="G305" s="27" t="s">
        <v>8</v>
      </c>
      <c r="H305" s="27" t="s">
        <v>7</v>
      </c>
      <c r="I305" s="27" t="s">
        <v>8</v>
      </c>
      <c r="P305" s="27" t="s">
        <v>7</v>
      </c>
      <c r="Q305" s="27" t="s">
        <v>8</v>
      </c>
      <c r="T305" s="27" t="s">
        <v>7</v>
      </c>
      <c r="U305" s="27" t="s">
        <v>8</v>
      </c>
      <c r="V305" s="27" t="s">
        <v>7</v>
      </c>
      <c r="W305" s="27" t="s">
        <v>8</v>
      </c>
      <c r="X305" s="27" t="s">
        <v>7</v>
      </c>
      <c r="Z305" s="27" t="s">
        <v>7</v>
      </c>
      <c r="AA305" s="27" t="s">
        <v>8</v>
      </c>
      <c r="AB305" s="27" t="s">
        <v>7</v>
      </c>
      <c r="AC305" s="27" t="s">
        <v>8</v>
      </c>
      <c r="AF305" s="27" t="s">
        <v>7</v>
      </c>
      <c r="AG305" s="27" t="s">
        <v>8</v>
      </c>
      <c r="AH305" s="27" t="s">
        <v>7</v>
      </c>
      <c r="AI305" s="27" t="s">
        <v>8</v>
      </c>
      <c r="AJ305" s="27" t="s">
        <v>7</v>
      </c>
    </row>
    <row r="306" spans="1:48" x14ac:dyDescent="0.25">
      <c r="A306" s="30">
        <v>1.1025</v>
      </c>
      <c r="B306"/>
      <c r="C306"/>
      <c r="D306"/>
      <c r="E306" t="s">
        <v>8</v>
      </c>
      <c r="F306" s="27" t="s">
        <v>7</v>
      </c>
      <c r="G306" s="27" t="s">
        <v>8</v>
      </c>
      <c r="H306" s="27" t="s">
        <v>7</v>
      </c>
      <c r="I306" s="27" t="s">
        <v>8</v>
      </c>
      <c r="P306" s="27" t="s">
        <v>7</v>
      </c>
      <c r="T306" s="27" t="s">
        <v>7</v>
      </c>
      <c r="U306" s="27" t="s">
        <v>8</v>
      </c>
      <c r="V306" s="27" t="s">
        <v>7</v>
      </c>
      <c r="W306" s="27" t="s">
        <v>8</v>
      </c>
      <c r="Z306" s="27" t="s">
        <v>7</v>
      </c>
      <c r="AB306" s="27" t="s">
        <v>7</v>
      </c>
      <c r="AF306" s="27" t="s">
        <v>7</v>
      </c>
      <c r="AG306" s="27" t="s">
        <v>8</v>
      </c>
      <c r="AH306" s="27" t="s">
        <v>7</v>
      </c>
      <c r="AI306" s="27" t="s">
        <v>8</v>
      </c>
      <c r="AJ306" s="27" t="s">
        <v>7</v>
      </c>
      <c r="AM306" s="27" t="s">
        <v>8</v>
      </c>
    </row>
    <row r="307" spans="1:48" x14ac:dyDescent="0.25">
      <c r="A307" s="30">
        <v>1.05</v>
      </c>
      <c r="B307"/>
      <c r="C307"/>
      <c r="D307"/>
      <c r="E307" t="s">
        <v>8</v>
      </c>
      <c r="F307" s="27" t="s">
        <v>7</v>
      </c>
      <c r="G307" s="27" t="s">
        <v>8</v>
      </c>
      <c r="H307" s="27" t="s">
        <v>7</v>
      </c>
      <c r="T307" s="27" t="s">
        <v>7</v>
      </c>
      <c r="U307" s="27" t="s">
        <v>8</v>
      </c>
      <c r="V307" s="27" t="s">
        <v>7</v>
      </c>
      <c r="AF307" s="27" t="s">
        <v>7</v>
      </c>
      <c r="AH307" s="27" t="s">
        <v>7</v>
      </c>
      <c r="AJ307" s="27" t="s">
        <v>7</v>
      </c>
      <c r="AM307" s="27" t="s">
        <v>8</v>
      </c>
      <c r="AN307" s="27" t="s">
        <v>7</v>
      </c>
    </row>
    <row r="308" spans="1:48" x14ac:dyDescent="0.25">
      <c r="A308" s="30">
        <v>1</v>
      </c>
      <c r="B308"/>
      <c r="C308"/>
      <c r="D308"/>
      <c r="E308" t="s">
        <v>8</v>
      </c>
      <c r="F308" s="27" t="s">
        <v>7</v>
      </c>
      <c r="T308" s="27" t="s">
        <v>7</v>
      </c>
      <c r="U308" s="27" t="s">
        <v>8</v>
      </c>
      <c r="AJ308" s="27" t="s">
        <v>7</v>
      </c>
      <c r="AM308" s="27" t="s">
        <v>8</v>
      </c>
      <c r="AN308" s="27" t="s">
        <v>7</v>
      </c>
    </row>
    <row r="309" spans="1:48" x14ac:dyDescent="0.25">
      <c r="A309" s="30">
        <v>0.952380952380952</v>
      </c>
      <c r="B309"/>
      <c r="C309"/>
      <c r="D309"/>
      <c r="E309"/>
      <c r="T309" s="27" t="s">
        <v>7</v>
      </c>
      <c r="U309" s="27" t="s">
        <v>8</v>
      </c>
      <c r="AJ309" s="27" t="s">
        <v>7</v>
      </c>
      <c r="AM309" s="27" t="s">
        <v>8</v>
      </c>
      <c r="AN309" s="27" t="s">
        <v>7</v>
      </c>
      <c r="AO309" s="27" t="s">
        <v>8</v>
      </c>
    </row>
    <row r="310" spans="1:48" x14ac:dyDescent="0.25">
      <c r="A310" s="30">
        <v>0.90702947845804915</v>
      </c>
      <c r="B310"/>
      <c r="C310"/>
      <c r="D310"/>
      <c r="E310"/>
      <c r="T310" s="27" t="s">
        <v>7</v>
      </c>
      <c r="AJ310" s="27" t="s">
        <v>7</v>
      </c>
      <c r="AK310" s="27" t="s">
        <v>8</v>
      </c>
      <c r="AM310" s="27" t="s">
        <v>8</v>
      </c>
      <c r="AN310" s="27" t="s">
        <v>7</v>
      </c>
      <c r="AO310" s="27" t="s">
        <v>8</v>
      </c>
      <c r="AP310" s="27" t="s">
        <v>7</v>
      </c>
    </row>
    <row r="311" spans="1:48" x14ac:dyDescent="0.25">
      <c r="A311" s="30">
        <v>0.86383759853147501</v>
      </c>
      <c r="B311"/>
      <c r="C311"/>
      <c r="D311"/>
      <c r="E311"/>
      <c r="AJ311" s="27" t="s">
        <v>7</v>
      </c>
      <c r="AK311" s="27" t="s">
        <v>8</v>
      </c>
      <c r="AL311" s="27" t="s">
        <v>7</v>
      </c>
      <c r="AM311" s="27" t="s">
        <v>8</v>
      </c>
      <c r="AN311" s="27" t="s">
        <v>7</v>
      </c>
      <c r="AO311" s="27" t="s">
        <v>8</v>
      </c>
      <c r="AP311" s="27" t="s">
        <v>7</v>
      </c>
      <c r="AQ311" s="27" t="s">
        <v>8</v>
      </c>
    </row>
    <row r="312" spans="1:48" x14ac:dyDescent="0.25">
      <c r="A312" s="30">
        <v>0.82270247479188063</v>
      </c>
      <c r="B312"/>
      <c r="C312"/>
      <c r="D312"/>
      <c r="E312"/>
      <c r="AJ312" s="27" t="s">
        <v>7</v>
      </c>
      <c r="AK312" s="27" t="s">
        <v>8</v>
      </c>
      <c r="AL312" s="27" t="s">
        <v>7</v>
      </c>
      <c r="AM312" s="27" t="s">
        <v>8</v>
      </c>
      <c r="AN312" s="27" t="s">
        <v>7</v>
      </c>
      <c r="AO312" s="27" t="s">
        <v>8</v>
      </c>
      <c r="AP312" s="27" t="s">
        <v>7</v>
      </c>
      <c r="AQ312" s="27" t="s">
        <v>8</v>
      </c>
      <c r="AR312" s="27" t="s">
        <v>7</v>
      </c>
    </row>
    <row r="313" spans="1:48" x14ac:dyDescent="0.25">
      <c r="A313" s="30">
        <v>0.78352616646845741</v>
      </c>
      <c r="B313"/>
      <c r="C313"/>
      <c r="D313"/>
      <c r="E313"/>
      <c r="AJ313" s="27" t="s">
        <v>7</v>
      </c>
      <c r="AK313" s="27" t="s">
        <v>8</v>
      </c>
      <c r="AL313" s="27" t="s">
        <v>7</v>
      </c>
      <c r="AM313" s="27" t="s">
        <v>8</v>
      </c>
      <c r="AN313" s="27" t="s">
        <v>7</v>
      </c>
      <c r="AO313" s="27" t="s">
        <v>8</v>
      </c>
      <c r="AP313" s="27" t="s">
        <v>7</v>
      </c>
      <c r="AQ313" s="27" t="s">
        <v>8</v>
      </c>
      <c r="AR313" s="27" t="s">
        <v>7</v>
      </c>
      <c r="AS313" s="27" t="s">
        <v>8</v>
      </c>
    </row>
    <row r="314" spans="1:48" x14ac:dyDescent="0.25">
      <c r="A314" s="30">
        <v>0.74621539663662584</v>
      </c>
      <c r="B314"/>
      <c r="C314"/>
      <c r="D314"/>
      <c r="E314"/>
      <c r="AJ314" s="27" t="s">
        <v>7</v>
      </c>
      <c r="AL314" s="27" t="s">
        <v>7</v>
      </c>
      <c r="AM314" s="27" t="s">
        <v>8</v>
      </c>
      <c r="AN314" s="27" t="s">
        <v>7</v>
      </c>
      <c r="AP314" s="27" t="s">
        <v>7</v>
      </c>
      <c r="AR314" s="27" t="s">
        <v>7</v>
      </c>
      <c r="AS314" s="27" t="s">
        <v>8</v>
      </c>
      <c r="AT314" s="27" t="s">
        <v>7</v>
      </c>
    </row>
    <row r="315" spans="1:48" x14ac:dyDescent="0.25">
      <c r="A315" s="30">
        <v>0.71068133013011958</v>
      </c>
      <c r="B315"/>
      <c r="C315"/>
      <c r="D315"/>
      <c r="E315"/>
      <c r="AL315" s="27" t="s">
        <v>7</v>
      </c>
      <c r="AR315" s="27" t="s">
        <v>7</v>
      </c>
      <c r="AS315" s="27" t="s">
        <v>8</v>
      </c>
      <c r="AT315" s="27" t="s">
        <v>7</v>
      </c>
    </row>
    <row r="316" spans="1:48" x14ac:dyDescent="0.25">
      <c r="A316" s="30">
        <v>0.676839362028685</v>
      </c>
      <c r="B316"/>
      <c r="C316"/>
      <c r="D316"/>
      <c r="E316"/>
      <c r="AR316" s="27" t="s">
        <v>7</v>
      </c>
      <c r="AS316" s="27" t="s">
        <v>8</v>
      </c>
      <c r="AT316" s="27" t="s">
        <v>7</v>
      </c>
    </row>
    <row r="317" spans="1:48" x14ac:dyDescent="0.25">
      <c r="A317" s="30">
        <v>0.64460891621779492</v>
      </c>
      <c r="B317"/>
      <c r="C317"/>
      <c r="D317"/>
      <c r="E317"/>
      <c r="AR317" s="27" t="s">
        <v>7</v>
      </c>
      <c r="AS317" s="27" t="s">
        <v>8</v>
      </c>
      <c r="AT317" s="27" t="s">
        <v>7</v>
      </c>
      <c r="AU317" s="27" t="s">
        <v>8</v>
      </c>
    </row>
    <row r="318" spans="1:48" x14ac:dyDescent="0.25">
      <c r="A318" s="30">
        <v>0.61391325354075688</v>
      </c>
      <c r="B318"/>
      <c r="C318"/>
      <c r="D318"/>
      <c r="E318"/>
      <c r="AR318" s="27" t="s">
        <v>7</v>
      </c>
      <c r="AS318" s="27" t="s">
        <v>8</v>
      </c>
      <c r="AT318" s="27" t="s">
        <v>7</v>
      </c>
      <c r="AU318" s="27" t="s">
        <v>8</v>
      </c>
      <c r="AV318" s="27" t="s">
        <v>7</v>
      </c>
    </row>
    <row r="319" spans="1:48" x14ac:dyDescent="0.25">
      <c r="A319" s="30">
        <v>0.58467928908643485</v>
      </c>
      <c r="B319"/>
      <c r="C319"/>
      <c r="D319"/>
      <c r="E319"/>
      <c r="AR319" s="27" t="s">
        <v>7</v>
      </c>
      <c r="AS319" s="27" t="s">
        <v>8</v>
      </c>
      <c r="AT319" s="27" t="s">
        <v>7</v>
      </c>
      <c r="AU319" s="27" t="s">
        <v>8</v>
      </c>
      <c r="AV319" s="27" t="s">
        <v>7</v>
      </c>
    </row>
    <row r="320" spans="1:48" x14ac:dyDescent="0.25">
      <c r="A320" s="30">
        <v>0.55683741817755672</v>
      </c>
      <c r="B320"/>
      <c r="C320"/>
      <c r="D320"/>
      <c r="E320"/>
      <c r="AR320" s="27" t="s">
        <v>7</v>
      </c>
      <c r="AT320" s="27" t="s">
        <v>7</v>
      </c>
      <c r="AV320" s="27" t="s">
        <v>7</v>
      </c>
    </row>
    <row r="321" spans="1:50" x14ac:dyDescent="0.25">
      <c r="A321" s="30">
        <v>0.53032135064529184</v>
      </c>
      <c r="B321"/>
      <c r="C321"/>
      <c r="D321"/>
      <c r="E321"/>
      <c r="AV321" s="27" t="s">
        <v>7</v>
      </c>
    </row>
    <row r="322" spans="1:50" x14ac:dyDescent="0.25">
      <c r="A322" s="30">
        <v>0.50506795299551588</v>
      </c>
      <c r="B322"/>
      <c r="C322"/>
      <c r="D322"/>
      <c r="E322"/>
      <c r="AV322" s="27" t="s">
        <v>7</v>
      </c>
    </row>
    <row r="323" spans="1:50" x14ac:dyDescent="0.25">
      <c r="A323" s="30">
        <v>0.48101709809096732</v>
      </c>
      <c r="B323"/>
      <c r="C323"/>
      <c r="D323"/>
      <c r="E323"/>
      <c r="AV323" s="27" t="s">
        <v>7</v>
      </c>
    </row>
    <row r="324" spans="1:50" x14ac:dyDescent="0.25">
      <c r="A324" s="30">
        <v>0.45811152199139726</v>
      </c>
      <c r="B324"/>
      <c r="C324"/>
      <c r="D324"/>
      <c r="E324"/>
      <c r="AV324" s="27" t="s">
        <v>7</v>
      </c>
    </row>
    <row r="325" spans="1:50" x14ac:dyDescent="0.25">
      <c r="A325" s="30">
        <v>0.43629668761085438</v>
      </c>
      <c r="B325"/>
      <c r="C325"/>
      <c r="D325"/>
      <c r="E325"/>
      <c r="AV325" s="27" t="s">
        <v>7</v>
      </c>
      <c r="AW325" s="27" t="s">
        <v>8</v>
      </c>
    </row>
    <row r="326" spans="1:50" x14ac:dyDescent="0.25">
      <c r="A326" s="30">
        <v>0.41552065486748019</v>
      </c>
      <c r="B326"/>
      <c r="C326"/>
      <c r="D326"/>
      <c r="E326"/>
      <c r="AV326" s="27" t="s">
        <v>7</v>
      </c>
      <c r="AW326" s="27" t="s">
        <v>8</v>
      </c>
      <c r="AX326" s="27" t="s">
        <v>7</v>
      </c>
    </row>
    <row r="327" spans="1:50" x14ac:dyDescent="0.25">
      <c r="A327" s="30">
        <v>0.39573395701664765</v>
      </c>
      <c r="B327"/>
      <c r="C327"/>
      <c r="D327"/>
      <c r="E327"/>
      <c r="AV327" s="27" t="s">
        <v>7</v>
      </c>
      <c r="AW327" s="27" t="s">
        <v>8</v>
      </c>
      <c r="AX327" s="27" t="s">
        <v>7</v>
      </c>
    </row>
    <row r="328" spans="1:50" x14ac:dyDescent="0.25">
      <c r="A328" s="30">
        <v>0.37688948287299762</v>
      </c>
      <c r="B328"/>
      <c r="C328"/>
      <c r="D328"/>
      <c r="E328"/>
      <c r="AV328" s="27" t="s">
        <v>7</v>
      </c>
      <c r="AW328" s="27" t="s">
        <v>8</v>
      </c>
      <c r="AX328" s="27" t="s">
        <v>7</v>
      </c>
    </row>
    <row r="329" spans="1:50" x14ac:dyDescent="0.25">
      <c r="A329" s="30">
        <v>0.35894236464094997</v>
      </c>
      <c r="B329"/>
      <c r="C329"/>
      <c r="D329"/>
      <c r="E329"/>
      <c r="AV329" s="27" t="s">
        <v>7</v>
      </c>
      <c r="AX329" s="27" t="s">
        <v>7</v>
      </c>
    </row>
    <row r="330" spans="1:50" x14ac:dyDescent="0.25">
      <c r="A330" s="30">
        <v>0.34184987108661891</v>
      </c>
      <c r="B330"/>
      <c r="C330"/>
      <c r="D330"/>
      <c r="E330"/>
      <c r="AX330" s="27" t="s">
        <v>7</v>
      </c>
    </row>
    <row r="331" spans="1:50" x14ac:dyDescent="0.25">
      <c r="A331" s="30">
        <v>0.32557130579677979</v>
      </c>
      <c r="B331"/>
      <c r="C331"/>
      <c r="D331"/>
      <c r="E331"/>
    </row>
    <row r="332" spans="1:50" x14ac:dyDescent="0.25">
      <c r="A332" s="30">
        <v>0.3100679102826473</v>
      </c>
      <c r="B332"/>
      <c r="C332"/>
      <c r="D332"/>
      <c r="E332"/>
    </row>
    <row r="333" spans="1:50" x14ac:dyDescent="0.25">
      <c r="A333" s="30">
        <v>0.2953027716977592</v>
      </c>
      <c r="B333"/>
      <c r="C333"/>
      <c r="D333"/>
      <c r="E333"/>
    </row>
    <row r="334" spans="1:50" x14ac:dyDescent="0.25">
      <c r="A334" s="30">
        <v>0.28124073495024676</v>
      </c>
      <c r="B334"/>
      <c r="C334"/>
      <c r="D334"/>
      <c r="E334"/>
    </row>
    <row r="335" spans="1:50" x14ac:dyDescent="0.25">
      <c r="A335" s="30">
        <v>0.26784831900023492</v>
      </c>
      <c r="B335"/>
      <c r="C335"/>
      <c r="D335"/>
      <c r="E335"/>
    </row>
    <row r="336" spans="1:50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59" operator="equal">
      <formula>$U$1</formula>
    </cfRule>
    <cfRule type="cellIs" dxfId="67" priority="560" operator="equal">
      <formula>$S$1</formula>
    </cfRule>
  </conditionalFormatting>
  <conditionalFormatting sqref="D136">
    <cfRule type="cellIs" dxfId="66" priority="557" operator="equal">
      <formula>$S$1</formula>
    </cfRule>
    <cfRule type="cellIs" dxfId="65" priority="558" operator="equal">
      <formula>$U$1</formula>
    </cfRule>
  </conditionalFormatting>
  <conditionalFormatting sqref="C162">
    <cfRule type="cellIs" dxfId="64" priority="555" operator="equal">
      <formula>$U$1</formula>
    </cfRule>
    <cfRule type="cellIs" dxfId="63" priority="556" operator="equal">
      <formula>$S$1</formula>
    </cfRule>
  </conditionalFormatting>
  <conditionalFormatting sqref="D162">
    <cfRule type="cellIs" dxfId="62" priority="553" operator="equal">
      <formula>$S$1</formula>
    </cfRule>
    <cfRule type="cellIs" dxfId="61" priority="554" operator="equal">
      <formula>$U$1</formula>
    </cfRule>
  </conditionalFormatting>
  <conditionalFormatting sqref="C187">
    <cfRule type="cellIs" dxfId="60" priority="551" operator="equal">
      <formula>$U$1</formula>
    </cfRule>
    <cfRule type="cellIs" dxfId="59" priority="552" operator="equal">
      <formula>$S$1</formula>
    </cfRule>
  </conditionalFormatting>
  <conditionalFormatting sqref="D187">
    <cfRule type="cellIs" dxfId="58" priority="549" operator="equal">
      <formula>$S$1</formula>
    </cfRule>
    <cfRule type="cellIs" dxfId="57" priority="550" operator="equal">
      <formula>$U$1</formula>
    </cfRule>
  </conditionalFormatting>
  <conditionalFormatting sqref="C212">
    <cfRule type="cellIs" dxfId="56" priority="547" operator="equal">
      <formula>$U$1</formula>
    </cfRule>
    <cfRule type="cellIs" dxfId="55" priority="548" operator="equal">
      <formula>$S$1</formula>
    </cfRule>
  </conditionalFormatting>
  <conditionalFormatting sqref="D212">
    <cfRule type="cellIs" dxfId="54" priority="545" operator="equal">
      <formula>$S$1</formula>
    </cfRule>
    <cfRule type="cellIs" dxfId="53" priority="546" operator="equal">
      <formula>$U$1</formula>
    </cfRule>
  </conditionalFormatting>
  <conditionalFormatting sqref="C237">
    <cfRule type="cellIs" dxfId="52" priority="543" operator="equal">
      <formula>$U$1</formula>
    </cfRule>
    <cfRule type="cellIs" dxfId="51" priority="544" operator="equal">
      <formula>$S$1</formula>
    </cfRule>
  </conditionalFormatting>
  <conditionalFormatting sqref="D237">
    <cfRule type="cellIs" dxfId="50" priority="541" operator="equal">
      <formula>$S$1</formula>
    </cfRule>
    <cfRule type="cellIs" dxfId="49" priority="542" operator="equal">
      <formula>$U$1</formula>
    </cfRule>
  </conditionalFormatting>
  <conditionalFormatting sqref="C106">
    <cfRule type="cellIs" dxfId="48" priority="539" operator="equal">
      <formula>$U$1</formula>
    </cfRule>
    <cfRule type="cellIs" dxfId="47" priority="540" operator="equal">
      <formula>$S$1</formula>
    </cfRule>
  </conditionalFormatting>
  <conditionalFormatting sqref="D106">
    <cfRule type="cellIs" dxfId="46" priority="537" operator="equal">
      <formula>$S$1</formula>
    </cfRule>
    <cfRule type="cellIs" dxfId="45" priority="538" operator="equal">
      <formula>$U$1</formula>
    </cfRule>
  </conditionalFormatting>
  <conditionalFormatting sqref="C81">
    <cfRule type="cellIs" dxfId="44" priority="535" operator="equal">
      <formula>$U$1</formula>
    </cfRule>
    <cfRule type="cellIs" dxfId="43" priority="536" operator="equal">
      <formula>$S$1</formula>
    </cfRule>
  </conditionalFormatting>
  <conditionalFormatting sqref="D81">
    <cfRule type="cellIs" dxfId="42" priority="533" operator="equal">
      <formula>$S$1</formula>
    </cfRule>
    <cfRule type="cellIs" dxfId="41" priority="534" operator="equal">
      <formula>$U$1</formula>
    </cfRule>
  </conditionalFormatting>
  <conditionalFormatting sqref="C56">
    <cfRule type="cellIs" dxfId="40" priority="531" operator="equal">
      <formula>$U$1</formula>
    </cfRule>
    <cfRule type="cellIs" dxfId="39" priority="532" operator="equal">
      <formula>$S$1</formula>
    </cfRule>
  </conditionalFormatting>
  <conditionalFormatting sqref="D56">
    <cfRule type="cellIs" dxfId="38" priority="529" operator="equal">
      <formula>$S$1</formula>
    </cfRule>
    <cfRule type="cellIs" dxfId="37" priority="530" operator="equal">
      <formula>$U$1</formula>
    </cfRule>
  </conditionalFormatting>
  <conditionalFormatting sqref="C31">
    <cfRule type="cellIs" dxfId="36" priority="527" operator="equal">
      <formula>$U$1</formula>
    </cfRule>
    <cfRule type="cellIs" dxfId="35" priority="528" operator="equal">
      <formula>$S$1</formula>
    </cfRule>
  </conditionalFormatting>
  <conditionalFormatting sqref="D31">
    <cfRule type="cellIs" dxfId="34" priority="525" operator="equal">
      <formula>$S$1</formula>
    </cfRule>
    <cfRule type="cellIs" dxfId="33" priority="52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R169" sqref="R169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$A$168</v>
      </c>
      <c r="D111" s="1" t="str">
        <f>ADDRESS(C121-1,D121,1,1)</f>
        <v>$R$168</v>
      </c>
      <c r="E111"/>
    </row>
    <row r="112" spans="1:5" x14ac:dyDescent="0.25">
      <c r="A112" s="30">
        <v>80.179532053613613</v>
      </c>
      <c r="C112" s="1" t="str">
        <f>ADDRESS(C121,1,1,1)</f>
        <v>$A$169</v>
      </c>
      <c r="D112" s="1" t="str">
        <f>ADDRESS(C121,D121-1,1,1)</f>
        <v>$Q$169</v>
      </c>
      <c r="E112"/>
    </row>
    <row r="113" spans="1:5" x14ac:dyDescent="0.25">
      <c r="A113" s="30">
        <v>72.890483685103277</v>
      </c>
      <c r="C113" s="1" t="str">
        <f>ADDRESS(C121+1,1,1,1)</f>
        <v>$A$170</v>
      </c>
      <c r="D113" s="1" t="str">
        <f>ADDRESS(C121-1,D121+1,1,1)</f>
        <v>$S$168</v>
      </c>
    </row>
    <row r="114" spans="1:5" x14ac:dyDescent="0.25">
      <c r="A114" s="30">
        <v>66.26407607736661</v>
      </c>
      <c r="C114" s="1" t="str">
        <f>ADDRESS(C121,D121,1,1)</f>
        <v>$R$169</v>
      </c>
      <c r="D114" s="1" t="str">
        <f>ADDRESS(C121+1,D121+1,1,1)</f>
        <v>$S$170</v>
      </c>
    </row>
    <row r="115" spans="1:5" x14ac:dyDescent="0.25">
      <c r="A115" s="30">
        <v>60.240069161242367</v>
      </c>
      <c r="C115" s="1" t="str">
        <f>ADDRESS(C121+1,D121,1,1)</f>
        <v>$R$170</v>
      </c>
    </row>
    <row r="116" spans="1:5" x14ac:dyDescent="0.25">
      <c r="A116" s="30">
        <v>54.763699237493057</v>
      </c>
      <c r="C116" s="1">
        <f>C117-1</f>
        <v>168</v>
      </c>
    </row>
    <row r="117" spans="1:5" x14ac:dyDescent="0.25">
      <c r="A117" s="30">
        <v>49.785181124993684</v>
      </c>
      <c r="C117" s="1">
        <f>C121</f>
        <v>169</v>
      </c>
      <c r="D117" s="1">
        <f>D121</f>
        <v>18</v>
      </c>
    </row>
    <row r="118" spans="1:5" x14ac:dyDescent="0.25">
      <c r="A118" s="30">
        <v>45.259255568176073</v>
      </c>
      <c r="C118" s="1">
        <f>C117+1</f>
        <v>170</v>
      </c>
      <c r="D118" s="1">
        <f>D117+1</f>
        <v>19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169</v>
      </c>
      <c r="D121" s="19">
        <v>18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R169</v>
      </c>
      <c r="D123" s="1" t="str">
        <f>"C"&amp;D121</f>
        <v>C18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0.35049389948139187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6"/>
      <c r="D130" s="6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O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16" x14ac:dyDescent="0.25">
      <c r="A145" s="30">
        <v>3.4522712143931042</v>
      </c>
      <c r="B145"/>
      <c r="C145"/>
      <c r="D145"/>
      <c r="E145"/>
    </row>
    <row r="146" spans="1:16" x14ac:dyDescent="0.25">
      <c r="A146" s="30">
        <v>3.1384283767210035</v>
      </c>
      <c r="B146"/>
      <c r="C146"/>
      <c r="D146"/>
      <c r="E146"/>
    </row>
    <row r="147" spans="1:16" x14ac:dyDescent="0.25">
      <c r="A147" s="30">
        <v>2.8531167061100029</v>
      </c>
      <c r="B147"/>
      <c r="C147"/>
      <c r="D147"/>
      <c r="E147"/>
    </row>
    <row r="148" spans="1:16" x14ac:dyDescent="0.25">
      <c r="A148" s="30">
        <v>2.5937424601000023</v>
      </c>
      <c r="B148"/>
      <c r="C148"/>
      <c r="D148"/>
      <c r="E148"/>
    </row>
    <row r="149" spans="1:16" x14ac:dyDescent="0.25">
      <c r="A149" s="30">
        <v>2.3579476910000019</v>
      </c>
      <c r="B149"/>
      <c r="C149"/>
      <c r="D149"/>
      <c r="E149"/>
    </row>
    <row r="150" spans="1:16" x14ac:dyDescent="0.25">
      <c r="A150" s="30">
        <v>2.1435888100000016</v>
      </c>
      <c r="B150"/>
      <c r="C150"/>
      <c r="D150"/>
      <c r="E150"/>
      <c r="G150" s="27" t="s">
        <v>8</v>
      </c>
    </row>
    <row r="151" spans="1:16" x14ac:dyDescent="0.25">
      <c r="A151" s="30">
        <v>1.9487171000000014</v>
      </c>
      <c r="B151"/>
      <c r="C151"/>
      <c r="D151"/>
      <c r="E151" t="s">
        <v>8</v>
      </c>
      <c r="G151" s="27" t="s">
        <v>8</v>
      </c>
      <c r="H151" s="27" t="s">
        <v>7</v>
      </c>
    </row>
    <row r="152" spans="1:16" x14ac:dyDescent="0.25">
      <c r="A152" s="30">
        <v>1.7715610000000011</v>
      </c>
      <c r="B152"/>
      <c r="C152"/>
      <c r="D152"/>
      <c r="E152" t="s">
        <v>8</v>
      </c>
      <c r="F152" s="27" t="s">
        <v>7</v>
      </c>
      <c r="G152" s="27" t="s">
        <v>8</v>
      </c>
      <c r="H152" s="27" t="s">
        <v>7</v>
      </c>
    </row>
    <row r="153" spans="1:16" x14ac:dyDescent="0.25">
      <c r="A153" s="30">
        <v>1.6105100000000008</v>
      </c>
      <c r="B153"/>
      <c r="C153"/>
      <c r="D153"/>
      <c r="E153" t="s">
        <v>8</v>
      </c>
      <c r="F153" s="27" t="s">
        <v>7</v>
      </c>
      <c r="G153" s="27" t="s">
        <v>8</v>
      </c>
      <c r="H153" s="27" t="s">
        <v>7</v>
      </c>
      <c r="I153" s="27" t="s">
        <v>8</v>
      </c>
    </row>
    <row r="154" spans="1:16" x14ac:dyDescent="0.25">
      <c r="A154" s="30">
        <v>1.4641000000000006</v>
      </c>
      <c r="B154"/>
      <c r="C154"/>
      <c r="D154"/>
      <c r="E154" t="s">
        <v>8</v>
      </c>
      <c r="F154" s="27" t="s">
        <v>7</v>
      </c>
      <c r="H154" s="27" t="s">
        <v>7</v>
      </c>
      <c r="I154" s="27" t="s">
        <v>8</v>
      </c>
      <c r="J154" s="27" t="s">
        <v>7</v>
      </c>
      <c r="K154" s="27" t="s">
        <v>8</v>
      </c>
      <c r="M154" s="27" t="s">
        <v>8</v>
      </c>
    </row>
    <row r="155" spans="1:16" x14ac:dyDescent="0.25">
      <c r="A155" s="30">
        <v>1.3310000000000004</v>
      </c>
      <c r="B155"/>
      <c r="C155"/>
      <c r="D155"/>
      <c r="E155" s="29" t="s">
        <v>8</v>
      </c>
      <c r="H155" s="27" t="s">
        <v>7</v>
      </c>
      <c r="I155" s="27" t="s">
        <v>8</v>
      </c>
      <c r="J155" s="27" t="s">
        <v>7</v>
      </c>
      <c r="K155" s="27" t="s">
        <v>8</v>
      </c>
      <c r="L155" s="27" t="s">
        <v>7</v>
      </c>
      <c r="M155" s="27" t="s">
        <v>8</v>
      </c>
      <c r="N155" s="27" t="s">
        <v>7</v>
      </c>
    </row>
    <row r="156" spans="1:16" x14ac:dyDescent="0.25">
      <c r="A156" s="30">
        <v>1.2100000000000002</v>
      </c>
      <c r="B156"/>
      <c r="C156"/>
      <c r="D156"/>
      <c r="E156" t="s">
        <v>8</v>
      </c>
      <c r="H156" s="27" t="s">
        <v>7</v>
      </c>
      <c r="J156" s="27" t="s">
        <v>7</v>
      </c>
      <c r="K156" s="27" t="s">
        <v>8</v>
      </c>
      <c r="L156" s="27" t="s">
        <v>7</v>
      </c>
      <c r="M156" s="27" t="s">
        <v>8</v>
      </c>
      <c r="N156" s="27" t="s">
        <v>7</v>
      </c>
    </row>
    <row r="157" spans="1:16" x14ac:dyDescent="0.25">
      <c r="A157" s="30">
        <v>1.1000000000000001</v>
      </c>
      <c r="B157"/>
      <c r="C157"/>
      <c r="D157"/>
      <c r="E157" t="s">
        <v>8</v>
      </c>
      <c r="J157" s="27" t="s">
        <v>7</v>
      </c>
      <c r="K157" s="27" t="s">
        <v>8</v>
      </c>
      <c r="L157" s="27" t="s">
        <v>7</v>
      </c>
      <c r="N157" s="27" t="s">
        <v>7</v>
      </c>
      <c r="O157" s="27" t="s">
        <v>8</v>
      </c>
    </row>
    <row r="158" spans="1:16" x14ac:dyDescent="0.25">
      <c r="A158" s="30">
        <v>1</v>
      </c>
      <c r="B158"/>
      <c r="C158"/>
      <c r="D158"/>
      <c r="E158" t="s">
        <v>8</v>
      </c>
      <c r="J158" s="27" t="s">
        <v>7</v>
      </c>
      <c r="K158" s="27" t="s">
        <v>8</v>
      </c>
      <c r="N158" s="27" t="s">
        <v>7</v>
      </c>
      <c r="O158" s="27" t="s">
        <v>8</v>
      </c>
      <c r="P158" s="27" t="s">
        <v>7</v>
      </c>
    </row>
    <row r="159" spans="1:16" x14ac:dyDescent="0.25">
      <c r="A159" s="30">
        <v>0.90909090909090895</v>
      </c>
      <c r="B159"/>
      <c r="C159"/>
      <c r="D159"/>
      <c r="E159"/>
      <c r="J159" s="27" t="s">
        <v>7</v>
      </c>
      <c r="N159" s="27" t="s">
        <v>7</v>
      </c>
      <c r="O159" s="27" t="s">
        <v>8</v>
      </c>
      <c r="P159" s="27" t="s">
        <v>7</v>
      </c>
    </row>
    <row r="160" spans="1:16" x14ac:dyDescent="0.25">
      <c r="A160" s="30">
        <v>0.82644628099173523</v>
      </c>
      <c r="B160"/>
      <c r="C160"/>
      <c r="D160"/>
      <c r="E160"/>
      <c r="N160" s="27" t="s">
        <v>7</v>
      </c>
      <c r="O160" s="27" t="s">
        <v>8</v>
      </c>
      <c r="P160" s="27" t="s">
        <v>7</v>
      </c>
    </row>
    <row r="161" spans="1:18" x14ac:dyDescent="0.25">
      <c r="A161" s="30">
        <v>0.75131480090157732</v>
      </c>
      <c r="B161"/>
      <c r="C161"/>
      <c r="D161"/>
      <c r="E161"/>
      <c r="N161" s="27" t="s">
        <v>7</v>
      </c>
      <c r="P161" s="27" t="s">
        <v>7</v>
      </c>
      <c r="Q161" s="27" t="s">
        <v>8</v>
      </c>
    </row>
    <row r="162" spans="1:18" x14ac:dyDescent="0.25">
      <c r="A162" s="30">
        <v>0.68301345536507019</v>
      </c>
      <c r="B162"/>
      <c r="C162"/>
      <c r="D162"/>
      <c r="E162"/>
      <c r="P162" s="27" t="s">
        <v>7</v>
      </c>
      <c r="Q162" s="27" t="s">
        <v>8</v>
      </c>
      <c r="R162" s="27" t="s">
        <v>7</v>
      </c>
    </row>
    <row r="163" spans="1:18" x14ac:dyDescent="0.25">
      <c r="A163" s="30">
        <v>0.6209213230591546</v>
      </c>
      <c r="B163"/>
      <c r="C163"/>
      <c r="D163"/>
      <c r="E163"/>
      <c r="P163" s="27" t="s">
        <v>7</v>
      </c>
      <c r="Q163" s="27" t="s">
        <v>8</v>
      </c>
      <c r="R163" s="27" t="s">
        <v>7</v>
      </c>
    </row>
    <row r="164" spans="1:18" x14ac:dyDescent="0.25">
      <c r="A164" s="30">
        <v>0.56447393005377677</v>
      </c>
      <c r="B164"/>
      <c r="C164"/>
      <c r="D164"/>
      <c r="E164"/>
      <c r="P164" s="27" t="s">
        <v>7</v>
      </c>
      <c r="R164" s="27" t="s">
        <v>7</v>
      </c>
    </row>
    <row r="165" spans="1:18" x14ac:dyDescent="0.25">
      <c r="A165" s="30">
        <v>0.51315811823070612</v>
      </c>
      <c r="B165"/>
      <c r="C165"/>
      <c r="D165"/>
      <c r="E165"/>
      <c r="R165" s="27" t="s">
        <v>7</v>
      </c>
    </row>
    <row r="166" spans="1:18" x14ac:dyDescent="0.25">
      <c r="A166" s="30">
        <v>0.46650738020973276</v>
      </c>
      <c r="B166"/>
      <c r="C166"/>
      <c r="D166"/>
      <c r="E166"/>
      <c r="R166" s="27" t="s">
        <v>7</v>
      </c>
    </row>
    <row r="167" spans="1:18" x14ac:dyDescent="0.25">
      <c r="A167" s="30">
        <v>0.42409761837248428</v>
      </c>
      <c r="B167"/>
      <c r="C167"/>
      <c r="D167"/>
      <c r="E167"/>
      <c r="R167" s="27" t="s">
        <v>7</v>
      </c>
    </row>
    <row r="168" spans="1:18" x14ac:dyDescent="0.25">
      <c r="A168" s="30">
        <v>0.38554328942953109</v>
      </c>
      <c r="B168"/>
      <c r="C168"/>
      <c r="D168"/>
      <c r="E168"/>
      <c r="R168" s="27" t="s">
        <v>7</v>
      </c>
    </row>
    <row r="169" spans="1:18" x14ac:dyDescent="0.25">
      <c r="A169" s="30">
        <v>0.35049389948139187</v>
      </c>
      <c r="B169"/>
      <c r="C169"/>
      <c r="D169"/>
      <c r="E169"/>
      <c r="R169" s="27" t="s">
        <v>7</v>
      </c>
    </row>
    <row r="170" spans="1:18" x14ac:dyDescent="0.25">
      <c r="A170" s="30">
        <v>0.31863081771035617</v>
      </c>
      <c r="B170"/>
      <c r="C170"/>
      <c r="D170"/>
      <c r="E170"/>
    </row>
    <row r="171" spans="1:18" x14ac:dyDescent="0.25">
      <c r="A171" s="30">
        <v>0.28966437973668741</v>
      </c>
    </row>
    <row r="172" spans="1:18" x14ac:dyDescent="0.25">
      <c r="A172" s="30">
        <v>0.2633312543060794</v>
      </c>
    </row>
    <row r="173" spans="1:18" x14ac:dyDescent="0.25">
      <c r="A173" s="30">
        <v>0.23939204936916306</v>
      </c>
    </row>
    <row r="174" spans="1:18" x14ac:dyDescent="0.25">
      <c r="A174" s="30">
        <v>0.2176291357901482</v>
      </c>
    </row>
    <row r="175" spans="1:18" x14ac:dyDescent="0.25">
      <c r="A175" s="30">
        <v>0.19784466890013469</v>
      </c>
    </row>
    <row r="176" spans="1:18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43" operator="equal">
      <formula>$U$1</formula>
    </cfRule>
    <cfRule type="cellIs" dxfId="30" priority="544" operator="equal">
      <formula>$S$1</formula>
    </cfRule>
  </conditionalFormatting>
  <conditionalFormatting sqref="D136">
    <cfRule type="cellIs" dxfId="29" priority="541" operator="equal">
      <formula>$S$1</formula>
    </cfRule>
    <cfRule type="cellIs" dxfId="28" priority="542" operator="equal">
      <formula>$U$1</formula>
    </cfRule>
  </conditionalFormatting>
  <conditionalFormatting sqref="C102">
    <cfRule type="cellIs" dxfId="27" priority="539" operator="equal">
      <formula>$U$1</formula>
    </cfRule>
    <cfRule type="cellIs" dxfId="26" priority="540" operator="equal">
      <formula>$S$1</formula>
    </cfRule>
  </conditionalFormatting>
  <conditionalFormatting sqref="D102">
    <cfRule type="cellIs" dxfId="25" priority="537" operator="equal">
      <formula>$S$1</formula>
    </cfRule>
    <cfRule type="cellIs" dxfId="24" priority="538" operator="equal">
      <formula>$U$1</formula>
    </cfRule>
  </conditionalFormatting>
  <conditionalFormatting sqref="C77">
    <cfRule type="cellIs" dxfId="23" priority="535" operator="equal">
      <formula>$U$1</formula>
    </cfRule>
    <cfRule type="cellIs" dxfId="22" priority="536" operator="equal">
      <formula>$S$1</formula>
    </cfRule>
  </conditionalFormatting>
  <conditionalFormatting sqref="D77">
    <cfRule type="cellIs" dxfId="21" priority="533" operator="equal">
      <formula>$S$1</formula>
    </cfRule>
    <cfRule type="cellIs" dxfId="20" priority="534" operator="equal">
      <formula>$U$1</formula>
    </cfRule>
  </conditionalFormatting>
  <conditionalFormatting sqref="C52">
    <cfRule type="cellIs" dxfId="19" priority="531" operator="equal">
      <formula>$U$1</formula>
    </cfRule>
    <cfRule type="cellIs" dxfId="18" priority="532" operator="equal">
      <formula>$S$1</formula>
    </cfRule>
  </conditionalFormatting>
  <conditionalFormatting sqref="D52">
    <cfRule type="cellIs" dxfId="17" priority="529" operator="equal">
      <formula>$S$1</formula>
    </cfRule>
    <cfRule type="cellIs" dxfId="16" priority="530" operator="equal">
      <formula>$U$1</formula>
    </cfRule>
  </conditionalFormatting>
  <conditionalFormatting sqref="C26">
    <cfRule type="cellIs" dxfId="15" priority="527" operator="equal">
      <formula>$U$1</formula>
    </cfRule>
    <cfRule type="cellIs" dxfId="14" priority="528" operator="equal">
      <formula>$S$1</formula>
    </cfRule>
  </conditionalFormatting>
  <conditionalFormatting sqref="D26">
    <cfRule type="cellIs" dxfId="13" priority="525" operator="equal">
      <formula>$S$1</formula>
    </cfRule>
    <cfRule type="cellIs" dxfId="12" priority="52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2022-01-28T01:15:02Z</dcterms:modified>
</cp:coreProperties>
</file>