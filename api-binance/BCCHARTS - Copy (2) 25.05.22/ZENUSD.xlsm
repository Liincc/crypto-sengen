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DBF7E07-DDC2-440B-9558-84146B40BFF0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9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C103" i="4"/>
  <c r="D106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6" i="4"/>
  <c r="D77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18" i="3"/>
  <c r="C122" i="3"/>
  <c r="C133" i="3" s="1"/>
  <c r="D136" i="3" s="1"/>
  <c r="C116" i="4"/>
  <c r="C122" i="4"/>
  <c r="C133" i="4" s="1"/>
  <c r="C136" i="4" s="1"/>
  <c r="R765" i="1"/>
  <c r="C136" i="5" l="1"/>
  <c r="C138" i="5" s="1"/>
  <c r="C136" i="3"/>
  <c r="C138" i="3" s="1"/>
  <c r="D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S459" i="1" l="1"/>
  <c r="T459" i="1" s="1"/>
  <c r="R458" i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S443" i="1" l="1"/>
  <c r="T443" i="1" s="1"/>
  <c r="R442" i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S420" i="1" l="1"/>
  <c r="T420" i="1" s="1"/>
  <c r="R419" i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S411" i="1" l="1"/>
  <c r="T411" i="1" s="1"/>
  <c r="R410" i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S402" i="1" l="1"/>
  <c r="T402" i="1" s="1"/>
  <c r="R401" i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S365" i="1" l="1"/>
  <c r="T365" i="1" s="1"/>
  <c r="R364" i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S347" i="1" l="1"/>
  <c r="T347" i="1" s="1"/>
  <c r="R346" i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S329" i="1" l="1"/>
  <c r="T329" i="1" s="1"/>
  <c r="R328" i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S315" i="1" l="1"/>
  <c r="T315" i="1" s="1"/>
  <c r="R314" i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S310" i="1" l="1"/>
  <c r="T310" i="1" s="1"/>
  <c r="R309" i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S267" i="1" l="1"/>
  <c r="T267" i="1" s="1"/>
  <c r="R266" i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S193" i="1" l="1"/>
  <c r="T193" i="1" s="1"/>
  <c r="R192" i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S109" i="1" l="1"/>
  <c r="T109" i="1" s="1"/>
  <c r="R108" i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<sst xmlns="http://schemas.openxmlformats.org/spreadsheetml/2006/main" count="6119" uniqueCount="34">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</sst>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35.71</c:v>
                </c:pt>
                <c:pt idx="1">
                  <c:v>36.65</c:v>
                </c:pt>
                <c:pt idx="2">
                  <c:v>34.950000000000003</c:v>
                </c:pt>
                <c:pt idx="3">
                  <c:v>34.21</c:v>
                </c:pt>
                <c:pt idx="4">
                  <c:v>35.659999999999997</c:v>
                </c:pt>
                <c:pt idx="5">
                  <c:v>35.32</c:v>
                </c:pt>
                <c:pt idx="6">
                  <c:v>38.9</c:v>
                </c:pt>
                <c:pt idx="7">
                  <c:v>47.58</c:v>
                </c:pt>
                <c:pt idx="8">
                  <c:v>49.78</c:v>
                </c:pt>
                <c:pt idx="9">
                  <c:v>52.28</c:v>
                </c:pt>
                <c:pt idx="10">
                  <c:v>53.32</c:v>
                </c:pt>
                <c:pt idx="11">
                  <c:v>55.23</c:v>
                </c:pt>
                <c:pt idx="12">
                  <c:v>55.06</c:v>
                </c:pt>
                <c:pt idx="13">
                  <c:v>53.85</c:v>
                </c:pt>
                <c:pt idx="14">
                  <c:v>56</c:v>
                </c:pt>
                <c:pt idx="15">
                  <c:v>59.2</c:v>
                </c:pt>
                <c:pt idx="16">
                  <c:v>56.27</c:v>
                </c:pt>
                <c:pt idx="17">
                  <c:v>53.34</c:v>
                </c:pt>
                <c:pt idx="18">
                  <c:v>55.89</c:v>
                </c:pt>
                <c:pt idx="19">
                  <c:v>54.41</c:v>
                </c:pt>
                <c:pt idx="20">
                  <c:v>55.53</c:v>
                </c:pt>
                <c:pt idx="21">
                  <c:v>57.74</c:v>
                </c:pt>
                <c:pt idx="22">
                  <c:v>60.31</c:v>
                </c:pt>
                <c:pt idx="23">
                  <c:v>64.430000000000007</c:v>
                </c:pt>
                <c:pt idx="24">
                  <c:v>63.45</c:v>
                </c:pt>
                <c:pt idx="25">
                  <c:v>65.06</c:v>
                </c:pt>
                <c:pt idx="26">
                  <c:v>63.96</c:v>
                </c:pt>
                <c:pt idx="27">
                  <c:v>60.39</c:v>
                </c:pt>
                <c:pt idx="28">
                  <c:v>61.48</c:v>
                </c:pt>
                <c:pt idx="29">
                  <c:v>61.95</c:v>
                </c:pt>
                <c:pt idx="30">
                  <c:v>63.38</c:v>
                </c:pt>
                <c:pt idx="31">
                  <c:v>70.88</c:v>
                </c:pt>
                <c:pt idx="32">
                  <c:v>70.23</c:v>
                </c:pt>
                <c:pt idx="33">
                  <c:v>70.78</c:v>
                </c:pt>
                <c:pt idx="34">
                  <c:v>70.650000000000006</c:v>
                </c:pt>
                <c:pt idx="35">
                  <c:v>72.45</c:v>
                </c:pt>
                <c:pt idx="36">
                  <c:v>68.040000000000006</c:v>
                </c:pt>
                <c:pt idx="37">
                  <c:v>64.25</c:v>
                </c:pt>
                <c:pt idx="38">
                  <c:v>61.57</c:v>
                </c:pt>
                <c:pt idx="39">
                  <c:v>65.67</c:v>
                </c:pt>
                <c:pt idx="40">
                  <c:v>65.42</c:v>
                </c:pt>
                <c:pt idx="41">
                  <c:v>65.930000000000007</c:v>
                </c:pt>
                <c:pt idx="42">
                  <c:v>67.650000000000006</c:v>
                </c:pt>
                <c:pt idx="43">
                  <c:v>66.88</c:v>
                </c:pt>
                <c:pt idx="44">
                  <c:v>60.33</c:v>
                </c:pt>
                <c:pt idx="45">
                  <c:v>59.47</c:v>
                </c:pt>
                <c:pt idx="46">
                  <c:v>68.83</c:v>
                </c:pt>
                <c:pt idx="47">
                  <c:v>66.28</c:v>
                </c:pt>
                <c:pt idx="48">
                  <c:v>65.48</c:v>
                </c:pt>
                <c:pt idx="49">
                  <c:v>67.89</c:v>
                </c:pt>
                <c:pt idx="50">
                  <c:v>76.42</c:v>
                </c:pt>
                <c:pt idx="51">
                  <c:v>73.739999999999995</c:v>
                </c:pt>
                <c:pt idx="52">
                  <c:v>74.069999999999993</c:v>
                </c:pt>
                <c:pt idx="53">
                  <c:v>72.7</c:v>
                </c:pt>
                <c:pt idx="54">
                  <c:v>79.959999999999994</c:v>
                </c:pt>
                <c:pt idx="55">
                  <c:v>93.85</c:v>
                </c:pt>
                <c:pt idx="56">
                  <c:v>102.09</c:v>
                </c:pt>
                <c:pt idx="57">
                  <c:v>107.62</c:v>
                </c:pt>
                <c:pt idx="58">
                  <c:v>116.59</c:v>
                </c:pt>
                <c:pt idx="59">
                  <c:v>116.89</c:v>
                </c:pt>
                <c:pt idx="60">
                  <c:v>107.19</c:v>
                </c:pt>
                <c:pt idx="61">
                  <c:v>107.07</c:v>
                </c:pt>
                <c:pt idx="62">
                  <c:v>104.53</c:v>
                </c:pt>
                <c:pt idx="63">
                  <c:v>132.74</c:v>
                </c:pt>
                <c:pt idx="64">
                  <c:v>117.38</c:v>
                </c:pt>
                <c:pt idx="65">
                  <c:v>109.91</c:v>
                </c:pt>
                <c:pt idx="66">
                  <c:v>102.43</c:v>
                </c:pt>
                <c:pt idx="67">
                  <c:v>113.91</c:v>
                </c:pt>
                <c:pt idx="68">
                  <c:v>95.44</c:v>
                </c:pt>
                <c:pt idx="69">
                  <c:v>89.18</c:v>
                </c:pt>
                <c:pt idx="70">
                  <c:v>82.48</c:v>
                </c:pt>
                <c:pt idx="71">
                  <c:v>86.5</c:v>
                </c:pt>
                <c:pt idx="72">
                  <c:v>83.88</c:v>
                </c:pt>
                <c:pt idx="73">
                  <c:v>93.88</c:v>
                </c:pt>
                <c:pt idx="74">
                  <c:v>95.83</c:v>
                </c:pt>
                <c:pt idx="75">
                  <c:v>95.83</c:v>
                </c:pt>
                <c:pt idx="76">
                  <c:v>100.04</c:v>
                </c:pt>
                <c:pt idx="77">
                  <c:v>105.29</c:v>
                </c:pt>
                <c:pt idx="78">
                  <c:v>92.73</c:v>
                </c:pt>
                <c:pt idx="79">
                  <c:v>103.28</c:v>
                </c:pt>
                <c:pt idx="80">
                  <c:v>91.04</c:v>
                </c:pt>
                <c:pt idx="81">
                  <c:v>84.64</c:v>
                </c:pt>
                <c:pt idx="82">
                  <c:v>83.22</c:v>
                </c:pt>
                <c:pt idx="83">
                  <c:v>85.48</c:v>
                </c:pt>
                <c:pt idx="84">
                  <c:v>84.58</c:v>
                </c:pt>
                <c:pt idx="85">
                  <c:v>86.13</c:v>
                </c:pt>
                <c:pt idx="86">
                  <c:v>85.3</c:v>
                </c:pt>
                <c:pt idx="87">
                  <c:v>86.82</c:v>
                </c:pt>
                <c:pt idx="88">
                  <c:v>87.81</c:v>
                </c:pt>
                <c:pt idx="89">
                  <c:v>78.06</c:v>
                </c:pt>
                <c:pt idx="90">
                  <c:v>78.52</c:v>
                </c:pt>
                <c:pt idx="91">
                  <c:v>75.95</c:v>
                </c:pt>
                <c:pt idx="92">
                  <c:v>74.12</c:v>
                </c:pt>
                <c:pt idx="93">
                  <c:v>85.22</c:v>
                </c:pt>
                <c:pt idx="94">
                  <c:v>89.53</c:v>
                </c:pt>
                <c:pt idx="95">
                  <c:v>91.21</c:v>
                </c:pt>
                <c:pt idx="96">
                  <c:v>89.07</c:v>
                </c:pt>
                <c:pt idx="97">
                  <c:v>87.53</c:v>
                </c:pt>
                <c:pt idx="98">
                  <c:v>86.38</c:v>
                </c:pt>
                <c:pt idx="99">
                  <c:v>82.92</c:v>
                </c:pt>
                <c:pt idx="100">
                  <c:v>77.819999999999993</c:v>
                </c:pt>
                <c:pt idx="101">
                  <c:v>78.89</c:v>
                </c:pt>
                <c:pt idx="102">
                  <c:v>79.12</c:v>
                </c:pt>
                <c:pt idx="103">
                  <c:v>78.67</c:v>
                </c:pt>
                <c:pt idx="104">
                  <c:v>78.760000000000005</c:v>
                </c:pt>
                <c:pt idx="105">
                  <c:v>77.8</c:v>
                </c:pt>
                <c:pt idx="106">
                  <c:v>73.22</c:v>
                </c:pt>
                <c:pt idx="107">
                  <c:v>72.45</c:v>
                </c:pt>
                <c:pt idx="108">
                  <c:v>74.72</c:v>
                </c:pt>
                <c:pt idx="109">
                  <c:v>74.34</c:v>
                </c:pt>
                <c:pt idx="110">
                  <c:v>80.12</c:v>
                </c:pt>
                <c:pt idx="111">
                  <c:v>78.040000000000006</c:v>
                </c:pt>
                <c:pt idx="112">
                  <c:v>78.63</c:v>
                </c:pt>
                <c:pt idx="113">
                  <c:v>79.02</c:v>
                </c:pt>
                <c:pt idx="114">
                  <c:v>78.11</c:v>
                </c:pt>
                <c:pt idx="115">
                  <c:v>75.180000000000007</c:v>
                </c:pt>
                <c:pt idx="116">
                  <c:v>77.53</c:v>
                </c:pt>
                <c:pt idx="117">
                  <c:v>75.17</c:v>
                </c:pt>
                <c:pt idx="118">
                  <c:v>75.41</c:v>
                </c:pt>
                <c:pt idx="119">
                  <c:v>69.17</c:v>
                </c:pt>
                <c:pt idx="120">
                  <c:v>65.069999999999993</c:v>
                </c:pt>
                <c:pt idx="121">
                  <c:v>63.15</c:v>
                </c:pt>
                <c:pt idx="122">
                  <c:v>65.34</c:v>
                </c:pt>
                <c:pt idx="123">
                  <c:v>66.05</c:v>
                </c:pt>
                <c:pt idx="124">
                  <c:v>67.510000000000005</c:v>
                </c:pt>
                <c:pt idx="125">
                  <c:v>67.88</c:v>
                </c:pt>
                <c:pt idx="126">
                  <c:v>78.28</c:v>
                </c:pt>
                <c:pt idx="127">
                  <c:v>78.88</c:v>
                </c:pt>
                <c:pt idx="128">
                  <c:v>68.540000000000006</c:v>
                </c:pt>
                <c:pt idx="129">
                  <c:v>83.41</c:v>
                </c:pt>
                <c:pt idx="130">
                  <c:v>92.74</c:v>
                </c:pt>
                <c:pt idx="131">
                  <c:v>95.54</c:v>
                </c:pt>
                <c:pt idx="132">
                  <c:v>94</c:v>
                </c:pt>
                <c:pt idx="133">
                  <c:v>102.66</c:v>
                </c:pt>
                <c:pt idx="134">
                  <c:v>108.5</c:v>
                </c:pt>
                <c:pt idx="135">
                  <c:v>85.42</c:v>
                </c:pt>
                <c:pt idx="136">
                  <c:v>80.5</c:v>
                </c:pt>
                <c:pt idx="137">
                  <c:v>84.4</c:v>
                </c:pt>
                <c:pt idx="138">
                  <c:v>80.72</c:v>
                </c:pt>
                <c:pt idx="139">
                  <c:v>79.05</c:v>
                </c:pt>
                <c:pt idx="140">
                  <c:v>88.35</c:v>
                </c:pt>
                <c:pt idx="141">
                  <c:v>80.86</c:v>
                </c:pt>
                <c:pt idx="142">
                  <c:v>82.08</c:v>
                </c:pt>
                <c:pt idx="143">
                  <c:v>105.55</c:v>
                </c:pt>
                <c:pt idx="144">
                  <c:v>108.03</c:v>
                </c:pt>
                <c:pt idx="145">
                  <c:v>102.93</c:v>
                </c:pt>
                <c:pt idx="146">
                  <c:v>105.46</c:v>
                </c:pt>
                <c:pt idx="147">
                  <c:v>92.76</c:v>
                </c:pt>
                <c:pt idx="148">
                  <c:v>92.63</c:v>
                </c:pt>
                <c:pt idx="149">
                  <c:v>92.28</c:v>
                </c:pt>
                <c:pt idx="150">
                  <c:v>87.31</c:v>
                </c:pt>
                <c:pt idx="151">
                  <c:v>87.97</c:v>
                </c:pt>
                <c:pt idx="152">
                  <c:v>83.25</c:v>
                </c:pt>
                <c:pt idx="153">
                  <c:v>86.72</c:v>
                </c:pt>
                <c:pt idx="154">
                  <c:v>80.099999999999994</c:v>
                </c:pt>
                <c:pt idx="155">
                  <c:v>84.447000000000003</c:v>
                </c:pt>
                <c:pt idx="156">
                  <c:v>80.049000000000007</c:v>
                </c:pt>
                <c:pt idx="157">
                  <c:v>79.762</c:v>
                </c:pt>
                <c:pt idx="158">
                  <c:v>75.021000000000001</c:v>
                </c:pt>
                <c:pt idx="159">
                  <c:v>77.043999999999997</c:v>
                </c:pt>
                <c:pt idx="160">
                  <c:v>75.317999999999998</c:v>
                </c:pt>
                <c:pt idx="161">
                  <c:v>72.525000000000006</c:v>
                </c:pt>
                <c:pt idx="162">
                  <c:v>66.879000000000005</c:v>
                </c:pt>
                <c:pt idx="163">
                  <c:v>68.748999999999995</c:v>
                </c:pt>
                <c:pt idx="164">
                  <c:v>73.194999999999993</c:v>
                </c:pt>
                <c:pt idx="165">
                  <c:v>72.700999999999993</c:v>
                </c:pt>
                <c:pt idx="166">
                  <c:v>71.861999999999995</c:v>
                </c:pt>
                <c:pt idx="167">
                  <c:v>75.444000000000003</c:v>
                </c:pt>
                <c:pt idx="168">
                  <c:v>68.147999999999996</c:v>
                </c:pt>
                <c:pt idx="169">
                  <c:v>71.435000000000002</c:v>
                </c:pt>
                <c:pt idx="170">
                  <c:v>70.58</c:v>
                </c:pt>
                <c:pt idx="171">
                  <c:v>66.364999999999995</c:v>
                </c:pt>
                <c:pt idx="172">
                  <c:v>63.005000000000003</c:v>
                </c:pt>
                <c:pt idx="173">
                  <c:v>67.400999999999996</c:v>
                </c:pt>
                <c:pt idx="174">
                  <c:v>65.394999999999996</c:v>
                </c:pt>
                <c:pt idx="175">
                  <c:v>64.599999999999994</c:v>
                </c:pt>
                <c:pt idx="176">
                  <c:v>60.015999999999998</c:v>
                </c:pt>
                <c:pt idx="177">
                  <c:v>58.11</c:v>
                </c:pt>
                <c:pt idx="178">
                  <c:v>57.280999999999999</c:v>
                </c:pt>
                <c:pt idx="179">
                  <c:v>55.987000000000002</c:v>
                </c:pt>
                <c:pt idx="180">
                  <c:v>58.567</c:v>
                </c:pt>
                <c:pt idx="181">
                  <c:v>57.497</c:v>
                </c:pt>
                <c:pt idx="182">
                  <c:v>56.761000000000003</c:v>
                </c:pt>
                <c:pt idx="183">
                  <c:v>56.3</c:v>
                </c:pt>
                <c:pt idx="184">
                  <c:v>55.3</c:v>
                </c:pt>
                <c:pt idx="185">
                  <c:v>54.81</c:v>
                </c:pt>
                <c:pt idx="186">
                  <c:v>51.66</c:v>
                </c:pt>
                <c:pt idx="187">
                  <c:v>52.23</c:v>
                </c:pt>
                <c:pt idx="188">
                  <c:v>50.69</c:v>
                </c:pt>
                <c:pt idx="189">
                  <c:v>48.5</c:v>
                </c:pt>
                <c:pt idx="190">
                  <c:v>49.34</c:v>
                </c:pt>
                <c:pt idx="191">
                  <c:v>43.64</c:v>
                </c:pt>
                <c:pt idx="192">
                  <c:v>45.76</c:v>
                </c:pt>
                <c:pt idx="193">
                  <c:v>50.51</c:v>
                </c:pt>
                <c:pt idx="194">
                  <c:v>49.64</c:v>
                </c:pt>
                <c:pt idx="195">
                  <c:v>50.96</c:v>
                </c:pt>
                <c:pt idx="196">
                  <c:v>53.09</c:v>
                </c:pt>
                <c:pt idx="197">
                  <c:v>57.12</c:v>
                </c:pt>
                <c:pt idx="198">
                  <c:v>57.67</c:v>
                </c:pt>
                <c:pt idx="199">
                  <c:v>59.25</c:v>
                </c:pt>
                <c:pt idx="200">
                  <c:v>60.75</c:v>
                </c:pt>
                <c:pt idx="201">
                  <c:v>58.72</c:v>
                </c:pt>
                <c:pt idx="202">
                  <c:v>61.03</c:v>
                </c:pt>
                <c:pt idx="203">
                  <c:v>59.76</c:v>
                </c:pt>
                <c:pt idx="204">
                  <c:v>64.37</c:v>
                </c:pt>
                <c:pt idx="205">
                  <c:v>67.7</c:v>
                </c:pt>
                <c:pt idx="206">
                  <c:v>63.09</c:v>
                </c:pt>
                <c:pt idx="207">
                  <c:v>67.3</c:v>
                </c:pt>
                <c:pt idx="208">
                  <c:v>66.599999999999994</c:v>
                </c:pt>
                <c:pt idx="209">
                  <c:v>62.36</c:v>
                </c:pt>
                <c:pt idx="210">
                  <c:v>62.04</c:v>
                </c:pt>
                <c:pt idx="211">
                  <c:v>68.260000000000005</c:v>
                </c:pt>
                <c:pt idx="212">
                  <c:v>66.86</c:v>
                </c:pt>
                <c:pt idx="213">
                  <c:v>62.23</c:v>
                </c:pt>
                <c:pt idx="214">
                  <c:v>59.75</c:v>
                </c:pt>
                <c:pt idx="215">
                  <c:v>56.39</c:v>
                </c:pt>
                <c:pt idx="216">
                  <c:v>56.85</c:v>
                </c:pt>
                <c:pt idx="217">
                  <c:v>64.31</c:v>
                </c:pt>
                <c:pt idx="218">
                  <c:v>67.540000000000006</c:v>
                </c:pt>
                <c:pt idx="219">
                  <c:v>55.14</c:v>
                </c:pt>
                <c:pt idx="220">
                  <c:v>56.26</c:v>
                </c:pt>
                <c:pt idx="221">
                  <c:v>78.069999999999993</c:v>
                </c:pt>
                <c:pt idx="222">
                  <c:v>79.56</c:v>
                </c:pt>
                <c:pt idx="223">
                  <c:v>81.3</c:v>
                </c:pt>
                <c:pt idx="224">
                  <c:v>85.86</c:v>
                </c:pt>
                <c:pt idx="225">
                  <c:v>89.55</c:v>
                </c:pt>
                <c:pt idx="226">
                  <c:v>85.68</c:v>
                </c:pt>
                <c:pt idx="227">
                  <c:v>84.58</c:v>
                </c:pt>
                <c:pt idx="228">
                  <c:v>83.85</c:v>
                </c:pt>
                <c:pt idx="229">
                  <c:v>78.58</c:v>
                </c:pt>
                <c:pt idx="230">
                  <c:v>79.489999999999995</c:v>
                </c:pt>
                <c:pt idx="231">
                  <c:v>87</c:v>
                </c:pt>
                <c:pt idx="232">
                  <c:v>92.7</c:v>
                </c:pt>
                <c:pt idx="233">
                  <c:v>83.05</c:v>
                </c:pt>
                <c:pt idx="234">
                  <c:v>86.29</c:v>
                </c:pt>
                <c:pt idx="235">
                  <c:v>96.91</c:v>
                </c:pt>
                <c:pt idx="236">
                  <c:v>98.65</c:v>
                </c:pt>
                <c:pt idx="237">
                  <c:v>103.54</c:v>
                </c:pt>
                <c:pt idx="238">
                  <c:v>112.96</c:v>
                </c:pt>
                <c:pt idx="239">
                  <c:v>109.21</c:v>
                </c:pt>
                <c:pt idx="240">
                  <c:v>105.53</c:v>
                </c:pt>
                <c:pt idx="241">
                  <c:v>107.6</c:v>
                </c:pt>
                <c:pt idx="242">
                  <c:v>106.25</c:v>
                </c:pt>
                <c:pt idx="243">
                  <c:v>121.5</c:v>
                </c:pt>
                <c:pt idx="244">
                  <c:v>99.14</c:v>
                </c:pt>
                <c:pt idx="245">
                  <c:v>103.57</c:v>
                </c:pt>
                <c:pt idx="246">
                  <c:v>108.62</c:v>
                </c:pt>
                <c:pt idx="247">
                  <c:v>99.91</c:v>
                </c:pt>
                <c:pt idx="248">
                  <c:v>106.81</c:v>
                </c:pt>
                <c:pt idx="249">
                  <c:v>72.2</c:v>
                </c:pt>
                <c:pt idx="250">
                  <c:v>91.11</c:v>
                </c:pt>
                <c:pt idx="251">
                  <c:v>100.67</c:v>
                </c:pt>
                <c:pt idx="252">
                  <c:v>84.28</c:v>
                </c:pt>
                <c:pt idx="253">
                  <c:v>72.47</c:v>
                </c:pt>
                <c:pt idx="254">
                  <c:v>115.05</c:v>
                </c:pt>
                <c:pt idx="255">
                  <c:v>114.74</c:v>
                </c:pt>
                <c:pt idx="256">
                  <c:v>125.71</c:v>
                </c:pt>
                <c:pt idx="257">
                  <c:v>127.64</c:v>
                </c:pt>
                <c:pt idx="258">
                  <c:v>148.29</c:v>
                </c:pt>
                <c:pt idx="259">
                  <c:v>137.28</c:v>
                </c:pt>
                <c:pt idx="260">
                  <c:v>131.80000000000001</c:v>
                </c:pt>
                <c:pt idx="261">
                  <c:v>146.37</c:v>
                </c:pt>
                <c:pt idx="262">
                  <c:v>128.66999999999999</c:v>
                </c:pt>
                <c:pt idx="263">
                  <c:v>145.15</c:v>
                </c:pt>
                <c:pt idx="264">
                  <c:v>142.91</c:v>
                </c:pt>
                <c:pt idx="265">
                  <c:v>146.38999999999999</c:v>
                </c:pt>
                <c:pt idx="266">
                  <c:v>127.36</c:v>
                </c:pt>
                <c:pt idx="267">
                  <c:v>118.14</c:v>
                </c:pt>
                <c:pt idx="268">
                  <c:v>112.19</c:v>
                </c:pt>
                <c:pt idx="269">
                  <c:v>116.9</c:v>
                </c:pt>
                <c:pt idx="270">
                  <c:v>120.46</c:v>
                </c:pt>
                <c:pt idx="271">
                  <c:v>125.52</c:v>
                </c:pt>
                <c:pt idx="272">
                  <c:v>120.37</c:v>
                </c:pt>
                <c:pt idx="273">
                  <c:v>119.55</c:v>
                </c:pt>
                <c:pt idx="274">
                  <c:v>123.26</c:v>
                </c:pt>
                <c:pt idx="275">
                  <c:v>127.65</c:v>
                </c:pt>
                <c:pt idx="276">
                  <c:v>132.88999999999999</c:v>
                </c:pt>
                <c:pt idx="277">
                  <c:v>110.27</c:v>
                </c:pt>
                <c:pt idx="278">
                  <c:v>102.059</c:v>
                </c:pt>
                <c:pt idx="279">
                  <c:v>112.22799999999999</c:v>
                </c:pt>
                <c:pt idx="280">
                  <c:v>105.624</c:v>
                </c:pt>
                <c:pt idx="281">
                  <c:v>110.501</c:v>
                </c:pt>
                <c:pt idx="282">
                  <c:v>117.75</c:v>
                </c:pt>
                <c:pt idx="283">
                  <c:v>96.475999999999999</c:v>
                </c:pt>
                <c:pt idx="284">
                  <c:v>109.738</c:v>
                </c:pt>
                <c:pt idx="285">
                  <c:v>116.604</c:v>
                </c:pt>
                <c:pt idx="286">
                  <c:v>125.813</c:v>
                </c:pt>
                <c:pt idx="287">
                  <c:v>108.78</c:v>
                </c:pt>
                <c:pt idx="288">
                  <c:v>84.646000000000001</c:v>
                </c:pt>
                <c:pt idx="289">
                  <c:v>85.144000000000005</c:v>
                </c:pt>
                <c:pt idx="290">
                  <c:v>76.340999999999994</c:v>
                </c:pt>
                <c:pt idx="291">
                  <c:v>75.343999999999994</c:v>
                </c:pt>
                <c:pt idx="292">
                  <c:v>73.213999999999999</c:v>
                </c:pt>
                <c:pt idx="293">
                  <c:v>72.265000000000001</c:v>
                </c:pt>
                <c:pt idx="294">
                  <c:v>73.236000000000004</c:v>
                </c:pt>
                <c:pt idx="295">
                  <c:v>69.197999999999993</c:v>
                </c:pt>
                <c:pt idx="296">
                  <c:v>68.602999999999994</c:v>
                </c:pt>
                <c:pt idx="297">
                  <c:v>67.474000000000004</c:v>
                </c:pt>
                <c:pt idx="298">
                  <c:v>65.894000000000005</c:v>
                </c:pt>
                <c:pt idx="299">
                  <c:v>53.575000000000003</c:v>
                </c:pt>
                <c:pt idx="300">
                  <c:v>60.055</c:v>
                </c:pt>
                <c:pt idx="301">
                  <c:v>56.469000000000001</c:v>
                </c:pt>
                <c:pt idx="302">
                  <c:v>51.332999999999998</c:v>
                </c:pt>
                <c:pt idx="303">
                  <c:v>52.28</c:v>
                </c:pt>
                <c:pt idx="304">
                  <c:v>53.868000000000002</c:v>
                </c:pt>
                <c:pt idx="305">
                  <c:v>50.744999999999997</c:v>
                </c:pt>
                <c:pt idx="306">
                  <c:v>49.027000000000001</c:v>
                </c:pt>
                <c:pt idx="307">
                  <c:v>49.878999999999998</c:v>
                </c:pt>
                <c:pt idx="308">
                  <c:v>45.466000000000001</c:v>
                </c:pt>
                <c:pt idx="309">
                  <c:v>46.509</c:v>
                </c:pt>
                <c:pt idx="310">
                  <c:v>51.536999999999999</c:v>
                </c:pt>
                <c:pt idx="311">
                  <c:v>53.231000000000002</c:v>
                </c:pt>
                <c:pt idx="312">
                  <c:v>57.868000000000002</c:v>
                </c:pt>
                <c:pt idx="313">
                  <c:v>58.856000000000002</c:v>
                </c:pt>
                <c:pt idx="314">
                  <c:v>59.66</c:v>
                </c:pt>
                <c:pt idx="315">
                  <c:v>56.741999999999997</c:v>
                </c:pt>
                <c:pt idx="316">
                  <c:v>54.316000000000003</c:v>
                </c:pt>
                <c:pt idx="317">
                  <c:v>55.581000000000003</c:v>
                </c:pt>
                <c:pt idx="318">
                  <c:v>49.119</c:v>
                </c:pt>
                <c:pt idx="319">
                  <c:v>53.103000000000002</c:v>
                </c:pt>
                <c:pt idx="320">
                  <c:v>54.442</c:v>
                </c:pt>
                <c:pt idx="321">
                  <c:v>46.652000000000001</c:v>
                </c:pt>
                <c:pt idx="322">
                  <c:v>48.421999999999997</c:v>
                </c:pt>
                <c:pt idx="323">
                  <c:v>49.125</c:v>
                </c:pt>
                <c:pt idx="324">
                  <c:v>51.999000000000002</c:v>
                </c:pt>
                <c:pt idx="325">
                  <c:v>50.463000000000001</c:v>
                </c:pt>
                <c:pt idx="326">
                  <c:v>50.371000000000002</c:v>
                </c:pt>
                <c:pt idx="327">
                  <c:v>43.277999999999999</c:v>
                </c:pt>
                <c:pt idx="328">
                  <c:v>43.279000000000003</c:v>
                </c:pt>
                <c:pt idx="329">
                  <c:v>44.304000000000002</c:v>
                </c:pt>
                <c:pt idx="330">
                  <c:v>47.154000000000003</c:v>
                </c:pt>
                <c:pt idx="331">
                  <c:v>47.15</c:v>
                </c:pt>
                <c:pt idx="332">
                  <c:v>46.670999999999999</c:v>
                </c:pt>
                <c:pt idx="333">
                  <c:v>41.904000000000003</c:v>
                </c:pt>
                <c:pt idx="334">
                  <c:v>46.817999999999998</c:v>
                </c:pt>
                <c:pt idx="335">
                  <c:v>46.173000000000002</c:v>
                </c:pt>
                <c:pt idx="336">
                  <c:v>49.761000000000003</c:v>
                </c:pt>
                <c:pt idx="337">
                  <c:v>52.264000000000003</c:v>
                </c:pt>
                <c:pt idx="338">
                  <c:v>54.037999999999997</c:v>
                </c:pt>
                <c:pt idx="339">
                  <c:v>68.436000000000007</c:v>
                </c:pt>
                <c:pt idx="340">
                  <c:v>71.616</c:v>
                </c:pt>
                <c:pt idx="341">
                  <c:v>70.134</c:v>
                </c:pt>
                <c:pt idx="342">
                  <c:v>75.953000000000003</c:v>
                </c:pt>
                <c:pt idx="343">
                  <c:v>81.012</c:v>
                </c:pt>
                <c:pt idx="344">
                  <c:v>73.563000000000002</c:v>
                </c:pt>
                <c:pt idx="345">
                  <c:v>58.146000000000001</c:v>
                </c:pt>
                <c:pt idx="346">
                  <c:v>51.610999999999997</c:v>
                </c:pt>
                <c:pt idx="347">
                  <c:v>53</c:v>
                </c:pt>
                <c:pt idx="348">
                  <c:v>54.561999999999998</c:v>
                </c:pt>
                <c:pt idx="349">
                  <c:v>47.106999999999999</c:v>
                </c:pt>
                <c:pt idx="350">
                  <c:v>47.332000000000001</c:v>
                </c:pt>
                <c:pt idx="351">
                  <c:v>42.424999999999997</c:v>
                </c:pt>
                <c:pt idx="352">
                  <c:v>42.356999999999999</c:v>
                </c:pt>
                <c:pt idx="353">
                  <c:v>34.054000000000002</c:v>
                </c:pt>
                <c:pt idx="354">
                  <c:v>33.637</c:v>
                </c:pt>
                <c:pt idx="355">
                  <c:v>36.235999999999997</c:v>
                </c:pt>
                <c:pt idx="356">
                  <c:v>38.183999999999997</c:v>
                </c:pt>
                <c:pt idx="357">
                  <c:v>36.563000000000002</c:v>
                </c:pt>
                <c:pt idx="358">
                  <c:v>35.524999999999999</c:v>
                </c:pt>
                <c:pt idx="359">
                  <c:v>35.648000000000003</c:v>
                </c:pt>
                <c:pt idx="360">
                  <c:v>36.142000000000003</c:v>
                </c:pt>
                <c:pt idx="361">
                  <c:v>35.326999999999998</c:v>
                </c:pt>
                <c:pt idx="362">
                  <c:v>36.926000000000002</c:v>
                </c:pt>
                <c:pt idx="363">
                  <c:v>35.137999999999998</c:v>
                </c:pt>
                <c:pt idx="364">
                  <c:v>35.131</c:v>
                </c:pt>
                <c:pt idx="365">
                  <c:v>29.18</c:v>
                </c:pt>
                <c:pt idx="366">
                  <c:v>32.726999999999997</c:v>
                </c:pt>
                <c:pt idx="367">
                  <c:v>34.616999999999997</c:v>
                </c:pt>
                <c:pt idx="368">
                  <c:v>27.234000000000002</c:v>
                </c:pt>
                <c:pt idx="369">
                  <c:v>27.207000000000001</c:v>
                </c:pt>
                <c:pt idx="370">
                  <c:v>27.524999999999999</c:v>
                </c:pt>
                <c:pt idx="371">
                  <c:v>27.602</c:v>
                </c:pt>
                <c:pt idx="372">
                  <c:v>31.652000000000001</c:v>
                </c:pt>
                <c:pt idx="373">
                  <c:v>29.262</c:v>
                </c:pt>
                <c:pt idx="374">
                  <c:v>30.375</c:v>
                </c:pt>
                <c:pt idx="375">
                  <c:v>28.158000000000001</c:v>
                </c:pt>
                <c:pt idx="376">
                  <c:v>24.283000000000001</c:v>
                </c:pt>
                <c:pt idx="377">
                  <c:v>23.556999999999999</c:v>
                </c:pt>
                <c:pt idx="378">
                  <c:v>25.138999999999999</c:v>
                </c:pt>
                <c:pt idx="379">
                  <c:v>26.89</c:v>
                </c:pt>
                <c:pt idx="380">
                  <c:v>27.004000000000001</c:v>
                </c:pt>
                <c:pt idx="381">
                  <c:v>24.033999999999999</c:v>
                </c:pt>
                <c:pt idx="382">
                  <c:v>21.859000000000002</c:v>
                </c:pt>
                <c:pt idx="383">
                  <c:v>15.696999999999999</c:v>
                </c:pt>
                <c:pt idx="384">
                  <c:v>14.481</c:v>
                </c:pt>
                <c:pt idx="385">
                  <c:v>14.592000000000001</c:v>
                </c:pt>
                <c:pt idx="386">
                  <c:v>16.047000000000001</c:v>
                </c:pt>
                <c:pt idx="387">
                  <c:v>14.372</c:v>
                </c:pt>
                <c:pt idx="388">
                  <c:v>13.461</c:v>
                </c:pt>
                <c:pt idx="389">
                  <c:v>13.53</c:v>
                </c:pt>
                <c:pt idx="390">
                  <c:v>11.704000000000001</c:v>
                </c:pt>
                <c:pt idx="391">
                  <c:v>11.74</c:v>
                </c:pt>
                <c:pt idx="392">
                  <c:v>11.608000000000001</c:v>
                </c:pt>
                <c:pt idx="393">
                  <c:v>10.824999999999999</c:v>
                </c:pt>
                <c:pt idx="394">
                  <c:v>11.583</c:v>
                </c:pt>
                <c:pt idx="395">
                  <c:v>12.153</c:v>
                </c:pt>
                <c:pt idx="396">
                  <c:v>12.581</c:v>
                </c:pt>
                <c:pt idx="397">
                  <c:v>11.914</c:v>
                </c:pt>
                <c:pt idx="398">
                  <c:v>11.217000000000001</c:v>
                </c:pt>
                <c:pt idx="399">
                  <c:v>9.76</c:v>
                </c:pt>
                <c:pt idx="400">
                  <c:v>8.67</c:v>
                </c:pt>
                <c:pt idx="401">
                  <c:v>10.324999999999999</c:v>
                </c:pt>
                <c:pt idx="402">
                  <c:v>10.472</c:v>
                </c:pt>
                <c:pt idx="403">
                  <c:v>11.41</c:v>
                </c:pt>
                <c:pt idx="404">
                  <c:v>12.052</c:v>
                </c:pt>
                <c:pt idx="405">
                  <c:v>12.097</c:v>
                </c:pt>
                <c:pt idx="406">
                  <c:v>11.971</c:v>
                </c:pt>
                <c:pt idx="407">
                  <c:v>12.715999999999999</c:v>
                </c:pt>
                <c:pt idx="408">
                  <c:v>11.124000000000001</c:v>
                </c:pt>
                <c:pt idx="409">
                  <c:v>11.345000000000001</c:v>
                </c:pt>
                <c:pt idx="410">
                  <c:v>10.997999999999999</c:v>
                </c:pt>
                <c:pt idx="411">
                  <c:v>10.177</c:v>
                </c:pt>
                <c:pt idx="412">
                  <c:v>9.0399999999999991</c:v>
                </c:pt>
                <c:pt idx="413">
                  <c:v>10.086</c:v>
                </c:pt>
                <c:pt idx="414">
                  <c:v>10.579000000000001</c:v>
                </c:pt>
                <c:pt idx="415">
                  <c:v>10.359</c:v>
                </c:pt>
                <c:pt idx="416">
                  <c:v>11.926</c:v>
                </c:pt>
                <c:pt idx="417">
                  <c:v>12.286</c:v>
                </c:pt>
                <c:pt idx="418">
                  <c:v>12.523999999999999</c:v>
                </c:pt>
                <c:pt idx="419">
                  <c:v>11.53</c:v>
                </c:pt>
                <c:pt idx="420">
                  <c:v>13.824999999999999</c:v>
                </c:pt>
                <c:pt idx="421">
                  <c:v>14.039</c:v>
                </c:pt>
                <c:pt idx="422">
                  <c:v>13.949</c:v>
                </c:pt>
                <c:pt idx="423">
                  <c:v>15.054</c:v>
                </c:pt>
                <c:pt idx="424">
                  <c:v>13.89</c:v>
                </c:pt>
                <c:pt idx="425">
                  <c:v>14.766</c:v>
                </c:pt>
                <c:pt idx="426">
                  <c:v>12.266999999999999</c:v>
                </c:pt>
                <c:pt idx="427">
                  <c:v>11.83</c:v>
                </c:pt>
                <c:pt idx="428">
                  <c:v>14.643000000000001</c:v>
                </c:pt>
                <c:pt idx="429">
                  <c:v>14.19</c:v>
                </c:pt>
                <c:pt idx="430">
                  <c:v>13.987</c:v>
                </c:pt>
                <c:pt idx="431">
                  <c:v>9.125</c:v>
                </c:pt>
                <c:pt idx="432">
                  <c:v>8.4760000000000009</c:v>
                </c:pt>
                <c:pt idx="433">
                  <c:v>6.2009999999999996</c:v>
                </c:pt>
                <c:pt idx="434">
                  <c:v>6.1369999999999996</c:v>
                </c:pt>
                <c:pt idx="435">
                  <c:v>6.3</c:v>
                </c:pt>
                <c:pt idx="436">
                  <c:v>6.5010000000000003</c:v>
                </c:pt>
                <c:pt idx="437">
                  <c:v>6.3019999999999996</c:v>
                </c:pt>
                <c:pt idx="438">
                  <c:v>6.3209999999999997</c:v>
                </c:pt>
                <c:pt idx="439">
                  <c:v>6.202</c:v>
                </c:pt>
                <c:pt idx="440">
                  <c:v>6.2</c:v>
                </c:pt>
                <c:pt idx="441">
                  <c:v>5.9589999999999996</c:v>
                </c:pt>
                <c:pt idx="442">
                  <c:v>6.3109999999999999</c:v>
                </c:pt>
                <c:pt idx="443">
                  <c:v>6.78</c:v>
                </c:pt>
                <c:pt idx="444">
                  <c:v>5.9720000000000004</c:v>
                </c:pt>
                <c:pt idx="445">
                  <c:v>6.1859999999999999</c:v>
                </c:pt>
                <c:pt idx="446">
                  <c:v>5.91</c:v>
                </c:pt>
                <c:pt idx="447">
                  <c:v>5.6130000000000004</c:v>
                </c:pt>
                <c:pt idx="448">
                  <c:v>5.2359999999999998</c:v>
                </c:pt>
                <c:pt idx="449">
                  <c:v>5.1740000000000004</c:v>
                </c:pt>
                <c:pt idx="450">
                  <c:v>5.4669999999999996</c:v>
                </c:pt>
                <c:pt idx="451">
                  <c:v>5.5570000000000004</c:v>
                </c:pt>
                <c:pt idx="452">
                  <c:v>5.5839999999999996</c:v>
                </c:pt>
                <c:pt idx="453">
                  <c:v>5.62</c:v>
                </c:pt>
                <c:pt idx="454">
                  <c:v>5.4119999999999999</c:v>
                </c:pt>
                <c:pt idx="455">
                  <c:v>5.5510000000000002</c:v>
                </c:pt>
                <c:pt idx="456">
                  <c:v>5.3250000000000002</c:v>
                </c:pt>
                <c:pt idx="457">
                  <c:v>5.4640000000000004</c:v>
                </c:pt>
                <c:pt idx="458">
                  <c:v>5.665</c:v>
                </c:pt>
                <c:pt idx="459">
                  <c:v>5.6710000000000003</c:v>
                </c:pt>
                <c:pt idx="460">
                  <c:v>5.7670000000000003</c:v>
                </c:pt>
                <c:pt idx="461">
                  <c:v>5.7519999999999998</c:v>
                </c:pt>
                <c:pt idx="462">
                  <c:v>5.8339999999999996</c:v>
                </c:pt>
                <c:pt idx="463">
                  <c:v>5.6550000000000002</c:v>
                </c:pt>
                <c:pt idx="464">
                  <c:v>5.5220000000000002</c:v>
                </c:pt>
                <c:pt idx="465">
                  <c:v>5.7709999999999999</c:v>
                </c:pt>
                <c:pt idx="466">
                  <c:v>5.9909999999999997</c:v>
                </c:pt>
                <c:pt idx="467">
                  <c:v>5.9249999999999998</c:v>
                </c:pt>
                <c:pt idx="468">
                  <c:v>6.0529999999999999</c:v>
                </c:pt>
                <c:pt idx="469">
                  <c:v>6.1260000000000003</c:v>
                </c:pt>
                <c:pt idx="470">
                  <c:v>5.9429999999999996</c:v>
                </c:pt>
                <c:pt idx="471">
                  <c:v>6.15</c:v>
                </c:pt>
                <c:pt idx="472">
                  <c:v>6.165</c:v>
                </c:pt>
                <c:pt idx="473">
                  <c:v>6.8689999999999998</c:v>
                </c:pt>
                <c:pt idx="474">
                  <c:v>5.5720000000000001</c:v>
                </c:pt>
                <c:pt idx="475">
                  <c:v>5.516</c:v>
                </c:pt>
                <c:pt idx="476">
                  <c:v>5.3129999999999997</c:v>
                </c:pt>
                <c:pt idx="477">
                  <c:v>5.1340000000000003</c:v>
                </c:pt>
                <c:pt idx="478">
                  <c:v>5.2050000000000001</c:v>
                </c:pt>
                <c:pt idx="479">
                  <c:v>5.4039999999999999</c:v>
                </c:pt>
                <c:pt idx="480">
                  <c:v>5.34</c:v>
                </c:pt>
                <c:pt idx="481">
                  <c:v>5.3150000000000004</c:v>
                </c:pt>
                <c:pt idx="482">
                  <c:v>5.2590000000000003</c:v>
                </c:pt>
                <c:pt idx="483">
                  <c:v>5.4669999999999996</c:v>
                </c:pt>
                <c:pt idx="484">
                  <c:v>5.7110000000000003</c:v>
                </c:pt>
                <c:pt idx="485">
                  <c:v>5.6159999999999997</c:v>
                </c:pt>
                <c:pt idx="486">
                  <c:v>5.6</c:v>
                </c:pt>
                <c:pt idx="487">
                  <c:v>5.718</c:v>
                </c:pt>
                <c:pt idx="488">
                  <c:v>5.9370000000000003</c:v>
                </c:pt>
                <c:pt idx="489">
                  <c:v>5.9610000000000003</c:v>
                </c:pt>
                <c:pt idx="490">
                  <c:v>5.9130000000000003</c:v>
                </c:pt>
                <c:pt idx="491">
                  <c:v>5.4119999999999999</c:v>
                </c:pt>
                <c:pt idx="492">
                  <c:v>5.5979999999999999</c:v>
                </c:pt>
                <c:pt idx="493">
                  <c:v>5.415</c:v>
                </c:pt>
                <c:pt idx="494">
                  <c:v>5.827</c:v>
                </c:pt>
                <c:pt idx="495">
                  <c:v>5.9290000000000003</c:v>
                </c:pt>
                <c:pt idx="496">
                  <c:v>6.0549999999999997</c:v>
                </c:pt>
                <c:pt idx="497">
                  <c:v>6.1269999999999998</c:v>
                </c:pt>
                <c:pt idx="498">
                  <c:v>6.16</c:v>
                </c:pt>
                <c:pt idx="499">
                  <c:v>6.117</c:v>
                </c:pt>
                <c:pt idx="500">
                  <c:v>6.2960000000000003</c:v>
                </c:pt>
                <c:pt idx="501">
                  <c:v>6.2850000000000001</c:v>
                </c:pt>
                <c:pt idx="502">
                  <c:v>6.641</c:v>
                </c:pt>
                <c:pt idx="503">
                  <c:v>6.5039999999999996</c:v>
                </c:pt>
                <c:pt idx="504">
                  <c:v>6.2949999999999999</c:v>
                </c:pt>
                <c:pt idx="505">
                  <c:v>6.0650000000000004</c:v>
                </c:pt>
                <c:pt idx="506">
                  <c:v>5.8869999999999996</c:v>
                </c:pt>
                <c:pt idx="507">
                  <c:v>6.27</c:v>
                </c:pt>
                <c:pt idx="508">
                  <c:v>6.4029999999999996</c:v>
                </c:pt>
                <c:pt idx="509">
                  <c:v>6.0010000000000003</c:v>
                </c:pt>
                <c:pt idx="510">
                  <c:v>7.0019999999999998</c:v>
                </c:pt>
                <c:pt idx="511">
                  <c:v>6.5190000000000001</c:v>
                </c:pt>
                <c:pt idx="512">
                  <c:v>8.4849999999999994</c:v>
                </c:pt>
                <c:pt idx="513">
                  <c:v>8.8239999999999998</c:v>
                </c:pt>
                <c:pt idx="514">
                  <c:v>8.4809999999999999</c:v>
                </c:pt>
                <c:pt idx="515">
                  <c:v>8.7210000000000001</c:v>
                </c:pt>
                <c:pt idx="516">
                  <c:v>8.5060000000000002</c:v>
                </c:pt>
                <c:pt idx="517">
                  <c:v>8.3670000000000009</c:v>
                </c:pt>
                <c:pt idx="518">
                  <c:v>8.3480000000000008</c:v>
                </c:pt>
                <c:pt idx="519">
                  <c:v>8.8010000000000002</c:v>
                </c:pt>
                <c:pt idx="520">
                  <c:v>8.7550000000000008</c:v>
                </c:pt>
                <c:pt idx="521">
                  <c:v>9.4420000000000002</c:v>
                </c:pt>
                <c:pt idx="522">
                  <c:v>9.3480000000000008</c:v>
                </c:pt>
                <c:pt idx="523">
                  <c:v>9.7680000000000007</c:v>
                </c:pt>
                <c:pt idx="524">
                  <c:v>9.56</c:v>
                </c:pt>
                <c:pt idx="525">
                  <c:v>9.5630000000000006</c:v>
                </c:pt>
                <c:pt idx="526">
                  <c:v>9.0289999999999999</c:v>
                </c:pt>
                <c:pt idx="527">
                  <c:v>9.5180000000000007</c:v>
                </c:pt>
                <c:pt idx="528">
                  <c:v>10.036</c:v>
                </c:pt>
                <c:pt idx="529">
                  <c:v>10.01</c:v>
                </c:pt>
                <c:pt idx="530">
                  <c:v>10.066000000000001</c:v>
                </c:pt>
                <c:pt idx="531">
                  <c:v>10.462</c:v>
                </c:pt>
                <c:pt idx="532">
                  <c:v>10.281000000000001</c:v>
                </c:pt>
                <c:pt idx="533">
                  <c:v>10.491</c:v>
                </c:pt>
                <c:pt idx="534">
                  <c:v>10.55</c:v>
                </c:pt>
                <c:pt idx="535">
                  <c:v>10.351000000000001</c:v>
                </c:pt>
                <c:pt idx="536">
                  <c:v>10.497999999999999</c:v>
                </c:pt>
                <c:pt idx="537">
                  <c:v>10.9</c:v>
                </c:pt>
                <c:pt idx="538">
                  <c:v>9.8729999999999993</c:v>
                </c:pt>
                <c:pt idx="539">
                  <c:v>9.5519999999999996</c:v>
                </c:pt>
                <c:pt idx="540">
                  <c:v>9.2889999999999997</c:v>
                </c:pt>
                <c:pt idx="541">
                  <c:v>9.016</c:v>
                </c:pt>
                <c:pt idx="542">
                  <c:v>8.9139999999999997</c:v>
                </c:pt>
                <c:pt idx="543">
                  <c:v>8.5109999999999992</c:v>
                </c:pt>
                <c:pt idx="544">
                  <c:v>8.9030000000000005</c:v>
                </c:pt>
                <c:pt idx="545">
                  <c:v>8.0990000000000002</c:v>
                </c:pt>
                <c:pt idx="546">
                  <c:v>8.1940000000000008</c:v>
                </c:pt>
                <c:pt idx="547">
                  <c:v>8.1280000000000001</c:v>
                </c:pt>
                <c:pt idx="548">
                  <c:v>8.3740000000000006</c:v>
                </c:pt>
                <c:pt idx="549">
                  <c:v>8.7240000000000002</c:v>
                </c:pt>
                <c:pt idx="550">
                  <c:v>9.3870000000000005</c:v>
                </c:pt>
                <c:pt idx="551">
                  <c:v>9.0950000000000006</c:v>
                </c:pt>
                <c:pt idx="552">
                  <c:v>9.4589999999999996</c:v>
                </c:pt>
                <c:pt idx="553">
                  <c:v>8.7270000000000003</c:v>
                </c:pt>
                <c:pt idx="554">
                  <c:v>8.09</c:v>
                </c:pt>
                <c:pt idx="555">
                  <c:v>8.0719999999999992</c:v>
                </c:pt>
                <c:pt idx="556">
                  <c:v>8.0869999999999997</c:v>
                </c:pt>
                <c:pt idx="557">
                  <c:v>8.1389999999999993</c:v>
                </c:pt>
                <c:pt idx="558">
                  <c:v>7.492</c:v>
                </c:pt>
                <c:pt idx="559">
                  <c:v>7.4749999999999996</c:v>
                </c:pt>
                <c:pt idx="560">
                  <c:v>7.5369999999999999</c:v>
                </c:pt>
                <c:pt idx="561">
                  <c:v>7.4619999999999997</c:v>
                </c:pt>
                <c:pt idx="562">
                  <c:v>7.1890000000000001</c:v>
                </c:pt>
                <c:pt idx="563">
                  <c:v>7.5049999999999999</c:v>
                </c:pt>
                <c:pt idx="564">
                  <c:v>7.2140000000000004</c:v>
                </c:pt>
                <c:pt idx="565">
                  <c:v>7.242</c:v>
                </c:pt>
                <c:pt idx="566">
                  <c:v>7.3550000000000004</c:v>
                </c:pt>
                <c:pt idx="567">
                  <c:v>7.4619999999999997</c:v>
                </c:pt>
                <c:pt idx="568">
                  <c:v>6.931</c:v>
                </c:pt>
                <c:pt idx="569">
                  <c:v>6.84</c:v>
                </c:pt>
                <c:pt idx="570">
                  <c:v>7.0579999999999998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4-47E1-8EBF-5ECCFC9DD5E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1.9725950791198099E-2</c:v>
                </c:pt>
                <c:pt idx="1">
                  <c:v>1.986278991873433E-2</c:v>
                </c:pt>
                <c:pt idx="2">
                  <c:v>2.1379556047261935E-2</c:v>
                </c:pt>
                <c:pt idx="3">
                  <c:v>2.116905857044532E-2</c:v>
                </c:pt>
                <c:pt idx="4">
                  <c:v>1.9876302227283683E-2</c:v>
                </c:pt>
                <c:pt idx="5">
                  <c:v>1.9579525840997973E-2</c:v>
                </c:pt>
                <c:pt idx="6">
                  <c:v>1.9248116819118876E-2</c:v>
                </c:pt>
                <c:pt idx="7">
                  <c:v>2.1886894464850658E-2</c:v>
                </c:pt>
                <c:pt idx="8">
                  <c:v>2.2816373141199831E-2</c:v>
                </c:pt>
                <c:pt idx="9">
                  <c:v>2.3490452183709452E-2</c:v>
                </c:pt>
                <c:pt idx="10">
                  <c:v>2.3635078858400809E-2</c:v>
                </c:pt>
                <c:pt idx="11">
                  <c:v>2.3857791933400811E-2</c:v>
                </c:pt>
                <c:pt idx="12">
                  <c:v>2.3607444352150814E-2</c:v>
                </c:pt>
                <c:pt idx="13">
                  <c:v>2.3248910573772433E-2</c:v>
                </c:pt>
                <c:pt idx="14">
                  <c:v>2.3848754250695509E-2</c:v>
                </c:pt>
                <c:pt idx="15">
                  <c:v>2.5222391824608555E-2</c:v>
                </c:pt>
                <c:pt idx="16">
                  <c:v>2.4427679847439598E-2</c:v>
                </c:pt>
                <c:pt idx="17">
                  <c:v>2.3738116321622038E-2</c:v>
                </c:pt>
                <c:pt idx="18">
                  <c:v>2.4249064373267241E-2</c:v>
                </c:pt>
                <c:pt idx="19">
                  <c:v>2.4415214138784481E-2</c:v>
                </c:pt>
                <c:pt idx="20">
                  <c:v>2.4678073455612067E-2</c:v>
                </c:pt>
                <c:pt idx="21">
                  <c:v>2.4332793298859592E-2</c:v>
                </c:pt>
                <c:pt idx="22">
                  <c:v>2.4956725678859586E-2</c:v>
                </c:pt>
                <c:pt idx="23">
                  <c:v>2.5754618685326462E-2</c:v>
                </c:pt>
                <c:pt idx="24">
                  <c:v>2.5732494304488138E-2</c:v>
                </c:pt>
                <c:pt idx="25">
                  <c:v>2.6062399094325537E-2</c:v>
                </c:pt>
                <c:pt idx="26">
                  <c:v>2.5643474462905599E-2</c:v>
                </c:pt>
                <c:pt idx="27">
                  <c:v>2.5210424430473163E-2</c:v>
                </c:pt>
                <c:pt idx="28">
                  <c:v>2.5726539480808733E-2</c:v>
                </c:pt>
                <c:pt idx="29">
                  <c:v>2.5893410694681564E-2</c:v>
                </c:pt>
                <c:pt idx="30">
                  <c:v>2.6143622791584213E-2</c:v>
                </c:pt>
                <c:pt idx="31">
                  <c:v>2.7731693930627032E-2</c:v>
                </c:pt>
                <c:pt idx="32">
                  <c:v>2.8403980336142619E-2</c:v>
                </c:pt>
                <c:pt idx="33">
                  <c:v>2.7897161326968307E-2</c:v>
                </c:pt>
                <c:pt idx="34">
                  <c:v>2.810832855004523E-2</c:v>
                </c:pt>
                <c:pt idx="35">
                  <c:v>2.874486090343276E-2</c:v>
                </c:pt>
                <c:pt idx="36">
                  <c:v>2.757260744669807E-2</c:v>
                </c:pt>
                <c:pt idx="37">
                  <c:v>2.755787470008152E-2</c:v>
                </c:pt>
                <c:pt idx="38">
                  <c:v>2.6675667621899699E-2</c:v>
                </c:pt>
                <c:pt idx="39">
                  <c:v>2.7280656295082254E-2</c:v>
                </c:pt>
                <c:pt idx="40">
                  <c:v>2.83633682227931E-2</c:v>
                </c:pt>
                <c:pt idx="41">
                  <c:v>2.8780230508079201E-2</c:v>
                </c:pt>
                <c:pt idx="42">
                  <c:v>2.9251147092485972E-2</c:v>
                </c:pt>
                <c:pt idx="43">
                  <c:v>3.037852361098221E-2</c:v>
                </c:pt>
                <c:pt idx="44">
                  <c:v>2.8850291118148876E-2</c:v>
                </c:pt>
                <c:pt idx="45">
                  <c:v>2.8148537273589295E-2</c:v>
                </c:pt>
                <c:pt idx="46">
                  <c:v>2.97586810163275E-2</c:v>
                </c:pt>
                <c:pt idx="47">
                  <c:v>2.9584816015849037E-2</c:v>
                </c:pt>
                <c:pt idx="48">
                  <c:v>2.9475625275164626E-2</c:v>
                </c:pt>
                <c:pt idx="49">
                  <c:v>3.093595253523063E-2</c:v>
                </c:pt>
                <c:pt idx="50">
                  <c:v>3.265321545168632E-2</c:v>
                </c:pt>
                <c:pt idx="51">
                  <c:v>3.1603483020999919E-2</c:v>
                </c:pt>
                <c:pt idx="52">
                  <c:v>3.3150330097922995E-2</c:v>
                </c:pt>
                <c:pt idx="53">
                  <c:v>3.0798459744255047E-2</c:v>
                </c:pt>
                <c:pt idx="54">
                  <c:v>3.2183744797661465E-2</c:v>
                </c:pt>
                <c:pt idx="55">
                  <c:v>3.0446399423207041E-2</c:v>
                </c:pt>
                <c:pt idx="56">
                  <c:v>3.1965867120456924E-2</c:v>
                </c:pt>
                <c:pt idx="57">
                  <c:v>3.292891933234323E-2</c:v>
                </c:pt>
                <c:pt idx="58">
                  <c:v>3.4742042242844037E-2</c:v>
                </c:pt>
                <c:pt idx="59">
                  <c:v>3.5296820112040793E-2</c:v>
                </c:pt>
                <c:pt idx="60">
                  <c:v>3.3382111737395255E-2</c:v>
                </c:pt>
                <c:pt idx="61">
                  <c:v>3.207096194091949E-2</c:v>
                </c:pt>
                <c:pt idx="62">
                  <c:v>3.2997552992419063E-2</c:v>
                </c:pt>
                <c:pt idx="63">
                  <c:v>3.8223224214292535E-2</c:v>
                </c:pt>
                <c:pt idx="64">
                  <c:v>3.5447352442681608E-2</c:v>
                </c:pt>
                <c:pt idx="65">
                  <c:v>3.4496056628085602E-2</c:v>
                </c:pt>
                <c:pt idx="66">
                  <c:v>3.2585723367561381E-2</c:v>
                </c:pt>
                <c:pt idx="67">
                  <c:v>3.449240006125507E-2</c:v>
                </c:pt>
                <c:pt idx="68">
                  <c:v>3.0788991325817486E-2</c:v>
                </c:pt>
                <c:pt idx="69">
                  <c:v>2.9803812823231281E-2</c:v>
                </c:pt>
                <c:pt idx="70">
                  <c:v>2.8133460128891657E-2</c:v>
                </c:pt>
                <c:pt idx="71">
                  <c:v>3.0797511509625602E-2</c:v>
                </c:pt>
                <c:pt idx="72">
                  <c:v>2.9339000195515177E-2</c:v>
                </c:pt>
                <c:pt idx="73">
                  <c:v>3.0601034386935292E-2</c:v>
                </c:pt>
                <c:pt idx="74">
                  <c:v>3.1234014495592013E-2</c:v>
                </c:pt>
                <c:pt idx="75">
                  <c:v>3.0605039449188305E-2</c:v>
                </c:pt>
                <c:pt idx="76">
                  <c:v>3.1895573119566041E-2</c:v>
                </c:pt>
                <c:pt idx="77">
                  <c:v>3.2308071533294465E-2</c:v>
                </c:pt>
                <c:pt idx="78">
                  <c:v>3.097946019087635E-2</c:v>
                </c:pt>
                <c:pt idx="79">
                  <c:v>3.1834297965588995E-2</c:v>
                </c:pt>
                <c:pt idx="80">
                  <c:v>2.9168474396656957E-2</c:v>
                </c:pt>
                <c:pt idx="81">
                  <c:v>2.7924408154822094E-2</c:v>
                </c:pt>
                <c:pt idx="82">
                  <c:v>2.7724224642131739E-2</c:v>
                </c:pt>
                <c:pt idx="83">
                  <c:v>2.7826279033454641E-2</c:v>
                </c:pt>
                <c:pt idx="84">
                  <c:v>2.805416360777158E-2</c:v>
                </c:pt>
                <c:pt idx="85">
                  <c:v>2.9015776634890227E-2</c:v>
                </c:pt>
                <c:pt idx="86">
                  <c:v>2.7520376901866976E-2</c:v>
                </c:pt>
                <c:pt idx="87">
                  <c:v>2.966037535102212E-2</c:v>
                </c:pt>
                <c:pt idx="88">
                  <c:v>2.8540933331604654E-2</c:v>
                </c:pt>
                <c:pt idx="89">
                  <c:v>4.3418112910299893E-2</c:v>
                </c:pt>
                <c:pt idx="90">
                  <c:v>4.2505800851633226E-2</c:v>
                </c:pt>
                <c:pt idx="91">
                  <c:v>4.1842276450067231E-2</c:v>
                </c:pt>
                <c:pt idx="92">
                  <c:v>4.0837789235124704E-2</c:v>
                </c:pt>
                <c:pt idx="93">
                  <c:v>4.2043174756074261E-2</c:v>
                </c:pt>
                <c:pt idx="94">
                  <c:v>4.2716126554279803E-2</c:v>
                </c:pt>
                <c:pt idx="95">
                  <c:v>4.3455920299542969E-2</c:v>
                </c:pt>
                <c:pt idx="96">
                  <c:v>4.3558608990937629E-2</c:v>
                </c:pt>
                <c:pt idx="97">
                  <c:v>4.3582333138051224E-2</c:v>
                </c:pt>
                <c:pt idx="98">
                  <c:v>4.2997621375104794E-2</c:v>
                </c:pt>
                <c:pt idx="99">
                  <c:v>4.1202220070226753E-2</c:v>
                </c:pt>
                <c:pt idx="100">
                  <c:v>3.9986652113469995E-2</c:v>
                </c:pt>
                <c:pt idx="101">
                  <c:v>4.1138563116462516E-2</c:v>
                </c:pt>
                <c:pt idx="102">
                  <c:v>4.1365714448206178E-2</c:v>
                </c:pt>
                <c:pt idx="103">
                  <c:v>4.0378105729646174E-2</c:v>
                </c:pt>
                <c:pt idx="104">
                  <c:v>4.1183030647658596E-2</c:v>
                </c:pt>
                <c:pt idx="105">
                  <c:v>4.0283399040358082E-2</c:v>
                </c:pt>
                <c:pt idx="106">
                  <c:v>3.9392048952227122E-2</c:v>
                </c:pt>
                <c:pt idx="107">
                  <c:v>3.8680779794473111E-2</c:v>
                </c:pt>
                <c:pt idx="108">
                  <c:v>3.8410157485901687E-2</c:v>
                </c:pt>
                <c:pt idx="109">
                  <c:v>3.8564194358693203E-2</c:v>
                </c:pt>
                <c:pt idx="110">
                  <c:v>3.919409380838456E-2</c:v>
                </c:pt>
                <c:pt idx="111">
                  <c:v>3.8873244548824119E-2</c:v>
                </c:pt>
                <c:pt idx="112">
                  <c:v>4.0701038416096839E-2</c:v>
                </c:pt>
                <c:pt idx="113">
                  <c:v>4.0582164377909138E-2</c:v>
                </c:pt>
                <c:pt idx="114">
                  <c:v>3.9721530958213451E-2</c:v>
                </c:pt>
                <c:pt idx="115">
                  <c:v>3.8900510482283469E-2</c:v>
                </c:pt>
                <c:pt idx="116">
                  <c:v>3.8622825554496969E-2</c:v>
                </c:pt>
                <c:pt idx="117">
                  <c:v>3.840232744162568E-2</c:v>
                </c:pt>
                <c:pt idx="118">
                  <c:v>3.856319887457587E-2</c:v>
                </c:pt>
                <c:pt idx="119">
                  <c:v>3.5757244400461428E-2</c:v>
                </c:pt>
                <c:pt idx="120">
                  <c:v>3.4666170778173459E-2</c:v>
                </c:pt>
                <c:pt idx="121">
                  <c:v>3.4727502148761698E-2</c:v>
                </c:pt>
                <c:pt idx="122">
                  <c:v>3.6131630751276206E-2</c:v>
                </c:pt>
                <c:pt idx="123">
                  <c:v>3.733411518723679E-2</c:v>
                </c:pt>
                <c:pt idx="124">
                  <c:v>3.6868283520958028E-2</c:v>
                </c:pt>
                <c:pt idx="125">
                  <c:v>3.6748692475219974E-2</c:v>
                </c:pt>
                <c:pt idx="126">
                  <c:v>3.8770831228983595E-2</c:v>
                </c:pt>
                <c:pt idx="127">
                  <c:v>3.7726895328632715E-2</c:v>
                </c:pt>
                <c:pt idx="128">
                  <c:v>3.6254147475740149E-2</c:v>
                </c:pt>
                <c:pt idx="129">
                  <c:v>3.793856072654659E-2</c:v>
                </c:pt>
                <c:pt idx="130">
                  <c:v>3.8584249986565053E-2</c:v>
                </c:pt>
                <c:pt idx="131">
                  <c:v>3.8784776766883147E-2</c:v>
                </c:pt>
                <c:pt idx="132">
                  <c:v>3.8703475709665758E-2</c:v>
                </c:pt>
                <c:pt idx="133">
                  <c:v>4.0857043434493347E-2</c:v>
                </c:pt>
                <c:pt idx="134">
                  <c:v>4.4510059294375001E-2</c:v>
                </c:pt>
                <c:pt idx="135">
                  <c:v>4.188720902496406E-2</c:v>
                </c:pt>
                <c:pt idx="136">
                  <c:v>4.0899359741357499E-2</c:v>
                </c:pt>
                <c:pt idx="137">
                  <c:v>4.0822700397296192E-2</c:v>
                </c:pt>
                <c:pt idx="138">
                  <c:v>4.0231303060503751E-2</c:v>
                </c:pt>
                <c:pt idx="139">
                  <c:v>4.0446155282664417E-2</c:v>
                </c:pt>
                <c:pt idx="140">
                  <c:v>4.1330439862516992E-2</c:v>
                </c:pt>
                <c:pt idx="141">
                  <c:v>3.9505526090235957E-2</c:v>
                </c:pt>
                <c:pt idx="142">
                  <c:v>3.8224401329082343E-2</c:v>
                </c:pt>
                <c:pt idx="143">
                  <c:v>4.0202488195149495E-2</c:v>
                </c:pt>
                <c:pt idx="144">
                  <c:v>4.0742875019268474E-2</c:v>
                </c:pt>
                <c:pt idx="145">
                  <c:v>4.0132857762039252E-2</c:v>
                </c:pt>
                <c:pt idx="146">
                  <c:v>4.097629042345647E-2</c:v>
                </c:pt>
                <c:pt idx="147">
                  <c:v>3.8271834115845969E-2</c:v>
                </c:pt>
                <c:pt idx="148">
                  <c:v>3.8458054043530178E-2</c:v>
                </c:pt>
                <c:pt idx="149">
                  <c:v>3.8003559400486608E-2</c:v>
                </c:pt>
                <c:pt idx="150">
                  <c:v>3.6527187048547273E-2</c:v>
                </c:pt>
                <c:pt idx="151">
                  <c:v>3.807754675027273E-2</c:v>
                </c:pt>
                <c:pt idx="152">
                  <c:v>3.7179277903387271E-2</c:v>
                </c:pt>
                <c:pt idx="153">
                  <c:v>3.8385927959841658E-2</c:v>
                </c:pt>
                <c:pt idx="154">
                  <c:v>3.6285700189414863E-2</c:v>
                </c:pt>
                <c:pt idx="155">
                  <c:v>3.6944943319486667E-2</c:v>
                </c:pt>
                <c:pt idx="156">
                  <c:v>3.7963014687737377E-2</c:v>
                </c:pt>
                <c:pt idx="157">
                  <c:v>3.7024787644396318E-2</c:v>
                </c:pt>
                <c:pt idx="158">
                  <c:v>3.5827745262965414E-2</c:v>
                </c:pt>
                <c:pt idx="159">
                  <c:v>3.6006847711456583E-2</c:v>
                </c:pt>
                <c:pt idx="160">
                  <c:v>3.4649608902195525E-2</c:v>
                </c:pt>
                <c:pt idx="161">
                  <c:v>3.3462076188282168E-2</c:v>
                </c:pt>
                <c:pt idx="162">
                  <c:v>3.2153130107909079E-2</c:v>
                </c:pt>
                <c:pt idx="163">
                  <c:v>3.2069279311248977E-2</c:v>
                </c:pt>
                <c:pt idx="164">
                  <c:v>3.4731040135350701E-2</c:v>
                </c:pt>
                <c:pt idx="165">
                  <c:v>3.5697672012959439E-2</c:v>
                </c:pt>
                <c:pt idx="166">
                  <c:v>3.4876433012685337E-2</c:v>
                </c:pt>
                <c:pt idx="167">
                  <c:v>3.5236321508662155E-2</c:v>
                </c:pt>
                <c:pt idx="168">
                  <c:v>3.4189992569538863E-2</c:v>
                </c:pt>
                <c:pt idx="169">
                  <c:v>3.5297114897745861E-2</c:v>
                </c:pt>
                <c:pt idx="170">
                  <c:v>3.597699862226212E-2</c:v>
                </c:pt>
                <c:pt idx="171">
                  <c:v>3.5527421473497932E-2</c:v>
                </c:pt>
                <c:pt idx="172">
                  <c:v>3.4545030333671088E-2</c:v>
                </c:pt>
                <c:pt idx="173">
                  <c:v>3.6325526958736261E-2</c:v>
                </c:pt>
                <c:pt idx="174">
                  <c:v>3.5415332430023552E-2</c:v>
                </c:pt>
                <c:pt idx="175">
                  <c:v>3.5061677841155658E-2</c:v>
                </c:pt>
                <c:pt idx="176">
                  <c:v>3.393149607882353E-2</c:v>
                </c:pt>
                <c:pt idx="177">
                  <c:v>3.3453932900792814E-2</c:v>
                </c:pt>
                <c:pt idx="178">
                  <c:v>3.2814491853774309E-2</c:v>
                </c:pt>
                <c:pt idx="179">
                  <c:v>3.2566957347333399E-2</c:v>
                </c:pt>
                <c:pt idx="180">
                  <c:v>3.3602600609588112E-2</c:v>
                </c:pt>
                <c:pt idx="181">
                  <c:v>3.2884413778902763E-2</c:v>
                </c:pt>
                <c:pt idx="182">
                  <c:v>3.2096431807888466E-2</c:v>
                </c:pt>
                <c:pt idx="183">
                  <c:v>3.1367203818893019E-2</c:v>
                </c:pt>
                <c:pt idx="184">
                  <c:v>3.1604604237862592E-2</c:v>
                </c:pt>
                <c:pt idx="185">
                  <c:v>3.1044104157935935E-2</c:v>
                </c:pt>
                <c:pt idx="186">
                  <c:v>3.2053611327443651E-2</c:v>
                </c:pt>
                <c:pt idx="187">
                  <c:v>3.1878237272635064E-2</c:v>
                </c:pt>
                <c:pt idx="188">
                  <c:v>3.2037385896825761E-2</c:v>
                </c:pt>
                <c:pt idx="189">
                  <c:v>3.11069869728542E-2</c:v>
                </c:pt>
                <c:pt idx="190">
                  <c:v>3.1409764990239564E-2</c:v>
                </c:pt>
                <c:pt idx="191">
                  <c:v>3.0008570311082852E-2</c:v>
                </c:pt>
                <c:pt idx="192">
                  <c:v>3.0361437893946932E-2</c:v>
                </c:pt>
                <c:pt idx="193">
                  <c:v>3.2662512874838234E-2</c:v>
                </c:pt>
                <c:pt idx="194">
                  <c:v>3.261944686977454E-2</c:v>
                </c:pt>
                <c:pt idx="195">
                  <c:v>3.310177951180121E-2</c:v>
                </c:pt>
                <c:pt idx="196">
                  <c:v>3.3749902850960835E-2</c:v>
                </c:pt>
                <c:pt idx="197">
                  <c:v>3.4615601914441303E-2</c:v>
                </c:pt>
                <c:pt idx="198">
                  <c:v>3.3934472805922787E-2</c:v>
                </c:pt>
                <c:pt idx="199">
                  <c:v>3.3936558483191756E-2</c:v>
                </c:pt>
                <c:pt idx="200">
                  <c:v>3.422869825767736E-2</c:v>
                </c:pt>
                <c:pt idx="201">
                  <c:v>3.3881614777665811E-2</c:v>
                </c:pt>
                <c:pt idx="202">
                  <c:v>3.4237531493241297E-2</c:v>
                </c:pt>
                <c:pt idx="203">
                  <c:v>3.3612754427069826E-2</c:v>
                </c:pt>
                <c:pt idx="204">
                  <c:v>3.4565782225507317E-2</c:v>
                </c:pt>
                <c:pt idx="205">
                  <c:v>3.5714414134638633E-2</c:v>
                </c:pt>
                <c:pt idx="206">
                  <c:v>3.4397905661445079E-2</c:v>
                </c:pt>
                <c:pt idx="207">
                  <c:v>3.5270472493032522E-2</c:v>
                </c:pt>
                <c:pt idx="208">
                  <c:v>3.5209445613712059E-2</c:v>
                </c:pt>
                <c:pt idx="209">
                  <c:v>3.4589054026747119E-2</c:v>
                </c:pt>
                <c:pt idx="210">
                  <c:v>3.4002961173110753E-2</c:v>
                </c:pt>
                <c:pt idx="211">
                  <c:v>3.5237187560154835E-2</c:v>
                </c:pt>
                <c:pt idx="212">
                  <c:v>3.4710460077012111E-2</c:v>
                </c:pt>
                <c:pt idx="213">
                  <c:v>3.4476423216080597E-2</c:v>
                </c:pt>
                <c:pt idx="214">
                  <c:v>3.4042223618988607E-2</c:v>
                </c:pt>
                <c:pt idx="215">
                  <c:v>3.2757583843848262E-2</c:v>
                </c:pt>
                <c:pt idx="216">
                  <c:v>3.2353135128617913E-2</c:v>
                </c:pt>
                <c:pt idx="217">
                  <c:v>3.3959917424783388E-2</c:v>
                </c:pt>
                <c:pt idx="218">
                  <c:v>3.4560418665019459E-2</c:v>
                </c:pt>
                <c:pt idx="219">
                  <c:v>3.1320252485659457E-2</c:v>
                </c:pt>
                <c:pt idx="220">
                  <c:v>3.1686613927110488E-2</c:v>
                </c:pt>
                <c:pt idx="221">
                  <c:v>3.5048360433740787E-2</c:v>
                </c:pt>
                <c:pt idx="222">
                  <c:v>3.4636849789326872E-2</c:v>
                </c:pt>
                <c:pt idx="223">
                  <c:v>3.5128325994790738E-2</c:v>
                </c:pt>
                <c:pt idx="224">
                  <c:v>3.5328723565540732E-2</c:v>
                </c:pt>
                <c:pt idx="225">
                  <c:v>3.5844170241091815E-2</c:v>
                </c:pt>
                <c:pt idx="226">
                  <c:v>3.4668086480123129E-2</c:v>
                </c:pt>
                <c:pt idx="227">
                  <c:v>3.4121546576767497E-2</c:v>
                </c:pt>
                <c:pt idx="228">
                  <c:v>3.3529754488748634E-2</c:v>
                </c:pt>
                <c:pt idx="229">
                  <c:v>3.2579713409279988E-2</c:v>
                </c:pt>
                <c:pt idx="230">
                  <c:v>3.2316917470804861E-2</c:v>
                </c:pt>
                <c:pt idx="231">
                  <c:v>3.3217584358829301E-2</c:v>
                </c:pt>
                <c:pt idx="232">
                  <c:v>3.4359400104317851E-2</c:v>
                </c:pt>
                <c:pt idx="233">
                  <c:v>3.1877153010317849E-2</c:v>
                </c:pt>
                <c:pt idx="234">
                  <c:v>3.1047910165248098E-2</c:v>
                </c:pt>
                <c:pt idx="235">
                  <c:v>3.2421854558171509E-2</c:v>
                </c:pt>
                <c:pt idx="236">
                  <c:v>3.2469834925972871E-2</c:v>
                </c:pt>
                <c:pt idx="237">
                  <c:v>3.3161304209452319E-2</c:v>
                </c:pt>
                <c:pt idx="238">
                  <c:v>3.4199565310483244E-2</c:v>
                </c:pt>
                <c:pt idx="239">
                  <c:v>3.4117923000186949E-2</c:v>
                </c:pt>
                <c:pt idx="240">
                  <c:v>3.4074736490706692E-2</c:v>
                </c:pt>
                <c:pt idx="241">
                  <c:v>3.5108516669014385E-2</c:v>
                </c:pt>
                <c:pt idx="242">
                  <c:v>3.2850012779503279E-2</c:v>
                </c:pt>
                <c:pt idx="243">
                  <c:v>3.6790488045927307E-2</c:v>
                </c:pt>
                <c:pt idx="244">
                  <c:v>2.808335345396263E-2</c:v>
                </c:pt>
                <c:pt idx="245">
                  <c:v>2.6697510713596405E-2</c:v>
                </c:pt>
                <c:pt idx="246">
                  <c:v>2.5967757473561573E-2</c:v>
                </c:pt>
                <c:pt idx="247">
                  <c:v>2.223815791362262E-2</c:v>
                </c:pt>
                <c:pt idx="248">
                  <c:v>2.1869491846521327E-2</c:v>
                </c:pt>
                <c:pt idx="249">
                  <c:v>1.662762458525693E-2</c:v>
                </c:pt>
                <c:pt idx="250">
                  <c:v>1.8888516822362676E-2</c:v>
                </c:pt>
                <c:pt idx="251">
                  <c:v>2.2953577347377237E-2</c:v>
                </c:pt>
                <c:pt idx="252">
                  <c:v>1.8819734404503793E-2</c:v>
                </c:pt>
                <c:pt idx="253">
                  <c:v>1.6818801874178332E-2</c:v>
                </c:pt>
                <c:pt idx="254">
                  <c:v>1.9686058641196311E-2</c:v>
                </c:pt>
                <c:pt idx="255">
                  <c:v>2.0214342605662777E-2</c:v>
                </c:pt>
                <c:pt idx="256">
                  <c:v>2.1563487635572254E-2</c:v>
                </c:pt>
                <c:pt idx="257">
                  <c:v>2.1875119030243351E-2</c:v>
                </c:pt>
                <c:pt idx="258">
                  <c:v>2.4374948630073771E-2</c:v>
                </c:pt>
                <c:pt idx="259">
                  <c:v>2.2647169998140083E-2</c:v>
                </c:pt>
                <c:pt idx="260">
                  <c:v>2.3743544810955728E-2</c:v>
                </c:pt>
                <c:pt idx="261">
                  <c:v>2.7661621483113998E-2</c:v>
                </c:pt>
                <c:pt idx="262">
                  <c:v>2.4791199996744957E-2</c:v>
                </c:pt>
                <c:pt idx="263">
                  <c:v>2.5393167301727786E-2</c:v>
                </c:pt>
                <c:pt idx="264">
                  <c:v>2.3877644009512936E-2</c:v>
                </c:pt>
                <c:pt idx="265">
                  <c:v>3.1336752259302054E-2</c:v>
                </c:pt>
                <c:pt idx="266">
                  <c:v>2.7550123900428623E-2</c:v>
                </c:pt>
                <c:pt idx="267">
                  <c:v>2.505769792668466E-2</c:v>
                </c:pt>
                <c:pt idx="268">
                  <c:v>2.325015020405638E-2</c:v>
                </c:pt>
                <c:pt idx="269">
                  <c:v>2.2846673020588567E-2</c:v>
                </c:pt>
                <c:pt idx="270">
                  <c:v>2.2982977372194575E-2</c:v>
                </c:pt>
                <c:pt idx="271">
                  <c:v>2.3469521845107897E-2</c:v>
                </c:pt>
                <c:pt idx="272">
                  <c:v>2.2609643433751214E-2</c:v>
                </c:pt>
                <c:pt idx="273">
                  <c:v>2.2341613910276871E-2</c:v>
                </c:pt>
                <c:pt idx="274">
                  <c:v>2.1580977307969863E-2</c:v>
                </c:pt>
                <c:pt idx="275">
                  <c:v>2.1067059705712491E-2</c:v>
                </c:pt>
                <c:pt idx="276">
                  <c:v>2.2158872311837493E-2</c:v>
                </c:pt>
                <c:pt idx="277">
                  <c:v>1.8781305182527883E-2</c:v>
                </c:pt>
                <c:pt idx="278">
                  <c:v>1.8369936473221212E-2</c:v>
                </c:pt>
                <c:pt idx="279">
                  <c:v>2.0359295140870332E-2</c:v>
                </c:pt>
                <c:pt idx="280">
                  <c:v>1.4776768084984069E-2</c:v>
                </c:pt>
                <c:pt idx="281">
                  <c:v>1.7031093031171035E-2</c:v>
                </c:pt>
                <c:pt idx="282">
                  <c:v>2.233642647199062E-2</c:v>
                </c:pt>
                <c:pt idx="283">
                  <c:v>1.6105129842115175E-2</c:v>
                </c:pt>
                <c:pt idx="284">
                  <c:v>1.8000936056786113E-2</c:v>
                </c:pt>
                <c:pt idx="285">
                  <c:v>1.4421235312005558E-2</c:v>
                </c:pt>
                <c:pt idx="286">
                  <c:v>1.8847325855328896E-2</c:v>
                </c:pt>
                <c:pt idx="287">
                  <c:v>1.4068984173617696E-2</c:v>
                </c:pt>
                <c:pt idx="288">
                  <c:v>8.8736515584458275E-3</c:v>
                </c:pt>
                <c:pt idx="289">
                  <c:v>8.6089641747638928E-3</c:v>
                </c:pt>
                <c:pt idx="290">
                  <c:v>7.2683751121261171E-3</c:v>
                </c:pt>
                <c:pt idx="291">
                  <c:v>7.1166084780581495E-3</c:v>
                </c:pt>
                <c:pt idx="292">
                  <c:v>7.8060791419004667E-3</c:v>
                </c:pt>
                <c:pt idx="293">
                  <c:v>7.7411112650519467E-3</c:v>
                </c:pt>
                <c:pt idx="294">
                  <c:v>8.6669426860254521E-3</c:v>
                </c:pt>
                <c:pt idx="295">
                  <c:v>8.6541533444006585E-3</c:v>
                </c:pt>
                <c:pt idx="296">
                  <c:v>8.445936605728073E-3</c:v>
                </c:pt>
                <c:pt idx="297">
                  <c:v>6.669057305294694E-3</c:v>
                </c:pt>
                <c:pt idx="298">
                  <c:v>6.3692772019734402E-3</c:v>
                </c:pt>
                <c:pt idx="299">
                  <c:v>2.9962859475596358E-3</c:v>
                </c:pt>
                <c:pt idx="300">
                  <c:v>5.3037270365121694E-3</c:v>
                </c:pt>
                <c:pt idx="301">
                  <c:v>5.6352050835543517E-3</c:v>
                </c:pt>
                <c:pt idx="302">
                  <c:v>3.4664342053656043E-3</c:v>
                </c:pt>
                <c:pt idx="303">
                  <c:v>2.9905452655199717E-3</c:v>
                </c:pt>
                <c:pt idx="304">
                  <c:v>3.3232373242892024E-3</c:v>
                </c:pt>
                <c:pt idx="305">
                  <c:v>1.9296135858616265E-3</c:v>
                </c:pt>
                <c:pt idx="306">
                  <c:v>1.7944520828288893E-3</c:v>
                </c:pt>
                <c:pt idx="307">
                  <c:v>1.6782919452508554E-3</c:v>
                </c:pt>
                <c:pt idx="308">
                  <c:v>5.6711626626608611E-4</c:v>
                </c:pt>
                <c:pt idx="309">
                  <c:v>6.5657769094623424E-4</c:v>
                </c:pt>
                <c:pt idx="310">
                  <c:v>1.957911786701589E-3</c:v>
                </c:pt>
                <c:pt idx="311">
                  <c:v>2.4466707884307306E-3</c:v>
                </c:pt>
                <c:pt idx="312">
                  <c:v>3.9524002121149402E-3</c:v>
                </c:pt>
                <c:pt idx="313">
                  <c:v>3.9907219724415475E-3</c:v>
                </c:pt>
                <c:pt idx="314">
                  <c:v>5.7857715135888454E-3</c:v>
                </c:pt>
                <c:pt idx="315">
                  <c:v>5.6295021269181711E-3</c:v>
                </c:pt>
                <c:pt idx="316">
                  <c:v>5.4272994018623394E-3</c:v>
                </c:pt>
                <c:pt idx="317">
                  <c:v>5.0882016362271696E-3</c:v>
                </c:pt>
                <c:pt idx="318">
                  <c:v>3.1032535297339588E-3</c:v>
                </c:pt>
                <c:pt idx="319">
                  <c:v>4.1708222851508745E-3</c:v>
                </c:pt>
                <c:pt idx="320">
                  <c:v>6.4576053497123883E-3</c:v>
                </c:pt>
                <c:pt idx="321">
                  <c:v>4.4460628125970623E-3</c:v>
                </c:pt>
                <c:pt idx="322">
                  <c:v>4.9253834573406525E-3</c:v>
                </c:pt>
                <c:pt idx="323">
                  <c:v>5.4278796058558057E-3</c:v>
                </c:pt>
                <c:pt idx="324">
                  <c:v>6.5740146665438509E-3</c:v>
                </c:pt>
                <c:pt idx="325">
                  <c:v>5.5284447622702213E-3</c:v>
                </c:pt>
                <c:pt idx="326">
                  <c:v>7.0072265111773566E-3</c:v>
                </c:pt>
                <c:pt idx="327">
                  <c:v>5.3815987789658307E-3</c:v>
                </c:pt>
                <c:pt idx="328">
                  <c:v>5.2218677710497933E-3</c:v>
                </c:pt>
                <c:pt idx="329">
                  <c:v>4.4606000655722624E-3</c:v>
                </c:pt>
                <c:pt idx="330">
                  <c:v>5.3830372884782277E-3</c:v>
                </c:pt>
                <c:pt idx="331">
                  <c:v>6.4075676406362388E-3</c:v>
                </c:pt>
                <c:pt idx="332">
                  <c:v>6.7607997859113296E-3</c:v>
                </c:pt>
                <c:pt idx="333">
                  <c:v>5.1122041708284672E-3</c:v>
                </c:pt>
                <c:pt idx="334">
                  <c:v>5.7209279988052579E-3</c:v>
                </c:pt>
                <c:pt idx="335">
                  <c:v>6.5065462755506034E-3</c:v>
                </c:pt>
                <c:pt idx="336">
                  <c:v>7.0753955236455409E-3</c:v>
                </c:pt>
                <c:pt idx="337">
                  <c:v>9.1577120373081081E-3</c:v>
                </c:pt>
                <c:pt idx="338">
                  <c:v>1.0584051534542383E-2</c:v>
                </c:pt>
                <c:pt idx="339">
                  <c:v>1.1650263861318916E-2</c:v>
                </c:pt>
                <c:pt idx="340">
                  <c:v>9.1181700442141984E-3</c:v>
                </c:pt>
                <c:pt idx="341">
                  <c:v>9.929114099106566E-3</c:v>
                </c:pt>
                <c:pt idx="342">
                  <c:v>1.0684643504103489E-2</c:v>
                </c:pt>
                <c:pt idx="343">
                  <c:v>1.2485330396019316E-2</c:v>
                </c:pt>
                <c:pt idx="344">
                  <c:v>1.1337863198471895E-2</c:v>
                </c:pt>
                <c:pt idx="345">
                  <c:v>7.9891470918634251E-3</c:v>
                </c:pt>
                <c:pt idx="346">
                  <c:v>6.8626287342750661E-3</c:v>
                </c:pt>
                <c:pt idx="347">
                  <c:v>6.1503191363457867E-3</c:v>
                </c:pt>
                <c:pt idx="348">
                  <c:v>6.5456423290570125E-3</c:v>
                </c:pt>
                <c:pt idx="349">
                  <c:v>5.3475348745206878E-3</c:v>
                </c:pt>
                <c:pt idx="350">
                  <c:v>5.4788906327376949E-3</c:v>
                </c:pt>
                <c:pt idx="351">
                  <c:v>3.8507435802091444E-3</c:v>
                </c:pt>
                <c:pt idx="352">
                  <c:v>3.7995130261799536E-3</c:v>
                </c:pt>
                <c:pt idx="353">
                  <c:v>1.0877724654617673E-3</c:v>
                </c:pt>
                <c:pt idx="354">
                  <c:v>1.7592487285220412E-3</c:v>
                </c:pt>
                <c:pt idx="355">
                  <c:v>2.1361402312507728E-3</c:v>
                </c:pt>
                <c:pt idx="356">
                  <c:v>2.9518125055126728E-3</c:v>
                </c:pt>
                <c:pt idx="357">
                  <c:v>1.5575757408726762E-3</c:v>
                </c:pt>
                <c:pt idx="358">
                  <c:v>1.2705434529803352E-3</c:v>
                </c:pt>
                <c:pt idx="359">
                  <c:v>6.5161835107845989E-5</c:v>
                </c:pt>
                <c:pt idx="360">
                  <c:v>7.0053892229964888E-4</c:v>
                </c:pt>
                <c:pt idx="361">
                  <c:v>5.4082008052408546E-4</c:v>
                </c:pt>
                <c:pt idx="362">
                  <c:v>1.9944084832159569E-3</c:v>
                </c:pt>
                <c:pt idx="363">
                  <c:v>-3.054380610082508E-4</c:v>
                </c:pt>
                <c:pt idx="364">
                  <c:v>-9.5262753877234938E-4</c:v>
                </c:pt>
                <c:pt idx="365">
                  <c:v>-3.069866803843324E-3</c:v>
                </c:pt>
                <c:pt idx="366">
                  <c:v>-4.2931266763574037E-4</c:v>
                </c:pt>
                <c:pt idx="367">
                  <c:v>1.1969113525311641E-3</c:v>
                </c:pt>
                <c:pt idx="368">
                  <c:v>-2.5142516392217956E-3</c:v>
                </c:pt>
                <c:pt idx="369">
                  <c:v>-1.4908001639320249E-3</c:v>
                </c:pt>
                <c:pt idx="370">
                  <c:v>-2.6124300174959432E-4</c:v>
                </c:pt>
                <c:pt idx="371">
                  <c:v>-4.5344371067412137E-4</c:v>
                </c:pt>
                <c:pt idx="372">
                  <c:v>1.5448680158776024E-3</c:v>
                </c:pt>
                <c:pt idx="373">
                  <c:v>-6.3037150447466756E-4</c:v>
                </c:pt>
                <c:pt idx="374">
                  <c:v>1.3944472989485869E-3</c:v>
                </c:pt>
                <c:pt idx="375">
                  <c:v>3.230238272651861E-3</c:v>
                </c:pt>
                <c:pt idx="376">
                  <c:v>9.7764540453370349E-4</c:v>
                </c:pt>
                <c:pt idx="377">
                  <c:v>3.233651486529013E-3</c:v>
                </c:pt>
                <c:pt idx="378">
                  <c:v>3.871465474796981E-3</c:v>
                </c:pt>
                <c:pt idx="379">
                  <c:v>6.7816059057850594E-3</c:v>
                </c:pt>
                <c:pt idx="380">
                  <c:v>3.0692497575497608E-3</c:v>
                </c:pt>
                <c:pt idx="381">
                  <c:v>1.8450226797944605E-3</c:v>
                </c:pt>
                <c:pt idx="382">
                  <c:v>-1.8467267538619088E-3</c:v>
                </c:pt>
                <c:pt idx="383">
                  <c:v>-1.1884730975546915E-2</c:v>
                </c:pt>
                <c:pt idx="384">
                  <c:v>-1.3214244161984322E-2</c:v>
                </c:pt>
                <c:pt idx="385">
                  <c:v>-1.4216890705484321E-2</c:v>
                </c:pt>
                <c:pt idx="386">
                  <c:v>-1.3606073263919905E-2</c:v>
                </c:pt>
                <c:pt idx="387">
                  <c:v>-1.6524646282646462E-2</c:v>
                </c:pt>
                <c:pt idx="388">
                  <c:v>-1.8062667486642744E-2</c:v>
                </c:pt>
                <c:pt idx="389">
                  <c:v>-1.820607462527532E-2</c:v>
                </c:pt>
                <c:pt idx="390">
                  <c:v>-1.9515276043419582E-2</c:v>
                </c:pt>
                <c:pt idx="391">
                  <c:v>-1.8430520255971465E-2</c:v>
                </c:pt>
                <c:pt idx="392">
                  <c:v>-1.2135979618755221E-2</c:v>
                </c:pt>
                <c:pt idx="393">
                  <c:v>-1.3796082319706918E-2</c:v>
                </c:pt>
                <c:pt idx="394">
                  <c:v>-1.225480749578914E-2</c:v>
                </c:pt>
                <c:pt idx="395">
                  <c:v>-1.3007110177939265E-2</c:v>
                </c:pt>
                <c:pt idx="396">
                  <c:v>-1.2446641284277294E-2</c:v>
                </c:pt>
                <c:pt idx="397">
                  <c:v>-1.2342686035780511E-2</c:v>
                </c:pt>
                <c:pt idx="398">
                  <c:v>-1.4016736201574797E-2</c:v>
                </c:pt>
                <c:pt idx="399">
                  <c:v>-1.6946102652143955E-2</c:v>
                </c:pt>
                <c:pt idx="400">
                  <c:v>-1.8369320831431335E-2</c:v>
                </c:pt>
                <c:pt idx="401">
                  <c:v>-1.6604682191127769E-2</c:v>
                </c:pt>
                <c:pt idx="402">
                  <c:v>-1.6054450852228494E-2</c:v>
                </c:pt>
                <c:pt idx="403">
                  <c:v>-1.4342334158298423E-2</c:v>
                </c:pt>
                <c:pt idx="404">
                  <c:v>-1.3350026941890933E-2</c:v>
                </c:pt>
                <c:pt idx="405">
                  <c:v>-1.2252130276404649E-2</c:v>
                </c:pt>
                <c:pt idx="406">
                  <c:v>-1.1837025437906868E-2</c:v>
                </c:pt>
                <c:pt idx="407">
                  <c:v>-7.8321661366947491E-3</c:v>
                </c:pt>
                <c:pt idx="408">
                  <c:v>-1.0708628513002442E-2</c:v>
                </c:pt>
                <c:pt idx="409">
                  <c:v>-1.0289784178977546E-2</c:v>
                </c:pt>
                <c:pt idx="410">
                  <c:v>-9.0997249560363733E-3</c:v>
                </c:pt>
                <c:pt idx="411">
                  <c:v>-1.0405705862518688E-2</c:v>
                </c:pt>
                <c:pt idx="412">
                  <c:v>-1.1755493695482152E-2</c:v>
                </c:pt>
                <c:pt idx="413">
                  <c:v>-1.0195451951154033E-2</c:v>
                </c:pt>
                <c:pt idx="414">
                  <c:v>-9.8034334001134513E-3</c:v>
                </c:pt>
                <c:pt idx="415">
                  <c:v>-1.0468371550046342E-2</c:v>
                </c:pt>
                <c:pt idx="416">
                  <c:v>-7.1894610690389224E-3</c:v>
                </c:pt>
                <c:pt idx="417">
                  <c:v>-6.8461136315643841E-3</c:v>
                </c:pt>
                <c:pt idx="418">
                  <c:v>-7.1404566462991946E-3</c:v>
                </c:pt>
                <c:pt idx="419">
                  <c:v>-8.1770593436357557E-3</c:v>
                </c:pt>
                <c:pt idx="420">
                  <c:v>-5.0012394786762898E-3</c:v>
                </c:pt>
                <c:pt idx="421">
                  <c:v>-5.8681186990395375E-3</c:v>
                </c:pt>
                <c:pt idx="422">
                  <c:v>-6.4394037084044096E-3</c:v>
                </c:pt>
                <c:pt idx="423">
                  <c:v>-1.6275388209350205E-3</c:v>
                </c:pt>
                <c:pt idx="424">
                  <c:v>-2.9401746811806339E-3</c:v>
                </c:pt>
                <c:pt idx="425">
                  <c:v>-5.9622113009302183E-4</c:v>
                </c:pt>
                <c:pt idx="426">
                  <c:v>-3.6708852593734173E-3</c:v>
                </c:pt>
                <c:pt idx="427">
                  <c:v>-3.8188297694144004E-3</c:v>
                </c:pt>
                <c:pt idx="428">
                  <c:v>7.8881973213449936E-4</c:v>
                </c:pt>
                <c:pt idx="429">
                  <c:v>5.7831703402172561E-3</c:v>
                </c:pt>
                <c:pt idx="430">
                  <c:v>5.2032637560725037E-3</c:v>
                </c:pt>
                <c:pt idx="431">
                  <c:v>-9.396520789215876E-4</c:v>
                </c:pt>
                <c:pt idx="432">
                  <c:v>-3.1442629270192731E-3</c:v>
                </c:pt>
                <c:pt idx="433">
                  <c:v>-4.3003798907431017E-3</c:v>
                </c:pt>
                <c:pt idx="434">
                  <c:v>-4.0177243922997043E-3</c:v>
                </c:pt>
                <c:pt idx="435">
                  <c:v>-3.9609747891942906E-3</c:v>
                </c:pt>
                <c:pt idx="436">
                  <c:v>-3.8456728126650061E-3</c:v>
                </c:pt>
                <c:pt idx="437">
                  <c:v>-4.1588875914624762E-3</c:v>
                </c:pt>
                <c:pt idx="438">
                  <c:v>-4.0644869592402532E-3</c:v>
                </c:pt>
                <c:pt idx="439">
                  <c:v>-4.0666392723608192E-3</c:v>
                </c:pt>
                <c:pt idx="440">
                  <c:v>-3.903414933936577E-3</c:v>
                </c:pt>
                <c:pt idx="441">
                  <c:v>-3.9247836288136264E-3</c:v>
                </c:pt>
                <c:pt idx="442">
                  <c:v>-3.6420347356221371E-3</c:v>
                </c:pt>
                <c:pt idx="443">
                  <c:v>-3.2135155459464609E-3</c:v>
                </c:pt>
                <c:pt idx="444">
                  <c:v>-3.8563155969080004E-3</c:v>
                </c:pt>
                <c:pt idx="445">
                  <c:v>-3.8575915192132965E-3</c:v>
                </c:pt>
                <c:pt idx="446">
                  <c:v>-4.0364862847154809E-3</c:v>
                </c:pt>
                <c:pt idx="447">
                  <c:v>-3.8958416299238138E-3</c:v>
                </c:pt>
                <c:pt idx="448">
                  <c:v>-4.3071885930610699E-3</c:v>
                </c:pt>
                <c:pt idx="449">
                  <c:v>-4.357568480276258E-3</c:v>
                </c:pt>
                <c:pt idx="450">
                  <c:v>-4.1357791926546362E-3</c:v>
                </c:pt>
                <c:pt idx="451">
                  <c:v>-4.1226462041763744E-3</c:v>
                </c:pt>
                <c:pt idx="452">
                  <c:v>-4.1484976585293154E-3</c:v>
                </c:pt>
                <c:pt idx="453">
                  <c:v>-4.1738223847883086E-3</c:v>
                </c:pt>
                <c:pt idx="454">
                  <c:v>-4.2824835742710666E-3</c:v>
                </c:pt>
                <c:pt idx="455">
                  <c:v>-4.272545924871066E-3</c:v>
                </c:pt>
                <c:pt idx="456">
                  <c:v>-4.1564307710531519E-3</c:v>
                </c:pt>
                <c:pt idx="457">
                  <c:v>-4.1156569228480242E-3</c:v>
                </c:pt>
                <c:pt idx="458">
                  <c:v>-3.9689745429480252E-3</c:v>
                </c:pt>
                <c:pt idx="459">
                  <c:v>-3.9099933428294476E-3</c:v>
                </c:pt>
                <c:pt idx="460">
                  <c:v>-3.8638114314008764E-3</c:v>
                </c:pt>
                <c:pt idx="461">
                  <c:v>-3.9213237285437349E-3</c:v>
                </c:pt>
                <c:pt idx="462">
                  <c:v>-3.8799929753905813E-3</c:v>
                </c:pt>
                <c:pt idx="463">
                  <c:v>-3.905862664486471E-3</c:v>
                </c:pt>
                <c:pt idx="464">
                  <c:v>-3.8425649340882414E-3</c:v>
                </c:pt>
                <c:pt idx="465">
                  <c:v>-3.6719613686996403E-3</c:v>
                </c:pt>
                <c:pt idx="466">
                  <c:v>-3.4611281629218613E-3</c:v>
                </c:pt>
                <c:pt idx="467">
                  <c:v>-3.5085981209351065E-3</c:v>
                </c:pt>
                <c:pt idx="468">
                  <c:v>-3.2287102409351057E-3</c:v>
                </c:pt>
                <c:pt idx="469">
                  <c:v>-3.2382020718898803E-3</c:v>
                </c:pt>
                <c:pt idx="470">
                  <c:v>-2.934051079102995E-3</c:v>
                </c:pt>
                <c:pt idx="471">
                  <c:v>-2.456936352121861E-3</c:v>
                </c:pt>
                <c:pt idx="472">
                  <c:v>-2.4197643153398558E-3</c:v>
                </c:pt>
                <c:pt idx="473">
                  <c:v>-9.9524390236914602E-4</c:v>
                </c:pt>
                <c:pt idx="474">
                  <c:v>-1.2328490782519807E-3</c:v>
                </c:pt>
                <c:pt idx="475">
                  <c:v>-1.2924272873969624E-3</c:v>
                </c:pt>
                <c:pt idx="476">
                  <c:v>-1.574814525402353E-3</c:v>
                </c:pt>
                <c:pt idx="477">
                  <c:v>-1.7911411753637426E-3</c:v>
                </c:pt>
                <c:pt idx="478">
                  <c:v>-1.7115263716970784E-3</c:v>
                </c:pt>
                <c:pt idx="479">
                  <c:v>-1.6217037789101935E-3</c:v>
                </c:pt>
                <c:pt idx="480">
                  <c:v>-1.5530244836470353E-3</c:v>
                </c:pt>
                <c:pt idx="481">
                  <c:v>-1.5772793884415554E-3</c:v>
                </c:pt>
                <c:pt idx="482">
                  <c:v>-1.5921925604897487E-3</c:v>
                </c:pt>
                <c:pt idx="483">
                  <c:v>-1.5506098712918883E-3</c:v>
                </c:pt>
                <c:pt idx="484">
                  <c:v>-1.3785807088110306E-3</c:v>
                </c:pt>
                <c:pt idx="485">
                  <c:v>-1.414506975340711E-3</c:v>
                </c:pt>
                <c:pt idx="486">
                  <c:v>-1.4543738838255591E-3</c:v>
                </c:pt>
                <c:pt idx="487">
                  <c:v>-1.3324060466905728E-3</c:v>
                </c:pt>
                <c:pt idx="488">
                  <c:v>-1.3126853587873469E-3</c:v>
                </c:pt>
                <c:pt idx="489">
                  <c:v>-1.3429998679036258E-3</c:v>
                </c:pt>
                <c:pt idx="490">
                  <c:v>-1.3756204440574726E-3</c:v>
                </c:pt>
                <c:pt idx="491">
                  <c:v>-1.4307042043179483E-3</c:v>
                </c:pt>
                <c:pt idx="492">
                  <c:v>-1.2677497461613418E-3</c:v>
                </c:pt>
                <c:pt idx="493">
                  <c:v>-1.390513822702222E-3</c:v>
                </c:pt>
                <c:pt idx="494">
                  <c:v>-1.1257457381537272E-3</c:v>
                </c:pt>
                <c:pt idx="495">
                  <c:v>-1.0634687981537271E-3</c:v>
                </c:pt>
                <c:pt idx="496">
                  <c:v>-9.4620106324806708E-4</c:v>
                </c:pt>
                <c:pt idx="497">
                  <c:v>-8.2136892914734733E-4</c:v>
                </c:pt>
                <c:pt idx="498">
                  <c:v>-8.0345213037411327E-4</c:v>
                </c:pt>
                <c:pt idx="499">
                  <c:v>-8.3033459280401991E-4</c:v>
                </c:pt>
                <c:pt idx="500">
                  <c:v>-6.9065195015696138E-4</c:v>
                </c:pt>
                <c:pt idx="501">
                  <c:v>-6.9848857699678849E-4</c:v>
                </c:pt>
                <c:pt idx="502">
                  <c:v>-6.714925835583028E-4</c:v>
                </c:pt>
                <c:pt idx="503">
                  <c:v>-8.1438611769163569E-4</c:v>
                </c:pt>
                <c:pt idx="504">
                  <c:v>-9.5166359509783445E-4</c:v>
                </c:pt>
                <c:pt idx="505">
                  <c:v>-9.5005441564328897E-4</c:v>
                </c:pt>
                <c:pt idx="506">
                  <c:v>-9.8384270205550311E-4</c:v>
                </c:pt>
                <c:pt idx="507">
                  <c:v>-8.2744522164703059E-4</c:v>
                </c:pt>
                <c:pt idx="508">
                  <c:v>-9.2384887026893809E-4</c:v>
                </c:pt>
                <c:pt idx="509">
                  <c:v>-1.1691805840016568E-3</c:v>
                </c:pt>
                <c:pt idx="510">
                  <c:v>-8.5383692026994972E-4</c:v>
                </c:pt>
                <c:pt idx="511">
                  <c:v>-9.7926048895355215E-4</c:v>
                </c:pt>
                <c:pt idx="512">
                  <c:v>-4.9989507804617985E-4</c:v>
                </c:pt>
                <c:pt idx="513">
                  <c:v>-5.6376811553309055E-4</c:v>
                </c:pt>
                <c:pt idx="514">
                  <c:v>-7.6844843989494168E-4</c:v>
                </c:pt>
                <c:pt idx="515">
                  <c:v>-7.927964048522069E-4</c:v>
                </c:pt>
                <c:pt idx="516">
                  <c:v>-9.0487566976292055E-4</c:v>
                </c:pt>
                <c:pt idx="517">
                  <c:v>-1.0056940074328234E-3</c:v>
                </c:pt>
                <c:pt idx="518">
                  <c:v>-9.0159686075425341E-4</c:v>
                </c:pt>
                <c:pt idx="519">
                  <c:v>-7.3459600696170943E-4</c:v>
                </c:pt>
                <c:pt idx="520">
                  <c:v>-5.5372950047291559E-4</c:v>
                </c:pt>
                <c:pt idx="521">
                  <c:v>-4.4402434491736041E-4</c:v>
                </c:pt>
                <c:pt idx="522">
                  <c:v>-5.5806780478997325E-4</c:v>
                </c:pt>
                <c:pt idx="523">
                  <c:v>-4.5438555478997321E-4</c:v>
                </c:pt>
                <c:pt idx="524">
                  <c:v>-5.340228881469273E-4</c:v>
                </c:pt>
                <c:pt idx="525">
                  <c:v>5.5219859007900047E-4</c:v>
                </c:pt>
                <c:pt idx="526">
                  <c:v>3.7836611295481671E-4</c:v>
                </c:pt>
                <c:pt idx="527">
                  <c:v>4.7950405802508702E-4</c:v>
                </c:pt>
                <c:pt idx="528">
                  <c:v>4.3917230177508657E-4</c:v>
                </c:pt>
                <c:pt idx="529">
                  <c:v>5.173437759784773E-4</c:v>
                </c:pt>
                <c:pt idx="530">
                  <c:v>1.6598624688756813E-4</c:v>
                </c:pt>
                <c:pt idx="531">
                  <c:v>3.0183753181294107E-4</c:v>
                </c:pt>
                <c:pt idx="532">
                  <c:v>2.2495445372975884E-4</c:v>
                </c:pt>
                <c:pt idx="533">
                  <c:v>1.4164196730208595E-4</c:v>
                </c:pt>
                <c:pt idx="534">
                  <c:v>3.0798197125458829E-4</c:v>
                </c:pt>
                <c:pt idx="535">
                  <c:v>2.9862869357342829E-4</c:v>
                </c:pt>
                <c:pt idx="536">
                  <c:v>4.336160470328262E-4</c:v>
                </c:pt>
                <c:pt idx="537">
                  <c:v>6.374430589168843E-4</c:v>
                </c:pt>
                <c:pt idx="538">
                  <c:v>4.4369242000062844E-4</c:v>
                </c:pt>
                <c:pt idx="539">
                  <c:v>3.3865795612143432E-4</c:v>
                </c:pt>
                <c:pt idx="540">
                  <c:v>2.3085718490648151E-4</c:v>
                </c:pt>
                <c:pt idx="541">
                  <c:v>7.7499572693900289E-5</c:v>
                </c:pt>
                <c:pt idx="542">
                  <c:v>2.1935865260949959E-5</c:v>
                </c:pt>
                <c:pt idx="543">
                  <c:v>-1.1565685774676215E-4</c:v>
                </c:pt>
                <c:pt idx="544">
                  <c:v>1.6287752788816124E-5</c:v>
                </c:pt>
                <c:pt idx="545">
                  <c:v>-1.4452338538584403E-4</c:v>
                </c:pt>
                <c:pt idx="546">
                  <c:v>-1.3321814594764183E-4</c:v>
                </c:pt>
                <c:pt idx="547">
                  <c:v>-1.1586046292132625E-4</c:v>
                </c:pt>
                <c:pt idx="548">
                  <c:v>3.5802530175448296E-5</c:v>
                </c:pt>
                <c:pt idx="549">
                  <c:v>9.0472249691577172E-5</c:v>
                </c:pt>
                <c:pt idx="550">
                  <c:v>1.8294131169469455E-4</c:v>
                </c:pt>
                <c:pt idx="551">
                  <c:v>-1.5555520298999147E-4</c:v>
                </c:pt>
                <c:pt idx="552">
                  <c:v>9.7569608158332989E-6</c:v>
                </c:pt>
                <c:pt idx="553">
                  <c:v>-2.187308511841667E-4</c:v>
                </c:pt>
                <c:pt idx="554">
                  <c:v>-3.239865236441671E-4</c:v>
                </c:pt>
                <c:pt idx="555">
                  <c:v>-2.9991799833804447E-4</c:v>
                </c:pt>
                <c:pt idx="556">
                  <c:v>-2.0916651749189021E-4</c:v>
                </c:pt>
                <c:pt idx="557">
                  <c:v>-3.0990655856087104E-5</c:v>
                </c:pt>
                <c:pt idx="558">
                  <c:v>-2.5263180872021115E-4</c:v>
                </c:pt>
                <c:pt idx="559">
                  <c:v>-3.1029228437370643E-4</c:v>
                </c:pt>
                <c:pt idx="560">
                  <c:v>-3.1366599761694947E-4</c:v>
                </c:pt>
                <c:pt idx="561">
                  <c:v>-4.4279840187519127E-4</c:v>
                </c:pt>
                <c:pt idx="562">
                  <c:v>-4.7378814934993861E-4</c:v>
                </c:pt>
                <c:pt idx="563">
                  <c:v>-4.4329292733158996E-4</c:v>
                </c:pt>
                <c:pt idx="564">
                  <c:v>-4.6025239990409923E-4</c:v>
                </c:pt>
                <c:pt idx="565">
                  <c:v>-3.8748280537778375E-4</c:v>
                </c:pt>
                <c:pt idx="566">
                  <c:v>8.0068680764444226E-5</c:v>
                </c:pt>
                <c:pt idx="567">
                  <c:v>3.1011344352306424E-4</c:v>
                </c:pt>
                <c:pt idx="568">
                  <c:v>1.0005311772723593E-4</c:v>
                </c:pt>
                <c:pt idx="569">
                  <c:v>-1.3023346535609697E-4</c:v>
                </c:pt>
                <c:pt idx="570">
                  <c:v>1.1153619845342685E-4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4-47E1-8EBF-5ECCFC9DD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126143"/>
        <c:axId val="133126559"/>
      </c:lineChart>
      <c:dateAx>
        <c:axId val="1331261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26559"/>
        <c:crosses val="autoZero"/>
        <c:auto val="1"/>
        <c:lblOffset val="100"/>
        <c:baseTimeUnit val="days"/>
      </c:dateAx>
      <c:valAx>
        <c:axId val="133126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26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A687F87-52BC-4951-8F04-E63E50F774D9}">
  <sheetPr codeName="Chart9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E0F847-4BD7-4AAB-8874-CAE9ABB581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169.23</v>
      </c>
      <c r="D2" s="4">
        <f>MIN(D3:D1912)</f>
        <v>5.0620000000000003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36.700000000000003</v>
      </c>
      <c r="C5">
        <v>36.99</v>
      </c>
      <c r="D5">
        <v>35.61</v>
      </c>
      <c r="E5">
        <v>35.71</v>
      </c>
      <c r="F5">
        <v>16003.22</v>
      </c>
      <c r="G5">
        <v>35.71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-0.85507246376811419</v>
      </c>
      <c r="Q5">
        <f t="shared" ref="Q5" si="1">F5*P5</f>
        <v>-13683.912753623159</v>
      </c>
      <c r="R5">
        <f t="shared" ref="R5" si="2">R6+Q5</f>
        <v>1972595.0791198097</v>
      </c>
      <c r="S5">
        <f t="shared" ref="S5" si="3">R5/100000</f>
        <v>19.725950791198098</v>
      </c>
      <c r="T5">
        <f t="shared" ref="T5" si="4">S5/1000</f>
        <v>1.9725950791198099E-2</v>
      </c>
    </row>
    <row r="6" spans="1:20" x14ac:dyDescent="0.25">
      <c r="A6" s="5">
        <v>44587</v>
      </c>
      <c r="B6">
        <v>34.96</v>
      </c>
      <c r="C6">
        <v>41</v>
      </c>
      <c r="D6">
        <v>34.479999999999997</v>
      </c>
      <c r="E6">
        <v>36.65</v>
      </c>
      <c r="F6">
        <v>453638.31</v>
      </c>
      <c r="G6">
        <v>36.65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-0.33435582822085869</v>
      </c>
      <c r="Q6">
        <f t="shared" ref="Q6" si="6">F6*P6</f>
        <v>-151676.61285276065</v>
      </c>
      <c r="R6">
        <f t="shared" ref="R6" si="7">R7+Q6</f>
        <v>1986278.9918734329</v>
      </c>
      <c r="S6">
        <f t="shared" ref="S6" si="8">R6/100000</f>
        <v>19.862789918734329</v>
      </c>
      <c r="T6">
        <f t="shared" ref="T6" si="9">S6/1000</f>
        <v>1.986278991873433E-2</v>
      </c>
    </row>
    <row r="7" spans="1:20" x14ac:dyDescent="0.25">
      <c r="A7" s="5">
        <v>44586</v>
      </c>
      <c r="B7">
        <v>34.19</v>
      </c>
      <c r="C7">
        <v>36.229999999999997</v>
      </c>
      <c r="D7">
        <v>33.340000000000003</v>
      </c>
      <c r="E7">
        <v>34.950000000000003</v>
      </c>
      <c r="F7">
        <v>184344.76</v>
      </c>
      <c r="G7">
        <v>34.950000000000003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0.11418685121107479</v>
      </c>
      <c r="Q7">
        <f t="shared" ref="Q7" si="11">F7*P7</f>
        <v>21049.747681661291</v>
      </c>
      <c r="R7">
        <f t="shared" ref="R7" si="12">R8+Q7</f>
        <v>2137955.6047261935</v>
      </c>
      <c r="S7">
        <f t="shared" ref="S7" si="13">R7/100000</f>
        <v>21.379556047261936</v>
      </c>
      <c r="T7">
        <f t="shared" ref="T7" si="14">S7/1000</f>
        <v>2.1379556047261935E-2</v>
      </c>
    </row>
    <row r="8" spans="1:20" x14ac:dyDescent="0.25">
      <c r="A8" s="5">
        <v>44585</v>
      </c>
      <c r="B8">
        <v>35.64</v>
      </c>
      <c r="C8">
        <v>35.64</v>
      </c>
      <c r="D8">
        <v>30.01</v>
      </c>
      <c r="E8">
        <v>34.21</v>
      </c>
      <c r="F8">
        <v>262751.56</v>
      </c>
      <c r="G8">
        <v>34.21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0.49200710479573712</v>
      </c>
      <c r="Q8">
        <f t="shared" ref="Q8" si="16">F8*P8</f>
        <v>129275.63431616341</v>
      </c>
      <c r="R8">
        <f t="shared" ref="R8" si="17">R9+Q8</f>
        <v>2116905.857044532</v>
      </c>
      <c r="S8">
        <f t="shared" ref="S8" si="18">R8/100000</f>
        <v>21.169058570445319</v>
      </c>
      <c r="T8">
        <f t="shared" ref="T8" si="19">S8/1000</f>
        <v>2.116905857044532E-2</v>
      </c>
    </row>
    <row r="9" spans="1:20" x14ac:dyDescent="0.25">
      <c r="A9" s="5">
        <v>44584</v>
      </c>
      <c r="B9">
        <v>35.32</v>
      </c>
      <c r="C9">
        <v>37.18</v>
      </c>
      <c r="D9">
        <v>33.68</v>
      </c>
      <c r="E9">
        <v>35.659999999999997</v>
      </c>
      <c r="F9">
        <v>225808.12</v>
      </c>
      <c r="G9">
        <v>35.659999999999997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0.13142857142856965</v>
      </c>
      <c r="Q9">
        <f t="shared" ref="Q9" si="21">F9*P9</f>
        <v>29677.638628571025</v>
      </c>
      <c r="R9">
        <f t="shared" ref="R9" si="22">R10+Q9</f>
        <v>1987630.2227283686</v>
      </c>
      <c r="S9">
        <f t="shared" ref="S9" si="23">R9/100000</f>
        <v>19.876302227283684</v>
      </c>
      <c r="T9">
        <f t="shared" ref="T9" si="24">S9/1000</f>
        <v>1.9876302227283683E-2</v>
      </c>
    </row>
    <row r="10" spans="1:20" x14ac:dyDescent="0.25">
      <c r="A10" s="5">
        <v>44583</v>
      </c>
      <c r="B10">
        <v>38.83</v>
      </c>
      <c r="C10">
        <v>39.770000000000003</v>
      </c>
      <c r="D10">
        <v>30.01</v>
      </c>
      <c r="E10">
        <v>35.32</v>
      </c>
      <c r="F10">
        <v>376110.70390000002</v>
      </c>
      <c r="G10">
        <v>35.32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8.8114754098360226E-2</v>
      </c>
      <c r="Q10">
        <f t="shared" ref="Q10" si="26">F10*P10</f>
        <v>33140.902187909676</v>
      </c>
      <c r="R10">
        <f t="shared" ref="R10" si="27">R11+Q10</f>
        <v>1957952.5840997975</v>
      </c>
      <c r="S10">
        <f t="shared" ref="S10" si="28">R10/100000</f>
        <v>19.579525840997974</v>
      </c>
      <c r="T10">
        <f t="shared" ref="T10" si="29">S10/1000</f>
        <v>1.9579525840997973E-2</v>
      </c>
    </row>
    <row r="11" spans="1:20" x14ac:dyDescent="0.25">
      <c r="A11" s="5">
        <v>44582</v>
      </c>
      <c r="B11">
        <v>47.52</v>
      </c>
      <c r="C11">
        <v>47.82</v>
      </c>
      <c r="D11">
        <v>37.53</v>
      </c>
      <c r="E11">
        <v>38.9</v>
      </c>
      <c r="F11">
        <v>359642.67515999998</v>
      </c>
      <c r="G11">
        <v>38.9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-0.73372206025267295</v>
      </c>
      <c r="Q11">
        <f t="shared" ref="Q11" si="31">F11*P11</f>
        <v>-263877.76457317802</v>
      </c>
      <c r="R11">
        <f t="shared" ref="R11" si="32">R12+Q11</f>
        <v>1924811.6819118878</v>
      </c>
      <c r="S11">
        <f t="shared" ref="S11" si="33">R11/100000</f>
        <v>19.248116819118877</v>
      </c>
      <c r="T11">
        <f t="shared" ref="T11" si="34">S11/1000</f>
        <v>1.9248116819118876E-2</v>
      </c>
    </row>
    <row r="12" spans="1:20" x14ac:dyDescent="0.25">
      <c r="A12" s="5">
        <v>44581</v>
      </c>
      <c r="B12">
        <v>49.85</v>
      </c>
      <c r="C12">
        <v>52.68</v>
      </c>
      <c r="D12">
        <v>47.25</v>
      </c>
      <c r="E12">
        <v>47.58</v>
      </c>
      <c r="F12">
        <v>105808.57888</v>
      </c>
      <c r="G12">
        <v>47.58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-0.87845303867403379</v>
      </c>
      <c r="Q12">
        <f t="shared" ref="Q12" si="36">F12*P12</f>
        <v>-92947.867634917202</v>
      </c>
      <c r="R12">
        <f t="shared" ref="R12" si="37">R13+Q12</f>
        <v>2188689.4464850659</v>
      </c>
      <c r="S12">
        <f t="shared" ref="S12" si="38">R12/100000</f>
        <v>21.886894464850659</v>
      </c>
      <c r="T12">
        <f t="shared" ref="T12" si="39">S12/1000</f>
        <v>2.1886894464850658E-2</v>
      </c>
    </row>
    <row r="13" spans="1:20" x14ac:dyDescent="0.25">
      <c r="A13" s="5">
        <v>44580</v>
      </c>
      <c r="B13">
        <v>52.33</v>
      </c>
      <c r="C13">
        <v>52.45</v>
      </c>
      <c r="D13">
        <v>49.02</v>
      </c>
      <c r="E13">
        <v>49.78</v>
      </c>
      <c r="F13">
        <v>121051.89088000001</v>
      </c>
      <c r="G13">
        <v>49.78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-0.55685131195335391</v>
      </c>
      <c r="Q13">
        <f t="shared" ref="Q13" si="41">F13*P13</f>
        <v>-67407.904250962238</v>
      </c>
      <c r="R13">
        <f t="shared" ref="R13" si="42">R14+Q13</f>
        <v>2281637.314119983</v>
      </c>
      <c r="S13">
        <f t="shared" ref="S13" si="43">R13/100000</f>
        <v>22.816373141199829</v>
      </c>
      <c r="T13">
        <f t="shared" ref="T13" si="44">S13/1000</f>
        <v>2.2816373141199831E-2</v>
      </c>
    </row>
    <row r="14" spans="1:20" x14ac:dyDescent="0.25">
      <c r="A14" s="5">
        <v>44579</v>
      </c>
      <c r="B14">
        <v>53.3</v>
      </c>
      <c r="C14">
        <v>54.09</v>
      </c>
      <c r="D14">
        <v>50.85</v>
      </c>
      <c r="E14">
        <v>52.28</v>
      </c>
      <c r="F14">
        <v>123313.27</v>
      </c>
      <c r="G14">
        <v>52.28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-0.11728395061728467</v>
      </c>
      <c r="Q14">
        <f t="shared" ref="Q14" si="46">F14*P14</f>
        <v>-14462.667469135891</v>
      </c>
      <c r="R14">
        <f t="shared" ref="R14" si="47">R15+Q14</f>
        <v>2349045.2183709452</v>
      </c>
      <c r="S14">
        <f t="shared" ref="S14" si="48">R14/100000</f>
        <v>23.490452183709451</v>
      </c>
      <c r="T14">
        <f t="shared" ref="T14" si="49">S14/1000</f>
        <v>2.3490452183709452E-2</v>
      </c>
    </row>
    <row r="15" spans="1:20" x14ac:dyDescent="0.25">
      <c r="A15" s="5">
        <v>44578</v>
      </c>
      <c r="B15">
        <v>55.27</v>
      </c>
      <c r="C15">
        <v>55.52</v>
      </c>
      <c r="D15">
        <v>52</v>
      </c>
      <c r="E15">
        <v>53.32</v>
      </c>
      <c r="F15">
        <v>89085.23</v>
      </c>
      <c r="G15">
        <v>53.32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-0.2500000000000005</v>
      </c>
      <c r="Q15">
        <f t="shared" ref="Q15" si="51">F15*P15</f>
        <v>-22271.307500000043</v>
      </c>
      <c r="R15">
        <f t="shared" ref="R15" si="52">R16+Q15</f>
        <v>2363507.8858400811</v>
      </c>
      <c r="S15">
        <f t="shared" ref="S15" si="53">R15/100000</f>
        <v>23.63507885840081</v>
      </c>
      <c r="T15">
        <f t="shared" ref="T15" si="54">S15/1000</f>
        <v>2.3635078858400809E-2</v>
      </c>
    </row>
    <row r="16" spans="1:20" x14ac:dyDescent="0.25">
      <c r="A16" s="5">
        <v>44577</v>
      </c>
      <c r="B16">
        <v>55.12</v>
      </c>
      <c r="C16">
        <v>55.96</v>
      </c>
      <c r="D16">
        <v>53.72</v>
      </c>
      <c r="E16">
        <v>55.23</v>
      </c>
      <c r="F16">
        <v>71894.69</v>
      </c>
      <c r="G16">
        <v>55.23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0.34821428571428276</v>
      </c>
      <c r="Q16">
        <f t="shared" ref="Q16" si="56">F16*P16</f>
        <v>25034.758124999789</v>
      </c>
      <c r="R16">
        <f t="shared" ref="R16" si="57">R17+Q16</f>
        <v>2385779.1933400813</v>
      </c>
      <c r="S16">
        <f t="shared" ref="S16" si="58">R16/100000</f>
        <v>23.857791933400812</v>
      </c>
      <c r="T16">
        <f t="shared" ref="T16" si="59">S16/1000</f>
        <v>2.3857791933400811E-2</v>
      </c>
    </row>
    <row r="17" spans="1:20" x14ac:dyDescent="0.25">
      <c r="A17" s="5">
        <v>44576</v>
      </c>
      <c r="B17">
        <v>53.87</v>
      </c>
      <c r="C17">
        <v>55.63</v>
      </c>
      <c r="D17">
        <v>53.41</v>
      </c>
      <c r="E17">
        <v>55.06</v>
      </c>
      <c r="F17">
        <v>73698.61</v>
      </c>
      <c r="G17">
        <v>55.06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0.48648648648648762</v>
      </c>
      <c r="Q17">
        <f t="shared" ref="Q17" si="61">F17*P17</f>
        <v>35853.377837837921</v>
      </c>
      <c r="R17">
        <f t="shared" ref="R17" si="62">R18+Q17</f>
        <v>2360744.4352150816</v>
      </c>
      <c r="S17">
        <f t="shared" ref="S17" si="63">R17/100000</f>
        <v>23.607444352150814</v>
      </c>
      <c r="T17">
        <f t="shared" ref="T17" si="64">S17/1000</f>
        <v>2.3607444352150814E-2</v>
      </c>
    </row>
    <row r="18" spans="1:20" x14ac:dyDescent="0.25">
      <c r="A18" s="5">
        <v>44575</v>
      </c>
      <c r="B18">
        <v>56.04</v>
      </c>
      <c r="C18">
        <v>56.49</v>
      </c>
      <c r="D18">
        <v>52.33</v>
      </c>
      <c r="E18">
        <v>53.85</v>
      </c>
      <c r="F18">
        <v>222799.08</v>
      </c>
      <c r="G18">
        <v>53.85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-0.26923076923076839</v>
      </c>
      <c r="Q18">
        <f t="shared" ref="Q18" si="66">F18*P18</f>
        <v>-59984.367692307504</v>
      </c>
      <c r="R18">
        <f t="shared" ref="R18" si="67">R19+Q18</f>
        <v>2324891.0573772434</v>
      </c>
      <c r="S18">
        <f t="shared" ref="S18" si="68">R18/100000</f>
        <v>23.248910573772434</v>
      </c>
      <c r="T18">
        <f t="shared" ref="T18" si="69">S18/1000</f>
        <v>2.3248910573772433E-2</v>
      </c>
    </row>
    <row r="19" spans="1:20" x14ac:dyDescent="0.25">
      <c r="A19" s="5">
        <v>44574</v>
      </c>
      <c r="B19">
        <v>59.18</v>
      </c>
      <c r="C19">
        <v>59.96</v>
      </c>
      <c r="D19">
        <v>55.82</v>
      </c>
      <c r="E19">
        <v>56</v>
      </c>
      <c r="F19">
        <v>150446.01999999999</v>
      </c>
      <c r="G19">
        <v>56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-0.91304347826086973</v>
      </c>
      <c r="Q19">
        <f t="shared" ref="Q19" si="71">F19*P19</f>
        <v>-137363.75739130436</v>
      </c>
      <c r="R19">
        <f t="shared" ref="R19" si="72">R20+Q19</f>
        <v>2384875.425069551</v>
      </c>
      <c r="S19">
        <f t="shared" ref="S19" si="73">R19/100000</f>
        <v>23.84875425069551</v>
      </c>
      <c r="T19">
        <f t="shared" ref="T19" si="74">S19/1000</f>
        <v>2.3848754250695509E-2</v>
      </c>
    </row>
    <row r="20" spans="1:20" x14ac:dyDescent="0.25">
      <c r="A20" s="5">
        <v>44573</v>
      </c>
      <c r="B20">
        <v>56.24</v>
      </c>
      <c r="C20">
        <v>60.29</v>
      </c>
      <c r="D20">
        <v>55.91</v>
      </c>
      <c r="E20">
        <v>59.2</v>
      </c>
      <c r="F20">
        <v>158219.93</v>
      </c>
      <c r="G20">
        <v>59.2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0.50228310502283302</v>
      </c>
      <c r="Q20">
        <f t="shared" ref="Q20" si="76">F20*P20</f>
        <v>79471.197716895287</v>
      </c>
      <c r="R20">
        <f t="shared" ref="R20" si="77">R21+Q20</f>
        <v>2522239.1824608552</v>
      </c>
      <c r="S20">
        <f t="shared" ref="S20" si="78">R20/100000</f>
        <v>25.222391824608554</v>
      </c>
      <c r="T20">
        <f t="shared" ref="T20" si="79">S20/1000</f>
        <v>2.5222391824608555E-2</v>
      </c>
    </row>
    <row r="21" spans="1:20" x14ac:dyDescent="0.25">
      <c r="A21" s="5">
        <v>44572</v>
      </c>
      <c r="B21">
        <v>53.34</v>
      </c>
      <c r="C21">
        <v>58.5</v>
      </c>
      <c r="D21">
        <v>52.69</v>
      </c>
      <c r="E21">
        <v>56.27</v>
      </c>
      <c r="F21">
        <v>296767.71000000002</v>
      </c>
      <c r="G21">
        <v>56.27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0.23235800344234217</v>
      </c>
      <c r="Q21">
        <f t="shared" ref="Q21" si="81">F21*P21</f>
        <v>68956.352581756015</v>
      </c>
      <c r="R21">
        <f t="shared" ref="R21" si="82">R22+Q21</f>
        <v>2442767.9847439597</v>
      </c>
      <c r="S21">
        <f t="shared" ref="S21" si="83">R21/100000</f>
        <v>24.427679847439599</v>
      </c>
      <c r="T21">
        <f t="shared" ref="T21" si="84">S21/1000</f>
        <v>2.4427679847439598E-2</v>
      </c>
    </row>
    <row r="22" spans="1:20" x14ac:dyDescent="0.25">
      <c r="A22" s="5">
        <v>44571</v>
      </c>
      <c r="B22">
        <v>56</v>
      </c>
      <c r="C22">
        <v>58.07</v>
      </c>
      <c r="D22">
        <v>51.08</v>
      </c>
      <c r="E22">
        <v>53.34</v>
      </c>
      <c r="F22">
        <v>144596.23000000001</v>
      </c>
      <c r="G22">
        <v>53.34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-0.35336194563662249</v>
      </c>
      <c r="Q22">
        <f t="shared" ref="Q22" si="86">F22*P22</f>
        <v>-51094.805164520563</v>
      </c>
      <c r="R22">
        <f t="shared" ref="R22" si="87">R23+Q22</f>
        <v>2373811.6321622035</v>
      </c>
      <c r="S22">
        <f t="shared" ref="S22" si="88">R22/100000</f>
        <v>23.738116321622037</v>
      </c>
      <c r="T22">
        <f t="shared" ref="T22" si="89">S22/1000</f>
        <v>2.3738116321622038E-2</v>
      </c>
    </row>
    <row r="23" spans="1:20" x14ac:dyDescent="0.25">
      <c r="A23" s="5">
        <v>44570</v>
      </c>
      <c r="B23">
        <v>54.48</v>
      </c>
      <c r="C23">
        <v>58.2</v>
      </c>
      <c r="D23">
        <v>54.14</v>
      </c>
      <c r="E23">
        <v>55.89</v>
      </c>
      <c r="F23">
        <v>120458.58</v>
      </c>
      <c r="G23">
        <v>55.89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-0.13793103448275909</v>
      </c>
      <c r="Q23">
        <f t="shared" ref="Q23" si="91">F23*P23</f>
        <v>-16614.976551724194</v>
      </c>
      <c r="R23">
        <f t="shared" ref="R23" si="92">R24+Q23</f>
        <v>2424906.4373267242</v>
      </c>
      <c r="S23">
        <f t="shared" ref="S23" si="93">R23/100000</f>
        <v>24.249064373267242</v>
      </c>
      <c r="T23">
        <f t="shared" ref="T23" si="94">S23/1000</f>
        <v>2.4249064373267241E-2</v>
      </c>
    </row>
    <row r="24" spans="1:20" x14ac:dyDescent="0.25">
      <c r="A24" s="5">
        <v>44569</v>
      </c>
      <c r="B24">
        <v>55.5</v>
      </c>
      <c r="C24">
        <v>58.62</v>
      </c>
      <c r="D24">
        <v>51.37</v>
      </c>
      <c r="E24">
        <v>54.41</v>
      </c>
      <c r="F24">
        <v>162882.91</v>
      </c>
      <c r="G24">
        <v>54.41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-0.16137931034482783</v>
      </c>
      <c r="Q24">
        <f t="shared" ref="Q24" si="96">F24*P24</f>
        <v>-26285.931682758663</v>
      </c>
      <c r="R24">
        <f t="shared" ref="R24" si="97">R25+Q24</f>
        <v>2441521.4138784483</v>
      </c>
      <c r="S24">
        <f t="shared" ref="S24" si="98">R24/100000</f>
        <v>24.415214138784481</v>
      </c>
      <c r="T24">
        <f t="shared" ref="T24" si="99">S24/1000</f>
        <v>2.4415214138784481E-2</v>
      </c>
    </row>
    <row r="25" spans="1:20" x14ac:dyDescent="0.25">
      <c r="A25" s="5">
        <v>44568</v>
      </c>
      <c r="B25">
        <v>57.75</v>
      </c>
      <c r="C25">
        <v>58.11</v>
      </c>
      <c r="D25">
        <v>52.05</v>
      </c>
      <c r="E25">
        <v>55.53</v>
      </c>
      <c r="F25">
        <v>232488.63888000001</v>
      </c>
      <c r="G25">
        <v>55.53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0.1485148514851494</v>
      </c>
      <c r="Q25">
        <f t="shared" ref="Q25" si="101">F25*P25</f>
        <v>34528.015675247734</v>
      </c>
      <c r="R25">
        <f t="shared" ref="R25" si="102">R26+Q25</f>
        <v>2467807.3455612068</v>
      </c>
      <c r="S25">
        <f t="shared" ref="S25" si="103">R25/100000</f>
        <v>24.678073455612068</v>
      </c>
      <c r="T25">
        <f t="shared" ref="T25" si="104">S25/1000</f>
        <v>2.4678073455612067E-2</v>
      </c>
    </row>
    <row r="26" spans="1:20" x14ac:dyDescent="0.25">
      <c r="A26" s="5">
        <v>44567</v>
      </c>
      <c r="B26">
        <v>60.31</v>
      </c>
      <c r="C26">
        <v>60.8</v>
      </c>
      <c r="D26">
        <v>56.3</v>
      </c>
      <c r="E26">
        <v>57.74</v>
      </c>
      <c r="F26">
        <v>173314.55</v>
      </c>
      <c r="G26">
        <v>57.74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-0.35999999999999788</v>
      </c>
      <c r="Q26">
        <f t="shared" ref="Q26" si="106">F26*P26</f>
        <v>-62393.237999999626</v>
      </c>
      <c r="R26">
        <f t="shared" ref="R26" si="107">R27+Q26</f>
        <v>2433279.3298859592</v>
      </c>
      <c r="S26">
        <f t="shared" ref="S26" si="108">R26/100000</f>
        <v>24.332793298859592</v>
      </c>
      <c r="T26">
        <f t="shared" ref="T26" si="109">S26/1000</f>
        <v>2.4332793298859592E-2</v>
      </c>
    </row>
    <row r="27" spans="1:20" x14ac:dyDescent="0.25">
      <c r="A27" s="5">
        <v>44566</v>
      </c>
      <c r="B27">
        <v>64.47</v>
      </c>
      <c r="C27">
        <v>69.680000000000007</v>
      </c>
      <c r="D27">
        <v>57</v>
      </c>
      <c r="E27">
        <v>60.31</v>
      </c>
      <c r="F27">
        <v>166951.87</v>
      </c>
      <c r="G27">
        <v>60.31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-0.47791798107255512</v>
      </c>
      <c r="Q27">
        <f t="shared" ref="Q27" si="111">F27*P27</f>
        <v>-79789.300646687683</v>
      </c>
      <c r="R27">
        <f t="shared" ref="R27" si="112">R28+Q27</f>
        <v>2495672.5678859586</v>
      </c>
      <c r="S27">
        <f t="shared" ref="S27" si="113">R27/100000</f>
        <v>24.956725678859584</v>
      </c>
      <c r="T27">
        <f t="shared" ref="T27" si="114">S27/1000</f>
        <v>2.4956725678859586E-2</v>
      </c>
    </row>
    <row r="28" spans="1:20" x14ac:dyDescent="0.25">
      <c r="A28" s="5">
        <v>44565</v>
      </c>
      <c r="B28">
        <v>63.49</v>
      </c>
      <c r="C28">
        <v>66.87</v>
      </c>
      <c r="D28">
        <v>61.86</v>
      </c>
      <c r="E28">
        <v>64.430000000000007</v>
      </c>
      <c r="F28">
        <v>85263.96</v>
      </c>
      <c r="G28">
        <v>64.430000000000007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2.5948103792417073E-2</v>
      </c>
      <c r="Q28">
        <f t="shared" ref="Q28" si="116">F28*P28</f>
        <v>2212.4380838324978</v>
      </c>
      <c r="R28">
        <f t="shared" ref="R28" si="117">R29+Q28</f>
        <v>2575461.8685326464</v>
      </c>
      <c r="S28">
        <f t="shared" ref="S28" si="118">R28/100000</f>
        <v>25.754618685326463</v>
      </c>
      <c r="T28">
        <f t="shared" ref="T28" si="119">S28/1000</f>
        <v>2.5754618685326462E-2</v>
      </c>
    </row>
    <row r="29" spans="1:20" x14ac:dyDescent="0.25">
      <c r="A29" s="5">
        <v>44564</v>
      </c>
      <c r="B29">
        <v>65.05</v>
      </c>
      <c r="C29">
        <v>66.739999999999995</v>
      </c>
      <c r="D29">
        <v>61.82</v>
      </c>
      <c r="E29">
        <v>63.45</v>
      </c>
      <c r="F29">
        <v>97779.01</v>
      </c>
      <c r="G29">
        <v>63.45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-0.33739837398373806</v>
      </c>
      <c r="Q29">
        <f t="shared" ref="Q29" si="121">F29*P29</f>
        <v>-32990.47898373966</v>
      </c>
      <c r="R29">
        <f t="shared" ref="R29" si="122">R30+Q29</f>
        <v>2573249.4304488138</v>
      </c>
      <c r="S29">
        <f t="shared" ref="S29" si="123">R29/100000</f>
        <v>25.732494304488139</v>
      </c>
      <c r="T29">
        <f t="shared" ref="T29" si="124">S29/1000</f>
        <v>2.5732494304488138E-2</v>
      </c>
    </row>
    <row r="30" spans="1:20" x14ac:dyDescent="0.25">
      <c r="A30" s="5">
        <v>44563</v>
      </c>
      <c r="B30">
        <v>63.98</v>
      </c>
      <c r="C30">
        <v>65.44</v>
      </c>
      <c r="D30">
        <v>62.13</v>
      </c>
      <c r="E30">
        <v>65.06</v>
      </c>
      <c r="F30">
        <v>54378.06</v>
      </c>
      <c r="G30">
        <v>65.06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0.77039274924471546</v>
      </c>
      <c r="Q30">
        <f t="shared" ref="Q30" si="126">F30*P30</f>
        <v>41892.463141994092</v>
      </c>
      <c r="R30">
        <f t="shared" ref="R30" si="127">R31+Q30</f>
        <v>2606239.9094325537</v>
      </c>
      <c r="S30">
        <f t="shared" ref="S30" si="128">R30/100000</f>
        <v>26.062399094325539</v>
      </c>
      <c r="T30">
        <f t="shared" ref="T30" si="129">S30/1000</f>
        <v>2.6062399094325537E-2</v>
      </c>
    </row>
    <row r="31" spans="1:20" x14ac:dyDescent="0.25">
      <c r="A31" s="5">
        <v>44562</v>
      </c>
      <c r="B31">
        <v>60.45</v>
      </c>
      <c r="C31">
        <v>64.150000000000006</v>
      </c>
      <c r="D31">
        <v>60.45</v>
      </c>
      <c r="E31">
        <v>63.96</v>
      </c>
      <c r="F31">
        <v>48261.599999999999</v>
      </c>
      <c r="G31">
        <v>63.96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0.89729729729729479</v>
      </c>
      <c r="Q31">
        <f t="shared" ref="Q31" si="131">F31*P31</f>
        <v>43305.003243243118</v>
      </c>
      <c r="R31">
        <f t="shared" ref="R31" si="132">R32+Q31</f>
        <v>2564347.4462905596</v>
      </c>
      <c r="S31">
        <f t="shared" ref="S31" si="133">R31/100000</f>
        <v>25.643474462905598</v>
      </c>
      <c r="T31">
        <f t="shared" ref="T31" si="134">S31/1000</f>
        <v>2.5643474462905599E-2</v>
      </c>
    </row>
    <row r="32" spans="1:20" x14ac:dyDescent="0.25">
      <c r="A32" s="5">
        <v>44561</v>
      </c>
      <c r="B32">
        <v>61.56</v>
      </c>
      <c r="C32">
        <v>65.12</v>
      </c>
      <c r="D32">
        <v>59.16</v>
      </c>
      <c r="E32">
        <v>60.39</v>
      </c>
      <c r="F32">
        <v>87887.02</v>
      </c>
      <c r="G32">
        <v>60.39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-0.58724832214765021</v>
      </c>
      <c r="Q32">
        <f t="shared" ref="Q32" si="136">F32*P32</f>
        <v>-51611.505033556983</v>
      </c>
      <c r="R32">
        <f t="shared" ref="R32" si="137">R33+Q32</f>
        <v>2521042.4430473163</v>
      </c>
      <c r="S32">
        <f t="shared" ref="S32" si="138">R32/100000</f>
        <v>25.210424430473164</v>
      </c>
      <c r="T32">
        <f t="shared" ref="T32" si="139">S32/1000</f>
        <v>2.5210424430473163E-2</v>
      </c>
    </row>
    <row r="33" spans="1:20" x14ac:dyDescent="0.25">
      <c r="A33" s="5">
        <v>44560</v>
      </c>
      <c r="B33">
        <v>61.88</v>
      </c>
      <c r="C33">
        <v>63.46</v>
      </c>
      <c r="D33">
        <v>60</v>
      </c>
      <c r="E33">
        <v>61.48</v>
      </c>
      <c r="F33">
        <v>115474.88</v>
      </c>
      <c r="G33">
        <v>61.48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-0.14450867052023322</v>
      </c>
      <c r="Q33">
        <f t="shared" ref="Q33" si="141">F33*P33</f>
        <v>-16687.121387283471</v>
      </c>
      <c r="R33">
        <f t="shared" ref="R33" si="142">R34+Q33</f>
        <v>2572653.9480808731</v>
      </c>
      <c r="S33">
        <f t="shared" ref="S33" si="143">R33/100000</f>
        <v>25.726539480808732</v>
      </c>
      <c r="T33">
        <f t="shared" ref="T33" si="144">S33/1000</f>
        <v>2.5726539480808733E-2</v>
      </c>
    </row>
    <row r="34" spans="1:20" x14ac:dyDescent="0.25">
      <c r="A34" s="5">
        <v>44559</v>
      </c>
      <c r="B34">
        <v>63.35</v>
      </c>
      <c r="C34">
        <v>64.52</v>
      </c>
      <c r="D34">
        <v>60</v>
      </c>
      <c r="E34">
        <v>61.95</v>
      </c>
      <c r="F34">
        <v>182412.69</v>
      </c>
      <c r="G34">
        <v>61.95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-0.13716814159291835</v>
      </c>
      <c r="Q34">
        <f t="shared" ref="Q34" si="146">F34*P34</f>
        <v>-25021.209690265121</v>
      </c>
      <c r="R34">
        <f t="shared" ref="R34" si="147">R35+Q34</f>
        <v>2589341.0694681564</v>
      </c>
      <c r="S34">
        <f t="shared" ref="S34" si="148">R34/100000</f>
        <v>25.893410694681563</v>
      </c>
      <c r="T34">
        <f t="shared" ref="T34" si="149">S34/1000</f>
        <v>2.5893410694681564E-2</v>
      </c>
    </row>
    <row r="35" spans="1:20" x14ac:dyDescent="0.25">
      <c r="A35" s="5">
        <v>44558</v>
      </c>
      <c r="B35">
        <v>70.75</v>
      </c>
      <c r="C35">
        <v>70.84</v>
      </c>
      <c r="D35">
        <v>62.9</v>
      </c>
      <c r="E35">
        <v>63.38</v>
      </c>
      <c r="F35">
        <v>180648.78</v>
      </c>
      <c r="G35">
        <v>63.38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-0.87909319899244243</v>
      </c>
      <c r="Q35">
        <f t="shared" ref="Q35" si="151">F35*P35</f>
        <v>-158807.11390428196</v>
      </c>
      <c r="R35">
        <f t="shared" ref="R35" si="152">R36+Q35</f>
        <v>2614362.2791584213</v>
      </c>
      <c r="S35">
        <f t="shared" ref="S35" si="153">R35/100000</f>
        <v>26.143622791584214</v>
      </c>
      <c r="T35">
        <f t="shared" ref="T35" si="154">S35/1000</f>
        <v>2.6143622791584213E-2</v>
      </c>
    </row>
    <row r="36" spans="1:20" x14ac:dyDescent="0.25">
      <c r="A36" s="5">
        <v>44557</v>
      </c>
      <c r="B36">
        <v>70.260000000000005</v>
      </c>
      <c r="C36">
        <v>74.22</v>
      </c>
      <c r="D36">
        <v>70.05</v>
      </c>
      <c r="E36">
        <v>70.88</v>
      </c>
      <c r="F36">
        <v>111690.61</v>
      </c>
      <c r="G36">
        <v>70.88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-0.60191846522781878</v>
      </c>
      <c r="Q36">
        <f t="shared" ref="Q36" si="156">F36*P36</f>
        <v>-67228.64055155887</v>
      </c>
      <c r="R36">
        <f t="shared" ref="R36" si="157">R37+Q36</f>
        <v>2773169.3930627033</v>
      </c>
      <c r="S36">
        <f t="shared" ref="S36" si="158">R36/100000</f>
        <v>27.731693930627031</v>
      </c>
      <c r="T36">
        <f t="shared" ref="T36" si="159">S36/1000</f>
        <v>2.7731693930627032E-2</v>
      </c>
    </row>
    <row r="37" spans="1:20" x14ac:dyDescent="0.25">
      <c r="A37" s="5">
        <v>44556</v>
      </c>
      <c r="B37">
        <v>70.72</v>
      </c>
      <c r="C37">
        <v>71.36</v>
      </c>
      <c r="D37">
        <v>67</v>
      </c>
      <c r="E37">
        <v>70.23</v>
      </c>
      <c r="F37">
        <v>105225.28</v>
      </c>
      <c r="G37">
        <v>70.23</v>
      </c>
      <c r="L37" t="s">
        <v>7</v>
      </c>
      <c r="M37" t="s">
        <v>8</v>
      </c>
      <c r="N37" t="s">
        <v>7</v>
      </c>
      <c r="P37">
        <f t="shared" ref="P37" si="160">IF(C37=D37,0,((E37-D37)-(C37-E37))/(C37-D37))</f>
        <v>0.48165137614679099</v>
      </c>
      <c r="Q37">
        <f t="shared" ref="Q37" si="161">F37*P37</f>
        <v>50681.900917431405</v>
      </c>
      <c r="R37">
        <f t="shared" ref="R37" si="162">R38+Q37</f>
        <v>2840398.033614262</v>
      </c>
      <c r="S37">
        <f t="shared" ref="S37" si="163">R37/100000</f>
        <v>28.40398033614262</v>
      </c>
      <c r="T37">
        <f t="shared" ref="T37" si="164">S37/1000</f>
        <v>2.8403980336142619E-2</v>
      </c>
    </row>
    <row r="38" spans="1:20" x14ac:dyDescent="0.25">
      <c r="A38" s="5">
        <v>44555</v>
      </c>
      <c r="B38">
        <v>70.64</v>
      </c>
      <c r="C38">
        <v>72.430000000000007</v>
      </c>
      <c r="D38">
        <v>69.83</v>
      </c>
      <c r="E38">
        <v>70.78</v>
      </c>
      <c r="F38">
        <v>78433.539999999994</v>
      </c>
      <c r="G38">
        <v>70.78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-0.26923076923076944</v>
      </c>
      <c r="Q38">
        <f t="shared" ref="Q38" si="166">F38*P38</f>
        <v>-21116.722307692322</v>
      </c>
      <c r="R38">
        <f t="shared" ref="R38" si="167">R39+Q38</f>
        <v>2789716.1326968307</v>
      </c>
      <c r="S38">
        <f t="shared" ref="S38" si="168">R38/100000</f>
        <v>27.897161326968305</v>
      </c>
      <c r="T38">
        <f t="shared" ref="T38" si="169">S38/1000</f>
        <v>2.7897161326968307E-2</v>
      </c>
    </row>
    <row r="39" spans="1:20" x14ac:dyDescent="0.25">
      <c r="A39" s="5">
        <v>44554</v>
      </c>
      <c r="B39">
        <v>72.5</v>
      </c>
      <c r="C39">
        <v>76</v>
      </c>
      <c r="D39">
        <v>68.62</v>
      </c>
      <c r="E39">
        <v>70.650000000000006</v>
      </c>
      <c r="F39">
        <v>141494.24</v>
      </c>
      <c r="G39">
        <v>70.650000000000006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-0.44986449864498579</v>
      </c>
      <c r="Q39">
        <f t="shared" ref="Q39" si="171">F39*P39</f>
        <v>-63653.235338753293</v>
      </c>
      <c r="R39">
        <f t="shared" ref="R39" si="172">R40+Q39</f>
        <v>2810832.8550045229</v>
      </c>
      <c r="S39">
        <f t="shared" ref="S39" si="173">R39/100000</f>
        <v>28.108328550045229</v>
      </c>
      <c r="T39">
        <f t="shared" ref="T39" si="174">S39/1000</f>
        <v>2.810832855004523E-2</v>
      </c>
    </row>
    <row r="40" spans="1:20" x14ac:dyDescent="0.25">
      <c r="A40" s="5">
        <v>44553</v>
      </c>
      <c r="B40">
        <v>68.05</v>
      </c>
      <c r="C40">
        <v>72.84</v>
      </c>
      <c r="D40">
        <v>65.489999999999995</v>
      </c>
      <c r="E40">
        <v>72.45</v>
      </c>
      <c r="F40">
        <v>131142.51</v>
      </c>
      <c r="G40">
        <v>72.45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0.89387755102040811</v>
      </c>
      <c r="Q40">
        <f t="shared" ref="Q40" si="176">F40*P40</f>
        <v>117225.34567346939</v>
      </c>
      <c r="R40">
        <f t="shared" ref="R40" si="177">R41+Q40</f>
        <v>2874486.090343276</v>
      </c>
      <c r="S40">
        <f t="shared" ref="S40" si="178">R40/100000</f>
        <v>28.744860903432759</v>
      </c>
      <c r="T40">
        <f t="shared" ref="T40" si="179">S40/1000</f>
        <v>2.874486090343276E-2</v>
      </c>
    </row>
    <row r="41" spans="1:20" x14ac:dyDescent="0.25">
      <c r="A41" s="5">
        <v>44552</v>
      </c>
      <c r="B41">
        <v>64.36</v>
      </c>
      <c r="C41">
        <v>72</v>
      </c>
      <c r="D41">
        <v>64.02</v>
      </c>
      <c r="E41">
        <v>68.040000000000006</v>
      </c>
      <c r="F41">
        <v>195945.53</v>
      </c>
      <c r="G41">
        <v>68.040000000000006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7.5187969924832652E-3</v>
      </c>
      <c r="Q41">
        <f t="shared" ref="Q41" si="181">F41*P41</f>
        <v>1473.2746616545394</v>
      </c>
      <c r="R41">
        <f t="shared" ref="R41" si="182">R42+Q41</f>
        <v>2757260.7446698067</v>
      </c>
      <c r="S41">
        <f t="shared" ref="S41" si="183">R41/100000</f>
        <v>27.572607446698068</v>
      </c>
      <c r="T41">
        <f t="shared" ref="T41" si="184">S41/1000</f>
        <v>2.757260744669807E-2</v>
      </c>
    </row>
    <row r="42" spans="1:20" x14ac:dyDescent="0.25">
      <c r="A42" s="5">
        <v>44551</v>
      </c>
      <c r="B42">
        <v>61.57</v>
      </c>
      <c r="C42">
        <v>64.52</v>
      </c>
      <c r="D42">
        <v>60.67</v>
      </c>
      <c r="E42">
        <v>64.25</v>
      </c>
      <c r="F42">
        <v>102613.21</v>
      </c>
      <c r="G42">
        <v>64.25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0.85974025974026158</v>
      </c>
      <c r="Q42">
        <f t="shared" ref="Q42" si="186">F42*P42</f>
        <v>88220.707818182011</v>
      </c>
      <c r="R42">
        <f t="shared" ref="R42" si="187">R43+Q42</f>
        <v>2755787.4700081521</v>
      </c>
      <c r="S42">
        <f t="shared" ref="S42" si="188">R42/100000</f>
        <v>27.55787470008152</v>
      </c>
      <c r="T42">
        <f t="shared" ref="T42" si="189">S42/1000</f>
        <v>2.755787470008152E-2</v>
      </c>
    </row>
    <row r="43" spans="1:20" x14ac:dyDescent="0.25">
      <c r="A43" s="5">
        <v>44550</v>
      </c>
      <c r="B43">
        <v>65.599999999999994</v>
      </c>
      <c r="C43">
        <v>65.75</v>
      </c>
      <c r="D43">
        <v>59.56</v>
      </c>
      <c r="E43">
        <v>61.57</v>
      </c>
      <c r="F43">
        <v>172575.11</v>
      </c>
      <c r="G43">
        <v>61.57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-0.35056542810985503</v>
      </c>
      <c r="Q43">
        <f t="shared" ref="Q43" si="191">F43*P43</f>
        <v>-60498.867318255318</v>
      </c>
      <c r="R43">
        <f t="shared" ref="R43" si="192">R44+Q43</f>
        <v>2667566.7621899699</v>
      </c>
      <c r="S43">
        <f t="shared" ref="S43" si="193">R43/100000</f>
        <v>26.675667621899699</v>
      </c>
      <c r="T43">
        <f t="shared" ref="T43" si="194">S43/1000</f>
        <v>2.6675667621899699E-2</v>
      </c>
    </row>
    <row r="44" spans="1:20" x14ac:dyDescent="0.25">
      <c r="A44" s="5">
        <v>44549</v>
      </c>
      <c r="B44">
        <v>65.38</v>
      </c>
      <c r="C44">
        <v>69.66</v>
      </c>
      <c r="D44">
        <v>64.680000000000007</v>
      </c>
      <c r="E44">
        <v>65.67</v>
      </c>
      <c r="F44">
        <v>179730.18</v>
      </c>
      <c r="G44">
        <v>65.67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-0.60240963855421814</v>
      </c>
      <c r="Q44">
        <f t="shared" ref="Q44" si="196">F44*P44</f>
        <v>-108271.19277108456</v>
      </c>
      <c r="R44">
        <f t="shared" ref="R44" si="197">R45+Q44</f>
        <v>2728065.6295082252</v>
      </c>
      <c r="S44">
        <f t="shared" ref="S44" si="198">R44/100000</f>
        <v>27.280656295082252</v>
      </c>
      <c r="T44">
        <f t="shared" ref="T44" si="199">S44/1000</f>
        <v>2.7280656295082254E-2</v>
      </c>
    </row>
    <row r="45" spans="1:20" x14ac:dyDescent="0.25">
      <c r="A45" s="5">
        <v>44548</v>
      </c>
      <c r="B45">
        <v>65.959999999999994</v>
      </c>
      <c r="C45">
        <v>68.19</v>
      </c>
      <c r="D45">
        <v>64.52</v>
      </c>
      <c r="E45">
        <v>65.42</v>
      </c>
      <c r="F45">
        <v>81812.009999999995</v>
      </c>
      <c r="G45">
        <v>65.42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-0.5095367847411415</v>
      </c>
      <c r="Q45">
        <f t="shared" ref="Q45" si="201">F45*P45</f>
        <v>-41686.228528610111</v>
      </c>
      <c r="R45">
        <f t="shared" ref="R45" si="202">R46+Q45</f>
        <v>2836336.8222793099</v>
      </c>
      <c r="S45">
        <f t="shared" ref="S45" si="203">R45/100000</f>
        <v>28.363368222793099</v>
      </c>
      <c r="T45">
        <f t="shared" ref="T45" si="204">S45/1000</f>
        <v>2.83633682227931E-2</v>
      </c>
    </row>
    <row r="46" spans="1:20" x14ac:dyDescent="0.25">
      <c r="A46" s="5">
        <v>44547</v>
      </c>
      <c r="B46">
        <v>67.650000000000006</v>
      </c>
      <c r="C46">
        <v>69.739999999999995</v>
      </c>
      <c r="D46">
        <v>63.84</v>
      </c>
      <c r="E46">
        <v>65.930000000000007</v>
      </c>
      <c r="F46">
        <v>161535.34</v>
      </c>
      <c r="G46">
        <v>65.930000000000007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-0.29152542372881141</v>
      </c>
      <c r="Q46">
        <f t="shared" ref="Q46" si="206">F46*P46</f>
        <v>-47091.658440677616</v>
      </c>
      <c r="R46">
        <f t="shared" ref="R46" si="207">R47+Q46</f>
        <v>2878023.0508079198</v>
      </c>
      <c r="S46">
        <f t="shared" ref="S46" si="208">R46/100000</f>
        <v>28.7802305080792</v>
      </c>
      <c r="T46">
        <f t="shared" ref="T46" si="209">S46/1000</f>
        <v>2.8780230508079201E-2</v>
      </c>
    </row>
    <row r="47" spans="1:20" x14ac:dyDescent="0.25">
      <c r="A47" s="5">
        <v>44546</v>
      </c>
      <c r="B47">
        <v>66.930000000000007</v>
      </c>
      <c r="C47">
        <v>72.92</v>
      </c>
      <c r="D47">
        <v>66.27</v>
      </c>
      <c r="E47">
        <v>67.650000000000006</v>
      </c>
      <c r="F47">
        <v>192726.32</v>
      </c>
      <c r="G47">
        <v>67.650000000000006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-0.58496240601503502</v>
      </c>
      <c r="Q47">
        <f t="shared" ref="Q47" si="211">F47*P47</f>
        <v>-112737.65184962357</v>
      </c>
      <c r="R47">
        <f t="shared" ref="R47" si="212">R48+Q47</f>
        <v>2925114.7092485973</v>
      </c>
      <c r="S47">
        <f t="shared" ref="S47" si="213">R47/100000</f>
        <v>29.251147092485972</v>
      </c>
      <c r="T47">
        <f t="shared" ref="T47" si="214">S47/1000</f>
        <v>2.9251147092485972E-2</v>
      </c>
    </row>
    <row r="48" spans="1:20" x14ac:dyDescent="0.25">
      <c r="A48" s="5">
        <v>44545</v>
      </c>
      <c r="B48">
        <v>60.34</v>
      </c>
      <c r="C48">
        <v>69.05</v>
      </c>
      <c r="D48">
        <v>57.05</v>
      </c>
      <c r="E48">
        <v>66.88</v>
      </c>
      <c r="F48">
        <v>239409.79</v>
      </c>
      <c r="G48">
        <v>66.88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0.63833333333333309</v>
      </c>
      <c r="Q48">
        <f t="shared" ref="Q48" si="216">F48*P48</f>
        <v>152823.24928333328</v>
      </c>
      <c r="R48">
        <f t="shared" ref="R48" si="217">R49+Q48</f>
        <v>3037852.361098221</v>
      </c>
      <c r="S48">
        <f t="shared" ref="S48" si="218">R48/100000</f>
        <v>30.37852361098221</v>
      </c>
      <c r="T48">
        <f t="shared" ref="T48" si="219">S48/1000</f>
        <v>3.037852361098221E-2</v>
      </c>
    </row>
    <row r="49" spans="1:20" x14ac:dyDescent="0.25">
      <c r="A49" s="5">
        <v>44544</v>
      </c>
      <c r="B49">
        <v>59.49</v>
      </c>
      <c r="C49">
        <v>61.42</v>
      </c>
      <c r="D49">
        <v>57.56</v>
      </c>
      <c r="E49">
        <v>60.33</v>
      </c>
      <c r="F49">
        <v>161236.29999999999</v>
      </c>
      <c r="G49">
        <v>60.33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0.43523316062175982</v>
      </c>
      <c r="Q49">
        <f t="shared" ref="Q49" si="221">F49*P49</f>
        <v>70175.38445595825</v>
      </c>
      <c r="R49">
        <f t="shared" ref="R49" si="222">R50+Q49</f>
        <v>2885029.1118148877</v>
      </c>
      <c r="S49">
        <f t="shared" ref="S49" si="223">R49/100000</f>
        <v>28.850291118148878</v>
      </c>
      <c r="T49">
        <f t="shared" ref="T49" si="224">S49/1000</f>
        <v>2.8850291118148876E-2</v>
      </c>
    </row>
    <row r="50" spans="1:20" x14ac:dyDescent="0.25">
      <c r="A50" s="5">
        <v>44543</v>
      </c>
      <c r="B50">
        <v>68.88</v>
      </c>
      <c r="C50">
        <v>69.44</v>
      </c>
      <c r="D50">
        <v>58.63</v>
      </c>
      <c r="E50">
        <v>59.47</v>
      </c>
      <c r="F50">
        <v>190642.43</v>
      </c>
      <c r="G50">
        <v>59.47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-0.84458834412581008</v>
      </c>
      <c r="Q50">
        <f t="shared" ref="Q50" si="226">F50*P50</f>
        <v>-161014.37427382066</v>
      </c>
      <c r="R50">
        <f t="shared" ref="R50" si="227">R51+Q50</f>
        <v>2814853.7273589293</v>
      </c>
      <c r="S50">
        <f t="shared" ref="S50" si="228">R50/100000</f>
        <v>28.148537273589294</v>
      </c>
      <c r="T50">
        <f t="shared" ref="T50" si="229">S50/1000</f>
        <v>2.8148537273589295E-2</v>
      </c>
    </row>
    <row r="51" spans="1:20" x14ac:dyDescent="0.25">
      <c r="A51" s="5">
        <v>44542</v>
      </c>
      <c r="B51">
        <v>68.53</v>
      </c>
      <c r="C51">
        <v>70.55</v>
      </c>
      <c r="D51">
        <v>66.37</v>
      </c>
      <c r="E51">
        <v>68.83</v>
      </c>
      <c r="F51">
        <v>98210.23</v>
      </c>
      <c r="G51">
        <v>68.83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0.1770334928229656</v>
      </c>
      <c r="Q51">
        <f t="shared" ref="Q51" si="231">F51*P51</f>
        <v>17386.500047846799</v>
      </c>
      <c r="R51">
        <f t="shared" ref="R51" si="232">R52+Q51</f>
        <v>2975868.1016327501</v>
      </c>
      <c r="S51">
        <f t="shared" ref="S51" si="233">R51/100000</f>
        <v>29.7586810163275</v>
      </c>
      <c r="T51">
        <f t="shared" ref="T51" si="234">S51/1000</f>
        <v>2.97586810163275E-2</v>
      </c>
    </row>
    <row r="52" spans="1:20" x14ac:dyDescent="0.25">
      <c r="A52" s="5">
        <v>44541</v>
      </c>
      <c r="B52">
        <v>65.48</v>
      </c>
      <c r="C52">
        <v>66.63</v>
      </c>
      <c r="D52">
        <v>64</v>
      </c>
      <c r="E52">
        <v>66.28</v>
      </c>
      <c r="F52">
        <v>14879.36</v>
      </c>
      <c r="G52">
        <v>66.28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0.73384030418251334</v>
      </c>
      <c r="Q52">
        <f t="shared" ref="Q52" si="236">F52*P52</f>
        <v>10919.074068441121</v>
      </c>
      <c r="R52">
        <f t="shared" ref="R52" si="237">R53+Q52</f>
        <v>2958481.6015849034</v>
      </c>
      <c r="S52">
        <f t="shared" ref="S52" si="238">R52/100000</f>
        <v>29.584816015849036</v>
      </c>
      <c r="T52">
        <f t="shared" ref="T52" si="239">S52/1000</f>
        <v>2.9584816015849037E-2</v>
      </c>
    </row>
    <row r="53" spans="1:20" x14ac:dyDescent="0.25">
      <c r="A53" s="5">
        <v>44540</v>
      </c>
      <c r="B53">
        <v>67.89</v>
      </c>
      <c r="C53">
        <v>71.34</v>
      </c>
      <c r="D53">
        <v>65.28</v>
      </c>
      <c r="E53">
        <v>65.48</v>
      </c>
      <c r="F53">
        <v>156353.06</v>
      </c>
      <c r="G53">
        <v>65.48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-0.93399339933993308</v>
      </c>
      <c r="Q53">
        <f t="shared" ref="Q53" si="241">F53*P53</f>
        <v>-146032.72600660051</v>
      </c>
      <c r="R53">
        <f t="shared" ref="R53" si="242">R54+Q53</f>
        <v>2947562.5275164624</v>
      </c>
      <c r="S53">
        <f t="shared" ref="S53" si="243">R53/100000</f>
        <v>29.475625275164624</v>
      </c>
      <c r="T53">
        <f t="shared" ref="T53" si="244">S53/1000</f>
        <v>2.9475625275164626E-2</v>
      </c>
    </row>
    <row r="54" spans="1:20" x14ac:dyDescent="0.25">
      <c r="A54" s="5">
        <v>44539</v>
      </c>
      <c r="B54">
        <v>76.459999999999994</v>
      </c>
      <c r="C54">
        <v>76.86</v>
      </c>
      <c r="D54">
        <v>67.38</v>
      </c>
      <c r="E54">
        <v>67.89</v>
      </c>
      <c r="F54">
        <v>192430.88</v>
      </c>
      <c r="G54">
        <v>67.89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-0.89240506329113822</v>
      </c>
      <c r="Q54">
        <f t="shared" ref="Q54" si="246">F54*P54</f>
        <v>-171726.29164556944</v>
      </c>
      <c r="R54">
        <f t="shared" ref="R54" si="247">R55+Q54</f>
        <v>3093595.2535230629</v>
      </c>
      <c r="S54">
        <f t="shared" ref="S54" si="248">R54/100000</f>
        <v>30.93595253523063</v>
      </c>
      <c r="T54">
        <f t="shared" ref="T54" si="249">S54/1000</f>
        <v>3.093595253523063E-2</v>
      </c>
    </row>
    <row r="55" spans="1:20" x14ac:dyDescent="0.25">
      <c r="A55" s="5">
        <v>44538</v>
      </c>
      <c r="B55">
        <v>73.760000000000005</v>
      </c>
      <c r="C55">
        <v>78.23</v>
      </c>
      <c r="D55">
        <v>70.8</v>
      </c>
      <c r="E55">
        <v>76.42</v>
      </c>
      <c r="F55">
        <v>204711.6</v>
      </c>
      <c r="G55">
        <v>76.42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0.51278600269178987</v>
      </c>
      <c r="Q55">
        <f t="shared" ref="Q55" si="251">F55*P55</f>
        <v>104973.24306864062</v>
      </c>
      <c r="R55">
        <f t="shared" ref="R55" si="252">R56+Q55</f>
        <v>3265321.5451686322</v>
      </c>
      <c r="S55">
        <f t="shared" ref="S55" si="253">R55/100000</f>
        <v>32.653215451686322</v>
      </c>
      <c r="T55">
        <f t="shared" ref="T55" si="254">S55/1000</f>
        <v>3.265321545168632E-2</v>
      </c>
    </row>
    <row r="56" spans="1:20" x14ac:dyDescent="0.25">
      <c r="A56" s="5">
        <v>44537</v>
      </c>
      <c r="B56">
        <v>74.069999999999993</v>
      </c>
      <c r="C56">
        <v>79.48</v>
      </c>
      <c r="D56">
        <v>72.2</v>
      </c>
      <c r="E56">
        <v>73.739999999999995</v>
      </c>
      <c r="F56">
        <v>268120.15999999997</v>
      </c>
      <c r="G56">
        <v>73.739999999999995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-0.5769230769230792</v>
      </c>
      <c r="Q56">
        <f t="shared" ref="Q56" si="256">F56*P56</f>
        <v>-154684.70769230829</v>
      </c>
      <c r="R56">
        <f t="shared" ref="R56" si="257">R57+Q56</f>
        <v>3160348.3020999916</v>
      </c>
      <c r="S56">
        <f t="shared" ref="S56" si="258">R56/100000</f>
        <v>31.603483020999917</v>
      </c>
      <c r="T56">
        <f t="shared" ref="T56" si="259">S56/1000</f>
        <v>3.1603483020999919E-2</v>
      </c>
    </row>
    <row r="57" spans="1:20" x14ac:dyDescent="0.25">
      <c r="A57" s="5">
        <v>44536</v>
      </c>
      <c r="B57">
        <v>72.760000000000005</v>
      </c>
      <c r="C57">
        <v>74.69</v>
      </c>
      <c r="D57">
        <v>64.33</v>
      </c>
      <c r="E57">
        <v>74.069999999999993</v>
      </c>
      <c r="F57">
        <v>267164.21999999997</v>
      </c>
      <c r="G57">
        <v>74.069999999999993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0.88030888030887944</v>
      </c>
      <c r="Q57">
        <f t="shared" ref="Q57" si="261">F57*P57</f>
        <v>235187.03536679511</v>
      </c>
      <c r="R57">
        <f t="shared" ref="R57" si="262">R58+Q57</f>
        <v>3315033.0097922999</v>
      </c>
      <c r="S57">
        <f t="shared" ref="S57" si="263">R57/100000</f>
        <v>33.150330097922996</v>
      </c>
      <c r="T57">
        <f t="shared" ref="T57" si="264">S57/1000</f>
        <v>3.3150330097922995E-2</v>
      </c>
    </row>
    <row r="58" spans="1:20" x14ac:dyDescent="0.25">
      <c r="A58" s="5">
        <v>44535</v>
      </c>
      <c r="B58">
        <v>79.959999999999994</v>
      </c>
      <c r="C58">
        <v>82.77</v>
      </c>
      <c r="D58">
        <v>70</v>
      </c>
      <c r="E58">
        <v>72.7</v>
      </c>
      <c r="F58">
        <v>240028.36</v>
      </c>
      <c r="G58">
        <v>72.7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-0.57713390759592742</v>
      </c>
      <c r="Q58">
        <f t="shared" ref="Q58" si="266">F58*P58</f>
        <v>-138528.505340642</v>
      </c>
      <c r="R58">
        <f t="shared" ref="R58" si="267">R59+Q58</f>
        <v>3079845.9744255049</v>
      </c>
      <c r="S58">
        <f t="shared" ref="S58" si="268">R58/100000</f>
        <v>30.798459744255048</v>
      </c>
      <c r="T58">
        <f t="shared" ref="T58" si="269">S58/1000</f>
        <v>3.0798459744255047E-2</v>
      </c>
    </row>
    <row r="59" spans="1:20" x14ac:dyDescent="0.25">
      <c r="A59" s="5">
        <v>44534</v>
      </c>
      <c r="B59">
        <v>93.86</v>
      </c>
      <c r="C59">
        <v>93.95</v>
      </c>
      <c r="D59">
        <v>55</v>
      </c>
      <c r="E59">
        <v>79.959999999999994</v>
      </c>
      <c r="F59">
        <v>616860.55000000005</v>
      </c>
      <c r="G59">
        <v>79.959999999999994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0.28164313222079546</v>
      </c>
      <c r="Q59">
        <f t="shared" ref="Q59" si="271">F59*P59</f>
        <v>173734.53744544261</v>
      </c>
      <c r="R59">
        <f t="shared" ref="R59" si="272">R60+Q59</f>
        <v>3218374.4797661467</v>
      </c>
      <c r="S59">
        <f t="shared" ref="S59" si="273">R59/100000</f>
        <v>32.183744797661468</v>
      </c>
      <c r="T59">
        <f t="shared" ref="T59" si="274">S59/1000</f>
        <v>3.2183744797661465E-2</v>
      </c>
    </row>
    <row r="60" spans="1:20" x14ac:dyDescent="0.25">
      <c r="A60" s="5">
        <v>44533</v>
      </c>
      <c r="B60">
        <v>102.12</v>
      </c>
      <c r="C60">
        <v>109.82</v>
      </c>
      <c r="D60">
        <v>88.73</v>
      </c>
      <c r="E60">
        <v>93.85</v>
      </c>
      <c r="F60">
        <v>295350.90999999997</v>
      </c>
      <c r="G60">
        <v>93.85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-0.51446183025130465</v>
      </c>
      <c r="Q60">
        <f t="shared" ref="Q60" si="276">F60*P60</f>
        <v>-151946.76972498835</v>
      </c>
      <c r="R60">
        <f t="shared" ref="R60" si="277">R61+Q60</f>
        <v>3044639.942320704</v>
      </c>
      <c r="S60">
        <f t="shared" ref="S60" si="278">R60/100000</f>
        <v>30.446399423207041</v>
      </c>
      <c r="T60">
        <f t="shared" ref="T60" si="279">S60/1000</f>
        <v>3.0446399423207041E-2</v>
      </c>
    </row>
    <row r="61" spans="1:20" x14ac:dyDescent="0.25">
      <c r="A61" s="5">
        <v>44532</v>
      </c>
      <c r="B61">
        <v>107.68</v>
      </c>
      <c r="C61">
        <v>107.74</v>
      </c>
      <c r="D61">
        <v>100</v>
      </c>
      <c r="E61">
        <v>102.09</v>
      </c>
      <c r="F61">
        <v>209382.7</v>
      </c>
      <c r="G61">
        <v>102.09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-0.45994832041343547</v>
      </c>
      <c r="Q61">
        <f t="shared" ref="Q61" si="281">F61*P61</f>
        <v>-96305.221188630239</v>
      </c>
      <c r="R61">
        <f t="shared" ref="R61" si="282">R62+Q61</f>
        <v>3196586.7120456924</v>
      </c>
      <c r="S61">
        <f t="shared" ref="S61" si="283">R61/100000</f>
        <v>31.965867120456924</v>
      </c>
      <c r="T61">
        <f t="shared" ref="T61" si="284">S61/1000</f>
        <v>3.1965867120456924E-2</v>
      </c>
    </row>
    <row r="62" spans="1:20" x14ac:dyDescent="0.25">
      <c r="A62" s="5">
        <v>44531</v>
      </c>
      <c r="B62">
        <v>116.55</v>
      </c>
      <c r="C62">
        <v>118.57</v>
      </c>
      <c r="D62">
        <v>106.19</v>
      </c>
      <c r="E62">
        <v>107.62</v>
      </c>
      <c r="F62">
        <v>235782.16</v>
      </c>
      <c r="G62">
        <v>107.62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-0.76898222940226058</v>
      </c>
      <c r="Q62">
        <f t="shared" ref="Q62" si="286">F62*P62</f>
        <v>-181312.2910500805</v>
      </c>
      <c r="R62">
        <f t="shared" ref="R62" si="287">R63+Q62</f>
        <v>3292891.9332343228</v>
      </c>
      <c r="S62">
        <f t="shared" ref="S62" si="288">R62/100000</f>
        <v>32.928919332343227</v>
      </c>
      <c r="T62">
        <f t="shared" ref="T62" si="289">S62/1000</f>
        <v>3.292891933234323E-2</v>
      </c>
    </row>
    <row r="63" spans="1:20" x14ac:dyDescent="0.25">
      <c r="A63" s="5">
        <v>44530</v>
      </c>
      <c r="B63">
        <v>116.87</v>
      </c>
      <c r="C63">
        <v>124.22</v>
      </c>
      <c r="D63">
        <v>110.65</v>
      </c>
      <c r="E63">
        <v>116.59</v>
      </c>
      <c r="F63">
        <v>445463.65</v>
      </c>
      <c r="G63">
        <v>116.59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-0.12453942520265281</v>
      </c>
      <c r="Q63">
        <f t="shared" ref="Q63" si="291">F63*P63</f>
        <v>-55477.786919675709</v>
      </c>
      <c r="R63">
        <f t="shared" ref="R63" si="292">R64+Q63</f>
        <v>3474204.2242844035</v>
      </c>
      <c r="S63">
        <f t="shared" ref="S63" si="293">R63/100000</f>
        <v>34.742042242844036</v>
      </c>
      <c r="T63">
        <f t="shared" ref="T63" si="294">S63/1000</f>
        <v>3.4742042242844037E-2</v>
      </c>
    </row>
    <row r="64" spans="1:20" x14ac:dyDescent="0.25">
      <c r="A64" s="5">
        <v>44529</v>
      </c>
      <c r="B64">
        <v>107.24</v>
      </c>
      <c r="C64">
        <v>117.4</v>
      </c>
      <c r="D64">
        <v>105.41</v>
      </c>
      <c r="E64">
        <v>116.89</v>
      </c>
      <c r="F64">
        <v>209273.96</v>
      </c>
      <c r="G64">
        <v>116.89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0.91492910758965729</v>
      </c>
      <c r="Q64">
        <f t="shared" ref="Q64" si="296">F64*P64</f>
        <v>191470.83746455362</v>
      </c>
      <c r="R64">
        <f t="shared" ref="R64" si="297">R65+Q64</f>
        <v>3529682.0112040793</v>
      </c>
      <c r="S64">
        <f t="shared" ref="S64" si="298">R64/100000</f>
        <v>35.296820112040791</v>
      </c>
      <c r="T64">
        <f t="shared" ref="T64" si="299">S64/1000</f>
        <v>3.5296820112040793E-2</v>
      </c>
    </row>
    <row r="65" spans="1:20" x14ac:dyDescent="0.25">
      <c r="A65" s="5">
        <v>44528</v>
      </c>
      <c r="B65">
        <v>107.07</v>
      </c>
      <c r="C65">
        <v>110.62</v>
      </c>
      <c r="D65">
        <v>97</v>
      </c>
      <c r="E65">
        <v>107.19</v>
      </c>
      <c r="F65">
        <v>264169.53000000003</v>
      </c>
      <c r="G65">
        <v>107.19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0.49632892804698886</v>
      </c>
      <c r="Q65">
        <f t="shared" ref="Q65" si="301">F65*P65</f>
        <v>131114.97964757687</v>
      </c>
      <c r="R65">
        <f t="shared" ref="R65" si="302">R66+Q65</f>
        <v>3338211.1737395255</v>
      </c>
      <c r="S65">
        <f t="shared" ref="S65" si="303">R65/100000</f>
        <v>33.382111737395256</v>
      </c>
      <c r="T65">
        <f t="shared" ref="T65" si="304">S65/1000</f>
        <v>3.3382111737395255E-2</v>
      </c>
    </row>
    <row r="66" spans="1:20" x14ac:dyDescent="0.25">
      <c r="A66" s="5">
        <v>44527</v>
      </c>
      <c r="B66">
        <v>104.55</v>
      </c>
      <c r="C66">
        <v>114.97</v>
      </c>
      <c r="D66">
        <v>103.3</v>
      </c>
      <c r="E66">
        <v>107.07</v>
      </c>
      <c r="F66">
        <v>261823.67</v>
      </c>
      <c r="G66">
        <v>107.07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-0.35389888603256292</v>
      </c>
      <c r="Q66">
        <f t="shared" ref="Q66" si="306">F66*P66</f>
        <v>-92659.105149957366</v>
      </c>
      <c r="R66">
        <f t="shared" ref="R66" si="307">R67+Q66</f>
        <v>3207096.1940919487</v>
      </c>
      <c r="S66">
        <f t="shared" ref="S66" si="308">R66/100000</f>
        <v>32.070961940919489</v>
      </c>
      <c r="T66">
        <f t="shared" ref="T66" si="309">S66/1000</f>
        <v>3.207096194091949E-2</v>
      </c>
    </row>
    <row r="67" spans="1:20" x14ac:dyDescent="0.25">
      <c r="A67" s="5">
        <v>44526</v>
      </c>
      <c r="B67">
        <v>132.93</v>
      </c>
      <c r="C67">
        <v>138.31</v>
      </c>
      <c r="D67">
        <v>103.02</v>
      </c>
      <c r="E67">
        <v>104.53</v>
      </c>
      <c r="F67">
        <v>571471.76144999999</v>
      </c>
      <c r="G67">
        <v>104.53</v>
      </c>
      <c r="L67" t="s">
        <v>8</v>
      </c>
      <c r="M67" t="s">
        <v>8</v>
      </c>
      <c r="N67" t="s">
        <v>8</v>
      </c>
      <c r="P67">
        <f t="shared" ref="P67" si="310">IF(C67=D67,0,((E67-D67)-(C67-E67))/(C67-D67))</f>
        <v>-0.91442334939076197</v>
      </c>
      <c r="Q67">
        <f t="shared" ref="Q67" si="311">F67*P67</f>
        <v>-522567.1221873475</v>
      </c>
      <c r="R67">
        <f t="shared" ref="R67" si="312">R68+Q67</f>
        <v>3299755.299241906</v>
      </c>
      <c r="S67">
        <f t="shared" ref="S67" si="313">R67/100000</f>
        <v>32.99755299241906</v>
      </c>
      <c r="T67">
        <f t="shared" ref="T67" si="314">S67/1000</f>
        <v>3.2997552992419063E-2</v>
      </c>
    </row>
    <row r="68" spans="1:20" x14ac:dyDescent="0.25">
      <c r="A68" s="5">
        <v>44525</v>
      </c>
      <c r="B68">
        <v>126.87</v>
      </c>
      <c r="C68">
        <v>133.55000000000001</v>
      </c>
      <c r="D68">
        <v>117.09</v>
      </c>
      <c r="E68">
        <v>132.74</v>
      </c>
      <c r="F68">
        <v>307889.82049000001</v>
      </c>
      <c r="G68">
        <v>132.74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0.90157958687727802</v>
      </c>
      <c r="Q68">
        <f t="shared" ref="Q68" si="316">F68*P68</f>
        <v>277587.17716109351</v>
      </c>
      <c r="R68">
        <f t="shared" ref="R68" si="317">R69+Q68</f>
        <v>3822322.4214292536</v>
      </c>
      <c r="S68">
        <f t="shared" ref="S68" si="318">R68/100000</f>
        <v>38.223224214292536</v>
      </c>
      <c r="T68">
        <f t="shared" ref="T68" si="319">S68/1000</f>
        <v>3.8223224214292535E-2</v>
      </c>
    </row>
    <row r="69" spans="1:20" x14ac:dyDescent="0.25">
      <c r="A69" s="5">
        <v>44524</v>
      </c>
      <c r="B69">
        <v>109.91</v>
      </c>
      <c r="C69">
        <v>120.7</v>
      </c>
      <c r="D69">
        <v>109.19</v>
      </c>
      <c r="E69">
        <v>117.38</v>
      </c>
      <c r="F69">
        <v>224833.98</v>
      </c>
      <c r="G69">
        <v>117.38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0.42311033883579391</v>
      </c>
      <c r="Q69">
        <f t="shared" ref="Q69" si="321">F69*P69</f>
        <v>95129.581459600115</v>
      </c>
      <c r="R69">
        <f t="shared" ref="R69" si="322">R70+Q69</f>
        <v>3544735.2442681603</v>
      </c>
      <c r="S69">
        <f t="shared" ref="S69" si="323">R69/100000</f>
        <v>35.447352442681606</v>
      </c>
      <c r="T69">
        <f t="shared" ref="T69" si="324">S69/1000</f>
        <v>3.5447352442681608E-2</v>
      </c>
    </row>
    <row r="70" spans="1:20" x14ac:dyDescent="0.25">
      <c r="A70" s="5">
        <v>44523</v>
      </c>
      <c r="B70">
        <v>102.39</v>
      </c>
      <c r="C70">
        <v>112.48</v>
      </c>
      <c r="D70">
        <v>99.89</v>
      </c>
      <c r="E70">
        <v>109.91</v>
      </c>
      <c r="F70">
        <v>322833.5</v>
      </c>
      <c r="G70">
        <v>109.91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0.5917394757744231</v>
      </c>
      <c r="Q70">
        <f t="shared" ref="Q70" si="326">F70*P70</f>
        <v>191033.32605242223</v>
      </c>
      <c r="R70">
        <f t="shared" ref="R70" si="327">R71+Q70</f>
        <v>3449605.6628085603</v>
      </c>
      <c r="S70">
        <f t="shared" ref="S70" si="328">R70/100000</f>
        <v>34.496056628085604</v>
      </c>
      <c r="T70">
        <f t="shared" ref="T70" si="329">S70/1000</f>
        <v>3.4496056628085602E-2</v>
      </c>
    </row>
    <row r="71" spans="1:20" x14ac:dyDescent="0.25">
      <c r="A71" s="5">
        <v>44522</v>
      </c>
      <c r="B71">
        <v>114.16</v>
      </c>
      <c r="C71">
        <v>114.78</v>
      </c>
      <c r="D71">
        <v>99.24</v>
      </c>
      <c r="E71">
        <v>102.43</v>
      </c>
      <c r="F71">
        <v>323468.95</v>
      </c>
      <c r="G71">
        <v>102.43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-0.58944658944658812</v>
      </c>
      <c r="Q71">
        <f t="shared" ref="Q71" si="331">F71*P71</f>
        <v>-190667.66936936896</v>
      </c>
      <c r="R71">
        <f t="shared" ref="R71" si="332">R72+Q71</f>
        <v>3258572.3367561381</v>
      </c>
      <c r="S71">
        <f t="shared" ref="S71" si="333">R71/100000</f>
        <v>32.585723367561378</v>
      </c>
      <c r="T71">
        <f t="shared" ref="T71" si="334">S71/1000</f>
        <v>3.2585723367561381E-2</v>
      </c>
    </row>
    <row r="72" spans="1:20" x14ac:dyDescent="0.25">
      <c r="A72" s="5">
        <v>44521</v>
      </c>
      <c r="B72">
        <v>95.52</v>
      </c>
      <c r="C72">
        <v>114.65</v>
      </c>
      <c r="D72">
        <v>93.74</v>
      </c>
      <c r="E72">
        <v>113.91</v>
      </c>
      <c r="F72">
        <v>398550.06</v>
      </c>
      <c r="G72">
        <v>113.91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0.92922046867527419</v>
      </c>
      <c r="Q72">
        <f t="shared" ref="Q72" si="336">F72*P72</f>
        <v>370340.87354375864</v>
      </c>
      <c r="R72">
        <f t="shared" ref="R72" si="337">R73+Q72</f>
        <v>3449240.0061255069</v>
      </c>
      <c r="S72">
        <f t="shared" ref="S72" si="338">R72/100000</f>
        <v>34.492400061255069</v>
      </c>
      <c r="T72">
        <f t="shared" ref="T72" si="339">S72/1000</f>
        <v>3.449240006125507E-2</v>
      </c>
    </row>
    <row r="73" spans="1:20" x14ac:dyDescent="0.25">
      <c r="A73" s="5">
        <v>44520</v>
      </c>
      <c r="B73">
        <v>89.11</v>
      </c>
      <c r="C73">
        <v>98.29</v>
      </c>
      <c r="D73">
        <v>89.01</v>
      </c>
      <c r="E73">
        <v>95.44</v>
      </c>
      <c r="F73">
        <v>255375.88</v>
      </c>
      <c r="G73">
        <v>95.44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0.38577586206896375</v>
      </c>
      <c r="Q73">
        <f t="shared" ref="Q73" si="341">F73*P73</f>
        <v>98517.850258620238</v>
      </c>
      <c r="R73">
        <f t="shared" ref="R73" si="342">R74+Q73</f>
        <v>3078899.1325817485</v>
      </c>
      <c r="S73">
        <f t="shared" ref="S73" si="343">R73/100000</f>
        <v>30.788991325817484</v>
      </c>
      <c r="T73">
        <f t="shared" ref="T73" si="344">S73/1000</f>
        <v>3.0788991325817486E-2</v>
      </c>
    </row>
    <row r="74" spans="1:20" x14ac:dyDescent="0.25">
      <c r="A74" s="5">
        <v>44519</v>
      </c>
      <c r="B74">
        <v>82.51</v>
      </c>
      <c r="C74">
        <v>90.8</v>
      </c>
      <c r="D74">
        <v>80.2</v>
      </c>
      <c r="E74">
        <v>89.18</v>
      </c>
      <c r="F74">
        <v>240567.1</v>
      </c>
      <c r="G74">
        <v>89.18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0.69433962264151106</v>
      </c>
      <c r="Q74">
        <f t="shared" ref="Q74" si="346">F74*P74</f>
        <v>167035.26943396265</v>
      </c>
      <c r="R74">
        <f t="shared" ref="R74" si="347">R75+Q74</f>
        <v>2980381.2823231281</v>
      </c>
      <c r="S74">
        <f t="shared" ref="S74" si="348">R74/100000</f>
        <v>29.803812823231279</v>
      </c>
      <c r="T74">
        <f t="shared" ref="T74" si="349">S74/1000</f>
        <v>2.9803812823231281E-2</v>
      </c>
    </row>
    <row r="75" spans="1:20" x14ac:dyDescent="0.25">
      <c r="A75" s="5">
        <v>44518</v>
      </c>
      <c r="B75">
        <v>86.37</v>
      </c>
      <c r="C75">
        <v>94</v>
      </c>
      <c r="D75">
        <v>80.92</v>
      </c>
      <c r="E75">
        <v>82.48</v>
      </c>
      <c r="F75">
        <v>349857.35</v>
      </c>
      <c r="G75">
        <v>82.48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-0.76146788990825653</v>
      </c>
      <c r="Q75">
        <f t="shared" ref="Q75" si="351">F75*P75</f>
        <v>-266405.13807339437</v>
      </c>
      <c r="R75">
        <f t="shared" ref="R75" si="352">R76+Q75</f>
        <v>2813346.0128891654</v>
      </c>
      <c r="S75">
        <f t="shared" ref="S75" si="353">R75/100000</f>
        <v>28.133460128891656</v>
      </c>
      <c r="T75">
        <f t="shared" ref="T75" si="354">S75/1000</f>
        <v>2.8133460128891657E-2</v>
      </c>
    </row>
    <row r="76" spans="1:20" x14ac:dyDescent="0.25">
      <c r="A76" s="5">
        <v>44517</v>
      </c>
      <c r="B76">
        <v>83.87</v>
      </c>
      <c r="C76">
        <v>86.62</v>
      </c>
      <c r="D76">
        <v>80.099999999999994</v>
      </c>
      <c r="E76">
        <v>86.5</v>
      </c>
      <c r="F76">
        <v>151425.06</v>
      </c>
      <c r="G76">
        <v>86.5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0.96319018404907841</v>
      </c>
      <c r="Q76">
        <f t="shared" ref="Q76" si="356">F76*P76</f>
        <v>145851.13141104273</v>
      </c>
      <c r="R76">
        <f t="shared" ref="R76" si="357">R77+Q76</f>
        <v>3079751.15096256</v>
      </c>
      <c r="S76">
        <f t="shared" ref="S76" si="358">R76/100000</f>
        <v>30.7975115096256</v>
      </c>
      <c r="T76">
        <f t="shared" ref="T76" si="359">S76/1000</f>
        <v>3.0797511509625602E-2</v>
      </c>
    </row>
    <row r="77" spans="1:20" x14ac:dyDescent="0.25">
      <c r="A77" s="5">
        <v>44516</v>
      </c>
      <c r="B77">
        <v>93.88</v>
      </c>
      <c r="C77">
        <v>94.01</v>
      </c>
      <c r="D77">
        <v>80.489999999999995</v>
      </c>
      <c r="E77">
        <v>83.88</v>
      </c>
      <c r="F77">
        <v>253155.82</v>
      </c>
      <c r="G77">
        <v>83.88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-0.49852071005917187</v>
      </c>
      <c r="Q77">
        <f t="shared" ref="Q77" si="361">F77*P77</f>
        <v>-126203.4191420119</v>
      </c>
      <c r="R77">
        <f t="shared" ref="R77" si="362">R78+Q77</f>
        <v>2933900.0195515174</v>
      </c>
      <c r="S77">
        <f t="shared" ref="S77" si="363">R77/100000</f>
        <v>29.339000195515176</v>
      </c>
      <c r="T77">
        <f t="shared" ref="T77" si="364">S77/1000</f>
        <v>2.9339000195515177E-2</v>
      </c>
    </row>
    <row r="78" spans="1:20" x14ac:dyDescent="0.25">
      <c r="A78" s="5">
        <v>44515</v>
      </c>
      <c r="B78">
        <v>95.91</v>
      </c>
      <c r="C78">
        <v>98.62</v>
      </c>
      <c r="D78">
        <v>91.92</v>
      </c>
      <c r="E78">
        <v>93.88</v>
      </c>
      <c r="F78">
        <v>152552.76</v>
      </c>
      <c r="G78">
        <v>93.88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-0.41492537313433048</v>
      </c>
      <c r="Q78">
        <f t="shared" ref="Q78" si="366">F78*P78</f>
        <v>-63298.010865671968</v>
      </c>
      <c r="R78">
        <f t="shared" ref="R78" si="367">R79+Q78</f>
        <v>3060103.4386935295</v>
      </c>
      <c r="S78">
        <f t="shared" ref="S78" si="368">R78/100000</f>
        <v>30.601034386935293</v>
      </c>
      <c r="T78">
        <f t="shared" ref="T78" si="369">S78/1000</f>
        <v>3.0601034386935292E-2</v>
      </c>
    </row>
    <row r="79" spans="1:20" x14ac:dyDescent="0.25">
      <c r="A79" s="5">
        <v>44514</v>
      </c>
      <c r="B79">
        <v>95.9</v>
      </c>
      <c r="C79">
        <v>96.81</v>
      </c>
      <c r="D79">
        <v>92.5</v>
      </c>
      <c r="E79">
        <v>95.83</v>
      </c>
      <c r="F79">
        <v>115356.7</v>
      </c>
      <c r="G79">
        <v>95.83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0.54524361948955757</v>
      </c>
      <c r="Q79">
        <f t="shared" ref="Q79" si="371">F79*P79</f>
        <v>62897.504640371044</v>
      </c>
      <c r="R79">
        <f t="shared" ref="R79" si="372">R80+Q79</f>
        <v>3123401.4495592015</v>
      </c>
      <c r="S79">
        <f t="shared" ref="S79" si="373">R79/100000</f>
        <v>31.234014495592014</v>
      </c>
      <c r="T79">
        <f t="shared" ref="T79" si="374">S79/1000</f>
        <v>3.1234014495592013E-2</v>
      </c>
    </row>
    <row r="80" spans="1:20" x14ac:dyDescent="0.25">
      <c r="A80" s="5">
        <v>44513</v>
      </c>
      <c r="B80">
        <v>100.05</v>
      </c>
      <c r="C80">
        <v>103.84</v>
      </c>
      <c r="D80">
        <v>93.78</v>
      </c>
      <c r="E80">
        <v>95.83</v>
      </c>
      <c r="F80">
        <v>217831.69</v>
      </c>
      <c r="G80">
        <v>95.83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-0.59244532803180983</v>
      </c>
      <c r="Q80">
        <f t="shared" ref="Q80" si="376">F80*P80</f>
        <v>-129053.36703777351</v>
      </c>
      <c r="R80">
        <f t="shared" ref="R80" si="377">R81+Q80</f>
        <v>3060503.9449188304</v>
      </c>
      <c r="S80">
        <f t="shared" ref="S80" si="378">R80/100000</f>
        <v>30.605039449188304</v>
      </c>
      <c r="T80">
        <f t="shared" ref="T80" si="379">S80/1000</f>
        <v>3.0605039449188305E-2</v>
      </c>
    </row>
    <row r="81" spans="1:20" x14ac:dyDescent="0.25">
      <c r="A81" s="5">
        <v>44512</v>
      </c>
      <c r="B81">
        <v>105.29</v>
      </c>
      <c r="C81">
        <v>107.63</v>
      </c>
      <c r="D81">
        <v>94.3</v>
      </c>
      <c r="E81">
        <v>100.04</v>
      </c>
      <c r="F81">
        <v>297221.83</v>
      </c>
      <c r="G81">
        <v>100.04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-0.13878469617404204</v>
      </c>
      <c r="Q81">
        <f t="shared" ref="Q81" si="381">F81*P81</f>
        <v>-41249.841372842777</v>
      </c>
      <c r="R81">
        <f t="shared" ref="R81" si="382">R82+Q81</f>
        <v>3189557.311956604</v>
      </c>
      <c r="S81">
        <f t="shared" ref="S81" si="383">R81/100000</f>
        <v>31.895573119566041</v>
      </c>
      <c r="T81">
        <f t="shared" ref="T81" si="384">S81/1000</f>
        <v>3.1895573119566041E-2</v>
      </c>
    </row>
    <row r="82" spans="1:20" x14ac:dyDescent="0.25">
      <c r="A82" s="5">
        <v>44511</v>
      </c>
      <c r="B82">
        <v>92.92</v>
      </c>
      <c r="C82">
        <v>115</v>
      </c>
      <c r="D82">
        <v>90.27</v>
      </c>
      <c r="E82">
        <v>105.29</v>
      </c>
      <c r="F82">
        <v>618767.57999999996</v>
      </c>
      <c r="G82">
        <v>105.29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0.21471896482005726</v>
      </c>
      <c r="Q82">
        <f t="shared" ref="Q82" si="386">F82*P82</f>
        <v>132861.13424181196</v>
      </c>
      <c r="R82">
        <f t="shared" ref="R82" si="387">R83+Q82</f>
        <v>3230807.1533294469</v>
      </c>
      <c r="S82">
        <f t="shared" ref="S82" si="388">R82/100000</f>
        <v>32.308071533294466</v>
      </c>
      <c r="T82">
        <f t="shared" ref="T82" si="389">S82/1000</f>
        <v>3.2308071533294465E-2</v>
      </c>
    </row>
    <row r="83" spans="1:20" x14ac:dyDescent="0.25">
      <c r="A83" s="5">
        <v>44510</v>
      </c>
      <c r="B83">
        <v>103.28</v>
      </c>
      <c r="C83">
        <v>104.14</v>
      </c>
      <c r="D83">
        <v>85</v>
      </c>
      <c r="E83">
        <v>92.73</v>
      </c>
      <c r="F83">
        <v>444608.56</v>
      </c>
      <c r="G83">
        <v>92.73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-0.1922675026123298</v>
      </c>
      <c r="Q83">
        <f t="shared" ref="Q83" si="391">F83*P83</f>
        <v>-85483.777471264199</v>
      </c>
      <c r="R83">
        <f t="shared" ref="R83" si="392">R84+Q83</f>
        <v>3097946.019087635</v>
      </c>
      <c r="S83">
        <f t="shared" ref="S83" si="393">R83/100000</f>
        <v>30.979460190876349</v>
      </c>
      <c r="T83">
        <f t="shared" ref="T83" si="394">S83/1000</f>
        <v>3.097946019087635E-2</v>
      </c>
    </row>
    <row r="84" spans="1:20" x14ac:dyDescent="0.25">
      <c r="A84" s="5">
        <v>44509</v>
      </c>
      <c r="B84">
        <v>90.97</v>
      </c>
      <c r="C84">
        <v>109.68</v>
      </c>
      <c r="D84">
        <v>89.08</v>
      </c>
      <c r="E84">
        <v>103.28</v>
      </c>
      <c r="F84">
        <v>704050.84</v>
      </c>
      <c r="G84">
        <v>103.28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0.37864077669902885</v>
      </c>
      <c r="Q84">
        <f t="shared" ref="Q84" si="396">F84*P84</f>
        <v>266582.35689320369</v>
      </c>
      <c r="R84">
        <f t="shared" ref="R84" si="397">R85+Q84</f>
        <v>3183429.7965588993</v>
      </c>
      <c r="S84">
        <f t="shared" ref="S84" si="398">R84/100000</f>
        <v>31.834297965588995</v>
      </c>
      <c r="T84">
        <f t="shared" ref="T84" si="399">S84/1000</f>
        <v>3.1834297965588995E-2</v>
      </c>
    </row>
    <row r="85" spans="1:20" x14ac:dyDescent="0.25">
      <c r="A85" s="5">
        <v>44508</v>
      </c>
      <c r="B85">
        <v>84.55</v>
      </c>
      <c r="C85">
        <v>94.43</v>
      </c>
      <c r="D85">
        <v>83.53</v>
      </c>
      <c r="E85">
        <v>91.04</v>
      </c>
      <c r="F85">
        <v>329134.03000000003</v>
      </c>
      <c r="G85">
        <v>91.04</v>
      </c>
      <c r="L85" t="s">
        <v>8</v>
      </c>
      <c r="M85" t="s">
        <v>8</v>
      </c>
      <c r="N85" t="s">
        <v>7</v>
      </c>
      <c r="P85">
        <f t="shared" ref="P85" si="400">IF(C85=D85,0,((E85-D85)-(C85-E85))/(C85-D85))</f>
        <v>0.37798165137614703</v>
      </c>
      <c r="Q85">
        <f t="shared" ref="Q85" si="401">F85*P85</f>
        <v>124406.62418348633</v>
      </c>
      <c r="R85">
        <f t="shared" ref="R85" si="402">R86+Q85</f>
        <v>2916847.4396656957</v>
      </c>
      <c r="S85">
        <f t="shared" ref="S85" si="403">R85/100000</f>
        <v>29.168474396656958</v>
      </c>
      <c r="T85">
        <f t="shared" ref="T85" si="404">S85/1000</f>
        <v>2.9168474396656957E-2</v>
      </c>
    </row>
    <row r="86" spans="1:20" x14ac:dyDescent="0.25">
      <c r="A86" s="5">
        <v>44507</v>
      </c>
      <c r="B86">
        <v>83.16</v>
      </c>
      <c r="C86">
        <v>86.13</v>
      </c>
      <c r="D86">
        <v>82.19</v>
      </c>
      <c r="E86">
        <v>84.64</v>
      </c>
      <c r="F86">
        <v>82158.649999999994</v>
      </c>
      <c r="G86">
        <v>84.64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0.24365482233502755</v>
      </c>
      <c r="Q86">
        <f t="shared" ref="Q86" si="406">F86*P86</f>
        <v>20018.351269035709</v>
      </c>
      <c r="R86">
        <f t="shared" ref="R86" si="407">R87+Q86</f>
        <v>2792440.8154822094</v>
      </c>
      <c r="S86">
        <f t="shared" ref="S86" si="408">R86/100000</f>
        <v>27.924408154822093</v>
      </c>
      <c r="T86">
        <f t="shared" ref="T86" si="409">S86/1000</f>
        <v>2.7924408154822094E-2</v>
      </c>
    </row>
    <row r="87" spans="1:20" x14ac:dyDescent="0.25">
      <c r="A87" s="5">
        <v>44506</v>
      </c>
      <c r="B87">
        <v>85.41</v>
      </c>
      <c r="C87">
        <v>87.13</v>
      </c>
      <c r="D87">
        <v>80.099999999999994</v>
      </c>
      <c r="E87">
        <v>83.22</v>
      </c>
      <c r="F87">
        <v>90815.49</v>
      </c>
      <c r="G87">
        <v>83.22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-0.11237553342816385</v>
      </c>
      <c r="Q87">
        <f t="shared" ref="Q87" si="411">F87*P87</f>
        <v>-10205.439132290081</v>
      </c>
      <c r="R87">
        <f t="shared" ref="R87" si="412">R88+Q87</f>
        <v>2772422.4642131738</v>
      </c>
      <c r="S87">
        <f t="shared" ref="S87" si="413">R87/100000</f>
        <v>27.724224642131738</v>
      </c>
      <c r="T87">
        <f t="shared" ref="T87" si="414">S87/1000</f>
        <v>2.7724224642131739E-2</v>
      </c>
    </row>
    <row r="88" spans="1:20" x14ac:dyDescent="0.25">
      <c r="A88" s="5">
        <v>44505</v>
      </c>
      <c r="B88">
        <v>84.64</v>
      </c>
      <c r="C88">
        <v>88.69</v>
      </c>
      <c r="D88">
        <v>83.2</v>
      </c>
      <c r="E88">
        <v>85.48</v>
      </c>
      <c r="F88">
        <v>134525.41</v>
      </c>
      <c r="G88">
        <v>85.48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-0.16939890710382394</v>
      </c>
      <c r="Q88">
        <f t="shared" ref="Q88" si="416">F88*P88</f>
        <v>-22788.457431693827</v>
      </c>
      <c r="R88">
        <f t="shared" ref="R88" si="417">R89+Q88</f>
        <v>2782627.9033454638</v>
      </c>
      <c r="S88">
        <f t="shared" ref="S88" si="418">R88/100000</f>
        <v>27.826279033454639</v>
      </c>
      <c r="T88">
        <f t="shared" ref="T88" si="419">S88/1000</f>
        <v>2.7826279033454641E-2</v>
      </c>
    </row>
    <row r="89" spans="1:20" x14ac:dyDescent="0.25">
      <c r="A89" s="5">
        <v>44504</v>
      </c>
      <c r="B89">
        <v>86.13</v>
      </c>
      <c r="C89">
        <v>91.06</v>
      </c>
      <c r="D89">
        <v>81.62</v>
      </c>
      <c r="E89">
        <v>84.58</v>
      </c>
      <c r="F89">
        <v>257887.13</v>
      </c>
      <c r="G89">
        <v>84.58</v>
      </c>
      <c r="L89" t="s">
        <v>8</v>
      </c>
      <c r="M89" t="s">
        <v>7</v>
      </c>
      <c r="N89" t="s">
        <v>7</v>
      </c>
      <c r="P89">
        <f t="shared" ref="P89" si="420">IF(C89=D89,0,((E89-D89)-(C89-E89))/(C89-D89))</f>
        <v>-0.37288135593220456</v>
      </c>
      <c r="Q89">
        <f t="shared" ref="Q89" si="421">F89*P89</f>
        <v>-96161.302711864715</v>
      </c>
      <c r="R89">
        <f t="shared" ref="R89" si="422">R90+Q89</f>
        <v>2805416.3607771578</v>
      </c>
      <c r="S89">
        <f t="shared" ref="S89" si="423">R89/100000</f>
        <v>28.054163607771578</v>
      </c>
      <c r="T89">
        <f t="shared" ref="T89" si="424">S89/1000</f>
        <v>2.805416360777158E-2</v>
      </c>
    </row>
    <row r="90" spans="1:20" x14ac:dyDescent="0.25">
      <c r="A90" s="5">
        <v>44503</v>
      </c>
      <c r="B90">
        <v>85.3</v>
      </c>
      <c r="C90">
        <v>86.97</v>
      </c>
      <c r="D90">
        <v>80.52</v>
      </c>
      <c r="E90">
        <v>86.13</v>
      </c>
      <c r="F90">
        <v>202208.14</v>
      </c>
      <c r="G90">
        <v>86.13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0.73953488372092924</v>
      </c>
      <c r="Q90">
        <f t="shared" ref="Q90" si="426">F90*P90</f>
        <v>149539.97330232538</v>
      </c>
      <c r="R90">
        <f t="shared" ref="R90" si="427">R91+Q90</f>
        <v>2901577.6634890228</v>
      </c>
      <c r="S90">
        <f t="shared" ref="S90" si="428">R90/100000</f>
        <v>29.015776634890226</v>
      </c>
      <c r="T90">
        <f t="shared" ref="T90" si="429">S90/1000</f>
        <v>2.9015776634890227E-2</v>
      </c>
    </row>
    <row r="91" spans="1:20" x14ac:dyDescent="0.25">
      <c r="A91" s="5">
        <v>44502</v>
      </c>
      <c r="B91">
        <v>86.77</v>
      </c>
      <c r="C91">
        <v>91.34</v>
      </c>
      <c r="D91">
        <v>84.83</v>
      </c>
      <c r="E91">
        <v>85.3</v>
      </c>
      <c r="F91">
        <v>250114.72</v>
      </c>
      <c r="G91">
        <v>85.3</v>
      </c>
      <c r="L91" t="s">
        <v>8</v>
      </c>
      <c r="M91" t="s">
        <v>7</v>
      </c>
      <c r="N91" t="s">
        <v>7</v>
      </c>
      <c r="P91">
        <f t="shared" ref="P91" si="430">IF(C91=D91,0,((E91-D91)-(C91-E91))/(C91-D91))</f>
        <v>-0.85560675883256576</v>
      </c>
      <c r="Q91">
        <f t="shared" ref="Q91" si="431">F91*P91</f>
        <v>-213999.84491551472</v>
      </c>
      <c r="R91">
        <f t="shared" ref="R91" si="432">R92+Q91</f>
        <v>2752037.6901866975</v>
      </c>
      <c r="S91">
        <f t="shared" ref="S91" si="433">R91/100000</f>
        <v>27.520376901866975</v>
      </c>
      <c r="T91">
        <f t="shared" ref="T91" si="434">S91/1000</f>
        <v>2.7520376901866976E-2</v>
      </c>
    </row>
    <row r="92" spans="1:20" x14ac:dyDescent="0.25">
      <c r="A92" s="5">
        <v>44501</v>
      </c>
      <c r="B92">
        <v>87.81</v>
      </c>
      <c r="C92">
        <v>89.86</v>
      </c>
      <c r="D92">
        <v>81.62</v>
      </c>
      <c r="E92">
        <v>86.82</v>
      </c>
      <c r="F92">
        <v>427046.40000000002</v>
      </c>
      <c r="G92">
        <v>86.82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0.26213592233009514</v>
      </c>
      <c r="Q92">
        <f t="shared" ref="Q92" si="436">F92*P92</f>
        <v>111944.20194174675</v>
      </c>
      <c r="R92">
        <f t="shared" ref="R92" si="437">R93+Q92</f>
        <v>2966037.5351022123</v>
      </c>
      <c r="S92">
        <f t="shared" ref="S92" si="438">R92/100000</f>
        <v>29.660375351022122</v>
      </c>
      <c r="T92">
        <f t="shared" ref="T92" si="439">S92/1000</f>
        <v>2.966037535102212E-2</v>
      </c>
    </row>
    <row r="93" spans="1:20" x14ac:dyDescent="0.25">
      <c r="A93" s="5">
        <v>44500</v>
      </c>
      <c r="B93">
        <v>78.06</v>
      </c>
      <c r="C93">
        <v>128.80000000000001</v>
      </c>
      <c r="D93">
        <v>77.64</v>
      </c>
      <c r="E93">
        <v>87.81</v>
      </c>
      <c r="F93">
        <v>2469553.8846399998</v>
      </c>
      <c r="G93">
        <v>87.81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-0.60242376856919466</v>
      </c>
      <c r="Q93">
        <f t="shared" ref="Q93" si="441">F93*P93</f>
        <v>-1487717.957869523</v>
      </c>
      <c r="R93">
        <f t="shared" ref="R93" si="442">R94+Q93</f>
        <v>2854093.3331604656</v>
      </c>
      <c r="S93">
        <f t="shared" ref="S93" si="443">R93/100000</f>
        <v>28.540933331604656</v>
      </c>
      <c r="T93">
        <f t="shared" ref="T93" si="444">S93/1000</f>
        <v>2.8540933331604654E-2</v>
      </c>
    </row>
    <row r="94" spans="1:20" x14ac:dyDescent="0.25">
      <c r="A94" s="5">
        <v>44499</v>
      </c>
      <c r="B94">
        <v>78.61</v>
      </c>
      <c r="C94">
        <v>78.83</v>
      </c>
      <c r="D94">
        <v>74.33</v>
      </c>
      <c r="E94">
        <v>78.06</v>
      </c>
      <c r="F94">
        <v>138696.09</v>
      </c>
      <c r="G94">
        <v>78.06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0.65777777777777957</v>
      </c>
      <c r="Q94">
        <f t="shared" ref="Q94" si="446">F94*P94</f>
        <v>91231.205866666918</v>
      </c>
      <c r="R94">
        <f t="shared" ref="R94" si="447">R95+Q94</f>
        <v>4341811.2910299888</v>
      </c>
      <c r="S94">
        <f t="shared" ref="S94" si="448">R94/100000</f>
        <v>43.41811291029989</v>
      </c>
      <c r="T94">
        <f t="shared" ref="T94" si="449">S94/1000</f>
        <v>4.3418112910299893E-2</v>
      </c>
    </row>
    <row r="95" spans="1:20" x14ac:dyDescent="0.25">
      <c r="A95" s="5">
        <v>44498</v>
      </c>
      <c r="B95">
        <v>76.099999999999994</v>
      </c>
      <c r="C95">
        <v>79.53</v>
      </c>
      <c r="D95">
        <v>75.06</v>
      </c>
      <c r="E95">
        <v>78.52</v>
      </c>
      <c r="F95">
        <v>121059.35</v>
      </c>
      <c r="G95">
        <v>78.52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0.54809843400447189</v>
      </c>
      <c r="Q95">
        <f t="shared" ref="Q95" si="451">F95*P95</f>
        <v>66352.440156599274</v>
      </c>
      <c r="R95">
        <f t="shared" ref="R95" si="452">R96+Q95</f>
        <v>4250580.0851633223</v>
      </c>
      <c r="S95">
        <f t="shared" ref="S95" si="453">R95/100000</f>
        <v>42.505800851633225</v>
      </c>
      <c r="T95">
        <f t="shared" ref="T95" si="454">S95/1000</f>
        <v>4.2505800851633226E-2</v>
      </c>
    </row>
    <row r="96" spans="1:20" x14ac:dyDescent="0.25">
      <c r="A96" s="5">
        <v>44497</v>
      </c>
      <c r="B96">
        <v>74.16</v>
      </c>
      <c r="C96">
        <v>77.09</v>
      </c>
      <c r="D96">
        <v>71.87</v>
      </c>
      <c r="E96">
        <v>75.95</v>
      </c>
      <c r="F96">
        <v>178347.73</v>
      </c>
      <c r="G96">
        <v>75.95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0.56321839080459735</v>
      </c>
      <c r="Q96">
        <f t="shared" ref="Q96" si="456">F96*P96</f>
        <v>100448.72149425282</v>
      </c>
      <c r="R96">
        <f t="shared" ref="R96" si="457">R97+Q96</f>
        <v>4184227.6450067232</v>
      </c>
      <c r="S96">
        <f t="shared" ref="S96" si="458">R96/100000</f>
        <v>41.842276450067232</v>
      </c>
      <c r="T96">
        <f t="shared" ref="T96" si="459">S96/1000</f>
        <v>4.1842276450067231E-2</v>
      </c>
    </row>
    <row r="97" spans="1:20" x14ac:dyDescent="0.25">
      <c r="A97" s="5">
        <v>44496</v>
      </c>
      <c r="B97">
        <v>85.18</v>
      </c>
      <c r="C97">
        <v>86.35</v>
      </c>
      <c r="D97">
        <v>69.5</v>
      </c>
      <c r="E97">
        <v>74.12</v>
      </c>
      <c r="F97">
        <v>266895.48</v>
      </c>
      <c r="G97">
        <v>74.12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-0.4516320474777441</v>
      </c>
      <c r="Q97">
        <f t="shared" ref="Q97" si="461">F97*P97</f>
        <v>-120538.55209495529</v>
      </c>
      <c r="R97">
        <f t="shared" ref="R97" si="462">R98+Q97</f>
        <v>4083778.9235124704</v>
      </c>
      <c r="S97">
        <f t="shared" ref="S97" si="463">R97/100000</f>
        <v>40.837789235124703</v>
      </c>
      <c r="T97">
        <f t="shared" ref="T97" si="464">S97/1000</f>
        <v>4.0837789235124704E-2</v>
      </c>
    </row>
    <row r="98" spans="1:20" x14ac:dyDescent="0.25">
      <c r="A98" s="5">
        <v>44495</v>
      </c>
      <c r="B98">
        <v>89.53</v>
      </c>
      <c r="C98">
        <v>89.59</v>
      </c>
      <c r="D98">
        <v>83.46</v>
      </c>
      <c r="E98">
        <v>85.22</v>
      </c>
      <c r="F98">
        <v>158053.43</v>
      </c>
      <c r="G98">
        <v>85.22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-0.42577487765089644</v>
      </c>
      <c r="Q98">
        <f t="shared" ref="Q98" si="466">F98*P98</f>
        <v>-67295.17982055452</v>
      </c>
      <c r="R98">
        <f t="shared" ref="R98" si="467">R99+Q98</f>
        <v>4204317.4756074259</v>
      </c>
      <c r="S98">
        <f t="shared" ref="S98" si="468">R98/100000</f>
        <v>42.043174756074258</v>
      </c>
      <c r="T98">
        <f t="shared" ref="T98" si="469">S98/1000</f>
        <v>4.2043174756074261E-2</v>
      </c>
    </row>
    <row r="99" spans="1:20" x14ac:dyDescent="0.25">
      <c r="A99" s="5">
        <v>44494</v>
      </c>
      <c r="B99">
        <v>91.19</v>
      </c>
      <c r="C99">
        <v>93.43</v>
      </c>
      <c r="D99">
        <v>88.68</v>
      </c>
      <c r="E99">
        <v>89.53</v>
      </c>
      <c r="F99">
        <v>115213.78</v>
      </c>
      <c r="G99">
        <v>89.53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-0.64210526315789718</v>
      </c>
      <c r="Q99">
        <f t="shared" ref="Q99" si="471">F99*P99</f>
        <v>-73979.374526316067</v>
      </c>
      <c r="R99">
        <f t="shared" ref="R99" si="472">R100+Q99</f>
        <v>4271612.6554279802</v>
      </c>
      <c r="S99">
        <f t="shared" ref="S99" si="473">R99/100000</f>
        <v>42.716126554279803</v>
      </c>
      <c r="T99">
        <f t="shared" ref="T99" si="474">S99/1000</f>
        <v>4.2716126554279803E-2</v>
      </c>
    </row>
    <row r="100" spans="1:20" x14ac:dyDescent="0.25">
      <c r="A100" s="5">
        <v>44493</v>
      </c>
      <c r="B100">
        <v>89.08</v>
      </c>
      <c r="C100">
        <v>94.79</v>
      </c>
      <c r="D100">
        <v>88.05</v>
      </c>
      <c r="E100">
        <v>91.21</v>
      </c>
      <c r="F100">
        <v>164790.9</v>
      </c>
      <c r="G100">
        <v>91.21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-6.2314540059349458E-2</v>
      </c>
      <c r="Q100">
        <f t="shared" ref="Q100" si="476">F100*P100</f>
        <v>-10268.869139466251</v>
      </c>
      <c r="R100">
        <f t="shared" ref="R100" si="477">R101+Q100</f>
        <v>4345592.0299542965</v>
      </c>
      <c r="S100">
        <f t="shared" ref="S100" si="478">R100/100000</f>
        <v>43.455920299542967</v>
      </c>
      <c r="T100">
        <f t="shared" ref="T100" si="479">S100/1000</f>
        <v>4.3455920299542969E-2</v>
      </c>
    </row>
    <row r="101" spans="1:20" x14ac:dyDescent="0.25">
      <c r="A101" s="5">
        <v>44492</v>
      </c>
      <c r="B101">
        <v>87.5</v>
      </c>
      <c r="C101">
        <v>91.79</v>
      </c>
      <c r="D101">
        <v>86.42</v>
      </c>
      <c r="E101">
        <v>89.07</v>
      </c>
      <c r="F101">
        <v>181998.1</v>
      </c>
      <c r="G101">
        <v>89.07</v>
      </c>
      <c r="L101" t="s">
        <v>8</v>
      </c>
      <c r="M101" t="s">
        <v>8</v>
      </c>
      <c r="N101" t="s">
        <v>8</v>
      </c>
      <c r="P101">
        <f t="shared" ref="P101" si="480">IF(C101=D101,0,((E101-D101)-(C101-E101))/(C101-D101))</f>
        <v>-1.303538175046956E-2</v>
      </c>
      <c r="Q101">
        <f t="shared" ref="Q101" si="481">F101*P101</f>
        <v>-2372.4147113601343</v>
      </c>
      <c r="R101">
        <f t="shared" ref="R101" si="482">R102+Q101</f>
        <v>4355860.899093763</v>
      </c>
      <c r="S101">
        <f t="shared" ref="S101" si="483">R101/100000</f>
        <v>43.558608990937628</v>
      </c>
      <c r="T101">
        <f t="shared" ref="T101" si="484">S101/1000</f>
        <v>4.3558608990937629E-2</v>
      </c>
    </row>
    <row r="102" spans="1:20" x14ac:dyDescent="0.25">
      <c r="A102" s="5">
        <v>44491</v>
      </c>
      <c r="B102">
        <v>86.37</v>
      </c>
      <c r="C102">
        <v>88.88</v>
      </c>
      <c r="D102">
        <v>84.4</v>
      </c>
      <c r="E102">
        <v>87.53</v>
      </c>
      <c r="F102">
        <v>147163.41</v>
      </c>
      <c r="G102">
        <v>87.53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0.39732142857142971</v>
      </c>
      <c r="Q102">
        <f t="shared" ref="Q102" si="486">F102*P102</f>
        <v>58471.176294643024</v>
      </c>
      <c r="R102">
        <f t="shared" ref="R102" si="487">R103+Q102</f>
        <v>4358233.3138051229</v>
      </c>
      <c r="S102">
        <f t="shared" ref="S102" si="488">R102/100000</f>
        <v>43.582333138051226</v>
      </c>
      <c r="T102">
        <f t="shared" ref="T102" si="489">S102/1000</f>
        <v>4.3582333138051224E-2</v>
      </c>
    </row>
    <row r="103" spans="1:20" x14ac:dyDescent="0.25">
      <c r="A103" s="5">
        <v>44490</v>
      </c>
      <c r="B103">
        <v>82.94</v>
      </c>
      <c r="C103">
        <v>87.06</v>
      </c>
      <c r="D103">
        <v>80.5</v>
      </c>
      <c r="E103">
        <v>86.38</v>
      </c>
      <c r="F103">
        <v>226496.78</v>
      </c>
      <c r="G103">
        <v>86.38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0.79268292682926633</v>
      </c>
      <c r="Q103">
        <f t="shared" ref="Q103" si="491">F103*P103</f>
        <v>179540.13048780445</v>
      </c>
      <c r="R103">
        <f t="shared" ref="R103" si="492">R104+Q103</f>
        <v>4299762.1375104794</v>
      </c>
      <c r="S103">
        <f t="shared" ref="S103" si="493">R103/100000</f>
        <v>42.997621375104792</v>
      </c>
      <c r="T103">
        <f t="shared" ref="T103" si="494">S103/1000</f>
        <v>4.2997621375104794E-2</v>
      </c>
    </row>
    <row r="104" spans="1:20" x14ac:dyDescent="0.25">
      <c r="A104" s="5">
        <v>44489</v>
      </c>
      <c r="B104">
        <v>77.81</v>
      </c>
      <c r="C104">
        <v>83.8</v>
      </c>
      <c r="D104">
        <v>77.510000000000005</v>
      </c>
      <c r="E104">
        <v>82.92</v>
      </c>
      <c r="F104">
        <v>168784.16</v>
      </c>
      <c r="G104">
        <v>82.92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0.7201907790143095</v>
      </c>
      <c r="Q104">
        <f t="shared" ref="Q104" si="496">F104*P104</f>
        <v>121556.79567567586</v>
      </c>
      <c r="R104">
        <f t="shared" ref="R104" si="497">R105+Q104</f>
        <v>4120222.0070226751</v>
      </c>
      <c r="S104">
        <f t="shared" ref="S104" si="498">R104/100000</f>
        <v>41.202220070226751</v>
      </c>
      <c r="T104">
        <f t="shared" ref="T104" si="499">S104/1000</f>
        <v>4.1202220070226753E-2</v>
      </c>
    </row>
    <row r="105" spans="1:20" x14ac:dyDescent="0.25">
      <c r="A105" s="5">
        <v>44488</v>
      </c>
      <c r="B105">
        <v>78.819999999999993</v>
      </c>
      <c r="C105">
        <v>84</v>
      </c>
      <c r="D105">
        <v>75.98</v>
      </c>
      <c r="E105">
        <v>77.819999999999993</v>
      </c>
      <c r="F105">
        <v>212864.66</v>
      </c>
      <c r="G105">
        <v>77.819999999999993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-0.54114713216957855</v>
      </c>
      <c r="Q105">
        <f t="shared" ref="Q105" si="501">F105*P105</f>
        <v>-115191.1002992524</v>
      </c>
      <c r="R105">
        <f t="shared" ref="R105" si="502">R106+Q105</f>
        <v>3998665.2113469993</v>
      </c>
      <c r="S105">
        <f t="shared" ref="S105" si="503">R105/100000</f>
        <v>39.986652113469994</v>
      </c>
      <c r="T105">
        <f t="shared" ref="T105" si="504">S105/1000</f>
        <v>3.9986652113469995E-2</v>
      </c>
    </row>
    <row r="106" spans="1:20" x14ac:dyDescent="0.25">
      <c r="A106" s="5">
        <v>44487</v>
      </c>
      <c r="B106">
        <v>79.11</v>
      </c>
      <c r="C106">
        <v>82.59</v>
      </c>
      <c r="D106">
        <v>75.88</v>
      </c>
      <c r="E106">
        <v>78.89</v>
      </c>
      <c r="F106">
        <v>220896.44</v>
      </c>
      <c r="G106">
        <v>78.89</v>
      </c>
      <c r="L106" t="s">
        <v>8</v>
      </c>
      <c r="M106" t="s">
        <v>8</v>
      </c>
      <c r="N106" t="s">
        <v>7</v>
      </c>
      <c r="P106">
        <f t="shared" ref="P106" si="505">IF(C106=D106,0,((E106-D106)-(C106-E106))/(C106-D106))</f>
        <v>-0.10283159463487286</v>
      </c>
      <c r="Q106">
        <f t="shared" ref="Q106" si="506">F106*P106</f>
        <v>-22715.133174366514</v>
      </c>
      <c r="R106">
        <f t="shared" ref="R106" si="507">R107+Q106</f>
        <v>4113856.3116462515</v>
      </c>
      <c r="S106">
        <f t="shared" ref="S106" si="508">R106/100000</f>
        <v>41.138563116462514</v>
      </c>
      <c r="T106">
        <f t="shared" ref="T106" si="509">S106/1000</f>
        <v>4.1138563116462516E-2</v>
      </c>
    </row>
    <row r="107" spans="1:20" x14ac:dyDescent="0.25">
      <c r="A107" s="5">
        <v>44486</v>
      </c>
      <c r="B107">
        <v>78.75</v>
      </c>
      <c r="C107">
        <v>79.3</v>
      </c>
      <c r="D107">
        <v>73.05</v>
      </c>
      <c r="E107">
        <v>79.12</v>
      </c>
      <c r="F107">
        <v>104797.19</v>
      </c>
      <c r="G107">
        <v>79.12</v>
      </c>
      <c r="L107" t="s">
        <v>7</v>
      </c>
      <c r="M107" t="s">
        <v>8</v>
      </c>
      <c r="N107" t="s">
        <v>7</v>
      </c>
      <c r="P107">
        <f t="shared" ref="P107" si="510">IF(C107=D107,0,((E107-D107)-(C107-E107))/(C107-D107))</f>
        <v>0.94240000000000235</v>
      </c>
      <c r="Q107">
        <f t="shared" ref="Q107" si="511">F107*P107</f>
        <v>98760.871856000245</v>
      </c>
      <c r="R107">
        <f t="shared" ref="R107" si="512">R108+Q107</f>
        <v>4136571.4448206178</v>
      </c>
      <c r="S107">
        <f t="shared" ref="S107" si="513">R107/100000</f>
        <v>41.365714448206177</v>
      </c>
      <c r="T107">
        <f t="shared" ref="T107" si="514">S107/1000</f>
        <v>4.1365714448206178E-2</v>
      </c>
    </row>
    <row r="108" spans="1:20" x14ac:dyDescent="0.25">
      <c r="A108" s="5">
        <v>44485</v>
      </c>
      <c r="B108">
        <v>78.790000000000006</v>
      </c>
      <c r="C108">
        <v>82.9</v>
      </c>
      <c r="D108">
        <v>78.069999999999993</v>
      </c>
      <c r="E108">
        <v>78.67</v>
      </c>
      <c r="F108">
        <v>107101.58</v>
      </c>
      <c r="G108">
        <v>78.67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-0.75155279503105299</v>
      </c>
      <c r="Q108">
        <f t="shared" ref="Q108" si="516">F108*P108</f>
        <v>-80492.491801241922</v>
      </c>
      <c r="R108">
        <f t="shared" ref="R108" si="517">R109+Q108</f>
        <v>4037810.5729646175</v>
      </c>
      <c r="S108">
        <f t="shared" ref="S108" si="518">R108/100000</f>
        <v>40.378105729646173</v>
      </c>
      <c r="T108">
        <f t="shared" ref="T108" si="519">S108/1000</f>
        <v>4.0378105729646174E-2</v>
      </c>
    </row>
    <row r="109" spans="1:20" x14ac:dyDescent="0.25">
      <c r="A109" s="5">
        <v>44484</v>
      </c>
      <c r="B109">
        <v>77.88</v>
      </c>
      <c r="C109">
        <v>79.84</v>
      </c>
      <c r="D109">
        <v>73.95</v>
      </c>
      <c r="E109">
        <v>78.760000000000005</v>
      </c>
      <c r="F109">
        <v>142059.79</v>
      </c>
      <c r="G109">
        <v>78.760000000000005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0.63327674023769165</v>
      </c>
      <c r="Q109">
        <f t="shared" ref="Q109" si="521">F109*P109</f>
        <v>89963.160730051037</v>
      </c>
      <c r="R109">
        <f t="shared" ref="R109" si="522">R110+Q109</f>
        <v>4118303.0647658594</v>
      </c>
      <c r="S109">
        <f t="shared" ref="S109" si="523">R109/100000</f>
        <v>41.183030647658597</v>
      </c>
      <c r="T109">
        <f t="shared" ref="T109" si="524">S109/1000</f>
        <v>4.1183030647658596E-2</v>
      </c>
    </row>
    <row r="110" spans="1:20" x14ac:dyDescent="0.25">
      <c r="A110" s="5">
        <v>44483</v>
      </c>
      <c r="B110">
        <v>73.290000000000006</v>
      </c>
      <c r="C110">
        <v>79.760000000000005</v>
      </c>
      <c r="D110">
        <v>72.430000000000007</v>
      </c>
      <c r="E110">
        <v>77.8</v>
      </c>
      <c r="F110">
        <v>191601.06</v>
      </c>
      <c r="G110">
        <v>77.8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0.46521145975443151</v>
      </c>
      <c r="Q110">
        <f t="shared" ref="Q110" si="526">F110*P110</f>
        <v>89135.008813096414</v>
      </c>
      <c r="R110">
        <f t="shared" ref="R110" si="527">R111+Q110</f>
        <v>4028339.9040358085</v>
      </c>
      <c r="S110">
        <f t="shared" ref="S110" si="528">R110/100000</f>
        <v>40.283399040358084</v>
      </c>
      <c r="T110">
        <f t="shared" ref="T110" si="529">S110/1000</f>
        <v>4.0283399040358082E-2</v>
      </c>
    </row>
    <row r="111" spans="1:20" x14ac:dyDescent="0.25">
      <c r="A111" s="5">
        <v>44482</v>
      </c>
      <c r="B111">
        <v>72.569999999999993</v>
      </c>
      <c r="C111">
        <v>73.48</v>
      </c>
      <c r="D111">
        <v>69.739999999999995</v>
      </c>
      <c r="E111">
        <v>73.22</v>
      </c>
      <c r="F111">
        <v>82613.25</v>
      </c>
      <c r="G111">
        <v>73.22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0.86096256684491734</v>
      </c>
      <c r="Q111">
        <f t="shared" ref="Q111" si="531">F111*P111</f>
        <v>71126.915775400863</v>
      </c>
      <c r="R111">
        <f t="shared" ref="R111" si="532">R112+Q111</f>
        <v>3939204.8952227123</v>
      </c>
      <c r="S111">
        <f t="shared" ref="S111" si="533">R111/100000</f>
        <v>39.392048952227121</v>
      </c>
      <c r="T111">
        <f t="shared" ref="T111" si="534">S111/1000</f>
        <v>3.9392048952227122E-2</v>
      </c>
    </row>
    <row r="112" spans="1:20" x14ac:dyDescent="0.25">
      <c r="A112" s="5">
        <v>44481</v>
      </c>
      <c r="B112">
        <v>74.61</v>
      </c>
      <c r="C112">
        <v>74.61</v>
      </c>
      <c r="D112">
        <v>69.010000000000005</v>
      </c>
      <c r="E112">
        <v>72.45</v>
      </c>
      <c r="F112">
        <v>118397.26</v>
      </c>
      <c r="G112">
        <v>72.45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0.22857142857142901</v>
      </c>
      <c r="Q112">
        <f t="shared" ref="Q112" si="536">F112*P112</f>
        <v>27062.230857142909</v>
      </c>
      <c r="R112">
        <f t="shared" ref="R112" si="537">R113+Q112</f>
        <v>3868077.9794473113</v>
      </c>
      <c r="S112">
        <f t="shared" ref="S112" si="538">R112/100000</f>
        <v>38.680779794473111</v>
      </c>
      <c r="T112">
        <f t="shared" ref="T112" si="539">S112/1000</f>
        <v>3.8680779794473111E-2</v>
      </c>
    </row>
    <row r="113" spans="1:20" x14ac:dyDescent="0.25">
      <c r="A113" s="5">
        <v>44480</v>
      </c>
      <c r="B113">
        <v>74.33</v>
      </c>
      <c r="C113">
        <v>78.05</v>
      </c>
      <c r="D113">
        <v>72.39</v>
      </c>
      <c r="E113">
        <v>74.72</v>
      </c>
      <c r="F113">
        <v>87184.87</v>
      </c>
      <c r="G113">
        <v>74.72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-0.1766784452296821</v>
      </c>
      <c r="Q113">
        <f t="shared" ref="Q113" si="541">F113*P113</f>
        <v>-15403.687279151953</v>
      </c>
      <c r="R113">
        <f t="shared" ref="R113" si="542">R114+Q113</f>
        <v>3841015.7485901685</v>
      </c>
      <c r="S113">
        <f t="shared" ref="S113" si="543">R113/100000</f>
        <v>38.410157485901685</v>
      </c>
      <c r="T113">
        <f t="shared" ref="T113" si="544">S113/1000</f>
        <v>3.8410157485901687E-2</v>
      </c>
    </row>
    <row r="114" spans="1:20" x14ac:dyDescent="0.25">
      <c r="A114" s="5">
        <v>44479</v>
      </c>
      <c r="B114">
        <v>80.150000000000006</v>
      </c>
      <c r="C114">
        <v>80.27</v>
      </c>
      <c r="D114">
        <v>73.790000000000006</v>
      </c>
      <c r="E114">
        <v>74.34</v>
      </c>
      <c r="F114">
        <v>75868.929999999993</v>
      </c>
      <c r="G114">
        <v>74.34</v>
      </c>
      <c r="L114" t="s">
        <v>7</v>
      </c>
      <c r="M114" t="s">
        <v>8</v>
      </c>
      <c r="N114" t="s">
        <v>7</v>
      </c>
      <c r="P114">
        <f t="shared" ref="P114" si="545">IF(C114=D114,0,((E114-D114)-(C114-E114))/(C114-D114))</f>
        <v>-0.83024691358024749</v>
      </c>
      <c r="Q114">
        <f t="shared" ref="Q114" si="546">F114*P114</f>
        <v>-62989.944969135839</v>
      </c>
      <c r="R114">
        <f t="shared" ref="R114" si="547">R115+Q114</f>
        <v>3856419.4358693203</v>
      </c>
      <c r="S114">
        <f t="shared" ref="S114" si="548">R114/100000</f>
        <v>38.5641943586932</v>
      </c>
      <c r="T114">
        <f t="shared" ref="T114" si="549">S114/1000</f>
        <v>3.8564194358693203E-2</v>
      </c>
    </row>
    <row r="115" spans="1:20" x14ac:dyDescent="0.25">
      <c r="A115" s="5">
        <v>44478</v>
      </c>
      <c r="B115">
        <v>78.17</v>
      </c>
      <c r="C115">
        <v>81.739999999999995</v>
      </c>
      <c r="D115">
        <v>77.19</v>
      </c>
      <c r="E115">
        <v>80.12</v>
      </c>
      <c r="F115">
        <v>111440.01</v>
      </c>
      <c r="G115">
        <v>80.12</v>
      </c>
      <c r="L115" t="s">
        <v>7</v>
      </c>
      <c r="M115" t="s">
        <v>8</v>
      </c>
      <c r="N115" t="s">
        <v>7</v>
      </c>
      <c r="P115">
        <f t="shared" ref="P115" si="550">IF(C115=D115,0,((E115-D115)-(C115-E115))/(C115-D115))</f>
        <v>0.28791208791209172</v>
      </c>
      <c r="Q115">
        <f t="shared" ref="Q115" si="551">F115*P115</f>
        <v>32084.925956044379</v>
      </c>
      <c r="R115">
        <f t="shared" ref="R115" si="552">R116+Q115</f>
        <v>3919409.3808384561</v>
      </c>
      <c r="S115">
        <f t="shared" ref="S115" si="553">R115/100000</f>
        <v>39.194093808384558</v>
      </c>
      <c r="T115">
        <f t="shared" ref="T115" si="554">S115/1000</f>
        <v>3.919409380838456E-2</v>
      </c>
    </row>
    <row r="116" spans="1:20" x14ac:dyDescent="0.25">
      <c r="A116" s="5">
        <v>44477</v>
      </c>
      <c r="B116">
        <v>78.64</v>
      </c>
      <c r="C116">
        <v>86.3</v>
      </c>
      <c r="D116">
        <v>77.5</v>
      </c>
      <c r="E116">
        <v>78.040000000000006</v>
      </c>
      <c r="F116">
        <v>208349.56</v>
      </c>
      <c r="G116">
        <v>78.040000000000006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-0.87727272727272576</v>
      </c>
      <c r="Q116">
        <f t="shared" ref="Q116" si="556">F116*P116</f>
        <v>-182779.38672727242</v>
      </c>
      <c r="R116">
        <f t="shared" ref="R116" si="557">R117+Q116</f>
        <v>3887324.4548824118</v>
      </c>
      <c r="S116">
        <f t="shared" ref="S116" si="558">R116/100000</f>
        <v>38.873244548824118</v>
      </c>
      <c r="T116">
        <f t="shared" ref="T116" si="559">S116/1000</f>
        <v>3.8873244548824119E-2</v>
      </c>
    </row>
    <row r="117" spans="1:20" x14ac:dyDescent="0.25">
      <c r="A117" s="5">
        <v>44476</v>
      </c>
      <c r="B117">
        <v>79.010000000000005</v>
      </c>
      <c r="C117">
        <v>81.5</v>
      </c>
      <c r="D117">
        <v>75.319999999999993</v>
      </c>
      <c r="E117">
        <v>78.63</v>
      </c>
      <c r="F117">
        <v>166963.99</v>
      </c>
      <c r="G117">
        <v>78.63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7.1197411003235803E-2</v>
      </c>
      <c r="Q117">
        <f t="shared" ref="Q117" si="561">F117*P117</f>
        <v>11887.403818770152</v>
      </c>
      <c r="R117">
        <f t="shared" ref="R117" si="562">R118+Q117</f>
        <v>4070103.8416096843</v>
      </c>
      <c r="S117">
        <f t="shared" ref="S117" si="563">R117/100000</f>
        <v>40.701038416096843</v>
      </c>
      <c r="T117">
        <f t="shared" ref="T117" si="564">S117/1000</f>
        <v>4.0701038416096839E-2</v>
      </c>
    </row>
    <row r="118" spans="1:20" x14ac:dyDescent="0.25">
      <c r="A118" s="5">
        <v>44475</v>
      </c>
      <c r="B118">
        <v>78.11</v>
      </c>
      <c r="C118">
        <v>82.86</v>
      </c>
      <c r="D118">
        <v>71.03</v>
      </c>
      <c r="E118">
        <v>79.02</v>
      </c>
      <c r="F118">
        <v>245332.37</v>
      </c>
      <c r="G118">
        <v>79.02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0.35080304311073474</v>
      </c>
      <c r="Q118">
        <f t="shared" ref="Q118" si="566">F118*P118</f>
        <v>86063.341969568719</v>
      </c>
      <c r="R118">
        <f t="shared" ref="R118" si="567">R119+Q118</f>
        <v>4058216.437790914</v>
      </c>
      <c r="S118">
        <f t="shared" ref="S118" si="568">R118/100000</f>
        <v>40.582164377909137</v>
      </c>
      <c r="T118">
        <f t="shared" ref="T118" si="569">S118/1000</f>
        <v>4.0582164377909138E-2</v>
      </c>
    </row>
    <row r="119" spans="1:20" x14ac:dyDescent="0.25">
      <c r="A119" s="5">
        <v>44474</v>
      </c>
      <c r="B119">
        <v>75.34</v>
      </c>
      <c r="C119">
        <v>78.77</v>
      </c>
      <c r="D119">
        <v>74.2</v>
      </c>
      <c r="E119">
        <v>78.11</v>
      </c>
      <c r="F119">
        <v>115448.11</v>
      </c>
      <c r="G119">
        <v>78.11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0.71115973741794414</v>
      </c>
      <c r="Q119">
        <f t="shared" ref="Q119" si="571">F119*P119</f>
        <v>82102.047592997929</v>
      </c>
      <c r="R119">
        <f t="shared" ref="R119" si="572">R120+Q119</f>
        <v>3972153.0958213452</v>
      </c>
      <c r="S119">
        <f t="shared" ref="S119" si="573">R119/100000</f>
        <v>39.721530958213449</v>
      </c>
      <c r="T119">
        <f t="shared" ref="T119" si="574">S119/1000</f>
        <v>3.9721530958213451E-2</v>
      </c>
    </row>
    <row r="120" spans="1:20" x14ac:dyDescent="0.25">
      <c r="A120" s="5">
        <v>44473</v>
      </c>
      <c r="B120">
        <v>77.7</v>
      </c>
      <c r="C120">
        <v>77.849999999999994</v>
      </c>
      <c r="D120">
        <v>71.48</v>
      </c>
      <c r="E120">
        <v>75.180000000000007</v>
      </c>
      <c r="F120">
        <v>171733.3</v>
      </c>
      <c r="G120">
        <v>75.180000000000007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0.16169544740973577</v>
      </c>
      <c r="Q120">
        <f t="shared" ref="Q120" si="576">F120*P120</f>
        <v>27768.492778650372</v>
      </c>
      <c r="R120">
        <f t="shared" ref="R120" si="577">R121+Q120</f>
        <v>3890051.0482283472</v>
      </c>
      <c r="S120">
        <f t="shared" ref="S120" si="578">R120/100000</f>
        <v>38.900510482283472</v>
      </c>
      <c r="T120">
        <f t="shared" ref="T120" si="579">S120/1000</f>
        <v>3.8900510482283469E-2</v>
      </c>
    </row>
    <row r="121" spans="1:20" x14ac:dyDescent="0.25">
      <c r="A121" s="5">
        <v>44472</v>
      </c>
      <c r="B121">
        <v>75.12</v>
      </c>
      <c r="C121">
        <v>80.47</v>
      </c>
      <c r="D121">
        <v>73.400000000000006</v>
      </c>
      <c r="E121">
        <v>77.53</v>
      </c>
      <c r="F121">
        <v>131001.82</v>
      </c>
      <c r="G121">
        <v>77.53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0.16831683168316816</v>
      </c>
      <c r="Q121">
        <f t="shared" ref="Q121" si="581">F121*P121</f>
        <v>22049.811287128694</v>
      </c>
      <c r="R121">
        <f t="shared" ref="R121" si="582">R122+Q121</f>
        <v>3862282.5554496967</v>
      </c>
      <c r="S121">
        <f t="shared" ref="S121" si="583">R121/100000</f>
        <v>38.62282555449697</v>
      </c>
      <c r="T121">
        <f t="shared" ref="T121" si="584">S121/1000</f>
        <v>3.8622825554496969E-2</v>
      </c>
    </row>
    <row r="122" spans="1:20" x14ac:dyDescent="0.25">
      <c r="A122" s="5">
        <v>44471</v>
      </c>
      <c r="B122">
        <v>75.41</v>
      </c>
      <c r="C122">
        <v>78.19</v>
      </c>
      <c r="D122">
        <v>72.97</v>
      </c>
      <c r="E122">
        <v>75.17</v>
      </c>
      <c r="F122">
        <v>102408.4</v>
      </c>
      <c r="G122">
        <v>75.17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-0.1570881226053627</v>
      </c>
      <c r="Q122">
        <f t="shared" ref="Q122" si="586">F122*P122</f>
        <v>-16087.143295019025</v>
      </c>
      <c r="R122">
        <f t="shared" ref="R122" si="587">R123+Q122</f>
        <v>3840232.7441625679</v>
      </c>
      <c r="S122">
        <f t="shared" ref="S122" si="588">R122/100000</f>
        <v>38.40232744162568</v>
      </c>
      <c r="T122">
        <f t="shared" ref="T122" si="589">S122/1000</f>
        <v>3.840232744162568E-2</v>
      </c>
    </row>
    <row r="123" spans="1:20" x14ac:dyDescent="0.25">
      <c r="A123" s="5">
        <v>44470</v>
      </c>
      <c r="B123">
        <v>69.16</v>
      </c>
      <c r="C123">
        <v>75.48</v>
      </c>
      <c r="D123">
        <v>68.14</v>
      </c>
      <c r="E123">
        <v>75.41</v>
      </c>
      <c r="F123">
        <v>286051.46999999997</v>
      </c>
      <c r="G123">
        <v>75.41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0.98092643051770911</v>
      </c>
      <c r="Q123">
        <f t="shared" ref="Q123" si="591">F123*P123</f>
        <v>280595.44741144351</v>
      </c>
      <c r="R123">
        <f t="shared" ref="R123" si="592">R124+Q123</f>
        <v>3856319.8874575868</v>
      </c>
      <c r="S123">
        <f t="shared" ref="S123" si="593">R123/100000</f>
        <v>38.563198874575868</v>
      </c>
      <c r="T123">
        <f t="shared" ref="T123" si="594">S123/1000</f>
        <v>3.856319887457587E-2</v>
      </c>
    </row>
    <row r="124" spans="1:20" x14ac:dyDescent="0.25">
      <c r="A124" s="5">
        <v>44469</v>
      </c>
      <c r="B124">
        <v>65.03</v>
      </c>
      <c r="C124">
        <v>69.88</v>
      </c>
      <c r="D124">
        <v>64.81</v>
      </c>
      <c r="E124">
        <v>69.17</v>
      </c>
      <c r="F124">
        <v>151554.60999999999</v>
      </c>
      <c r="G124">
        <v>69.17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0.71992110453649127</v>
      </c>
      <c r="Q124">
        <f t="shared" ref="Q124" si="596">F124*P124</f>
        <v>109107.36222879715</v>
      </c>
      <c r="R124">
        <f t="shared" ref="R124" si="597">R125+Q124</f>
        <v>3575724.4400461433</v>
      </c>
      <c r="S124">
        <f t="shared" ref="S124" si="598">R124/100000</f>
        <v>35.757244400461431</v>
      </c>
      <c r="T124">
        <f t="shared" ref="T124" si="599">S124/1000</f>
        <v>3.5757244400461428E-2</v>
      </c>
    </row>
    <row r="125" spans="1:20" x14ac:dyDescent="0.25">
      <c r="A125" s="5">
        <v>44468</v>
      </c>
      <c r="B125">
        <v>63.12</v>
      </c>
      <c r="C125">
        <v>67.5</v>
      </c>
      <c r="D125">
        <v>62.91</v>
      </c>
      <c r="E125">
        <v>65.069999999999993</v>
      </c>
      <c r="F125">
        <v>104263.33</v>
      </c>
      <c r="G125">
        <v>65.069999999999993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-5.8823529411766891E-2</v>
      </c>
      <c r="Q125">
        <f t="shared" ref="Q125" si="601">F125*P125</f>
        <v>-6133.1370588237569</v>
      </c>
      <c r="R125">
        <f t="shared" ref="R125" si="602">R126+Q125</f>
        <v>3466617.077817346</v>
      </c>
      <c r="S125">
        <f t="shared" ref="S125" si="603">R125/100000</f>
        <v>34.666170778173459</v>
      </c>
      <c r="T125">
        <f t="shared" ref="T125" si="604">S125/1000</f>
        <v>3.4666170778173459E-2</v>
      </c>
    </row>
    <row r="126" spans="1:20" x14ac:dyDescent="0.25">
      <c r="A126" s="5">
        <v>44467</v>
      </c>
      <c r="B126">
        <v>65.33</v>
      </c>
      <c r="C126">
        <v>67.61</v>
      </c>
      <c r="D126">
        <v>62.44</v>
      </c>
      <c r="E126">
        <v>63.15</v>
      </c>
      <c r="F126">
        <v>193582.53</v>
      </c>
      <c r="G126">
        <v>63.15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-0.72533849129593786</v>
      </c>
      <c r="Q126">
        <f t="shared" ref="Q126" si="606">F126*P126</f>
        <v>-140412.86025145062</v>
      </c>
      <c r="R126">
        <f t="shared" ref="R126" si="607">R127+Q126</f>
        <v>3472750.2148761698</v>
      </c>
      <c r="S126">
        <f t="shared" ref="S126" si="608">R126/100000</f>
        <v>34.727502148761701</v>
      </c>
      <c r="T126">
        <f t="shared" ref="T126" si="609">S126/1000</f>
        <v>3.4727502148761698E-2</v>
      </c>
    </row>
    <row r="127" spans="1:20" x14ac:dyDescent="0.25">
      <c r="A127" s="5">
        <v>44466</v>
      </c>
      <c r="B127">
        <v>65.94</v>
      </c>
      <c r="C127">
        <v>70.69</v>
      </c>
      <c r="D127">
        <v>64.599999999999994</v>
      </c>
      <c r="E127">
        <v>65.34</v>
      </c>
      <c r="F127">
        <v>158853.15</v>
      </c>
      <c r="G127">
        <v>65.34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-0.75697865353037486</v>
      </c>
      <c r="Q127">
        <f t="shared" ref="Q127" si="611">F127*P127</f>
        <v>-120248.44359605866</v>
      </c>
      <c r="R127">
        <f t="shared" ref="R127" si="612">R128+Q127</f>
        <v>3613163.0751276202</v>
      </c>
      <c r="S127">
        <f t="shared" ref="S127" si="613">R127/100000</f>
        <v>36.131630751276205</v>
      </c>
      <c r="T127">
        <f t="shared" ref="T127" si="614">S127/1000</f>
        <v>3.6131630751276206E-2</v>
      </c>
    </row>
    <row r="128" spans="1:20" x14ac:dyDescent="0.25">
      <c r="A128" s="5">
        <v>44465</v>
      </c>
      <c r="B128">
        <v>67.58</v>
      </c>
      <c r="C128">
        <v>70</v>
      </c>
      <c r="D128">
        <v>60.77</v>
      </c>
      <c r="E128">
        <v>66.05</v>
      </c>
      <c r="F128">
        <v>323280.17141000001</v>
      </c>
      <c r="G128">
        <v>66.05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0.14409534127843895</v>
      </c>
      <c r="Q128">
        <f t="shared" ref="Q128" si="616">F128*P128</f>
        <v>46583.166627876199</v>
      </c>
      <c r="R128">
        <f t="shared" ref="R128" si="617">R129+Q128</f>
        <v>3733411.5187236788</v>
      </c>
      <c r="S128">
        <f t="shared" ref="S128" si="618">R128/100000</f>
        <v>37.33411518723679</v>
      </c>
      <c r="T128">
        <f t="shared" ref="T128" si="619">S128/1000</f>
        <v>3.733411518723679E-2</v>
      </c>
    </row>
    <row r="129" spans="1:20" x14ac:dyDescent="0.25">
      <c r="A129" s="5">
        <v>44464</v>
      </c>
      <c r="B129">
        <v>67.94</v>
      </c>
      <c r="C129">
        <v>69.7</v>
      </c>
      <c r="D129">
        <v>64.89</v>
      </c>
      <c r="E129">
        <v>67.510000000000005</v>
      </c>
      <c r="F129">
        <v>133775.1</v>
      </c>
      <c r="G129">
        <v>67.510000000000005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8.9397089397090776E-2</v>
      </c>
      <c r="Q129">
        <f t="shared" ref="Q129" si="621">F129*P129</f>
        <v>11959.10457380476</v>
      </c>
      <c r="R129">
        <f t="shared" ref="R129" si="622">R130+Q129</f>
        <v>3686828.3520958028</v>
      </c>
      <c r="S129">
        <f t="shared" ref="S129" si="623">R129/100000</f>
        <v>36.86828352095803</v>
      </c>
      <c r="T129">
        <f t="shared" ref="T129" si="624">S129/1000</f>
        <v>3.6868283520958028E-2</v>
      </c>
    </row>
    <row r="130" spans="1:20" x14ac:dyDescent="0.25">
      <c r="A130" s="5">
        <v>44463</v>
      </c>
      <c r="B130">
        <v>78.209999999999994</v>
      </c>
      <c r="C130">
        <v>78.709999999999994</v>
      </c>
      <c r="D130">
        <v>64.2</v>
      </c>
      <c r="E130">
        <v>67.88</v>
      </c>
      <c r="F130">
        <v>410366.89954000001</v>
      </c>
      <c r="G130">
        <v>67.88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-0.49276361130255064</v>
      </c>
      <c r="Q130">
        <f t="shared" ref="Q130" si="626">F130*P130</f>
        <v>-202213.87537636142</v>
      </c>
      <c r="R130">
        <f t="shared" ref="R130" si="627">R131+Q130</f>
        <v>3674869.2475219979</v>
      </c>
      <c r="S130">
        <f t="shared" ref="S130" si="628">R130/100000</f>
        <v>36.748692475219976</v>
      </c>
      <c r="T130">
        <f t="shared" ref="T130" si="629">S130/1000</f>
        <v>3.6748692475219974E-2</v>
      </c>
    </row>
    <row r="131" spans="1:20" x14ac:dyDescent="0.25">
      <c r="A131" s="5">
        <v>44462</v>
      </c>
      <c r="B131">
        <v>78.760000000000005</v>
      </c>
      <c r="C131">
        <v>79.489999999999995</v>
      </c>
      <c r="D131">
        <v>73.790000000000006</v>
      </c>
      <c r="E131">
        <v>78.28</v>
      </c>
      <c r="F131">
        <v>181415.69</v>
      </c>
      <c r="G131">
        <v>78.28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0.57543859649122941</v>
      </c>
      <c r="Q131">
        <f t="shared" ref="Q131" si="631">F131*P131</f>
        <v>104393.59003508797</v>
      </c>
      <c r="R131">
        <f t="shared" ref="R131" si="632">R132+Q131</f>
        <v>3877083.1228983593</v>
      </c>
      <c r="S131">
        <f t="shared" ref="S131" si="633">R131/100000</f>
        <v>38.770831228983596</v>
      </c>
      <c r="T131">
        <f t="shared" ref="T131" si="634">S131/1000</f>
        <v>3.8770831228983595E-2</v>
      </c>
    </row>
    <row r="132" spans="1:20" x14ac:dyDescent="0.25">
      <c r="A132" s="5">
        <v>44461</v>
      </c>
      <c r="B132">
        <v>68.55</v>
      </c>
      <c r="C132">
        <v>79.19</v>
      </c>
      <c r="D132">
        <v>67.09</v>
      </c>
      <c r="E132">
        <v>78.88</v>
      </c>
      <c r="F132">
        <v>155228.65</v>
      </c>
      <c r="G132">
        <v>78.88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0.94876033057851195</v>
      </c>
      <c r="Q132">
        <f t="shared" ref="Q132" si="636">F132*P132</f>
        <v>147274.78528925614</v>
      </c>
      <c r="R132">
        <f t="shared" ref="R132" si="637">R133+Q132</f>
        <v>3772689.5328632714</v>
      </c>
      <c r="S132">
        <f t="shared" ref="S132" si="638">R132/100000</f>
        <v>37.726895328632715</v>
      </c>
      <c r="T132">
        <f t="shared" ref="T132" si="639">S132/1000</f>
        <v>3.7726895328632715E-2</v>
      </c>
    </row>
    <row r="133" spans="1:20" x14ac:dyDescent="0.25">
      <c r="A133" s="5">
        <v>44460</v>
      </c>
      <c r="B133">
        <v>76.2</v>
      </c>
      <c r="C133">
        <v>79.11</v>
      </c>
      <c r="D133">
        <v>67.31</v>
      </c>
      <c r="E133">
        <v>68.540000000000006</v>
      </c>
      <c r="F133">
        <v>212805.95673999999</v>
      </c>
      <c r="G133">
        <v>68.540000000000006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-0.79152542372881285</v>
      </c>
      <c r="Q133">
        <f t="shared" ref="Q133" si="641">F133*P133</f>
        <v>-168441.3250806439</v>
      </c>
      <c r="R133">
        <f t="shared" ref="R133" si="642">R134+Q133</f>
        <v>3625414.7475740151</v>
      </c>
      <c r="S133">
        <f t="shared" ref="S133" si="643">R133/100000</f>
        <v>36.254147475740147</v>
      </c>
      <c r="T133">
        <f t="shared" ref="T133" si="644">S133/1000</f>
        <v>3.6254147475740149E-2</v>
      </c>
    </row>
    <row r="134" spans="1:20" x14ac:dyDescent="0.25">
      <c r="A134" s="5">
        <v>44459</v>
      </c>
      <c r="B134">
        <v>92.64</v>
      </c>
      <c r="C134">
        <v>92.84</v>
      </c>
      <c r="D134">
        <v>82.01</v>
      </c>
      <c r="E134">
        <v>83.41</v>
      </c>
      <c r="F134">
        <v>87083.62</v>
      </c>
      <c r="G134">
        <v>83.41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-0.74145891043398127</v>
      </c>
      <c r="Q134">
        <f t="shared" ref="Q134" si="646">F134*P134</f>
        <v>-64568.926001846856</v>
      </c>
      <c r="R134">
        <f t="shared" ref="R134" si="647">R135+Q134</f>
        <v>3793856.0726546589</v>
      </c>
      <c r="S134">
        <f t="shared" ref="S134" si="648">R134/100000</f>
        <v>37.938560726546591</v>
      </c>
      <c r="T134">
        <f t="shared" ref="T134" si="649">S134/1000</f>
        <v>3.793856072654659E-2</v>
      </c>
    </row>
    <row r="135" spans="1:20" x14ac:dyDescent="0.25">
      <c r="A135" s="5">
        <v>44458</v>
      </c>
      <c r="B135">
        <v>95.57</v>
      </c>
      <c r="C135">
        <v>95.83</v>
      </c>
      <c r="D135">
        <v>90.8</v>
      </c>
      <c r="E135">
        <v>92.74</v>
      </c>
      <c r="F135">
        <v>87708.67</v>
      </c>
      <c r="G135">
        <v>92.74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-0.22862823061630327</v>
      </c>
      <c r="Q135">
        <f t="shared" ref="Q135" si="651">F135*P135</f>
        <v>-20052.678031809239</v>
      </c>
      <c r="R135">
        <f t="shared" ref="R135" si="652">R136+Q135</f>
        <v>3858424.9986565057</v>
      </c>
      <c r="S135">
        <f t="shared" ref="S135" si="653">R135/100000</f>
        <v>38.584249986565055</v>
      </c>
      <c r="T135">
        <f t="shared" ref="T135" si="654">S135/1000</f>
        <v>3.8584249986565053E-2</v>
      </c>
    </row>
    <row r="136" spans="1:20" x14ac:dyDescent="0.25">
      <c r="A136" s="5">
        <v>44457</v>
      </c>
      <c r="B136">
        <v>93.94</v>
      </c>
      <c r="C136">
        <v>98.2</v>
      </c>
      <c r="D136">
        <v>92.45</v>
      </c>
      <c r="E136">
        <v>95.54</v>
      </c>
      <c r="F136">
        <v>108716.53</v>
      </c>
      <c r="G136">
        <v>95.54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7.4782608695653355E-2</v>
      </c>
      <c r="Q136">
        <f t="shared" ref="Q136" si="656">F136*P136</f>
        <v>8130.105721739259</v>
      </c>
      <c r="R136">
        <f t="shared" ref="R136" si="657">R137+Q136</f>
        <v>3878477.6766883149</v>
      </c>
      <c r="S136">
        <f t="shared" ref="S136" si="658">R136/100000</f>
        <v>38.784776766883148</v>
      </c>
      <c r="T136">
        <f t="shared" ref="T136" si="659">S136/1000</f>
        <v>3.8784776766883147E-2</v>
      </c>
    </row>
    <row r="137" spans="1:20" x14ac:dyDescent="0.25">
      <c r="A137" s="5">
        <v>44456</v>
      </c>
      <c r="B137">
        <v>102.71</v>
      </c>
      <c r="C137">
        <v>102.96</v>
      </c>
      <c r="D137">
        <v>92.81</v>
      </c>
      <c r="E137">
        <v>94</v>
      </c>
      <c r="F137">
        <v>281321.90999999997</v>
      </c>
      <c r="G137">
        <v>94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-0.76551724137931054</v>
      </c>
      <c r="Q137">
        <f t="shared" ref="Q137" si="661">F137*P137</f>
        <v>-215356.77248275865</v>
      </c>
      <c r="R137">
        <f t="shared" ref="R137" si="662">R138+Q137</f>
        <v>3870347.5709665758</v>
      </c>
      <c r="S137">
        <f t="shared" ref="S137" si="663">R137/100000</f>
        <v>38.70347570966576</v>
      </c>
      <c r="T137">
        <f t="shared" ref="T137" si="664">S137/1000</f>
        <v>3.8703475709665758E-2</v>
      </c>
    </row>
    <row r="138" spans="1:20" x14ac:dyDescent="0.25">
      <c r="A138" s="5">
        <v>44455</v>
      </c>
      <c r="B138">
        <v>108.51</v>
      </c>
      <c r="C138">
        <v>115</v>
      </c>
      <c r="D138">
        <v>98.1</v>
      </c>
      <c r="E138">
        <v>102.66</v>
      </c>
      <c r="F138">
        <v>793521.44</v>
      </c>
      <c r="G138">
        <v>102.66</v>
      </c>
      <c r="L138" t="s">
        <v>7</v>
      </c>
      <c r="M138" t="s">
        <v>7</v>
      </c>
      <c r="N138" t="s">
        <v>8</v>
      </c>
      <c r="P138">
        <f t="shared" ref="P138" si="665">IF(C138=D138,0,((E138-D138)-(C138-E138))/(C138-D138))</f>
        <v>-0.46035502958579871</v>
      </c>
      <c r="Q138">
        <f t="shared" ref="Q138" si="666">F138*P138</f>
        <v>-365301.58598816558</v>
      </c>
      <c r="R138">
        <f t="shared" ref="R138" si="667">R139+Q138</f>
        <v>4085704.3434493346</v>
      </c>
      <c r="S138">
        <f t="shared" ref="S138" si="668">R138/100000</f>
        <v>40.857043434493349</v>
      </c>
      <c r="T138">
        <f t="shared" ref="T138" si="669">S138/1000</f>
        <v>4.0857043434493347E-2</v>
      </c>
    </row>
    <row r="139" spans="1:20" x14ac:dyDescent="0.25">
      <c r="A139" s="5">
        <v>44454</v>
      </c>
      <c r="B139">
        <v>85.34</v>
      </c>
      <c r="C139">
        <v>120</v>
      </c>
      <c r="D139">
        <v>83.82</v>
      </c>
      <c r="E139">
        <v>108.5</v>
      </c>
      <c r="F139">
        <v>719990.30915999995</v>
      </c>
      <c r="G139">
        <v>108.5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0.3642896627971256</v>
      </c>
      <c r="Q139">
        <f t="shared" ref="Q139" si="671">F139*P139</f>
        <v>262285.02694109461</v>
      </c>
      <c r="R139">
        <f t="shared" ref="R139" si="672">R140+Q139</f>
        <v>4451005.9294375004</v>
      </c>
      <c r="S139">
        <f t="shared" ref="S139" si="673">R139/100000</f>
        <v>44.510059294375004</v>
      </c>
      <c r="T139">
        <f t="shared" ref="T139" si="674">S139/1000</f>
        <v>4.4510059294375001E-2</v>
      </c>
    </row>
    <row r="140" spans="1:20" x14ac:dyDescent="0.25">
      <c r="A140" s="5">
        <v>44453</v>
      </c>
      <c r="B140">
        <v>80.5</v>
      </c>
      <c r="C140">
        <v>85.52</v>
      </c>
      <c r="D140">
        <v>79.42</v>
      </c>
      <c r="E140">
        <v>85.42</v>
      </c>
      <c r="F140">
        <v>102133.57</v>
      </c>
      <c r="G140">
        <v>85.42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0.96721311475410021</v>
      </c>
      <c r="Q140">
        <f t="shared" ref="Q140" si="676">F140*P140</f>
        <v>98784.928360655933</v>
      </c>
      <c r="R140">
        <f t="shared" ref="R140" si="677">R141+Q140</f>
        <v>4188720.9024964059</v>
      </c>
      <c r="S140">
        <f t="shared" ref="S140" si="678">R140/100000</f>
        <v>41.887209024964058</v>
      </c>
      <c r="T140">
        <f t="shared" ref="T140" si="679">S140/1000</f>
        <v>4.188720902496406E-2</v>
      </c>
    </row>
    <row r="141" spans="1:20" x14ac:dyDescent="0.25">
      <c r="A141" s="5">
        <v>44452</v>
      </c>
      <c r="B141">
        <v>84.3</v>
      </c>
      <c r="C141">
        <v>85.44</v>
      </c>
      <c r="D141">
        <v>75</v>
      </c>
      <c r="E141">
        <v>80.5</v>
      </c>
      <c r="F141">
        <v>142914.92000000001</v>
      </c>
      <c r="G141">
        <v>80.5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5.363984674329525E-2</v>
      </c>
      <c r="Q141">
        <f t="shared" ref="Q141" si="681">F141*P141</f>
        <v>7665.9344061303018</v>
      </c>
      <c r="R141">
        <f t="shared" ref="R141" si="682">R142+Q141</f>
        <v>4089935.97413575</v>
      </c>
      <c r="S141">
        <f t="shared" ref="S141" si="683">R141/100000</f>
        <v>40.8993597413575</v>
      </c>
      <c r="T141">
        <f t="shared" ref="T141" si="684">S141/1000</f>
        <v>4.0899359741357499E-2</v>
      </c>
    </row>
    <row r="142" spans="1:20" x14ac:dyDescent="0.25">
      <c r="A142" s="5">
        <v>44451</v>
      </c>
      <c r="B142">
        <v>80.64</v>
      </c>
      <c r="C142">
        <v>85.65</v>
      </c>
      <c r="D142">
        <v>79.290000000000006</v>
      </c>
      <c r="E142">
        <v>84.4</v>
      </c>
      <c r="F142">
        <v>97442.67</v>
      </c>
      <c r="G142">
        <v>84.4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0.60691823899371067</v>
      </c>
      <c r="Q142">
        <f t="shared" ref="Q142" si="686">F142*P142</f>
        <v>59139.733679245277</v>
      </c>
      <c r="R142">
        <f t="shared" ref="R142" si="687">R143+Q142</f>
        <v>4082270.0397296199</v>
      </c>
      <c r="S142">
        <f t="shared" ref="S142" si="688">R142/100000</f>
        <v>40.822700397296195</v>
      </c>
      <c r="T142">
        <f t="shared" ref="T142" si="689">S142/1000</f>
        <v>4.0822700397296192E-2</v>
      </c>
    </row>
    <row r="143" spans="1:20" x14ac:dyDescent="0.25">
      <c r="A143" s="5">
        <v>44450</v>
      </c>
      <c r="B143">
        <v>79.23</v>
      </c>
      <c r="C143">
        <v>85</v>
      </c>
      <c r="D143">
        <v>77.78</v>
      </c>
      <c r="E143">
        <v>80.72</v>
      </c>
      <c r="F143">
        <v>115763.66</v>
      </c>
      <c r="G143">
        <v>80.72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-0.18559556786703651</v>
      </c>
      <c r="Q143">
        <f t="shared" ref="Q143" si="691">F143*P143</f>
        <v>-21485.222216066541</v>
      </c>
      <c r="R143">
        <f t="shared" ref="R143" si="692">R144+Q143</f>
        <v>4023130.3060503746</v>
      </c>
      <c r="S143">
        <f t="shared" ref="S143" si="693">R143/100000</f>
        <v>40.231303060503748</v>
      </c>
      <c r="T143">
        <f t="shared" ref="T143" si="694">S143/1000</f>
        <v>4.0231303060503751E-2</v>
      </c>
    </row>
    <row r="144" spans="1:20" x14ac:dyDescent="0.25">
      <c r="A144" s="5">
        <v>44449</v>
      </c>
      <c r="B144">
        <v>88.36</v>
      </c>
      <c r="C144">
        <v>88.83</v>
      </c>
      <c r="D144">
        <v>76.62</v>
      </c>
      <c r="E144">
        <v>79.05</v>
      </c>
      <c r="F144">
        <v>146899.51999999999</v>
      </c>
      <c r="G144">
        <v>79.05</v>
      </c>
      <c r="L144" t="s">
        <v>7</v>
      </c>
      <c r="M144" t="s">
        <v>8</v>
      </c>
      <c r="N144" t="s">
        <v>7</v>
      </c>
      <c r="P144">
        <f t="shared" ref="P144" si="695">IF(C144=D144,0,((E144-D144)-(C144-E144))/(C144-D144))</f>
        <v>-0.601965601965603</v>
      </c>
      <c r="Q144">
        <f t="shared" ref="Q144" si="696">F144*P144</f>
        <v>-88428.457985258137</v>
      </c>
      <c r="R144">
        <f t="shared" ref="R144" si="697">R145+Q144</f>
        <v>4044615.5282664411</v>
      </c>
      <c r="S144">
        <f t="shared" ref="S144" si="698">R144/100000</f>
        <v>40.446155282664414</v>
      </c>
      <c r="T144">
        <f t="shared" ref="T144" si="699">S144/1000</f>
        <v>4.0446155282664417E-2</v>
      </c>
    </row>
    <row r="145" spans="1:20" x14ac:dyDescent="0.25">
      <c r="A145" s="5">
        <v>44448</v>
      </c>
      <c r="B145">
        <v>80.849999999999994</v>
      </c>
      <c r="C145">
        <v>88.49</v>
      </c>
      <c r="D145">
        <v>78.099999999999994</v>
      </c>
      <c r="E145">
        <v>88.35</v>
      </c>
      <c r="F145">
        <v>187545.54</v>
      </c>
      <c r="G145">
        <v>88.35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0.97305101058710286</v>
      </c>
      <c r="Q145">
        <f t="shared" ref="Q145" si="701">F145*P145</f>
        <v>182491.37722810393</v>
      </c>
      <c r="R145">
        <f t="shared" ref="R145" si="702">R146+Q145</f>
        <v>4133043.9862516993</v>
      </c>
      <c r="S145">
        <f t="shared" ref="S145" si="703">R145/100000</f>
        <v>41.33043986251699</v>
      </c>
      <c r="T145">
        <f t="shared" ref="T145" si="704">S145/1000</f>
        <v>4.1330439862516992E-2</v>
      </c>
    </row>
    <row r="146" spans="1:20" x14ac:dyDescent="0.25">
      <c r="A146" s="5">
        <v>44447</v>
      </c>
      <c r="B146">
        <v>82.2</v>
      </c>
      <c r="C146">
        <v>84.68</v>
      </c>
      <c r="D146">
        <v>71.400000000000006</v>
      </c>
      <c r="E146">
        <v>80.86</v>
      </c>
      <c r="F146">
        <v>301654.90830000001</v>
      </c>
      <c r="G146">
        <v>80.86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0.42469879518072184</v>
      </c>
      <c r="Q146">
        <f t="shared" ref="Q146" si="706">F146*P146</f>
        <v>128112.47611536113</v>
      </c>
      <c r="R146">
        <f t="shared" ref="R146" si="707">R147+Q146</f>
        <v>3950552.6090235952</v>
      </c>
      <c r="S146">
        <f t="shared" ref="S146" si="708">R146/100000</f>
        <v>39.505526090235954</v>
      </c>
      <c r="T146">
        <f t="shared" ref="T146" si="709">S146/1000</f>
        <v>3.9505526090235957E-2</v>
      </c>
    </row>
    <row r="147" spans="1:20" x14ac:dyDescent="0.25">
      <c r="A147" s="5">
        <v>44446</v>
      </c>
      <c r="B147">
        <v>105.55</v>
      </c>
      <c r="C147">
        <v>105.76</v>
      </c>
      <c r="D147">
        <v>72.400000000000006</v>
      </c>
      <c r="E147">
        <v>82.08</v>
      </c>
      <c r="F147">
        <v>471349.84179999999</v>
      </c>
      <c r="G147">
        <v>82.08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-0.41966426858513234</v>
      </c>
      <c r="Q147">
        <f t="shared" ref="Q147" si="711">F147*P147</f>
        <v>-197808.68660671482</v>
      </c>
      <c r="R147">
        <f t="shared" ref="R147" si="712">R148+Q147</f>
        <v>3822440.1329082339</v>
      </c>
      <c r="S147">
        <f t="shared" ref="S147" si="713">R147/100000</f>
        <v>38.22440132908234</v>
      </c>
      <c r="T147">
        <f t="shared" ref="T147" si="714">S147/1000</f>
        <v>3.8224401329082343E-2</v>
      </c>
    </row>
    <row r="148" spans="1:20" x14ac:dyDescent="0.25">
      <c r="A148" s="5">
        <v>44445</v>
      </c>
      <c r="B148">
        <v>108.16</v>
      </c>
      <c r="C148">
        <v>110.84</v>
      </c>
      <c r="D148">
        <v>103.36</v>
      </c>
      <c r="E148">
        <v>105.55</v>
      </c>
      <c r="F148">
        <v>130390.11111</v>
      </c>
      <c r="G148">
        <v>105.55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-0.41443850267379773</v>
      </c>
      <c r="Q148">
        <f t="shared" ref="Q148" si="716">F148*P148</f>
        <v>-54038.682411898517</v>
      </c>
      <c r="R148">
        <f t="shared" ref="R148" si="717">R149+Q148</f>
        <v>4020248.8195149489</v>
      </c>
      <c r="S148">
        <f t="shared" ref="S148" si="718">R148/100000</f>
        <v>40.202488195149492</v>
      </c>
      <c r="T148">
        <f t="shared" ref="T148" si="719">S148/1000</f>
        <v>4.0202488195149495E-2</v>
      </c>
    </row>
    <row r="149" spans="1:20" x14ac:dyDescent="0.25">
      <c r="A149" s="5">
        <v>44444</v>
      </c>
      <c r="B149">
        <v>103.1</v>
      </c>
      <c r="C149">
        <v>110</v>
      </c>
      <c r="D149">
        <v>102.06</v>
      </c>
      <c r="E149">
        <v>108.03</v>
      </c>
      <c r="F149">
        <v>121088.42556</v>
      </c>
      <c r="G149">
        <v>108.03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0.50377833753148626</v>
      </c>
      <c r="Q149">
        <f t="shared" ref="Q149" si="721">F149*P149</f>
        <v>61001.725722921932</v>
      </c>
      <c r="R149">
        <f t="shared" ref="R149" si="722">R150+Q149</f>
        <v>4074287.5019268473</v>
      </c>
      <c r="S149">
        <f t="shared" ref="S149" si="723">R149/100000</f>
        <v>40.742875019268475</v>
      </c>
      <c r="T149">
        <f t="shared" ref="T149" si="724">S149/1000</f>
        <v>4.0742875019268474E-2</v>
      </c>
    </row>
    <row r="150" spans="1:20" x14ac:dyDescent="0.25">
      <c r="A150" s="5">
        <v>44443</v>
      </c>
      <c r="B150">
        <v>105.45</v>
      </c>
      <c r="C150">
        <v>108.9</v>
      </c>
      <c r="D150">
        <v>101</v>
      </c>
      <c r="E150">
        <v>102.93</v>
      </c>
      <c r="F150">
        <v>164928.66399</v>
      </c>
      <c r="G150">
        <v>102.93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-0.51139240506328976</v>
      </c>
      <c r="Q150">
        <f t="shared" ref="Q150" si="726">F150*P150</f>
        <v>-84343.266141721295</v>
      </c>
      <c r="R150">
        <f t="shared" ref="R150" si="727">R151+Q150</f>
        <v>4013285.7762039253</v>
      </c>
      <c r="S150">
        <f t="shared" ref="S150" si="728">R150/100000</f>
        <v>40.132857762039251</v>
      </c>
      <c r="T150">
        <f t="shared" ref="T150" si="729">S150/1000</f>
        <v>4.0132857762039252E-2</v>
      </c>
    </row>
    <row r="151" spans="1:20" x14ac:dyDescent="0.25">
      <c r="A151" s="5">
        <v>44442</v>
      </c>
      <c r="B151">
        <v>92.68</v>
      </c>
      <c r="C151">
        <v>106</v>
      </c>
      <c r="D151">
        <v>91.52</v>
      </c>
      <c r="E151">
        <v>105.46</v>
      </c>
      <c r="F151">
        <v>292242.74129999999</v>
      </c>
      <c r="G151">
        <v>105.46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0.92541436464088311</v>
      </c>
      <c r="Q151">
        <f t="shared" ref="Q151" si="731">F151*P151</f>
        <v>270445.63076104946</v>
      </c>
      <c r="R151">
        <f t="shared" ref="R151" si="732">R152+Q151</f>
        <v>4097629.0423456468</v>
      </c>
      <c r="S151">
        <f t="shared" ref="S151" si="733">R151/100000</f>
        <v>40.976290423456469</v>
      </c>
      <c r="T151">
        <f t="shared" ref="T151" si="734">S151/1000</f>
        <v>4.097629042345647E-2</v>
      </c>
    </row>
    <row r="152" spans="1:20" x14ac:dyDescent="0.25">
      <c r="A152" s="5">
        <v>44441</v>
      </c>
      <c r="B152">
        <v>92.66</v>
      </c>
      <c r="C152">
        <v>95.49</v>
      </c>
      <c r="D152">
        <v>90.55</v>
      </c>
      <c r="E152">
        <v>92.76</v>
      </c>
      <c r="F152">
        <v>176908.9313</v>
      </c>
      <c r="G152">
        <v>92.76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-0.10526315789473321</v>
      </c>
      <c r="Q152">
        <f t="shared" ref="Q152" si="736">F152*P152</f>
        <v>-18621.992768420412</v>
      </c>
      <c r="R152">
        <f t="shared" ref="R152" si="737">R153+Q152</f>
        <v>3827183.4115845971</v>
      </c>
      <c r="S152">
        <f t="shared" ref="S152" si="738">R152/100000</f>
        <v>38.271834115845969</v>
      </c>
      <c r="T152">
        <f t="shared" ref="T152" si="739">S152/1000</f>
        <v>3.8271834115845969E-2</v>
      </c>
    </row>
    <row r="153" spans="1:20" x14ac:dyDescent="0.25">
      <c r="A153" s="5">
        <v>44440</v>
      </c>
      <c r="B153">
        <v>92.24</v>
      </c>
      <c r="C153">
        <v>94.63</v>
      </c>
      <c r="D153">
        <v>88.8</v>
      </c>
      <c r="E153">
        <v>92.63</v>
      </c>
      <c r="F153">
        <v>144792.55567999999</v>
      </c>
      <c r="G153">
        <v>92.63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0.31389365351629483</v>
      </c>
      <c r="Q153">
        <f t="shared" ref="Q153" si="741">F153*P153</f>
        <v>45449.464304356741</v>
      </c>
      <c r="R153">
        <f t="shared" ref="R153" si="742">R154+Q153</f>
        <v>3845805.4043530175</v>
      </c>
      <c r="S153">
        <f t="shared" ref="S153" si="743">R153/100000</f>
        <v>38.458054043530176</v>
      </c>
      <c r="T153">
        <f t="shared" ref="T153" si="744">S153/1000</f>
        <v>3.8458054043530178E-2</v>
      </c>
    </row>
    <row r="154" spans="1:20" x14ac:dyDescent="0.25">
      <c r="A154" s="5">
        <v>44439</v>
      </c>
      <c r="B154">
        <v>87.33</v>
      </c>
      <c r="C154">
        <v>93.99</v>
      </c>
      <c r="D154">
        <v>84.43</v>
      </c>
      <c r="E154">
        <v>92.28</v>
      </c>
      <c r="F154">
        <v>229871.65609999999</v>
      </c>
      <c r="G154">
        <v>92.28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0.64225941422594224</v>
      </c>
      <c r="Q154">
        <f t="shared" ref="Q154" si="746">F154*P154</f>
        <v>147637.23519393324</v>
      </c>
      <c r="R154">
        <f t="shared" ref="R154" si="747">R155+Q154</f>
        <v>3800355.9400486606</v>
      </c>
      <c r="S154">
        <f t="shared" ref="S154" si="748">R154/100000</f>
        <v>38.003559400486608</v>
      </c>
      <c r="T154">
        <f t="shared" ref="T154" si="749">S154/1000</f>
        <v>3.8003559400486608E-2</v>
      </c>
    </row>
    <row r="155" spans="1:20" x14ac:dyDescent="0.25">
      <c r="A155" s="5">
        <v>44438</v>
      </c>
      <c r="B155">
        <v>87.97</v>
      </c>
      <c r="C155">
        <v>93</v>
      </c>
      <c r="D155">
        <v>85.97</v>
      </c>
      <c r="E155">
        <v>87.31</v>
      </c>
      <c r="F155">
        <v>250552.38398000001</v>
      </c>
      <c r="G155">
        <v>87.31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-0.61877667140824943</v>
      </c>
      <c r="Q155">
        <f t="shared" ref="Q155" si="751">F155*P155</f>
        <v>-155035.97017254602</v>
      </c>
      <c r="R155">
        <f t="shared" ref="R155" si="752">R156+Q155</f>
        <v>3652718.7048547273</v>
      </c>
      <c r="S155">
        <f t="shared" ref="S155" si="753">R155/100000</f>
        <v>36.527187048547276</v>
      </c>
      <c r="T155">
        <f t="shared" ref="T155" si="754">S155/1000</f>
        <v>3.6527187048547273E-2</v>
      </c>
    </row>
    <row r="156" spans="1:20" x14ac:dyDescent="0.25">
      <c r="A156" s="5">
        <v>44437</v>
      </c>
      <c r="B156">
        <v>83.31</v>
      </c>
      <c r="C156">
        <v>90</v>
      </c>
      <c r="D156">
        <v>81.2</v>
      </c>
      <c r="E156">
        <v>87.97</v>
      </c>
      <c r="F156">
        <v>166767.21208</v>
      </c>
      <c r="G156">
        <v>87.97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0.53863636363636325</v>
      </c>
      <c r="Q156">
        <f t="shared" ref="Q156" si="756">F156*P156</f>
        <v>89826.884688545382</v>
      </c>
      <c r="R156">
        <f t="shared" ref="R156" si="757">R157+Q156</f>
        <v>3807754.6750272731</v>
      </c>
      <c r="S156">
        <f t="shared" ref="S156" si="758">R156/100000</f>
        <v>38.077546750272731</v>
      </c>
      <c r="T156">
        <f t="shared" ref="T156" si="759">S156/1000</f>
        <v>3.807754675027273E-2</v>
      </c>
    </row>
    <row r="157" spans="1:20" x14ac:dyDescent="0.25">
      <c r="A157" s="5">
        <v>44436</v>
      </c>
      <c r="B157">
        <v>86.68</v>
      </c>
      <c r="C157">
        <v>89</v>
      </c>
      <c r="D157">
        <v>82.38</v>
      </c>
      <c r="E157">
        <v>83.25</v>
      </c>
      <c r="F157">
        <v>163689.00356000001</v>
      </c>
      <c r="G157">
        <v>83.25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-0.73716012084592031</v>
      </c>
      <c r="Q157">
        <f t="shared" ref="Q157" si="761">F157*P157</f>
        <v>-120665.00564543789</v>
      </c>
      <c r="R157">
        <f t="shared" ref="R157" si="762">R158+Q157</f>
        <v>3717927.7903387276</v>
      </c>
      <c r="S157">
        <f t="shared" ref="S157" si="763">R157/100000</f>
        <v>37.179277903387273</v>
      </c>
      <c r="T157">
        <f t="shared" ref="T157" si="764">S157/1000</f>
        <v>3.7179277903387271E-2</v>
      </c>
    </row>
    <row r="158" spans="1:20" x14ac:dyDescent="0.25">
      <c r="A158" s="5">
        <v>44435</v>
      </c>
      <c r="B158">
        <v>80.12</v>
      </c>
      <c r="C158">
        <v>86.9</v>
      </c>
      <c r="D158">
        <v>76.75</v>
      </c>
      <c r="E158">
        <v>86.72</v>
      </c>
      <c r="F158">
        <v>217745.78008</v>
      </c>
      <c r="G158">
        <v>86.72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0.96453201970443214</v>
      </c>
      <c r="Q158">
        <f t="shared" ref="Q158" si="766">F158*P158</f>
        <v>210022.77704267952</v>
      </c>
      <c r="R158">
        <f t="shared" ref="R158" si="767">R159+Q158</f>
        <v>3838592.7959841657</v>
      </c>
      <c r="S158">
        <f t="shared" ref="S158" si="768">R158/100000</f>
        <v>38.385927959841659</v>
      </c>
      <c r="T158">
        <f t="shared" ref="T158" si="769">S158/1000</f>
        <v>3.8385927959841658E-2</v>
      </c>
    </row>
    <row r="159" spans="1:20" x14ac:dyDescent="0.25">
      <c r="A159" s="5">
        <v>44434</v>
      </c>
      <c r="B159">
        <v>84.447999999999993</v>
      </c>
      <c r="C159">
        <v>85.677999999999997</v>
      </c>
      <c r="D159">
        <v>77.245000000000005</v>
      </c>
      <c r="E159">
        <v>80.099999999999994</v>
      </c>
      <c r="F159">
        <v>204164.42585</v>
      </c>
      <c r="G159">
        <v>80.099999999999994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-0.32289813826633645</v>
      </c>
      <c r="Q159">
        <f t="shared" ref="Q159" si="771">F159*P159</f>
        <v>-65924.313007180492</v>
      </c>
      <c r="R159">
        <f t="shared" ref="R159" si="772">R160+Q159</f>
        <v>3628570.0189414863</v>
      </c>
      <c r="S159">
        <f t="shared" ref="S159" si="773">R159/100000</f>
        <v>36.285700189414861</v>
      </c>
      <c r="T159">
        <f t="shared" ref="T159" si="774">S159/1000</f>
        <v>3.6285700189414863E-2</v>
      </c>
    </row>
    <row r="160" spans="1:20" x14ac:dyDescent="0.25">
      <c r="A160" s="5">
        <v>44433</v>
      </c>
      <c r="B160">
        <v>80.025999999999996</v>
      </c>
      <c r="C160">
        <v>91.73</v>
      </c>
      <c r="D160">
        <v>79.599999999999994</v>
      </c>
      <c r="E160">
        <v>84.447000000000003</v>
      </c>
      <c r="F160">
        <v>506946.04667000001</v>
      </c>
      <c r="G160">
        <v>84.447000000000003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-0.20082440230832571</v>
      </c>
      <c r="Q160">
        <f t="shared" ref="Q160" si="776">F160*P160</f>
        <v>-101807.13682507134</v>
      </c>
      <c r="R160">
        <f t="shared" ref="R160" si="777">R161+Q160</f>
        <v>3694494.3319486668</v>
      </c>
      <c r="S160">
        <f t="shared" ref="S160" si="778">R160/100000</f>
        <v>36.944943319486669</v>
      </c>
      <c r="T160">
        <f t="shared" ref="T160" si="779">S160/1000</f>
        <v>3.6944943319486667E-2</v>
      </c>
    </row>
    <row r="161" spans="1:20" x14ac:dyDescent="0.25">
      <c r="A161" s="5">
        <v>44432</v>
      </c>
      <c r="B161">
        <v>79.69</v>
      </c>
      <c r="C161">
        <v>82.73</v>
      </c>
      <c r="D161">
        <v>74.2</v>
      </c>
      <c r="E161">
        <v>80.049000000000007</v>
      </c>
      <c r="F161">
        <v>252622.36994</v>
      </c>
      <c r="G161">
        <v>80.049000000000007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0.37139507620164197</v>
      </c>
      <c r="Q161">
        <f t="shared" ref="Q161" si="781">F161*P161</f>
        <v>93822.704334105685</v>
      </c>
      <c r="R161">
        <f t="shared" ref="R161" si="782">R162+Q161</f>
        <v>3796301.468773738</v>
      </c>
      <c r="S161">
        <f t="shared" ref="S161" si="783">R161/100000</f>
        <v>37.963014687737378</v>
      </c>
      <c r="T161">
        <f t="shared" ref="T161" si="784">S161/1000</f>
        <v>3.7963014687737377E-2</v>
      </c>
    </row>
    <row r="162" spans="1:20" x14ac:dyDescent="0.25">
      <c r="A162" s="5">
        <v>44431</v>
      </c>
      <c r="B162">
        <v>75.036000000000001</v>
      </c>
      <c r="C162">
        <v>81.248000000000005</v>
      </c>
      <c r="D162">
        <v>74.959000000000003</v>
      </c>
      <c r="E162">
        <v>79.762</v>
      </c>
      <c r="F162">
        <v>226958.08069999999</v>
      </c>
      <c r="G162">
        <v>79.762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0.52742884401335544</v>
      </c>
      <c r="Q162">
        <f t="shared" ref="Q162" si="786">F162*P162</f>
        <v>119704.23814309083</v>
      </c>
      <c r="R162">
        <f t="shared" ref="R162" si="787">R163+Q162</f>
        <v>3702478.7644396322</v>
      </c>
      <c r="S162">
        <f t="shared" ref="S162" si="788">R162/100000</f>
        <v>37.024787644396319</v>
      </c>
      <c r="T162">
        <f t="shared" ref="T162" si="789">S162/1000</f>
        <v>3.7024787644396318E-2</v>
      </c>
    </row>
    <row r="163" spans="1:20" x14ac:dyDescent="0.25">
      <c r="A163" s="5">
        <v>44430</v>
      </c>
      <c r="B163">
        <v>76.992999999999995</v>
      </c>
      <c r="C163">
        <v>77.95</v>
      </c>
      <c r="D163">
        <v>74.036000000000001</v>
      </c>
      <c r="E163">
        <v>75.021000000000001</v>
      </c>
      <c r="F163">
        <v>36060.030010000002</v>
      </c>
      <c r="G163">
        <v>75.021000000000001</v>
      </c>
      <c r="L163" t="s">
        <v>8</v>
      </c>
      <c r="M163" t="s">
        <v>8</v>
      </c>
      <c r="N163" t="s">
        <v>8</v>
      </c>
      <c r="P163">
        <f t="shared" ref="P163" si="790">IF(C163=D163,0,((E163-D163)-(C163-E163))/(C163-D163))</f>
        <v>-0.49667858967807915</v>
      </c>
      <c r="Q163">
        <f t="shared" ref="Q163" si="791">F163*P163</f>
        <v>-17910.24484911601</v>
      </c>
      <c r="R163">
        <f t="shared" ref="R163" si="792">R164+Q163</f>
        <v>3582774.5262965416</v>
      </c>
      <c r="S163">
        <f t="shared" ref="S163" si="793">R163/100000</f>
        <v>35.827745262965415</v>
      </c>
      <c r="T163">
        <f t="shared" ref="T163" si="794">S163/1000</f>
        <v>3.5827745262965414E-2</v>
      </c>
    </row>
    <row r="164" spans="1:20" x14ac:dyDescent="0.25">
      <c r="A164" s="5">
        <v>44429</v>
      </c>
      <c r="B164">
        <v>75.347999999999999</v>
      </c>
      <c r="C164">
        <v>77.900000000000006</v>
      </c>
      <c r="D164">
        <v>71.08</v>
      </c>
      <c r="E164">
        <v>77.043999999999997</v>
      </c>
      <c r="F164">
        <v>181213.16912999999</v>
      </c>
      <c r="G164">
        <v>77.043999999999997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0.74897360703812088</v>
      </c>
      <c r="Q164">
        <f t="shared" ref="Q164" si="796">F164*P164</f>
        <v>135723.88092610516</v>
      </c>
      <c r="R164">
        <f t="shared" ref="R164" si="797">R165+Q164</f>
        <v>3600684.7711456576</v>
      </c>
      <c r="S164">
        <f t="shared" ref="S164" si="798">R164/100000</f>
        <v>36.006847711456579</v>
      </c>
      <c r="T164">
        <f t="shared" ref="T164" si="799">S164/1000</f>
        <v>3.6006847711456583E-2</v>
      </c>
    </row>
    <row r="165" spans="1:20" x14ac:dyDescent="0.25">
      <c r="A165" s="5">
        <v>44428</v>
      </c>
      <c r="B165">
        <v>72.525000000000006</v>
      </c>
      <c r="C165">
        <v>75.635000000000005</v>
      </c>
      <c r="D165">
        <v>70.891000000000005</v>
      </c>
      <c r="E165">
        <v>75.317999999999998</v>
      </c>
      <c r="F165">
        <v>137071.90255</v>
      </c>
      <c r="G165">
        <v>75.317999999999998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0.86635750421584856</v>
      </c>
      <c r="Q165">
        <f t="shared" ref="Q165" si="801">F165*P165</f>
        <v>118753.27139133601</v>
      </c>
      <c r="R165">
        <f t="shared" ref="R165" si="802">R166+Q165</f>
        <v>3464960.8902195524</v>
      </c>
      <c r="S165">
        <f t="shared" ref="S165" si="803">R165/100000</f>
        <v>34.649608902195524</v>
      </c>
      <c r="T165">
        <f t="shared" ref="T165" si="804">S165/1000</f>
        <v>3.4649608902195525E-2</v>
      </c>
    </row>
    <row r="166" spans="1:20" x14ac:dyDescent="0.25">
      <c r="A166" s="5">
        <v>44427</v>
      </c>
      <c r="B166">
        <v>66.97</v>
      </c>
      <c r="C166">
        <v>74.149000000000001</v>
      </c>
      <c r="D166">
        <v>64.400000000000006</v>
      </c>
      <c r="E166">
        <v>72.525000000000006</v>
      </c>
      <c r="F166">
        <v>196291.57571999999</v>
      </c>
      <c r="G166">
        <v>72.525000000000006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0.66683762437173122</v>
      </c>
      <c r="Q166">
        <f t="shared" ref="Q166" si="806">F166*P166</f>
        <v>130894.60803730859</v>
      </c>
      <c r="R166">
        <f t="shared" ref="R166" si="807">R167+Q166</f>
        <v>3346207.6188282166</v>
      </c>
      <c r="S166">
        <f t="shared" ref="S166" si="808">R166/100000</f>
        <v>33.462076188282168</v>
      </c>
      <c r="T166">
        <f t="shared" ref="T166" si="809">S166/1000</f>
        <v>3.3462076188282168E-2</v>
      </c>
    </row>
    <row r="167" spans="1:20" x14ac:dyDescent="0.25">
      <c r="A167" s="5">
        <v>44426</v>
      </c>
      <c r="B167">
        <v>68.899000000000001</v>
      </c>
      <c r="C167">
        <v>70.116</v>
      </c>
      <c r="D167">
        <v>63.334000000000003</v>
      </c>
      <c r="E167">
        <v>66.879000000000005</v>
      </c>
      <c r="F167">
        <v>184635.09836</v>
      </c>
      <c r="G167">
        <v>66.879000000000005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4.5414332055441917E-2</v>
      </c>
      <c r="Q167">
        <f t="shared" ref="Q167" si="811">F167*P167</f>
        <v>8385.0796660102187</v>
      </c>
      <c r="R167">
        <f t="shared" ref="R167" si="812">R168+Q167</f>
        <v>3215313.0107909078</v>
      </c>
      <c r="S167">
        <f t="shared" ref="S167" si="813">R167/100000</f>
        <v>32.153130107909078</v>
      </c>
      <c r="T167">
        <f t="shared" ref="T167" si="814">S167/1000</f>
        <v>3.2153130107909079E-2</v>
      </c>
    </row>
    <row r="168" spans="1:20" x14ac:dyDescent="0.25">
      <c r="A168" s="5">
        <v>44425</v>
      </c>
      <c r="B168">
        <v>73.263999999999996</v>
      </c>
      <c r="C168">
        <v>78.66</v>
      </c>
      <c r="D168">
        <v>68.328000000000003</v>
      </c>
      <c r="E168">
        <v>68.748999999999995</v>
      </c>
      <c r="F168">
        <v>289792.54830999998</v>
      </c>
      <c r="G168">
        <v>68.748999999999995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-0.91850561362756633</v>
      </c>
      <c r="Q168">
        <f t="shared" ref="Q168" si="816">F168*P168</f>
        <v>-266176.08241017268</v>
      </c>
      <c r="R168">
        <f t="shared" ref="R168" si="817">R169+Q168</f>
        <v>3206927.9311248977</v>
      </c>
      <c r="S168">
        <f t="shared" ref="S168" si="818">R168/100000</f>
        <v>32.069279311248977</v>
      </c>
      <c r="T168">
        <f t="shared" ref="T168" si="819">S168/1000</f>
        <v>3.2069279311248977E-2</v>
      </c>
    </row>
    <row r="169" spans="1:20" x14ac:dyDescent="0.25">
      <c r="A169" s="5">
        <v>44424</v>
      </c>
      <c r="B169">
        <v>72.7</v>
      </c>
      <c r="C169">
        <v>76.332999999999998</v>
      </c>
      <c r="D169">
        <v>72.094999999999999</v>
      </c>
      <c r="E169">
        <v>73.194999999999993</v>
      </c>
      <c r="F169">
        <v>201010.10290999999</v>
      </c>
      <c r="G169">
        <v>73.194999999999993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-0.48088721094856329</v>
      </c>
      <c r="Q169">
        <f t="shared" ref="Q169" si="821">F169*P169</f>
        <v>-96663.187760873581</v>
      </c>
      <c r="R169">
        <f t="shared" ref="R169" si="822">R170+Q169</f>
        <v>3473104.0135350702</v>
      </c>
      <c r="S169">
        <f t="shared" ref="S169" si="823">R169/100000</f>
        <v>34.731040135350703</v>
      </c>
      <c r="T169">
        <f t="shared" ref="T169" si="824">S169/1000</f>
        <v>3.4731040135350701E-2</v>
      </c>
    </row>
    <row r="170" spans="1:20" x14ac:dyDescent="0.25">
      <c r="A170" s="5">
        <v>44423</v>
      </c>
      <c r="B170">
        <v>71.915999999999997</v>
      </c>
      <c r="C170">
        <v>73.998000000000005</v>
      </c>
      <c r="D170">
        <v>68.599999999999994</v>
      </c>
      <c r="E170">
        <v>72.700999999999993</v>
      </c>
      <c r="F170">
        <v>158097.29399000001</v>
      </c>
      <c r="G170">
        <v>72.700999999999993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0.51945164875879635</v>
      </c>
      <c r="Q170">
        <f t="shared" ref="Q170" si="826">F170*P170</f>
        <v>82123.900027409647</v>
      </c>
      <c r="R170">
        <f t="shared" ref="R170" si="827">R171+Q170</f>
        <v>3569767.2012959439</v>
      </c>
      <c r="S170">
        <f t="shared" ref="S170" si="828">R170/100000</f>
        <v>35.697672012959437</v>
      </c>
      <c r="T170">
        <f t="shared" ref="T170" si="829">S170/1000</f>
        <v>3.5697672012959439E-2</v>
      </c>
    </row>
    <row r="171" spans="1:20" x14ac:dyDescent="0.25">
      <c r="A171" s="5">
        <v>44422</v>
      </c>
      <c r="B171">
        <v>75.477000000000004</v>
      </c>
      <c r="C171">
        <v>75.751000000000005</v>
      </c>
      <c r="D171">
        <v>69.619</v>
      </c>
      <c r="E171">
        <v>71.861999999999995</v>
      </c>
      <c r="F171">
        <v>134072.67663</v>
      </c>
      <c r="G171">
        <v>71.861999999999995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-0.26842791911285285</v>
      </c>
      <c r="Q171">
        <f t="shared" ref="Q171" si="831">F171*P171</f>
        <v>-35988.849597681321</v>
      </c>
      <c r="R171">
        <f t="shared" ref="R171" si="832">R172+Q171</f>
        <v>3487643.3012685343</v>
      </c>
      <c r="S171">
        <f t="shared" ref="S171" si="833">R171/100000</f>
        <v>34.876433012685339</v>
      </c>
      <c r="T171">
        <f t="shared" ref="T171" si="834">S171/1000</f>
        <v>3.4876433012685337E-2</v>
      </c>
    </row>
    <row r="172" spans="1:20" x14ac:dyDescent="0.25">
      <c r="A172" s="5">
        <v>44421</v>
      </c>
      <c r="B172">
        <v>68.227999999999994</v>
      </c>
      <c r="C172">
        <v>75.716999999999999</v>
      </c>
      <c r="D172">
        <v>67.343999999999994</v>
      </c>
      <c r="E172">
        <v>75.444000000000003</v>
      </c>
      <c r="F172">
        <v>111931.93059</v>
      </c>
      <c r="G172">
        <v>75.444000000000003</v>
      </c>
      <c r="L172" t="s">
        <v>7</v>
      </c>
      <c r="M172" t="s">
        <v>8</v>
      </c>
      <c r="N172" t="s">
        <v>8</v>
      </c>
      <c r="P172">
        <f t="shared" ref="P172" si="835">IF(C172=D172,0,((E172-D172)-(C172-E172))/(C172-D172))</f>
        <v>0.93479039770691608</v>
      </c>
      <c r="Q172">
        <f t="shared" ref="Q172" si="836">F172*P172</f>
        <v>104632.89391232903</v>
      </c>
      <c r="R172">
        <f t="shared" ref="R172" si="837">R173+Q172</f>
        <v>3523632.1508662156</v>
      </c>
      <c r="S172">
        <f t="shared" ref="S172" si="838">R172/100000</f>
        <v>35.236321508662158</v>
      </c>
      <c r="T172">
        <f t="shared" ref="T172" si="839">S172/1000</f>
        <v>3.5236321508662155E-2</v>
      </c>
    </row>
    <row r="173" spans="1:20" x14ac:dyDescent="0.25">
      <c r="A173" s="5">
        <v>44420</v>
      </c>
      <c r="B173">
        <v>71.39</v>
      </c>
      <c r="C173">
        <v>77</v>
      </c>
      <c r="D173">
        <v>65.792000000000002</v>
      </c>
      <c r="E173">
        <v>68.147999999999996</v>
      </c>
      <c r="F173">
        <v>191019.50515000001</v>
      </c>
      <c r="G173">
        <v>68.147999999999996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-0.57958600999286314</v>
      </c>
      <c r="Q173">
        <f t="shared" ref="Q173" si="841">F173*P173</f>
        <v>-110712.23282069968</v>
      </c>
      <c r="R173">
        <f t="shared" ref="R173" si="842">R174+Q173</f>
        <v>3418999.2569538867</v>
      </c>
      <c r="S173">
        <f t="shared" ref="S173" si="843">R173/100000</f>
        <v>34.189992569538866</v>
      </c>
      <c r="T173">
        <f t="shared" ref="T173" si="844">S173/1000</f>
        <v>3.4189992569538863E-2</v>
      </c>
    </row>
    <row r="174" spans="1:20" x14ac:dyDescent="0.25">
      <c r="A174" s="5">
        <v>44419</v>
      </c>
      <c r="B174">
        <v>70.710999999999999</v>
      </c>
      <c r="C174">
        <v>75.287000000000006</v>
      </c>
      <c r="D174">
        <v>69.861999999999995</v>
      </c>
      <c r="E174">
        <v>71.435000000000002</v>
      </c>
      <c r="F174">
        <v>161841.56232999999</v>
      </c>
      <c r="G174">
        <v>71.435000000000002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-0.42009216589861598</v>
      </c>
      <c r="Q174">
        <f t="shared" ref="Q174" si="846">F174*P174</f>
        <v>-67988.372451625546</v>
      </c>
      <c r="R174">
        <f t="shared" ref="R174" si="847">R175+Q174</f>
        <v>3529711.4897745862</v>
      </c>
      <c r="S174">
        <f t="shared" ref="S174" si="848">R174/100000</f>
        <v>35.297114897745864</v>
      </c>
      <c r="T174">
        <f t="shared" ref="T174" si="849">S174/1000</f>
        <v>3.5297114897745861E-2</v>
      </c>
    </row>
    <row r="175" spans="1:20" x14ac:dyDescent="0.25">
      <c r="A175" s="5">
        <v>44418</v>
      </c>
      <c r="B175">
        <v>66.406999999999996</v>
      </c>
      <c r="C175">
        <v>73.998000000000005</v>
      </c>
      <c r="D175">
        <v>65.195999999999998</v>
      </c>
      <c r="E175">
        <v>70.58</v>
      </c>
      <c r="F175">
        <v>201280.67464000001</v>
      </c>
      <c r="G175">
        <v>70.58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0.22335832765280533</v>
      </c>
      <c r="Q175">
        <f t="shared" ref="Q175" si="851">F175*P175</f>
        <v>44957.714876418831</v>
      </c>
      <c r="R175">
        <f t="shared" ref="R175" si="852">R176+Q175</f>
        <v>3597699.8622262119</v>
      </c>
      <c r="S175">
        <f t="shared" ref="S175" si="853">R175/100000</f>
        <v>35.976998622262123</v>
      </c>
      <c r="T175">
        <f t="shared" ref="T175" si="854">S175/1000</f>
        <v>3.597699862226212E-2</v>
      </c>
    </row>
    <row r="176" spans="1:20" x14ac:dyDescent="0.25">
      <c r="A176" s="5">
        <v>44417</v>
      </c>
      <c r="B176">
        <v>63.04</v>
      </c>
      <c r="C176">
        <v>67.3</v>
      </c>
      <c r="D176">
        <v>60.752000000000002</v>
      </c>
      <c r="E176">
        <v>66.364999999999995</v>
      </c>
      <c r="F176">
        <v>137509.55929</v>
      </c>
      <c r="G176">
        <v>66.364999999999995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0.71441661576053661</v>
      </c>
      <c r="Q176">
        <f t="shared" ref="Q176" si="856">F176*P176</f>
        <v>98239.113982684663</v>
      </c>
      <c r="R176">
        <f t="shared" ref="R176" si="857">R177+Q176</f>
        <v>3552742.147349793</v>
      </c>
      <c r="S176">
        <f t="shared" ref="S176" si="858">R176/100000</f>
        <v>35.527421473497931</v>
      </c>
      <c r="T176">
        <f t="shared" ref="T176" si="859">S176/1000</f>
        <v>3.5527421473497932E-2</v>
      </c>
    </row>
    <row r="177" spans="1:20" x14ac:dyDescent="0.25">
      <c r="A177" s="5">
        <v>44416</v>
      </c>
      <c r="B177">
        <v>67.400999999999996</v>
      </c>
      <c r="C177">
        <v>69.590999999999994</v>
      </c>
      <c r="D177">
        <v>61.84</v>
      </c>
      <c r="E177">
        <v>63.005000000000003</v>
      </c>
      <c r="F177">
        <v>254577.18762000001</v>
      </c>
      <c r="G177">
        <v>63.005000000000003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-0.69939362662882198</v>
      </c>
      <c r="Q177">
        <f t="shared" ref="Q177" si="861">F177*P177</f>
        <v>-178049.66250651784</v>
      </c>
      <c r="R177">
        <f t="shared" ref="R177" si="862">R178+Q177</f>
        <v>3454503.0333671086</v>
      </c>
      <c r="S177">
        <f t="shared" ref="S177" si="863">R177/100000</f>
        <v>34.545030333671086</v>
      </c>
      <c r="T177">
        <f t="shared" ref="T177" si="864">S177/1000</f>
        <v>3.4545030333671088E-2</v>
      </c>
    </row>
    <row r="178" spans="1:20" x14ac:dyDescent="0.25">
      <c r="A178" s="5">
        <v>44415</v>
      </c>
      <c r="B178">
        <v>65.379000000000005</v>
      </c>
      <c r="C178">
        <v>68.194999999999993</v>
      </c>
      <c r="D178">
        <v>64.388000000000005</v>
      </c>
      <c r="E178">
        <v>67.400999999999996</v>
      </c>
      <c r="F178">
        <v>156156.40247</v>
      </c>
      <c r="G178">
        <v>67.400999999999996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0.58287365379563993</v>
      </c>
      <c r="Q178">
        <f t="shared" ref="Q178" si="866">F178*P178</f>
        <v>91019.452871271395</v>
      </c>
      <c r="R178">
        <f t="shared" ref="R178" si="867">R179+Q178</f>
        <v>3632552.6958736265</v>
      </c>
      <c r="S178">
        <f t="shared" ref="S178" si="868">R178/100000</f>
        <v>36.325526958736262</v>
      </c>
      <c r="T178">
        <f t="shared" ref="T178" si="869">S178/1000</f>
        <v>3.6325526958736261E-2</v>
      </c>
    </row>
    <row r="179" spans="1:20" x14ac:dyDescent="0.25">
      <c r="A179" s="5">
        <v>44414</v>
      </c>
      <c r="B179">
        <v>64.650000000000006</v>
      </c>
      <c r="C179">
        <v>66.911000000000001</v>
      </c>
      <c r="D179">
        <v>62.805</v>
      </c>
      <c r="E179">
        <v>65.394999999999996</v>
      </c>
      <c r="F179">
        <v>135205.37633999999</v>
      </c>
      <c r="G179">
        <v>65.394999999999996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0.2615684364344838</v>
      </c>
      <c r="Q179">
        <f t="shared" ref="Q179" si="871">F179*P179</f>
        <v>35365.458886789747</v>
      </c>
      <c r="R179">
        <f t="shared" ref="R179" si="872">R180+Q179</f>
        <v>3541533.2430023551</v>
      </c>
      <c r="S179">
        <f t="shared" ref="S179" si="873">R179/100000</f>
        <v>35.415332430023554</v>
      </c>
      <c r="T179">
        <f t="shared" ref="T179" si="874">S179/1000</f>
        <v>3.5415332430023552E-2</v>
      </c>
    </row>
    <row r="180" spans="1:20" x14ac:dyDescent="0.25">
      <c r="A180" s="5">
        <v>44413</v>
      </c>
      <c r="B180">
        <v>60.122</v>
      </c>
      <c r="C180">
        <v>66.296999999999997</v>
      </c>
      <c r="D180">
        <v>59.194000000000003</v>
      </c>
      <c r="E180">
        <v>64.599999999999994</v>
      </c>
      <c r="F180">
        <v>216437.88239000001</v>
      </c>
      <c r="G180">
        <v>64.599999999999994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0.52217372941010731</v>
      </c>
      <c r="Q180">
        <f t="shared" ref="Q180" si="876">F180*P180</f>
        <v>113018.17623321249</v>
      </c>
      <c r="R180">
        <f t="shared" ref="R180" si="877">R181+Q180</f>
        <v>3506167.7841155655</v>
      </c>
      <c r="S180">
        <f t="shared" ref="S180" si="878">R180/100000</f>
        <v>35.061677841155657</v>
      </c>
      <c r="T180">
        <f t="shared" ref="T180" si="879">S180/1000</f>
        <v>3.5061677841155658E-2</v>
      </c>
    </row>
    <row r="181" spans="1:20" x14ac:dyDescent="0.25">
      <c r="A181" s="5">
        <v>44412</v>
      </c>
      <c r="B181">
        <v>58.088000000000001</v>
      </c>
      <c r="C181">
        <v>60.7</v>
      </c>
      <c r="D181">
        <v>57.34</v>
      </c>
      <c r="E181">
        <v>60.015999999999998</v>
      </c>
      <c r="F181">
        <v>80552.825209999995</v>
      </c>
      <c r="G181">
        <v>60.015999999999998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0.59285714285714008</v>
      </c>
      <c r="Q181">
        <f t="shared" ref="Q181" si="881">F181*P181</f>
        <v>47756.317803071201</v>
      </c>
      <c r="R181">
        <f t="shared" ref="R181" si="882">R182+Q181</f>
        <v>3393149.607882353</v>
      </c>
      <c r="S181">
        <f t="shared" ref="S181" si="883">R181/100000</f>
        <v>33.931496078823528</v>
      </c>
      <c r="T181">
        <f t="shared" ref="T181" si="884">S181/1000</f>
        <v>3.393149607882353E-2</v>
      </c>
    </row>
    <row r="182" spans="1:20" x14ac:dyDescent="0.25">
      <c r="A182" s="5">
        <v>44411</v>
      </c>
      <c r="B182">
        <v>57.231000000000002</v>
      </c>
      <c r="C182">
        <v>58.732999999999997</v>
      </c>
      <c r="D182">
        <v>54.8</v>
      </c>
      <c r="E182">
        <v>58.11</v>
      </c>
      <c r="F182">
        <v>93595.892739999996</v>
      </c>
      <c r="G182">
        <v>58.11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0.68319349097381254</v>
      </c>
      <c r="Q182">
        <f t="shared" ref="Q182" si="886">F182*P182</f>
        <v>63944.104701851116</v>
      </c>
      <c r="R182">
        <f t="shared" ref="R182" si="887">R183+Q182</f>
        <v>3345393.2900792817</v>
      </c>
      <c r="S182">
        <f t="shared" ref="S182" si="888">R182/100000</f>
        <v>33.453932900792815</v>
      </c>
      <c r="T182">
        <f t="shared" ref="T182" si="889">S182/1000</f>
        <v>3.3453932900792814E-2</v>
      </c>
    </row>
    <row r="183" spans="1:20" x14ac:dyDescent="0.25">
      <c r="A183" s="5">
        <v>44410</v>
      </c>
      <c r="B183">
        <v>56.01</v>
      </c>
      <c r="C183">
        <v>58.4</v>
      </c>
      <c r="D183">
        <v>55.557000000000002</v>
      </c>
      <c r="E183">
        <v>57.280999999999999</v>
      </c>
      <c r="F183">
        <v>116320.76063</v>
      </c>
      <c r="G183">
        <v>57.280999999999999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0.21280337671473712</v>
      </c>
      <c r="Q183">
        <f t="shared" ref="Q183" si="891">F183*P183</f>
        <v>24753.450644090652</v>
      </c>
      <c r="R183">
        <f t="shared" ref="R183" si="892">R184+Q183</f>
        <v>3281449.1853774306</v>
      </c>
      <c r="S183">
        <f t="shared" ref="S183" si="893">R183/100000</f>
        <v>32.814491853774307</v>
      </c>
      <c r="T183">
        <f t="shared" ref="T183" si="894">S183/1000</f>
        <v>3.2814491853774309E-2</v>
      </c>
    </row>
    <row r="184" spans="1:20" x14ac:dyDescent="0.25">
      <c r="A184" s="5">
        <v>44409</v>
      </c>
      <c r="B184">
        <v>58.603999999999999</v>
      </c>
      <c r="C184">
        <v>61.5</v>
      </c>
      <c r="D184">
        <v>55.213000000000001</v>
      </c>
      <c r="E184">
        <v>55.987000000000002</v>
      </c>
      <c r="F184">
        <v>137393.73686</v>
      </c>
      <c r="G184">
        <v>55.987000000000002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-0.75377763639255579</v>
      </c>
      <c r="Q184">
        <f t="shared" ref="Q184" si="896">F184*P184</f>
        <v>-103564.32622547158</v>
      </c>
      <c r="R184">
        <f t="shared" ref="R184" si="897">R185+Q184</f>
        <v>3256695.7347333399</v>
      </c>
      <c r="S184">
        <f t="shared" ref="S184" si="898">R184/100000</f>
        <v>32.5669573473334</v>
      </c>
      <c r="T184">
        <f t="shared" ref="T184" si="899">S184/1000</f>
        <v>3.2566957347333399E-2</v>
      </c>
    </row>
    <row r="185" spans="1:20" x14ac:dyDescent="0.25">
      <c r="A185" s="5">
        <v>44408</v>
      </c>
      <c r="B185">
        <v>57.506</v>
      </c>
      <c r="C185">
        <v>59.28</v>
      </c>
      <c r="D185">
        <v>55.66</v>
      </c>
      <c r="E185">
        <v>58.567</v>
      </c>
      <c r="F185">
        <v>118497.55365</v>
      </c>
      <c r="G185">
        <v>58.567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0.60607734806629832</v>
      </c>
      <c r="Q185">
        <f t="shared" ref="Q185" si="901">F185*P185</f>
        <v>71818.683068535916</v>
      </c>
      <c r="R185">
        <f t="shared" ref="R185" si="902">R186+Q185</f>
        <v>3360260.0609588115</v>
      </c>
      <c r="S185">
        <f t="shared" ref="S185" si="903">R185/100000</f>
        <v>33.602600609588116</v>
      </c>
      <c r="T185">
        <f t="shared" ref="T185" si="904">S185/1000</f>
        <v>3.3602600609588112E-2</v>
      </c>
    </row>
    <row r="186" spans="1:20" x14ac:dyDescent="0.25">
      <c r="A186" s="5">
        <v>44407</v>
      </c>
      <c r="B186">
        <v>56.871000000000002</v>
      </c>
      <c r="C186">
        <v>58.323</v>
      </c>
      <c r="D186">
        <v>53.502000000000002</v>
      </c>
      <c r="E186">
        <v>57.497</v>
      </c>
      <c r="F186">
        <v>119875.70471000001</v>
      </c>
      <c r="G186">
        <v>57.497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0.65733250362995188</v>
      </c>
      <c r="Q186">
        <f t="shared" ref="Q186" si="906">F186*P186</f>
        <v>78798.197101429119</v>
      </c>
      <c r="R186">
        <f t="shared" ref="R186" si="907">R187+Q186</f>
        <v>3288441.3778902758</v>
      </c>
      <c r="S186">
        <f t="shared" ref="S186" si="908">R186/100000</f>
        <v>32.884413778902761</v>
      </c>
      <c r="T186">
        <f t="shared" ref="T186" si="909">S186/1000</f>
        <v>3.2884413778902763E-2</v>
      </c>
    </row>
    <row r="187" spans="1:20" x14ac:dyDescent="0.25">
      <c r="A187" s="5">
        <v>44406</v>
      </c>
      <c r="B187">
        <v>56.44</v>
      </c>
      <c r="C187">
        <v>56.997999999999998</v>
      </c>
      <c r="D187">
        <v>54.1</v>
      </c>
      <c r="E187">
        <v>56.761000000000003</v>
      </c>
      <c r="F187">
        <v>87182.455119999999</v>
      </c>
      <c r="G187">
        <v>56.761000000000003</v>
      </c>
      <c r="L187" t="s">
        <v>7</v>
      </c>
      <c r="M187" t="s">
        <v>8</v>
      </c>
      <c r="N187" t="s">
        <v>8</v>
      </c>
      <c r="P187">
        <f t="shared" ref="P187" si="910">IF(C187=D187,0,((E187-D187)-(C187-E187))/(C187-D187))</f>
        <v>0.83643892339544856</v>
      </c>
      <c r="Q187">
        <f t="shared" ref="Q187" si="911">F187*P187</f>
        <v>72922.79889954481</v>
      </c>
      <c r="R187">
        <f t="shared" ref="R187" si="912">R188+Q187</f>
        <v>3209643.1807888467</v>
      </c>
      <c r="S187">
        <f t="shared" ref="S187" si="913">R187/100000</f>
        <v>32.096431807888465</v>
      </c>
      <c r="T187">
        <f t="shared" ref="T187" si="914">S187/1000</f>
        <v>3.2096431807888466E-2</v>
      </c>
    </row>
    <row r="188" spans="1:20" x14ac:dyDescent="0.25">
      <c r="A188" s="5">
        <v>44405</v>
      </c>
      <c r="B188">
        <v>55.32</v>
      </c>
      <c r="C188">
        <v>59</v>
      </c>
      <c r="D188">
        <v>54.326000000000001</v>
      </c>
      <c r="E188">
        <v>56.3</v>
      </c>
      <c r="F188">
        <v>152838.78213000001</v>
      </c>
      <c r="G188">
        <v>56.3</v>
      </c>
      <c r="L188" t="s">
        <v>8</v>
      </c>
      <c r="M188" t="s">
        <v>8</v>
      </c>
      <c r="N188" t="s">
        <v>8</v>
      </c>
      <c r="P188">
        <f t="shared" ref="P188" si="915">IF(C188=D188,0,((E188-D188)-(C188-E188))/(C188-D188))</f>
        <v>-0.15532734274711302</v>
      </c>
      <c r="Q188">
        <f t="shared" ref="Q188" si="916">F188*P188</f>
        <v>-23740.041896957842</v>
      </c>
      <c r="R188">
        <f t="shared" ref="R188" si="917">R189+Q188</f>
        <v>3136720.3818893018</v>
      </c>
      <c r="S188">
        <f t="shared" ref="S188" si="918">R188/100000</f>
        <v>31.367203818893017</v>
      </c>
      <c r="T188">
        <f t="shared" ref="T188" si="919">S188/1000</f>
        <v>3.1367203818893019E-2</v>
      </c>
    </row>
    <row r="189" spans="1:20" x14ac:dyDescent="0.25">
      <c r="A189" s="5">
        <v>44404</v>
      </c>
      <c r="B189">
        <v>54.8</v>
      </c>
      <c r="C189">
        <v>56.6</v>
      </c>
      <c r="D189">
        <v>52.1</v>
      </c>
      <c r="E189">
        <v>55.3</v>
      </c>
      <c r="F189">
        <v>132750.01892999999</v>
      </c>
      <c r="G189">
        <v>55.3</v>
      </c>
      <c r="L189" t="s">
        <v>7</v>
      </c>
      <c r="M189" t="s">
        <v>8</v>
      </c>
      <c r="N189" t="s">
        <v>8</v>
      </c>
      <c r="P189">
        <f t="shared" ref="P189" si="920">IF(C189=D189,0,((E189-D189)-(C189-E189))/(C189-D189))</f>
        <v>0.42222222222222033</v>
      </c>
      <c r="Q189">
        <f t="shared" ref="Q189" si="921">F189*P189</f>
        <v>56050.007992666411</v>
      </c>
      <c r="R189">
        <f t="shared" ref="R189" si="922">R190+Q189</f>
        <v>3160460.4237862597</v>
      </c>
      <c r="S189">
        <f t="shared" ref="S189" si="923">R189/100000</f>
        <v>31.604604237862596</v>
      </c>
      <c r="T189">
        <f t="shared" ref="T189" si="924">S189/1000</f>
        <v>3.1604604237862592E-2</v>
      </c>
    </row>
    <row r="190" spans="1:20" x14ac:dyDescent="0.25">
      <c r="A190" s="5">
        <v>44403</v>
      </c>
      <c r="B190">
        <v>51.66</v>
      </c>
      <c r="C190">
        <v>61.94</v>
      </c>
      <c r="D190">
        <v>51.58</v>
      </c>
      <c r="E190">
        <v>54.81</v>
      </c>
      <c r="F190">
        <v>268166.51990000001</v>
      </c>
      <c r="G190">
        <v>54.81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-0.37644787644787564</v>
      </c>
      <c r="Q190">
        <f t="shared" ref="Q190" si="926">F190*P190</f>
        <v>-100950.716950772</v>
      </c>
      <c r="R190">
        <f t="shared" ref="R190" si="927">R191+Q190</f>
        <v>3104410.4157935935</v>
      </c>
      <c r="S190">
        <f t="shared" ref="S190" si="928">R190/100000</f>
        <v>31.044104157935934</v>
      </c>
      <c r="T190">
        <f t="shared" ref="T190" si="929">S190/1000</f>
        <v>3.1044104157935935E-2</v>
      </c>
    </row>
    <row r="191" spans="1:20" x14ac:dyDescent="0.25">
      <c r="A191" s="5">
        <v>44402</v>
      </c>
      <c r="B191">
        <v>52.21</v>
      </c>
      <c r="C191">
        <v>53.95</v>
      </c>
      <c r="D191">
        <v>48.83</v>
      </c>
      <c r="E191">
        <v>51.66</v>
      </c>
      <c r="F191">
        <v>166280.58530000001</v>
      </c>
      <c r="G191">
        <v>51.66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0.10546874999999835</v>
      </c>
      <c r="Q191">
        <f t="shared" ref="Q191" si="931">F191*P191</f>
        <v>17537.405480859103</v>
      </c>
      <c r="R191">
        <f t="shared" ref="R191" si="932">R192+Q191</f>
        <v>3205361.1327443654</v>
      </c>
      <c r="S191">
        <f t="shared" ref="S191" si="933">R191/100000</f>
        <v>32.053611327443654</v>
      </c>
      <c r="T191">
        <f t="shared" ref="T191:T197" si="934">S191/1000</f>
        <v>3.2053611327443651E-2</v>
      </c>
    </row>
    <row r="192" spans="1:20" x14ac:dyDescent="0.25">
      <c r="A192" s="5">
        <v>44401</v>
      </c>
      <c r="B192">
        <v>50.71</v>
      </c>
      <c r="C192">
        <v>54.71</v>
      </c>
      <c r="D192">
        <v>50.2</v>
      </c>
      <c r="E192">
        <v>52.23</v>
      </c>
      <c r="F192">
        <v>159502.28779999999</v>
      </c>
      <c r="G192">
        <v>52.23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-9.9778270509980074E-2</v>
      </c>
      <c r="Q192">
        <f t="shared" ref="Q192" si="936">F192*P192</f>
        <v>-15914.862419069093</v>
      </c>
      <c r="R192">
        <f t="shared" ref="R192" si="937">R193+Q192</f>
        <v>3187823.7272635065</v>
      </c>
      <c r="S192">
        <f t="shared" ref="S192" si="938">R192/100000</f>
        <v>31.878237272635065</v>
      </c>
      <c r="T192">
        <f t="shared" si="934"/>
        <v>3.1878237272635064E-2</v>
      </c>
    </row>
    <row r="193" spans="1:20" x14ac:dyDescent="0.25">
      <c r="A193" s="5">
        <v>44400</v>
      </c>
      <c r="B193">
        <v>48.52</v>
      </c>
      <c r="C193">
        <v>51.67</v>
      </c>
      <c r="D193">
        <v>47.45</v>
      </c>
      <c r="E193">
        <v>50.69</v>
      </c>
      <c r="F193">
        <v>173729.3566</v>
      </c>
      <c r="G193">
        <v>50.69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0.53554502369668044</v>
      </c>
      <c r="Q193">
        <f t="shared" ref="Q193" si="940">F193*P193</f>
        <v>93039.892397156043</v>
      </c>
      <c r="R193">
        <f t="shared" ref="R193" si="941">R194+Q193</f>
        <v>3203738.5896825758</v>
      </c>
      <c r="S193">
        <f t="shared" ref="S193" si="942">R193/100000</f>
        <v>32.037385896825761</v>
      </c>
      <c r="T193">
        <f t="shared" si="934"/>
        <v>3.2037385896825761E-2</v>
      </c>
    </row>
    <row r="194" spans="1:20" x14ac:dyDescent="0.25">
      <c r="A194" s="5">
        <v>44399</v>
      </c>
      <c r="B194">
        <v>49.36</v>
      </c>
      <c r="C194">
        <v>50.94</v>
      </c>
      <c r="D194">
        <v>46.84</v>
      </c>
      <c r="E194">
        <v>48.5</v>
      </c>
      <c r="F194">
        <v>159152.54759999999</v>
      </c>
      <c r="G194">
        <v>48.5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-0.19024390243902492</v>
      </c>
      <c r="Q194">
        <f t="shared" ref="Q194" si="944">F194*P194</f>
        <v>-30277.801738536669</v>
      </c>
      <c r="R194">
        <f t="shared" ref="R194" si="945">R195+Q194</f>
        <v>3110698.6972854198</v>
      </c>
      <c r="S194">
        <f t="shared" ref="S194" si="946">R194/100000</f>
        <v>31.106986972854198</v>
      </c>
      <c r="T194">
        <f t="shared" si="934"/>
        <v>3.11069869728542E-2</v>
      </c>
    </row>
    <row r="195" spans="1:20" x14ac:dyDescent="0.25">
      <c r="A195" s="5">
        <v>44398</v>
      </c>
      <c r="B195">
        <v>43.66</v>
      </c>
      <c r="C195">
        <v>49.53</v>
      </c>
      <c r="D195">
        <v>42</v>
      </c>
      <c r="E195">
        <v>49.34</v>
      </c>
      <c r="F195">
        <v>147566.37669999999</v>
      </c>
      <c r="G195">
        <v>49.34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0.94953519256308161</v>
      </c>
      <c r="Q195">
        <f t="shared" ref="Q195" si="948">F195*P195</f>
        <v>140119.46791567074</v>
      </c>
      <c r="R195">
        <f t="shared" ref="R195" si="949">R196+Q195</f>
        <v>3140976.4990239562</v>
      </c>
      <c r="S195">
        <f t="shared" ref="S195" si="950">R195/100000</f>
        <v>31.409764990239562</v>
      </c>
      <c r="T195">
        <f t="shared" si="934"/>
        <v>3.1409764990239564E-2</v>
      </c>
    </row>
    <row r="196" spans="1:20" x14ac:dyDescent="0.25">
      <c r="A196" s="5">
        <v>44397</v>
      </c>
      <c r="B196">
        <v>45.78</v>
      </c>
      <c r="C196">
        <v>47.18</v>
      </c>
      <c r="D196">
        <v>41</v>
      </c>
      <c r="E196">
        <v>43.64</v>
      </c>
      <c r="F196">
        <v>242302.4069</v>
      </c>
      <c r="G196">
        <v>43.64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-0.14563106796116482</v>
      </c>
      <c r="Q196">
        <f t="shared" ref="Q196" si="952">F196*P196</f>
        <v>-35286.758286407712</v>
      </c>
      <c r="R196">
        <f t="shared" ref="R196" si="953">R197+Q196</f>
        <v>3000857.0311082853</v>
      </c>
      <c r="S196">
        <f t="shared" ref="S196" si="954">R196/100000</f>
        <v>30.008570311082853</v>
      </c>
      <c r="T196">
        <f t="shared" si="934"/>
        <v>3.0008570311082852E-2</v>
      </c>
    </row>
    <row r="197" spans="1:20" x14ac:dyDescent="0.25">
      <c r="A197" s="5">
        <v>44396</v>
      </c>
      <c r="B197">
        <v>50.48</v>
      </c>
      <c r="C197">
        <v>51.85</v>
      </c>
      <c r="D197">
        <v>45.41</v>
      </c>
      <c r="E197">
        <v>45.76</v>
      </c>
      <c r="F197">
        <v>258169.38810000001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-0.89130434782608658</v>
      </c>
      <c r="Q197">
        <f t="shared" ref="Q197" si="956">F197*P197</f>
        <v>-230107.49808913036</v>
      </c>
      <c r="R197">
        <f t="shared" ref="R197" si="957">R198+Q197</f>
        <v>3036143.789394693</v>
      </c>
      <c r="S197">
        <f t="shared" ref="S197" si="958">R197/100000</f>
        <v>30.361437893946931</v>
      </c>
      <c r="T197">
        <f t="shared" si="934"/>
        <v>3.0361437893946932E-2</v>
      </c>
    </row>
    <row r="198" spans="1:20" x14ac:dyDescent="0.25">
      <c r="A198" s="5">
        <v>44395</v>
      </c>
      <c r="B198">
        <v>49.66</v>
      </c>
      <c r="C198">
        <v>51.97</v>
      </c>
      <c r="D198">
        <v>48.83</v>
      </c>
      <c r="E198">
        <v>50.51</v>
      </c>
      <c r="F198">
        <v>61466.934500000003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7.0063694267515547E-2</v>
      </c>
      <c r="Q198">
        <f t="shared" ref="Q198:Q261" si="960">F198*P198</f>
        <v>4306.6005063694038</v>
      </c>
      <c r="R198">
        <f t="shared" ref="R198:R261" si="961">R199+Q198</f>
        <v>3266251.2874838235</v>
      </c>
      <c r="S198">
        <f t="shared" ref="S198:S261" si="962">R198/100000</f>
        <v>32.662512874838235</v>
      </c>
      <c r="T198">
        <f t="shared" ref="T198:T261" si="963">S198/1000</f>
        <v>3.2662512874838234E-2</v>
      </c>
    </row>
    <row r="199" spans="1:20" x14ac:dyDescent="0.25">
      <c r="A199" s="5">
        <v>44394</v>
      </c>
      <c r="B199">
        <v>50.9</v>
      </c>
      <c r="C199">
        <v>51.85</v>
      </c>
      <c r="D199">
        <v>48.85</v>
      </c>
      <c r="E199">
        <v>49.64</v>
      </c>
      <c r="F199">
        <v>101901.26240000001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-0.47333333333333388</v>
      </c>
      <c r="Q199">
        <f t="shared" si="960"/>
        <v>-48233.264202666724</v>
      </c>
      <c r="R199">
        <f t="shared" si="961"/>
        <v>3261944.686977454</v>
      </c>
      <c r="S199">
        <f t="shared" si="962"/>
        <v>32.619446869774542</v>
      </c>
      <c r="T199">
        <f t="shared" si="963"/>
        <v>3.261944686977454E-2</v>
      </c>
    </row>
    <row r="200" spans="1:20" x14ac:dyDescent="0.25">
      <c r="A200" s="5">
        <v>44393</v>
      </c>
      <c r="B200">
        <v>53.05</v>
      </c>
      <c r="C200">
        <v>54.48</v>
      </c>
      <c r="D200">
        <v>50.22</v>
      </c>
      <c r="E200">
        <v>50.96</v>
      </c>
      <c r="F200">
        <v>99316.741899999994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-0.65258215962441202</v>
      </c>
      <c r="Q200">
        <f t="shared" si="960"/>
        <v>-64812.333915962328</v>
      </c>
      <c r="R200">
        <f t="shared" si="961"/>
        <v>3310177.9511801209</v>
      </c>
      <c r="S200">
        <f t="shared" si="962"/>
        <v>33.101779511801212</v>
      </c>
      <c r="T200">
        <f t="shared" si="963"/>
        <v>3.310177951180121E-2</v>
      </c>
    </row>
    <row r="201" spans="1:20" x14ac:dyDescent="0.25">
      <c r="A201" s="5">
        <v>44392</v>
      </c>
      <c r="B201">
        <v>57.04</v>
      </c>
      <c r="C201">
        <v>58.23</v>
      </c>
      <c r="D201">
        <v>52.34</v>
      </c>
      <c r="E201">
        <v>53.09</v>
      </c>
      <c r="F201">
        <v>116149.601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-0.74533106960950735</v>
      </c>
      <c r="Q201">
        <f t="shared" si="960"/>
        <v>-86569.906348047502</v>
      </c>
      <c r="R201">
        <f t="shared" si="961"/>
        <v>3374990.2850960833</v>
      </c>
      <c r="S201">
        <f t="shared" si="962"/>
        <v>33.749902850960837</v>
      </c>
      <c r="T201">
        <f t="shared" si="963"/>
        <v>3.3749902850960835E-2</v>
      </c>
    </row>
    <row r="202" spans="1:20" x14ac:dyDescent="0.25">
      <c r="A202" s="5">
        <v>44391</v>
      </c>
      <c r="B202">
        <v>57.67</v>
      </c>
      <c r="C202">
        <v>57.85</v>
      </c>
      <c r="D202">
        <v>52.99</v>
      </c>
      <c r="E202">
        <v>57.12</v>
      </c>
      <c r="F202">
        <v>97361.396099999998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0.69958847736625351</v>
      </c>
      <c r="Q202">
        <f t="shared" si="960"/>
        <v>68112.910851851688</v>
      </c>
      <c r="R202">
        <f t="shared" si="961"/>
        <v>3461560.1914441306</v>
      </c>
      <c r="S202">
        <f t="shared" si="962"/>
        <v>34.615601914441307</v>
      </c>
      <c r="T202">
        <f t="shared" si="963"/>
        <v>3.4615601914441303E-2</v>
      </c>
    </row>
    <row r="203" spans="1:20" x14ac:dyDescent="0.25">
      <c r="A203" s="5">
        <v>44390</v>
      </c>
      <c r="B203">
        <v>59.22</v>
      </c>
      <c r="C203">
        <v>59.85</v>
      </c>
      <c r="D203">
        <v>55.5</v>
      </c>
      <c r="E203">
        <v>57.67</v>
      </c>
      <c r="F203">
        <v>90726.961200000005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-2.2988505747121857E-3</v>
      </c>
      <c r="Q203">
        <f t="shared" si="960"/>
        <v>-208.56772689651018</v>
      </c>
      <c r="R203">
        <f t="shared" si="961"/>
        <v>3393447.280592279</v>
      </c>
      <c r="S203">
        <f t="shared" si="962"/>
        <v>33.934472805922788</v>
      </c>
      <c r="T203">
        <f t="shared" si="963"/>
        <v>3.3934472805922787E-2</v>
      </c>
    </row>
    <row r="204" spans="1:20" x14ac:dyDescent="0.25">
      <c r="A204" s="5">
        <v>44389</v>
      </c>
      <c r="B204">
        <v>60.75</v>
      </c>
      <c r="C204">
        <v>62.56</v>
      </c>
      <c r="D204">
        <v>57.7</v>
      </c>
      <c r="E204">
        <v>59.25</v>
      </c>
      <c r="F204">
        <v>80670.414999999994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-0.36213991769547432</v>
      </c>
      <c r="Q204">
        <f t="shared" si="960"/>
        <v>-29213.977448559755</v>
      </c>
      <c r="R204">
        <f t="shared" si="961"/>
        <v>3393655.8483191757</v>
      </c>
      <c r="S204">
        <f t="shared" si="962"/>
        <v>33.936558483191753</v>
      </c>
      <c r="T204">
        <f t="shared" si="963"/>
        <v>3.3936558483191756E-2</v>
      </c>
    </row>
    <row r="205" spans="1:20" x14ac:dyDescent="0.25">
      <c r="A205" s="5">
        <v>44388</v>
      </c>
      <c r="B205">
        <v>58.71</v>
      </c>
      <c r="C205">
        <v>62.09</v>
      </c>
      <c r="D205">
        <v>57.76</v>
      </c>
      <c r="E205">
        <v>60.75</v>
      </c>
      <c r="F205">
        <v>91083.119300000006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0.38106235565819779</v>
      </c>
      <c r="Q205">
        <f t="shared" si="960"/>
        <v>34708.348001154664</v>
      </c>
      <c r="R205">
        <f t="shared" si="961"/>
        <v>3422869.8257677355</v>
      </c>
      <c r="S205">
        <f t="shared" si="962"/>
        <v>34.228698257677358</v>
      </c>
      <c r="T205">
        <f t="shared" si="963"/>
        <v>3.422869825767736E-2</v>
      </c>
    </row>
    <row r="206" spans="1:20" x14ac:dyDescent="0.25">
      <c r="A206" s="5">
        <v>44387</v>
      </c>
      <c r="B206">
        <v>61.04</v>
      </c>
      <c r="C206">
        <v>62.79</v>
      </c>
      <c r="D206">
        <v>57.16</v>
      </c>
      <c r="E206">
        <v>58.72</v>
      </c>
      <c r="F206">
        <v>79833.111900000004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-0.44582593250443991</v>
      </c>
      <c r="Q206">
        <f t="shared" si="960"/>
        <v>-35591.671557548798</v>
      </c>
      <c r="R206">
        <f t="shared" si="961"/>
        <v>3388161.4777665809</v>
      </c>
      <c r="S206">
        <f t="shared" si="962"/>
        <v>33.88161477766581</v>
      </c>
      <c r="T206">
        <f t="shared" si="963"/>
        <v>3.3881614777665811E-2</v>
      </c>
    </row>
    <row r="207" spans="1:20" x14ac:dyDescent="0.25">
      <c r="A207" s="5">
        <v>44386</v>
      </c>
      <c r="B207">
        <v>59.72</v>
      </c>
      <c r="C207">
        <v>62.45</v>
      </c>
      <c r="D207">
        <v>56.56</v>
      </c>
      <c r="E207">
        <v>61.03</v>
      </c>
      <c r="F207">
        <v>120653.6695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0.51782682512733391</v>
      </c>
      <c r="Q207">
        <f t="shared" si="960"/>
        <v>62477.70661714764</v>
      </c>
      <c r="R207">
        <f t="shared" si="961"/>
        <v>3423753.1493241298</v>
      </c>
      <c r="S207">
        <f t="shared" si="962"/>
        <v>34.237531493241299</v>
      </c>
      <c r="T207">
        <f t="shared" si="963"/>
        <v>3.4237531493241297E-2</v>
      </c>
    </row>
    <row r="208" spans="1:20" x14ac:dyDescent="0.25">
      <c r="A208" s="5">
        <v>44385</v>
      </c>
      <c r="B208">
        <v>64.400000000000006</v>
      </c>
      <c r="C208">
        <v>64.83</v>
      </c>
      <c r="D208">
        <v>58.11</v>
      </c>
      <c r="E208">
        <v>59.76</v>
      </c>
      <c r="F208">
        <v>187261.60250000001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-0.50892857142857173</v>
      </c>
      <c r="Q208">
        <f t="shared" si="960"/>
        <v>-95302.779843750061</v>
      </c>
      <c r="R208">
        <f t="shared" si="961"/>
        <v>3361275.4427069821</v>
      </c>
      <c r="S208">
        <f t="shared" si="962"/>
        <v>33.612754427069824</v>
      </c>
      <c r="T208">
        <f t="shared" si="963"/>
        <v>3.3612754427069826E-2</v>
      </c>
    </row>
    <row r="209" spans="1:20" x14ac:dyDescent="0.25">
      <c r="A209" s="5">
        <v>44384</v>
      </c>
      <c r="B209">
        <v>67.56</v>
      </c>
      <c r="C209">
        <v>69.92</v>
      </c>
      <c r="D209">
        <v>63.98</v>
      </c>
      <c r="E209">
        <v>64.37</v>
      </c>
      <c r="F209">
        <v>132226.23139999999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-0.86868686868686618</v>
      </c>
      <c r="Q209">
        <f t="shared" si="960"/>
        <v>-114863.19091313097</v>
      </c>
      <c r="R209">
        <f t="shared" si="961"/>
        <v>3456578.2225507321</v>
      </c>
      <c r="S209">
        <f t="shared" si="962"/>
        <v>34.56578222550732</v>
      </c>
      <c r="T209">
        <f t="shared" si="963"/>
        <v>3.4565782225507317E-2</v>
      </c>
    </row>
    <row r="210" spans="1:20" x14ac:dyDescent="0.25">
      <c r="A210" s="5">
        <v>44383</v>
      </c>
      <c r="B210">
        <v>63.09</v>
      </c>
      <c r="C210">
        <v>67.86</v>
      </c>
      <c r="D210">
        <v>62.9</v>
      </c>
      <c r="E210">
        <v>67.7</v>
      </c>
      <c r="F210">
        <v>140730.21609999999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0.93548387096774333</v>
      </c>
      <c r="Q210">
        <f t="shared" si="960"/>
        <v>131650.84731935503</v>
      </c>
      <c r="R210">
        <f t="shared" si="961"/>
        <v>3571441.4134638631</v>
      </c>
      <c r="S210">
        <f t="shared" si="962"/>
        <v>35.714414134638631</v>
      </c>
      <c r="T210">
        <f t="shared" si="963"/>
        <v>3.5714414134638633E-2</v>
      </c>
    </row>
    <row r="211" spans="1:20" x14ac:dyDescent="0.25">
      <c r="A211" s="5">
        <v>44382</v>
      </c>
      <c r="B211">
        <v>67.260000000000005</v>
      </c>
      <c r="C211">
        <v>68.58</v>
      </c>
      <c r="D211">
        <v>61.89</v>
      </c>
      <c r="E211">
        <v>63.09</v>
      </c>
      <c r="F211">
        <v>136071.61079999999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-0.64125560538116499</v>
      </c>
      <c r="Q211">
        <f t="shared" si="960"/>
        <v>-87256.683158744272</v>
      </c>
      <c r="R211">
        <f t="shared" si="961"/>
        <v>3439790.5661445078</v>
      </c>
      <c r="S211">
        <f t="shared" si="962"/>
        <v>34.39790566144508</v>
      </c>
      <c r="T211">
        <f t="shared" si="963"/>
        <v>3.4397905661445079E-2</v>
      </c>
    </row>
    <row r="212" spans="1:20" x14ac:dyDescent="0.25">
      <c r="A212" s="5">
        <v>44381</v>
      </c>
      <c r="B212">
        <v>66.599999999999994</v>
      </c>
      <c r="C212">
        <v>69.73</v>
      </c>
      <c r="D212">
        <v>64.55</v>
      </c>
      <c r="E212">
        <v>67.3</v>
      </c>
      <c r="F212">
        <v>98787.260899999994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6.1776061776060376E-2</v>
      </c>
      <c r="Q212">
        <f t="shared" si="960"/>
        <v>6102.6879320461931</v>
      </c>
      <c r="R212">
        <f t="shared" si="961"/>
        <v>3527047.249303252</v>
      </c>
      <c r="S212">
        <f t="shared" si="962"/>
        <v>35.270472493032521</v>
      </c>
      <c r="T212">
        <f t="shared" si="963"/>
        <v>3.5270472493032522E-2</v>
      </c>
    </row>
    <row r="213" spans="1:20" x14ac:dyDescent="0.25">
      <c r="A213" s="5">
        <v>44380</v>
      </c>
      <c r="B213">
        <v>62.35</v>
      </c>
      <c r="C213">
        <v>68.2</v>
      </c>
      <c r="D213">
        <v>61.07</v>
      </c>
      <c r="E213">
        <v>66.599999999999994</v>
      </c>
      <c r="F213">
        <v>112554.5042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0.55119214586255039</v>
      </c>
      <c r="Q213">
        <f t="shared" si="960"/>
        <v>62039.158696493439</v>
      </c>
      <c r="R213">
        <f t="shared" si="961"/>
        <v>3520944.5613712058</v>
      </c>
      <c r="S213">
        <f t="shared" si="962"/>
        <v>35.209445613712056</v>
      </c>
      <c r="T213">
        <f t="shared" si="963"/>
        <v>3.5209445613712059E-2</v>
      </c>
    </row>
    <row r="214" spans="1:20" x14ac:dyDescent="0.25">
      <c r="A214" s="5">
        <v>44379</v>
      </c>
      <c r="B214">
        <v>62.04</v>
      </c>
      <c r="C214">
        <v>64.099999999999994</v>
      </c>
      <c r="D214">
        <v>57.72</v>
      </c>
      <c r="E214">
        <v>62.36</v>
      </c>
      <c r="F214">
        <v>128940.4278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0.45454545454545575</v>
      </c>
      <c r="Q214">
        <f t="shared" si="960"/>
        <v>58609.285363636518</v>
      </c>
      <c r="R214">
        <f t="shared" si="961"/>
        <v>3458905.4026747122</v>
      </c>
      <c r="S214">
        <f t="shared" si="962"/>
        <v>34.589054026747121</v>
      </c>
      <c r="T214">
        <f t="shared" si="963"/>
        <v>3.4589054026747119E-2</v>
      </c>
    </row>
    <row r="215" spans="1:20" x14ac:dyDescent="0.25">
      <c r="A215" s="5">
        <v>44378</v>
      </c>
      <c r="B215">
        <v>68.14</v>
      </c>
      <c r="C215">
        <v>68.260000000000005</v>
      </c>
      <c r="D215">
        <v>61</v>
      </c>
      <c r="E215">
        <v>62.04</v>
      </c>
      <c r="F215">
        <v>172982.3083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-0.71349862258953212</v>
      </c>
      <c r="Q215">
        <f t="shared" si="960"/>
        <v>-123422.63870440779</v>
      </c>
      <c r="R215">
        <f t="shared" si="961"/>
        <v>3400296.1173110758</v>
      </c>
      <c r="S215">
        <f t="shared" si="962"/>
        <v>34.002961173110755</v>
      </c>
      <c r="T215">
        <f t="shared" si="963"/>
        <v>3.4002961173110753E-2</v>
      </c>
    </row>
    <row r="216" spans="1:20" x14ac:dyDescent="0.25">
      <c r="A216" s="5">
        <v>44377</v>
      </c>
      <c r="B216">
        <v>66.86</v>
      </c>
      <c r="C216">
        <v>72.58</v>
      </c>
      <c r="D216">
        <v>61.65</v>
      </c>
      <c r="E216">
        <v>68.260000000000005</v>
      </c>
      <c r="F216">
        <v>251403.11749999999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0.20951509606587496</v>
      </c>
      <c r="Q216">
        <f t="shared" si="960"/>
        <v>52672.748314272947</v>
      </c>
      <c r="R216">
        <f t="shared" si="961"/>
        <v>3523718.7560154838</v>
      </c>
      <c r="S216">
        <f t="shared" si="962"/>
        <v>35.237187560154837</v>
      </c>
      <c r="T216">
        <f t="shared" si="963"/>
        <v>3.5237187560154835E-2</v>
      </c>
    </row>
    <row r="217" spans="1:20" x14ac:dyDescent="0.25">
      <c r="A217" s="5">
        <v>44376</v>
      </c>
      <c r="B217">
        <v>62.24</v>
      </c>
      <c r="C217">
        <v>70.760000000000005</v>
      </c>
      <c r="D217">
        <v>62</v>
      </c>
      <c r="E217">
        <v>66.86</v>
      </c>
      <c r="F217">
        <v>213558.63560000001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0.10958904109588963</v>
      </c>
      <c r="Q217">
        <f t="shared" si="960"/>
        <v>23403.686093150518</v>
      </c>
      <c r="R217">
        <f t="shared" si="961"/>
        <v>3471046.0077012107</v>
      </c>
      <c r="S217">
        <f t="shared" si="962"/>
        <v>34.710460077012108</v>
      </c>
      <c r="T217">
        <f t="shared" si="963"/>
        <v>3.4710460077012111E-2</v>
      </c>
    </row>
    <row r="218" spans="1:20" x14ac:dyDescent="0.25">
      <c r="A218" s="5">
        <v>44375</v>
      </c>
      <c r="B218">
        <v>59.8</v>
      </c>
      <c r="C218">
        <v>64.3</v>
      </c>
      <c r="D218">
        <v>58.43</v>
      </c>
      <c r="E218">
        <v>62.23</v>
      </c>
      <c r="F218">
        <v>147326.68410000001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0.29471890971039144</v>
      </c>
      <c r="Q218">
        <f t="shared" si="960"/>
        <v>43419.959709199269</v>
      </c>
      <c r="R218">
        <f t="shared" si="961"/>
        <v>3447642.32160806</v>
      </c>
      <c r="S218">
        <f t="shared" si="962"/>
        <v>34.476423216080597</v>
      </c>
      <c r="T218">
        <f t="shared" si="963"/>
        <v>3.4476423216080597E-2</v>
      </c>
    </row>
    <row r="219" spans="1:20" x14ac:dyDescent="0.25">
      <c r="A219" s="5">
        <v>44374</v>
      </c>
      <c r="B219">
        <v>56.33</v>
      </c>
      <c r="C219">
        <v>59.85</v>
      </c>
      <c r="D219">
        <v>54.72</v>
      </c>
      <c r="E219">
        <v>59.75</v>
      </c>
      <c r="F219">
        <v>133675.49789999999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0.96101364522417099</v>
      </c>
      <c r="Q219">
        <f t="shared" si="960"/>
        <v>128463.977514035</v>
      </c>
      <c r="R219">
        <f t="shared" si="961"/>
        <v>3404222.3618988609</v>
      </c>
      <c r="S219">
        <f t="shared" si="962"/>
        <v>34.042223618988608</v>
      </c>
      <c r="T219">
        <f t="shared" si="963"/>
        <v>3.4042223618988607E-2</v>
      </c>
    </row>
    <row r="220" spans="1:20" x14ac:dyDescent="0.25">
      <c r="A220" s="5">
        <v>44373</v>
      </c>
      <c r="B220">
        <v>56.76</v>
      </c>
      <c r="C220">
        <v>59.27</v>
      </c>
      <c r="D220">
        <v>52.02</v>
      </c>
      <c r="E220">
        <v>56.39</v>
      </c>
      <c r="F220">
        <v>196795.51579999999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0.20551724137930963</v>
      </c>
      <c r="Q220">
        <f t="shared" si="960"/>
        <v>40444.871523034344</v>
      </c>
      <c r="R220">
        <f t="shared" si="961"/>
        <v>3275758.3843848258</v>
      </c>
      <c r="S220">
        <f t="shared" si="962"/>
        <v>32.757583843848259</v>
      </c>
      <c r="T220">
        <f t="shared" si="963"/>
        <v>3.2757583843848262E-2</v>
      </c>
    </row>
    <row r="221" spans="1:20" x14ac:dyDescent="0.25">
      <c r="A221" s="5">
        <v>44372</v>
      </c>
      <c r="B221">
        <v>64.34</v>
      </c>
      <c r="C221">
        <v>66.959999999999994</v>
      </c>
      <c r="D221">
        <v>55.72</v>
      </c>
      <c r="E221">
        <v>56.85</v>
      </c>
      <c r="F221">
        <v>201116.18049999999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-0.79893238434163649</v>
      </c>
      <c r="Q221">
        <f t="shared" si="960"/>
        <v>-160678.22961654793</v>
      </c>
      <c r="R221">
        <f t="shared" si="961"/>
        <v>3235313.5128617915</v>
      </c>
      <c r="S221">
        <f t="shared" si="962"/>
        <v>32.353135128617915</v>
      </c>
      <c r="T221">
        <f t="shared" si="963"/>
        <v>3.2353135128617913E-2</v>
      </c>
    </row>
    <row r="222" spans="1:20" x14ac:dyDescent="0.25">
      <c r="A222" s="5">
        <v>44371</v>
      </c>
      <c r="B222">
        <v>67.55</v>
      </c>
      <c r="C222">
        <v>68.400000000000006</v>
      </c>
      <c r="D222">
        <v>62.3</v>
      </c>
      <c r="E222">
        <v>64.31</v>
      </c>
      <c r="F222">
        <v>176108.5368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-0.34098360655737631</v>
      </c>
      <c r="Q222">
        <f t="shared" si="960"/>
        <v>-60050.124023606426</v>
      </c>
      <c r="R222">
        <f t="shared" si="961"/>
        <v>3395991.7424783395</v>
      </c>
      <c r="S222">
        <f t="shared" si="962"/>
        <v>33.959917424783391</v>
      </c>
      <c r="T222">
        <f t="shared" si="963"/>
        <v>3.3959917424783388E-2</v>
      </c>
    </row>
    <row r="223" spans="1:20" x14ac:dyDescent="0.25">
      <c r="A223" s="5">
        <v>44370</v>
      </c>
      <c r="B223">
        <v>55.1</v>
      </c>
      <c r="C223">
        <v>68.5</v>
      </c>
      <c r="D223">
        <v>52.5</v>
      </c>
      <c r="E223">
        <v>67.540000000000006</v>
      </c>
      <c r="F223">
        <v>368200.7022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0.88000000000000078</v>
      </c>
      <c r="Q223">
        <f t="shared" si="960"/>
        <v>324016.61793600029</v>
      </c>
      <c r="R223">
        <f t="shared" si="961"/>
        <v>3456041.866501946</v>
      </c>
      <c r="S223">
        <f t="shared" si="962"/>
        <v>34.560418665019462</v>
      </c>
      <c r="T223">
        <f t="shared" si="963"/>
        <v>3.4560418665019459E-2</v>
      </c>
    </row>
    <row r="224" spans="1:20" x14ac:dyDescent="0.25">
      <c r="A224" s="5">
        <v>44369</v>
      </c>
      <c r="B224">
        <v>56.24</v>
      </c>
      <c r="C224">
        <v>63.89</v>
      </c>
      <c r="D224">
        <v>47.35</v>
      </c>
      <c r="E224">
        <v>55.14</v>
      </c>
      <c r="F224">
        <v>631210.23349999997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-5.8041112454655437E-2</v>
      </c>
      <c r="Q224">
        <f t="shared" si="960"/>
        <v>-36636.144145102815</v>
      </c>
      <c r="R224">
        <f t="shared" si="961"/>
        <v>3132025.2485659458</v>
      </c>
      <c r="S224">
        <f t="shared" si="962"/>
        <v>31.320252485659459</v>
      </c>
      <c r="T224">
        <f t="shared" si="963"/>
        <v>3.1320252485659457E-2</v>
      </c>
    </row>
    <row r="225" spans="1:20" x14ac:dyDescent="0.25">
      <c r="A225" s="5">
        <v>44368</v>
      </c>
      <c r="B225">
        <v>78.2</v>
      </c>
      <c r="C225">
        <v>78.87</v>
      </c>
      <c r="D225">
        <v>55.77</v>
      </c>
      <c r="E225">
        <v>56.26</v>
      </c>
      <c r="F225">
        <v>351068.46429999999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-0.95757575757575797</v>
      </c>
      <c r="Q225">
        <f t="shared" si="960"/>
        <v>-336174.65066303045</v>
      </c>
      <c r="R225">
        <f t="shared" si="961"/>
        <v>3168661.3927110485</v>
      </c>
      <c r="S225">
        <f t="shared" si="962"/>
        <v>31.686613927110486</v>
      </c>
      <c r="T225">
        <f t="shared" si="963"/>
        <v>3.1686613927110488E-2</v>
      </c>
    </row>
    <row r="226" spans="1:20" x14ac:dyDescent="0.25">
      <c r="A226" s="5">
        <v>44367</v>
      </c>
      <c r="B226">
        <v>79.58</v>
      </c>
      <c r="C226">
        <v>80.69</v>
      </c>
      <c r="D226">
        <v>72.5</v>
      </c>
      <c r="E226">
        <v>78.069999999999993</v>
      </c>
      <c r="F226">
        <v>114246.5145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0.36019536019535892</v>
      </c>
      <c r="Q226">
        <f t="shared" si="960"/>
        <v>41151.064441391798</v>
      </c>
      <c r="R226">
        <f t="shared" si="961"/>
        <v>3504836.0433740788</v>
      </c>
      <c r="S226">
        <f t="shared" si="962"/>
        <v>35.04836043374079</v>
      </c>
      <c r="T226">
        <f t="shared" si="963"/>
        <v>3.5048360433740787E-2</v>
      </c>
    </row>
    <row r="227" spans="1:20" x14ac:dyDescent="0.25">
      <c r="A227" s="5">
        <v>44366</v>
      </c>
      <c r="B227">
        <v>81.17</v>
      </c>
      <c r="C227">
        <v>83.95</v>
      </c>
      <c r="D227">
        <v>78</v>
      </c>
      <c r="E227">
        <v>79.56</v>
      </c>
      <c r="F227">
        <v>103331.56969999999</v>
      </c>
      <c r="G227">
        <v>0</v>
      </c>
      <c r="L227" t="s">
        <v>8</v>
      </c>
      <c r="M227" t="s">
        <v>8</v>
      </c>
      <c r="N227" t="s">
        <v>7</v>
      </c>
      <c r="P227">
        <f t="shared" si="959"/>
        <v>-0.47563025210083981</v>
      </c>
      <c r="Q227">
        <f t="shared" si="960"/>
        <v>-49147.620546386497</v>
      </c>
      <c r="R227">
        <f t="shared" si="961"/>
        <v>3463684.9789326871</v>
      </c>
      <c r="S227">
        <f t="shared" si="962"/>
        <v>34.636849789326874</v>
      </c>
      <c r="T227">
        <f t="shared" si="963"/>
        <v>3.4636849789326872E-2</v>
      </c>
    </row>
    <row r="228" spans="1:20" x14ac:dyDescent="0.25">
      <c r="A228" s="5">
        <v>44365</v>
      </c>
      <c r="B228">
        <v>85.9</v>
      </c>
      <c r="C228">
        <v>85.9</v>
      </c>
      <c r="D228">
        <v>77.900000000000006</v>
      </c>
      <c r="E228">
        <v>81.3</v>
      </c>
      <c r="F228">
        <v>133598.3805</v>
      </c>
      <c r="G228">
        <v>0</v>
      </c>
      <c r="L228" t="s">
        <v>7</v>
      </c>
      <c r="M228" t="s">
        <v>8</v>
      </c>
      <c r="N228" t="s">
        <v>7</v>
      </c>
      <c r="P228">
        <f t="shared" si="959"/>
        <v>-0.15000000000000213</v>
      </c>
      <c r="Q228">
        <f t="shared" si="960"/>
        <v>-20039.757075000285</v>
      </c>
      <c r="R228">
        <f t="shared" si="961"/>
        <v>3512832.5994790737</v>
      </c>
      <c r="S228">
        <f t="shared" si="962"/>
        <v>35.128325994790735</v>
      </c>
      <c r="T228">
        <f t="shared" si="963"/>
        <v>3.5128325994790738E-2</v>
      </c>
    </row>
    <row r="229" spans="1:20" x14ac:dyDescent="0.25">
      <c r="A229" s="5">
        <v>44364</v>
      </c>
      <c r="B229">
        <v>89.82</v>
      </c>
      <c r="C229">
        <v>92.79</v>
      </c>
      <c r="D229">
        <v>83.1</v>
      </c>
      <c r="E229">
        <v>85.86</v>
      </c>
      <c r="F229">
        <v>119776.4577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-0.43034055727554144</v>
      </c>
      <c r="Q229">
        <f t="shared" si="960"/>
        <v>-51544.667555108317</v>
      </c>
      <c r="R229">
        <f t="shared" si="961"/>
        <v>3532872.3565540737</v>
      </c>
      <c r="S229">
        <f t="shared" si="962"/>
        <v>35.328723565540734</v>
      </c>
      <c r="T229">
        <f t="shared" si="963"/>
        <v>3.5328723565540732E-2</v>
      </c>
    </row>
    <row r="230" spans="1:20" x14ac:dyDescent="0.25">
      <c r="A230" s="5">
        <v>44363</v>
      </c>
      <c r="B230">
        <v>85.74</v>
      </c>
      <c r="C230">
        <v>92.97</v>
      </c>
      <c r="D230">
        <v>81.47</v>
      </c>
      <c r="E230">
        <v>89.55</v>
      </c>
      <c r="F230">
        <v>290235.26289999997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0.40521739130434753</v>
      </c>
      <c r="Q230">
        <f t="shared" si="960"/>
        <v>117608.37609686947</v>
      </c>
      <c r="R230">
        <f t="shared" si="961"/>
        <v>3584417.0241091819</v>
      </c>
      <c r="S230">
        <f t="shared" si="962"/>
        <v>35.844170241091817</v>
      </c>
      <c r="T230">
        <f t="shared" si="963"/>
        <v>3.5844170241091815E-2</v>
      </c>
    </row>
    <row r="231" spans="1:20" x14ac:dyDescent="0.25">
      <c r="A231" s="5">
        <v>44362</v>
      </c>
      <c r="B231">
        <v>84.58</v>
      </c>
      <c r="C231">
        <v>87.58</v>
      </c>
      <c r="D231">
        <v>81</v>
      </c>
      <c r="E231">
        <v>85.68</v>
      </c>
      <c r="F231">
        <v>129360.8836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0.42249240121580789</v>
      </c>
      <c r="Q231">
        <f t="shared" si="960"/>
        <v>54653.990335562623</v>
      </c>
      <c r="R231">
        <f t="shared" si="961"/>
        <v>3466808.6480123126</v>
      </c>
      <c r="S231">
        <f t="shared" si="962"/>
        <v>34.668086480123129</v>
      </c>
      <c r="T231">
        <f t="shared" si="963"/>
        <v>3.4668086480123129E-2</v>
      </c>
    </row>
    <row r="232" spans="1:20" x14ac:dyDescent="0.25">
      <c r="A232" s="5">
        <v>44361</v>
      </c>
      <c r="B232">
        <v>83.85</v>
      </c>
      <c r="C232">
        <v>85.89</v>
      </c>
      <c r="D232">
        <v>81.12</v>
      </c>
      <c r="E232">
        <v>84.58</v>
      </c>
      <c r="F232">
        <v>131295.26790000001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0.45073375262054366</v>
      </c>
      <c r="Q232">
        <f t="shared" si="960"/>
        <v>59179.208801886612</v>
      </c>
      <c r="R232">
        <f t="shared" si="961"/>
        <v>3412154.6576767499</v>
      </c>
      <c r="S232">
        <f t="shared" si="962"/>
        <v>34.1215465767675</v>
      </c>
      <c r="T232">
        <f t="shared" si="963"/>
        <v>3.4121546576767497E-2</v>
      </c>
    </row>
    <row r="233" spans="1:20" x14ac:dyDescent="0.25">
      <c r="A233" s="5">
        <v>44360</v>
      </c>
      <c r="B233">
        <v>78.62</v>
      </c>
      <c r="C233">
        <v>85</v>
      </c>
      <c r="D233">
        <v>76.23</v>
      </c>
      <c r="E233">
        <v>83.85</v>
      </c>
      <c r="F233">
        <v>128776.8202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0.73774230330672608</v>
      </c>
      <c r="Q233">
        <f t="shared" si="960"/>
        <v>95004.107946864126</v>
      </c>
      <c r="R233">
        <f t="shared" si="961"/>
        <v>3352975.4488748633</v>
      </c>
      <c r="S233">
        <f t="shared" si="962"/>
        <v>33.529754488748637</v>
      </c>
      <c r="T233">
        <f t="shared" si="963"/>
        <v>3.3529754488748634E-2</v>
      </c>
    </row>
    <row r="234" spans="1:20" x14ac:dyDescent="0.25">
      <c r="A234" s="5">
        <v>44359</v>
      </c>
      <c r="B234">
        <v>79.52</v>
      </c>
      <c r="C234">
        <v>83.8</v>
      </c>
      <c r="D234">
        <v>72.14</v>
      </c>
      <c r="E234">
        <v>78.58</v>
      </c>
      <c r="F234">
        <v>251163.9871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0.10463121783876494</v>
      </c>
      <c r="Q234">
        <f t="shared" si="960"/>
        <v>26279.59384751285</v>
      </c>
      <c r="R234">
        <f t="shared" si="961"/>
        <v>3257971.340927999</v>
      </c>
      <c r="S234">
        <f t="shared" si="962"/>
        <v>32.579713409279989</v>
      </c>
      <c r="T234">
        <f t="shared" si="963"/>
        <v>3.2579713409279988E-2</v>
      </c>
    </row>
    <row r="235" spans="1:20" x14ac:dyDescent="0.25">
      <c r="A235" s="5">
        <v>44358</v>
      </c>
      <c r="B235">
        <v>87.11</v>
      </c>
      <c r="C235">
        <v>88.04</v>
      </c>
      <c r="D235">
        <v>78.22</v>
      </c>
      <c r="E235">
        <v>79.489999999999995</v>
      </c>
      <c r="F235">
        <v>121491.0555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-0.74134419551934927</v>
      </c>
      <c r="Q235">
        <f t="shared" si="960"/>
        <v>-90066.688802444114</v>
      </c>
      <c r="R235">
        <f t="shared" si="961"/>
        <v>3231691.7470804863</v>
      </c>
      <c r="S235">
        <f t="shared" si="962"/>
        <v>32.31691747080486</v>
      </c>
      <c r="T235">
        <f t="shared" si="963"/>
        <v>3.2316917470804861E-2</v>
      </c>
    </row>
    <row r="236" spans="1:20" x14ac:dyDescent="0.25">
      <c r="A236" s="5">
        <v>44357</v>
      </c>
      <c r="B236">
        <v>92.71</v>
      </c>
      <c r="C236">
        <v>95</v>
      </c>
      <c r="D236">
        <v>84.52</v>
      </c>
      <c r="E236">
        <v>87</v>
      </c>
      <c r="F236">
        <v>216779.5111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-0.52671755725190783</v>
      </c>
      <c r="Q236">
        <f t="shared" si="960"/>
        <v>-114181.57454885484</v>
      </c>
      <c r="R236">
        <f t="shared" si="961"/>
        <v>3321758.4358829302</v>
      </c>
      <c r="S236">
        <f t="shared" si="962"/>
        <v>33.217584358829299</v>
      </c>
      <c r="T236">
        <f t="shared" si="963"/>
        <v>3.3217584358829301E-2</v>
      </c>
    </row>
    <row r="237" spans="1:20" x14ac:dyDescent="0.25">
      <c r="A237" s="5">
        <v>44356</v>
      </c>
      <c r="B237">
        <v>83.07</v>
      </c>
      <c r="C237">
        <v>92.7</v>
      </c>
      <c r="D237">
        <v>76.5</v>
      </c>
      <c r="E237">
        <v>92.7</v>
      </c>
      <c r="F237">
        <v>248224.70939999999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1</v>
      </c>
      <c r="Q237">
        <f t="shared" si="960"/>
        <v>248224.70939999999</v>
      </c>
      <c r="R237">
        <f t="shared" si="961"/>
        <v>3435940.0104317851</v>
      </c>
      <c r="S237">
        <f t="shared" si="962"/>
        <v>34.359400104317849</v>
      </c>
      <c r="T237">
        <f t="shared" si="963"/>
        <v>3.4359400104317851E-2</v>
      </c>
    </row>
    <row r="238" spans="1:20" x14ac:dyDescent="0.25">
      <c r="A238" s="5">
        <v>44355</v>
      </c>
      <c r="B238">
        <v>86.42</v>
      </c>
      <c r="C238">
        <v>89</v>
      </c>
      <c r="D238">
        <v>73.23</v>
      </c>
      <c r="E238">
        <v>83.05</v>
      </c>
      <c r="F238">
        <v>337911.10249999998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0.24540266328471727</v>
      </c>
      <c r="Q238">
        <f t="shared" si="960"/>
        <v>82924.284506975077</v>
      </c>
      <c r="R238">
        <f t="shared" si="961"/>
        <v>3187715.3010317851</v>
      </c>
      <c r="S238">
        <f t="shared" si="962"/>
        <v>31.877153010317851</v>
      </c>
      <c r="T238">
        <f t="shared" si="963"/>
        <v>3.1877153010317849E-2</v>
      </c>
    </row>
    <row r="239" spans="1:20" x14ac:dyDescent="0.25">
      <c r="A239" s="5">
        <v>44354</v>
      </c>
      <c r="B239">
        <v>96.82</v>
      </c>
      <c r="C239">
        <v>99.72</v>
      </c>
      <c r="D239">
        <v>85.88</v>
      </c>
      <c r="E239">
        <v>86.29</v>
      </c>
      <c r="F239">
        <v>146047.5453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-0.94075144508670361</v>
      </c>
      <c r="Q239">
        <f t="shared" si="960"/>
        <v>-137394.4392923408</v>
      </c>
      <c r="R239">
        <f t="shared" si="961"/>
        <v>3104791.0165248099</v>
      </c>
      <c r="S239">
        <f t="shared" si="962"/>
        <v>31.047910165248098</v>
      </c>
      <c r="T239">
        <f t="shared" si="963"/>
        <v>3.1047910165248098E-2</v>
      </c>
    </row>
    <row r="240" spans="1:20" x14ac:dyDescent="0.25">
      <c r="A240" s="5">
        <v>44353</v>
      </c>
      <c r="B240">
        <v>98.66</v>
      </c>
      <c r="C240">
        <v>100</v>
      </c>
      <c r="D240">
        <v>94.11</v>
      </c>
      <c r="E240">
        <v>96.91</v>
      </c>
      <c r="F240">
        <v>97449.781499999997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-4.9235993208829577E-2</v>
      </c>
      <c r="Q240">
        <f t="shared" si="960"/>
        <v>-4798.0367801359262</v>
      </c>
      <c r="R240">
        <f t="shared" si="961"/>
        <v>3242185.4558171509</v>
      </c>
      <c r="S240">
        <f t="shared" si="962"/>
        <v>32.421854558171511</v>
      </c>
      <c r="T240">
        <f t="shared" si="963"/>
        <v>3.2421854558171509E-2</v>
      </c>
    </row>
    <row r="241" spans="1:20" x14ac:dyDescent="0.25">
      <c r="A241" s="5">
        <v>44352</v>
      </c>
      <c r="B241">
        <v>103.51</v>
      </c>
      <c r="C241">
        <v>107.77</v>
      </c>
      <c r="D241">
        <v>93.9</v>
      </c>
      <c r="E241">
        <v>98.65</v>
      </c>
      <c r="F241">
        <v>219466.33780000001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-0.31506849315068447</v>
      </c>
      <c r="Q241">
        <f t="shared" si="960"/>
        <v>-69146.928347945111</v>
      </c>
      <c r="R241">
        <f t="shared" si="961"/>
        <v>3246983.4925972866</v>
      </c>
      <c r="S241">
        <f t="shared" si="962"/>
        <v>32.469834925972869</v>
      </c>
      <c r="T241">
        <f t="shared" si="963"/>
        <v>3.2469834925972871E-2</v>
      </c>
    </row>
    <row r="242" spans="1:20" x14ac:dyDescent="0.25">
      <c r="A242" s="5">
        <v>44351</v>
      </c>
      <c r="B242">
        <v>112.97</v>
      </c>
      <c r="C242">
        <v>113.13</v>
      </c>
      <c r="D242">
        <v>99.55</v>
      </c>
      <c r="E242">
        <v>103.54</v>
      </c>
      <c r="F242">
        <v>251778.31700000001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-0.41237113402061715</v>
      </c>
      <c r="Q242">
        <f t="shared" si="960"/>
        <v>-103826.11010309243</v>
      </c>
      <c r="R242">
        <f t="shared" si="961"/>
        <v>3316130.4209452318</v>
      </c>
      <c r="S242">
        <f t="shared" si="962"/>
        <v>33.161304209452318</v>
      </c>
      <c r="T242">
        <f t="shared" si="963"/>
        <v>3.3161304209452319E-2</v>
      </c>
    </row>
    <row r="243" spans="1:20" x14ac:dyDescent="0.25">
      <c r="A243" s="5">
        <v>44350</v>
      </c>
      <c r="B243">
        <v>109.21</v>
      </c>
      <c r="C243">
        <v>116.99</v>
      </c>
      <c r="D243">
        <v>108.62</v>
      </c>
      <c r="E243">
        <v>112.96</v>
      </c>
      <c r="F243">
        <v>220434.2378</v>
      </c>
      <c r="G243">
        <v>0</v>
      </c>
      <c r="L243" t="s">
        <v>8</v>
      </c>
      <c r="M243" t="s">
        <v>7</v>
      </c>
      <c r="N243" t="s">
        <v>8</v>
      </c>
      <c r="P243">
        <f t="shared" si="959"/>
        <v>3.7037037037035654E-2</v>
      </c>
      <c r="Q243">
        <f t="shared" si="960"/>
        <v>8164.2310296293244</v>
      </c>
      <c r="R243">
        <f t="shared" si="961"/>
        <v>3419956.5310483244</v>
      </c>
      <c r="S243">
        <f t="shared" si="962"/>
        <v>34.199565310483244</v>
      </c>
      <c r="T243">
        <f t="shared" si="963"/>
        <v>3.4199565310483244E-2</v>
      </c>
    </row>
    <row r="244" spans="1:20" x14ac:dyDescent="0.25">
      <c r="A244" s="5">
        <v>44349</v>
      </c>
      <c r="B244">
        <v>105.51</v>
      </c>
      <c r="C244">
        <v>115.16</v>
      </c>
      <c r="D244">
        <v>103</v>
      </c>
      <c r="E244">
        <v>109.21</v>
      </c>
      <c r="F244">
        <v>201979.9828</v>
      </c>
      <c r="G244">
        <v>0</v>
      </c>
      <c r="L244" t="s">
        <v>8</v>
      </c>
      <c r="M244" t="s">
        <v>7</v>
      </c>
      <c r="N244" t="s">
        <v>8</v>
      </c>
      <c r="P244">
        <f t="shared" si="959"/>
        <v>2.1381578947367679E-2</v>
      </c>
      <c r="Q244">
        <f t="shared" si="960"/>
        <v>4318.6509480261657</v>
      </c>
      <c r="R244">
        <f t="shared" si="961"/>
        <v>3411792.3000186952</v>
      </c>
      <c r="S244">
        <f t="shared" si="962"/>
        <v>34.117923000186948</v>
      </c>
      <c r="T244">
        <f t="shared" si="963"/>
        <v>3.4117923000186949E-2</v>
      </c>
    </row>
    <row r="245" spans="1:20" x14ac:dyDescent="0.25">
      <c r="A245" s="5">
        <v>44348</v>
      </c>
      <c r="B245">
        <v>107.63</v>
      </c>
      <c r="C245">
        <v>111.99</v>
      </c>
      <c r="D245">
        <v>103.15</v>
      </c>
      <c r="E245">
        <v>105.53</v>
      </c>
      <c r="F245">
        <v>223985.7053</v>
      </c>
      <c r="G245">
        <v>0</v>
      </c>
      <c r="L245" t="s">
        <v>8</v>
      </c>
      <c r="M245" t="s">
        <v>7</v>
      </c>
      <c r="N245" t="s">
        <v>8</v>
      </c>
      <c r="P245">
        <f t="shared" si="959"/>
        <v>-0.4615384615384619</v>
      </c>
      <c r="Q245">
        <f t="shared" si="960"/>
        <v>-103378.01783076931</v>
      </c>
      <c r="R245">
        <f t="shared" si="961"/>
        <v>3407473.649070669</v>
      </c>
      <c r="S245">
        <f t="shared" si="962"/>
        <v>34.074736490706691</v>
      </c>
      <c r="T245">
        <f t="shared" si="963"/>
        <v>3.4074736490706692E-2</v>
      </c>
    </row>
    <row r="246" spans="1:20" x14ac:dyDescent="0.25">
      <c r="A246" s="5">
        <v>44347</v>
      </c>
      <c r="B246">
        <v>106.25</v>
      </c>
      <c r="C246">
        <v>109</v>
      </c>
      <c r="D246">
        <v>100</v>
      </c>
      <c r="E246">
        <v>107.6</v>
      </c>
      <c r="F246">
        <v>327847.33880000003</v>
      </c>
      <c r="G246">
        <v>0</v>
      </c>
      <c r="L246" t="s">
        <v>7</v>
      </c>
      <c r="M246" t="s">
        <v>7</v>
      </c>
      <c r="N246" t="s">
        <v>8</v>
      </c>
      <c r="P246">
        <f t="shared" si="959"/>
        <v>0.68888888888888766</v>
      </c>
      <c r="Q246">
        <f t="shared" si="960"/>
        <v>225850.38895111074</v>
      </c>
      <c r="R246">
        <f t="shared" si="961"/>
        <v>3510851.6669014385</v>
      </c>
      <c r="S246">
        <f t="shared" si="962"/>
        <v>35.108516669014385</v>
      </c>
      <c r="T246">
        <f t="shared" si="963"/>
        <v>3.5108516669014385E-2</v>
      </c>
    </row>
    <row r="247" spans="1:20" x14ac:dyDescent="0.25">
      <c r="A247" s="5">
        <v>44346</v>
      </c>
      <c r="B247">
        <v>121.54</v>
      </c>
      <c r="C247">
        <v>125</v>
      </c>
      <c r="D247">
        <v>105.19</v>
      </c>
      <c r="E247">
        <v>106.25</v>
      </c>
      <c r="F247">
        <v>441270.85940000002</v>
      </c>
      <c r="G247">
        <v>0</v>
      </c>
      <c r="L247" t="s">
        <v>7</v>
      </c>
      <c r="M247" t="s">
        <v>8</v>
      </c>
      <c r="N247" t="s">
        <v>8</v>
      </c>
      <c r="P247">
        <f t="shared" si="959"/>
        <v>-0.89298334174659244</v>
      </c>
      <c r="Q247">
        <f t="shared" si="960"/>
        <v>-394047.52664240275</v>
      </c>
      <c r="R247">
        <f t="shared" si="961"/>
        <v>3285001.2779503278</v>
      </c>
      <c r="S247">
        <f t="shared" si="962"/>
        <v>32.850012779503281</v>
      </c>
      <c r="T247">
        <f t="shared" si="963"/>
        <v>3.2850012779503279E-2</v>
      </c>
    </row>
    <row r="248" spans="1:20" x14ac:dyDescent="0.25">
      <c r="A248" s="5">
        <v>44345</v>
      </c>
      <c r="B248">
        <v>99.27</v>
      </c>
      <c r="C248">
        <v>123.29</v>
      </c>
      <c r="D248">
        <v>96.11</v>
      </c>
      <c r="E248">
        <v>121.5</v>
      </c>
      <c r="F248">
        <v>1002796.2635999999</v>
      </c>
      <c r="G248">
        <v>0</v>
      </c>
      <c r="L248" t="s">
        <v>8</v>
      </c>
      <c r="M248" t="s">
        <v>8</v>
      </c>
      <c r="N248" t="s">
        <v>8</v>
      </c>
      <c r="P248">
        <f t="shared" si="959"/>
        <v>0.86828550404709304</v>
      </c>
      <c r="Q248">
        <f t="shared" si="960"/>
        <v>870713.45919646753</v>
      </c>
      <c r="R248">
        <f t="shared" si="961"/>
        <v>3679048.8045927305</v>
      </c>
      <c r="S248">
        <f t="shared" si="962"/>
        <v>36.790488045927304</v>
      </c>
      <c r="T248">
        <f t="shared" si="963"/>
        <v>3.6790488045927307E-2</v>
      </c>
    </row>
    <row r="249" spans="1:20" x14ac:dyDescent="0.25">
      <c r="A249" s="5">
        <v>44344</v>
      </c>
      <c r="B249">
        <v>103.57</v>
      </c>
      <c r="C249">
        <v>105.28</v>
      </c>
      <c r="D249">
        <v>87.04</v>
      </c>
      <c r="E249">
        <v>99.14</v>
      </c>
      <c r="F249">
        <v>424123.68430000002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0.32675438596491202</v>
      </c>
      <c r="Q249">
        <f t="shared" si="960"/>
        <v>138584.27403662269</v>
      </c>
      <c r="R249">
        <f t="shared" si="961"/>
        <v>2808335.3453962631</v>
      </c>
      <c r="S249">
        <f t="shared" si="962"/>
        <v>28.08335345396263</v>
      </c>
      <c r="T249">
        <f t="shared" si="963"/>
        <v>2.808335345396263E-2</v>
      </c>
    </row>
    <row r="250" spans="1:20" x14ac:dyDescent="0.25">
      <c r="A250" s="5">
        <v>44343</v>
      </c>
      <c r="B250">
        <v>108.78</v>
      </c>
      <c r="C250">
        <v>108.78</v>
      </c>
      <c r="D250">
        <v>95</v>
      </c>
      <c r="E250">
        <v>103.57</v>
      </c>
      <c r="F250">
        <v>299285.70380000002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0.24383164005805405</v>
      </c>
      <c r="Q250">
        <f t="shared" si="960"/>
        <v>72975.32400348298</v>
      </c>
      <c r="R250">
        <f t="shared" si="961"/>
        <v>2669751.0713596405</v>
      </c>
      <c r="S250">
        <f t="shared" si="962"/>
        <v>26.697510713596404</v>
      </c>
      <c r="T250">
        <f t="shared" si="963"/>
        <v>2.6697510713596405E-2</v>
      </c>
    </row>
    <row r="251" spans="1:20" x14ac:dyDescent="0.25">
      <c r="A251" s="5">
        <v>44342</v>
      </c>
      <c r="B251">
        <v>99.75</v>
      </c>
      <c r="C251">
        <v>108.76</v>
      </c>
      <c r="D251">
        <v>95</v>
      </c>
      <c r="E251">
        <v>108.62</v>
      </c>
      <c r="F251">
        <v>380706.89870000002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0.97965116279069764</v>
      </c>
      <c r="Q251">
        <f t="shared" si="960"/>
        <v>372959.95599389536</v>
      </c>
      <c r="R251">
        <f t="shared" si="961"/>
        <v>2596775.7473561573</v>
      </c>
      <c r="S251">
        <f t="shared" si="962"/>
        <v>25.967757473561573</v>
      </c>
      <c r="T251">
        <f t="shared" si="963"/>
        <v>2.5967757473561573E-2</v>
      </c>
    </row>
    <row r="252" spans="1:20" x14ac:dyDescent="0.25">
      <c r="A252" s="5">
        <v>44341</v>
      </c>
      <c r="B252">
        <v>106.7</v>
      </c>
      <c r="C252">
        <v>111.89</v>
      </c>
      <c r="D252">
        <v>86.32</v>
      </c>
      <c r="E252">
        <v>99.91</v>
      </c>
      <c r="F252">
        <v>585514.98979999998</v>
      </c>
      <c r="G252">
        <v>0</v>
      </c>
      <c r="L252" t="s">
        <v>8</v>
      </c>
      <c r="M252" t="s">
        <v>7</v>
      </c>
      <c r="N252" t="s">
        <v>8</v>
      </c>
      <c r="P252">
        <f t="shared" si="959"/>
        <v>6.2964411419632341E-2</v>
      </c>
      <c r="Q252">
        <f t="shared" si="960"/>
        <v>36866.606710129032</v>
      </c>
      <c r="R252">
        <f t="shared" si="961"/>
        <v>2223815.7913622619</v>
      </c>
      <c r="S252">
        <f t="shared" si="962"/>
        <v>22.238157913622619</v>
      </c>
      <c r="T252">
        <f t="shared" si="963"/>
        <v>2.223815791362262E-2</v>
      </c>
    </row>
    <row r="253" spans="1:20" x14ac:dyDescent="0.25">
      <c r="A253" s="5">
        <v>44340</v>
      </c>
      <c r="B253">
        <v>72.23</v>
      </c>
      <c r="C253">
        <v>109.87</v>
      </c>
      <c r="D253">
        <v>70.8</v>
      </c>
      <c r="E253">
        <v>106.81</v>
      </c>
      <c r="F253">
        <v>621547.05279999995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0.84335807524955198</v>
      </c>
      <c r="Q253">
        <f t="shared" si="960"/>
        <v>524186.72612643964</v>
      </c>
      <c r="R253">
        <f t="shared" si="961"/>
        <v>2186949.1846521329</v>
      </c>
      <c r="S253">
        <f t="shared" si="962"/>
        <v>21.869491846521328</v>
      </c>
      <c r="T253">
        <f t="shared" si="963"/>
        <v>2.1869491846521327E-2</v>
      </c>
    </row>
    <row r="254" spans="1:20" x14ac:dyDescent="0.25">
      <c r="A254" s="5">
        <v>44339</v>
      </c>
      <c r="B254">
        <v>91.22</v>
      </c>
      <c r="C254">
        <v>94.99</v>
      </c>
      <c r="D254">
        <v>60</v>
      </c>
      <c r="E254">
        <v>72.2</v>
      </c>
      <c r="F254">
        <v>747012.45869999996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-0.30265790225778766</v>
      </c>
      <c r="Q254">
        <f t="shared" si="960"/>
        <v>-226089.22371057424</v>
      </c>
      <c r="R254">
        <f t="shared" si="961"/>
        <v>1662762.4585256933</v>
      </c>
      <c r="S254">
        <f t="shared" si="962"/>
        <v>16.627624585256932</v>
      </c>
      <c r="T254">
        <f t="shared" si="963"/>
        <v>1.662762458525693E-2</v>
      </c>
    </row>
    <row r="255" spans="1:20" x14ac:dyDescent="0.25">
      <c r="A255" s="5">
        <v>44338</v>
      </c>
      <c r="B255">
        <v>100.87</v>
      </c>
      <c r="C255">
        <v>107.99</v>
      </c>
      <c r="D255">
        <v>86.01</v>
      </c>
      <c r="E255">
        <v>91.11</v>
      </c>
      <c r="F255">
        <v>758489.2219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-0.53594176524112858</v>
      </c>
      <c r="Q255">
        <f t="shared" si="960"/>
        <v>-406506.05250145606</v>
      </c>
      <c r="R255">
        <f t="shared" si="961"/>
        <v>1888851.6822362675</v>
      </c>
      <c r="S255">
        <f t="shared" si="962"/>
        <v>18.888516822362675</v>
      </c>
      <c r="T255">
        <f t="shared" si="963"/>
        <v>1.8888516822362676E-2</v>
      </c>
    </row>
    <row r="256" spans="1:20" x14ac:dyDescent="0.25">
      <c r="A256" s="5">
        <v>44337</v>
      </c>
      <c r="B256">
        <v>84.26</v>
      </c>
      <c r="C256">
        <v>109.98</v>
      </c>
      <c r="D256">
        <v>77.03</v>
      </c>
      <c r="E256">
        <v>100.67</v>
      </c>
      <c r="F256">
        <v>950524.24959999998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0.4349013657056145</v>
      </c>
      <c r="Q256">
        <f t="shared" si="960"/>
        <v>413384.29428734438</v>
      </c>
      <c r="R256">
        <f t="shared" si="961"/>
        <v>2295357.7347377236</v>
      </c>
      <c r="S256">
        <f t="shared" si="962"/>
        <v>22.953577347377237</v>
      </c>
      <c r="T256">
        <f t="shared" si="963"/>
        <v>2.2953577347377237E-2</v>
      </c>
    </row>
    <row r="257" spans="1:20" x14ac:dyDescent="0.25">
      <c r="A257" s="5">
        <v>44336</v>
      </c>
      <c r="B257">
        <v>72.739999999999995</v>
      </c>
      <c r="C257">
        <v>91.23</v>
      </c>
      <c r="D257">
        <v>63.7</v>
      </c>
      <c r="E257">
        <v>84.28</v>
      </c>
      <c r="F257">
        <v>404150.2022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0.49509625862695222</v>
      </c>
      <c r="Q257">
        <f t="shared" si="960"/>
        <v>200093.25303254623</v>
      </c>
      <c r="R257">
        <f t="shared" si="961"/>
        <v>1881973.4404503794</v>
      </c>
      <c r="S257">
        <f t="shared" si="962"/>
        <v>18.819734404503794</v>
      </c>
      <c r="T257">
        <f t="shared" si="963"/>
        <v>1.8819734404503793E-2</v>
      </c>
    </row>
    <row r="258" spans="1:20" x14ac:dyDescent="0.25">
      <c r="A258" s="5">
        <v>44335</v>
      </c>
      <c r="B258">
        <v>115.1</v>
      </c>
      <c r="C258">
        <v>117.85</v>
      </c>
      <c r="D258">
        <v>53.33</v>
      </c>
      <c r="E258">
        <v>72.47</v>
      </c>
      <c r="F258">
        <v>705012.98250000004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-0.40669559826410412</v>
      </c>
      <c r="Q258">
        <f t="shared" si="960"/>
        <v>-286725.67670179787</v>
      </c>
      <c r="R258">
        <f t="shared" si="961"/>
        <v>1681880.1874178331</v>
      </c>
      <c r="S258">
        <f t="shared" si="962"/>
        <v>16.81880187417833</v>
      </c>
      <c r="T258">
        <f t="shared" si="963"/>
        <v>1.6818801874178332E-2</v>
      </c>
    </row>
    <row r="259" spans="1:20" x14ac:dyDescent="0.25">
      <c r="A259" s="5">
        <v>44334</v>
      </c>
      <c r="B259">
        <v>114.75</v>
      </c>
      <c r="C259">
        <v>123.06</v>
      </c>
      <c r="D259">
        <v>109.94</v>
      </c>
      <c r="E259">
        <v>115.05</v>
      </c>
      <c r="F259">
        <v>239002.9522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-0.22103658536585402</v>
      </c>
      <c r="Q259">
        <f t="shared" si="960"/>
        <v>-52828.396446646431</v>
      </c>
      <c r="R259">
        <f t="shared" si="961"/>
        <v>1968605.864119631</v>
      </c>
      <c r="S259">
        <f t="shared" si="962"/>
        <v>19.686058641196311</v>
      </c>
      <c r="T259">
        <f t="shared" si="963"/>
        <v>1.9686058641196311E-2</v>
      </c>
    </row>
    <row r="260" spans="1:20" x14ac:dyDescent="0.25">
      <c r="A260" s="5">
        <v>44333</v>
      </c>
      <c r="B260">
        <v>125.51</v>
      </c>
      <c r="C260">
        <v>126</v>
      </c>
      <c r="D260">
        <v>109.43</v>
      </c>
      <c r="E260">
        <v>114.74</v>
      </c>
      <c r="F260">
        <v>375719.8848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-0.35908267954134093</v>
      </c>
      <c r="Q260">
        <f t="shared" si="960"/>
        <v>-134914.50299094792</v>
      </c>
      <c r="R260">
        <f t="shared" si="961"/>
        <v>2021434.2605662774</v>
      </c>
      <c r="S260">
        <f t="shared" si="962"/>
        <v>20.214342605662775</v>
      </c>
      <c r="T260">
        <f t="shared" si="963"/>
        <v>2.0214342605662777E-2</v>
      </c>
    </row>
    <row r="261" spans="1:20" x14ac:dyDescent="0.25">
      <c r="A261" s="5">
        <v>44332</v>
      </c>
      <c r="B261">
        <v>127.58</v>
      </c>
      <c r="C261">
        <v>136.99</v>
      </c>
      <c r="D261">
        <v>117.41</v>
      </c>
      <c r="E261">
        <v>125.71</v>
      </c>
      <c r="F261">
        <v>204756.46669999999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-0.15219611848825415</v>
      </c>
      <c r="Q261">
        <f t="shared" si="960"/>
        <v>-31163.139467109464</v>
      </c>
      <c r="R261">
        <f t="shared" si="961"/>
        <v>2156348.7635572255</v>
      </c>
      <c r="S261">
        <f t="shared" si="962"/>
        <v>21.563487635572255</v>
      </c>
      <c r="T261">
        <f t="shared" si="963"/>
        <v>2.1563487635572254E-2</v>
      </c>
    </row>
    <row r="262" spans="1:20" x14ac:dyDescent="0.25">
      <c r="A262" s="5">
        <v>44331</v>
      </c>
      <c r="B262">
        <v>148.49</v>
      </c>
      <c r="C262">
        <v>153.77000000000001</v>
      </c>
      <c r="D262">
        <v>125.76</v>
      </c>
      <c r="E262">
        <v>127.64</v>
      </c>
      <c r="F262">
        <v>288743.20449999999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-0.8657622277757947</v>
      </c>
      <c r="Q262">
        <f t="shared" ref="Q262:Q325" si="965">F262*P262</f>
        <v>-249982.95998304186</v>
      </c>
      <c r="R262">
        <f t="shared" ref="R262:R325" si="966">R263+Q262</f>
        <v>2187511.9030243349</v>
      </c>
      <c r="S262">
        <f t="shared" ref="S262:S325" si="967">R262/100000</f>
        <v>21.875119030243351</v>
      </c>
      <c r="T262">
        <f t="shared" ref="T262:T325" si="968">S262/1000</f>
        <v>2.1875119030243351E-2</v>
      </c>
    </row>
    <row r="263" spans="1:20" x14ac:dyDescent="0.25">
      <c r="A263" s="5">
        <v>44330</v>
      </c>
      <c r="B263">
        <v>137.07</v>
      </c>
      <c r="C263">
        <v>149.69999999999999</v>
      </c>
      <c r="D263">
        <v>132.51</v>
      </c>
      <c r="E263">
        <v>148.29</v>
      </c>
      <c r="F263">
        <v>206684.16620000001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0.8359511343804541</v>
      </c>
      <c r="Q263">
        <f t="shared" si="965"/>
        <v>172777.86319336831</v>
      </c>
      <c r="R263">
        <f t="shared" si="966"/>
        <v>2437494.8630073769</v>
      </c>
      <c r="S263">
        <f t="shared" si="967"/>
        <v>24.374948630073771</v>
      </c>
      <c r="T263">
        <f t="shared" si="968"/>
        <v>2.4374948630073771E-2</v>
      </c>
    </row>
    <row r="264" spans="1:20" x14ac:dyDescent="0.25">
      <c r="A264" s="5">
        <v>44329</v>
      </c>
      <c r="B264">
        <v>131.6</v>
      </c>
      <c r="C264">
        <v>158.80000000000001</v>
      </c>
      <c r="D264">
        <v>123</v>
      </c>
      <c r="E264">
        <v>137.28</v>
      </c>
      <c r="F264">
        <v>542130.08700000006</v>
      </c>
      <c r="G264">
        <v>0</v>
      </c>
      <c r="L264" t="s">
        <v>7</v>
      </c>
      <c r="M264" t="s">
        <v>7</v>
      </c>
      <c r="N264" t="s">
        <v>8</v>
      </c>
      <c r="P264">
        <f t="shared" si="964"/>
        <v>-0.20223463687150858</v>
      </c>
      <c r="Q264">
        <f t="shared" si="965"/>
        <v>-109637.48128156437</v>
      </c>
      <c r="R264">
        <f t="shared" si="966"/>
        <v>2264716.9998140084</v>
      </c>
      <c r="S264">
        <f t="shared" si="967"/>
        <v>22.647169998140082</v>
      </c>
      <c r="T264">
        <f t="shared" si="968"/>
        <v>2.2647169998140083E-2</v>
      </c>
    </row>
    <row r="265" spans="1:20" x14ac:dyDescent="0.25">
      <c r="A265" s="5">
        <v>44328</v>
      </c>
      <c r="B265">
        <v>146.41</v>
      </c>
      <c r="C265">
        <v>158.80000000000001</v>
      </c>
      <c r="D265">
        <v>131</v>
      </c>
      <c r="E265">
        <v>131.80000000000001</v>
      </c>
      <c r="F265">
        <v>415734.853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-0.94244604316546687</v>
      </c>
      <c r="Q265">
        <f t="shared" si="965"/>
        <v>-391807.66721582704</v>
      </c>
      <c r="R265">
        <f t="shared" si="966"/>
        <v>2374354.4810955729</v>
      </c>
      <c r="S265">
        <f t="shared" si="967"/>
        <v>23.743544810955729</v>
      </c>
      <c r="T265">
        <f t="shared" si="968"/>
        <v>2.3743544810955728E-2</v>
      </c>
    </row>
    <row r="266" spans="1:20" x14ac:dyDescent="0.25">
      <c r="A266" s="5">
        <v>44327</v>
      </c>
      <c r="B266">
        <v>128.76</v>
      </c>
      <c r="C266">
        <v>147.27000000000001</v>
      </c>
      <c r="D266">
        <v>124.4</v>
      </c>
      <c r="E266">
        <v>146.37</v>
      </c>
      <c r="F266">
        <v>311564.02179999999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0.9212942719720153</v>
      </c>
      <c r="Q266">
        <f t="shared" si="965"/>
        <v>287042.14863690408</v>
      </c>
      <c r="R266">
        <f t="shared" si="966"/>
        <v>2766162.1483113999</v>
      </c>
      <c r="S266">
        <f t="shared" si="967"/>
        <v>27.661621483113997</v>
      </c>
      <c r="T266">
        <f t="shared" si="968"/>
        <v>2.7661621483113998E-2</v>
      </c>
    </row>
    <row r="267" spans="1:20" x14ac:dyDescent="0.25">
      <c r="A267" s="5">
        <v>44326</v>
      </c>
      <c r="B267">
        <v>145.34</v>
      </c>
      <c r="C267">
        <v>146.53</v>
      </c>
      <c r="D267">
        <v>118</v>
      </c>
      <c r="E267">
        <v>128.66999999999999</v>
      </c>
      <c r="F267">
        <v>238861.29639999999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-0.25201542236242641</v>
      </c>
      <c r="Q267">
        <f t="shared" si="965"/>
        <v>-60196.730498282719</v>
      </c>
      <c r="R267">
        <f t="shared" si="966"/>
        <v>2479119.9996744958</v>
      </c>
      <c r="S267">
        <f t="shared" si="967"/>
        <v>24.791199996744957</v>
      </c>
      <c r="T267">
        <f t="shared" si="968"/>
        <v>2.4791199996744957E-2</v>
      </c>
    </row>
    <row r="268" spans="1:20" x14ac:dyDescent="0.25">
      <c r="A268" s="5">
        <v>44325</v>
      </c>
      <c r="B268">
        <v>142.91</v>
      </c>
      <c r="C268">
        <v>147.66</v>
      </c>
      <c r="D268">
        <v>135</v>
      </c>
      <c r="E268">
        <v>145.15</v>
      </c>
      <c r="F268">
        <v>251132.5246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0.60347551342812145</v>
      </c>
      <c r="Q268">
        <f t="shared" si="965"/>
        <v>151552.32922148533</v>
      </c>
      <c r="R268">
        <f t="shared" si="966"/>
        <v>2539316.7301727785</v>
      </c>
      <c r="S268">
        <f t="shared" si="967"/>
        <v>25.393167301727786</v>
      </c>
      <c r="T268">
        <f t="shared" si="968"/>
        <v>2.5393167301727786E-2</v>
      </c>
    </row>
    <row r="269" spans="1:20" x14ac:dyDescent="0.25">
      <c r="A269" s="5">
        <v>44324</v>
      </c>
      <c r="B269">
        <v>146.51</v>
      </c>
      <c r="C269">
        <v>169.23</v>
      </c>
      <c r="D269">
        <v>139.26</v>
      </c>
      <c r="E269">
        <v>142.91</v>
      </c>
      <c r="F269">
        <v>986102.66540000006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-0.7564230897564227</v>
      </c>
      <c r="Q269">
        <f t="shared" si="965"/>
        <v>-745910.8249789119</v>
      </c>
      <c r="R269">
        <f t="shared" si="966"/>
        <v>2387764.4009512933</v>
      </c>
      <c r="S269">
        <f t="shared" si="967"/>
        <v>23.877644009512935</v>
      </c>
      <c r="T269">
        <f t="shared" si="968"/>
        <v>2.3877644009512936E-2</v>
      </c>
    </row>
    <row r="270" spans="1:20" x14ac:dyDescent="0.25">
      <c r="A270" s="5">
        <v>44323</v>
      </c>
      <c r="B270">
        <v>127.36</v>
      </c>
      <c r="C270">
        <v>147</v>
      </c>
      <c r="D270">
        <v>117.53</v>
      </c>
      <c r="E270">
        <v>146.38999999999999</v>
      </c>
      <c r="F270">
        <v>395015.70880000002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0.95860196810315479</v>
      </c>
      <c r="Q270">
        <f t="shared" si="965"/>
        <v>378662.83588734269</v>
      </c>
      <c r="R270">
        <f t="shared" si="966"/>
        <v>3133675.2259302051</v>
      </c>
      <c r="S270">
        <f t="shared" si="967"/>
        <v>31.336752259302052</v>
      </c>
      <c r="T270">
        <f t="shared" si="968"/>
        <v>3.1336752259302054E-2</v>
      </c>
    </row>
    <row r="271" spans="1:20" x14ac:dyDescent="0.25">
      <c r="A271" s="5">
        <v>44322</v>
      </c>
      <c r="B271">
        <v>118.33</v>
      </c>
      <c r="C271">
        <v>128.61000000000001</v>
      </c>
      <c r="D271">
        <v>111.62</v>
      </c>
      <c r="E271">
        <v>127.36</v>
      </c>
      <c r="F271">
        <v>292245.11589999998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0.85285462036491899</v>
      </c>
      <c r="Q271">
        <f t="shared" si="965"/>
        <v>249242.59737439622</v>
      </c>
      <c r="R271">
        <f t="shared" si="966"/>
        <v>2755012.3900428624</v>
      </c>
      <c r="S271">
        <f t="shared" si="967"/>
        <v>27.550123900428623</v>
      </c>
      <c r="T271">
        <f t="shared" si="968"/>
        <v>2.7550123900428623E-2</v>
      </c>
    </row>
    <row r="272" spans="1:20" x14ac:dyDescent="0.25">
      <c r="A272" s="5">
        <v>44321</v>
      </c>
      <c r="B272">
        <v>111.9</v>
      </c>
      <c r="C272">
        <v>119</v>
      </c>
      <c r="D272">
        <v>110.23</v>
      </c>
      <c r="E272">
        <v>118.14</v>
      </c>
      <c r="F272">
        <v>224853.8089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0.80387685290763977</v>
      </c>
      <c r="Q272">
        <f t="shared" si="965"/>
        <v>180754.77226282784</v>
      </c>
      <c r="R272">
        <f t="shared" si="966"/>
        <v>2505769.792668466</v>
      </c>
      <c r="S272">
        <f t="shared" si="967"/>
        <v>25.057697926684661</v>
      </c>
      <c r="T272">
        <f t="shared" si="968"/>
        <v>2.505769792668466E-2</v>
      </c>
    </row>
    <row r="273" spans="1:20" x14ac:dyDescent="0.25">
      <c r="A273" s="5">
        <v>44320</v>
      </c>
      <c r="B273">
        <v>116.96</v>
      </c>
      <c r="C273">
        <v>117.04</v>
      </c>
      <c r="D273">
        <v>105.39</v>
      </c>
      <c r="E273">
        <v>112.19</v>
      </c>
      <c r="F273">
        <v>241051.75320000001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0.16738197424892598</v>
      </c>
      <c r="Q273">
        <f t="shared" si="965"/>
        <v>40347.718346780865</v>
      </c>
      <c r="R273">
        <f t="shared" si="966"/>
        <v>2325015.020405638</v>
      </c>
      <c r="S273">
        <f t="shared" si="967"/>
        <v>23.250150204056379</v>
      </c>
      <c r="T273">
        <f t="shared" si="968"/>
        <v>2.325015020405638E-2</v>
      </c>
    </row>
    <row r="274" spans="1:20" x14ac:dyDescent="0.25">
      <c r="A274" s="5">
        <v>44319</v>
      </c>
      <c r="B274">
        <v>120.4</v>
      </c>
      <c r="C274">
        <v>125.88</v>
      </c>
      <c r="D274">
        <v>109.23</v>
      </c>
      <c r="E274">
        <v>116.9</v>
      </c>
      <c r="F274">
        <v>173241.7904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-7.8678678678678005E-2</v>
      </c>
      <c r="Q274">
        <f t="shared" si="965"/>
        <v>-13630.435160600484</v>
      </c>
      <c r="R274">
        <f t="shared" si="966"/>
        <v>2284667.3020588569</v>
      </c>
      <c r="S274">
        <f t="shared" si="967"/>
        <v>22.846673020588568</v>
      </c>
      <c r="T274">
        <f t="shared" si="968"/>
        <v>2.2846673020588567E-2</v>
      </c>
    </row>
    <row r="275" spans="1:20" x14ac:dyDescent="0.25">
      <c r="A275" s="5">
        <v>44318</v>
      </c>
      <c r="B275">
        <v>125.54</v>
      </c>
      <c r="C275">
        <v>127</v>
      </c>
      <c r="D275">
        <v>117.54</v>
      </c>
      <c r="E275">
        <v>120.46</v>
      </c>
      <c r="F275">
        <v>127146.70480000001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-0.38266384778012907</v>
      </c>
      <c r="Q275">
        <f t="shared" si="965"/>
        <v>-48654.44729133221</v>
      </c>
      <c r="R275">
        <f t="shared" si="966"/>
        <v>2298297.7372194575</v>
      </c>
      <c r="S275">
        <f t="shared" si="967"/>
        <v>22.982977372194576</v>
      </c>
      <c r="T275">
        <f t="shared" si="968"/>
        <v>2.2982977372194575E-2</v>
      </c>
    </row>
    <row r="276" spans="1:20" x14ac:dyDescent="0.25">
      <c r="A276" s="5">
        <v>44317</v>
      </c>
      <c r="B276">
        <v>120.25</v>
      </c>
      <c r="C276">
        <v>127.92</v>
      </c>
      <c r="D276">
        <v>118.5</v>
      </c>
      <c r="E276">
        <v>125.52</v>
      </c>
      <c r="F276">
        <v>175325.8579</v>
      </c>
      <c r="G276">
        <v>0</v>
      </c>
      <c r="L276" t="s">
        <v>8</v>
      </c>
      <c r="M276" t="s">
        <v>7</v>
      </c>
      <c r="N276" t="s">
        <v>8</v>
      </c>
      <c r="P276">
        <f t="shared" si="964"/>
        <v>0.49044585987261036</v>
      </c>
      <c r="Q276">
        <f t="shared" si="965"/>
        <v>85987.841135668597</v>
      </c>
      <c r="R276">
        <f t="shared" si="966"/>
        <v>2346952.1845107898</v>
      </c>
      <c r="S276">
        <f t="shared" si="967"/>
        <v>23.469521845107899</v>
      </c>
      <c r="T276">
        <f t="shared" si="968"/>
        <v>2.3469521845107897E-2</v>
      </c>
    </row>
    <row r="277" spans="1:20" x14ac:dyDescent="0.25">
      <c r="A277" s="5">
        <v>44316</v>
      </c>
      <c r="B277">
        <v>119.52</v>
      </c>
      <c r="C277">
        <v>123.5</v>
      </c>
      <c r="D277">
        <v>116.29</v>
      </c>
      <c r="E277">
        <v>120.37</v>
      </c>
      <c r="F277">
        <v>203420.3015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0.13176144244105459</v>
      </c>
      <c r="Q277">
        <f t="shared" si="965"/>
        <v>26802.95234743422</v>
      </c>
      <c r="R277">
        <f t="shared" si="966"/>
        <v>2260964.3433751212</v>
      </c>
      <c r="S277">
        <f t="shared" si="967"/>
        <v>22.609643433751213</v>
      </c>
      <c r="T277">
        <f t="shared" si="968"/>
        <v>2.2609643433751214E-2</v>
      </c>
    </row>
    <row r="278" spans="1:20" x14ac:dyDescent="0.25">
      <c r="A278" s="5">
        <v>44315</v>
      </c>
      <c r="B278">
        <v>123.4</v>
      </c>
      <c r="C278">
        <v>123.65</v>
      </c>
      <c r="D278">
        <v>112.38</v>
      </c>
      <c r="E278">
        <v>119.55</v>
      </c>
      <c r="F278">
        <v>279230.44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0.27240461401951999</v>
      </c>
      <c r="Q278">
        <f t="shared" si="965"/>
        <v>76063.660230700742</v>
      </c>
      <c r="R278">
        <f t="shared" si="966"/>
        <v>2234161.3910276871</v>
      </c>
      <c r="S278">
        <f t="shared" si="967"/>
        <v>22.34161391027687</v>
      </c>
      <c r="T278">
        <f t="shared" si="968"/>
        <v>2.2341613910276871E-2</v>
      </c>
    </row>
    <row r="279" spans="1:20" x14ac:dyDescent="0.25">
      <c r="A279" s="5">
        <v>44314</v>
      </c>
      <c r="B279">
        <v>127.79</v>
      </c>
      <c r="C279">
        <v>128.72999999999999</v>
      </c>
      <c r="D279">
        <v>115.83</v>
      </c>
      <c r="E279">
        <v>123.26</v>
      </c>
      <c r="F279">
        <v>338241.68719999999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0.15193798449612586</v>
      </c>
      <c r="Q279">
        <f t="shared" si="965"/>
        <v>51391.760225737053</v>
      </c>
      <c r="R279">
        <f t="shared" si="966"/>
        <v>2158097.7307969863</v>
      </c>
      <c r="S279">
        <f t="shared" si="967"/>
        <v>21.580977307969864</v>
      </c>
      <c r="T279">
        <f t="shared" si="968"/>
        <v>2.1580977307969863E-2</v>
      </c>
    </row>
    <row r="280" spans="1:20" x14ac:dyDescent="0.25">
      <c r="A280" s="5">
        <v>44313</v>
      </c>
      <c r="B280">
        <v>133.11000000000001</v>
      </c>
      <c r="C280">
        <v>138.97999999999999</v>
      </c>
      <c r="D280">
        <v>122.5</v>
      </c>
      <c r="E280">
        <v>127.65</v>
      </c>
      <c r="F280">
        <v>291150.02830000001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-0.37499999999999895</v>
      </c>
      <c r="Q280">
        <f t="shared" si="965"/>
        <v>-109181.2606124997</v>
      </c>
      <c r="R280">
        <f t="shared" si="966"/>
        <v>2106705.9705712493</v>
      </c>
      <c r="S280">
        <f t="shared" si="967"/>
        <v>21.067059705712492</v>
      </c>
      <c r="T280">
        <f t="shared" si="968"/>
        <v>2.1067059705712491E-2</v>
      </c>
    </row>
    <row r="281" spans="1:20" x14ac:dyDescent="0.25">
      <c r="A281" s="5">
        <v>44312</v>
      </c>
      <c r="B281">
        <v>110.27</v>
      </c>
      <c r="C281">
        <v>135.47</v>
      </c>
      <c r="D281">
        <v>110.18</v>
      </c>
      <c r="E281">
        <v>132.88999999999999</v>
      </c>
      <c r="F281">
        <v>424335.18479999999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0.7959667852906277</v>
      </c>
      <c r="Q281">
        <f t="shared" si="965"/>
        <v>337756.71293096041</v>
      </c>
      <c r="R281">
        <f t="shared" si="966"/>
        <v>2215887.2311837492</v>
      </c>
      <c r="S281">
        <f t="shared" si="967"/>
        <v>22.158872311837492</v>
      </c>
      <c r="T281">
        <f t="shared" si="968"/>
        <v>2.2158872311837493E-2</v>
      </c>
    </row>
    <row r="282" spans="1:20" x14ac:dyDescent="0.25">
      <c r="A282" s="5">
        <v>44311</v>
      </c>
      <c r="B282">
        <v>102.014</v>
      </c>
      <c r="C282">
        <v>116</v>
      </c>
      <c r="D282">
        <v>101.196</v>
      </c>
      <c r="E282">
        <v>110.27</v>
      </c>
      <c r="F282">
        <v>182114.30540000001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0.22588489597406064</v>
      </c>
      <c r="Q282">
        <f t="shared" si="965"/>
        <v>41136.870930667312</v>
      </c>
      <c r="R282">
        <f t="shared" si="966"/>
        <v>1878130.5182527886</v>
      </c>
      <c r="S282">
        <f t="shared" si="967"/>
        <v>18.781305182527884</v>
      </c>
      <c r="T282">
        <f t="shared" si="968"/>
        <v>1.8781305182527883E-2</v>
      </c>
    </row>
    <row r="283" spans="1:20" x14ac:dyDescent="0.25">
      <c r="A283" s="5">
        <v>44310</v>
      </c>
      <c r="B283">
        <v>111.92100000000001</v>
      </c>
      <c r="C283">
        <v>112.958</v>
      </c>
      <c r="D283">
        <v>100.133</v>
      </c>
      <c r="E283">
        <v>102.059</v>
      </c>
      <c r="F283">
        <v>284336.62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-0.6996491228070173</v>
      </c>
      <c r="Q283">
        <f t="shared" si="965"/>
        <v>-198935.86676491221</v>
      </c>
      <c r="R283">
        <f t="shared" si="966"/>
        <v>1836993.6473221213</v>
      </c>
      <c r="S283">
        <f t="shared" si="967"/>
        <v>18.369936473221212</v>
      </c>
      <c r="T283">
        <f t="shared" si="968"/>
        <v>1.8369936473221212E-2</v>
      </c>
    </row>
    <row r="284" spans="1:20" x14ac:dyDescent="0.25">
      <c r="A284" s="5">
        <v>44309</v>
      </c>
      <c r="B284">
        <v>105.587</v>
      </c>
      <c r="C284">
        <v>114</v>
      </c>
      <c r="D284">
        <v>87.253</v>
      </c>
      <c r="E284">
        <v>112.22799999999999</v>
      </c>
      <c r="F284">
        <v>643519.59299999999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0.86749915878416228</v>
      </c>
      <c r="Q284">
        <f t="shared" si="965"/>
        <v>558252.70558862644</v>
      </c>
      <c r="R284">
        <f t="shared" si="966"/>
        <v>2035929.5140870335</v>
      </c>
      <c r="S284">
        <f t="shared" si="967"/>
        <v>20.359295140870334</v>
      </c>
      <c r="T284">
        <f t="shared" si="968"/>
        <v>2.0359295140870332E-2</v>
      </c>
    </row>
    <row r="285" spans="1:20" x14ac:dyDescent="0.25">
      <c r="A285" s="5">
        <v>44308</v>
      </c>
      <c r="B285">
        <v>110.714</v>
      </c>
      <c r="C285">
        <v>120.999</v>
      </c>
      <c r="D285">
        <v>100</v>
      </c>
      <c r="E285">
        <v>105.624</v>
      </c>
      <c r="F285">
        <v>485473.99800000002</v>
      </c>
      <c r="G285">
        <v>0</v>
      </c>
      <c r="L285" t="s">
        <v>7</v>
      </c>
      <c r="M285" t="s">
        <v>7</v>
      </c>
      <c r="N285" t="s">
        <v>8</v>
      </c>
      <c r="P285">
        <f t="shared" si="964"/>
        <v>-0.46435544549740498</v>
      </c>
      <c r="Q285">
        <f t="shared" si="965"/>
        <v>-225432.49461869631</v>
      </c>
      <c r="R285">
        <f t="shared" si="966"/>
        <v>1477676.808498407</v>
      </c>
      <c r="S285">
        <f t="shared" si="967"/>
        <v>14.77676808498407</v>
      </c>
      <c r="T285">
        <f t="shared" si="968"/>
        <v>1.4776768084984069E-2</v>
      </c>
    </row>
    <row r="286" spans="1:20" x14ac:dyDescent="0.25">
      <c r="A286" s="5">
        <v>44307</v>
      </c>
      <c r="B286">
        <v>117.821</v>
      </c>
      <c r="C286">
        <v>132</v>
      </c>
      <c r="D286">
        <v>107.07299999999999</v>
      </c>
      <c r="E286">
        <v>110.501</v>
      </c>
      <c r="F286">
        <v>731813.66099999996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-0.72495687407229026</v>
      </c>
      <c r="Q286">
        <f t="shared" si="965"/>
        <v>-530533.34408195864</v>
      </c>
      <c r="R286">
        <f t="shared" si="966"/>
        <v>1703109.3031171034</v>
      </c>
      <c r="S286">
        <f t="shared" si="967"/>
        <v>17.031093031171036</v>
      </c>
      <c r="T286">
        <f t="shared" si="968"/>
        <v>1.7031093031171035E-2</v>
      </c>
    </row>
    <row r="287" spans="1:20" x14ac:dyDescent="0.25">
      <c r="A287" s="5">
        <v>44306</v>
      </c>
      <c r="B287">
        <v>96.444000000000003</v>
      </c>
      <c r="C287">
        <v>120.759</v>
      </c>
      <c r="D287">
        <v>84.55</v>
      </c>
      <c r="E287">
        <v>117.75</v>
      </c>
      <c r="F287">
        <v>747338.67599999998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0.83379822696014805</v>
      </c>
      <c r="Q287">
        <f t="shared" si="965"/>
        <v>623129.66298754455</v>
      </c>
      <c r="R287">
        <f t="shared" si="966"/>
        <v>2233642.6471990622</v>
      </c>
      <c r="S287">
        <f t="shared" si="967"/>
        <v>22.33642647199062</v>
      </c>
      <c r="T287">
        <f t="shared" si="968"/>
        <v>2.233642647199062E-2</v>
      </c>
    </row>
    <row r="288" spans="1:20" x14ac:dyDescent="0.25">
      <c r="A288" s="5">
        <v>44305</v>
      </c>
      <c r="B288">
        <v>109.738</v>
      </c>
      <c r="C288">
        <v>113.971</v>
      </c>
      <c r="D288">
        <v>91.787000000000006</v>
      </c>
      <c r="E288">
        <v>96.475999999999999</v>
      </c>
      <c r="F288">
        <v>328412.97100000002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-0.57726289217454074</v>
      </c>
      <c r="Q288">
        <f t="shared" si="965"/>
        <v>-189580.62146709359</v>
      </c>
      <c r="R288">
        <f t="shared" si="966"/>
        <v>1610512.9842115175</v>
      </c>
      <c r="S288">
        <f t="shared" si="967"/>
        <v>16.105129842115176</v>
      </c>
      <c r="T288">
        <f t="shared" si="968"/>
        <v>1.6105129842115175E-2</v>
      </c>
    </row>
    <row r="289" spans="1:20" x14ac:dyDescent="0.25">
      <c r="A289" s="5">
        <v>44304</v>
      </c>
      <c r="B289">
        <v>116.60299999999999</v>
      </c>
      <c r="C289">
        <v>117.824</v>
      </c>
      <c r="D289">
        <v>81.459999999999994</v>
      </c>
      <c r="E289">
        <v>109.738</v>
      </c>
      <c r="F289">
        <v>644672.33499999996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0.55527444725552755</v>
      </c>
      <c r="Q289">
        <f t="shared" si="965"/>
        <v>357970.07447805529</v>
      </c>
      <c r="R289">
        <f t="shared" si="966"/>
        <v>1800093.6056786112</v>
      </c>
      <c r="S289">
        <f t="shared" si="967"/>
        <v>18.000936056786113</v>
      </c>
      <c r="T289">
        <f t="shared" si="968"/>
        <v>1.8000936056786113E-2</v>
      </c>
    </row>
    <row r="290" spans="1:20" x14ac:dyDescent="0.25">
      <c r="A290" s="5">
        <v>44303</v>
      </c>
      <c r="B290">
        <v>125.97</v>
      </c>
      <c r="C290">
        <v>139.5</v>
      </c>
      <c r="D290">
        <v>114.81399999999999</v>
      </c>
      <c r="E290">
        <v>116.604</v>
      </c>
      <c r="F290">
        <v>517684.408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-0.85497853034108351</v>
      </c>
      <c r="Q290">
        <f t="shared" si="965"/>
        <v>-442609.05433233385</v>
      </c>
      <c r="R290">
        <f t="shared" si="966"/>
        <v>1442123.5312005559</v>
      </c>
      <c r="S290">
        <f t="shared" si="967"/>
        <v>14.421235312005559</v>
      </c>
      <c r="T290">
        <f t="shared" si="968"/>
        <v>1.4421235312005558E-2</v>
      </c>
    </row>
    <row r="291" spans="1:20" x14ac:dyDescent="0.25">
      <c r="A291" s="5">
        <v>44302</v>
      </c>
      <c r="B291">
        <v>108.801</v>
      </c>
      <c r="C291">
        <v>130</v>
      </c>
      <c r="D291">
        <v>105</v>
      </c>
      <c r="E291">
        <v>125.813</v>
      </c>
      <c r="F291">
        <v>718504.40300000005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0.66504000000000019</v>
      </c>
      <c r="Q291">
        <f t="shared" si="965"/>
        <v>477834.16817112017</v>
      </c>
      <c r="R291">
        <f t="shared" si="966"/>
        <v>1884732.5855328897</v>
      </c>
      <c r="S291">
        <f t="shared" si="967"/>
        <v>18.847325855328897</v>
      </c>
      <c r="T291">
        <f t="shared" si="968"/>
        <v>1.8847325855328896E-2</v>
      </c>
    </row>
    <row r="292" spans="1:20" x14ac:dyDescent="0.25">
      <c r="A292" s="5">
        <v>44301</v>
      </c>
      <c r="B292">
        <v>84.683000000000007</v>
      </c>
      <c r="C292">
        <v>108.81</v>
      </c>
      <c r="D292">
        <v>83.5</v>
      </c>
      <c r="E292">
        <v>108.78</v>
      </c>
      <c r="F292">
        <v>520767.79599999997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0.99762939549585139</v>
      </c>
      <c r="Q292">
        <f t="shared" si="965"/>
        <v>519533.26151718682</v>
      </c>
      <c r="R292">
        <f t="shared" si="966"/>
        <v>1406898.4173617696</v>
      </c>
      <c r="S292">
        <f t="shared" si="967"/>
        <v>14.068984173617697</v>
      </c>
      <c r="T292">
        <f t="shared" si="968"/>
        <v>1.4068984173617696E-2</v>
      </c>
    </row>
    <row r="293" spans="1:20" x14ac:dyDescent="0.25">
      <c r="A293" s="5">
        <v>44300</v>
      </c>
      <c r="B293">
        <v>85.203000000000003</v>
      </c>
      <c r="C293">
        <v>88.915000000000006</v>
      </c>
      <c r="D293">
        <v>79.2</v>
      </c>
      <c r="E293">
        <v>84.646000000000001</v>
      </c>
      <c r="F293">
        <v>218473.91099999999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0.12115285640761628</v>
      </c>
      <c r="Q293">
        <f t="shared" si="965"/>
        <v>26468.738368193339</v>
      </c>
      <c r="R293">
        <f t="shared" si="966"/>
        <v>887365.15584458271</v>
      </c>
      <c r="S293">
        <f t="shared" si="967"/>
        <v>8.8736515584458271</v>
      </c>
      <c r="T293">
        <f t="shared" si="968"/>
        <v>8.8736515584458275E-3</v>
      </c>
    </row>
    <row r="294" spans="1:20" x14ac:dyDescent="0.25">
      <c r="A294" s="5">
        <v>44299</v>
      </c>
      <c r="B294">
        <v>76.340999999999994</v>
      </c>
      <c r="C294">
        <v>86.882999999999996</v>
      </c>
      <c r="D294">
        <v>76.177000000000007</v>
      </c>
      <c r="E294">
        <v>85.144000000000005</v>
      </c>
      <c r="F294">
        <v>198565.94500000001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0.67513543807211063</v>
      </c>
      <c r="Q294">
        <f t="shared" si="965"/>
        <v>134058.90626377764</v>
      </c>
      <c r="R294">
        <f t="shared" si="966"/>
        <v>860896.41747638932</v>
      </c>
      <c r="S294">
        <f t="shared" si="967"/>
        <v>8.6089641747638925</v>
      </c>
      <c r="T294">
        <f t="shared" si="968"/>
        <v>8.6089641747638928E-3</v>
      </c>
    </row>
    <row r="295" spans="1:20" x14ac:dyDescent="0.25">
      <c r="A295" s="5">
        <v>44298</v>
      </c>
      <c r="B295">
        <v>75.331999999999994</v>
      </c>
      <c r="C295">
        <v>78.539000000000001</v>
      </c>
      <c r="D295">
        <v>73.683999999999997</v>
      </c>
      <c r="E295">
        <v>76.340999999999994</v>
      </c>
      <c r="F295">
        <v>160528.76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9.4541709577752542E-2</v>
      </c>
      <c r="Q295">
        <f t="shared" si="965"/>
        <v>15176.663406796741</v>
      </c>
      <c r="R295">
        <f t="shared" si="966"/>
        <v>726837.51121261169</v>
      </c>
      <c r="S295">
        <f t="shared" si="967"/>
        <v>7.2683751121261171</v>
      </c>
      <c r="T295">
        <f t="shared" si="968"/>
        <v>7.2683751121261171E-3</v>
      </c>
    </row>
    <row r="296" spans="1:20" x14ac:dyDescent="0.25">
      <c r="A296" s="5">
        <v>44297</v>
      </c>
      <c r="B296">
        <v>73.212999999999994</v>
      </c>
      <c r="C296">
        <v>80.099999999999994</v>
      </c>
      <c r="D296">
        <v>72.882999999999996</v>
      </c>
      <c r="E296">
        <v>75.343999999999994</v>
      </c>
      <c r="F296">
        <v>216815.24100000001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-0.3179991686296248</v>
      </c>
      <c r="Q296">
        <f t="shared" si="965"/>
        <v>-68947.066384231744</v>
      </c>
      <c r="R296">
        <f t="shared" si="966"/>
        <v>711660.84780581493</v>
      </c>
      <c r="S296">
        <f t="shared" si="967"/>
        <v>7.1166084780581498</v>
      </c>
      <c r="T296">
        <f t="shared" si="968"/>
        <v>7.1166084780581495E-3</v>
      </c>
    </row>
    <row r="297" spans="1:20" x14ac:dyDescent="0.25">
      <c r="A297" s="5">
        <v>44296</v>
      </c>
      <c r="B297">
        <v>72.228999999999999</v>
      </c>
      <c r="C297">
        <v>75.69</v>
      </c>
      <c r="D297">
        <v>70.521000000000001</v>
      </c>
      <c r="E297">
        <v>73.213999999999999</v>
      </c>
      <c r="F297">
        <v>154755.27900000001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4.1981040820274498E-2</v>
      </c>
      <c r="Q297">
        <f t="shared" si="965"/>
        <v>6496.7876848519691</v>
      </c>
      <c r="R297">
        <f t="shared" si="966"/>
        <v>780607.91419004672</v>
      </c>
      <c r="S297">
        <f t="shared" si="967"/>
        <v>7.8060791419004669</v>
      </c>
      <c r="T297">
        <f t="shared" si="968"/>
        <v>7.8060791419004667E-3</v>
      </c>
    </row>
    <row r="298" spans="1:20" x14ac:dyDescent="0.25">
      <c r="A298" s="5">
        <v>44295</v>
      </c>
      <c r="B298">
        <v>73.23</v>
      </c>
      <c r="C298">
        <v>75.978999999999999</v>
      </c>
      <c r="D298">
        <v>71.11</v>
      </c>
      <c r="E298">
        <v>72.265000000000001</v>
      </c>
      <c r="F298">
        <v>176157.60800000001</v>
      </c>
      <c r="G298">
        <v>0</v>
      </c>
      <c r="L298" t="s">
        <v>7</v>
      </c>
      <c r="M298" t="s">
        <v>8</v>
      </c>
      <c r="N298" t="s">
        <v>8</v>
      </c>
      <c r="P298">
        <f t="shared" si="964"/>
        <v>-0.5255699322242755</v>
      </c>
      <c r="Q298">
        <f t="shared" si="965"/>
        <v>-92583.142097350501</v>
      </c>
      <c r="R298">
        <f t="shared" si="966"/>
        <v>774111.1265051947</v>
      </c>
      <c r="S298">
        <f t="shared" si="967"/>
        <v>7.7411112650519467</v>
      </c>
      <c r="T298">
        <f t="shared" si="968"/>
        <v>7.7411112650519467E-3</v>
      </c>
    </row>
    <row r="299" spans="1:20" x14ac:dyDescent="0.25">
      <c r="A299" s="5">
        <v>44294</v>
      </c>
      <c r="B299">
        <v>68.998999999999995</v>
      </c>
      <c r="C299">
        <v>77.989999999999995</v>
      </c>
      <c r="D299">
        <v>68.438000000000002</v>
      </c>
      <c r="E299">
        <v>73.236000000000004</v>
      </c>
      <c r="F299">
        <v>277644.98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4.6063651591301486E-3</v>
      </c>
      <c r="Q299">
        <f t="shared" si="965"/>
        <v>1278.9341624793869</v>
      </c>
      <c r="R299">
        <f t="shared" si="966"/>
        <v>866694.26860254514</v>
      </c>
      <c r="S299">
        <f t="shared" si="967"/>
        <v>8.6669426860254521</v>
      </c>
      <c r="T299">
        <f t="shared" si="968"/>
        <v>8.6669426860254521E-3</v>
      </c>
    </row>
    <row r="300" spans="1:20" x14ac:dyDescent="0.25">
      <c r="A300" s="5">
        <v>44293</v>
      </c>
      <c r="B300">
        <v>68.698999999999998</v>
      </c>
      <c r="C300">
        <v>75.900000000000006</v>
      </c>
      <c r="D300">
        <v>61.948</v>
      </c>
      <c r="E300">
        <v>69.197999999999993</v>
      </c>
      <c r="F300">
        <v>530116.777</v>
      </c>
      <c r="G300">
        <v>0</v>
      </c>
      <c r="L300" t="s">
        <v>8</v>
      </c>
      <c r="M300" t="s">
        <v>8</v>
      </c>
      <c r="N300" t="s">
        <v>8</v>
      </c>
      <c r="P300">
        <f t="shared" si="964"/>
        <v>3.9277522935778401E-2</v>
      </c>
      <c r="Q300">
        <f t="shared" si="965"/>
        <v>20821.673867258425</v>
      </c>
      <c r="R300">
        <f t="shared" si="966"/>
        <v>865415.33444006578</v>
      </c>
      <c r="S300">
        <f t="shared" si="967"/>
        <v>8.6541533444006582</v>
      </c>
      <c r="T300">
        <f t="shared" si="968"/>
        <v>8.6541533444006585E-3</v>
      </c>
    </row>
    <row r="301" spans="1:20" x14ac:dyDescent="0.25">
      <c r="A301" s="5">
        <v>44292</v>
      </c>
      <c r="B301">
        <v>67.397999999999996</v>
      </c>
      <c r="C301">
        <v>70</v>
      </c>
      <c r="D301">
        <v>61.000999999999998</v>
      </c>
      <c r="E301">
        <v>68.602999999999994</v>
      </c>
      <c r="F301">
        <v>257697.61199999999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0.68952105789532059</v>
      </c>
      <c r="Q301">
        <f t="shared" si="965"/>
        <v>177687.93004333787</v>
      </c>
      <c r="R301">
        <f t="shared" si="966"/>
        <v>844593.6605728073</v>
      </c>
      <c r="S301">
        <f t="shared" si="967"/>
        <v>8.4459366057280736</v>
      </c>
      <c r="T301">
        <f t="shared" si="968"/>
        <v>8.445936605728073E-3</v>
      </c>
    </row>
    <row r="302" spans="1:20" x14ac:dyDescent="0.25">
      <c r="A302" s="5">
        <v>44291</v>
      </c>
      <c r="B302">
        <v>65.900000000000006</v>
      </c>
      <c r="C302">
        <v>72</v>
      </c>
      <c r="D302">
        <v>62.067</v>
      </c>
      <c r="E302">
        <v>67.474000000000004</v>
      </c>
      <c r="F302">
        <v>337992.70899999997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8.8694251484949901E-2</v>
      </c>
      <c r="Q302">
        <f t="shared" si="965"/>
        <v>29978.010332125486</v>
      </c>
      <c r="R302">
        <f t="shared" si="966"/>
        <v>666905.73052946944</v>
      </c>
      <c r="S302">
        <f t="shared" si="967"/>
        <v>6.669057305294694</v>
      </c>
      <c r="T302">
        <f t="shared" si="968"/>
        <v>6.669057305294694E-3</v>
      </c>
    </row>
    <row r="303" spans="1:20" x14ac:dyDescent="0.25">
      <c r="A303" s="5">
        <v>44290</v>
      </c>
      <c r="B303">
        <v>53.531999999999996</v>
      </c>
      <c r="C303">
        <v>65.998999999999995</v>
      </c>
      <c r="D303">
        <v>52.548000000000002</v>
      </c>
      <c r="E303">
        <v>65.894000000000005</v>
      </c>
      <c r="F303">
        <v>342648.63199999998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0.98438777786038367</v>
      </c>
      <c r="Q303">
        <f t="shared" si="965"/>
        <v>337299.12544138031</v>
      </c>
      <c r="R303">
        <f t="shared" si="966"/>
        <v>636927.72019734397</v>
      </c>
      <c r="S303">
        <f t="shared" si="967"/>
        <v>6.3692772019734401</v>
      </c>
      <c r="T303">
        <f t="shared" si="968"/>
        <v>6.3692772019734402E-3</v>
      </c>
    </row>
    <row r="304" spans="1:20" x14ac:dyDescent="0.25">
      <c r="A304" s="5">
        <v>44289</v>
      </c>
      <c r="B304">
        <v>60.005000000000003</v>
      </c>
      <c r="C304">
        <v>61.368000000000002</v>
      </c>
      <c r="D304">
        <v>53.424999999999997</v>
      </c>
      <c r="E304">
        <v>53.575000000000003</v>
      </c>
      <c r="F304">
        <v>239801.185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-0.96223089512778404</v>
      </c>
      <c r="Q304">
        <f t="shared" si="965"/>
        <v>-230744.10889525333</v>
      </c>
      <c r="R304">
        <f t="shared" si="966"/>
        <v>299628.5947559636</v>
      </c>
      <c r="S304">
        <f t="shared" si="967"/>
        <v>2.996285947559636</v>
      </c>
      <c r="T304">
        <f t="shared" si="968"/>
        <v>2.9962859475596358E-3</v>
      </c>
    </row>
    <row r="305" spans="1:20" x14ac:dyDescent="0.25">
      <c r="A305" s="5">
        <v>44288</v>
      </c>
      <c r="B305">
        <v>56.396999999999998</v>
      </c>
      <c r="C305">
        <v>64.599999999999994</v>
      </c>
      <c r="D305">
        <v>56.113999999999997</v>
      </c>
      <c r="E305">
        <v>60.055</v>
      </c>
      <c r="F305">
        <v>465715.68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-7.1176054678292758E-2</v>
      </c>
      <c r="Q305">
        <f t="shared" si="965"/>
        <v>-33147.804704218295</v>
      </c>
      <c r="R305">
        <f t="shared" si="966"/>
        <v>530372.70365121693</v>
      </c>
      <c r="S305">
        <f t="shared" si="967"/>
        <v>5.3037270365121696</v>
      </c>
      <c r="T305">
        <f t="shared" si="968"/>
        <v>5.3037270365121694E-3</v>
      </c>
    </row>
    <row r="306" spans="1:20" x14ac:dyDescent="0.25">
      <c r="A306" s="5">
        <v>44287</v>
      </c>
      <c r="B306">
        <v>51.363999999999997</v>
      </c>
      <c r="C306">
        <v>57.100999999999999</v>
      </c>
      <c r="D306">
        <v>50.933999999999997</v>
      </c>
      <c r="E306">
        <v>56.469000000000001</v>
      </c>
      <c r="F306">
        <v>272788.29300000001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0.79503810604832248</v>
      </c>
      <c r="Q306">
        <f t="shared" si="965"/>
        <v>216877.08781887486</v>
      </c>
      <c r="R306">
        <f t="shared" si="966"/>
        <v>563520.50835543522</v>
      </c>
      <c r="S306">
        <f t="shared" si="967"/>
        <v>5.6352050835543519</v>
      </c>
      <c r="T306">
        <f t="shared" si="968"/>
        <v>5.6352050835543517E-3</v>
      </c>
    </row>
    <row r="307" spans="1:20" x14ac:dyDescent="0.25">
      <c r="A307" s="5">
        <v>44286</v>
      </c>
      <c r="B307">
        <v>52.320999999999998</v>
      </c>
      <c r="C307">
        <v>53.311999999999998</v>
      </c>
      <c r="D307">
        <v>48</v>
      </c>
      <c r="E307">
        <v>51.332999999999998</v>
      </c>
      <c r="F307">
        <v>186700.299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0.25489457831325296</v>
      </c>
      <c r="Q307">
        <f t="shared" si="965"/>
        <v>47588.893984563241</v>
      </c>
      <c r="R307">
        <f t="shared" si="966"/>
        <v>346643.42053656041</v>
      </c>
      <c r="S307">
        <f t="shared" si="967"/>
        <v>3.4664342053656041</v>
      </c>
      <c r="T307">
        <f t="shared" si="968"/>
        <v>3.4664342053656043E-3</v>
      </c>
    </row>
    <row r="308" spans="1:20" x14ac:dyDescent="0.25">
      <c r="A308" s="5">
        <v>44285</v>
      </c>
      <c r="B308">
        <v>53.923000000000002</v>
      </c>
      <c r="C308">
        <v>54.5</v>
      </c>
      <c r="D308">
        <v>50.6</v>
      </c>
      <c r="E308">
        <v>52.28</v>
      </c>
      <c r="F308">
        <v>240277.598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-0.1384615384615383</v>
      </c>
      <c r="Q308">
        <f t="shared" si="965"/>
        <v>-33269.205876923035</v>
      </c>
      <c r="R308">
        <f t="shared" si="966"/>
        <v>299054.52655199717</v>
      </c>
      <c r="S308">
        <f t="shared" si="967"/>
        <v>2.9905452655199718</v>
      </c>
      <c r="T308">
        <f t="shared" si="968"/>
        <v>2.9905452655199717E-3</v>
      </c>
    </row>
    <row r="309" spans="1:20" x14ac:dyDescent="0.25">
      <c r="A309" s="5">
        <v>44284</v>
      </c>
      <c r="B309">
        <v>50.758000000000003</v>
      </c>
      <c r="C309">
        <v>54.792000000000002</v>
      </c>
      <c r="D309">
        <v>49.628</v>
      </c>
      <c r="E309">
        <v>53.868000000000002</v>
      </c>
      <c r="F309">
        <v>217028.739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0.64213787761425278</v>
      </c>
      <c r="Q309">
        <f t="shared" si="965"/>
        <v>139362.3738427576</v>
      </c>
      <c r="R309">
        <f t="shared" si="966"/>
        <v>332323.73242892022</v>
      </c>
      <c r="S309">
        <f t="shared" si="967"/>
        <v>3.3232373242892024</v>
      </c>
      <c r="T309">
        <f t="shared" si="968"/>
        <v>3.3232373242892024E-3</v>
      </c>
    </row>
    <row r="310" spans="1:20" x14ac:dyDescent="0.25">
      <c r="A310" s="5">
        <v>44283</v>
      </c>
      <c r="B310">
        <v>49.031999999999996</v>
      </c>
      <c r="C310">
        <v>53.100999999999999</v>
      </c>
      <c r="D310">
        <v>48</v>
      </c>
      <c r="E310">
        <v>50.744999999999997</v>
      </c>
      <c r="F310">
        <v>177238.77299999999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7.6259556949616905E-2</v>
      </c>
      <c r="Q310">
        <f t="shared" si="965"/>
        <v>13516.150303273722</v>
      </c>
      <c r="R310">
        <f t="shared" si="966"/>
        <v>192961.35858616265</v>
      </c>
      <c r="S310">
        <f t="shared" si="967"/>
        <v>1.9296135858616266</v>
      </c>
      <c r="T310">
        <f t="shared" si="968"/>
        <v>1.9296135858616265E-3</v>
      </c>
    </row>
    <row r="311" spans="1:20" x14ac:dyDescent="0.25">
      <c r="A311" s="5">
        <v>44282</v>
      </c>
      <c r="B311">
        <v>49.89</v>
      </c>
      <c r="C311">
        <v>50.969000000000001</v>
      </c>
      <c r="D311">
        <v>46.707999999999998</v>
      </c>
      <c r="E311">
        <v>49.027000000000001</v>
      </c>
      <c r="F311">
        <v>131288.68599999999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8.8476883360713965E-2</v>
      </c>
      <c r="Q311">
        <f t="shared" si="965"/>
        <v>11616.013757803399</v>
      </c>
      <c r="R311">
        <f t="shared" si="966"/>
        <v>179445.20828288893</v>
      </c>
      <c r="S311">
        <f t="shared" si="967"/>
        <v>1.7944520828288892</v>
      </c>
      <c r="T311">
        <f t="shared" si="968"/>
        <v>1.7944520828288893E-3</v>
      </c>
    </row>
    <row r="312" spans="1:20" x14ac:dyDescent="0.25">
      <c r="A312" s="5">
        <v>44281</v>
      </c>
      <c r="B312">
        <v>45.3</v>
      </c>
      <c r="C312">
        <v>50.816000000000003</v>
      </c>
      <c r="D312">
        <v>45.3</v>
      </c>
      <c r="E312">
        <v>49.878999999999998</v>
      </c>
      <c r="F312">
        <v>168293.38399999999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0.66026105873821472</v>
      </c>
      <c r="Q312">
        <f t="shared" si="965"/>
        <v>111117.56789847692</v>
      </c>
      <c r="R312">
        <f t="shared" si="966"/>
        <v>167829.19452508554</v>
      </c>
      <c r="S312">
        <f t="shared" si="967"/>
        <v>1.6782919452508553</v>
      </c>
      <c r="T312">
        <f t="shared" si="968"/>
        <v>1.6782919452508554E-3</v>
      </c>
    </row>
    <row r="313" spans="1:20" x14ac:dyDescent="0.25">
      <c r="A313" s="5">
        <v>44280</v>
      </c>
      <c r="B313">
        <v>46.606999999999999</v>
      </c>
      <c r="C313">
        <v>47.999000000000002</v>
      </c>
      <c r="D313">
        <v>43.152999999999999</v>
      </c>
      <c r="E313">
        <v>45.466000000000001</v>
      </c>
      <c r="F313">
        <v>197059.12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-4.5398266611638198E-2</v>
      </c>
      <c r="Q313">
        <f t="shared" si="965"/>
        <v>-8946.1424680148048</v>
      </c>
      <c r="R313">
        <f t="shared" si="966"/>
        <v>56711.626626608617</v>
      </c>
      <c r="S313">
        <f t="shared" si="967"/>
        <v>0.56711626626608613</v>
      </c>
      <c r="T313">
        <f t="shared" si="968"/>
        <v>5.6711626626608611E-4</v>
      </c>
    </row>
    <row r="314" spans="1:20" x14ac:dyDescent="0.25">
      <c r="A314" s="5">
        <v>44279</v>
      </c>
      <c r="B314">
        <v>51.56</v>
      </c>
      <c r="C314">
        <v>55.377000000000002</v>
      </c>
      <c r="D314">
        <v>45.011000000000003</v>
      </c>
      <c r="E314">
        <v>46.509</v>
      </c>
      <c r="F314">
        <v>183034.318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-0.71097819795485284</v>
      </c>
      <c r="Q314">
        <f t="shared" si="965"/>
        <v>-130133.40957553548</v>
      </c>
      <c r="R314">
        <f t="shared" si="966"/>
        <v>65657.769094623422</v>
      </c>
      <c r="S314">
        <f t="shared" si="967"/>
        <v>0.65657769094623419</v>
      </c>
      <c r="T314">
        <f t="shared" si="968"/>
        <v>6.5657769094623424E-4</v>
      </c>
    </row>
    <row r="315" spans="1:20" x14ac:dyDescent="0.25">
      <c r="A315" s="5">
        <v>44278</v>
      </c>
      <c r="B315">
        <v>53.231000000000002</v>
      </c>
      <c r="C315">
        <v>54.674999999999997</v>
      </c>
      <c r="D315">
        <v>49.713000000000001</v>
      </c>
      <c r="E315">
        <v>51.536999999999999</v>
      </c>
      <c r="F315">
        <v>184567.897</v>
      </c>
      <c r="G315">
        <v>0</v>
      </c>
      <c r="L315" t="s">
        <v>7</v>
      </c>
      <c r="M315" t="s">
        <v>7</v>
      </c>
      <c r="N315" t="s">
        <v>8</v>
      </c>
      <c r="P315">
        <f t="shared" si="964"/>
        <v>-0.26481257557436538</v>
      </c>
      <c r="Q315">
        <f t="shared" si="965"/>
        <v>-48875.900172914182</v>
      </c>
      <c r="R315">
        <f t="shared" si="966"/>
        <v>195791.1786701589</v>
      </c>
      <c r="S315">
        <f t="shared" si="967"/>
        <v>1.9579117867015889</v>
      </c>
      <c r="T315">
        <f t="shared" si="968"/>
        <v>1.957911786701589E-3</v>
      </c>
    </row>
    <row r="316" spans="1:20" x14ac:dyDescent="0.25">
      <c r="A316" s="5">
        <v>44277</v>
      </c>
      <c r="B316">
        <v>57.798000000000002</v>
      </c>
      <c r="C316">
        <v>59.488</v>
      </c>
      <c r="D316">
        <v>52.192</v>
      </c>
      <c r="E316">
        <v>53.231000000000002</v>
      </c>
      <c r="F316">
        <v>210536.64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-0.7151864035087715</v>
      </c>
      <c r="Q316">
        <f t="shared" si="965"/>
        <v>-150572.94236842098</v>
      </c>
      <c r="R316">
        <f t="shared" si="966"/>
        <v>244667.07884307308</v>
      </c>
      <c r="S316">
        <f t="shared" si="967"/>
        <v>2.4466707884307306</v>
      </c>
      <c r="T316">
        <f t="shared" si="968"/>
        <v>2.4466707884307306E-3</v>
      </c>
    </row>
    <row r="317" spans="1:20" x14ac:dyDescent="0.25">
      <c r="A317" s="5">
        <v>44276</v>
      </c>
      <c r="B317">
        <v>58.792000000000002</v>
      </c>
      <c r="C317">
        <v>60</v>
      </c>
      <c r="D317">
        <v>55.835999999999999</v>
      </c>
      <c r="E317">
        <v>57.868000000000002</v>
      </c>
      <c r="F317">
        <v>159571.81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-2.4015369836694112E-2</v>
      </c>
      <c r="Q317">
        <f t="shared" si="965"/>
        <v>-3832.1760326606836</v>
      </c>
      <c r="R317">
        <f t="shared" si="966"/>
        <v>395240.02121149405</v>
      </c>
      <c r="S317">
        <f t="shared" si="967"/>
        <v>3.9524002121149406</v>
      </c>
      <c r="T317">
        <f t="shared" si="968"/>
        <v>3.9524002121149402E-3</v>
      </c>
    </row>
    <row r="318" spans="1:20" x14ac:dyDescent="0.25">
      <c r="A318" s="5">
        <v>44275</v>
      </c>
      <c r="B318">
        <v>59.722000000000001</v>
      </c>
      <c r="C318">
        <v>64.748999999999995</v>
      </c>
      <c r="D318">
        <v>58.7</v>
      </c>
      <c r="E318">
        <v>58.856000000000002</v>
      </c>
      <c r="F318">
        <v>189267.12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-0.94842122664903328</v>
      </c>
      <c r="Q318">
        <f t="shared" si="965"/>
        <v>-179504.95411472977</v>
      </c>
      <c r="R318">
        <f t="shared" si="966"/>
        <v>399072.19724415476</v>
      </c>
      <c r="S318">
        <f t="shared" si="967"/>
        <v>3.9907219724415475</v>
      </c>
      <c r="T318">
        <f t="shared" si="968"/>
        <v>3.9907219724415475E-3</v>
      </c>
    </row>
    <row r="319" spans="1:20" x14ac:dyDescent="0.25">
      <c r="A319" s="5">
        <v>44274</v>
      </c>
      <c r="B319">
        <v>56.656999999999996</v>
      </c>
      <c r="C319">
        <v>64.403999999999996</v>
      </c>
      <c r="D319">
        <v>54.426000000000002</v>
      </c>
      <c r="E319">
        <v>59.66</v>
      </c>
      <c r="F319">
        <v>318215.49800000002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4.9108037682901902E-2</v>
      </c>
      <c r="Q319">
        <f t="shared" si="965"/>
        <v>15626.938667067396</v>
      </c>
      <c r="R319">
        <f t="shared" si="966"/>
        <v>578577.15135888453</v>
      </c>
      <c r="S319">
        <f t="shared" si="967"/>
        <v>5.7857715135888457</v>
      </c>
      <c r="T319">
        <f t="shared" si="968"/>
        <v>5.7857715135888454E-3</v>
      </c>
    </row>
    <row r="320" spans="1:20" x14ac:dyDescent="0.25">
      <c r="A320" s="5">
        <v>44273</v>
      </c>
      <c r="B320">
        <v>54.481999999999999</v>
      </c>
      <c r="C320">
        <v>59.762999999999998</v>
      </c>
      <c r="D320">
        <v>53.314999999999998</v>
      </c>
      <c r="E320">
        <v>56.741999999999997</v>
      </c>
      <c r="F320">
        <v>321133.78600000002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6.2965260545905524E-2</v>
      </c>
      <c r="Q320">
        <f t="shared" si="965"/>
        <v>20220.272505583071</v>
      </c>
      <c r="R320">
        <f t="shared" si="966"/>
        <v>562950.21269181708</v>
      </c>
      <c r="S320">
        <f t="shared" si="967"/>
        <v>5.6295021269181706</v>
      </c>
      <c r="T320">
        <f t="shared" si="968"/>
        <v>5.6295021269181711E-3</v>
      </c>
    </row>
    <row r="321" spans="1:20" x14ac:dyDescent="0.25">
      <c r="A321" s="5">
        <v>44272</v>
      </c>
      <c r="B321">
        <v>55.658000000000001</v>
      </c>
      <c r="C321">
        <v>56.999000000000002</v>
      </c>
      <c r="D321">
        <v>50.606999999999999</v>
      </c>
      <c r="E321">
        <v>54.316000000000003</v>
      </c>
      <c r="F321">
        <v>211258.56899999999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0.16051314142678394</v>
      </c>
      <c r="Q321">
        <f t="shared" si="965"/>
        <v>33909.776563516993</v>
      </c>
      <c r="R321">
        <f t="shared" si="966"/>
        <v>542729.94018623396</v>
      </c>
      <c r="S321">
        <f t="shared" si="967"/>
        <v>5.4272994018623395</v>
      </c>
      <c r="T321">
        <f t="shared" si="968"/>
        <v>5.4272994018623394E-3</v>
      </c>
    </row>
    <row r="322" spans="1:20" x14ac:dyDescent="0.25">
      <c r="A322" s="5">
        <v>44271</v>
      </c>
      <c r="B322">
        <v>49.078000000000003</v>
      </c>
      <c r="C322">
        <v>57</v>
      </c>
      <c r="D322">
        <v>46.545999999999999</v>
      </c>
      <c r="E322">
        <v>55.581000000000003</v>
      </c>
      <c r="F322">
        <v>272461.23300000001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0.72852496651999299</v>
      </c>
      <c r="Q322">
        <f t="shared" si="965"/>
        <v>198494.81064932101</v>
      </c>
      <c r="R322">
        <f t="shared" si="966"/>
        <v>508820.16362271691</v>
      </c>
      <c r="S322">
        <f t="shared" si="967"/>
        <v>5.0882016362271694</v>
      </c>
      <c r="T322">
        <f t="shared" si="968"/>
        <v>5.0882016362271696E-3</v>
      </c>
    </row>
    <row r="323" spans="1:20" x14ac:dyDescent="0.25">
      <c r="A323" s="5">
        <v>44270</v>
      </c>
      <c r="B323">
        <v>53.093000000000004</v>
      </c>
      <c r="C323">
        <v>54.274999999999999</v>
      </c>
      <c r="D323">
        <v>47.606999999999999</v>
      </c>
      <c r="E323">
        <v>49.119</v>
      </c>
      <c r="F323">
        <v>195349.848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-0.54649070185962789</v>
      </c>
      <c r="Q323">
        <f t="shared" si="965"/>
        <v>-106756.87554169162</v>
      </c>
      <c r="R323">
        <f t="shared" si="966"/>
        <v>310325.3529733959</v>
      </c>
      <c r="S323">
        <f t="shared" si="967"/>
        <v>3.103253529733959</v>
      </c>
      <c r="T323">
        <f t="shared" si="968"/>
        <v>3.1032535297339588E-3</v>
      </c>
    </row>
    <row r="324" spans="1:20" x14ac:dyDescent="0.25">
      <c r="A324" s="5">
        <v>44269</v>
      </c>
      <c r="B324">
        <v>54.46</v>
      </c>
      <c r="C324">
        <v>58.831000000000003</v>
      </c>
      <c r="D324">
        <v>52.377000000000002</v>
      </c>
      <c r="E324">
        <v>53.103000000000002</v>
      </c>
      <c r="F324">
        <v>295059.93400000001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-0.77502324140068202</v>
      </c>
      <c r="Q324">
        <f t="shared" si="965"/>
        <v>-228678.3064561513</v>
      </c>
      <c r="R324">
        <f t="shared" si="966"/>
        <v>417082.22851508751</v>
      </c>
      <c r="S324">
        <f t="shared" si="967"/>
        <v>4.1708222851508747</v>
      </c>
      <c r="T324">
        <f t="shared" si="968"/>
        <v>4.1708222851508745E-3</v>
      </c>
    </row>
    <row r="325" spans="1:20" x14ac:dyDescent="0.25">
      <c r="A325" s="5">
        <v>44268</v>
      </c>
      <c r="B325">
        <v>46.593000000000004</v>
      </c>
      <c r="C325">
        <v>55</v>
      </c>
      <c r="D325">
        <v>45.088999999999999</v>
      </c>
      <c r="E325">
        <v>54.442</v>
      </c>
      <c r="F325">
        <v>226678.77299999999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0.88739784078296846</v>
      </c>
      <c r="Q325">
        <f t="shared" si="965"/>
        <v>201154.25371153263</v>
      </c>
      <c r="R325">
        <f t="shared" si="966"/>
        <v>645760.53497123881</v>
      </c>
      <c r="S325">
        <f t="shared" si="967"/>
        <v>6.457605349712388</v>
      </c>
      <c r="T325">
        <f t="shared" si="968"/>
        <v>6.4576053497123883E-3</v>
      </c>
    </row>
    <row r="326" spans="1:20" x14ac:dyDescent="0.25">
      <c r="A326" s="5">
        <v>44267</v>
      </c>
      <c r="B326">
        <v>48.424999999999997</v>
      </c>
      <c r="C326">
        <v>49.408999999999999</v>
      </c>
      <c r="D326">
        <v>45.197000000000003</v>
      </c>
      <c r="E326">
        <v>46.652000000000001</v>
      </c>
      <c r="F326">
        <v>155061.33300000001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-0.30911680911680928</v>
      </c>
      <c r="Q326">
        <f t="shared" ref="Q326:Q389" si="970">F326*P326</f>
        <v>-47932.064474359002</v>
      </c>
      <c r="R326">
        <f t="shared" ref="R326:R389" si="971">R327+Q326</f>
        <v>444606.28125970624</v>
      </c>
      <c r="S326">
        <f t="shared" ref="S326:S389" si="972">R326/100000</f>
        <v>4.446062812597062</v>
      </c>
      <c r="T326">
        <f t="shared" ref="T326:T389" si="973">S326/1000</f>
        <v>4.4460628125970623E-3</v>
      </c>
    </row>
    <row r="327" spans="1:20" x14ac:dyDescent="0.25">
      <c r="A327" s="5">
        <v>44266</v>
      </c>
      <c r="B327">
        <v>49.12</v>
      </c>
      <c r="C327">
        <v>52.6</v>
      </c>
      <c r="D327">
        <v>46</v>
      </c>
      <c r="E327">
        <v>48.421999999999997</v>
      </c>
      <c r="F327">
        <v>188865.29500000001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-0.26606060606060711</v>
      </c>
      <c r="Q327">
        <f t="shared" si="970"/>
        <v>-50249.614851515355</v>
      </c>
      <c r="R327">
        <f t="shared" si="971"/>
        <v>492538.34573406522</v>
      </c>
      <c r="S327">
        <f t="shared" si="972"/>
        <v>4.9253834573406525</v>
      </c>
      <c r="T327">
        <f t="shared" si="973"/>
        <v>4.9253834573406525E-3</v>
      </c>
    </row>
    <row r="328" spans="1:20" x14ac:dyDescent="0.25">
      <c r="A328" s="5">
        <v>44265</v>
      </c>
      <c r="B328">
        <v>51.999000000000002</v>
      </c>
      <c r="C328">
        <v>53</v>
      </c>
      <c r="D328">
        <v>48.073</v>
      </c>
      <c r="E328">
        <v>49.125</v>
      </c>
      <c r="F328">
        <v>200035.68700000001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-0.57296529328191614</v>
      </c>
      <c r="Q328">
        <f t="shared" si="970"/>
        <v>-114613.50606880458</v>
      </c>
      <c r="R328">
        <f t="shared" si="971"/>
        <v>542787.96058558056</v>
      </c>
      <c r="S328">
        <f t="shared" si="972"/>
        <v>5.4278796058558054</v>
      </c>
      <c r="T328">
        <f t="shared" si="973"/>
        <v>5.4278796058558057E-3</v>
      </c>
    </row>
    <row r="329" spans="1:20" x14ac:dyDescent="0.25">
      <c r="A329" s="5">
        <v>44264</v>
      </c>
      <c r="B329">
        <v>50.634999999999998</v>
      </c>
      <c r="C329">
        <v>52.83</v>
      </c>
      <c r="D329">
        <v>49.284999999999997</v>
      </c>
      <c r="E329">
        <v>51.999000000000002</v>
      </c>
      <c r="F329">
        <v>196842.55499999999</v>
      </c>
      <c r="G329">
        <v>0</v>
      </c>
      <c r="L329" t="s">
        <v>7</v>
      </c>
      <c r="M329" t="s">
        <v>8</v>
      </c>
      <c r="N329" t="s">
        <v>8</v>
      </c>
      <c r="P329">
        <f t="shared" si="969"/>
        <v>0.53117066290550319</v>
      </c>
      <c r="Q329">
        <f t="shared" si="970"/>
        <v>104556.99042736297</v>
      </c>
      <c r="R329">
        <f t="shared" si="971"/>
        <v>657401.46665438509</v>
      </c>
      <c r="S329">
        <f t="shared" si="972"/>
        <v>6.5740146665438512</v>
      </c>
      <c r="T329">
        <f t="shared" si="973"/>
        <v>6.5740146665438509E-3</v>
      </c>
    </row>
    <row r="330" spans="1:20" x14ac:dyDescent="0.25">
      <c r="A330" s="5">
        <v>44263</v>
      </c>
      <c r="B330">
        <v>50.366</v>
      </c>
      <c r="C330">
        <v>55.363</v>
      </c>
      <c r="D330">
        <v>48.664999999999999</v>
      </c>
      <c r="E330">
        <v>50.463000000000001</v>
      </c>
      <c r="F330">
        <v>319306.25900000002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-0.463123320394147</v>
      </c>
      <c r="Q330">
        <f t="shared" si="970"/>
        <v>-147878.1748907135</v>
      </c>
      <c r="R330">
        <f t="shared" si="971"/>
        <v>552844.47622702213</v>
      </c>
      <c r="S330">
        <f t="shared" si="972"/>
        <v>5.5284447622702215</v>
      </c>
      <c r="T330">
        <f t="shared" si="973"/>
        <v>5.5284447622702213E-3</v>
      </c>
    </row>
    <row r="331" spans="1:20" x14ac:dyDescent="0.25">
      <c r="A331" s="5">
        <v>44262</v>
      </c>
      <c r="B331">
        <v>43.393999999999998</v>
      </c>
      <c r="C331">
        <v>50.95</v>
      </c>
      <c r="D331">
        <v>43.262999999999998</v>
      </c>
      <c r="E331">
        <v>50.371000000000002</v>
      </c>
      <c r="F331">
        <v>191395.31899999999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0.84935605567841799</v>
      </c>
      <c r="Q331">
        <f t="shared" si="970"/>
        <v>162562.77322115257</v>
      </c>
      <c r="R331">
        <f t="shared" si="971"/>
        <v>700722.65111773566</v>
      </c>
      <c r="S331">
        <f t="shared" si="972"/>
        <v>7.0072265111773566</v>
      </c>
      <c r="T331">
        <f t="shared" si="973"/>
        <v>7.0072265111773566E-3</v>
      </c>
    </row>
    <row r="332" spans="1:20" x14ac:dyDescent="0.25">
      <c r="A332" s="5">
        <v>44261</v>
      </c>
      <c r="B332">
        <v>43.305999999999997</v>
      </c>
      <c r="C332">
        <v>44.555</v>
      </c>
      <c r="D332">
        <v>41.244</v>
      </c>
      <c r="E332">
        <v>43.277999999999999</v>
      </c>
      <c r="F332">
        <v>69863.853000000003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0.22863183328299544</v>
      </c>
      <c r="Q332">
        <f t="shared" si="970"/>
        <v>15973.100791603702</v>
      </c>
      <c r="R332">
        <f t="shared" si="971"/>
        <v>538159.87789658306</v>
      </c>
      <c r="S332">
        <f t="shared" si="972"/>
        <v>5.3815987789658308</v>
      </c>
      <c r="T332">
        <f t="shared" si="973"/>
        <v>5.3815987789658307E-3</v>
      </c>
    </row>
    <row r="333" spans="1:20" x14ac:dyDescent="0.25">
      <c r="A333" s="5">
        <v>44260</v>
      </c>
      <c r="B333">
        <v>44.302</v>
      </c>
      <c r="C333">
        <v>44.4</v>
      </c>
      <c r="D333">
        <v>40.128</v>
      </c>
      <c r="E333">
        <v>43.279000000000003</v>
      </c>
      <c r="F333">
        <v>160203.726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0.47518726591760507</v>
      </c>
      <c r="Q333">
        <f t="shared" si="970"/>
        <v>76126.770547753142</v>
      </c>
      <c r="R333">
        <f t="shared" si="971"/>
        <v>522186.77710497938</v>
      </c>
      <c r="S333">
        <f t="shared" si="972"/>
        <v>5.2218677710497934</v>
      </c>
      <c r="T333">
        <f t="shared" si="973"/>
        <v>5.2218677710497933E-3</v>
      </c>
    </row>
    <row r="334" spans="1:20" x14ac:dyDescent="0.25">
      <c r="A334" s="5">
        <v>44259</v>
      </c>
      <c r="B334">
        <v>47.021000000000001</v>
      </c>
      <c r="C334">
        <v>48.527000000000001</v>
      </c>
      <c r="D334">
        <v>43.347999999999999</v>
      </c>
      <c r="E334">
        <v>44.304000000000002</v>
      </c>
      <c r="F334">
        <v>146229.02900000001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-0.63081675999227549</v>
      </c>
      <c r="Q334">
        <f t="shared" si="970"/>
        <v>-92243.722290596503</v>
      </c>
      <c r="R334">
        <f t="shared" si="971"/>
        <v>446060.00655722624</v>
      </c>
      <c r="S334">
        <f t="shared" si="972"/>
        <v>4.4606000655722626</v>
      </c>
      <c r="T334">
        <f t="shared" si="973"/>
        <v>4.4606000655722624E-3</v>
      </c>
    </row>
    <row r="335" spans="1:20" x14ac:dyDescent="0.25">
      <c r="A335" s="5">
        <v>44258</v>
      </c>
      <c r="B335">
        <v>47.152999999999999</v>
      </c>
      <c r="C335">
        <v>50.4</v>
      </c>
      <c r="D335">
        <v>46.488999999999997</v>
      </c>
      <c r="E335">
        <v>47.154000000000003</v>
      </c>
      <c r="F335">
        <v>155247.50899999999</v>
      </c>
      <c r="G335">
        <v>0</v>
      </c>
      <c r="L335" t="s">
        <v>7</v>
      </c>
      <c r="M335" t="s">
        <v>8</v>
      </c>
      <c r="N335" t="s">
        <v>7</v>
      </c>
      <c r="P335">
        <f t="shared" si="969"/>
        <v>-0.65993352083865708</v>
      </c>
      <c r="Q335">
        <f t="shared" si="970"/>
        <v>-102453.03521580109</v>
      </c>
      <c r="R335">
        <f t="shared" si="971"/>
        <v>538303.72884782276</v>
      </c>
      <c r="S335">
        <f t="shared" si="972"/>
        <v>5.3830372884782278</v>
      </c>
      <c r="T335">
        <f t="shared" si="973"/>
        <v>5.3830372884782277E-3</v>
      </c>
    </row>
    <row r="336" spans="1:20" x14ac:dyDescent="0.25">
      <c r="A336" s="5">
        <v>44257</v>
      </c>
      <c r="B336">
        <v>46.670999999999999</v>
      </c>
      <c r="C336">
        <v>50.798999999999999</v>
      </c>
      <c r="D336">
        <v>44.491999999999997</v>
      </c>
      <c r="E336">
        <v>47.15</v>
      </c>
      <c r="F336">
        <v>224806.77499999999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-0.15712700174409375</v>
      </c>
      <c r="Q336">
        <f t="shared" si="970"/>
        <v>-35323.214527509088</v>
      </c>
      <c r="R336">
        <f t="shared" si="971"/>
        <v>640756.76406362385</v>
      </c>
      <c r="S336">
        <f t="shared" si="972"/>
        <v>6.4075676406362385</v>
      </c>
      <c r="T336">
        <f t="shared" si="973"/>
        <v>6.4075676406362388E-3</v>
      </c>
    </row>
    <row r="337" spans="1:20" x14ac:dyDescent="0.25">
      <c r="A337" s="5">
        <v>44256</v>
      </c>
      <c r="B337">
        <v>41.930999999999997</v>
      </c>
      <c r="C337">
        <v>47.377000000000002</v>
      </c>
      <c r="D337">
        <v>41.161999999999999</v>
      </c>
      <c r="E337">
        <v>46.670999999999999</v>
      </c>
      <c r="F337">
        <v>213325.45800000001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0.77280772325020031</v>
      </c>
      <c r="Q337">
        <f t="shared" si="970"/>
        <v>164859.56150828625</v>
      </c>
      <c r="R337">
        <f t="shared" si="971"/>
        <v>676079.97859113291</v>
      </c>
      <c r="S337">
        <f t="shared" si="972"/>
        <v>6.7607997859113294</v>
      </c>
      <c r="T337">
        <f t="shared" si="973"/>
        <v>6.7607997859113296E-3</v>
      </c>
    </row>
    <row r="338" spans="1:20" x14ac:dyDescent="0.25">
      <c r="A338" s="5">
        <v>44255</v>
      </c>
      <c r="B338">
        <v>46.723999999999997</v>
      </c>
      <c r="C338">
        <v>47.215000000000003</v>
      </c>
      <c r="D338">
        <v>39.113999999999997</v>
      </c>
      <c r="E338">
        <v>41.904000000000003</v>
      </c>
      <c r="F338">
        <v>195607.764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-0.31119614862362571</v>
      </c>
      <c r="Q338">
        <f t="shared" si="970"/>
        <v>-60872.3827976791</v>
      </c>
      <c r="R338">
        <f t="shared" si="971"/>
        <v>511220.41708284669</v>
      </c>
      <c r="S338">
        <f t="shared" si="972"/>
        <v>5.1122041708284671</v>
      </c>
      <c r="T338">
        <f t="shared" si="973"/>
        <v>5.1122041708284672E-3</v>
      </c>
    </row>
    <row r="339" spans="1:20" x14ac:dyDescent="0.25">
      <c r="A339" s="5">
        <v>44254</v>
      </c>
      <c r="B339">
        <v>46.238999999999997</v>
      </c>
      <c r="C339">
        <v>51.656999999999996</v>
      </c>
      <c r="D339">
        <v>45.640999999999998</v>
      </c>
      <c r="E339">
        <v>46.817999999999998</v>
      </c>
      <c r="F339">
        <v>129062.795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-0.60871010638297873</v>
      </c>
      <c r="Q339">
        <f t="shared" si="970"/>
        <v>-78561.827674534579</v>
      </c>
      <c r="R339">
        <f t="shared" si="971"/>
        <v>572092.7998805258</v>
      </c>
      <c r="S339">
        <f t="shared" si="972"/>
        <v>5.7209279988052577</v>
      </c>
      <c r="T339">
        <f t="shared" si="973"/>
        <v>5.7209279988052579E-3</v>
      </c>
    </row>
    <row r="340" spans="1:20" x14ac:dyDescent="0.25">
      <c r="A340" s="5">
        <v>44253</v>
      </c>
      <c r="B340">
        <v>49.765000000000001</v>
      </c>
      <c r="C340">
        <v>51.082999999999998</v>
      </c>
      <c r="D340">
        <v>43.12</v>
      </c>
      <c r="E340">
        <v>46.173000000000002</v>
      </c>
      <c r="F340">
        <v>243928.19399999999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-0.23320356649503854</v>
      </c>
      <c r="Q340">
        <f t="shared" si="970"/>
        <v>-56884.924809493656</v>
      </c>
      <c r="R340">
        <f t="shared" si="971"/>
        <v>650654.62755506032</v>
      </c>
      <c r="S340">
        <f t="shared" si="972"/>
        <v>6.5065462755506029</v>
      </c>
      <c r="T340">
        <f t="shared" si="973"/>
        <v>6.5065462755506034E-3</v>
      </c>
    </row>
    <row r="341" spans="1:20" x14ac:dyDescent="0.25">
      <c r="A341" s="5">
        <v>44252</v>
      </c>
      <c r="B341">
        <v>52.258000000000003</v>
      </c>
      <c r="C341">
        <v>58</v>
      </c>
      <c r="D341">
        <v>49.05</v>
      </c>
      <c r="E341">
        <v>49.761000000000003</v>
      </c>
      <c r="F341">
        <v>247565.52600000001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-0.84111731843575299</v>
      </c>
      <c r="Q341">
        <f t="shared" si="970"/>
        <v>-208231.6513662567</v>
      </c>
      <c r="R341">
        <f t="shared" si="971"/>
        <v>707539.55236455402</v>
      </c>
      <c r="S341">
        <f t="shared" si="972"/>
        <v>7.0753955236455406</v>
      </c>
      <c r="T341">
        <f t="shared" si="973"/>
        <v>7.0753955236455409E-3</v>
      </c>
    </row>
    <row r="342" spans="1:20" x14ac:dyDescent="0.25">
      <c r="A342" s="5">
        <v>44251</v>
      </c>
      <c r="B342">
        <v>53.851999999999997</v>
      </c>
      <c r="C342">
        <v>59.643999999999998</v>
      </c>
      <c r="D342">
        <v>48.768000000000001</v>
      </c>
      <c r="E342">
        <v>52.264000000000003</v>
      </c>
      <c r="F342">
        <v>399404.43800000002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-0.35711658698050697</v>
      </c>
      <c r="Q342">
        <f t="shared" si="970"/>
        <v>-142633.9497234275</v>
      </c>
      <c r="R342">
        <f t="shared" si="971"/>
        <v>915771.20373081078</v>
      </c>
      <c r="S342">
        <f t="shared" si="972"/>
        <v>9.1577120373081087</v>
      </c>
      <c r="T342">
        <f t="shared" si="973"/>
        <v>9.1577120373081081E-3</v>
      </c>
    </row>
    <row r="343" spans="1:20" x14ac:dyDescent="0.25">
      <c r="A343" s="5">
        <v>44250</v>
      </c>
      <c r="B343">
        <v>68.346000000000004</v>
      </c>
      <c r="C343">
        <v>69.587000000000003</v>
      </c>
      <c r="D343">
        <v>43.1</v>
      </c>
      <c r="E343">
        <v>54.037999999999997</v>
      </c>
      <c r="F343">
        <v>612465.103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-0.17408540038509498</v>
      </c>
      <c r="Q343">
        <f t="shared" si="970"/>
        <v>-106621.23267765345</v>
      </c>
      <c r="R343">
        <f t="shared" si="971"/>
        <v>1058405.1534542383</v>
      </c>
      <c r="S343">
        <f t="shared" si="972"/>
        <v>10.584051534542382</v>
      </c>
      <c r="T343">
        <f t="shared" si="973"/>
        <v>1.0584051534542383E-2</v>
      </c>
    </row>
    <row r="344" spans="1:20" x14ac:dyDescent="0.25">
      <c r="A344" s="5">
        <v>44249</v>
      </c>
      <c r="B344">
        <v>71.641999999999996</v>
      </c>
      <c r="C344">
        <v>71.891999999999996</v>
      </c>
      <c r="D344">
        <v>51.665999999999997</v>
      </c>
      <c r="E344">
        <v>68.436000000000007</v>
      </c>
      <c r="F344">
        <v>384663.734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0.65826164342925053</v>
      </c>
      <c r="Q344">
        <f t="shared" si="970"/>
        <v>253209.38171047208</v>
      </c>
      <c r="R344">
        <f t="shared" si="971"/>
        <v>1165026.3861318917</v>
      </c>
      <c r="S344">
        <f t="shared" si="972"/>
        <v>11.650263861318917</v>
      </c>
      <c r="T344">
        <f t="shared" si="973"/>
        <v>1.1650263861318916E-2</v>
      </c>
    </row>
    <row r="345" spans="1:20" x14ac:dyDescent="0.25">
      <c r="A345" s="5">
        <v>44248</v>
      </c>
      <c r="B345">
        <v>70.073999999999998</v>
      </c>
      <c r="C345">
        <v>79.176000000000002</v>
      </c>
      <c r="D345">
        <v>67.561999999999998</v>
      </c>
      <c r="E345">
        <v>71.616</v>
      </c>
      <c r="F345">
        <v>268633.89199999999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-0.30187704494575501</v>
      </c>
      <c r="Q345">
        <f t="shared" si="970"/>
        <v>-81094.405489237091</v>
      </c>
      <c r="R345">
        <f t="shared" si="971"/>
        <v>911817.0044214197</v>
      </c>
      <c r="S345">
        <f t="shared" si="972"/>
        <v>9.1181700442141977</v>
      </c>
      <c r="T345">
        <f t="shared" si="973"/>
        <v>9.1181700442141984E-3</v>
      </c>
    </row>
    <row r="346" spans="1:20" x14ac:dyDescent="0.25">
      <c r="A346" s="5">
        <v>44247</v>
      </c>
      <c r="B346">
        <v>75.953000000000003</v>
      </c>
      <c r="C346">
        <v>78</v>
      </c>
      <c r="D346">
        <v>65</v>
      </c>
      <c r="E346">
        <v>70.134</v>
      </c>
      <c r="F346">
        <v>359512.52799999999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-0.21015384615384611</v>
      </c>
      <c r="Q346">
        <f t="shared" si="970"/>
        <v>-75552.940499692282</v>
      </c>
      <c r="R346">
        <f t="shared" si="971"/>
        <v>992911.40991065674</v>
      </c>
      <c r="S346">
        <f t="shared" si="972"/>
        <v>9.9291140991065667</v>
      </c>
      <c r="T346">
        <f t="shared" si="973"/>
        <v>9.929114099106566E-3</v>
      </c>
    </row>
    <row r="347" spans="1:20" x14ac:dyDescent="0.25">
      <c r="A347" s="5">
        <v>44246</v>
      </c>
      <c r="B347">
        <v>81.159000000000006</v>
      </c>
      <c r="C347">
        <v>82.682000000000002</v>
      </c>
      <c r="D347">
        <v>74.507999999999996</v>
      </c>
      <c r="E347">
        <v>75.953000000000003</v>
      </c>
      <c r="F347">
        <v>278554.40299999999</v>
      </c>
      <c r="G347">
        <v>0</v>
      </c>
      <c r="L347" t="s">
        <v>7</v>
      </c>
      <c r="M347" t="s">
        <v>8</v>
      </c>
      <c r="N347" t="s">
        <v>8</v>
      </c>
      <c r="P347">
        <f t="shared" si="969"/>
        <v>-0.64643993149008905</v>
      </c>
      <c r="Q347">
        <f t="shared" si="970"/>
        <v>-180068.68919158264</v>
      </c>
      <c r="R347">
        <f t="shared" si="971"/>
        <v>1068464.350410349</v>
      </c>
      <c r="S347">
        <f t="shared" si="972"/>
        <v>10.684643504103489</v>
      </c>
      <c r="T347">
        <f t="shared" si="973"/>
        <v>1.0684643504103489E-2</v>
      </c>
    </row>
    <row r="348" spans="1:20" x14ac:dyDescent="0.25">
      <c r="A348" s="5">
        <v>44245</v>
      </c>
      <c r="B348">
        <v>73.73</v>
      </c>
      <c r="C348">
        <v>86</v>
      </c>
      <c r="D348">
        <v>72.397999999999996</v>
      </c>
      <c r="E348">
        <v>81.012</v>
      </c>
      <c r="F348">
        <v>430442.60399999999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0.26657844434641992</v>
      </c>
      <c r="Q348">
        <f t="shared" si="970"/>
        <v>114746.71975474207</v>
      </c>
      <c r="R348">
        <f t="shared" si="971"/>
        <v>1248533.0396019316</v>
      </c>
      <c r="S348">
        <f t="shared" si="972"/>
        <v>12.485330396019316</v>
      </c>
      <c r="T348">
        <f t="shared" si="973"/>
        <v>1.2485330396019316E-2</v>
      </c>
    </row>
    <row r="349" spans="1:20" x14ac:dyDescent="0.25">
      <c r="A349" s="5">
        <v>44244</v>
      </c>
      <c r="B349">
        <v>58.146999999999998</v>
      </c>
      <c r="C349">
        <v>78.191999999999993</v>
      </c>
      <c r="D349">
        <v>57.286999999999999</v>
      </c>
      <c r="E349">
        <v>73.563000000000002</v>
      </c>
      <c r="F349">
        <v>601055.29500000004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0.55713944032528184</v>
      </c>
      <c r="Q349">
        <f t="shared" si="970"/>
        <v>334871.61066084722</v>
      </c>
      <c r="R349">
        <f t="shared" si="971"/>
        <v>1133786.3198471896</v>
      </c>
      <c r="S349">
        <f t="shared" si="972"/>
        <v>11.337863198471895</v>
      </c>
      <c r="T349">
        <f t="shared" si="973"/>
        <v>1.1337863198471895E-2</v>
      </c>
    </row>
    <row r="350" spans="1:20" x14ac:dyDescent="0.25">
      <c r="A350" s="5">
        <v>44243</v>
      </c>
      <c r="B350">
        <v>51.716000000000001</v>
      </c>
      <c r="C350">
        <v>62.88</v>
      </c>
      <c r="D350">
        <v>49.411999999999999</v>
      </c>
      <c r="E350">
        <v>58.146000000000001</v>
      </c>
      <c r="F350">
        <v>379298.73100000003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0.2970002970002969</v>
      </c>
      <c r="Q350">
        <f t="shared" si="970"/>
        <v>112651.83575883573</v>
      </c>
      <c r="R350">
        <f t="shared" si="971"/>
        <v>798914.70918634243</v>
      </c>
      <c r="S350">
        <f t="shared" si="972"/>
        <v>7.9891470918634244</v>
      </c>
      <c r="T350">
        <f t="shared" si="973"/>
        <v>7.9891470918634251E-3</v>
      </c>
    </row>
    <row r="351" spans="1:20" x14ac:dyDescent="0.25">
      <c r="A351" s="5">
        <v>44242</v>
      </c>
      <c r="B351">
        <v>53.112000000000002</v>
      </c>
      <c r="C351">
        <v>56.320999999999998</v>
      </c>
      <c r="D351">
        <v>43.34</v>
      </c>
      <c r="E351">
        <v>51.610999999999997</v>
      </c>
      <c r="F351">
        <v>259659.95199999999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0.27432401201756368</v>
      </c>
      <c r="Q351">
        <f t="shared" si="970"/>
        <v>71230.959792927999</v>
      </c>
      <c r="R351">
        <f t="shared" si="971"/>
        <v>686262.87342750665</v>
      </c>
      <c r="S351">
        <f t="shared" si="972"/>
        <v>6.8626287342750665</v>
      </c>
      <c r="T351">
        <f t="shared" si="973"/>
        <v>6.8626287342750661E-3</v>
      </c>
    </row>
    <row r="352" spans="1:20" x14ac:dyDescent="0.25">
      <c r="A352" s="5">
        <v>44241</v>
      </c>
      <c r="B352">
        <v>54.667000000000002</v>
      </c>
      <c r="C352">
        <v>57.499000000000002</v>
      </c>
      <c r="D352">
        <v>49.793999999999997</v>
      </c>
      <c r="E352">
        <v>53</v>
      </c>
      <c r="F352">
        <v>235573.48800000001</v>
      </c>
      <c r="G352">
        <v>0</v>
      </c>
      <c r="L352" t="s">
        <v>7</v>
      </c>
      <c r="M352" t="s">
        <v>8</v>
      </c>
      <c r="N352" t="s">
        <v>8</v>
      </c>
      <c r="P352">
        <f t="shared" si="969"/>
        <v>-0.16781310837118732</v>
      </c>
      <c r="Q352">
        <f t="shared" si="970"/>
        <v>-39532.3192711226</v>
      </c>
      <c r="R352">
        <f t="shared" si="971"/>
        <v>615031.9136345787</v>
      </c>
      <c r="S352">
        <f t="shared" si="972"/>
        <v>6.1503191363457868</v>
      </c>
      <c r="T352">
        <f t="shared" si="973"/>
        <v>6.1503191363457867E-3</v>
      </c>
    </row>
    <row r="353" spans="1:20" x14ac:dyDescent="0.25">
      <c r="A353" s="5">
        <v>44240</v>
      </c>
      <c r="B353">
        <v>47.115000000000002</v>
      </c>
      <c r="C353">
        <v>58.133000000000003</v>
      </c>
      <c r="D353">
        <v>46.777999999999999</v>
      </c>
      <c r="E353">
        <v>54.561999999999998</v>
      </c>
      <c r="F353">
        <v>322917.402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0.37102597974460522</v>
      </c>
      <c r="Q353">
        <f t="shared" si="970"/>
        <v>119810.74545363254</v>
      </c>
      <c r="R353">
        <f t="shared" si="971"/>
        <v>654564.23290570127</v>
      </c>
      <c r="S353">
        <f t="shared" si="972"/>
        <v>6.5456423290570127</v>
      </c>
      <c r="T353">
        <f t="shared" si="973"/>
        <v>6.5456423290570125E-3</v>
      </c>
    </row>
    <row r="354" spans="1:20" x14ac:dyDescent="0.25">
      <c r="A354" s="5">
        <v>44239</v>
      </c>
      <c r="B354">
        <v>47.402999999999999</v>
      </c>
      <c r="C354">
        <v>48.91</v>
      </c>
      <c r="D354">
        <v>45.5</v>
      </c>
      <c r="E354">
        <v>47.106999999999999</v>
      </c>
      <c r="F354">
        <v>228532.212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-5.74780058651021E-2</v>
      </c>
      <c r="Q354">
        <f t="shared" si="970"/>
        <v>-13135.575821700757</v>
      </c>
      <c r="R354">
        <f t="shared" si="971"/>
        <v>534753.48745206872</v>
      </c>
      <c r="S354">
        <f t="shared" si="972"/>
        <v>5.3475348745206874</v>
      </c>
      <c r="T354">
        <f t="shared" si="973"/>
        <v>5.3475348745206878E-3</v>
      </c>
    </row>
    <row r="355" spans="1:20" x14ac:dyDescent="0.25">
      <c r="A355" s="5">
        <v>44238</v>
      </c>
      <c r="B355">
        <v>42.499000000000002</v>
      </c>
      <c r="C355">
        <v>48.805999999999997</v>
      </c>
      <c r="D355">
        <v>42.063000000000002</v>
      </c>
      <c r="E355">
        <v>47.332000000000001</v>
      </c>
      <c r="F355">
        <v>289291.05599999998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0.56280587275693383</v>
      </c>
      <c r="Q355">
        <f t="shared" si="970"/>
        <v>162814.705252855</v>
      </c>
      <c r="R355">
        <f t="shared" si="971"/>
        <v>547889.06327376945</v>
      </c>
      <c r="S355">
        <f t="shared" si="972"/>
        <v>5.4788906327376949</v>
      </c>
      <c r="T355">
        <f t="shared" si="973"/>
        <v>5.4788906327376949E-3</v>
      </c>
    </row>
    <row r="356" spans="1:20" x14ac:dyDescent="0.25">
      <c r="A356" s="5">
        <v>44237</v>
      </c>
      <c r="B356">
        <v>42.35</v>
      </c>
      <c r="C356">
        <v>46</v>
      </c>
      <c r="D356">
        <v>38.738</v>
      </c>
      <c r="E356">
        <v>42.424999999999997</v>
      </c>
      <c r="F356">
        <v>332175.25300000003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1.5422748554116602E-2</v>
      </c>
      <c r="Q356">
        <f t="shared" si="970"/>
        <v>5123.0554029190671</v>
      </c>
      <c r="R356">
        <f t="shared" si="971"/>
        <v>385074.35802091443</v>
      </c>
      <c r="S356">
        <f t="shared" si="972"/>
        <v>3.8507435802091443</v>
      </c>
      <c r="T356">
        <f t="shared" si="973"/>
        <v>3.8507435802091444E-3</v>
      </c>
    </row>
    <row r="357" spans="1:20" x14ac:dyDescent="0.25">
      <c r="A357" s="5">
        <v>44236</v>
      </c>
      <c r="B357">
        <v>34.063000000000002</v>
      </c>
      <c r="C357">
        <v>45.713999999999999</v>
      </c>
      <c r="D357">
        <v>33.628</v>
      </c>
      <c r="E357">
        <v>42.356999999999999</v>
      </c>
      <c r="F357">
        <v>610091.147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0.44448121793811024</v>
      </c>
      <c r="Q357">
        <f t="shared" si="970"/>
        <v>271174.05607181863</v>
      </c>
      <c r="R357">
        <f t="shared" si="971"/>
        <v>379951.30261799536</v>
      </c>
      <c r="S357">
        <f t="shared" si="972"/>
        <v>3.7995130261799535</v>
      </c>
      <c r="T357">
        <f t="shared" si="973"/>
        <v>3.7995130261799536E-3</v>
      </c>
    </row>
    <row r="358" spans="1:20" x14ac:dyDescent="0.25">
      <c r="A358" s="5">
        <v>44235</v>
      </c>
      <c r="B358">
        <v>33.622</v>
      </c>
      <c r="C358">
        <v>35.917999999999999</v>
      </c>
      <c r="D358">
        <v>33.33</v>
      </c>
      <c r="E358">
        <v>34.054000000000002</v>
      </c>
      <c r="F358">
        <v>152436.89199999999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-0.44049459041730799</v>
      </c>
      <c r="Q358">
        <f t="shared" si="970"/>
        <v>-67147.626306027407</v>
      </c>
      <c r="R358">
        <f t="shared" si="971"/>
        <v>108777.24654617673</v>
      </c>
      <c r="S358">
        <f t="shared" si="972"/>
        <v>1.0877724654617673</v>
      </c>
      <c r="T358">
        <f t="shared" si="973"/>
        <v>1.0877724654617673E-3</v>
      </c>
    </row>
    <row r="359" spans="1:20" x14ac:dyDescent="0.25">
      <c r="A359" s="5">
        <v>44234</v>
      </c>
      <c r="B359">
        <v>36.235999999999997</v>
      </c>
      <c r="C359">
        <v>36.533000000000001</v>
      </c>
      <c r="D359">
        <v>31.548999999999999</v>
      </c>
      <c r="E359">
        <v>33.637</v>
      </c>
      <c r="F359">
        <v>232478.62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-0.16211878009630809</v>
      </c>
      <c r="Q359">
        <f t="shared" si="970"/>
        <v>-37689.150272873172</v>
      </c>
      <c r="R359">
        <f t="shared" si="971"/>
        <v>175924.87285220413</v>
      </c>
      <c r="S359">
        <f t="shared" si="972"/>
        <v>1.7592487285220413</v>
      </c>
      <c r="T359">
        <f t="shared" si="973"/>
        <v>1.7592487285220412E-3</v>
      </c>
    </row>
    <row r="360" spans="1:20" x14ac:dyDescent="0.25">
      <c r="A360" s="5">
        <v>44233</v>
      </c>
      <c r="B360">
        <v>38.183</v>
      </c>
      <c r="C360">
        <v>38.332999999999998</v>
      </c>
      <c r="D360">
        <v>35.454000000000001</v>
      </c>
      <c r="E360">
        <v>36.235999999999997</v>
      </c>
      <c r="F360">
        <v>178579.50399999999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-0.45675581799236048</v>
      </c>
      <c r="Q360">
        <f t="shared" si="970"/>
        <v>-81567.227426190002</v>
      </c>
      <c r="R360">
        <f t="shared" si="971"/>
        <v>213614.02312507731</v>
      </c>
      <c r="S360">
        <f t="shared" si="972"/>
        <v>2.1361402312507729</v>
      </c>
      <c r="T360">
        <f t="shared" si="973"/>
        <v>2.1361402312507728E-3</v>
      </c>
    </row>
    <row r="361" spans="1:20" x14ac:dyDescent="0.25">
      <c r="A361" s="5">
        <v>44232</v>
      </c>
      <c r="B361">
        <v>36.531999999999996</v>
      </c>
      <c r="C361">
        <v>39</v>
      </c>
      <c r="D361">
        <v>35</v>
      </c>
      <c r="E361">
        <v>38.183999999999997</v>
      </c>
      <c r="F361">
        <v>235512.967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0.59199999999999875</v>
      </c>
      <c r="Q361">
        <f t="shared" si="970"/>
        <v>139423.6764639997</v>
      </c>
      <c r="R361">
        <f t="shared" si="971"/>
        <v>295181.25055126729</v>
      </c>
      <c r="S361">
        <f t="shared" si="972"/>
        <v>2.9518125055126729</v>
      </c>
      <c r="T361">
        <f t="shared" si="973"/>
        <v>2.9518125055126728E-3</v>
      </c>
    </row>
    <row r="362" spans="1:20" x14ac:dyDescent="0.25">
      <c r="A362" s="5">
        <v>44231</v>
      </c>
      <c r="B362">
        <v>35.527000000000001</v>
      </c>
      <c r="C362">
        <v>38.1</v>
      </c>
      <c r="D362">
        <v>34.588999999999999</v>
      </c>
      <c r="E362">
        <v>36.563000000000002</v>
      </c>
      <c r="F362">
        <v>230611.06700000001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0.12446596411278962</v>
      </c>
      <c r="Q362">
        <f t="shared" si="970"/>
        <v>28703.228789234123</v>
      </c>
      <c r="R362">
        <f t="shared" si="971"/>
        <v>155757.57408726763</v>
      </c>
      <c r="S362">
        <f t="shared" si="972"/>
        <v>1.5575757408726763</v>
      </c>
      <c r="T362">
        <f t="shared" si="973"/>
        <v>1.5575757408726762E-3</v>
      </c>
    </row>
    <row r="363" spans="1:20" x14ac:dyDescent="0.25">
      <c r="A363" s="5">
        <v>44230</v>
      </c>
      <c r="B363">
        <v>35.573999999999998</v>
      </c>
      <c r="C363">
        <v>35.700000000000003</v>
      </c>
      <c r="D363">
        <v>34.350999999999999</v>
      </c>
      <c r="E363">
        <v>35.524999999999999</v>
      </c>
      <c r="F363">
        <v>162768.74900000001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0.74054855448479795</v>
      </c>
      <c r="Q363">
        <f t="shared" si="970"/>
        <v>120538.16178724892</v>
      </c>
      <c r="R363">
        <f t="shared" si="971"/>
        <v>127054.34529803351</v>
      </c>
      <c r="S363">
        <f t="shared" si="972"/>
        <v>1.2705434529803352</v>
      </c>
      <c r="T363">
        <f t="shared" si="973"/>
        <v>1.2705434529803352E-3</v>
      </c>
    </row>
    <row r="364" spans="1:20" x14ac:dyDescent="0.25">
      <c r="A364" s="5">
        <v>44229</v>
      </c>
      <c r="B364">
        <v>36.142000000000003</v>
      </c>
      <c r="C364">
        <v>37.380000000000003</v>
      </c>
      <c r="D364">
        <v>34.695</v>
      </c>
      <c r="E364">
        <v>35.648000000000003</v>
      </c>
      <c r="F364">
        <v>218997.109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-0.29013035381750307</v>
      </c>
      <c r="Q364">
        <f t="shared" si="970"/>
        <v>-63537.708719180286</v>
      </c>
      <c r="R364">
        <f t="shared" si="971"/>
        <v>6516.1835107845982</v>
      </c>
      <c r="S364">
        <f t="shared" si="972"/>
        <v>6.5161835107845983E-2</v>
      </c>
      <c r="T364">
        <f t="shared" si="973"/>
        <v>6.5161835107845989E-5</v>
      </c>
    </row>
    <row r="365" spans="1:20" x14ac:dyDescent="0.25">
      <c r="A365" s="5">
        <v>44228</v>
      </c>
      <c r="B365">
        <v>35.401000000000003</v>
      </c>
      <c r="C365">
        <v>38</v>
      </c>
      <c r="D365">
        <v>33.99</v>
      </c>
      <c r="E365">
        <v>36.142000000000003</v>
      </c>
      <c r="F365">
        <v>217847.80799999999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7.3316708229427471E-2</v>
      </c>
      <c r="Q365">
        <f t="shared" si="970"/>
        <v>15971.884177556334</v>
      </c>
      <c r="R365">
        <f t="shared" si="971"/>
        <v>70053.892229964884</v>
      </c>
      <c r="S365">
        <f t="shared" si="972"/>
        <v>0.70053892229964887</v>
      </c>
      <c r="T365">
        <f t="shared" si="973"/>
        <v>7.0053892229964888E-4</v>
      </c>
    </row>
    <row r="366" spans="1:20" x14ac:dyDescent="0.25">
      <c r="A366" s="5">
        <v>44227</v>
      </c>
      <c r="B366">
        <v>36.911999999999999</v>
      </c>
      <c r="C366">
        <v>39.299999999999997</v>
      </c>
      <c r="D366">
        <v>34.01</v>
      </c>
      <c r="E366">
        <v>35.326999999999998</v>
      </c>
      <c r="F366">
        <v>289513.65399999998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-0.50207939508506605</v>
      </c>
      <c r="Q366">
        <f t="shared" si="970"/>
        <v>-145358.84026918712</v>
      </c>
      <c r="R366">
        <f t="shared" si="971"/>
        <v>54082.00805240855</v>
      </c>
      <c r="S366">
        <f t="shared" si="972"/>
        <v>0.54082008052408548</v>
      </c>
      <c r="T366">
        <f t="shared" si="973"/>
        <v>5.4082008052408546E-4</v>
      </c>
    </row>
    <row r="367" spans="1:20" x14ac:dyDescent="0.25">
      <c r="A367" s="5">
        <v>44226</v>
      </c>
      <c r="B367">
        <v>35.085000000000001</v>
      </c>
      <c r="C367">
        <v>37.709000000000003</v>
      </c>
      <c r="D367">
        <v>32.784999999999997</v>
      </c>
      <c r="E367">
        <v>36.926000000000002</v>
      </c>
      <c r="F367">
        <v>337237.772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0.68196588139723791</v>
      </c>
      <c r="Q367">
        <f t="shared" si="970"/>
        <v>229984.65442242075</v>
      </c>
      <c r="R367">
        <f t="shared" si="971"/>
        <v>199440.84832159567</v>
      </c>
      <c r="S367">
        <f t="shared" si="972"/>
        <v>1.9944084832159568</v>
      </c>
      <c r="T367">
        <f t="shared" si="973"/>
        <v>1.9944084832159569E-3</v>
      </c>
    </row>
    <row r="368" spans="1:20" x14ac:dyDescent="0.25">
      <c r="A368" s="5">
        <v>44225</v>
      </c>
      <c r="B368">
        <v>35.145000000000003</v>
      </c>
      <c r="C368">
        <v>36.700000000000003</v>
      </c>
      <c r="D368">
        <v>32.799999999999997</v>
      </c>
      <c r="E368">
        <v>35.137999999999998</v>
      </c>
      <c r="F368">
        <v>325262.75300000003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0.19897435897435772</v>
      </c>
      <c r="Q368">
        <f t="shared" si="970"/>
        <v>64718.947776409856</v>
      </c>
      <c r="R368">
        <f t="shared" si="971"/>
        <v>-30543.806100825081</v>
      </c>
      <c r="S368">
        <f t="shared" si="972"/>
        <v>-0.30543806100825083</v>
      </c>
      <c r="T368">
        <f t="shared" si="973"/>
        <v>-3.054380610082508E-4</v>
      </c>
    </row>
    <row r="369" spans="1:20" x14ac:dyDescent="0.25">
      <c r="A369" s="5">
        <v>44224</v>
      </c>
      <c r="B369">
        <v>29.152999999999999</v>
      </c>
      <c r="C369">
        <v>38.151000000000003</v>
      </c>
      <c r="D369">
        <v>28.5</v>
      </c>
      <c r="E369">
        <v>35.131</v>
      </c>
      <c r="F369">
        <v>565867.52000000002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0.37415811832970636</v>
      </c>
      <c r="Q369">
        <f t="shared" si="970"/>
        <v>211723.92650709749</v>
      </c>
      <c r="R369">
        <f t="shared" si="971"/>
        <v>-95262.753877234936</v>
      </c>
      <c r="S369">
        <f t="shared" si="972"/>
        <v>-0.9526275387723494</v>
      </c>
      <c r="T369">
        <f t="shared" si="973"/>
        <v>-9.5262753877234938E-4</v>
      </c>
    </row>
    <row r="370" spans="1:20" x14ac:dyDescent="0.25">
      <c r="A370" s="5">
        <v>44223</v>
      </c>
      <c r="B370">
        <v>32.725999999999999</v>
      </c>
      <c r="C370">
        <v>32.863</v>
      </c>
      <c r="D370">
        <v>28.353999999999999</v>
      </c>
      <c r="E370">
        <v>29.18</v>
      </c>
      <c r="F370">
        <v>416739.88799999998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-0.63362164559769329</v>
      </c>
      <c r="Q370">
        <f t="shared" si="970"/>
        <v>-264055.41362075839</v>
      </c>
      <c r="R370">
        <f t="shared" si="971"/>
        <v>-306986.68038433243</v>
      </c>
      <c r="S370">
        <f t="shared" si="972"/>
        <v>-3.0698668038433241</v>
      </c>
      <c r="T370">
        <f t="shared" si="973"/>
        <v>-3.069866803843324E-3</v>
      </c>
    </row>
    <row r="371" spans="1:20" x14ac:dyDescent="0.25">
      <c r="A371" s="5">
        <v>44222</v>
      </c>
      <c r="B371">
        <v>34.616999999999997</v>
      </c>
      <c r="C371">
        <v>36.814999999999998</v>
      </c>
      <c r="D371">
        <v>30.344000000000001</v>
      </c>
      <c r="E371">
        <v>32.726999999999997</v>
      </c>
      <c r="F371">
        <v>617202.09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-0.263483232885181</v>
      </c>
      <c r="Q371">
        <f t="shared" si="970"/>
        <v>-162622.40201669044</v>
      </c>
      <c r="R371">
        <f t="shared" si="971"/>
        <v>-42931.266763574036</v>
      </c>
      <c r="S371">
        <f t="shared" si="972"/>
        <v>-0.42931266763574039</v>
      </c>
      <c r="T371">
        <f t="shared" si="973"/>
        <v>-4.2931266763574037E-4</v>
      </c>
    </row>
    <row r="372" spans="1:20" x14ac:dyDescent="0.25">
      <c r="A372" s="5">
        <v>44221</v>
      </c>
      <c r="B372">
        <v>27.260999999999999</v>
      </c>
      <c r="C372">
        <v>39.198999999999998</v>
      </c>
      <c r="D372">
        <v>26.876999999999999</v>
      </c>
      <c r="E372">
        <v>34.616999999999997</v>
      </c>
      <c r="F372">
        <v>1448035.1610000001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0.25628956338256759</v>
      </c>
      <c r="Q372">
        <f t="shared" si="970"/>
        <v>371116.29917529598</v>
      </c>
      <c r="R372">
        <f t="shared" si="971"/>
        <v>119691.1352531164</v>
      </c>
      <c r="S372">
        <f t="shared" si="972"/>
        <v>1.1969113525311641</v>
      </c>
      <c r="T372">
        <f t="shared" si="973"/>
        <v>1.1969113525311641E-3</v>
      </c>
    </row>
    <row r="373" spans="1:20" x14ac:dyDescent="0.25">
      <c r="A373" s="5">
        <v>44220</v>
      </c>
      <c r="B373">
        <v>27.145</v>
      </c>
      <c r="C373">
        <v>29.228000000000002</v>
      </c>
      <c r="D373">
        <v>26.518999999999998</v>
      </c>
      <c r="E373">
        <v>27.234000000000002</v>
      </c>
      <c r="F373">
        <v>216773.264</v>
      </c>
      <c r="G373">
        <v>0</v>
      </c>
      <c r="L373" t="s">
        <v>7</v>
      </c>
      <c r="M373" t="s">
        <v>8</v>
      </c>
      <c r="N373" t="s">
        <v>7</v>
      </c>
      <c r="P373">
        <f t="shared" si="969"/>
        <v>-0.47212993724621444</v>
      </c>
      <c r="Q373">
        <f t="shared" si="970"/>
        <v>-102345.14752897708</v>
      </c>
      <c r="R373">
        <f t="shared" si="971"/>
        <v>-251425.16392217958</v>
      </c>
      <c r="S373">
        <f t="shared" si="972"/>
        <v>-2.5142516392217957</v>
      </c>
      <c r="T373">
        <f t="shared" si="973"/>
        <v>-2.5142516392217956E-3</v>
      </c>
    </row>
    <row r="374" spans="1:20" x14ac:dyDescent="0.25">
      <c r="A374" s="5">
        <v>44219</v>
      </c>
      <c r="B374">
        <v>27.478000000000002</v>
      </c>
      <c r="C374">
        <v>29.66</v>
      </c>
      <c r="D374">
        <v>26.7</v>
      </c>
      <c r="E374">
        <v>27.207000000000001</v>
      </c>
      <c r="F374">
        <v>187024.111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-0.65743243243243155</v>
      </c>
      <c r="Q374">
        <f t="shared" si="970"/>
        <v>-122955.71621824308</v>
      </c>
      <c r="R374">
        <f t="shared" si="971"/>
        <v>-149080.0163932025</v>
      </c>
      <c r="S374">
        <f t="shared" si="972"/>
        <v>-1.490800163932025</v>
      </c>
      <c r="T374">
        <f t="shared" si="973"/>
        <v>-1.4908001639320249E-3</v>
      </c>
    </row>
    <row r="375" spans="1:20" x14ac:dyDescent="0.25">
      <c r="A375" s="5">
        <v>44218</v>
      </c>
      <c r="B375">
        <v>27.603999999999999</v>
      </c>
      <c r="C375">
        <v>29.99</v>
      </c>
      <c r="D375">
        <v>24.69</v>
      </c>
      <c r="E375">
        <v>27.524999999999999</v>
      </c>
      <c r="F375">
        <v>275314.52899999998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6.9811320754716535E-2</v>
      </c>
      <c r="Q375">
        <f t="shared" si="970"/>
        <v>19220.070892452706</v>
      </c>
      <c r="R375">
        <f t="shared" si="971"/>
        <v>-26124.300174959433</v>
      </c>
      <c r="S375">
        <f t="shared" si="972"/>
        <v>-0.26124300174959431</v>
      </c>
      <c r="T375">
        <f t="shared" si="973"/>
        <v>-2.6124300174959432E-4</v>
      </c>
    </row>
    <row r="376" spans="1:20" x14ac:dyDescent="0.25">
      <c r="A376" s="5">
        <v>44217</v>
      </c>
      <c r="B376">
        <v>31.734999999999999</v>
      </c>
      <c r="C376">
        <v>33.25</v>
      </c>
      <c r="D376">
        <v>26</v>
      </c>
      <c r="E376">
        <v>27.602</v>
      </c>
      <c r="F376">
        <v>358076.125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-0.55806896551724128</v>
      </c>
      <c r="Q376">
        <f t="shared" si="970"/>
        <v>-199831.17265517238</v>
      </c>
      <c r="R376">
        <f t="shared" si="971"/>
        <v>-45344.371067412139</v>
      </c>
      <c r="S376">
        <f t="shared" si="972"/>
        <v>-0.45344371067412137</v>
      </c>
      <c r="T376">
        <f t="shared" si="973"/>
        <v>-4.5344371067412137E-4</v>
      </c>
    </row>
    <row r="377" spans="1:20" x14ac:dyDescent="0.25">
      <c r="A377" s="5">
        <v>44216</v>
      </c>
      <c r="B377">
        <v>29.212</v>
      </c>
      <c r="C377">
        <v>33.127000000000002</v>
      </c>
      <c r="D377">
        <v>27.335999999999999</v>
      </c>
      <c r="E377">
        <v>31.652000000000001</v>
      </c>
      <c r="F377">
        <v>443393.59600000002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0.4905888447591088</v>
      </c>
      <c r="Q377">
        <f t="shared" si="970"/>
        <v>217523.952035227</v>
      </c>
      <c r="R377">
        <f t="shared" si="971"/>
        <v>154486.80158776024</v>
      </c>
      <c r="S377">
        <f t="shared" si="972"/>
        <v>1.5448680158776025</v>
      </c>
      <c r="T377">
        <f t="shared" si="973"/>
        <v>1.5448680158776024E-3</v>
      </c>
    </row>
    <row r="378" spans="1:20" x14ac:dyDescent="0.25">
      <c r="A378" s="5">
        <v>44215</v>
      </c>
      <c r="B378">
        <v>30.459</v>
      </c>
      <c r="C378">
        <v>32.700000000000003</v>
      </c>
      <c r="D378">
        <v>28.4</v>
      </c>
      <c r="E378">
        <v>29.262</v>
      </c>
      <c r="F378">
        <v>337993.82199999999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-0.59906976744186002</v>
      </c>
      <c r="Q378">
        <f t="shared" si="970"/>
        <v>-202481.88034232543</v>
      </c>
      <c r="R378">
        <f t="shared" si="971"/>
        <v>-63037.15044746676</v>
      </c>
      <c r="S378">
        <f t="shared" si="972"/>
        <v>-0.63037150447466761</v>
      </c>
      <c r="T378">
        <f t="shared" si="973"/>
        <v>-6.3037150447466756E-4</v>
      </c>
    </row>
    <row r="379" spans="1:20" x14ac:dyDescent="0.25">
      <c r="A379" s="5">
        <v>44214</v>
      </c>
      <c r="B379">
        <v>28.1</v>
      </c>
      <c r="C379">
        <v>34.171999999999997</v>
      </c>
      <c r="D379">
        <v>28.099</v>
      </c>
      <c r="E379">
        <v>30.375</v>
      </c>
      <c r="F379">
        <v>732988.73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-0.25045282397497087</v>
      </c>
      <c r="Q379">
        <f t="shared" si="970"/>
        <v>-183579.09737032745</v>
      </c>
      <c r="R379">
        <f t="shared" si="971"/>
        <v>139444.72989485867</v>
      </c>
      <c r="S379">
        <f t="shared" si="972"/>
        <v>1.3944472989485868</v>
      </c>
      <c r="T379">
        <f t="shared" si="973"/>
        <v>1.3944472989485869E-3</v>
      </c>
    </row>
    <row r="380" spans="1:20" x14ac:dyDescent="0.25">
      <c r="A380" s="5">
        <v>44213</v>
      </c>
      <c r="B380">
        <v>24.234000000000002</v>
      </c>
      <c r="C380">
        <v>29.748999999999999</v>
      </c>
      <c r="D380">
        <v>22.809000000000001</v>
      </c>
      <c r="E380">
        <v>28.158000000000001</v>
      </c>
      <c r="F380">
        <v>415992.40299999999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0.54149855907781042</v>
      </c>
      <c r="Q380">
        <f t="shared" si="970"/>
        <v>225259.28681181581</v>
      </c>
      <c r="R380">
        <f t="shared" si="971"/>
        <v>323023.82726518612</v>
      </c>
      <c r="S380">
        <f t="shared" si="972"/>
        <v>3.230238272651861</v>
      </c>
      <c r="T380">
        <f t="shared" si="973"/>
        <v>3.230238272651861E-3</v>
      </c>
    </row>
    <row r="381" spans="1:20" x14ac:dyDescent="0.25">
      <c r="A381" s="5">
        <v>44212</v>
      </c>
      <c r="B381">
        <v>23.577999999999999</v>
      </c>
      <c r="C381">
        <v>26.913</v>
      </c>
      <c r="D381">
        <v>23.5</v>
      </c>
      <c r="E381">
        <v>24.283000000000001</v>
      </c>
      <c r="F381">
        <v>416878.65500000003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-0.54116612950483378</v>
      </c>
      <c r="Q381">
        <f t="shared" si="970"/>
        <v>-225600.60819953095</v>
      </c>
      <c r="R381">
        <f t="shared" si="971"/>
        <v>97764.54045337034</v>
      </c>
      <c r="S381">
        <f t="shared" si="972"/>
        <v>0.97764540453370341</v>
      </c>
      <c r="T381">
        <f t="shared" si="973"/>
        <v>9.7764540453370349E-4</v>
      </c>
    </row>
    <row r="382" spans="1:20" x14ac:dyDescent="0.25">
      <c r="A382" s="5">
        <v>44211</v>
      </c>
      <c r="B382">
        <v>25.106999999999999</v>
      </c>
      <c r="C382">
        <v>26</v>
      </c>
      <c r="D382">
        <v>21.588999999999999</v>
      </c>
      <c r="E382">
        <v>23.556999999999999</v>
      </c>
      <c r="F382">
        <v>592294.21100000001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-0.10768533212423516</v>
      </c>
      <c r="Q382">
        <f t="shared" si="970"/>
        <v>-63781.398826796816</v>
      </c>
      <c r="R382">
        <f t="shared" si="971"/>
        <v>323365.14865290129</v>
      </c>
      <c r="S382">
        <f t="shared" si="972"/>
        <v>3.2336514865290131</v>
      </c>
      <c r="T382">
        <f t="shared" si="973"/>
        <v>3.233651486529013E-3</v>
      </c>
    </row>
    <row r="383" spans="1:20" x14ac:dyDescent="0.25">
      <c r="A383" s="5">
        <v>44210</v>
      </c>
      <c r="B383">
        <v>26.878</v>
      </c>
      <c r="C383">
        <v>27.577999999999999</v>
      </c>
      <c r="D383">
        <v>24.643000000000001</v>
      </c>
      <c r="E383">
        <v>25.138999999999999</v>
      </c>
      <c r="F383">
        <v>439591.46500000003</v>
      </c>
      <c r="G383">
        <v>0</v>
      </c>
      <c r="L383" t="s">
        <v>8</v>
      </c>
      <c r="M383" t="s">
        <v>7</v>
      </c>
      <c r="N383" t="s">
        <v>8</v>
      </c>
      <c r="P383">
        <f t="shared" si="969"/>
        <v>-0.66201022146507738</v>
      </c>
      <c r="Q383">
        <f t="shared" si="970"/>
        <v>-291014.0430988078</v>
      </c>
      <c r="R383">
        <f t="shared" si="971"/>
        <v>387146.54747969809</v>
      </c>
      <c r="S383">
        <f t="shared" si="972"/>
        <v>3.871465474796981</v>
      </c>
      <c r="T383">
        <f t="shared" si="973"/>
        <v>3.871465474796981E-3</v>
      </c>
    </row>
    <row r="384" spans="1:20" x14ac:dyDescent="0.25">
      <c r="A384" s="5">
        <v>44209</v>
      </c>
      <c r="B384">
        <v>27.006</v>
      </c>
      <c r="C384">
        <v>28.32</v>
      </c>
      <c r="D384">
        <v>23.9</v>
      </c>
      <c r="E384">
        <v>26.89</v>
      </c>
      <c r="F384">
        <v>1051834.2420000001</v>
      </c>
      <c r="G384">
        <v>0</v>
      </c>
      <c r="L384" t="s">
        <v>7</v>
      </c>
      <c r="M384" t="s">
        <v>7</v>
      </c>
      <c r="N384" t="s">
        <v>8</v>
      </c>
      <c r="P384">
        <f t="shared" si="969"/>
        <v>0.35294117647058859</v>
      </c>
      <c r="Q384">
        <f t="shared" si="970"/>
        <v>371235.61482352979</v>
      </c>
      <c r="R384">
        <f t="shared" si="971"/>
        <v>678160.59057850589</v>
      </c>
      <c r="S384">
        <f t="shared" si="972"/>
        <v>6.7816059057850593</v>
      </c>
      <c r="T384">
        <f t="shared" si="973"/>
        <v>6.7816059057850594E-3</v>
      </c>
    </row>
    <row r="385" spans="1:20" x14ac:dyDescent="0.25">
      <c r="A385" s="5">
        <v>44208</v>
      </c>
      <c r="B385">
        <v>24.035</v>
      </c>
      <c r="C385">
        <v>31</v>
      </c>
      <c r="D385">
        <v>22.5</v>
      </c>
      <c r="E385">
        <v>27.004000000000001</v>
      </c>
      <c r="F385">
        <v>2048411.449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5.9764705882353254E-2</v>
      </c>
      <c r="Q385">
        <f t="shared" si="970"/>
        <v>122422.70777553006</v>
      </c>
      <c r="R385">
        <f t="shared" si="971"/>
        <v>306924.9757549761</v>
      </c>
      <c r="S385">
        <f t="shared" si="972"/>
        <v>3.0692497575497608</v>
      </c>
      <c r="T385">
        <f t="shared" si="973"/>
        <v>3.0692497575497608E-3</v>
      </c>
    </row>
    <row r="386" spans="1:20" x14ac:dyDescent="0.25">
      <c r="A386" s="5">
        <v>44207</v>
      </c>
      <c r="B386">
        <v>21.882000000000001</v>
      </c>
      <c r="C386">
        <v>29.614000000000001</v>
      </c>
      <c r="D386">
        <v>17.210999999999999</v>
      </c>
      <c r="E386">
        <v>24.033999999999999</v>
      </c>
      <c r="F386">
        <v>3683730.3480000002</v>
      </c>
      <c r="G386">
        <v>0</v>
      </c>
      <c r="L386" t="s">
        <v>8</v>
      </c>
      <c r="M386" t="s">
        <v>8</v>
      </c>
      <c r="N386" t="s">
        <v>8</v>
      </c>
      <c r="P386">
        <f t="shared" si="969"/>
        <v>0.10021768926872518</v>
      </c>
      <c r="Q386">
        <f t="shared" si="970"/>
        <v>369174.94336563692</v>
      </c>
      <c r="R386">
        <f t="shared" si="971"/>
        <v>184502.26797944604</v>
      </c>
      <c r="S386">
        <f t="shared" si="972"/>
        <v>1.8450226797944604</v>
      </c>
      <c r="T386">
        <f t="shared" si="973"/>
        <v>1.8450226797944605E-3</v>
      </c>
    </row>
    <row r="387" spans="1:20" x14ac:dyDescent="0.25">
      <c r="A387" s="5">
        <v>44206</v>
      </c>
      <c r="B387">
        <v>15.734999999999999</v>
      </c>
      <c r="C387">
        <v>23.888000000000002</v>
      </c>
      <c r="D387">
        <v>14.891</v>
      </c>
      <c r="E387">
        <v>21.859000000000002</v>
      </c>
      <c r="F387">
        <v>1828546.75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0.54896076469934429</v>
      </c>
      <c r="Q387">
        <f t="shared" si="970"/>
        <v>1003800.4221685007</v>
      </c>
      <c r="R387">
        <f t="shared" si="971"/>
        <v>-184672.67538619088</v>
      </c>
      <c r="S387">
        <f t="shared" si="972"/>
        <v>-1.8467267538619088</v>
      </c>
      <c r="T387">
        <f t="shared" si="973"/>
        <v>-1.8467267538619088E-3</v>
      </c>
    </row>
    <row r="388" spans="1:20" x14ac:dyDescent="0.25">
      <c r="A388" s="5">
        <v>44205</v>
      </c>
      <c r="B388">
        <v>14.48</v>
      </c>
      <c r="C388">
        <v>15.997</v>
      </c>
      <c r="D388">
        <v>13.976000000000001</v>
      </c>
      <c r="E388">
        <v>15.696999999999999</v>
      </c>
      <c r="F388">
        <v>189088.399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0.70311726867887103</v>
      </c>
      <c r="Q388">
        <f t="shared" si="970"/>
        <v>132951.31864374058</v>
      </c>
      <c r="R388">
        <f t="shared" si="971"/>
        <v>-1188473.0975546916</v>
      </c>
      <c r="S388">
        <f t="shared" si="972"/>
        <v>-11.884730975546915</v>
      </c>
      <c r="T388">
        <f t="shared" si="973"/>
        <v>-1.1884730975546915E-2</v>
      </c>
    </row>
    <row r="389" spans="1:20" x14ac:dyDescent="0.25">
      <c r="A389" s="5">
        <v>44204</v>
      </c>
      <c r="B389">
        <v>14.618</v>
      </c>
      <c r="C389">
        <v>14.88</v>
      </c>
      <c r="D389">
        <v>13.2</v>
      </c>
      <c r="E389">
        <v>14.481</v>
      </c>
      <c r="F389">
        <v>190980.29399999999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0.52499999999999936</v>
      </c>
      <c r="Q389">
        <f t="shared" si="970"/>
        <v>100264.65434999988</v>
      </c>
      <c r="R389">
        <f t="shared" si="971"/>
        <v>-1321424.4161984322</v>
      </c>
      <c r="S389">
        <f t="shared" si="972"/>
        <v>-13.214244161984322</v>
      </c>
      <c r="T389">
        <f t="shared" si="973"/>
        <v>-1.3214244161984322E-2</v>
      </c>
    </row>
    <row r="390" spans="1:20" x14ac:dyDescent="0.25">
      <c r="A390" s="5">
        <v>44203</v>
      </c>
      <c r="B390">
        <v>16.047999999999998</v>
      </c>
      <c r="C390">
        <v>16.198</v>
      </c>
      <c r="D390">
        <v>13.59</v>
      </c>
      <c r="E390">
        <v>14.592000000000001</v>
      </c>
      <c r="F390">
        <v>263743.69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-0.23159509202453951</v>
      </c>
      <c r="Q390">
        <f t="shared" ref="Q390:Q453" si="975">F390*P390</f>
        <v>-61081.744156441622</v>
      </c>
      <c r="R390">
        <f t="shared" ref="R390:R453" si="976">R391+Q390</f>
        <v>-1421689.0705484322</v>
      </c>
      <c r="S390">
        <f t="shared" ref="S390:S453" si="977">R390/100000</f>
        <v>-14.216890705484321</v>
      </c>
      <c r="T390">
        <f t="shared" ref="T390:T453" si="978">S390/1000</f>
        <v>-1.4216890705484321E-2</v>
      </c>
    </row>
    <row r="391" spans="1:20" x14ac:dyDescent="0.25">
      <c r="A391" s="5">
        <v>44202</v>
      </c>
      <c r="B391">
        <v>14.398999999999999</v>
      </c>
      <c r="C391">
        <v>16.576000000000001</v>
      </c>
      <c r="D391">
        <v>13.537000000000001</v>
      </c>
      <c r="E391">
        <v>16.047000000000001</v>
      </c>
      <c r="F391">
        <v>447730.61099999998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0.65185916419874956</v>
      </c>
      <c r="Q391">
        <f t="shared" si="975"/>
        <v>291857.30187265546</v>
      </c>
      <c r="R391">
        <f t="shared" si="976"/>
        <v>-1360607.3263919905</v>
      </c>
      <c r="S391">
        <f t="shared" si="977"/>
        <v>-13.606073263919905</v>
      </c>
      <c r="T391">
        <f t="shared" si="978"/>
        <v>-1.3606073263919905E-2</v>
      </c>
    </row>
    <row r="392" spans="1:20" x14ac:dyDescent="0.25">
      <c r="A392" s="5">
        <v>44201</v>
      </c>
      <c r="B392">
        <v>13.488</v>
      </c>
      <c r="C392">
        <v>14.898999999999999</v>
      </c>
      <c r="D392">
        <v>12.747</v>
      </c>
      <c r="E392">
        <v>14.372</v>
      </c>
      <c r="F392">
        <v>301440.95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0.51022304832713805</v>
      </c>
      <c r="Q392">
        <f t="shared" si="975"/>
        <v>153802.12039962842</v>
      </c>
      <c r="R392">
        <f t="shared" si="976"/>
        <v>-1652464.628264646</v>
      </c>
      <c r="S392">
        <f t="shared" si="977"/>
        <v>-16.524646282646462</v>
      </c>
      <c r="T392">
        <f t="shared" si="978"/>
        <v>-1.6524646282646462E-2</v>
      </c>
    </row>
    <row r="393" spans="1:20" x14ac:dyDescent="0.25">
      <c r="A393" s="5">
        <v>44200</v>
      </c>
      <c r="B393">
        <v>13.531000000000001</v>
      </c>
      <c r="C393">
        <v>15.2</v>
      </c>
      <c r="D393">
        <v>11.602</v>
      </c>
      <c r="E393">
        <v>13.461</v>
      </c>
      <c r="F393">
        <v>429982.40399999998</v>
      </c>
      <c r="G393">
        <v>0</v>
      </c>
      <c r="L393" t="s">
        <v>8</v>
      </c>
      <c r="M393" t="s">
        <v>7</v>
      </c>
      <c r="N393" t="s">
        <v>8</v>
      </c>
      <c r="P393">
        <f t="shared" si="974"/>
        <v>3.3351862145636749E-2</v>
      </c>
      <c r="Q393">
        <f t="shared" si="975"/>
        <v>14340.713863257486</v>
      </c>
      <c r="R393">
        <f t="shared" si="976"/>
        <v>-1806266.7486642743</v>
      </c>
      <c r="S393">
        <f t="shared" si="977"/>
        <v>-18.062667486642745</v>
      </c>
      <c r="T393">
        <f t="shared" si="978"/>
        <v>-1.8062667486642744E-2</v>
      </c>
    </row>
    <row r="394" spans="1:20" x14ac:dyDescent="0.25">
      <c r="A394" s="5">
        <v>44199</v>
      </c>
      <c r="B394">
        <v>11.775</v>
      </c>
      <c r="C394">
        <v>14.712999999999999</v>
      </c>
      <c r="D394">
        <v>11.566000000000001</v>
      </c>
      <c r="E394">
        <v>13.53</v>
      </c>
      <c r="F394">
        <v>527536.09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0.2481728630441688</v>
      </c>
      <c r="Q394">
        <f t="shared" si="975"/>
        <v>130920.1418144263</v>
      </c>
      <c r="R394">
        <f t="shared" si="976"/>
        <v>-1820607.4625275319</v>
      </c>
      <c r="S394">
        <f t="shared" si="977"/>
        <v>-18.20607462527532</v>
      </c>
      <c r="T394">
        <f t="shared" si="978"/>
        <v>-1.820607462527532E-2</v>
      </c>
    </row>
    <row r="395" spans="1:20" x14ac:dyDescent="0.25">
      <c r="A395" s="5">
        <v>44198</v>
      </c>
      <c r="B395">
        <v>11.772</v>
      </c>
      <c r="C395">
        <v>12.541</v>
      </c>
      <c r="D395">
        <v>11.24</v>
      </c>
      <c r="E395">
        <v>11.704000000000001</v>
      </c>
      <c r="F395">
        <v>378355.83899999998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-0.28670253651037608</v>
      </c>
      <c r="Q395">
        <f t="shared" si="975"/>
        <v>-108475.57874481147</v>
      </c>
      <c r="R395">
        <f t="shared" si="976"/>
        <v>-1951527.6043419582</v>
      </c>
      <c r="S395">
        <f t="shared" si="977"/>
        <v>-19.515276043419583</v>
      </c>
      <c r="T395">
        <f t="shared" si="978"/>
        <v>-1.9515276043419582E-2</v>
      </c>
    </row>
    <row r="396" spans="1:20" x14ac:dyDescent="0.25">
      <c r="A396" s="5">
        <v>44197</v>
      </c>
      <c r="B396">
        <v>11.569000000000001</v>
      </c>
      <c r="C396">
        <v>14.648999999999999</v>
      </c>
      <c r="D396">
        <v>11.301</v>
      </c>
      <c r="E396">
        <v>11.74</v>
      </c>
      <c r="F396">
        <v>853203.32200000004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-0.73775388291517308</v>
      </c>
      <c r="Q396">
        <f t="shared" si="975"/>
        <v>-629454.06372162479</v>
      </c>
      <c r="R396">
        <f t="shared" si="976"/>
        <v>-1843052.0255971467</v>
      </c>
      <c r="S396">
        <f t="shared" si="977"/>
        <v>-18.430520255971466</v>
      </c>
      <c r="T396">
        <f t="shared" si="978"/>
        <v>-1.8430520255971465E-2</v>
      </c>
    </row>
    <row r="397" spans="1:20" x14ac:dyDescent="0.25">
      <c r="A397" s="5">
        <v>44196</v>
      </c>
      <c r="B397">
        <v>10.83</v>
      </c>
      <c r="C397">
        <v>11.686999999999999</v>
      </c>
      <c r="D397">
        <v>10.3</v>
      </c>
      <c r="E397">
        <v>11.608000000000001</v>
      </c>
      <c r="F397">
        <v>187352.51800000001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0.88608507570295758</v>
      </c>
      <c r="Q397">
        <f t="shared" si="975"/>
        <v>166010.27009516972</v>
      </c>
      <c r="R397">
        <f t="shared" si="976"/>
        <v>-1213597.961875522</v>
      </c>
      <c r="S397">
        <f t="shared" si="977"/>
        <v>-12.13597961875522</v>
      </c>
      <c r="T397">
        <f t="shared" si="978"/>
        <v>-1.2135979618755221E-2</v>
      </c>
    </row>
    <row r="398" spans="1:20" x14ac:dyDescent="0.25">
      <c r="A398" s="5">
        <v>44195</v>
      </c>
      <c r="B398">
        <v>11.6</v>
      </c>
      <c r="C398">
        <v>12.254</v>
      </c>
      <c r="D398">
        <v>10.6</v>
      </c>
      <c r="E398">
        <v>10.824999999999999</v>
      </c>
      <c r="F398">
        <v>211733.269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-0.72793228536880328</v>
      </c>
      <c r="Q398">
        <f t="shared" si="975"/>
        <v>-154127.48239177759</v>
      </c>
      <c r="R398">
        <f t="shared" si="976"/>
        <v>-1379608.2319706918</v>
      </c>
      <c r="S398">
        <f t="shared" si="977"/>
        <v>-13.796082319706919</v>
      </c>
      <c r="T398">
        <f t="shared" si="978"/>
        <v>-1.3796082319706918E-2</v>
      </c>
    </row>
    <row r="399" spans="1:20" x14ac:dyDescent="0.25">
      <c r="A399" s="5">
        <v>44194</v>
      </c>
      <c r="B399">
        <v>12.166</v>
      </c>
      <c r="C399">
        <v>12.337</v>
      </c>
      <c r="D399">
        <v>10.272</v>
      </c>
      <c r="E399">
        <v>11.583</v>
      </c>
      <c r="F399">
        <v>278905.75199999998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0.26973365617433437</v>
      </c>
      <c r="Q399">
        <f t="shared" si="975"/>
        <v>75230.268215012169</v>
      </c>
      <c r="R399">
        <f t="shared" si="976"/>
        <v>-1225480.7495789141</v>
      </c>
      <c r="S399">
        <f t="shared" si="977"/>
        <v>-12.254807495789141</v>
      </c>
      <c r="T399">
        <f t="shared" si="978"/>
        <v>-1.225480749578914E-2</v>
      </c>
    </row>
    <row r="400" spans="1:20" x14ac:dyDescent="0.25">
      <c r="A400" s="5">
        <v>44193</v>
      </c>
      <c r="B400">
        <v>12.582000000000001</v>
      </c>
      <c r="C400">
        <v>13.175000000000001</v>
      </c>
      <c r="D400">
        <v>11.683999999999999</v>
      </c>
      <c r="E400">
        <v>12.153</v>
      </c>
      <c r="F400">
        <v>151113.76500000001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-0.37089201877934175</v>
      </c>
      <c r="Q400">
        <f t="shared" si="975"/>
        <v>-56046.889366197043</v>
      </c>
      <c r="R400">
        <f t="shared" si="976"/>
        <v>-1300711.0177939264</v>
      </c>
      <c r="S400">
        <f t="shared" si="977"/>
        <v>-13.007110177939264</v>
      </c>
      <c r="T400">
        <f t="shared" si="978"/>
        <v>-1.3007110177939265E-2</v>
      </c>
    </row>
    <row r="401" spans="1:20" x14ac:dyDescent="0.25">
      <c r="A401" s="5">
        <v>44192</v>
      </c>
      <c r="B401">
        <v>11.913</v>
      </c>
      <c r="C401">
        <v>13.297000000000001</v>
      </c>
      <c r="D401">
        <v>11.9</v>
      </c>
      <c r="E401">
        <v>12.581</v>
      </c>
      <c r="F401">
        <v>414929.94900000002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-2.5053686471010674E-2</v>
      </c>
      <c r="Q401">
        <f t="shared" si="975"/>
        <v>-10395.52484967845</v>
      </c>
      <c r="R401">
        <f t="shared" si="976"/>
        <v>-1244664.1284277295</v>
      </c>
      <c r="S401">
        <f t="shared" si="977"/>
        <v>-12.446641284277295</v>
      </c>
      <c r="T401">
        <f t="shared" si="978"/>
        <v>-1.2446641284277294E-2</v>
      </c>
    </row>
    <row r="402" spans="1:20" x14ac:dyDescent="0.25">
      <c r="A402" s="5">
        <v>44191</v>
      </c>
      <c r="B402">
        <v>11.242000000000001</v>
      </c>
      <c r="C402">
        <v>12.2</v>
      </c>
      <c r="D402">
        <v>10.45</v>
      </c>
      <c r="E402">
        <v>11.914</v>
      </c>
      <c r="F402">
        <v>248691.663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0.6731428571428576</v>
      </c>
      <c r="Q402">
        <f t="shared" si="975"/>
        <v>167405.01657942869</v>
      </c>
      <c r="R402">
        <f t="shared" si="976"/>
        <v>-1234268.6035780511</v>
      </c>
      <c r="S402">
        <f t="shared" si="977"/>
        <v>-12.342686035780511</v>
      </c>
      <c r="T402">
        <f t="shared" si="978"/>
        <v>-1.2342686035780511E-2</v>
      </c>
    </row>
    <row r="403" spans="1:20" x14ac:dyDescent="0.25">
      <c r="A403" s="5">
        <v>44190</v>
      </c>
      <c r="B403">
        <v>9.7949999999999999</v>
      </c>
      <c r="C403">
        <v>11.356</v>
      </c>
      <c r="D403">
        <v>9.5990000000000002</v>
      </c>
      <c r="E403">
        <v>11.217000000000001</v>
      </c>
      <c r="F403">
        <v>347998.435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0.84177575412635242</v>
      </c>
      <c r="Q403">
        <f t="shared" si="975"/>
        <v>292936.64505691541</v>
      </c>
      <c r="R403">
        <f t="shared" si="976"/>
        <v>-1401673.6201574798</v>
      </c>
      <c r="S403">
        <f t="shared" si="977"/>
        <v>-14.016736201574798</v>
      </c>
      <c r="T403">
        <f t="shared" si="978"/>
        <v>-1.4016736201574797E-2</v>
      </c>
    </row>
    <row r="404" spans="1:20" x14ac:dyDescent="0.25">
      <c r="A404" s="5">
        <v>44189</v>
      </c>
      <c r="B404">
        <v>8.65</v>
      </c>
      <c r="C404">
        <v>10.015000000000001</v>
      </c>
      <c r="D404">
        <v>8.3030000000000008</v>
      </c>
      <c r="E404">
        <v>9.76</v>
      </c>
      <c r="F404">
        <v>202707.94699999999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0.70210280373831679</v>
      </c>
      <c r="Q404">
        <f t="shared" si="975"/>
        <v>142321.81792873811</v>
      </c>
      <c r="R404">
        <f t="shared" si="976"/>
        <v>-1694610.2652143952</v>
      </c>
      <c r="S404">
        <f t="shared" si="977"/>
        <v>-16.946102652143953</v>
      </c>
      <c r="T404">
        <f t="shared" si="978"/>
        <v>-1.6946102652143955E-2</v>
      </c>
    </row>
    <row r="405" spans="1:20" x14ac:dyDescent="0.25">
      <c r="A405" s="5">
        <v>44188</v>
      </c>
      <c r="B405">
        <v>10.324</v>
      </c>
      <c r="C405">
        <v>10.573</v>
      </c>
      <c r="D405">
        <v>8.3000000000000007</v>
      </c>
      <c r="E405">
        <v>8.67</v>
      </c>
      <c r="F405">
        <v>261645.37700000001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-0.67443906731192316</v>
      </c>
      <c r="Q405">
        <f t="shared" si="975"/>
        <v>-176463.86403035652</v>
      </c>
      <c r="R405">
        <f t="shared" si="976"/>
        <v>-1836932.0831431334</v>
      </c>
      <c r="S405">
        <f t="shared" si="977"/>
        <v>-18.369320831431335</v>
      </c>
      <c r="T405">
        <f t="shared" si="978"/>
        <v>-1.8369320831431335E-2</v>
      </c>
    </row>
    <row r="406" spans="1:20" x14ac:dyDescent="0.25">
      <c r="A406" s="5">
        <v>44187</v>
      </c>
      <c r="B406">
        <v>10.472</v>
      </c>
      <c r="C406">
        <v>10.952999999999999</v>
      </c>
      <c r="D406">
        <v>9.99</v>
      </c>
      <c r="E406">
        <v>10.324999999999999</v>
      </c>
      <c r="F406">
        <v>180843.95199999999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-0.30425752855659532</v>
      </c>
      <c r="Q406">
        <f t="shared" si="975"/>
        <v>-55023.133889927551</v>
      </c>
      <c r="R406">
        <f t="shared" si="976"/>
        <v>-1660468.2191127769</v>
      </c>
      <c r="S406">
        <f t="shared" si="977"/>
        <v>-16.604682191127768</v>
      </c>
      <c r="T406">
        <f t="shared" si="978"/>
        <v>-1.6604682191127769E-2</v>
      </c>
    </row>
    <row r="407" spans="1:20" x14ac:dyDescent="0.25">
      <c r="A407" s="5">
        <v>44186</v>
      </c>
      <c r="B407">
        <v>11.41</v>
      </c>
      <c r="C407">
        <v>11.635</v>
      </c>
      <c r="D407">
        <v>10.205</v>
      </c>
      <c r="E407">
        <v>10.472</v>
      </c>
      <c r="F407">
        <v>273250.76699999999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-0.62657342657342729</v>
      </c>
      <c r="Q407">
        <f t="shared" si="975"/>
        <v>-171211.66939300718</v>
      </c>
      <c r="R407">
        <f t="shared" si="976"/>
        <v>-1605445.0852228494</v>
      </c>
      <c r="S407">
        <f t="shared" si="977"/>
        <v>-16.054450852228495</v>
      </c>
      <c r="T407">
        <f t="shared" si="978"/>
        <v>-1.6054450852228494E-2</v>
      </c>
    </row>
    <row r="408" spans="1:20" x14ac:dyDescent="0.25">
      <c r="A408" s="5">
        <v>44185</v>
      </c>
      <c r="B408">
        <v>12.052</v>
      </c>
      <c r="C408">
        <v>12.5</v>
      </c>
      <c r="D408">
        <v>11.111000000000001</v>
      </c>
      <c r="E408">
        <v>11.41</v>
      </c>
      <c r="F408">
        <v>174249.649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-0.56947444204463693</v>
      </c>
      <c r="Q408">
        <f t="shared" si="975"/>
        <v>-99230.72164074883</v>
      </c>
      <c r="R408">
        <f t="shared" si="976"/>
        <v>-1434233.4158298422</v>
      </c>
      <c r="S408">
        <f t="shared" si="977"/>
        <v>-14.342334158298423</v>
      </c>
      <c r="T408">
        <f t="shared" si="978"/>
        <v>-1.4342334158298423E-2</v>
      </c>
    </row>
    <row r="409" spans="1:20" x14ac:dyDescent="0.25">
      <c r="A409" s="5">
        <v>44184</v>
      </c>
      <c r="B409">
        <v>12.097</v>
      </c>
      <c r="C409">
        <v>12.672000000000001</v>
      </c>
      <c r="D409">
        <v>11.87</v>
      </c>
      <c r="E409">
        <v>12.052</v>
      </c>
      <c r="F409">
        <v>201030.394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-0.54613466334164573</v>
      </c>
      <c r="Q409">
        <f t="shared" si="975"/>
        <v>-109789.6665486284</v>
      </c>
      <c r="R409">
        <f t="shared" si="976"/>
        <v>-1335002.6941890933</v>
      </c>
      <c r="S409">
        <f t="shared" si="977"/>
        <v>-13.350026941890933</v>
      </c>
      <c r="T409">
        <f t="shared" si="978"/>
        <v>-1.3350026941890933E-2</v>
      </c>
    </row>
    <row r="410" spans="1:20" x14ac:dyDescent="0.25">
      <c r="A410" s="5">
        <v>44183</v>
      </c>
      <c r="B410">
        <v>12.018000000000001</v>
      </c>
      <c r="C410">
        <v>12.75</v>
      </c>
      <c r="D410">
        <v>11.625</v>
      </c>
      <c r="E410">
        <v>12.097</v>
      </c>
      <c r="F410">
        <v>258007.15100000001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-0.16088888888888972</v>
      </c>
      <c r="Q410">
        <f t="shared" si="975"/>
        <v>-41510.483849777993</v>
      </c>
      <c r="R410">
        <f t="shared" si="976"/>
        <v>-1225213.0276404649</v>
      </c>
      <c r="S410">
        <f t="shared" si="977"/>
        <v>-12.25213027640465</v>
      </c>
      <c r="T410">
        <f t="shared" si="978"/>
        <v>-1.2252130276404649E-2</v>
      </c>
    </row>
    <row r="411" spans="1:20" x14ac:dyDescent="0.25">
      <c r="A411" s="5">
        <v>44182</v>
      </c>
      <c r="B411">
        <v>12.641999999999999</v>
      </c>
      <c r="C411">
        <v>13.6</v>
      </c>
      <c r="D411">
        <v>11.818</v>
      </c>
      <c r="E411">
        <v>11.971</v>
      </c>
      <c r="F411">
        <v>483513.50099999999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-0.82828282828282773</v>
      </c>
      <c r="Q411">
        <f t="shared" si="975"/>
        <v>-400485.93012121186</v>
      </c>
      <c r="R411">
        <f t="shared" si="976"/>
        <v>-1183702.5437906869</v>
      </c>
      <c r="S411">
        <f t="shared" si="977"/>
        <v>-11.837025437906869</v>
      </c>
      <c r="T411">
        <f t="shared" si="978"/>
        <v>-1.1837025437906868E-2</v>
      </c>
    </row>
    <row r="412" spans="1:20" x14ac:dyDescent="0.25">
      <c r="A412" s="5">
        <v>44181</v>
      </c>
      <c r="B412">
        <v>11.141</v>
      </c>
      <c r="C412">
        <v>12.78</v>
      </c>
      <c r="D412">
        <v>10.7</v>
      </c>
      <c r="E412">
        <v>12.715999999999999</v>
      </c>
      <c r="F412">
        <v>306508.28600000002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0.93846153846153846</v>
      </c>
      <c r="Q412">
        <f t="shared" si="975"/>
        <v>287646.23763076926</v>
      </c>
      <c r="R412">
        <f t="shared" si="976"/>
        <v>-783216.61366947496</v>
      </c>
      <c r="S412">
        <f t="shared" si="977"/>
        <v>-7.8321661366947497</v>
      </c>
      <c r="T412">
        <f t="shared" si="978"/>
        <v>-7.8321661366947491E-3</v>
      </c>
    </row>
    <row r="413" spans="1:20" x14ac:dyDescent="0.25">
      <c r="A413" s="5">
        <v>44180</v>
      </c>
      <c r="B413">
        <v>11.35</v>
      </c>
      <c r="C413">
        <v>11.839</v>
      </c>
      <c r="D413">
        <v>10.634</v>
      </c>
      <c r="E413">
        <v>11.124000000000001</v>
      </c>
      <c r="F413">
        <v>224314.41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-0.18672199170124451</v>
      </c>
      <c r="Q413">
        <f t="shared" si="975"/>
        <v>-41884.433402489558</v>
      </c>
      <c r="R413">
        <f t="shared" si="976"/>
        <v>-1070862.8513002442</v>
      </c>
      <c r="S413">
        <f t="shared" si="977"/>
        <v>-10.708628513002441</v>
      </c>
      <c r="T413">
        <f t="shared" si="978"/>
        <v>-1.0708628513002442E-2</v>
      </c>
    </row>
    <row r="414" spans="1:20" x14ac:dyDescent="0.25">
      <c r="A414" s="5">
        <v>44179</v>
      </c>
      <c r="B414">
        <v>10.997999999999999</v>
      </c>
      <c r="C414">
        <v>12.271000000000001</v>
      </c>
      <c r="D414">
        <v>10.911</v>
      </c>
      <c r="E414">
        <v>11.345000000000001</v>
      </c>
      <c r="F414">
        <v>328959.46000000002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-0.36176470588235199</v>
      </c>
      <c r="Q414">
        <f t="shared" si="975"/>
        <v>-119005.92229411734</v>
      </c>
      <c r="R414">
        <f t="shared" si="976"/>
        <v>-1028978.4178977546</v>
      </c>
      <c r="S414">
        <f t="shared" si="977"/>
        <v>-10.289784178977547</v>
      </c>
      <c r="T414">
        <f t="shared" si="978"/>
        <v>-1.0289784178977546E-2</v>
      </c>
    </row>
    <row r="415" spans="1:20" x14ac:dyDescent="0.25">
      <c r="A415" s="5">
        <v>44178</v>
      </c>
      <c r="B415">
        <v>10.210000000000001</v>
      </c>
      <c r="C415">
        <v>11.414999999999999</v>
      </c>
      <c r="D415">
        <v>9.86</v>
      </c>
      <c r="E415">
        <v>10.997999999999999</v>
      </c>
      <c r="F415">
        <v>281664.39799999999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0.46366559485530562</v>
      </c>
      <c r="Q415">
        <f t="shared" si="975"/>
        <v>130598.09064823155</v>
      </c>
      <c r="R415">
        <f t="shared" si="976"/>
        <v>-909972.4956036373</v>
      </c>
      <c r="S415">
        <f t="shared" si="977"/>
        <v>-9.0997249560363738</v>
      </c>
      <c r="T415">
        <f t="shared" si="978"/>
        <v>-9.0997249560363733E-3</v>
      </c>
    </row>
    <row r="416" spans="1:20" x14ac:dyDescent="0.25">
      <c r="A416" s="5">
        <v>44177</v>
      </c>
      <c r="B416">
        <v>9.0220000000000002</v>
      </c>
      <c r="C416">
        <v>10.48</v>
      </c>
      <c r="D416">
        <v>9.0020000000000007</v>
      </c>
      <c r="E416">
        <v>10.177</v>
      </c>
      <c r="F416">
        <v>228782.84599999999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0.58998646820026945</v>
      </c>
      <c r="Q416">
        <f t="shared" si="975"/>
        <v>134978.78329634614</v>
      </c>
      <c r="R416">
        <f t="shared" si="976"/>
        <v>-1040570.5862518689</v>
      </c>
      <c r="S416">
        <f t="shared" si="977"/>
        <v>-10.405705862518689</v>
      </c>
      <c r="T416">
        <f t="shared" si="978"/>
        <v>-1.0405705862518688E-2</v>
      </c>
    </row>
    <row r="417" spans="1:20" x14ac:dyDescent="0.25">
      <c r="A417" s="5">
        <v>44176</v>
      </c>
      <c r="B417">
        <v>10.096</v>
      </c>
      <c r="C417">
        <v>10.145</v>
      </c>
      <c r="D417">
        <v>8.9320000000000004</v>
      </c>
      <c r="E417">
        <v>9.0399999999999991</v>
      </c>
      <c r="F417">
        <v>189802.47099999999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-0.8219291014014859</v>
      </c>
      <c r="Q417">
        <f t="shared" si="975"/>
        <v>-156004.17443281159</v>
      </c>
      <c r="R417">
        <f t="shared" si="976"/>
        <v>-1175549.3695482151</v>
      </c>
      <c r="S417">
        <f t="shared" si="977"/>
        <v>-11.755493695482151</v>
      </c>
      <c r="T417">
        <f t="shared" si="978"/>
        <v>-1.1755493695482152E-2</v>
      </c>
    </row>
    <row r="418" spans="1:20" x14ac:dyDescent="0.25">
      <c r="A418" s="5">
        <v>44175</v>
      </c>
      <c r="B418">
        <v>10.613</v>
      </c>
      <c r="C418">
        <v>10.664999999999999</v>
      </c>
      <c r="D418">
        <v>9.7040000000000006</v>
      </c>
      <c r="E418">
        <v>10.086</v>
      </c>
      <c r="F418">
        <v>191233.41500000001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-0.20499479708636784</v>
      </c>
      <c r="Q418">
        <f t="shared" si="975"/>
        <v>-39201.855104058173</v>
      </c>
      <c r="R418">
        <f t="shared" si="976"/>
        <v>-1019545.1951154034</v>
      </c>
      <c r="S418">
        <f t="shared" si="977"/>
        <v>-10.195451951154034</v>
      </c>
      <c r="T418">
        <f t="shared" si="978"/>
        <v>-1.0195451951154033E-2</v>
      </c>
    </row>
    <row r="419" spans="1:20" x14ac:dyDescent="0.25">
      <c r="A419" s="5">
        <v>44174</v>
      </c>
      <c r="B419">
        <v>10.359</v>
      </c>
      <c r="C419">
        <v>10.997</v>
      </c>
      <c r="D419">
        <v>9.8049999999999997</v>
      </c>
      <c r="E419">
        <v>10.579000000000001</v>
      </c>
      <c r="F419">
        <v>222642.212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0.29865771812080671</v>
      </c>
      <c r="Q419">
        <f t="shared" si="975"/>
        <v>66493.814993288892</v>
      </c>
      <c r="R419">
        <f t="shared" si="976"/>
        <v>-980343.34001134522</v>
      </c>
      <c r="S419">
        <f t="shared" si="977"/>
        <v>-9.8034334001134518</v>
      </c>
      <c r="T419">
        <f t="shared" si="978"/>
        <v>-9.8034334001134513E-3</v>
      </c>
    </row>
    <row r="420" spans="1:20" x14ac:dyDescent="0.25">
      <c r="A420" s="5">
        <v>44173</v>
      </c>
      <c r="B420">
        <v>11.922000000000001</v>
      </c>
      <c r="C420">
        <v>12.708</v>
      </c>
      <c r="D420">
        <v>10.147</v>
      </c>
      <c r="E420">
        <v>10.359</v>
      </c>
      <c r="F420">
        <v>392947.57799999998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-0.83443967200312397</v>
      </c>
      <c r="Q420">
        <f t="shared" si="975"/>
        <v>-327891.04810074193</v>
      </c>
      <c r="R420">
        <f t="shared" si="976"/>
        <v>-1046837.1550046342</v>
      </c>
      <c r="S420">
        <f t="shared" si="977"/>
        <v>-10.468371550046342</v>
      </c>
      <c r="T420">
        <f t="shared" si="978"/>
        <v>-1.0468371550046342E-2</v>
      </c>
    </row>
    <row r="421" spans="1:20" x14ac:dyDescent="0.25">
      <c r="A421" s="5">
        <v>44172</v>
      </c>
      <c r="B421">
        <v>12.317</v>
      </c>
      <c r="C421">
        <v>12.481999999999999</v>
      </c>
      <c r="D421">
        <v>11.5</v>
      </c>
      <c r="E421">
        <v>11.926</v>
      </c>
      <c r="F421">
        <v>259359.372</v>
      </c>
      <c r="G421">
        <v>0</v>
      </c>
      <c r="L421" t="s">
        <v>7</v>
      </c>
      <c r="M421" t="s">
        <v>7</v>
      </c>
      <c r="N421" t="s">
        <v>7</v>
      </c>
      <c r="P421">
        <f t="shared" si="974"/>
        <v>-0.13238289205702555</v>
      </c>
      <c r="Q421">
        <f t="shared" si="975"/>
        <v>-34334.743747453933</v>
      </c>
      <c r="R421">
        <f t="shared" si="976"/>
        <v>-718946.10690389224</v>
      </c>
      <c r="S421">
        <f t="shared" si="977"/>
        <v>-7.1894610690389227</v>
      </c>
      <c r="T421">
        <f t="shared" si="978"/>
        <v>-7.1894610690389224E-3</v>
      </c>
    </row>
    <row r="422" spans="1:20" x14ac:dyDescent="0.25">
      <c r="A422" s="5">
        <v>44171</v>
      </c>
      <c r="B422">
        <v>12.468</v>
      </c>
      <c r="C422">
        <v>12.705</v>
      </c>
      <c r="D422">
        <v>11.667999999999999</v>
      </c>
      <c r="E422">
        <v>12.286</v>
      </c>
      <c r="F422">
        <v>153383.772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0.19189971070395342</v>
      </c>
      <c r="Q422">
        <f t="shared" si="975"/>
        <v>29434.301473481151</v>
      </c>
      <c r="R422">
        <f t="shared" si="976"/>
        <v>-684611.36315643834</v>
      </c>
      <c r="S422">
        <f t="shared" si="977"/>
        <v>-6.8461136315643838</v>
      </c>
      <c r="T422">
        <f t="shared" si="978"/>
        <v>-6.8461136315643841E-3</v>
      </c>
    </row>
    <row r="423" spans="1:20" x14ac:dyDescent="0.25">
      <c r="A423" s="5">
        <v>44170</v>
      </c>
      <c r="B423">
        <v>11.53</v>
      </c>
      <c r="C423">
        <v>12.95</v>
      </c>
      <c r="D423">
        <v>11.298</v>
      </c>
      <c r="E423">
        <v>12.523999999999999</v>
      </c>
      <c r="F423">
        <v>214058.45699999999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0.48426150121065331</v>
      </c>
      <c r="Q423">
        <f t="shared" si="975"/>
        <v>103660.26973365608</v>
      </c>
      <c r="R423">
        <f t="shared" si="976"/>
        <v>-714045.66462991945</v>
      </c>
      <c r="S423">
        <f t="shared" si="977"/>
        <v>-7.140456646299195</v>
      </c>
      <c r="T423">
        <f t="shared" si="978"/>
        <v>-7.1404566462991946E-3</v>
      </c>
    </row>
    <row r="424" spans="1:20" x14ac:dyDescent="0.25">
      <c r="A424" s="5">
        <v>44169</v>
      </c>
      <c r="B424">
        <v>13.824999999999999</v>
      </c>
      <c r="C424">
        <v>14.084</v>
      </c>
      <c r="D424">
        <v>11.247</v>
      </c>
      <c r="E424">
        <v>11.53</v>
      </c>
      <c r="F424">
        <v>396732.75900000002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-0.80049347902714174</v>
      </c>
      <c r="Q424">
        <f t="shared" si="975"/>
        <v>-317581.98649594659</v>
      </c>
      <c r="R424">
        <f t="shared" si="976"/>
        <v>-817705.93436357554</v>
      </c>
      <c r="S424">
        <f t="shared" si="977"/>
        <v>-8.1770593436357562</v>
      </c>
      <c r="T424">
        <f t="shared" si="978"/>
        <v>-8.1770593436357557E-3</v>
      </c>
    </row>
    <row r="425" spans="1:20" x14ac:dyDescent="0.25">
      <c r="A425" s="5">
        <v>44168</v>
      </c>
      <c r="B425">
        <v>14.039</v>
      </c>
      <c r="C425">
        <v>14.135999999999999</v>
      </c>
      <c r="D425">
        <v>13.2</v>
      </c>
      <c r="E425">
        <v>13.824999999999999</v>
      </c>
      <c r="F425">
        <v>258407.30900000001</v>
      </c>
      <c r="G425">
        <v>0</v>
      </c>
      <c r="L425" t="s">
        <v>7</v>
      </c>
      <c r="M425" t="s">
        <v>7</v>
      </c>
      <c r="N425" t="s">
        <v>8</v>
      </c>
      <c r="P425">
        <f t="shared" si="974"/>
        <v>0.33547008547008556</v>
      </c>
      <c r="Q425">
        <f t="shared" si="975"/>
        <v>86687.922036324817</v>
      </c>
      <c r="R425">
        <f t="shared" si="976"/>
        <v>-500123.94786762894</v>
      </c>
      <c r="S425">
        <f t="shared" si="977"/>
        <v>-5.0012394786762897</v>
      </c>
      <c r="T425">
        <f t="shared" si="978"/>
        <v>-5.0012394786762898E-3</v>
      </c>
    </row>
    <row r="426" spans="1:20" x14ac:dyDescent="0.25">
      <c r="A426" s="5">
        <v>44167</v>
      </c>
      <c r="B426">
        <v>13.922000000000001</v>
      </c>
      <c r="C426">
        <v>14.683</v>
      </c>
      <c r="D426">
        <v>13.14</v>
      </c>
      <c r="E426">
        <v>14.039</v>
      </c>
      <c r="F426">
        <v>345683.43900000001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0.16526247569669419</v>
      </c>
      <c r="Q426">
        <f t="shared" si="975"/>
        <v>57128.500936487173</v>
      </c>
      <c r="R426">
        <f t="shared" si="976"/>
        <v>-586811.86990395375</v>
      </c>
      <c r="S426">
        <f t="shared" si="977"/>
        <v>-5.8681186990395373</v>
      </c>
      <c r="T426">
        <f t="shared" si="978"/>
        <v>-5.8681186990395375E-3</v>
      </c>
    </row>
    <row r="427" spans="1:20" x14ac:dyDescent="0.25">
      <c r="A427" s="5">
        <v>44166</v>
      </c>
      <c r="B427">
        <v>15.054</v>
      </c>
      <c r="C427">
        <v>16.8</v>
      </c>
      <c r="D427">
        <v>13.615</v>
      </c>
      <c r="E427">
        <v>13.949</v>
      </c>
      <c r="F427">
        <v>608891.12699999998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-0.79026687598116196</v>
      </c>
      <c r="Q427">
        <f t="shared" si="975"/>
        <v>-481186.48874693894</v>
      </c>
      <c r="R427">
        <f t="shared" si="976"/>
        <v>-643940.37084044097</v>
      </c>
      <c r="S427">
        <f t="shared" si="977"/>
        <v>-6.4394037084044093</v>
      </c>
      <c r="T427">
        <f t="shared" si="978"/>
        <v>-6.4394037084044096E-3</v>
      </c>
    </row>
    <row r="428" spans="1:20" x14ac:dyDescent="0.25">
      <c r="A428" s="5">
        <v>44165</v>
      </c>
      <c r="B428">
        <v>13.89</v>
      </c>
      <c r="C428">
        <v>15.91</v>
      </c>
      <c r="D428">
        <v>13.63</v>
      </c>
      <c r="E428">
        <v>15.054</v>
      </c>
      <c r="F428">
        <v>526903.12699999998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0.24912280701754377</v>
      </c>
      <c r="Q428">
        <f t="shared" si="975"/>
        <v>131263.58602456134</v>
      </c>
      <c r="R428">
        <f t="shared" si="976"/>
        <v>-162753.88209350206</v>
      </c>
      <c r="S428">
        <f t="shared" si="977"/>
        <v>-1.6275388209350206</v>
      </c>
      <c r="T428">
        <f t="shared" si="978"/>
        <v>-1.6275388209350205E-3</v>
      </c>
    </row>
    <row r="429" spans="1:20" x14ac:dyDescent="0.25">
      <c r="A429" s="5">
        <v>44164</v>
      </c>
      <c r="B429">
        <v>14.771000000000001</v>
      </c>
      <c r="C429">
        <v>15.486000000000001</v>
      </c>
      <c r="D429">
        <v>13.5</v>
      </c>
      <c r="E429">
        <v>13.89</v>
      </c>
      <c r="F429">
        <v>385994.34100000001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-0.60725075528700867</v>
      </c>
      <c r="Q429">
        <f t="shared" si="975"/>
        <v>-234395.3551087612</v>
      </c>
      <c r="R429">
        <f t="shared" si="976"/>
        <v>-294017.46811806341</v>
      </c>
      <c r="S429">
        <f t="shared" si="977"/>
        <v>-2.940174681180634</v>
      </c>
      <c r="T429">
        <f t="shared" si="978"/>
        <v>-2.9401746811806339E-3</v>
      </c>
    </row>
    <row r="430" spans="1:20" x14ac:dyDescent="0.25">
      <c r="A430" s="5">
        <v>44163</v>
      </c>
      <c r="B430">
        <v>12.266</v>
      </c>
      <c r="C430">
        <v>15.691000000000001</v>
      </c>
      <c r="D430">
        <v>11.661</v>
      </c>
      <c r="E430">
        <v>14.766</v>
      </c>
      <c r="F430">
        <v>568389.745</v>
      </c>
      <c r="G430">
        <v>0</v>
      </c>
      <c r="L430" t="s">
        <v>8</v>
      </c>
      <c r="M430" t="s">
        <v>8</v>
      </c>
      <c r="N430" t="s">
        <v>7</v>
      </c>
      <c r="P430">
        <f t="shared" si="974"/>
        <v>0.54094292803970201</v>
      </c>
      <c r="Q430">
        <f t="shared" si="975"/>
        <v>307466.41292803956</v>
      </c>
      <c r="R430">
        <f t="shared" si="976"/>
        <v>-59622.113009302178</v>
      </c>
      <c r="S430">
        <f t="shared" si="977"/>
        <v>-0.5962211300930218</v>
      </c>
      <c r="T430">
        <f t="shared" si="978"/>
        <v>-5.9622113009302183E-4</v>
      </c>
    </row>
    <row r="431" spans="1:20" x14ac:dyDescent="0.25">
      <c r="A431" s="5">
        <v>44162</v>
      </c>
      <c r="B431">
        <v>11.827999999999999</v>
      </c>
      <c r="C431">
        <v>13.44</v>
      </c>
      <c r="D431">
        <v>11</v>
      </c>
      <c r="E431">
        <v>12.266999999999999</v>
      </c>
      <c r="F431">
        <v>384026.17499999999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3.8524590163934197E-2</v>
      </c>
      <c r="Q431">
        <f t="shared" si="975"/>
        <v>14794.451004098271</v>
      </c>
      <c r="R431">
        <f t="shared" si="976"/>
        <v>-367088.52593734174</v>
      </c>
      <c r="S431">
        <f t="shared" si="977"/>
        <v>-3.6708852593734171</v>
      </c>
      <c r="T431">
        <f t="shared" si="978"/>
        <v>-3.6708852593734173E-3</v>
      </c>
    </row>
    <row r="432" spans="1:20" x14ac:dyDescent="0.25">
      <c r="A432" s="5">
        <v>44161</v>
      </c>
      <c r="B432">
        <v>14.651</v>
      </c>
      <c r="C432">
        <v>15.273999999999999</v>
      </c>
      <c r="D432">
        <v>11</v>
      </c>
      <c r="E432">
        <v>11.83</v>
      </c>
      <c r="F432">
        <v>753370.08299999998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-0.61160505381375752</v>
      </c>
      <c r="Q432">
        <f t="shared" si="975"/>
        <v>-460764.95015488996</v>
      </c>
      <c r="R432">
        <f t="shared" si="976"/>
        <v>-381882.97694144002</v>
      </c>
      <c r="S432">
        <f t="shared" si="977"/>
        <v>-3.8188297694144002</v>
      </c>
      <c r="T432">
        <f t="shared" si="978"/>
        <v>-3.8188297694144004E-3</v>
      </c>
    </row>
    <row r="433" spans="1:20" x14ac:dyDescent="0.25">
      <c r="A433" s="5">
        <v>44160</v>
      </c>
      <c r="B433">
        <v>14.260999999999999</v>
      </c>
      <c r="C433">
        <v>19.605</v>
      </c>
      <c r="D433">
        <v>13.08</v>
      </c>
      <c r="E433">
        <v>14.643000000000001</v>
      </c>
      <c r="F433">
        <v>958756.62600000005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-0.52091954022988485</v>
      </c>
      <c r="Q433">
        <f t="shared" si="975"/>
        <v>-499435.06080827571</v>
      </c>
      <c r="R433">
        <f t="shared" si="976"/>
        <v>78881.973213449935</v>
      </c>
      <c r="S433">
        <f t="shared" si="977"/>
        <v>0.78881973213449941</v>
      </c>
      <c r="T433">
        <f t="shared" si="978"/>
        <v>7.8881973213449936E-4</v>
      </c>
    </row>
    <row r="434" spans="1:20" x14ac:dyDescent="0.25">
      <c r="A434" s="5">
        <v>44159</v>
      </c>
      <c r="B434">
        <v>13.988</v>
      </c>
      <c r="C434">
        <v>15.89</v>
      </c>
      <c r="D434">
        <v>12.048999999999999</v>
      </c>
      <c r="E434">
        <v>14.19</v>
      </c>
      <c r="F434">
        <v>505084.17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0.11481385055974976</v>
      </c>
      <c r="Q434">
        <f t="shared" si="975"/>
        <v>57990.658414475241</v>
      </c>
      <c r="R434">
        <f t="shared" si="976"/>
        <v>578317.03402172565</v>
      </c>
      <c r="S434">
        <f t="shared" si="977"/>
        <v>5.7831703402172563</v>
      </c>
      <c r="T434">
        <f t="shared" si="978"/>
        <v>5.7831703402172561E-3</v>
      </c>
    </row>
    <row r="435" spans="1:20" x14ac:dyDescent="0.25">
      <c r="A435" s="5">
        <v>44158</v>
      </c>
      <c r="B435">
        <v>9.0630000000000006</v>
      </c>
      <c r="C435">
        <v>14.62</v>
      </c>
      <c r="D435">
        <v>8.6989999999999998</v>
      </c>
      <c r="E435">
        <v>13.987</v>
      </c>
      <c r="F435">
        <v>781357.78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0.78618476608680998</v>
      </c>
      <c r="Q435">
        <f t="shared" si="975"/>
        <v>614291.58349940914</v>
      </c>
      <c r="R435">
        <f t="shared" si="976"/>
        <v>520326.37560725037</v>
      </c>
      <c r="S435">
        <f t="shared" si="977"/>
        <v>5.2032637560725039</v>
      </c>
      <c r="T435">
        <f t="shared" si="978"/>
        <v>5.2032637560725037E-3</v>
      </c>
    </row>
    <row r="436" spans="1:20" x14ac:dyDescent="0.25">
      <c r="A436" s="5">
        <v>44157</v>
      </c>
      <c r="B436">
        <v>8.4429999999999996</v>
      </c>
      <c r="C436">
        <v>9.4450000000000003</v>
      </c>
      <c r="D436">
        <v>7.5</v>
      </c>
      <c r="E436">
        <v>9.125</v>
      </c>
      <c r="F436">
        <v>328579.93099999998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0.67095115681233908</v>
      </c>
      <c r="Q436">
        <f t="shared" si="975"/>
        <v>220461.08480976854</v>
      </c>
      <c r="R436">
        <f t="shared" si="976"/>
        <v>-93965.207892158767</v>
      </c>
      <c r="S436">
        <f t="shared" si="977"/>
        <v>-0.93965207892158764</v>
      </c>
      <c r="T436">
        <f t="shared" si="978"/>
        <v>-9.396520789215876E-4</v>
      </c>
    </row>
    <row r="437" spans="1:20" x14ac:dyDescent="0.25">
      <c r="A437" s="5">
        <v>44156</v>
      </c>
      <c r="B437">
        <v>6.218</v>
      </c>
      <c r="C437">
        <v>9.7129999999999992</v>
      </c>
      <c r="D437">
        <v>6.1790000000000003</v>
      </c>
      <c r="E437">
        <v>8.4760000000000009</v>
      </c>
      <c r="F437">
        <v>385445.033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0.29994340690435839</v>
      </c>
      <c r="Q437">
        <f t="shared" si="975"/>
        <v>115611.69637238285</v>
      </c>
      <c r="R437">
        <f t="shared" si="976"/>
        <v>-314426.2927019273</v>
      </c>
      <c r="S437">
        <f t="shared" si="977"/>
        <v>-3.1442629270192732</v>
      </c>
      <c r="T437">
        <f t="shared" si="978"/>
        <v>-3.1442629270192731E-3</v>
      </c>
    </row>
    <row r="438" spans="1:20" x14ac:dyDescent="0.25">
      <c r="A438" s="5">
        <v>44155</v>
      </c>
      <c r="B438">
        <v>6.1379999999999999</v>
      </c>
      <c r="C438">
        <v>6.55</v>
      </c>
      <c r="D438">
        <v>6.1260000000000003</v>
      </c>
      <c r="E438">
        <v>6.2009999999999996</v>
      </c>
      <c r="F438">
        <v>43739.391000000003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-0.64622641509434253</v>
      </c>
      <c r="Q438">
        <f t="shared" si="975"/>
        <v>-28265.549844339752</v>
      </c>
      <c r="R438">
        <f t="shared" si="976"/>
        <v>-430037.98907431017</v>
      </c>
      <c r="S438">
        <f t="shared" si="977"/>
        <v>-4.3003798907431019</v>
      </c>
      <c r="T438">
        <f t="shared" si="978"/>
        <v>-4.3003798907431017E-3</v>
      </c>
    </row>
    <row r="439" spans="1:20" x14ac:dyDescent="0.25">
      <c r="A439" s="5">
        <v>44154</v>
      </c>
      <c r="B439">
        <v>6.2779999999999996</v>
      </c>
      <c r="C439">
        <v>6.3490000000000002</v>
      </c>
      <c r="D439">
        <v>5.9980000000000002</v>
      </c>
      <c r="E439">
        <v>6.1369999999999996</v>
      </c>
      <c r="F439">
        <v>27286.453000000001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-0.20797720797721164</v>
      </c>
      <c r="Q439">
        <f t="shared" si="975"/>
        <v>-5674.9603105414108</v>
      </c>
      <c r="R439">
        <f t="shared" si="976"/>
        <v>-401772.43922997045</v>
      </c>
      <c r="S439">
        <f t="shared" si="977"/>
        <v>-4.0177243922997041</v>
      </c>
      <c r="T439">
        <f t="shared" si="978"/>
        <v>-4.0177243922997043E-3</v>
      </c>
    </row>
    <row r="440" spans="1:20" x14ac:dyDescent="0.25">
      <c r="A440" s="5">
        <v>44153</v>
      </c>
      <c r="B440">
        <v>6.5229999999999997</v>
      </c>
      <c r="C440">
        <v>6.6109999999999998</v>
      </c>
      <c r="D440">
        <v>6.15</v>
      </c>
      <c r="E440">
        <v>6.3</v>
      </c>
      <c r="F440">
        <v>33015.038</v>
      </c>
      <c r="G440">
        <v>0</v>
      </c>
      <c r="L440" t="s">
        <v>8</v>
      </c>
      <c r="M440" t="s">
        <v>8</v>
      </c>
      <c r="N440" t="s">
        <v>7</v>
      </c>
      <c r="P440">
        <f t="shared" si="974"/>
        <v>-0.34924078091106436</v>
      </c>
      <c r="Q440">
        <f t="shared" si="975"/>
        <v>-11530.197652928464</v>
      </c>
      <c r="R440">
        <f t="shared" si="976"/>
        <v>-396097.47891942906</v>
      </c>
      <c r="S440">
        <f t="shared" si="977"/>
        <v>-3.9609747891942906</v>
      </c>
      <c r="T440">
        <f t="shared" si="978"/>
        <v>-3.9609747891942906E-3</v>
      </c>
    </row>
    <row r="441" spans="1:20" x14ac:dyDescent="0.25">
      <c r="A441" s="5">
        <v>44152</v>
      </c>
      <c r="B441">
        <v>6.306</v>
      </c>
      <c r="C441">
        <v>6.5439999999999996</v>
      </c>
      <c r="D441">
        <v>6.2279999999999998</v>
      </c>
      <c r="E441">
        <v>6.5010000000000003</v>
      </c>
      <c r="F441">
        <v>43032.987000000001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0.72784810126582733</v>
      </c>
      <c r="Q441">
        <f t="shared" si="975"/>
        <v>31321.477879747032</v>
      </c>
      <c r="R441">
        <f t="shared" si="976"/>
        <v>-384567.28126650059</v>
      </c>
      <c r="S441">
        <f t="shared" si="977"/>
        <v>-3.8456728126650059</v>
      </c>
      <c r="T441">
        <f t="shared" si="978"/>
        <v>-3.8456728126650061E-3</v>
      </c>
    </row>
    <row r="442" spans="1:20" x14ac:dyDescent="0.25">
      <c r="A442" s="5">
        <v>44151</v>
      </c>
      <c r="B442">
        <v>6.3520000000000003</v>
      </c>
      <c r="C442">
        <v>6.55</v>
      </c>
      <c r="D442">
        <v>6.1360000000000001</v>
      </c>
      <c r="E442">
        <v>6.3019999999999996</v>
      </c>
      <c r="F442">
        <v>47660.807000000001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-0.19806763285024348</v>
      </c>
      <c r="Q442">
        <f t="shared" si="975"/>
        <v>-9440.0632222223139</v>
      </c>
      <c r="R442">
        <f t="shared" si="976"/>
        <v>-415888.75914624764</v>
      </c>
      <c r="S442">
        <f t="shared" si="977"/>
        <v>-4.1588875914624763</v>
      </c>
      <c r="T442">
        <f t="shared" si="978"/>
        <v>-4.1588875914624762E-3</v>
      </c>
    </row>
    <row r="443" spans="1:20" x14ac:dyDescent="0.25">
      <c r="A443" s="5">
        <v>44150</v>
      </c>
      <c r="B443">
        <v>6.1820000000000004</v>
      </c>
      <c r="C443">
        <v>6.4610000000000003</v>
      </c>
      <c r="D443">
        <v>6.1790000000000003</v>
      </c>
      <c r="E443">
        <v>6.3209999999999997</v>
      </c>
      <c r="F443">
        <v>30347.615000000002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7.0921985815563526E-3</v>
      </c>
      <c r="Q443">
        <f t="shared" si="975"/>
        <v>215.23131205661829</v>
      </c>
      <c r="R443">
        <f t="shared" si="976"/>
        <v>-406448.69592402532</v>
      </c>
      <c r="S443">
        <f t="shared" si="977"/>
        <v>-4.0644869592402531</v>
      </c>
      <c r="T443">
        <f t="shared" si="978"/>
        <v>-4.0644869592402532E-3</v>
      </c>
    </row>
    <row r="444" spans="1:20" x14ac:dyDescent="0.25">
      <c r="A444" s="5">
        <v>44149</v>
      </c>
      <c r="B444">
        <v>6.2640000000000002</v>
      </c>
      <c r="C444">
        <v>6.68</v>
      </c>
      <c r="D444">
        <v>6.02</v>
      </c>
      <c r="E444">
        <v>6.202</v>
      </c>
      <c r="F444">
        <v>36394.616000000002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-0.44848484848484743</v>
      </c>
      <c r="Q444">
        <f t="shared" si="975"/>
        <v>-16322.433842424205</v>
      </c>
      <c r="R444">
        <f t="shared" si="976"/>
        <v>-406663.92723608192</v>
      </c>
      <c r="S444">
        <f t="shared" si="977"/>
        <v>-4.0666392723608196</v>
      </c>
      <c r="T444">
        <f t="shared" si="978"/>
        <v>-4.0666392723608192E-3</v>
      </c>
    </row>
    <row r="445" spans="1:20" x14ac:dyDescent="0.25">
      <c r="A445" s="5">
        <v>44148</v>
      </c>
      <c r="B445">
        <v>5.9710000000000001</v>
      </c>
      <c r="C445">
        <v>6.4089999999999998</v>
      </c>
      <c r="D445">
        <v>5.9210000000000003</v>
      </c>
      <c r="E445">
        <v>6.2</v>
      </c>
      <c r="F445">
        <v>14897.032999999999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0.14344262295082039</v>
      </c>
      <c r="Q445">
        <f t="shared" si="975"/>
        <v>2136.8694877049288</v>
      </c>
      <c r="R445">
        <f t="shared" si="976"/>
        <v>-390341.49339365773</v>
      </c>
      <c r="S445">
        <f t="shared" si="977"/>
        <v>-3.9034149339365771</v>
      </c>
      <c r="T445">
        <f t="shared" si="978"/>
        <v>-3.903414933936577E-3</v>
      </c>
    </row>
    <row r="446" spans="1:20" x14ac:dyDescent="0.25">
      <c r="A446" s="5">
        <v>44147</v>
      </c>
      <c r="B446">
        <v>6.3109999999999999</v>
      </c>
      <c r="C446">
        <v>6.3109999999999999</v>
      </c>
      <c r="D446">
        <v>5.9349999999999996</v>
      </c>
      <c r="E446">
        <v>5.9589999999999996</v>
      </c>
      <c r="F446">
        <v>32412.678</v>
      </c>
      <c r="G446">
        <v>0</v>
      </c>
      <c r="L446" t="s">
        <v>7</v>
      </c>
      <c r="M446" t="s">
        <v>8</v>
      </c>
      <c r="N446" t="s">
        <v>7</v>
      </c>
      <c r="P446">
        <f t="shared" si="974"/>
        <v>-0.87234042553191493</v>
      </c>
      <c r="Q446">
        <f t="shared" si="975"/>
        <v>-28274.889319148937</v>
      </c>
      <c r="R446">
        <f t="shared" si="976"/>
        <v>-392478.36288136267</v>
      </c>
      <c r="S446">
        <f t="shared" si="977"/>
        <v>-3.9247836288136266</v>
      </c>
      <c r="T446">
        <f t="shared" si="978"/>
        <v>-3.9247836288136264E-3</v>
      </c>
    </row>
    <row r="447" spans="1:20" x14ac:dyDescent="0.25">
      <c r="A447" s="5">
        <v>44146</v>
      </c>
      <c r="B447">
        <v>6.7960000000000003</v>
      </c>
      <c r="C447">
        <v>6.8</v>
      </c>
      <c r="D447">
        <v>6.2450000000000001</v>
      </c>
      <c r="E447">
        <v>6.3109999999999999</v>
      </c>
      <c r="F447">
        <v>56224.148999999998</v>
      </c>
      <c r="G447">
        <v>0</v>
      </c>
      <c r="L447" t="s">
        <v>7</v>
      </c>
      <c r="M447" t="s">
        <v>8</v>
      </c>
      <c r="N447" t="s">
        <v>7</v>
      </c>
      <c r="P447">
        <f t="shared" si="974"/>
        <v>-0.76216216216216259</v>
      </c>
      <c r="Q447">
        <f t="shared" si="975"/>
        <v>-42851.918967567588</v>
      </c>
      <c r="R447">
        <f t="shared" si="976"/>
        <v>-364203.47356221371</v>
      </c>
      <c r="S447">
        <f t="shared" si="977"/>
        <v>-3.6420347356221372</v>
      </c>
      <c r="T447">
        <f t="shared" si="978"/>
        <v>-3.6420347356221371E-3</v>
      </c>
    </row>
    <row r="448" spans="1:20" x14ac:dyDescent="0.25">
      <c r="A448" s="5">
        <v>44145</v>
      </c>
      <c r="B448">
        <v>5.968</v>
      </c>
      <c r="C448">
        <v>6.8</v>
      </c>
      <c r="D448">
        <v>5.968</v>
      </c>
      <c r="E448">
        <v>6.78</v>
      </c>
      <c r="F448">
        <v>67526.47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0.95192307692307798</v>
      </c>
      <c r="Q448">
        <f t="shared" si="975"/>
        <v>64280.005096153916</v>
      </c>
      <c r="R448">
        <f t="shared" si="976"/>
        <v>-321351.55459464609</v>
      </c>
      <c r="S448">
        <f t="shared" si="977"/>
        <v>-3.213515545946461</v>
      </c>
      <c r="T448">
        <f t="shared" si="978"/>
        <v>-3.2135155459464609E-3</v>
      </c>
    </row>
    <row r="449" spans="1:20" x14ac:dyDescent="0.25">
      <c r="A449" s="5">
        <v>44144</v>
      </c>
      <c r="B449">
        <v>6.1760000000000002</v>
      </c>
      <c r="C449">
        <v>6.2919999999999998</v>
      </c>
      <c r="D449">
        <v>5.65</v>
      </c>
      <c r="E449">
        <v>5.9720000000000004</v>
      </c>
      <c r="F449">
        <v>40957.106</v>
      </c>
      <c r="G449">
        <v>0</v>
      </c>
      <c r="L449" t="s">
        <v>7</v>
      </c>
      <c r="M449" t="s">
        <v>8</v>
      </c>
      <c r="N449" t="s">
        <v>7</v>
      </c>
      <c r="P449">
        <f t="shared" si="974"/>
        <v>3.1152647975088311E-3</v>
      </c>
      <c r="Q449">
        <f t="shared" si="975"/>
        <v>127.59223052963773</v>
      </c>
      <c r="R449">
        <f t="shared" si="976"/>
        <v>-385631.55969080003</v>
      </c>
      <c r="S449">
        <f t="shared" si="977"/>
        <v>-3.8563155969080003</v>
      </c>
      <c r="T449">
        <f t="shared" si="978"/>
        <v>-3.8563155969080004E-3</v>
      </c>
    </row>
    <row r="450" spans="1:20" x14ac:dyDescent="0.25">
      <c r="A450" s="5">
        <v>44143</v>
      </c>
      <c r="B450">
        <v>5.95</v>
      </c>
      <c r="C450">
        <v>6.35</v>
      </c>
      <c r="D450">
        <v>5.8920000000000003</v>
      </c>
      <c r="E450">
        <v>6.1859999999999999</v>
      </c>
      <c r="F450">
        <v>63026.002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0.28384279475982555</v>
      </c>
      <c r="Q450">
        <f t="shared" si="975"/>
        <v>17889.476550218355</v>
      </c>
      <c r="R450">
        <f t="shared" si="976"/>
        <v>-385759.15192132967</v>
      </c>
      <c r="S450">
        <f t="shared" si="977"/>
        <v>-3.8575915192132966</v>
      </c>
      <c r="T450">
        <f t="shared" si="978"/>
        <v>-3.8575915192132965E-3</v>
      </c>
    </row>
    <row r="451" spans="1:20" x14ac:dyDescent="0.25">
      <c r="A451" s="5">
        <v>44142</v>
      </c>
      <c r="B451">
        <v>5.58</v>
      </c>
      <c r="C451">
        <v>6.46</v>
      </c>
      <c r="D451">
        <v>5.5</v>
      </c>
      <c r="E451">
        <v>5.91</v>
      </c>
      <c r="F451">
        <v>96442.048999999999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-0.14583333333333301</v>
      </c>
      <c r="Q451">
        <f t="shared" si="975"/>
        <v>-14064.465479166634</v>
      </c>
      <c r="R451">
        <f t="shared" si="976"/>
        <v>-403648.62847154803</v>
      </c>
      <c r="S451">
        <f t="shared" si="977"/>
        <v>-4.0364862847154805</v>
      </c>
      <c r="T451">
        <f t="shared" si="978"/>
        <v>-4.0364862847154809E-3</v>
      </c>
    </row>
    <row r="452" spans="1:20" x14ac:dyDescent="0.25">
      <c r="A452" s="5">
        <v>44141</v>
      </c>
      <c r="B452">
        <v>5.2359999999999998</v>
      </c>
      <c r="C452">
        <v>5.6760000000000002</v>
      </c>
      <c r="D452">
        <v>5.2169999999999996</v>
      </c>
      <c r="E452">
        <v>5.6130000000000004</v>
      </c>
      <c r="F452">
        <v>56699.175999999999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0.7254901960784329</v>
      </c>
      <c r="Q452">
        <f t="shared" si="975"/>
        <v>41134.696313725573</v>
      </c>
      <c r="R452">
        <f t="shared" si="976"/>
        <v>-389584.16299238137</v>
      </c>
      <c r="S452">
        <f t="shared" si="977"/>
        <v>-3.8958416299238139</v>
      </c>
      <c r="T452">
        <f t="shared" si="978"/>
        <v>-3.8958416299238138E-3</v>
      </c>
    </row>
    <row r="453" spans="1:20" x14ac:dyDescent="0.25">
      <c r="A453" s="5">
        <v>44140</v>
      </c>
      <c r="B453">
        <v>5.1550000000000002</v>
      </c>
      <c r="C453">
        <v>5.3380000000000001</v>
      </c>
      <c r="D453">
        <v>5.101</v>
      </c>
      <c r="E453">
        <v>5.2359999999999998</v>
      </c>
      <c r="F453">
        <v>36181.919000000002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0.13924050632911164</v>
      </c>
      <c r="Q453">
        <f t="shared" si="975"/>
        <v>5037.9887215189046</v>
      </c>
      <c r="R453">
        <f t="shared" si="976"/>
        <v>-430718.85930610693</v>
      </c>
      <c r="S453">
        <f t="shared" si="977"/>
        <v>-4.3071885930610696</v>
      </c>
      <c r="T453">
        <f t="shared" si="978"/>
        <v>-4.3071885930610699E-3</v>
      </c>
    </row>
    <row r="454" spans="1:20" x14ac:dyDescent="0.25">
      <c r="A454" s="5">
        <v>44139</v>
      </c>
      <c r="B454">
        <v>5.48</v>
      </c>
      <c r="C454">
        <v>5.5279999999999996</v>
      </c>
      <c r="D454">
        <v>5.1580000000000004</v>
      </c>
      <c r="E454">
        <v>5.1740000000000004</v>
      </c>
      <c r="F454">
        <v>24278.708999999999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-0.91351351351351329</v>
      </c>
      <c r="Q454">
        <f t="shared" ref="Q454:Q517" si="980">F454*P454</f>
        <v>-22178.928762162155</v>
      </c>
      <c r="R454">
        <f t="shared" ref="R454:R517" si="981">R455+Q454</f>
        <v>-435756.84802762582</v>
      </c>
      <c r="S454">
        <f t="shared" ref="S454:S517" si="982">R454/100000</f>
        <v>-4.3575684802762584</v>
      </c>
      <c r="T454">
        <f t="shared" ref="T454:T517" si="983">S454/1000</f>
        <v>-4.357568480276258E-3</v>
      </c>
    </row>
    <row r="455" spans="1:20" x14ac:dyDescent="0.25">
      <c r="A455" s="5">
        <v>44138</v>
      </c>
      <c r="B455">
        <v>5.5419999999999998</v>
      </c>
      <c r="C455">
        <v>5.5650000000000004</v>
      </c>
      <c r="D455">
        <v>5.3810000000000002</v>
      </c>
      <c r="E455">
        <v>5.4669999999999996</v>
      </c>
      <c r="F455">
        <v>20137.249</v>
      </c>
      <c r="G455">
        <v>0</v>
      </c>
      <c r="L455" t="s">
        <v>8</v>
      </c>
      <c r="M455" t="s">
        <v>7</v>
      </c>
      <c r="N455" t="s">
        <v>7</v>
      </c>
      <c r="P455">
        <f t="shared" si="979"/>
        <v>-6.5217391304355068E-2</v>
      </c>
      <c r="Q455">
        <f t="shared" si="980"/>
        <v>-1313.2988478262328</v>
      </c>
      <c r="R455">
        <f t="shared" si="981"/>
        <v>-413577.91926546366</v>
      </c>
      <c r="S455">
        <f t="shared" si="982"/>
        <v>-4.1357791926546366</v>
      </c>
      <c r="T455">
        <f t="shared" si="983"/>
        <v>-4.1357791926546362E-3</v>
      </c>
    </row>
    <row r="456" spans="1:20" x14ac:dyDescent="0.25">
      <c r="A456" s="5">
        <v>44137</v>
      </c>
      <c r="B456">
        <v>5.5839999999999996</v>
      </c>
      <c r="C456">
        <v>5.665</v>
      </c>
      <c r="D456">
        <v>5.41</v>
      </c>
      <c r="E456">
        <v>5.5570000000000004</v>
      </c>
      <c r="F456">
        <v>16902.874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0.15294117647059061</v>
      </c>
      <c r="Q456">
        <f t="shared" si="980"/>
        <v>2585.1454352941578</v>
      </c>
      <c r="R456">
        <f t="shared" si="981"/>
        <v>-412264.6204176374</v>
      </c>
      <c r="S456">
        <f t="shared" si="982"/>
        <v>-4.1226462041763741</v>
      </c>
      <c r="T456">
        <f t="shared" si="983"/>
        <v>-4.1226462041763744E-3</v>
      </c>
    </row>
    <row r="457" spans="1:20" x14ac:dyDescent="0.25">
      <c r="A457" s="5">
        <v>44136</v>
      </c>
      <c r="B457">
        <v>5.63</v>
      </c>
      <c r="C457">
        <v>5.6319999999999997</v>
      </c>
      <c r="D457">
        <v>5.4930000000000003</v>
      </c>
      <c r="E457">
        <v>5.5839999999999996</v>
      </c>
      <c r="F457">
        <v>8186.3649999999998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0.30935251798560764</v>
      </c>
      <c r="Q457">
        <f t="shared" si="980"/>
        <v>2532.4726258992487</v>
      </c>
      <c r="R457">
        <f t="shared" si="981"/>
        <v>-414849.76585293154</v>
      </c>
      <c r="S457">
        <f t="shared" si="982"/>
        <v>-4.1484976585293154</v>
      </c>
      <c r="T457">
        <f t="shared" si="983"/>
        <v>-4.1484976585293154E-3</v>
      </c>
    </row>
    <row r="458" spans="1:20" x14ac:dyDescent="0.25">
      <c r="A458" s="5">
        <v>44135</v>
      </c>
      <c r="B458">
        <v>5.4160000000000004</v>
      </c>
      <c r="C458">
        <v>5.6970000000000001</v>
      </c>
      <c r="D458">
        <v>5.3490000000000002</v>
      </c>
      <c r="E458">
        <v>5.62</v>
      </c>
      <c r="F458">
        <v>19491.800999999999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0.55747126436781613</v>
      </c>
      <c r="Q458">
        <f t="shared" si="980"/>
        <v>10866.118948275862</v>
      </c>
      <c r="R458">
        <f t="shared" si="981"/>
        <v>-417382.23847883078</v>
      </c>
      <c r="S458">
        <f t="shared" si="982"/>
        <v>-4.1738223847883082</v>
      </c>
      <c r="T458">
        <f t="shared" si="983"/>
        <v>-4.1738223847883086E-3</v>
      </c>
    </row>
    <row r="459" spans="1:20" x14ac:dyDescent="0.25">
      <c r="A459" s="5">
        <v>44134</v>
      </c>
      <c r="B459">
        <v>5.5510000000000002</v>
      </c>
      <c r="C459">
        <v>5.6180000000000003</v>
      </c>
      <c r="D459">
        <v>5.218</v>
      </c>
      <c r="E459">
        <v>5.4119999999999999</v>
      </c>
      <c r="F459">
        <v>33125.498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-3.0000000000001109E-2</v>
      </c>
      <c r="Q459">
        <f t="shared" si="980"/>
        <v>-993.76494000003675</v>
      </c>
      <c r="R459">
        <f t="shared" si="981"/>
        <v>-428248.35742710665</v>
      </c>
      <c r="S459">
        <f t="shared" si="982"/>
        <v>-4.2824835742710663</v>
      </c>
      <c r="T459">
        <f t="shared" si="983"/>
        <v>-4.2824835742710666E-3</v>
      </c>
    </row>
    <row r="460" spans="1:20" x14ac:dyDescent="0.25">
      <c r="A460" s="5">
        <v>44133</v>
      </c>
      <c r="B460">
        <v>5.2869999999999999</v>
      </c>
      <c r="C460">
        <v>5.9489999999999998</v>
      </c>
      <c r="D460">
        <v>5.2679999999999998</v>
      </c>
      <c r="E460">
        <v>5.5510000000000002</v>
      </c>
      <c r="F460">
        <v>68760.365000000005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-0.16886930983847184</v>
      </c>
      <c r="Q460">
        <f t="shared" si="980"/>
        <v>-11611.515381791416</v>
      </c>
      <c r="R460">
        <f t="shared" si="981"/>
        <v>-427254.59248710662</v>
      </c>
      <c r="S460">
        <f t="shared" si="982"/>
        <v>-4.272545924871066</v>
      </c>
      <c r="T460">
        <f t="shared" si="983"/>
        <v>-4.272545924871066E-3</v>
      </c>
    </row>
    <row r="461" spans="1:20" x14ac:dyDescent="0.25">
      <c r="A461" s="5">
        <v>44132</v>
      </c>
      <c r="B461">
        <v>5.4640000000000004</v>
      </c>
      <c r="C461">
        <v>5.5129999999999999</v>
      </c>
      <c r="D461">
        <v>5.2009999999999996</v>
      </c>
      <c r="E461">
        <v>5.3250000000000002</v>
      </c>
      <c r="F461">
        <v>19877.251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-0.20512820512820229</v>
      </c>
      <c r="Q461">
        <f t="shared" si="980"/>
        <v>-4077.3848205127642</v>
      </c>
      <c r="R461">
        <f t="shared" si="981"/>
        <v>-415643.07710531523</v>
      </c>
      <c r="S461">
        <f t="shared" si="982"/>
        <v>-4.1564307710531523</v>
      </c>
      <c r="T461">
        <f t="shared" si="983"/>
        <v>-4.1564307710531519E-3</v>
      </c>
    </row>
    <row r="462" spans="1:20" x14ac:dyDescent="0.25">
      <c r="A462" s="5">
        <v>44131</v>
      </c>
      <c r="B462">
        <v>5.6529999999999996</v>
      </c>
      <c r="C462">
        <v>5.758</v>
      </c>
      <c r="D462">
        <v>5.3579999999999997</v>
      </c>
      <c r="E462">
        <v>5.4640000000000004</v>
      </c>
      <c r="F462">
        <v>31209.017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-0.46999999999999664</v>
      </c>
      <c r="Q462">
        <f t="shared" si="980"/>
        <v>-14668.237989999896</v>
      </c>
      <c r="R462">
        <f t="shared" si="981"/>
        <v>-411565.69228480244</v>
      </c>
      <c r="S462">
        <f t="shared" si="982"/>
        <v>-4.1156569228480242</v>
      </c>
      <c r="T462">
        <f t="shared" si="983"/>
        <v>-4.1156569228480242E-3</v>
      </c>
    </row>
    <row r="463" spans="1:20" x14ac:dyDescent="0.25">
      <c r="A463" s="5">
        <v>44130</v>
      </c>
      <c r="B463">
        <v>5.6929999999999996</v>
      </c>
      <c r="C463">
        <v>5.8230000000000004</v>
      </c>
      <c r="D463">
        <v>5.57</v>
      </c>
      <c r="E463">
        <v>5.665</v>
      </c>
      <c r="F463">
        <v>23686.100999999999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-0.24901185770751219</v>
      </c>
      <c r="Q463">
        <f t="shared" si="980"/>
        <v>-5898.1200118577617</v>
      </c>
      <c r="R463">
        <f t="shared" si="981"/>
        <v>-396897.45429480256</v>
      </c>
      <c r="S463">
        <f t="shared" si="982"/>
        <v>-3.9689745429480254</v>
      </c>
      <c r="T463">
        <f t="shared" si="983"/>
        <v>-3.9689745429480252E-3</v>
      </c>
    </row>
    <row r="464" spans="1:20" x14ac:dyDescent="0.25">
      <c r="A464" s="5">
        <v>44129</v>
      </c>
      <c r="B464">
        <v>5.766</v>
      </c>
      <c r="C464">
        <v>5.8150000000000004</v>
      </c>
      <c r="D464">
        <v>5.5910000000000002</v>
      </c>
      <c r="E464">
        <v>5.6710000000000003</v>
      </c>
      <c r="F464">
        <v>16163.669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-0.2857142857142857</v>
      </c>
      <c r="Q464">
        <f t="shared" si="980"/>
        <v>-4618.1911428571429</v>
      </c>
      <c r="R464">
        <f t="shared" si="981"/>
        <v>-390999.33428294479</v>
      </c>
      <c r="S464">
        <f t="shared" si="982"/>
        <v>-3.909993342829448</v>
      </c>
      <c r="T464">
        <f t="shared" si="983"/>
        <v>-3.9099933428294476E-3</v>
      </c>
    </row>
    <row r="465" spans="1:20" x14ac:dyDescent="0.25">
      <c r="A465" s="5">
        <v>44128</v>
      </c>
      <c r="B465">
        <v>5.7060000000000004</v>
      </c>
      <c r="C465">
        <v>5.8140000000000001</v>
      </c>
      <c r="D465">
        <v>5.681</v>
      </c>
      <c r="E465">
        <v>5.7670000000000003</v>
      </c>
      <c r="F465">
        <v>19613.168000000001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0.29323308270677134</v>
      </c>
      <c r="Q465">
        <f t="shared" si="980"/>
        <v>5751.2297142858015</v>
      </c>
      <c r="R465">
        <f t="shared" si="981"/>
        <v>-386381.14314008766</v>
      </c>
      <c r="S465">
        <f t="shared" si="982"/>
        <v>-3.8638114314008765</v>
      </c>
      <c r="T465">
        <f t="shared" si="983"/>
        <v>-3.8638114314008764E-3</v>
      </c>
    </row>
    <row r="466" spans="1:20" x14ac:dyDescent="0.25">
      <c r="A466" s="5">
        <v>44127</v>
      </c>
      <c r="B466">
        <v>5.8150000000000004</v>
      </c>
      <c r="C466">
        <v>5.9029999999999996</v>
      </c>
      <c r="D466">
        <v>5.681</v>
      </c>
      <c r="E466">
        <v>5.7519999999999998</v>
      </c>
      <c r="F466">
        <v>11469.284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-0.36036036036036145</v>
      </c>
      <c r="Q466">
        <f t="shared" si="980"/>
        <v>-4133.0753153153273</v>
      </c>
      <c r="R466">
        <f t="shared" si="981"/>
        <v>-392132.37285437348</v>
      </c>
      <c r="S466">
        <f t="shared" si="982"/>
        <v>-3.9213237285437348</v>
      </c>
      <c r="T466">
        <f t="shared" si="983"/>
        <v>-3.9213237285437349E-3</v>
      </c>
    </row>
    <row r="467" spans="1:20" x14ac:dyDescent="0.25">
      <c r="A467" s="5">
        <v>44126</v>
      </c>
      <c r="B467">
        <v>5.6820000000000004</v>
      </c>
      <c r="C467">
        <v>6</v>
      </c>
      <c r="D467">
        <v>5.6349999999999998</v>
      </c>
      <c r="E467">
        <v>5.8339999999999996</v>
      </c>
      <c r="F467">
        <v>28613.444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9.0410958904108094E-2</v>
      </c>
      <c r="Q467">
        <f t="shared" si="980"/>
        <v>2586.9689095889985</v>
      </c>
      <c r="R467">
        <f t="shared" si="981"/>
        <v>-387999.29753905814</v>
      </c>
      <c r="S467">
        <f t="shared" si="982"/>
        <v>-3.8799929753905813</v>
      </c>
      <c r="T467">
        <f t="shared" si="983"/>
        <v>-3.8799929753905813E-3</v>
      </c>
    </row>
    <row r="468" spans="1:20" x14ac:dyDescent="0.25">
      <c r="A468" s="5">
        <v>44125</v>
      </c>
      <c r="B468">
        <v>5.4969999999999999</v>
      </c>
      <c r="C468">
        <v>5.9279999999999999</v>
      </c>
      <c r="D468">
        <v>5.476</v>
      </c>
      <c r="E468">
        <v>5.6550000000000002</v>
      </c>
      <c r="F468">
        <v>30436.780999999999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-0.20796460176991025</v>
      </c>
      <c r="Q468">
        <f t="shared" si="980"/>
        <v>-6329.7730398229705</v>
      </c>
      <c r="R468">
        <f t="shared" si="981"/>
        <v>-390586.26644864713</v>
      </c>
      <c r="S468">
        <f t="shared" si="982"/>
        <v>-3.9058626644864711</v>
      </c>
      <c r="T468">
        <f t="shared" si="983"/>
        <v>-3.905862664486471E-3</v>
      </c>
    </row>
    <row r="469" spans="1:20" x14ac:dyDescent="0.25">
      <c r="A469" s="5">
        <v>44124</v>
      </c>
      <c r="B469">
        <v>5.7640000000000002</v>
      </c>
      <c r="C469">
        <v>5.8070000000000004</v>
      </c>
      <c r="D469">
        <v>5.4210000000000003</v>
      </c>
      <c r="E469">
        <v>5.5220000000000002</v>
      </c>
      <c r="F469">
        <v>35789.661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-0.47668393782383445</v>
      </c>
      <c r="Q469">
        <f t="shared" si="980"/>
        <v>-17060.356538860113</v>
      </c>
      <c r="R469">
        <f t="shared" si="981"/>
        <v>-384256.49340882414</v>
      </c>
      <c r="S469">
        <f t="shared" si="982"/>
        <v>-3.8425649340882413</v>
      </c>
      <c r="T469">
        <f t="shared" si="983"/>
        <v>-3.8425649340882414E-3</v>
      </c>
    </row>
    <row r="470" spans="1:20" x14ac:dyDescent="0.25">
      <c r="A470" s="5">
        <v>44123</v>
      </c>
      <c r="B470">
        <v>5.9909999999999997</v>
      </c>
      <c r="C470">
        <v>6</v>
      </c>
      <c r="D470">
        <v>5.73</v>
      </c>
      <c r="E470">
        <v>5.7709999999999999</v>
      </c>
      <c r="F470">
        <v>30279.237000000001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-0.69629629629629963</v>
      </c>
      <c r="Q470">
        <f t="shared" si="980"/>
        <v>-21083.320577777878</v>
      </c>
      <c r="R470">
        <f t="shared" si="981"/>
        <v>-367196.13686996402</v>
      </c>
      <c r="S470">
        <f t="shared" si="982"/>
        <v>-3.6719613686996402</v>
      </c>
      <c r="T470">
        <f t="shared" si="983"/>
        <v>-3.6719613686996403E-3</v>
      </c>
    </row>
    <row r="471" spans="1:20" x14ac:dyDescent="0.25">
      <c r="A471" s="5">
        <v>44122</v>
      </c>
      <c r="B471">
        <v>5.93</v>
      </c>
      <c r="C471">
        <v>6.0469999999999997</v>
      </c>
      <c r="D471">
        <v>5.8959999999999999</v>
      </c>
      <c r="E471">
        <v>5.9909999999999997</v>
      </c>
      <c r="F471">
        <v>18379.394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0.25827814569536262</v>
      </c>
      <c r="Q471">
        <f t="shared" si="980"/>
        <v>4746.9958013244732</v>
      </c>
      <c r="R471">
        <f t="shared" si="981"/>
        <v>-346112.81629218615</v>
      </c>
      <c r="S471">
        <f t="shared" si="982"/>
        <v>-3.4611281629218613</v>
      </c>
      <c r="T471">
        <f t="shared" si="983"/>
        <v>-3.4611281629218613E-3</v>
      </c>
    </row>
    <row r="472" spans="1:20" x14ac:dyDescent="0.25">
      <c r="A472" s="5">
        <v>44121</v>
      </c>
      <c r="B472">
        <v>6.05</v>
      </c>
      <c r="C472">
        <v>6.2750000000000004</v>
      </c>
      <c r="D472">
        <v>5.875</v>
      </c>
      <c r="E472">
        <v>5.9249999999999998</v>
      </c>
      <c r="F472">
        <v>37318.383999999998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-0.75000000000000111</v>
      </c>
      <c r="Q472">
        <f t="shared" si="980"/>
        <v>-27988.78800000004</v>
      </c>
      <c r="R472">
        <f t="shared" si="981"/>
        <v>-350859.81209351064</v>
      </c>
      <c r="S472">
        <f t="shared" si="982"/>
        <v>-3.5085981209351065</v>
      </c>
      <c r="T472">
        <f t="shared" si="983"/>
        <v>-3.5085981209351065E-3</v>
      </c>
    </row>
    <row r="473" spans="1:20" x14ac:dyDescent="0.25">
      <c r="A473" s="5">
        <v>44120</v>
      </c>
      <c r="B473">
        <v>6.1429999999999998</v>
      </c>
      <c r="C473">
        <v>6.2480000000000002</v>
      </c>
      <c r="D473">
        <v>5.85</v>
      </c>
      <c r="E473">
        <v>6.0529999999999999</v>
      </c>
      <c r="F473">
        <v>47221.858999999997</v>
      </c>
      <c r="G473">
        <v>0</v>
      </c>
      <c r="L473" t="s">
        <v>8</v>
      </c>
      <c r="M473" t="s">
        <v>7</v>
      </c>
      <c r="N473" t="s">
        <v>8</v>
      </c>
      <c r="P473">
        <f t="shared" si="979"/>
        <v>2.0100502512562804E-2</v>
      </c>
      <c r="Q473">
        <f t="shared" si="980"/>
        <v>949.18309547738636</v>
      </c>
      <c r="R473">
        <f t="shared" si="981"/>
        <v>-322871.02409351058</v>
      </c>
      <c r="S473">
        <f t="shared" si="982"/>
        <v>-3.2287102409351056</v>
      </c>
      <c r="T473">
        <f t="shared" si="983"/>
        <v>-3.2287102409351057E-3</v>
      </c>
    </row>
    <row r="474" spans="1:20" x14ac:dyDescent="0.25">
      <c r="A474" s="5">
        <v>44119</v>
      </c>
      <c r="B474">
        <v>5.9409999999999998</v>
      </c>
      <c r="C474">
        <v>6.758</v>
      </c>
      <c r="D474">
        <v>5.782</v>
      </c>
      <c r="E474">
        <v>6.1260000000000003</v>
      </c>
      <c r="F474">
        <v>103073.39200000001</v>
      </c>
      <c r="G474">
        <v>0</v>
      </c>
      <c r="L474" t="s">
        <v>7</v>
      </c>
      <c r="M474" t="s">
        <v>7</v>
      </c>
      <c r="N474" t="s">
        <v>8</v>
      </c>
      <c r="P474">
        <f t="shared" si="979"/>
        <v>-0.29508196721311414</v>
      </c>
      <c r="Q474">
        <f t="shared" si="980"/>
        <v>-30415.099278688464</v>
      </c>
      <c r="R474">
        <f t="shared" si="981"/>
        <v>-323820.20718898799</v>
      </c>
      <c r="S474">
        <f t="shared" si="982"/>
        <v>-3.2382020718898801</v>
      </c>
      <c r="T474">
        <f t="shared" si="983"/>
        <v>-3.2382020718898803E-3</v>
      </c>
    </row>
    <row r="475" spans="1:20" x14ac:dyDescent="0.25">
      <c r="A475" s="5">
        <v>44118</v>
      </c>
      <c r="B475">
        <v>6.15</v>
      </c>
      <c r="C475">
        <v>6.3929999999999998</v>
      </c>
      <c r="D475">
        <v>5.9160000000000004</v>
      </c>
      <c r="E475">
        <v>5.9429999999999996</v>
      </c>
      <c r="F475">
        <v>53802.298999999999</v>
      </c>
      <c r="G475">
        <v>0</v>
      </c>
      <c r="L475" t="s">
        <v>7</v>
      </c>
      <c r="M475" t="s">
        <v>7</v>
      </c>
      <c r="N475" t="s">
        <v>8</v>
      </c>
      <c r="P475">
        <f t="shared" si="979"/>
        <v>-0.8867924528301917</v>
      </c>
      <c r="Q475">
        <f t="shared" si="980"/>
        <v>-47711.472698113372</v>
      </c>
      <c r="R475">
        <f t="shared" si="981"/>
        <v>-293405.1079102995</v>
      </c>
      <c r="S475">
        <f t="shared" si="982"/>
        <v>-2.934051079102995</v>
      </c>
      <c r="T475">
        <f t="shared" si="983"/>
        <v>-2.934051079102995E-3</v>
      </c>
    </row>
    <row r="476" spans="1:20" x14ac:dyDescent="0.25">
      <c r="A476" s="5">
        <v>44117</v>
      </c>
      <c r="B476">
        <v>6.1550000000000002</v>
      </c>
      <c r="C476">
        <v>6.3049999999999997</v>
      </c>
      <c r="D476">
        <v>6.016</v>
      </c>
      <c r="E476">
        <v>6.15</v>
      </c>
      <c r="F476">
        <v>51155.803</v>
      </c>
      <c r="G476">
        <v>0</v>
      </c>
      <c r="L476" t="s">
        <v>7</v>
      </c>
      <c r="M476" t="s">
        <v>7</v>
      </c>
      <c r="N476" t="s">
        <v>8</v>
      </c>
      <c r="P476">
        <f t="shared" si="979"/>
        <v>-7.2664359861588382E-2</v>
      </c>
      <c r="Q476">
        <f t="shared" si="980"/>
        <v>-3717.2036782005225</v>
      </c>
      <c r="R476">
        <f t="shared" si="981"/>
        <v>-245693.63521218611</v>
      </c>
      <c r="S476">
        <f t="shared" si="982"/>
        <v>-2.4569363521218612</v>
      </c>
      <c r="T476">
        <f t="shared" si="983"/>
        <v>-2.456936352121861E-3</v>
      </c>
    </row>
    <row r="477" spans="1:20" x14ac:dyDescent="0.25">
      <c r="A477" s="5">
        <v>44116</v>
      </c>
      <c r="B477">
        <v>6.86</v>
      </c>
      <c r="C477">
        <v>7.085</v>
      </c>
      <c r="D477">
        <v>6.1289999999999996</v>
      </c>
      <c r="E477">
        <v>6.165</v>
      </c>
      <c r="F477">
        <v>154054.47</v>
      </c>
      <c r="G477">
        <v>0</v>
      </c>
      <c r="L477" t="s">
        <v>7</v>
      </c>
      <c r="M477" t="s">
        <v>7</v>
      </c>
      <c r="N477" t="s">
        <v>8</v>
      </c>
      <c r="P477">
        <f t="shared" si="979"/>
        <v>-0.92468619246861827</v>
      </c>
      <c r="Q477">
        <f t="shared" si="980"/>
        <v>-142452.04129707097</v>
      </c>
      <c r="R477">
        <f t="shared" si="981"/>
        <v>-241976.4315339856</v>
      </c>
      <c r="S477">
        <f t="shared" si="982"/>
        <v>-2.4197643153398558</v>
      </c>
      <c r="T477">
        <f t="shared" si="983"/>
        <v>-2.4197643153398558E-3</v>
      </c>
    </row>
    <row r="478" spans="1:20" x14ac:dyDescent="0.25">
      <c r="A478" s="5">
        <v>44115</v>
      </c>
      <c r="B478">
        <v>5.5529999999999999</v>
      </c>
      <c r="C478">
        <v>7.9809999999999999</v>
      </c>
      <c r="D478">
        <v>5.54</v>
      </c>
      <c r="E478">
        <v>6.8689999999999998</v>
      </c>
      <c r="F478">
        <v>267278.44900000002</v>
      </c>
      <c r="G478">
        <v>0</v>
      </c>
      <c r="L478" t="s">
        <v>8</v>
      </c>
      <c r="M478" t="s">
        <v>8</v>
      </c>
      <c r="N478" t="s">
        <v>8</v>
      </c>
      <c r="P478">
        <f t="shared" si="979"/>
        <v>8.8897992625972824E-2</v>
      </c>
      <c r="Q478">
        <f t="shared" si="980"/>
        <v>23760.517588283456</v>
      </c>
      <c r="R478">
        <f t="shared" si="981"/>
        <v>-99524.390236914609</v>
      </c>
      <c r="S478">
        <f t="shared" si="982"/>
        <v>-0.99524390236914606</v>
      </c>
      <c r="T478">
        <f t="shared" si="983"/>
        <v>-9.9524390236914602E-4</v>
      </c>
    </row>
    <row r="479" spans="1:20" x14ac:dyDescent="0.25">
      <c r="A479" s="5">
        <v>44114</v>
      </c>
      <c r="B479">
        <v>5.4870000000000001</v>
      </c>
      <c r="C479">
        <v>5.67</v>
      </c>
      <c r="D479">
        <v>5.4009999999999998</v>
      </c>
      <c r="E479">
        <v>5.5720000000000001</v>
      </c>
      <c r="F479">
        <v>21954.162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0.27137546468401624</v>
      </c>
      <c r="Q479">
        <f t="shared" si="980"/>
        <v>5957.8209144981711</v>
      </c>
      <c r="R479">
        <f t="shared" si="981"/>
        <v>-123284.90782519807</v>
      </c>
      <c r="S479">
        <f t="shared" si="982"/>
        <v>-1.2328490782519808</v>
      </c>
      <c r="T479">
        <f t="shared" si="983"/>
        <v>-1.2328490782519807E-3</v>
      </c>
    </row>
    <row r="480" spans="1:20" x14ac:dyDescent="0.25">
      <c r="A480" s="5">
        <v>44113</v>
      </c>
      <c r="B480">
        <v>5.2830000000000004</v>
      </c>
      <c r="C480">
        <v>5.5190000000000001</v>
      </c>
      <c r="D480">
        <v>5.1479999999999997</v>
      </c>
      <c r="E480">
        <v>5.516</v>
      </c>
      <c r="F480">
        <v>28702.921999999999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0.98382749326145491</v>
      </c>
      <c r="Q480">
        <f t="shared" si="980"/>
        <v>28238.723800539065</v>
      </c>
      <c r="R480">
        <f t="shared" si="981"/>
        <v>-129242.72873969623</v>
      </c>
      <c r="S480">
        <f t="shared" si="982"/>
        <v>-1.2924272873969624</v>
      </c>
      <c r="T480">
        <f t="shared" si="983"/>
        <v>-1.2924272873969624E-3</v>
      </c>
    </row>
    <row r="481" spans="1:20" x14ac:dyDescent="0.25">
      <c r="A481" s="5">
        <v>44112</v>
      </c>
      <c r="B481">
        <v>5.1340000000000003</v>
      </c>
      <c r="C481">
        <v>5.3209999999999997</v>
      </c>
      <c r="D481">
        <v>5.0620000000000003</v>
      </c>
      <c r="E481">
        <v>5.3129999999999997</v>
      </c>
      <c r="F481">
        <v>23057.038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0.93822393822393801</v>
      </c>
      <c r="Q481">
        <f t="shared" si="980"/>
        <v>21632.664996138992</v>
      </c>
      <c r="R481">
        <f t="shared" si="981"/>
        <v>-157481.4525402353</v>
      </c>
      <c r="S481">
        <f t="shared" si="982"/>
        <v>-1.5748145254023531</v>
      </c>
      <c r="T481">
        <f t="shared" si="983"/>
        <v>-1.574814525402353E-3</v>
      </c>
    </row>
    <row r="482" spans="1:20" x14ac:dyDescent="0.25">
      <c r="A482" s="5">
        <v>44111</v>
      </c>
      <c r="B482">
        <v>5.1760000000000002</v>
      </c>
      <c r="C482">
        <v>5.22</v>
      </c>
      <c r="D482">
        <v>5.0999999999999996</v>
      </c>
      <c r="E482">
        <v>5.1340000000000003</v>
      </c>
      <c r="F482">
        <v>18372.647000000001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-0.43333333333332225</v>
      </c>
      <c r="Q482">
        <f t="shared" si="980"/>
        <v>-7961.4803666664629</v>
      </c>
      <c r="R482">
        <f t="shared" si="981"/>
        <v>-179114.11753637428</v>
      </c>
      <c r="S482">
        <f t="shared" si="982"/>
        <v>-1.7911411753637427</v>
      </c>
      <c r="T482">
        <f t="shared" si="983"/>
        <v>-1.7911411753637426E-3</v>
      </c>
    </row>
    <row r="483" spans="1:20" x14ac:dyDescent="0.25">
      <c r="A483" s="5">
        <v>44110</v>
      </c>
      <c r="B483">
        <v>5.3979999999999997</v>
      </c>
      <c r="C483">
        <v>5.4370000000000003</v>
      </c>
      <c r="D483">
        <v>5.1319999999999997</v>
      </c>
      <c r="E483">
        <v>5.2050000000000001</v>
      </c>
      <c r="F483">
        <v>17230.12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-0.52131147540983436</v>
      </c>
      <c r="Q483">
        <f t="shared" si="980"/>
        <v>-8982.2592786884943</v>
      </c>
      <c r="R483">
        <f t="shared" si="981"/>
        <v>-171152.63716970783</v>
      </c>
      <c r="S483">
        <f t="shared" si="982"/>
        <v>-1.7115263716970783</v>
      </c>
      <c r="T483">
        <f t="shared" si="983"/>
        <v>-1.7115263716970784E-3</v>
      </c>
    </row>
    <row r="484" spans="1:20" x14ac:dyDescent="0.25">
      <c r="A484" s="5">
        <v>44109</v>
      </c>
      <c r="B484">
        <v>5.36</v>
      </c>
      <c r="C484">
        <v>5.5469999999999997</v>
      </c>
      <c r="D484">
        <v>5.3380000000000001</v>
      </c>
      <c r="E484">
        <v>5.4039999999999999</v>
      </c>
      <c r="F484">
        <v>18641.523000000001</v>
      </c>
      <c r="G484">
        <v>0</v>
      </c>
      <c r="L484" t="s">
        <v>8</v>
      </c>
      <c r="M484" t="s">
        <v>7</v>
      </c>
      <c r="N484" t="s">
        <v>7</v>
      </c>
      <c r="P484">
        <f t="shared" si="979"/>
        <v>-0.36842105263157937</v>
      </c>
      <c r="Q484">
        <f t="shared" si="980"/>
        <v>-6867.9295263157974</v>
      </c>
      <c r="R484">
        <f t="shared" si="981"/>
        <v>-162170.37789101934</v>
      </c>
      <c r="S484">
        <f t="shared" si="982"/>
        <v>-1.6217037789101933</v>
      </c>
      <c r="T484">
        <f t="shared" si="983"/>
        <v>-1.6217037789101935E-3</v>
      </c>
    </row>
    <row r="485" spans="1:20" x14ac:dyDescent="0.25">
      <c r="A485" s="5">
        <v>44108</v>
      </c>
      <c r="B485">
        <v>5.3010000000000002</v>
      </c>
      <c r="C485">
        <v>5.3840000000000003</v>
      </c>
      <c r="D485">
        <v>5.2380000000000004</v>
      </c>
      <c r="E485">
        <v>5.34</v>
      </c>
      <c r="F485">
        <v>6105.5450000000001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0.39726027397259572</v>
      </c>
      <c r="Q485">
        <f t="shared" si="980"/>
        <v>2425.4904794520121</v>
      </c>
      <c r="R485">
        <f t="shared" si="981"/>
        <v>-155302.44836470354</v>
      </c>
      <c r="S485">
        <f t="shared" si="982"/>
        <v>-1.5530244836470353</v>
      </c>
      <c r="T485">
        <f t="shared" si="983"/>
        <v>-1.5530244836470353E-3</v>
      </c>
    </row>
    <row r="486" spans="1:20" x14ac:dyDescent="0.25">
      <c r="A486" s="5">
        <v>44107</v>
      </c>
      <c r="B486">
        <v>5.2779999999999996</v>
      </c>
      <c r="C486">
        <v>5.3819999999999997</v>
      </c>
      <c r="D486">
        <v>5.2160000000000002</v>
      </c>
      <c r="E486">
        <v>5.3150000000000004</v>
      </c>
      <c r="F486">
        <v>7736.2079999999996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0.19277108433735551</v>
      </c>
      <c r="Q486">
        <f t="shared" si="980"/>
        <v>1491.3172048193244</v>
      </c>
      <c r="R486">
        <f t="shared" si="981"/>
        <v>-157727.93884415555</v>
      </c>
      <c r="S486">
        <f t="shared" si="982"/>
        <v>-1.5772793884415555</v>
      </c>
      <c r="T486">
        <f t="shared" si="983"/>
        <v>-1.5772793884415554E-3</v>
      </c>
    </row>
    <row r="487" spans="1:20" x14ac:dyDescent="0.25">
      <c r="A487" s="5">
        <v>44106</v>
      </c>
      <c r="B487">
        <v>5.4429999999999996</v>
      </c>
      <c r="C487">
        <v>5.4740000000000002</v>
      </c>
      <c r="D487">
        <v>5.0999999999999996</v>
      </c>
      <c r="E487">
        <v>5.2590000000000003</v>
      </c>
      <c r="F487">
        <v>27771.295999999998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-0.14973262032085316</v>
      </c>
      <c r="Q487">
        <f t="shared" si="980"/>
        <v>-4158.2689197860282</v>
      </c>
      <c r="R487">
        <f t="shared" si="981"/>
        <v>-159219.25604897487</v>
      </c>
      <c r="S487">
        <f t="shared" si="982"/>
        <v>-1.5921925604897487</v>
      </c>
      <c r="T487">
        <f t="shared" si="983"/>
        <v>-1.5921925604897487E-3</v>
      </c>
    </row>
    <row r="488" spans="1:20" x14ac:dyDescent="0.25">
      <c r="A488" s="5">
        <v>44105</v>
      </c>
      <c r="B488">
        <v>5.6840000000000002</v>
      </c>
      <c r="C488">
        <v>5.9580000000000002</v>
      </c>
      <c r="D488">
        <v>5.3049999999999997</v>
      </c>
      <c r="E488">
        <v>5.4669999999999996</v>
      </c>
      <c r="F488">
        <v>34144.39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-0.50382848392036816</v>
      </c>
      <c r="Q488">
        <f t="shared" si="980"/>
        <v>-17202.916248085778</v>
      </c>
      <c r="R488">
        <f t="shared" si="981"/>
        <v>-155060.98712918884</v>
      </c>
      <c r="S488">
        <f t="shared" si="982"/>
        <v>-1.5506098712918883</v>
      </c>
      <c r="T488">
        <f t="shared" si="983"/>
        <v>-1.5506098712918883E-3</v>
      </c>
    </row>
    <row r="489" spans="1:20" x14ac:dyDescent="0.25">
      <c r="A489" s="5">
        <v>44104</v>
      </c>
      <c r="B489">
        <v>5.6020000000000003</v>
      </c>
      <c r="C489">
        <v>5.7910000000000004</v>
      </c>
      <c r="D489">
        <v>5.5720000000000001</v>
      </c>
      <c r="E489">
        <v>5.7110000000000003</v>
      </c>
      <c r="F489">
        <v>13335.343000000001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0.2694063926940643</v>
      </c>
      <c r="Q489">
        <f t="shared" si="980"/>
        <v>3592.6266529680415</v>
      </c>
      <c r="R489">
        <f t="shared" si="981"/>
        <v>-137858.07088110308</v>
      </c>
      <c r="S489">
        <f t="shared" si="982"/>
        <v>-1.3785807088110307</v>
      </c>
      <c r="T489">
        <f t="shared" si="983"/>
        <v>-1.3785807088110306E-3</v>
      </c>
    </row>
    <row r="490" spans="1:20" x14ac:dyDescent="0.25">
      <c r="A490" s="5">
        <v>44103</v>
      </c>
      <c r="B490">
        <v>5.6079999999999997</v>
      </c>
      <c r="C490">
        <v>5.665</v>
      </c>
      <c r="D490">
        <v>5.5</v>
      </c>
      <c r="E490">
        <v>5.6159999999999997</v>
      </c>
      <c r="F490">
        <v>9817.9699999999993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0.40606060606060163</v>
      </c>
      <c r="Q490">
        <f t="shared" si="980"/>
        <v>3986.6908484848045</v>
      </c>
      <c r="R490">
        <f t="shared" si="981"/>
        <v>-141450.69753407111</v>
      </c>
      <c r="S490">
        <f t="shared" si="982"/>
        <v>-1.4145069753407111</v>
      </c>
      <c r="T490">
        <f t="shared" si="983"/>
        <v>-1.414506975340711E-3</v>
      </c>
    </row>
    <row r="491" spans="1:20" x14ac:dyDescent="0.25">
      <c r="A491" s="5">
        <v>44102</v>
      </c>
      <c r="B491">
        <v>5.734</v>
      </c>
      <c r="C491">
        <v>5.94</v>
      </c>
      <c r="D491">
        <v>5.577</v>
      </c>
      <c r="E491">
        <v>5.6</v>
      </c>
      <c r="F491">
        <v>13966.664000000001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-0.87327823691460238</v>
      </c>
      <c r="Q491">
        <f t="shared" si="980"/>
        <v>-12196.783713498649</v>
      </c>
      <c r="R491">
        <f t="shared" si="981"/>
        <v>-145437.38838255592</v>
      </c>
      <c r="S491">
        <f t="shared" si="982"/>
        <v>-1.4543738838255591</v>
      </c>
      <c r="T491">
        <f t="shared" si="983"/>
        <v>-1.4543738838255591E-3</v>
      </c>
    </row>
    <row r="492" spans="1:20" x14ac:dyDescent="0.25">
      <c r="A492" s="5">
        <v>44101</v>
      </c>
      <c r="B492">
        <v>5.9189999999999996</v>
      </c>
      <c r="C492">
        <v>5.9939999999999998</v>
      </c>
      <c r="D492">
        <v>5.4980000000000002</v>
      </c>
      <c r="E492">
        <v>5.718</v>
      </c>
      <c r="F492">
        <v>17466.895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-0.11290322580645182</v>
      </c>
      <c r="Q492">
        <f t="shared" si="980"/>
        <v>-1972.0687903225842</v>
      </c>
      <c r="R492">
        <f t="shared" si="981"/>
        <v>-133240.60466905727</v>
      </c>
      <c r="S492">
        <f t="shared" si="982"/>
        <v>-1.3324060466905727</v>
      </c>
      <c r="T492">
        <f t="shared" si="983"/>
        <v>-1.3324060466905728E-3</v>
      </c>
    </row>
    <row r="493" spans="1:20" x14ac:dyDescent="0.25">
      <c r="A493" s="5">
        <v>44100</v>
      </c>
      <c r="B493">
        <v>6.008</v>
      </c>
      <c r="C493">
        <v>6.0190000000000001</v>
      </c>
      <c r="D493">
        <v>5.8040000000000003</v>
      </c>
      <c r="E493">
        <v>5.9370000000000003</v>
      </c>
      <c r="F493">
        <v>12779.646000000001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0.23720930232558227</v>
      </c>
      <c r="Q493">
        <f t="shared" si="980"/>
        <v>3031.4509116279182</v>
      </c>
      <c r="R493">
        <f t="shared" si="981"/>
        <v>-131268.53587873469</v>
      </c>
      <c r="S493">
        <f t="shared" si="982"/>
        <v>-1.3126853587873468</v>
      </c>
      <c r="T493">
        <f t="shared" si="983"/>
        <v>-1.3126853587873469E-3</v>
      </c>
    </row>
    <row r="494" spans="1:20" x14ac:dyDescent="0.25">
      <c r="A494" s="5">
        <v>44099</v>
      </c>
      <c r="B494">
        <v>5.9130000000000003</v>
      </c>
      <c r="C494">
        <v>6.1239999999999997</v>
      </c>
      <c r="D494">
        <v>5.7210000000000001</v>
      </c>
      <c r="E494">
        <v>5.9610000000000003</v>
      </c>
      <c r="F494">
        <v>17072.847000000002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0.19106699751861272</v>
      </c>
      <c r="Q494">
        <f t="shared" si="980"/>
        <v>3262.057615384655</v>
      </c>
      <c r="R494">
        <f t="shared" si="981"/>
        <v>-134299.9867903626</v>
      </c>
      <c r="S494">
        <f t="shared" si="982"/>
        <v>-1.3429998679036259</v>
      </c>
      <c r="T494">
        <f t="shared" si="983"/>
        <v>-1.3429998679036258E-3</v>
      </c>
    </row>
    <row r="495" spans="1:20" x14ac:dyDescent="0.25">
      <c r="A495" s="5">
        <v>44098</v>
      </c>
      <c r="B495">
        <v>5.3570000000000002</v>
      </c>
      <c r="C495">
        <v>6.23</v>
      </c>
      <c r="D495">
        <v>5.3470000000000004</v>
      </c>
      <c r="E495">
        <v>5.9130000000000003</v>
      </c>
      <c r="F495">
        <v>19533.719000000001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0.28199320498301206</v>
      </c>
      <c r="Q495">
        <f t="shared" si="980"/>
        <v>5508.3760260475574</v>
      </c>
      <c r="R495">
        <f t="shared" si="981"/>
        <v>-137562.04440574726</v>
      </c>
      <c r="S495">
        <f t="shared" si="982"/>
        <v>-1.3756204440574726</v>
      </c>
      <c r="T495">
        <f t="shared" si="983"/>
        <v>-1.3756204440574726E-3</v>
      </c>
    </row>
    <row r="496" spans="1:20" x14ac:dyDescent="0.25">
      <c r="A496" s="5">
        <v>44097</v>
      </c>
      <c r="B496">
        <v>5.5970000000000004</v>
      </c>
      <c r="C496">
        <v>5.9470000000000001</v>
      </c>
      <c r="D496">
        <v>5.3339999999999996</v>
      </c>
      <c r="E496">
        <v>5.4119999999999999</v>
      </c>
      <c r="F496">
        <v>21858.005000000001</v>
      </c>
      <c r="G496">
        <v>0</v>
      </c>
      <c r="L496" t="s">
        <v>8</v>
      </c>
      <c r="M496" t="s">
        <v>7</v>
      </c>
      <c r="N496" t="s">
        <v>7</v>
      </c>
      <c r="P496">
        <f t="shared" si="979"/>
        <v>-0.74551386623164684</v>
      </c>
      <c r="Q496">
        <f t="shared" si="980"/>
        <v>-16295.445815660669</v>
      </c>
      <c r="R496">
        <f t="shared" si="981"/>
        <v>-143070.42043179483</v>
      </c>
      <c r="S496">
        <f t="shared" si="982"/>
        <v>-1.4307042043179483</v>
      </c>
      <c r="T496">
        <f t="shared" si="983"/>
        <v>-1.4307042043179483E-3</v>
      </c>
    </row>
    <row r="497" spans="1:20" x14ac:dyDescent="0.25">
      <c r="A497" s="5">
        <v>44096</v>
      </c>
      <c r="B497">
        <v>5.407</v>
      </c>
      <c r="C497">
        <v>5.7</v>
      </c>
      <c r="D497">
        <v>5.2229999999999999</v>
      </c>
      <c r="E497">
        <v>5.5979999999999999</v>
      </c>
      <c r="F497">
        <v>21449.987000000001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0.57232704402515622</v>
      </c>
      <c r="Q497">
        <f t="shared" si="980"/>
        <v>12276.407654088029</v>
      </c>
      <c r="R497">
        <f t="shared" si="981"/>
        <v>-126774.97461613418</v>
      </c>
      <c r="S497">
        <f t="shared" si="982"/>
        <v>-1.2677497461613418</v>
      </c>
      <c r="T497">
        <f t="shared" si="983"/>
        <v>-1.2677497461613418E-3</v>
      </c>
    </row>
    <row r="498" spans="1:20" x14ac:dyDescent="0.25">
      <c r="A498" s="5">
        <v>44095</v>
      </c>
      <c r="B498">
        <v>5.827</v>
      </c>
      <c r="C498">
        <v>5.9619999999999997</v>
      </c>
      <c r="D498">
        <v>5.3639999999999999</v>
      </c>
      <c r="E498">
        <v>5.415</v>
      </c>
      <c r="F498">
        <v>31921.635999999999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-0.82943143812708975</v>
      </c>
      <c r="Q498">
        <f t="shared" si="980"/>
        <v>-26476.808454849481</v>
      </c>
      <c r="R498">
        <f t="shared" si="981"/>
        <v>-139051.38227022221</v>
      </c>
      <c r="S498">
        <f t="shared" si="982"/>
        <v>-1.390513822702222</v>
      </c>
      <c r="T498">
        <f t="shared" si="983"/>
        <v>-1.390513822702222E-3</v>
      </c>
    </row>
    <row r="499" spans="1:20" x14ac:dyDescent="0.25">
      <c r="A499" s="5">
        <v>44094</v>
      </c>
      <c r="B499">
        <v>5.9</v>
      </c>
      <c r="C499">
        <v>6.0490000000000004</v>
      </c>
      <c r="D499">
        <v>5.7160000000000002</v>
      </c>
      <c r="E499">
        <v>5.827</v>
      </c>
      <c r="F499">
        <v>18683.081999999999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-0.33333333333333509</v>
      </c>
      <c r="Q499">
        <f t="shared" si="980"/>
        <v>-6227.6940000000322</v>
      </c>
      <c r="R499">
        <f t="shared" si="981"/>
        <v>-112574.57381537273</v>
      </c>
      <c r="S499">
        <f t="shared" si="982"/>
        <v>-1.1257457381537272</v>
      </c>
      <c r="T499">
        <f t="shared" si="983"/>
        <v>-1.1257457381537272E-3</v>
      </c>
    </row>
    <row r="500" spans="1:20" x14ac:dyDescent="0.25">
      <c r="A500" s="5">
        <v>44093</v>
      </c>
      <c r="B500">
        <v>6.0289999999999999</v>
      </c>
      <c r="C500">
        <v>6.1130000000000004</v>
      </c>
      <c r="D500">
        <v>5.8479999999999999</v>
      </c>
      <c r="E500">
        <v>5.9290000000000003</v>
      </c>
      <c r="F500">
        <v>30170.825000000001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-0.38867924528301712</v>
      </c>
      <c r="Q500">
        <f t="shared" si="980"/>
        <v>-11726.773490565985</v>
      </c>
      <c r="R500">
        <f t="shared" si="981"/>
        <v>-106346.8798153727</v>
      </c>
      <c r="S500">
        <f t="shared" si="982"/>
        <v>-1.063468798153727</v>
      </c>
      <c r="T500">
        <f t="shared" si="983"/>
        <v>-1.0634687981537271E-3</v>
      </c>
    </row>
    <row r="501" spans="1:20" x14ac:dyDescent="0.25">
      <c r="A501" s="5">
        <v>44092</v>
      </c>
      <c r="B501">
        <v>6.0869999999999997</v>
      </c>
      <c r="C501">
        <v>6.2779999999999996</v>
      </c>
      <c r="D501">
        <v>6</v>
      </c>
      <c r="E501">
        <v>6.0549999999999997</v>
      </c>
      <c r="F501">
        <v>20656.745999999999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-0.60431654676259139</v>
      </c>
      <c r="Q501">
        <f t="shared" si="980"/>
        <v>-12483.213410071972</v>
      </c>
      <c r="R501">
        <f t="shared" si="981"/>
        <v>-94620.106324806708</v>
      </c>
      <c r="S501">
        <f t="shared" si="982"/>
        <v>-0.94620106324806708</v>
      </c>
      <c r="T501">
        <f t="shared" si="983"/>
        <v>-9.4620106324806708E-4</v>
      </c>
    </row>
    <row r="502" spans="1:20" x14ac:dyDescent="0.25">
      <c r="A502" s="5">
        <v>44091</v>
      </c>
      <c r="B502">
        <v>6.125</v>
      </c>
      <c r="C502">
        <v>6.2949999999999999</v>
      </c>
      <c r="D502">
        <v>6.0259999999999998</v>
      </c>
      <c r="E502">
        <v>6.1269999999999998</v>
      </c>
      <c r="F502">
        <v>7193.4610000000002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-0.24907063197026075</v>
      </c>
      <c r="Q502">
        <f t="shared" si="980"/>
        <v>-1791.6798773234239</v>
      </c>
      <c r="R502">
        <f t="shared" si="981"/>
        <v>-82136.892914734737</v>
      </c>
      <c r="S502">
        <f t="shared" si="982"/>
        <v>-0.82136892914734738</v>
      </c>
      <c r="T502">
        <f t="shared" si="983"/>
        <v>-8.2136892914734733E-4</v>
      </c>
    </row>
    <row r="503" spans="1:20" x14ac:dyDescent="0.25">
      <c r="A503" s="5">
        <v>44090</v>
      </c>
      <c r="B503">
        <v>6.117</v>
      </c>
      <c r="C503">
        <v>6.2960000000000003</v>
      </c>
      <c r="D503">
        <v>5.9749999999999996</v>
      </c>
      <c r="E503">
        <v>6.16</v>
      </c>
      <c r="F503">
        <v>17610.756000000001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0.1526479750778825</v>
      </c>
      <c r="Q503">
        <f t="shared" si="980"/>
        <v>2688.24624299067</v>
      </c>
      <c r="R503">
        <f t="shared" si="981"/>
        <v>-80345.213037411319</v>
      </c>
      <c r="S503">
        <f t="shared" si="982"/>
        <v>-0.80345213037411323</v>
      </c>
      <c r="T503">
        <f t="shared" si="983"/>
        <v>-8.0345213037411327E-4</v>
      </c>
    </row>
    <row r="504" spans="1:20" x14ac:dyDescent="0.25">
      <c r="A504" s="5">
        <v>44089</v>
      </c>
      <c r="B504">
        <v>6.3220000000000001</v>
      </c>
      <c r="C504">
        <v>6.468</v>
      </c>
      <c r="D504">
        <v>6.06</v>
      </c>
      <c r="E504">
        <v>6.117</v>
      </c>
      <c r="F504">
        <v>19384.53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-0.72058823529411598</v>
      </c>
      <c r="Q504">
        <f t="shared" si="980"/>
        <v>-13968.264264705849</v>
      </c>
      <c r="R504">
        <f t="shared" si="981"/>
        <v>-83033.459280401992</v>
      </c>
      <c r="S504">
        <f t="shared" si="982"/>
        <v>-0.83033459280401989</v>
      </c>
      <c r="T504">
        <f t="shared" si="983"/>
        <v>-8.3033459280401991E-4</v>
      </c>
    </row>
    <row r="505" spans="1:20" x14ac:dyDescent="0.25">
      <c r="A505" s="5">
        <v>44088</v>
      </c>
      <c r="B505">
        <v>6.2839999999999998</v>
      </c>
      <c r="C505">
        <v>6.5170000000000003</v>
      </c>
      <c r="D505">
        <v>6.0549999999999997</v>
      </c>
      <c r="E505">
        <v>6.2960000000000003</v>
      </c>
      <c r="F505">
        <v>18102.608</v>
      </c>
      <c r="G505">
        <v>0</v>
      </c>
      <c r="L505" t="s">
        <v>8</v>
      </c>
      <c r="M505" t="s">
        <v>7</v>
      </c>
      <c r="N505" t="s">
        <v>7</v>
      </c>
      <c r="P505">
        <f t="shared" si="979"/>
        <v>4.3290043290044232E-2</v>
      </c>
      <c r="Q505">
        <f t="shared" si="980"/>
        <v>783.66268398270108</v>
      </c>
      <c r="R505">
        <f t="shared" si="981"/>
        <v>-69065.195015696139</v>
      </c>
      <c r="S505">
        <f t="shared" si="982"/>
        <v>-0.69065195015696135</v>
      </c>
      <c r="T505">
        <f t="shared" si="983"/>
        <v>-6.9065195015696138E-4</v>
      </c>
    </row>
    <row r="506" spans="1:20" x14ac:dyDescent="0.25">
      <c r="A506" s="5">
        <v>44087</v>
      </c>
      <c r="B506">
        <v>6.633</v>
      </c>
      <c r="C506">
        <v>6.6340000000000003</v>
      </c>
      <c r="D506">
        <v>6</v>
      </c>
      <c r="E506">
        <v>6.2850000000000001</v>
      </c>
      <c r="F506">
        <v>26742.905999999999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-0.10094637223974767</v>
      </c>
      <c r="Q506">
        <f t="shared" si="980"/>
        <v>-2699.5993438485812</v>
      </c>
      <c r="R506">
        <f t="shared" si="981"/>
        <v>-69848.857699678847</v>
      </c>
      <c r="S506">
        <f t="shared" si="982"/>
        <v>-0.69848857699678846</v>
      </c>
      <c r="T506">
        <f t="shared" si="983"/>
        <v>-6.9848857699678849E-4</v>
      </c>
    </row>
    <row r="507" spans="1:20" x14ac:dyDescent="0.25">
      <c r="A507" s="5">
        <v>44086</v>
      </c>
      <c r="B507">
        <v>6.5449999999999999</v>
      </c>
      <c r="C507">
        <v>6.69</v>
      </c>
      <c r="D507">
        <v>6.39</v>
      </c>
      <c r="E507">
        <v>6.641</v>
      </c>
      <c r="F507">
        <v>21221.812000000002</v>
      </c>
      <c r="G507">
        <v>0</v>
      </c>
      <c r="L507" t="s">
        <v>8</v>
      </c>
      <c r="M507" t="s">
        <v>7</v>
      </c>
      <c r="N507" t="s">
        <v>7</v>
      </c>
      <c r="P507">
        <f t="shared" si="979"/>
        <v>0.67333333333333156</v>
      </c>
      <c r="Q507">
        <f t="shared" si="980"/>
        <v>14289.353413333298</v>
      </c>
      <c r="R507">
        <f t="shared" si="981"/>
        <v>-67149.258355830272</v>
      </c>
      <c r="S507">
        <f t="shared" si="982"/>
        <v>-0.67149258355830277</v>
      </c>
      <c r="T507">
        <f t="shared" si="983"/>
        <v>-6.714925835583028E-4</v>
      </c>
    </row>
    <row r="508" spans="1:20" x14ac:dyDescent="0.25">
      <c r="A508" s="5">
        <v>44085</v>
      </c>
      <c r="B508">
        <v>6.306</v>
      </c>
      <c r="C508">
        <v>6.6219999999999999</v>
      </c>
      <c r="D508">
        <v>6.0090000000000003</v>
      </c>
      <c r="E508">
        <v>6.5039999999999996</v>
      </c>
      <c r="F508">
        <v>22321.244999999999</v>
      </c>
      <c r="G508">
        <v>0</v>
      </c>
      <c r="L508" t="s">
        <v>8</v>
      </c>
      <c r="M508" t="s">
        <v>7</v>
      </c>
      <c r="N508" t="s">
        <v>7</v>
      </c>
      <c r="P508">
        <f t="shared" si="979"/>
        <v>0.61500815660685015</v>
      </c>
      <c r="Q508">
        <f t="shared" si="980"/>
        <v>13727.74774061987</v>
      </c>
      <c r="R508">
        <f t="shared" si="981"/>
        <v>-81438.611769163574</v>
      </c>
      <c r="S508">
        <f t="shared" si="982"/>
        <v>-0.81438611769163571</v>
      </c>
      <c r="T508">
        <f t="shared" si="983"/>
        <v>-8.1438611769163569E-4</v>
      </c>
    </row>
    <row r="509" spans="1:20" x14ac:dyDescent="0.25">
      <c r="A509" s="5">
        <v>44084</v>
      </c>
      <c r="B509">
        <v>6.0490000000000004</v>
      </c>
      <c r="C509">
        <v>6.5439999999999996</v>
      </c>
      <c r="D509">
        <v>6.0490000000000004</v>
      </c>
      <c r="E509">
        <v>6.2949999999999999</v>
      </c>
      <c r="F509">
        <v>26551.460999999999</v>
      </c>
      <c r="G509">
        <v>0</v>
      </c>
      <c r="L509" t="s">
        <v>8</v>
      </c>
      <c r="M509" t="s">
        <v>7</v>
      </c>
      <c r="N509" t="s">
        <v>7</v>
      </c>
      <c r="P509">
        <f t="shared" si="979"/>
        <v>-6.0606060606063E-3</v>
      </c>
      <c r="Q509">
        <f t="shared" si="980"/>
        <v>-160.91794545455181</v>
      </c>
      <c r="R509">
        <f t="shared" si="981"/>
        <v>-95166.359509783448</v>
      </c>
      <c r="S509">
        <f t="shared" si="982"/>
        <v>-0.95166359509783449</v>
      </c>
      <c r="T509">
        <f t="shared" si="983"/>
        <v>-9.5166359509783445E-4</v>
      </c>
    </row>
    <row r="510" spans="1:20" x14ac:dyDescent="0.25">
      <c r="A510" s="5">
        <v>44083</v>
      </c>
      <c r="B510">
        <v>5.8620000000000001</v>
      </c>
      <c r="C510">
        <v>6.2759999999999998</v>
      </c>
      <c r="D510">
        <v>5.7519999999999998</v>
      </c>
      <c r="E510">
        <v>6.0650000000000004</v>
      </c>
      <c r="F510">
        <v>17357.903999999999</v>
      </c>
      <c r="G510">
        <v>0</v>
      </c>
      <c r="L510" t="s">
        <v>8</v>
      </c>
      <c r="M510" t="s">
        <v>7</v>
      </c>
      <c r="N510" t="s">
        <v>7</v>
      </c>
      <c r="P510">
        <f t="shared" si="979"/>
        <v>0.19465648854962062</v>
      </c>
      <c r="Q510">
        <f t="shared" si="980"/>
        <v>3378.8286412214138</v>
      </c>
      <c r="R510">
        <f t="shared" si="981"/>
        <v>-95005.441564328896</v>
      </c>
      <c r="S510">
        <f t="shared" si="982"/>
        <v>-0.95005441564328896</v>
      </c>
      <c r="T510">
        <f t="shared" si="983"/>
        <v>-9.5005441564328897E-4</v>
      </c>
    </row>
    <row r="511" spans="1:20" x14ac:dyDescent="0.25">
      <c r="A511" s="5">
        <v>44082</v>
      </c>
      <c r="B511">
        <v>6.3490000000000002</v>
      </c>
      <c r="C511">
        <v>6.3609999999999998</v>
      </c>
      <c r="D511">
        <v>5.7</v>
      </c>
      <c r="E511">
        <v>5.8869999999999996</v>
      </c>
      <c r="F511">
        <v>36020.464999999997</v>
      </c>
      <c r="G511">
        <v>0</v>
      </c>
      <c r="L511" t="s">
        <v>7</v>
      </c>
      <c r="M511" t="s">
        <v>7</v>
      </c>
      <c r="N511" t="s">
        <v>7</v>
      </c>
      <c r="P511">
        <f t="shared" si="979"/>
        <v>-0.4341906202723162</v>
      </c>
      <c r="Q511">
        <f t="shared" si="980"/>
        <v>-15639.748040847255</v>
      </c>
      <c r="R511">
        <f t="shared" si="981"/>
        <v>-98384.270205550303</v>
      </c>
      <c r="S511">
        <f t="shared" si="982"/>
        <v>-0.98384270205550306</v>
      </c>
      <c r="T511">
        <f t="shared" si="983"/>
        <v>-9.8384270205550311E-4</v>
      </c>
    </row>
    <row r="512" spans="1:20" x14ac:dyDescent="0.25">
      <c r="A512" s="5">
        <v>44081</v>
      </c>
      <c r="B512">
        <v>6.3890000000000002</v>
      </c>
      <c r="C512">
        <v>6.4210000000000003</v>
      </c>
      <c r="D512">
        <v>5.8550000000000004</v>
      </c>
      <c r="E512">
        <v>6.27</v>
      </c>
      <c r="F512">
        <v>20668.358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0.46643109540635785</v>
      </c>
      <c r="Q512">
        <f t="shared" si="980"/>
        <v>9640.3648621907596</v>
      </c>
      <c r="R512">
        <f t="shared" si="981"/>
        <v>-82744.522164703056</v>
      </c>
      <c r="S512">
        <f t="shared" si="982"/>
        <v>-0.8274452216470306</v>
      </c>
      <c r="T512">
        <f t="shared" si="983"/>
        <v>-8.2744522164703059E-4</v>
      </c>
    </row>
    <row r="513" spans="1:20" x14ac:dyDescent="0.25">
      <c r="A513" s="5">
        <v>44080</v>
      </c>
      <c r="B513">
        <v>6.0019999999999998</v>
      </c>
      <c r="C513">
        <v>6.5</v>
      </c>
      <c r="D513">
        <v>5.6319999999999997</v>
      </c>
      <c r="E513">
        <v>6.4029999999999996</v>
      </c>
      <c r="F513">
        <v>31594.648000000001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0.7764976958525337</v>
      </c>
      <c r="Q513">
        <f t="shared" si="980"/>
        <v>24533.171373271864</v>
      </c>
      <c r="R513">
        <f t="shared" si="981"/>
        <v>-92384.887026893819</v>
      </c>
      <c r="S513">
        <f t="shared" si="982"/>
        <v>-0.92384887026893814</v>
      </c>
      <c r="T513">
        <f t="shared" si="983"/>
        <v>-9.2384887026893809E-4</v>
      </c>
    </row>
    <row r="514" spans="1:20" x14ac:dyDescent="0.25">
      <c r="A514" s="5">
        <v>44079</v>
      </c>
      <c r="B514">
        <v>7.02</v>
      </c>
      <c r="C514">
        <v>7.1980000000000004</v>
      </c>
      <c r="D514">
        <v>5.5579999999999998</v>
      </c>
      <c r="E514">
        <v>6.0010000000000003</v>
      </c>
      <c r="F514">
        <v>68589.338000000003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-0.45975609756097519</v>
      </c>
      <c r="Q514">
        <f t="shared" si="980"/>
        <v>-31534.366373170706</v>
      </c>
      <c r="R514">
        <f t="shared" si="981"/>
        <v>-116918.05840016568</v>
      </c>
      <c r="S514">
        <f t="shared" si="982"/>
        <v>-1.1691805840016569</v>
      </c>
      <c r="T514">
        <f t="shared" si="983"/>
        <v>-1.1691805840016568E-3</v>
      </c>
    </row>
    <row r="515" spans="1:20" x14ac:dyDescent="0.25">
      <c r="A515" s="5">
        <v>44078</v>
      </c>
      <c r="B515">
        <v>6.5</v>
      </c>
      <c r="C515">
        <v>7.3109999999999999</v>
      </c>
      <c r="D515">
        <v>6.4450000000000003</v>
      </c>
      <c r="E515">
        <v>7.0019999999999998</v>
      </c>
      <c r="F515">
        <v>43797.101000000002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0.28637413394919103</v>
      </c>
      <c r="Q515">
        <f t="shared" si="980"/>
        <v>12542.35686836025</v>
      </c>
      <c r="R515">
        <f t="shared" si="981"/>
        <v>-85383.692026994977</v>
      </c>
      <c r="S515">
        <f t="shared" si="982"/>
        <v>-0.85383692026994973</v>
      </c>
      <c r="T515">
        <f t="shared" si="983"/>
        <v>-8.5383692026994972E-4</v>
      </c>
    </row>
    <row r="516" spans="1:20" x14ac:dyDescent="0.25">
      <c r="A516" s="5">
        <v>44077</v>
      </c>
      <c r="B516">
        <v>8.4250000000000007</v>
      </c>
      <c r="C516">
        <v>8.516</v>
      </c>
      <c r="D516">
        <v>6.4</v>
      </c>
      <c r="E516">
        <v>6.5190000000000001</v>
      </c>
      <c r="F516">
        <v>54011.565999999999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-0.88752362948960317</v>
      </c>
      <c r="Q516">
        <f t="shared" si="980"/>
        <v>-47936.54109073725</v>
      </c>
      <c r="R516">
        <f t="shared" si="981"/>
        <v>-97926.048895355227</v>
      </c>
      <c r="S516">
        <f t="shared" si="982"/>
        <v>-0.97926048895355222</v>
      </c>
      <c r="T516">
        <f t="shared" si="983"/>
        <v>-9.7926048895355215E-4</v>
      </c>
    </row>
    <row r="517" spans="1:20" x14ac:dyDescent="0.25">
      <c r="A517" s="5">
        <v>44076</v>
      </c>
      <c r="B517">
        <v>8.8290000000000006</v>
      </c>
      <c r="C517">
        <v>8.9049999999999994</v>
      </c>
      <c r="D517">
        <v>7.95</v>
      </c>
      <c r="E517">
        <v>8.4849999999999994</v>
      </c>
      <c r="F517">
        <v>53042.392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0.12041884816753866</v>
      </c>
      <c r="Q517">
        <f t="shared" si="980"/>
        <v>6387.3037486910671</v>
      </c>
      <c r="R517">
        <f t="shared" si="981"/>
        <v>-49989.507804617984</v>
      </c>
      <c r="S517">
        <f t="shared" si="982"/>
        <v>-0.49989507804617983</v>
      </c>
      <c r="T517">
        <f t="shared" si="983"/>
        <v>-4.9989507804617985E-4</v>
      </c>
    </row>
    <row r="518" spans="1:20" x14ac:dyDescent="0.25">
      <c r="A518" s="5">
        <v>44075</v>
      </c>
      <c r="B518">
        <v>8.4969999999999999</v>
      </c>
      <c r="C518">
        <v>9.0220000000000002</v>
      </c>
      <c r="D518">
        <v>8.3089999999999993</v>
      </c>
      <c r="E518">
        <v>8.8239999999999998</v>
      </c>
      <c r="F518">
        <v>46036.930999999997</v>
      </c>
      <c r="G518">
        <v>0</v>
      </c>
      <c r="L518" t="s">
        <v>8</v>
      </c>
      <c r="M518" t="s">
        <v>7</v>
      </c>
      <c r="N518" t="s">
        <v>7</v>
      </c>
      <c r="P518">
        <f t="shared" ref="P518:P581" si="984">IF(C518=D518,0,((E518-D518)-(C518-E518))/(C518-D518))</f>
        <v>0.44460028050490846</v>
      </c>
      <c r="Q518">
        <f t="shared" ref="Q518:Q581" si="985">F518*P518</f>
        <v>20468.032436185116</v>
      </c>
      <c r="R518">
        <f t="shared" ref="R518:R581" si="986">R519+Q518</f>
        <v>-56376.811553309053</v>
      </c>
      <c r="S518">
        <f t="shared" ref="S518:S581" si="987">R518/100000</f>
        <v>-0.56376811553309059</v>
      </c>
      <c r="T518">
        <f t="shared" ref="T518:T581" si="988">S518/1000</f>
        <v>-5.6376811553309055E-4</v>
      </c>
    </row>
    <row r="519" spans="1:20" x14ac:dyDescent="0.25">
      <c r="A519" s="5">
        <v>44074</v>
      </c>
      <c r="B519">
        <v>8.7230000000000008</v>
      </c>
      <c r="C519">
        <v>8.8019999999999996</v>
      </c>
      <c r="D519">
        <v>8.1</v>
      </c>
      <c r="E519">
        <v>8.4809999999999999</v>
      </c>
      <c r="F519">
        <v>28487.118999999999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8.547008547008618E-2</v>
      </c>
      <c r="Q519">
        <f t="shared" si="985"/>
        <v>2434.7964957265158</v>
      </c>
      <c r="R519">
        <f t="shared" si="986"/>
        <v>-76844.843989494169</v>
      </c>
      <c r="S519">
        <f t="shared" si="987"/>
        <v>-0.76844843989494171</v>
      </c>
      <c r="T519">
        <f t="shared" si="988"/>
        <v>-7.6844843989494168E-4</v>
      </c>
    </row>
    <row r="520" spans="1:20" x14ac:dyDescent="0.25">
      <c r="A520" s="5">
        <v>44073</v>
      </c>
      <c r="B520">
        <v>8.5060000000000002</v>
      </c>
      <c r="C520">
        <v>8.8480000000000008</v>
      </c>
      <c r="D520">
        <v>8.4</v>
      </c>
      <c r="E520">
        <v>8.7210000000000001</v>
      </c>
      <c r="F520">
        <v>25882.222000000002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0.4330357142857118</v>
      </c>
      <c r="Q520">
        <f t="shared" si="985"/>
        <v>11207.926491071365</v>
      </c>
      <c r="R520">
        <f t="shared" si="986"/>
        <v>-79279.640485220691</v>
      </c>
      <c r="S520">
        <f t="shared" si="987"/>
        <v>-0.79279640485220693</v>
      </c>
      <c r="T520">
        <f t="shared" si="988"/>
        <v>-7.927964048522069E-4</v>
      </c>
    </row>
    <row r="521" spans="1:20" x14ac:dyDescent="0.25">
      <c r="A521" s="5">
        <v>44072</v>
      </c>
      <c r="B521">
        <v>8.3670000000000009</v>
      </c>
      <c r="C521">
        <v>8.5950000000000006</v>
      </c>
      <c r="D521">
        <v>8.2859999999999996</v>
      </c>
      <c r="E521">
        <v>8.5060000000000002</v>
      </c>
      <c r="F521">
        <v>23780.813999999998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0.42394822006472421</v>
      </c>
      <c r="Q521">
        <f t="shared" si="985"/>
        <v>10081.833766990274</v>
      </c>
      <c r="R521">
        <f t="shared" si="986"/>
        <v>-90487.566976292059</v>
      </c>
      <c r="S521">
        <f t="shared" si="987"/>
        <v>-0.90487566976292055</v>
      </c>
      <c r="T521">
        <f t="shared" si="988"/>
        <v>-9.0487566976292055E-4</v>
      </c>
    </row>
    <row r="522" spans="1:20" x14ac:dyDescent="0.25">
      <c r="A522" s="5">
        <v>44071</v>
      </c>
      <c r="B522">
        <v>8.3490000000000002</v>
      </c>
      <c r="C522">
        <v>8.6999999999999993</v>
      </c>
      <c r="D522">
        <v>8.14</v>
      </c>
      <c r="E522">
        <v>8.3670000000000009</v>
      </c>
      <c r="F522">
        <v>54994.718999999997</v>
      </c>
      <c r="G522">
        <v>0</v>
      </c>
      <c r="L522" t="s">
        <v>7</v>
      </c>
      <c r="M522" t="s">
        <v>7</v>
      </c>
      <c r="N522" t="s">
        <v>7</v>
      </c>
      <c r="P522">
        <f t="shared" si="984"/>
        <v>-0.18928571428571131</v>
      </c>
      <c r="Q522">
        <f t="shared" si="985"/>
        <v>-10409.714667856979</v>
      </c>
      <c r="R522">
        <f t="shared" si="986"/>
        <v>-100569.40074328233</v>
      </c>
      <c r="S522">
        <f t="shared" si="987"/>
        <v>-1.0056940074328233</v>
      </c>
      <c r="T522">
        <f t="shared" si="988"/>
        <v>-1.0056940074328234E-3</v>
      </c>
    </row>
    <row r="523" spans="1:20" x14ac:dyDescent="0.25">
      <c r="A523" s="5">
        <v>44070</v>
      </c>
      <c r="B523">
        <v>8.7989999999999995</v>
      </c>
      <c r="C523">
        <v>8.8409999999999993</v>
      </c>
      <c r="D523">
        <v>8.2240000000000002</v>
      </c>
      <c r="E523">
        <v>8.3480000000000008</v>
      </c>
      <c r="F523">
        <v>27923.991000000002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-0.59805510534845796</v>
      </c>
      <c r="Q523">
        <f t="shared" si="985"/>
        <v>-16700.085379254393</v>
      </c>
      <c r="R523">
        <f t="shared" si="986"/>
        <v>-90159.686075425343</v>
      </c>
      <c r="S523">
        <f t="shared" si="987"/>
        <v>-0.90159686075425338</v>
      </c>
      <c r="T523">
        <f t="shared" si="988"/>
        <v>-9.0159686075425341E-4</v>
      </c>
    </row>
    <row r="524" spans="1:20" x14ac:dyDescent="0.25">
      <c r="A524" s="5">
        <v>44069</v>
      </c>
      <c r="B524">
        <v>8.7349999999999994</v>
      </c>
      <c r="C524">
        <v>10.5</v>
      </c>
      <c r="D524">
        <v>8.6259999999999994</v>
      </c>
      <c r="E524">
        <v>8.8010000000000002</v>
      </c>
      <c r="F524">
        <v>22240.409</v>
      </c>
      <c r="G524">
        <v>0</v>
      </c>
      <c r="L524" t="s">
        <v>8</v>
      </c>
      <c r="M524" t="s">
        <v>8</v>
      </c>
      <c r="N524" t="s">
        <v>8</v>
      </c>
      <c r="P524">
        <f t="shared" si="984"/>
        <v>-0.81323372465314769</v>
      </c>
      <c r="Q524">
        <f t="shared" si="985"/>
        <v>-18086.650648879389</v>
      </c>
      <c r="R524">
        <f t="shared" si="986"/>
        <v>-73459.60069617095</v>
      </c>
      <c r="S524">
        <f t="shared" si="987"/>
        <v>-0.73459600696170946</v>
      </c>
      <c r="T524">
        <f t="shared" si="988"/>
        <v>-7.3459600696170943E-4</v>
      </c>
    </row>
    <row r="525" spans="1:20" x14ac:dyDescent="0.25">
      <c r="A525" s="5">
        <v>44068</v>
      </c>
      <c r="B525">
        <v>9.4410000000000007</v>
      </c>
      <c r="C525">
        <v>9.5210000000000008</v>
      </c>
      <c r="D525">
        <v>8.3689999999999998</v>
      </c>
      <c r="E525">
        <v>8.7550000000000008</v>
      </c>
      <c r="F525">
        <v>33257.983999999997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-0.32986111111110994</v>
      </c>
      <c r="Q525">
        <f t="shared" si="985"/>
        <v>-10970.515555555516</v>
      </c>
      <c r="R525">
        <f t="shared" si="986"/>
        <v>-55372.950047291561</v>
      </c>
      <c r="S525">
        <f t="shared" si="987"/>
        <v>-0.55372950047291558</v>
      </c>
      <c r="T525">
        <f t="shared" si="988"/>
        <v>-5.5372950047291559E-4</v>
      </c>
    </row>
    <row r="526" spans="1:20" x14ac:dyDescent="0.25">
      <c r="A526" s="5">
        <v>44067</v>
      </c>
      <c r="B526">
        <v>9.3070000000000004</v>
      </c>
      <c r="C526">
        <v>9.5109999999999992</v>
      </c>
      <c r="D526">
        <v>9.1969999999999992</v>
      </c>
      <c r="E526">
        <v>9.4420000000000002</v>
      </c>
      <c r="F526">
        <v>20346.39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0.56050955414013348</v>
      </c>
      <c r="Q526">
        <f t="shared" si="985"/>
        <v>11404.345987261269</v>
      </c>
      <c r="R526">
        <f t="shared" si="986"/>
        <v>-44402.434491736043</v>
      </c>
      <c r="S526">
        <f t="shared" si="987"/>
        <v>-0.44402434491736043</v>
      </c>
      <c r="T526">
        <f t="shared" si="988"/>
        <v>-4.4402434491736041E-4</v>
      </c>
    </row>
    <row r="527" spans="1:20" x14ac:dyDescent="0.25">
      <c r="A527" s="5">
        <v>44066</v>
      </c>
      <c r="B527">
        <v>9.7690000000000001</v>
      </c>
      <c r="C527">
        <v>9.8079999999999998</v>
      </c>
      <c r="D527">
        <v>9.2100000000000009</v>
      </c>
      <c r="E527">
        <v>9.3480000000000008</v>
      </c>
      <c r="F527">
        <v>19255.275000000001</v>
      </c>
      <c r="G527">
        <v>0</v>
      </c>
      <c r="L527" t="s">
        <v>8</v>
      </c>
      <c r="M527" t="s">
        <v>8</v>
      </c>
      <c r="N527" t="s">
        <v>8</v>
      </c>
      <c r="P527">
        <f t="shared" si="984"/>
        <v>-0.53846153846153799</v>
      </c>
      <c r="Q527">
        <f t="shared" si="985"/>
        <v>-10368.224999999991</v>
      </c>
      <c r="R527">
        <f t="shared" si="986"/>
        <v>-55806.780478997316</v>
      </c>
      <c r="S527">
        <f t="shared" si="987"/>
        <v>-0.5580678047899732</v>
      </c>
      <c r="T527">
        <f t="shared" si="988"/>
        <v>-5.5806780478997325E-4</v>
      </c>
    </row>
    <row r="528" spans="1:20" x14ac:dyDescent="0.25">
      <c r="A528" s="5">
        <v>44065</v>
      </c>
      <c r="B528">
        <v>9.57</v>
      </c>
      <c r="C528">
        <v>10.228999999999999</v>
      </c>
      <c r="D528">
        <v>9.1</v>
      </c>
      <c r="E528">
        <v>9.7680000000000007</v>
      </c>
      <c r="F528">
        <v>43435.048000000003</v>
      </c>
      <c r="G528">
        <v>0</v>
      </c>
      <c r="L528" t="s">
        <v>7</v>
      </c>
      <c r="M528" t="s">
        <v>8</v>
      </c>
      <c r="N528" t="s">
        <v>8</v>
      </c>
      <c r="P528">
        <f t="shared" si="984"/>
        <v>0.18334809565987831</v>
      </c>
      <c r="Q528">
        <f t="shared" si="985"/>
        <v>7963.7333356954068</v>
      </c>
      <c r="R528">
        <f t="shared" si="986"/>
        <v>-45438.555478997325</v>
      </c>
      <c r="S528">
        <f t="shared" si="987"/>
        <v>-0.45438555478997322</v>
      </c>
      <c r="T528">
        <f t="shared" si="988"/>
        <v>-4.5438555478997321E-4</v>
      </c>
    </row>
    <row r="529" spans="1:20" x14ac:dyDescent="0.25">
      <c r="A529" s="5">
        <v>44064</v>
      </c>
      <c r="B529">
        <v>9.5879999999999992</v>
      </c>
      <c r="C529">
        <v>10.819000000000001</v>
      </c>
      <c r="D529">
        <v>9.5</v>
      </c>
      <c r="E529">
        <v>9.56</v>
      </c>
      <c r="F529">
        <v>119493.42200000001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-0.90902198635329723</v>
      </c>
      <c r="Q529">
        <f t="shared" si="985"/>
        <v>-108622.14782259279</v>
      </c>
      <c r="R529">
        <f t="shared" si="986"/>
        <v>-53402.288814692729</v>
      </c>
      <c r="S529">
        <f t="shared" si="987"/>
        <v>-0.53402288814692733</v>
      </c>
      <c r="T529">
        <f t="shared" si="988"/>
        <v>-5.340228881469273E-4</v>
      </c>
    </row>
    <row r="530" spans="1:20" x14ac:dyDescent="0.25">
      <c r="A530" s="5">
        <v>44063</v>
      </c>
      <c r="B530">
        <v>9.0660000000000007</v>
      </c>
      <c r="C530">
        <v>9.5879999999999992</v>
      </c>
      <c r="D530">
        <v>8.9760000000000009</v>
      </c>
      <c r="E530">
        <v>9.5630000000000006</v>
      </c>
      <c r="F530">
        <v>18929.8</v>
      </c>
      <c r="G530">
        <v>0</v>
      </c>
      <c r="L530" t="s">
        <v>7</v>
      </c>
      <c r="M530" t="s">
        <v>7</v>
      </c>
      <c r="N530" t="s">
        <v>8</v>
      </c>
      <c r="P530">
        <f t="shared" si="984"/>
        <v>0.91830065359477564</v>
      </c>
      <c r="Q530">
        <f t="shared" si="985"/>
        <v>17383.247712418382</v>
      </c>
      <c r="R530">
        <f t="shared" si="986"/>
        <v>55219.859007900057</v>
      </c>
      <c r="S530">
        <f t="shared" si="987"/>
        <v>0.55219859007900052</v>
      </c>
      <c r="T530">
        <f t="shared" si="988"/>
        <v>5.5219859007900047E-4</v>
      </c>
    </row>
    <row r="531" spans="1:20" x14ac:dyDescent="0.25">
      <c r="A531" s="5">
        <v>44062</v>
      </c>
      <c r="B531">
        <v>9.4689999999999994</v>
      </c>
      <c r="C531">
        <v>9.6530000000000005</v>
      </c>
      <c r="D531">
        <v>8.7279999999999998</v>
      </c>
      <c r="E531">
        <v>9.0289999999999999</v>
      </c>
      <c r="F531">
        <v>28963.652999999998</v>
      </c>
      <c r="G531">
        <v>0</v>
      </c>
      <c r="L531" t="s">
        <v>8</v>
      </c>
      <c r="M531" t="s">
        <v>7</v>
      </c>
      <c r="N531" t="s">
        <v>8</v>
      </c>
      <c r="P531">
        <f t="shared" si="984"/>
        <v>-0.34918918918918934</v>
      </c>
      <c r="Q531">
        <f t="shared" si="985"/>
        <v>-10113.794507027031</v>
      </c>
      <c r="R531">
        <f t="shared" si="986"/>
        <v>37836.611295481671</v>
      </c>
      <c r="S531">
        <f t="shared" si="987"/>
        <v>0.3783661129548167</v>
      </c>
      <c r="T531">
        <f t="shared" si="988"/>
        <v>3.7836611295481671E-4</v>
      </c>
    </row>
    <row r="532" spans="1:20" x14ac:dyDescent="0.25">
      <c r="A532" s="5">
        <v>44061</v>
      </c>
      <c r="B532">
        <v>10.042999999999999</v>
      </c>
      <c r="C532">
        <v>10.193</v>
      </c>
      <c r="D532">
        <v>8.673</v>
      </c>
      <c r="E532">
        <v>9.5180000000000007</v>
      </c>
      <c r="F532">
        <v>36061.334999999999</v>
      </c>
      <c r="G532">
        <v>0</v>
      </c>
      <c r="L532" t="s">
        <v>7</v>
      </c>
      <c r="M532" t="s">
        <v>7</v>
      </c>
      <c r="N532" t="s">
        <v>8</v>
      </c>
      <c r="P532">
        <f t="shared" si="984"/>
        <v>0.11184210526315905</v>
      </c>
      <c r="Q532">
        <f t="shared" si="985"/>
        <v>4033.1756250000417</v>
      </c>
      <c r="R532">
        <f t="shared" si="986"/>
        <v>47950.4058025087</v>
      </c>
      <c r="S532">
        <f t="shared" si="987"/>
        <v>0.479504058025087</v>
      </c>
      <c r="T532">
        <f t="shared" si="988"/>
        <v>4.7950405802508702E-4</v>
      </c>
    </row>
    <row r="533" spans="1:20" x14ac:dyDescent="0.25">
      <c r="A533" s="5">
        <v>44060</v>
      </c>
      <c r="B533">
        <v>10.01</v>
      </c>
      <c r="C533">
        <v>10.394</v>
      </c>
      <c r="D533">
        <v>9.8040000000000003</v>
      </c>
      <c r="E533">
        <v>10.036</v>
      </c>
      <c r="F533">
        <v>36604.103000000003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-0.21355932203390043</v>
      </c>
      <c r="Q533">
        <f t="shared" si="985"/>
        <v>-7817.1474203390617</v>
      </c>
      <c r="R533">
        <f t="shared" si="986"/>
        <v>43917.23017750866</v>
      </c>
      <c r="S533">
        <f t="shared" si="987"/>
        <v>0.43917230177508659</v>
      </c>
      <c r="T533">
        <f t="shared" si="988"/>
        <v>4.3917230177508657E-4</v>
      </c>
    </row>
    <row r="534" spans="1:20" x14ac:dyDescent="0.25">
      <c r="A534" s="5">
        <v>44059</v>
      </c>
      <c r="B534">
        <v>10.041</v>
      </c>
      <c r="C534">
        <v>10.1</v>
      </c>
      <c r="D534">
        <v>9.5280000000000005</v>
      </c>
      <c r="E534">
        <v>10.01</v>
      </c>
      <c r="F534">
        <v>51269.517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0.68531468531468531</v>
      </c>
      <c r="Q534">
        <f t="shared" si="985"/>
        <v>35135.752909090908</v>
      </c>
      <c r="R534">
        <f t="shared" si="986"/>
        <v>51734.377597847721</v>
      </c>
      <c r="S534">
        <f t="shared" si="987"/>
        <v>0.51734377597847725</v>
      </c>
      <c r="T534">
        <f t="shared" si="988"/>
        <v>5.173437759784773E-4</v>
      </c>
    </row>
    <row r="535" spans="1:20" x14ac:dyDescent="0.25">
      <c r="A535" s="5">
        <v>44058</v>
      </c>
      <c r="B535">
        <v>10.462</v>
      </c>
      <c r="C535">
        <v>10.56</v>
      </c>
      <c r="D535">
        <v>9.89</v>
      </c>
      <c r="E535">
        <v>10.066000000000001</v>
      </c>
      <c r="F535">
        <v>28622.755000000001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-0.47462686567164125</v>
      </c>
      <c r="Q535">
        <f t="shared" si="985"/>
        <v>-13585.128492537298</v>
      </c>
      <c r="R535">
        <f t="shared" si="986"/>
        <v>16598.624688756812</v>
      </c>
      <c r="S535">
        <f t="shared" si="987"/>
        <v>0.16598624688756813</v>
      </c>
      <c r="T535">
        <f t="shared" si="988"/>
        <v>1.6598624688756813E-4</v>
      </c>
    </row>
    <row r="536" spans="1:20" x14ac:dyDescent="0.25">
      <c r="A536" s="5">
        <v>44057</v>
      </c>
      <c r="B536">
        <v>10.241</v>
      </c>
      <c r="C536">
        <v>10.653</v>
      </c>
      <c r="D536">
        <v>10.1</v>
      </c>
      <c r="E536">
        <v>10.462</v>
      </c>
      <c r="F536">
        <v>24863.358</v>
      </c>
      <c r="G536">
        <v>0</v>
      </c>
      <c r="L536" t="s">
        <v>8</v>
      </c>
      <c r="M536" t="s">
        <v>7</v>
      </c>
      <c r="N536" t="s">
        <v>8</v>
      </c>
      <c r="P536">
        <f t="shared" si="984"/>
        <v>0.30922242314647219</v>
      </c>
      <c r="Q536">
        <f t="shared" si="985"/>
        <v>7688.3078083182245</v>
      </c>
      <c r="R536">
        <f t="shared" si="986"/>
        <v>30183.753181294109</v>
      </c>
      <c r="S536">
        <f t="shared" si="987"/>
        <v>0.3018375318129411</v>
      </c>
      <c r="T536">
        <f t="shared" si="988"/>
        <v>3.0183753181294107E-4</v>
      </c>
    </row>
    <row r="537" spans="1:20" x14ac:dyDescent="0.25">
      <c r="A537" s="5">
        <v>44056</v>
      </c>
      <c r="B537">
        <v>10.535</v>
      </c>
      <c r="C537">
        <v>10.579000000000001</v>
      </c>
      <c r="D537">
        <v>9.7840000000000007</v>
      </c>
      <c r="E537">
        <v>10.281000000000001</v>
      </c>
      <c r="F537">
        <v>33283.129000000001</v>
      </c>
      <c r="G537">
        <v>0</v>
      </c>
      <c r="L537" t="s">
        <v>7</v>
      </c>
      <c r="M537" t="s">
        <v>7</v>
      </c>
      <c r="N537" t="s">
        <v>8</v>
      </c>
      <c r="P537">
        <f t="shared" si="984"/>
        <v>0.25031446540880486</v>
      </c>
      <c r="Q537">
        <f t="shared" si="985"/>
        <v>8331.2486427672902</v>
      </c>
      <c r="R537">
        <f t="shared" si="986"/>
        <v>22495.445372975882</v>
      </c>
      <c r="S537">
        <f t="shared" si="987"/>
        <v>0.22495445372975884</v>
      </c>
      <c r="T537">
        <f t="shared" si="988"/>
        <v>2.2495445372975884E-4</v>
      </c>
    </row>
    <row r="538" spans="1:20" x14ac:dyDescent="0.25">
      <c r="A538" s="5">
        <v>44055</v>
      </c>
      <c r="B538">
        <v>10.55</v>
      </c>
      <c r="C538">
        <v>11.269</v>
      </c>
      <c r="D538">
        <v>10.09</v>
      </c>
      <c r="E538">
        <v>10.491</v>
      </c>
      <c r="F538">
        <v>52019.858</v>
      </c>
      <c r="G538">
        <v>0</v>
      </c>
      <c r="L538" t="s">
        <v>8</v>
      </c>
      <c r="M538" t="s">
        <v>7</v>
      </c>
      <c r="N538" t="s">
        <v>8</v>
      </c>
      <c r="P538">
        <f t="shared" si="984"/>
        <v>-0.31976251060220573</v>
      </c>
      <c r="Q538">
        <f t="shared" si="985"/>
        <v>-16634.000395250237</v>
      </c>
      <c r="R538">
        <f t="shared" si="986"/>
        <v>14164.196730208594</v>
      </c>
      <c r="S538">
        <f t="shared" si="987"/>
        <v>0.14164196730208595</v>
      </c>
      <c r="T538">
        <f t="shared" si="988"/>
        <v>1.4164196730208595E-4</v>
      </c>
    </row>
    <row r="539" spans="1:20" x14ac:dyDescent="0.25">
      <c r="A539" s="5">
        <v>44054</v>
      </c>
      <c r="B539">
        <v>10.351000000000001</v>
      </c>
      <c r="C539">
        <v>11.23</v>
      </c>
      <c r="D539">
        <v>9.85</v>
      </c>
      <c r="E539">
        <v>10.55</v>
      </c>
      <c r="F539">
        <v>64537.616000000002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1.4492753623189376E-2</v>
      </c>
      <c r="Q539">
        <f t="shared" si="985"/>
        <v>935.32776811600468</v>
      </c>
      <c r="R539">
        <f t="shared" si="986"/>
        <v>30798.197125458832</v>
      </c>
      <c r="S539">
        <f t="shared" si="987"/>
        <v>0.30798197125458832</v>
      </c>
      <c r="T539">
        <f t="shared" si="988"/>
        <v>3.0798197125458829E-4</v>
      </c>
    </row>
    <row r="540" spans="1:20" x14ac:dyDescent="0.25">
      <c r="A540" s="5">
        <v>44053</v>
      </c>
      <c r="B540">
        <v>10.497999999999999</v>
      </c>
      <c r="C540">
        <v>10.9</v>
      </c>
      <c r="D540">
        <v>10.000999999999999</v>
      </c>
      <c r="E540">
        <v>10.351000000000001</v>
      </c>
      <c r="F540">
        <v>60981.724000000002</v>
      </c>
      <c r="G540">
        <v>0</v>
      </c>
      <c r="L540" t="s">
        <v>7</v>
      </c>
      <c r="M540" t="s">
        <v>8</v>
      </c>
      <c r="N540" t="s">
        <v>8</v>
      </c>
      <c r="P540">
        <f t="shared" si="984"/>
        <v>-0.22135706340377961</v>
      </c>
      <c r="Q540">
        <f t="shared" si="985"/>
        <v>-13498.735345939789</v>
      </c>
      <c r="R540">
        <f t="shared" si="986"/>
        <v>29862.869357342828</v>
      </c>
      <c r="S540">
        <f t="shared" si="987"/>
        <v>0.29862869357342831</v>
      </c>
      <c r="T540">
        <f t="shared" si="988"/>
        <v>2.9862869357342829E-4</v>
      </c>
    </row>
    <row r="541" spans="1:20" x14ac:dyDescent="0.25">
      <c r="A541" s="5">
        <v>44052</v>
      </c>
      <c r="B541">
        <v>10.923999999999999</v>
      </c>
      <c r="C541">
        <v>11.304</v>
      </c>
      <c r="D541">
        <v>10.199999999999999</v>
      </c>
      <c r="E541">
        <v>10.497999999999999</v>
      </c>
      <c r="F541">
        <v>44296.264000000003</v>
      </c>
      <c r="G541">
        <v>0</v>
      </c>
      <c r="L541" t="s">
        <v>7</v>
      </c>
      <c r="M541" t="s">
        <v>8</v>
      </c>
      <c r="N541" t="s">
        <v>8</v>
      </c>
      <c r="P541">
        <f t="shared" si="984"/>
        <v>-0.46014492753623226</v>
      </c>
      <c r="Q541">
        <f t="shared" si="985"/>
        <v>-20382.701188405816</v>
      </c>
      <c r="R541">
        <f t="shared" si="986"/>
        <v>43361.604703282617</v>
      </c>
      <c r="S541">
        <f t="shared" si="987"/>
        <v>0.43361604703282619</v>
      </c>
      <c r="T541">
        <f t="shared" si="988"/>
        <v>4.336160470328262E-4</v>
      </c>
    </row>
    <row r="542" spans="1:20" x14ac:dyDescent="0.25">
      <c r="A542" s="5">
        <v>44051</v>
      </c>
      <c r="B542">
        <v>9.8729999999999993</v>
      </c>
      <c r="C542">
        <v>11.489000000000001</v>
      </c>
      <c r="D542">
        <v>9.8650000000000002</v>
      </c>
      <c r="E542">
        <v>10.9</v>
      </c>
      <c r="F542">
        <v>70549.56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0.27463054187192093</v>
      </c>
      <c r="Q542">
        <f t="shared" si="985"/>
        <v>19375.063891625596</v>
      </c>
      <c r="R542">
        <f t="shared" si="986"/>
        <v>63744.305891688433</v>
      </c>
      <c r="S542">
        <f t="shared" si="987"/>
        <v>0.63744305891688435</v>
      </c>
      <c r="T542">
        <f t="shared" si="988"/>
        <v>6.374430589168843E-4</v>
      </c>
    </row>
    <row r="543" spans="1:20" x14ac:dyDescent="0.25">
      <c r="A543" s="5">
        <v>44050</v>
      </c>
      <c r="B543">
        <v>9.4870000000000001</v>
      </c>
      <c r="C543">
        <v>10.16</v>
      </c>
      <c r="D543">
        <v>9.4149999999999991</v>
      </c>
      <c r="E543">
        <v>9.8729999999999993</v>
      </c>
      <c r="F543">
        <v>45760.629000000001</v>
      </c>
      <c r="G543">
        <v>0</v>
      </c>
      <c r="L543" t="s">
        <v>8</v>
      </c>
      <c r="M543" t="s">
        <v>8</v>
      </c>
      <c r="N543" t="s">
        <v>8</v>
      </c>
      <c r="P543">
        <f t="shared" si="984"/>
        <v>0.22953020134228072</v>
      </c>
      <c r="Q543">
        <f t="shared" si="985"/>
        <v>10503.44638791941</v>
      </c>
      <c r="R543">
        <f t="shared" si="986"/>
        <v>44369.242000062841</v>
      </c>
      <c r="S543">
        <f t="shared" si="987"/>
        <v>0.44369242000062842</v>
      </c>
      <c r="T543">
        <f t="shared" si="988"/>
        <v>4.4369242000062844E-4</v>
      </c>
    </row>
    <row r="544" spans="1:20" x14ac:dyDescent="0.25">
      <c r="A544" s="5">
        <v>44049</v>
      </c>
      <c r="B544">
        <v>9.2889999999999997</v>
      </c>
      <c r="C544">
        <v>9.75</v>
      </c>
      <c r="D544">
        <v>9.1080000000000005</v>
      </c>
      <c r="E544">
        <v>9.5519999999999996</v>
      </c>
      <c r="F544">
        <v>28133.371999999999</v>
      </c>
      <c r="G544">
        <v>0</v>
      </c>
      <c r="L544" t="s">
        <v>8</v>
      </c>
      <c r="M544" t="s">
        <v>8</v>
      </c>
      <c r="N544" t="s">
        <v>8</v>
      </c>
      <c r="P544">
        <f t="shared" si="984"/>
        <v>0.38317757009345621</v>
      </c>
      <c r="Q544">
        <f t="shared" si="985"/>
        <v>10780.077121495278</v>
      </c>
      <c r="R544">
        <f t="shared" si="986"/>
        <v>33865.795612143433</v>
      </c>
      <c r="S544">
        <f t="shared" si="987"/>
        <v>0.33865795612143434</v>
      </c>
      <c r="T544">
        <f t="shared" si="988"/>
        <v>3.3865795612143432E-4</v>
      </c>
    </row>
    <row r="545" spans="1:20" x14ac:dyDescent="0.25">
      <c r="A545" s="5">
        <v>44048</v>
      </c>
      <c r="B545">
        <v>8.9860000000000007</v>
      </c>
      <c r="C545">
        <v>9.34</v>
      </c>
      <c r="D545">
        <v>8.8789999999999996</v>
      </c>
      <c r="E545">
        <v>9.2889999999999997</v>
      </c>
      <c r="F545">
        <v>19692.996999999999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0.77874186550976088</v>
      </c>
      <c r="Q545">
        <f t="shared" si="985"/>
        <v>15335.761221258124</v>
      </c>
      <c r="R545">
        <f t="shared" si="986"/>
        <v>23085.718490648153</v>
      </c>
      <c r="S545">
        <f t="shared" si="987"/>
        <v>0.23085718490648152</v>
      </c>
      <c r="T545">
        <f t="shared" si="988"/>
        <v>2.3085718490648151E-4</v>
      </c>
    </row>
    <row r="546" spans="1:20" x14ac:dyDescent="0.25">
      <c r="A546" s="5">
        <v>44047</v>
      </c>
      <c r="B546">
        <v>8.9290000000000003</v>
      </c>
      <c r="C546">
        <v>9.1999999999999993</v>
      </c>
      <c r="D546">
        <v>8.6780000000000008</v>
      </c>
      <c r="E546">
        <v>9.016</v>
      </c>
      <c r="F546">
        <v>18833.932000000001</v>
      </c>
      <c r="G546">
        <v>0</v>
      </c>
      <c r="L546" t="s">
        <v>8</v>
      </c>
      <c r="M546" t="s">
        <v>7</v>
      </c>
      <c r="N546" t="s">
        <v>8</v>
      </c>
      <c r="P546">
        <f t="shared" si="984"/>
        <v>0.29501915708812332</v>
      </c>
      <c r="Q546">
        <f t="shared" si="985"/>
        <v>5556.3707432950332</v>
      </c>
      <c r="R546">
        <f t="shared" si="986"/>
        <v>7749.9572693900291</v>
      </c>
      <c r="S546">
        <f t="shared" si="987"/>
        <v>7.7499572693900287E-2</v>
      </c>
      <c r="T546">
        <f t="shared" si="988"/>
        <v>7.7499572693900289E-5</v>
      </c>
    </row>
    <row r="547" spans="1:20" x14ac:dyDescent="0.25">
      <c r="A547" s="5">
        <v>44046</v>
      </c>
      <c r="B547">
        <v>8.5109999999999992</v>
      </c>
      <c r="C547">
        <v>9.0779999999999994</v>
      </c>
      <c r="D547">
        <v>8.3000000000000007</v>
      </c>
      <c r="E547">
        <v>8.9139999999999997</v>
      </c>
      <c r="F547">
        <v>23788.253000000001</v>
      </c>
      <c r="G547">
        <v>0</v>
      </c>
      <c r="L547" t="s">
        <v>8</v>
      </c>
      <c r="M547" t="s">
        <v>7</v>
      </c>
      <c r="N547" t="s">
        <v>8</v>
      </c>
      <c r="P547">
        <f t="shared" si="984"/>
        <v>0.57840616966580982</v>
      </c>
      <c r="Q547">
        <f t="shared" si="985"/>
        <v>13759.27230077121</v>
      </c>
      <c r="R547">
        <f t="shared" si="986"/>
        <v>2193.5865260949959</v>
      </c>
      <c r="S547">
        <f t="shared" si="987"/>
        <v>2.1935865260949958E-2</v>
      </c>
      <c r="T547">
        <f t="shared" si="988"/>
        <v>2.1935865260949959E-5</v>
      </c>
    </row>
    <row r="548" spans="1:20" x14ac:dyDescent="0.25">
      <c r="A548" s="5">
        <v>44045</v>
      </c>
      <c r="B548">
        <v>8.8719999999999999</v>
      </c>
      <c r="C548">
        <v>9.3539999999999992</v>
      </c>
      <c r="D548">
        <v>8.0470000000000006</v>
      </c>
      <c r="E548">
        <v>8.5109999999999992</v>
      </c>
      <c r="F548">
        <v>45501.743000000002</v>
      </c>
      <c r="G548">
        <v>0</v>
      </c>
      <c r="L548" t="s">
        <v>7</v>
      </c>
      <c r="M548" t="s">
        <v>7</v>
      </c>
      <c r="N548" t="s">
        <v>8</v>
      </c>
      <c r="P548">
        <f t="shared" si="984"/>
        <v>-0.28997704667176871</v>
      </c>
      <c r="Q548">
        <f t="shared" si="985"/>
        <v>-13194.461053557827</v>
      </c>
      <c r="R548">
        <f t="shared" si="986"/>
        <v>-11565.685774676214</v>
      </c>
      <c r="S548">
        <f t="shared" si="987"/>
        <v>-0.11565685774676214</v>
      </c>
      <c r="T548">
        <f t="shared" si="988"/>
        <v>-1.1565685774676215E-4</v>
      </c>
    </row>
    <row r="549" spans="1:20" x14ac:dyDescent="0.25">
      <c r="A549" s="5">
        <v>44044</v>
      </c>
      <c r="B549">
        <v>8.1069999999999993</v>
      </c>
      <c r="C549">
        <v>9.4</v>
      </c>
      <c r="D549">
        <v>8.0030000000000001</v>
      </c>
      <c r="E549">
        <v>8.9030000000000005</v>
      </c>
      <c r="F549">
        <v>55745.201000000001</v>
      </c>
      <c r="G549">
        <v>0</v>
      </c>
      <c r="L549" t="s">
        <v>8</v>
      </c>
      <c r="M549" t="s">
        <v>7</v>
      </c>
      <c r="N549" t="s">
        <v>8</v>
      </c>
      <c r="P549">
        <f t="shared" si="984"/>
        <v>0.288475304223336</v>
      </c>
      <c r="Q549">
        <f t="shared" si="985"/>
        <v>16081.113817466015</v>
      </c>
      <c r="R549">
        <f t="shared" si="986"/>
        <v>1628.7752788816124</v>
      </c>
      <c r="S549">
        <f t="shared" si="987"/>
        <v>1.6287752788816123E-2</v>
      </c>
      <c r="T549">
        <f t="shared" si="988"/>
        <v>1.6287752788816124E-5</v>
      </c>
    </row>
    <row r="550" spans="1:20" x14ac:dyDescent="0.25">
      <c r="A550" s="5">
        <v>44043</v>
      </c>
      <c r="B550">
        <v>8.1980000000000004</v>
      </c>
      <c r="C550">
        <v>8.3360000000000003</v>
      </c>
      <c r="D550">
        <v>7.891</v>
      </c>
      <c r="E550">
        <v>8.0990000000000002</v>
      </c>
      <c r="F550">
        <v>17347.695</v>
      </c>
      <c r="G550">
        <v>0</v>
      </c>
      <c r="L550" t="s">
        <v>7</v>
      </c>
      <c r="M550" t="s">
        <v>7</v>
      </c>
      <c r="N550" t="s">
        <v>8</v>
      </c>
      <c r="P550">
        <f t="shared" si="984"/>
        <v>-6.5168539325842462E-2</v>
      </c>
      <c r="Q550">
        <f t="shared" si="985"/>
        <v>-1130.5239438202207</v>
      </c>
      <c r="R550">
        <f t="shared" si="986"/>
        <v>-14452.338538584403</v>
      </c>
      <c r="S550">
        <f t="shared" si="987"/>
        <v>-0.14452338538584403</v>
      </c>
      <c r="T550">
        <f t="shared" si="988"/>
        <v>-1.4452338538584403E-4</v>
      </c>
    </row>
    <row r="551" spans="1:20" x14ac:dyDescent="0.25">
      <c r="A551" s="5">
        <v>44042</v>
      </c>
      <c r="B551">
        <v>8.0879999999999992</v>
      </c>
      <c r="C551">
        <v>8.3640000000000008</v>
      </c>
      <c r="D551">
        <v>8.06</v>
      </c>
      <c r="E551">
        <v>8.1940000000000008</v>
      </c>
      <c r="F551">
        <v>14657.599</v>
      </c>
      <c r="G551">
        <v>0</v>
      </c>
      <c r="L551" t="s">
        <v>7</v>
      </c>
      <c r="M551" t="s">
        <v>7</v>
      </c>
      <c r="N551" t="s">
        <v>8</v>
      </c>
      <c r="P551">
        <f t="shared" si="984"/>
        <v>-0.11842105263157748</v>
      </c>
      <c r="Q551">
        <f t="shared" si="985"/>
        <v>-1735.7683026315576</v>
      </c>
      <c r="R551">
        <f t="shared" si="986"/>
        <v>-13321.814594764182</v>
      </c>
      <c r="S551">
        <f t="shared" si="987"/>
        <v>-0.13321814594764184</v>
      </c>
      <c r="T551">
        <f t="shared" si="988"/>
        <v>-1.3321814594764183E-4</v>
      </c>
    </row>
    <row r="552" spans="1:20" x14ac:dyDescent="0.25">
      <c r="A552" s="5">
        <v>44041</v>
      </c>
      <c r="B552">
        <v>8.3740000000000006</v>
      </c>
      <c r="C552">
        <v>8.5250000000000004</v>
      </c>
      <c r="D552">
        <v>8.06</v>
      </c>
      <c r="E552">
        <v>8.1280000000000001</v>
      </c>
      <c r="F552">
        <v>21435.651000000002</v>
      </c>
      <c r="G552">
        <v>0</v>
      </c>
      <c r="L552" t="s">
        <v>7</v>
      </c>
      <c r="M552" t="s">
        <v>7</v>
      </c>
      <c r="N552" t="s">
        <v>8</v>
      </c>
      <c r="P552">
        <f t="shared" si="984"/>
        <v>-0.70752688172043166</v>
      </c>
      <c r="Q552">
        <f t="shared" si="985"/>
        <v>-15166.299309677453</v>
      </c>
      <c r="R552">
        <f t="shared" si="986"/>
        <v>-11586.046292132625</v>
      </c>
      <c r="S552">
        <f t="shared" si="987"/>
        <v>-0.11586046292132625</v>
      </c>
      <c r="T552">
        <f t="shared" si="988"/>
        <v>-1.1586046292132625E-4</v>
      </c>
    </row>
    <row r="553" spans="1:20" x14ac:dyDescent="0.25">
      <c r="A553" s="5">
        <v>44040</v>
      </c>
      <c r="B553">
        <v>8.7319999999999993</v>
      </c>
      <c r="C553">
        <v>8.8040000000000003</v>
      </c>
      <c r="D553">
        <v>8.06</v>
      </c>
      <c r="E553">
        <v>8.3740000000000006</v>
      </c>
      <c r="F553">
        <v>35064.027000000002</v>
      </c>
      <c r="G553">
        <v>0</v>
      </c>
      <c r="L553" t="s">
        <v>7</v>
      </c>
      <c r="M553" t="s">
        <v>7</v>
      </c>
      <c r="N553" t="s">
        <v>8</v>
      </c>
      <c r="P553">
        <f t="shared" si="984"/>
        <v>-0.15591397849462324</v>
      </c>
      <c r="Q553">
        <f t="shared" si="985"/>
        <v>-5466.9719516128889</v>
      </c>
      <c r="R553">
        <f t="shared" si="986"/>
        <v>3580.2530175448292</v>
      </c>
      <c r="S553">
        <f t="shared" si="987"/>
        <v>3.5802530175448294E-2</v>
      </c>
      <c r="T553">
        <f t="shared" si="988"/>
        <v>3.5802530175448296E-5</v>
      </c>
    </row>
    <row r="554" spans="1:20" x14ac:dyDescent="0.25">
      <c r="A554" s="5">
        <v>44039</v>
      </c>
      <c r="B554">
        <v>9.3320000000000007</v>
      </c>
      <c r="C554">
        <v>9.4830000000000005</v>
      </c>
      <c r="D554">
        <v>8.1999999999999993</v>
      </c>
      <c r="E554">
        <v>8.7240000000000002</v>
      </c>
      <c r="F554">
        <v>50484.173000000003</v>
      </c>
      <c r="G554">
        <v>0</v>
      </c>
      <c r="L554" t="s">
        <v>7</v>
      </c>
      <c r="M554" t="s">
        <v>8</v>
      </c>
      <c r="N554" t="s">
        <v>8</v>
      </c>
      <c r="P554">
        <f t="shared" si="984"/>
        <v>-0.18316445830085673</v>
      </c>
      <c r="Q554">
        <f t="shared" si="985"/>
        <v>-9246.9062003117378</v>
      </c>
      <c r="R554">
        <f t="shared" si="986"/>
        <v>9047.2249691577181</v>
      </c>
      <c r="S554">
        <f t="shared" si="987"/>
        <v>9.0472249691577175E-2</v>
      </c>
      <c r="T554">
        <f t="shared" si="988"/>
        <v>9.0472249691577172E-5</v>
      </c>
    </row>
    <row r="555" spans="1:20" x14ac:dyDescent="0.25">
      <c r="A555" s="5">
        <v>44038</v>
      </c>
      <c r="B555">
        <v>9.0950000000000006</v>
      </c>
      <c r="C555">
        <v>9.3989999999999991</v>
      </c>
      <c r="D555">
        <v>8.7330000000000005</v>
      </c>
      <c r="E555">
        <v>9.3870000000000005</v>
      </c>
      <c r="F555">
        <v>35115.059000000001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0.96396396396396788</v>
      </c>
      <c r="Q555">
        <f t="shared" si="985"/>
        <v>33849.651468468604</v>
      </c>
      <c r="R555">
        <f t="shared" si="986"/>
        <v>18294.131169469456</v>
      </c>
      <c r="S555">
        <f t="shared" si="987"/>
        <v>0.18294131169469455</v>
      </c>
      <c r="T555">
        <f t="shared" si="988"/>
        <v>1.8294131169469455E-4</v>
      </c>
    </row>
    <row r="556" spans="1:20" x14ac:dyDescent="0.25">
      <c r="A556" s="5">
        <v>44037</v>
      </c>
      <c r="B556">
        <v>9.4589999999999996</v>
      </c>
      <c r="C556">
        <v>9.5109999999999992</v>
      </c>
      <c r="D556">
        <v>8.9960000000000004</v>
      </c>
      <c r="E556">
        <v>9.0950000000000006</v>
      </c>
      <c r="F556">
        <v>26856.707999999999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-0.61553398058252262</v>
      </c>
      <c r="Q556">
        <f t="shared" si="985"/>
        <v>-16531.216380582478</v>
      </c>
      <c r="R556">
        <f t="shared" si="986"/>
        <v>-15555.520298999149</v>
      </c>
      <c r="S556">
        <f t="shared" si="987"/>
        <v>-0.15555520298999148</v>
      </c>
      <c r="T556">
        <f t="shared" si="988"/>
        <v>-1.5555520298999147E-4</v>
      </c>
    </row>
    <row r="557" spans="1:20" x14ac:dyDescent="0.25">
      <c r="A557" s="5">
        <v>44036</v>
      </c>
      <c r="B557">
        <v>8.7260000000000009</v>
      </c>
      <c r="C557">
        <v>9.6639999999999997</v>
      </c>
      <c r="D557">
        <v>8.6389999999999993</v>
      </c>
      <c r="E557">
        <v>9.4589999999999996</v>
      </c>
      <c r="F557">
        <v>38081.302000000003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0.6</v>
      </c>
      <c r="Q557">
        <f t="shared" si="985"/>
        <v>22848.781200000001</v>
      </c>
      <c r="R557">
        <f t="shared" si="986"/>
        <v>975.69608158332994</v>
      </c>
      <c r="S557">
        <f t="shared" si="987"/>
        <v>9.7569608158332988E-3</v>
      </c>
      <c r="T557">
        <f t="shared" si="988"/>
        <v>9.7569608158332989E-6</v>
      </c>
    </row>
    <row r="558" spans="1:20" x14ac:dyDescent="0.25">
      <c r="A558" s="5">
        <v>44035</v>
      </c>
      <c r="B558">
        <v>8.09</v>
      </c>
      <c r="C558">
        <v>9.09</v>
      </c>
      <c r="D558">
        <v>8.09</v>
      </c>
      <c r="E558">
        <v>8.7270000000000003</v>
      </c>
      <c r="F558">
        <v>38414.478999999999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0.27400000000000091</v>
      </c>
      <c r="Q558">
        <f t="shared" si="985"/>
        <v>10525.567246000035</v>
      </c>
      <c r="R558">
        <f t="shared" si="986"/>
        <v>-21873.085118416671</v>
      </c>
      <c r="S558">
        <f t="shared" si="987"/>
        <v>-0.21873085118416671</v>
      </c>
      <c r="T558">
        <f t="shared" si="988"/>
        <v>-2.187308511841667E-4</v>
      </c>
    </row>
    <row r="559" spans="1:20" x14ac:dyDescent="0.25">
      <c r="A559" s="5">
        <v>44034</v>
      </c>
      <c r="B559">
        <v>8.0559999999999992</v>
      </c>
      <c r="C559">
        <v>8.3000000000000007</v>
      </c>
      <c r="D559">
        <v>7.9569999999999999</v>
      </c>
      <c r="E559">
        <v>8.09</v>
      </c>
      <c r="F559">
        <v>10721.433999999999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-0.22448979591836926</v>
      </c>
      <c r="Q559">
        <f t="shared" si="985"/>
        <v>-2406.8525306122651</v>
      </c>
      <c r="R559">
        <f t="shared" si="986"/>
        <v>-32398.652364416706</v>
      </c>
      <c r="S559">
        <f t="shared" si="987"/>
        <v>-0.32398652364416708</v>
      </c>
      <c r="T559">
        <f t="shared" si="988"/>
        <v>-3.239865236441671E-4</v>
      </c>
    </row>
    <row r="560" spans="1:20" x14ac:dyDescent="0.25">
      <c r="A560" s="5">
        <v>44033</v>
      </c>
      <c r="B560">
        <v>8.0690000000000008</v>
      </c>
      <c r="C560">
        <v>8.4499999999999993</v>
      </c>
      <c r="D560">
        <v>7.93</v>
      </c>
      <c r="E560">
        <v>8.0719999999999992</v>
      </c>
      <c r="F560">
        <v>19996.089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-0.45384615384615545</v>
      </c>
      <c r="Q560">
        <f t="shared" si="985"/>
        <v>-9075.1480846154172</v>
      </c>
      <c r="R560">
        <f t="shared" si="986"/>
        <v>-29991.799833804442</v>
      </c>
      <c r="S560">
        <f t="shared" si="987"/>
        <v>-0.29991799833804444</v>
      </c>
      <c r="T560">
        <f t="shared" si="988"/>
        <v>-2.9991799833804447E-4</v>
      </c>
    </row>
    <row r="561" spans="1:104" x14ac:dyDescent="0.25">
      <c r="A561" s="5">
        <v>44032</v>
      </c>
      <c r="B561">
        <v>8.14</v>
      </c>
      <c r="C561">
        <v>8.548</v>
      </c>
      <c r="D561">
        <v>7.9</v>
      </c>
      <c r="E561">
        <v>8.0869999999999997</v>
      </c>
      <c r="F561">
        <v>42137.940999999999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-0.42283950617284111</v>
      </c>
      <c r="Q561">
        <f t="shared" si="985"/>
        <v>-17817.586163580312</v>
      </c>
      <c r="R561">
        <f t="shared" si="986"/>
        <v>-20916.651749189023</v>
      </c>
      <c r="S561">
        <f t="shared" si="987"/>
        <v>-0.20916651749189022</v>
      </c>
      <c r="T561">
        <f t="shared" si="988"/>
        <v>-2.0916651749189021E-4</v>
      </c>
      <c r="CZ561" t="s">
        <v>7</v>
      </c>
    </row>
    <row r="562" spans="1:104" x14ac:dyDescent="0.25">
      <c r="A562" s="5">
        <v>44031</v>
      </c>
      <c r="B562">
        <v>7.48</v>
      </c>
      <c r="C562">
        <v>8.5</v>
      </c>
      <c r="D562">
        <v>7.4770000000000003</v>
      </c>
      <c r="E562">
        <v>8.1389999999999993</v>
      </c>
      <c r="F562">
        <v>75328.538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0.29423264907135727</v>
      </c>
      <c r="Q562">
        <f t="shared" si="985"/>
        <v>22164.115286412401</v>
      </c>
      <c r="R562">
        <f t="shared" si="986"/>
        <v>-3099.0655856087105</v>
      </c>
      <c r="S562">
        <f t="shared" si="987"/>
        <v>-3.0990655856087106E-2</v>
      </c>
      <c r="T562">
        <f t="shared" si="988"/>
        <v>-3.0990655856087104E-5</v>
      </c>
      <c r="CZ562" t="s">
        <v>7</v>
      </c>
    </row>
    <row r="563" spans="1:104" x14ac:dyDescent="0.25">
      <c r="A563" s="5">
        <v>44030</v>
      </c>
      <c r="B563">
        <v>7.4470000000000001</v>
      </c>
      <c r="C563">
        <v>7.5670000000000002</v>
      </c>
      <c r="D563">
        <v>7.2380000000000004</v>
      </c>
      <c r="E563">
        <v>7.492</v>
      </c>
      <c r="F563">
        <v>10597.931</v>
      </c>
      <c r="G563">
        <v>0</v>
      </c>
      <c r="L563" t="s">
        <v>8</v>
      </c>
      <c r="M563" t="s">
        <v>7</v>
      </c>
      <c r="N563" t="s">
        <v>8</v>
      </c>
      <c r="P563">
        <f t="shared" si="984"/>
        <v>0.54407294832826603</v>
      </c>
      <c r="Q563">
        <f t="shared" si="985"/>
        <v>5766.0475653495287</v>
      </c>
      <c r="R563">
        <f t="shared" si="986"/>
        <v>-25263.180872021112</v>
      </c>
      <c r="S563">
        <f t="shared" si="987"/>
        <v>-0.25263180872021113</v>
      </c>
      <c r="T563">
        <f t="shared" si="988"/>
        <v>-2.5263180872021115E-4</v>
      </c>
      <c r="CZ563" t="s">
        <v>7</v>
      </c>
    </row>
    <row r="564" spans="1:104" x14ac:dyDescent="0.25">
      <c r="A564" s="5">
        <v>44029</v>
      </c>
      <c r="B564">
        <v>7.5369999999999999</v>
      </c>
      <c r="C564">
        <v>7.6</v>
      </c>
      <c r="D564">
        <v>7.3410000000000002</v>
      </c>
      <c r="E564">
        <v>7.4749999999999996</v>
      </c>
      <c r="F564">
        <v>9708.7970000000005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3.4749034749032709E-2</v>
      </c>
      <c r="Q564">
        <f t="shared" si="985"/>
        <v>337.37132432430451</v>
      </c>
      <c r="R564">
        <f t="shared" si="986"/>
        <v>-31029.228437370642</v>
      </c>
      <c r="S564">
        <f t="shared" si="987"/>
        <v>-0.31029228437370643</v>
      </c>
      <c r="T564">
        <f t="shared" si="988"/>
        <v>-3.1029228437370643E-4</v>
      </c>
    </row>
    <row r="565" spans="1:104" x14ac:dyDescent="0.25">
      <c r="A565" s="5">
        <v>44028</v>
      </c>
      <c r="B565">
        <v>7.4770000000000003</v>
      </c>
      <c r="C565">
        <v>7.7279999999999998</v>
      </c>
      <c r="D565">
        <v>7</v>
      </c>
      <c r="E565">
        <v>7.5369999999999999</v>
      </c>
      <c r="F565">
        <v>27170.055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0.47527472527472553</v>
      </c>
      <c r="Q565">
        <f t="shared" si="985"/>
        <v>12913.240425824182</v>
      </c>
      <c r="R565">
        <f t="shared" si="986"/>
        <v>-31366.599761694946</v>
      </c>
      <c r="S565">
        <f t="shared" si="987"/>
        <v>-0.31366599761694947</v>
      </c>
      <c r="T565">
        <f t="shared" si="988"/>
        <v>-3.1366599761694947E-4</v>
      </c>
    </row>
    <row r="566" spans="1:104" x14ac:dyDescent="0.25">
      <c r="A566" s="5">
        <v>44027</v>
      </c>
      <c r="B566">
        <v>7.1890000000000001</v>
      </c>
      <c r="C566">
        <v>7.734</v>
      </c>
      <c r="D566">
        <v>7.14</v>
      </c>
      <c r="E566">
        <v>7.4619999999999997</v>
      </c>
      <c r="F566">
        <v>36815.82</v>
      </c>
      <c r="G566">
        <v>0</v>
      </c>
      <c r="L566" t="s">
        <v>8</v>
      </c>
      <c r="M566" t="s">
        <v>7</v>
      </c>
      <c r="N566" t="s">
        <v>8</v>
      </c>
      <c r="P566">
        <f t="shared" si="984"/>
        <v>8.4175084175083834E-2</v>
      </c>
      <c r="Q566">
        <f t="shared" si="985"/>
        <v>3098.9747474747351</v>
      </c>
      <c r="R566">
        <f t="shared" si="986"/>
        <v>-44279.840187519127</v>
      </c>
      <c r="S566">
        <f t="shared" si="987"/>
        <v>-0.44279840187519126</v>
      </c>
      <c r="T566">
        <f t="shared" si="988"/>
        <v>-4.4279840187519127E-4</v>
      </c>
    </row>
    <row r="567" spans="1:104" x14ac:dyDescent="0.25">
      <c r="A567" s="5">
        <v>44026</v>
      </c>
      <c r="B567">
        <v>7.4809999999999999</v>
      </c>
      <c r="C567">
        <v>7.5640000000000001</v>
      </c>
      <c r="D567">
        <v>6.91</v>
      </c>
      <c r="E567">
        <v>7.1890000000000001</v>
      </c>
      <c r="F567">
        <v>20774.87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-0.14678899082568822</v>
      </c>
      <c r="Q567">
        <f t="shared" si="985"/>
        <v>-3049.5222018348654</v>
      </c>
      <c r="R567">
        <f t="shared" si="986"/>
        <v>-47378.814934993861</v>
      </c>
      <c r="S567">
        <f t="shared" si="987"/>
        <v>-0.47378814934993863</v>
      </c>
      <c r="T567">
        <f t="shared" si="988"/>
        <v>-4.7378814934993861E-4</v>
      </c>
    </row>
    <row r="568" spans="1:104" x14ac:dyDescent="0.25">
      <c r="A568" s="5">
        <v>44025</v>
      </c>
      <c r="B568">
        <v>7.23</v>
      </c>
      <c r="C568">
        <v>7.8860000000000001</v>
      </c>
      <c r="D568">
        <v>7.093</v>
      </c>
      <c r="E568">
        <v>7.5049999999999999</v>
      </c>
      <c r="F568">
        <v>43383.425000000003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3.9092055485497719E-2</v>
      </c>
      <c r="Q568">
        <f t="shared" si="985"/>
        <v>1695.9472572509289</v>
      </c>
      <c r="R568">
        <f t="shared" si="986"/>
        <v>-44329.292733158996</v>
      </c>
      <c r="S568">
        <f t="shared" si="987"/>
        <v>-0.44329292733158998</v>
      </c>
      <c r="T568">
        <f t="shared" si="988"/>
        <v>-4.4329292733158996E-4</v>
      </c>
    </row>
    <row r="569" spans="1:104" x14ac:dyDescent="0.25">
      <c r="A569" s="5">
        <v>44024</v>
      </c>
      <c r="B569">
        <v>7.242</v>
      </c>
      <c r="C569">
        <v>7.492</v>
      </c>
      <c r="D569">
        <v>7.1120000000000001</v>
      </c>
      <c r="E569">
        <v>7.2140000000000004</v>
      </c>
      <c r="F569">
        <v>15711.617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-0.46315789473684033</v>
      </c>
      <c r="Q569">
        <f t="shared" si="985"/>
        <v>-7276.9594526315514</v>
      </c>
      <c r="R569">
        <f t="shared" si="986"/>
        <v>-46025.239990409922</v>
      </c>
      <c r="S569">
        <f t="shared" si="987"/>
        <v>-0.46025239990409922</v>
      </c>
      <c r="T569">
        <f t="shared" si="988"/>
        <v>-4.6025239990409923E-4</v>
      </c>
    </row>
    <row r="570" spans="1:104" x14ac:dyDescent="0.25">
      <c r="A570" s="5">
        <v>44023</v>
      </c>
      <c r="B570">
        <v>7.35</v>
      </c>
      <c r="C570">
        <v>8.8000000000000007</v>
      </c>
      <c r="D570">
        <v>7.2110000000000003</v>
      </c>
      <c r="E570">
        <v>7.242</v>
      </c>
      <c r="F570">
        <v>48653.523999999998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-0.96098174952800541</v>
      </c>
      <c r="Q570">
        <f t="shared" si="985"/>
        <v>-46755.148614222795</v>
      </c>
      <c r="R570">
        <f t="shared" si="986"/>
        <v>-38748.280537778373</v>
      </c>
      <c r="S570">
        <f t="shared" si="987"/>
        <v>-0.38748280537778373</v>
      </c>
      <c r="T570">
        <f t="shared" si="988"/>
        <v>-3.8748280537778375E-4</v>
      </c>
    </row>
    <row r="571" spans="1:104" x14ac:dyDescent="0.25">
      <c r="A571" s="5">
        <v>44022</v>
      </c>
      <c r="B571">
        <v>7.4619999999999997</v>
      </c>
      <c r="C571">
        <v>7.89</v>
      </c>
      <c r="D571">
        <v>7.165</v>
      </c>
      <c r="E571">
        <v>7.3550000000000004</v>
      </c>
      <c r="F571">
        <v>48342.74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-0.47586206896551592</v>
      </c>
      <c r="Q571">
        <f t="shared" si="985"/>
        <v>-23004.476275862005</v>
      </c>
      <c r="R571">
        <f t="shared" si="986"/>
        <v>8006.8680764444216</v>
      </c>
      <c r="S571">
        <f t="shared" si="987"/>
        <v>8.0068680764444219E-2</v>
      </c>
      <c r="T571">
        <f t="shared" si="988"/>
        <v>8.0068680764444226E-5</v>
      </c>
    </row>
    <row r="572" spans="1:104" x14ac:dyDescent="0.25">
      <c r="A572" s="5">
        <v>44021</v>
      </c>
      <c r="B572">
        <v>6.931</v>
      </c>
      <c r="C572">
        <v>7.734</v>
      </c>
      <c r="D572">
        <v>6.8230000000000004</v>
      </c>
      <c r="E572">
        <v>7.4619999999999997</v>
      </c>
      <c r="F572">
        <v>52143.040000000001</v>
      </c>
      <c r="G572">
        <v>0</v>
      </c>
      <c r="L572" t="s">
        <v>8</v>
      </c>
      <c r="M572" t="s">
        <v>7</v>
      </c>
      <c r="N572" t="s">
        <v>8</v>
      </c>
      <c r="P572">
        <f t="shared" si="984"/>
        <v>0.40285400658616827</v>
      </c>
      <c r="Q572">
        <f t="shared" si="985"/>
        <v>21006.032579582836</v>
      </c>
      <c r="R572">
        <f t="shared" si="986"/>
        <v>31011.344352306427</v>
      </c>
      <c r="S572">
        <f t="shared" si="987"/>
        <v>0.31011344352306425</v>
      </c>
      <c r="T572">
        <f t="shared" si="988"/>
        <v>3.1011344352306424E-4</v>
      </c>
    </row>
    <row r="573" spans="1:104" x14ac:dyDescent="0.25">
      <c r="A573" s="5">
        <v>44020</v>
      </c>
      <c r="B573">
        <v>6.84</v>
      </c>
      <c r="C573">
        <v>6.98</v>
      </c>
      <c r="D573">
        <v>6.5</v>
      </c>
      <c r="E573">
        <v>6.931</v>
      </c>
      <c r="F573">
        <v>28936.534</v>
      </c>
      <c r="G573">
        <v>0</v>
      </c>
      <c r="L573" t="s">
        <v>7</v>
      </c>
      <c r="M573" t="s">
        <v>7</v>
      </c>
      <c r="N573" t="s">
        <v>8</v>
      </c>
      <c r="P573">
        <f t="shared" si="984"/>
        <v>0.79583333333333195</v>
      </c>
      <c r="Q573">
        <f t="shared" si="985"/>
        <v>23028.658308333292</v>
      </c>
      <c r="R573">
        <f t="shared" si="986"/>
        <v>10005.311772723593</v>
      </c>
      <c r="S573">
        <f t="shared" si="987"/>
        <v>0.10005311772723594</v>
      </c>
      <c r="T573">
        <f t="shared" si="988"/>
        <v>1.0005311772723593E-4</v>
      </c>
    </row>
    <row r="574" spans="1:104" x14ac:dyDescent="0.25">
      <c r="A574" s="5">
        <v>44019</v>
      </c>
      <c r="B574">
        <v>7.0579999999999998</v>
      </c>
      <c r="C574">
        <v>8.9</v>
      </c>
      <c r="D574">
        <v>6.8</v>
      </c>
      <c r="E574">
        <v>6.84</v>
      </c>
      <c r="F574">
        <v>25134.47</v>
      </c>
      <c r="G574">
        <v>0</v>
      </c>
      <c r="L574" t="s">
        <v>8</v>
      </c>
      <c r="M574" t="s">
        <v>8</v>
      </c>
      <c r="N574" t="s">
        <v>8</v>
      </c>
      <c r="P574">
        <f t="shared" si="984"/>
        <v>-0.96190476190476193</v>
      </c>
      <c r="Q574">
        <f t="shared" si="985"/>
        <v>-24176.966380952384</v>
      </c>
      <c r="R574">
        <f t="shared" si="986"/>
        <v>-13023.346535609699</v>
      </c>
      <c r="S574">
        <f t="shared" si="987"/>
        <v>-0.13023346535609698</v>
      </c>
      <c r="T574">
        <f t="shared" si="988"/>
        <v>-1.3023346535609697E-4</v>
      </c>
    </row>
    <row r="575" spans="1:104" x14ac:dyDescent="0.25">
      <c r="A575" s="5">
        <v>44018</v>
      </c>
      <c r="B575">
        <v>6.5250000000000004</v>
      </c>
      <c r="C575">
        <v>7.0940000000000003</v>
      </c>
      <c r="D575">
        <v>6.5250000000000004</v>
      </c>
      <c r="E575">
        <v>7.0579999999999998</v>
      </c>
      <c r="F575">
        <v>12769.436</v>
      </c>
      <c r="G575">
        <v>0</v>
      </c>
      <c r="P575">
        <f t="shared" si="984"/>
        <v>0.87346221441124616</v>
      </c>
      <c r="Q575">
        <f t="shared" si="985"/>
        <v>11153.619845342686</v>
      </c>
      <c r="R575">
        <f t="shared" si="986"/>
        <v>11153.619845342686</v>
      </c>
      <c r="S575">
        <f t="shared" si="987"/>
        <v>0.11153619845342685</v>
      </c>
      <c r="T575">
        <f t="shared" si="988"/>
        <v>1.1153619845342685E-4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V406" sqref="JV406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$A$405</v>
      </c>
      <c r="D111" s="1" t="str">
        <f>ADDRESS(C121-1,D121,1,1)</f>
        <v>$JV$405</v>
      </c>
      <c r="E111"/>
    </row>
    <row r="112" spans="1:5" x14ac:dyDescent="0.25">
      <c r="A112" s="7">
        <v>12164.144957890772</v>
      </c>
      <c r="C112" s="1" t="str">
        <f>ADDRESS(C121,1,1,1)</f>
        <v>$A$406</v>
      </c>
      <c r="D112" s="1" t="str">
        <f>ADDRESS(C121,D121-1,1,1)</f>
        <v>$JU$406</v>
      </c>
      <c r="E112"/>
    </row>
    <row r="113" spans="1:5" x14ac:dyDescent="0.25">
      <c r="A113" s="7">
        <v>11925.63231165762</v>
      </c>
      <c r="C113" s="1" t="str">
        <f>ADDRESS(C121+1,1,1,1)</f>
        <v>$A$407</v>
      </c>
      <c r="D113" s="1" t="str">
        <f>ADDRESS(C121-1,D121+1,1,1)</f>
        <v>$JW$405</v>
      </c>
    </row>
    <row r="114" spans="1:5" x14ac:dyDescent="0.25">
      <c r="A114" s="7">
        <v>11691.796383978059</v>
      </c>
      <c r="C114" s="1" t="str">
        <f>ADDRESS(C121,D121,1,1)</f>
        <v>$JV$406</v>
      </c>
      <c r="D114" s="1" t="str">
        <f>ADDRESS(C121+1,D121+1,1,1)</f>
        <v>$JW$407</v>
      </c>
    </row>
    <row r="115" spans="1:5" x14ac:dyDescent="0.25">
      <c r="A115" s="7">
        <v>11462.545474488292</v>
      </c>
      <c r="C115" s="1" t="str">
        <f>ADDRESS(C121+1,D121,1,1)</f>
        <v>$JV$407</v>
      </c>
    </row>
    <row r="116" spans="1:5" x14ac:dyDescent="0.25">
      <c r="A116" s="7">
        <v>11237.789680870874</v>
      </c>
      <c r="C116" s="1">
        <f>C117-1</f>
        <v>405</v>
      </c>
    </row>
    <row r="117" spans="1:5" x14ac:dyDescent="0.25">
      <c r="A117" s="7">
        <v>11017.440863598895</v>
      </c>
      <c r="C117" s="1">
        <f>C121</f>
        <v>406</v>
      </c>
      <c r="D117" s="1">
        <f>D121</f>
        <v>282</v>
      </c>
    </row>
    <row r="118" spans="1:5" x14ac:dyDescent="0.25">
      <c r="A118" s="7">
        <v>10801.412611371465</v>
      </c>
      <c r="C118" s="1">
        <f>C117+1</f>
        <v>407</v>
      </c>
      <c r="D118" s="1">
        <f>D117+1</f>
        <v>283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406</v>
      </c>
      <c r="D121" s="19">
        <v>282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R406</v>
      </c>
      <c r="D123" s="1" t="str">
        <f>"C"&amp;D121</f>
        <v>C282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36.027247984129012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158" x14ac:dyDescent="0.25">
      <c r="A321" s="7">
        <v>193.93030865451311</v>
      </c>
      <c r="B321"/>
      <c r="C321"/>
      <c r="D321"/>
      <c r="E321"/>
    </row>
    <row r="322" spans="1:158" x14ac:dyDescent="0.25">
      <c r="A322" s="7">
        <v>190.127753582856</v>
      </c>
      <c r="B322"/>
      <c r="C322"/>
      <c r="D322"/>
      <c r="E322"/>
    </row>
    <row r="323" spans="1:158" x14ac:dyDescent="0.25">
      <c r="A323" s="7">
        <v>186.3997584145647</v>
      </c>
      <c r="B323"/>
      <c r="C323"/>
      <c r="D323"/>
      <c r="E323"/>
    </row>
    <row r="324" spans="1:158" x14ac:dyDescent="0.25">
      <c r="A324" s="7">
        <v>182.7448611907497</v>
      </c>
      <c r="B324"/>
      <c r="C324"/>
      <c r="D324"/>
      <c r="E324"/>
    </row>
    <row r="325" spans="1:158" x14ac:dyDescent="0.25">
      <c r="A325" s="7">
        <v>179.16162861838205</v>
      </c>
      <c r="B325"/>
      <c r="C325"/>
      <c r="D325"/>
      <c r="E325"/>
    </row>
    <row r="326" spans="1:158" x14ac:dyDescent="0.25">
      <c r="A326" s="7">
        <v>175.6486555082177</v>
      </c>
      <c r="B326"/>
      <c r="C326"/>
      <c r="D326"/>
      <c r="E326"/>
    </row>
    <row r="327" spans="1:158" x14ac:dyDescent="0.25">
      <c r="A327" s="7">
        <v>172.20456422374284</v>
      </c>
      <c r="B327"/>
      <c r="C327"/>
      <c r="D327"/>
      <c r="E327"/>
    </row>
    <row r="328" spans="1:158" x14ac:dyDescent="0.25">
      <c r="A328" s="7">
        <v>168.82800414092435</v>
      </c>
      <c r="B328"/>
      <c r="C328"/>
      <c r="D328"/>
      <c r="E328"/>
      <c r="EW328" s="27" t="s">
        <v>8</v>
      </c>
    </row>
    <row r="329" spans="1:158" x14ac:dyDescent="0.25">
      <c r="A329" s="7">
        <v>165.51765111855329</v>
      </c>
      <c r="B329"/>
      <c r="C329"/>
      <c r="D329"/>
      <c r="E329"/>
      <c r="EW329" s="27" t="s">
        <v>8</v>
      </c>
      <c r="EX329" s="27" t="s">
        <v>7</v>
      </c>
    </row>
    <row r="330" spans="1:158" x14ac:dyDescent="0.25">
      <c r="A330" s="7">
        <v>162.2722069789738</v>
      </c>
      <c r="B330"/>
      <c r="C330"/>
      <c r="D330"/>
      <c r="E330"/>
      <c r="EW330" s="27" t="s">
        <v>8</v>
      </c>
      <c r="EX330" s="27" t="s">
        <v>7</v>
      </c>
    </row>
    <row r="331" spans="1:158" x14ac:dyDescent="0.25">
      <c r="A331" s="7">
        <v>159.09039899899392</v>
      </c>
      <c r="B331"/>
      <c r="C331"/>
      <c r="D331"/>
      <c r="E331"/>
      <c r="EW331" s="27" t="s">
        <v>8</v>
      </c>
      <c r="EX331" s="27" t="s">
        <v>7</v>
      </c>
    </row>
    <row r="332" spans="1:158" x14ac:dyDescent="0.25">
      <c r="A332" s="7">
        <v>155.97097941077834</v>
      </c>
      <c r="B332"/>
      <c r="C332"/>
      <c r="D332"/>
      <c r="E332"/>
      <c r="EW332" s="27" t="s">
        <v>8</v>
      </c>
      <c r="EX332" s="27" t="s">
        <v>7</v>
      </c>
      <c r="EY332" s="27" t="s">
        <v>8</v>
      </c>
    </row>
    <row r="333" spans="1:158" x14ac:dyDescent="0.25">
      <c r="A333" s="7">
        <v>152.91272491252778</v>
      </c>
      <c r="B333"/>
      <c r="C333"/>
      <c r="D333"/>
      <c r="E333"/>
      <c r="EW333" s="27" t="s">
        <v>8</v>
      </c>
      <c r="EX333" s="27" t="s">
        <v>7</v>
      </c>
      <c r="EY333" s="27" t="s">
        <v>8</v>
      </c>
      <c r="EZ333" s="27" t="s">
        <v>7</v>
      </c>
      <c r="FA333" s="27" t="s">
        <v>8</v>
      </c>
    </row>
    <row r="334" spans="1:158" x14ac:dyDescent="0.25">
      <c r="A334" s="7">
        <v>149.91443618875272</v>
      </c>
      <c r="B334"/>
      <c r="C334"/>
      <c r="D334"/>
      <c r="E334"/>
      <c r="EW334" s="27" t="s">
        <v>8</v>
      </c>
      <c r="EX334" s="27" t="s">
        <v>7</v>
      </c>
      <c r="EY334" s="27" t="s">
        <v>8</v>
      </c>
      <c r="EZ334" s="27" t="s">
        <v>7</v>
      </c>
      <c r="FA334" s="27" t="s">
        <v>8</v>
      </c>
      <c r="FB334" s="27" t="s">
        <v>7</v>
      </c>
    </row>
    <row r="335" spans="1:158" x14ac:dyDescent="0.25">
      <c r="A335" s="7">
        <v>146.97493743995364</v>
      </c>
      <c r="B335"/>
      <c r="C335"/>
      <c r="D335"/>
      <c r="E335"/>
      <c r="EW335" s="27" t="s">
        <v>8</v>
      </c>
      <c r="EX335" s="27" t="s">
        <v>7</v>
      </c>
      <c r="EY335" s="27" t="s">
        <v>8</v>
      </c>
      <c r="EZ335" s="27" t="s">
        <v>7</v>
      </c>
      <c r="FA335" s="27" t="s">
        <v>8</v>
      </c>
      <c r="FB335" s="27" t="s">
        <v>7</v>
      </c>
    </row>
    <row r="336" spans="1:158" x14ac:dyDescent="0.25">
      <c r="A336" s="7">
        <v>144.09307592152317</v>
      </c>
      <c r="B336"/>
      <c r="C336"/>
      <c r="D336"/>
      <c r="E336"/>
      <c r="EW336" s="27" t="s">
        <v>8</v>
      </c>
      <c r="EX336" s="27" t="s">
        <v>7</v>
      </c>
      <c r="EY336" s="27" t="s">
        <v>8</v>
      </c>
      <c r="EZ336" s="27" t="s">
        <v>7</v>
      </c>
      <c r="FA336" s="27" t="s">
        <v>8</v>
      </c>
      <c r="FB336" s="27" t="s">
        <v>7</v>
      </c>
    </row>
    <row r="337" spans="1:256" x14ac:dyDescent="0.25">
      <c r="A337" s="7">
        <v>141.26772149168937</v>
      </c>
      <c r="B337"/>
      <c r="C337"/>
      <c r="D337"/>
      <c r="E337"/>
      <c r="EW337" s="27" t="s">
        <v>8</v>
      </c>
      <c r="EX337" s="27" t="s">
        <v>7</v>
      </c>
      <c r="EY337" s="27" t="s">
        <v>8</v>
      </c>
      <c r="EZ337" s="27" t="s">
        <v>7</v>
      </c>
      <c r="FA337" s="27" t="s">
        <v>8</v>
      </c>
      <c r="FB337" s="27" t="s">
        <v>7</v>
      </c>
    </row>
    <row r="338" spans="1:256" x14ac:dyDescent="0.25">
      <c r="A338" s="7">
        <v>138.4977661683229</v>
      </c>
      <c r="B338"/>
      <c r="C338"/>
      <c r="D338"/>
      <c r="E338"/>
      <c r="EO338" s="27" t="s">
        <v>8</v>
      </c>
      <c r="ES338" s="27" t="s">
        <v>8</v>
      </c>
      <c r="EW338" s="27" t="s">
        <v>8</v>
      </c>
      <c r="EX338" s="27" t="s">
        <v>7</v>
      </c>
      <c r="EY338" s="27" t="s">
        <v>8</v>
      </c>
      <c r="EZ338" s="27" t="s">
        <v>7</v>
      </c>
      <c r="FA338" s="27" t="s">
        <v>8</v>
      </c>
      <c r="FB338" s="27" t="s">
        <v>7</v>
      </c>
    </row>
    <row r="339" spans="1:256" x14ac:dyDescent="0.25">
      <c r="A339" s="7">
        <v>135.7821236944342</v>
      </c>
      <c r="B339"/>
      <c r="C339"/>
      <c r="D339"/>
      <c r="E339"/>
      <c r="EO339" s="27" t="s">
        <v>8</v>
      </c>
      <c r="EP339" s="27" t="s">
        <v>7</v>
      </c>
      <c r="ES339" s="27" t="s">
        <v>8</v>
      </c>
      <c r="ET339" s="27" t="s">
        <v>7</v>
      </c>
      <c r="EW339" s="27" t="s">
        <v>8</v>
      </c>
      <c r="EX339" s="27" t="s">
        <v>7</v>
      </c>
      <c r="EY339" s="27" t="s">
        <v>8</v>
      </c>
      <c r="EZ339" s="27" t="s">
        <v>7</v>
      </c>
      <c r="FA339" s="27" t="s">
        <v>8</v>
      </c>
      <c r="FB339" s="27" t="s">
        <v>7</v>
      </c>
      <c r="IS339" s="27" t="s">
        <v>8</v>
      </c>
    </row>
    <row r="340" spans="1:256" x14ac:dyDescent="0.25">
      <c r="A340" s="7">
        <v>133.11972911219038</v>
      </c>
      <c r="B340"/>
      <c r="C340"/>
      <c r="D340"/>
      <c r="E340"/>
      <c r="EO340" s="27" t="s">
        <v>8</v>
      </c>
      <c r="EP340" s="27" t="s">
        <v>7</v>
      </c>
      <c r="ES340" s="27" t="s">
        <v>8</v>
      </c>
      <c r="ET340" s="27" t="s">
        <v>7</v>
      </c>
      <c r="EW340" s="27" t="s">
        <v>8</v>
      </c>
      <c r="EX340" s="27" t="s">
        <v>7</v>
      </c>
      <c r="EY340" s="27" t="s">
        <v>8</v>
      </c>
      <c r="EZ340" s="27" t="s">
        <v>7</v>
      </c>
      <c r="FA340" s="27" t="s">
        <v>8</v>
      </c>
      <c r="FB340" s="27" t="s">
        <v>7</v>
      </c>
      <c r="IS340" s="27" t="s">
        <v>8</v>
      </c>
      <c r="IT340" s="27" t="s">
        <v>7</v>
      </c>
    </row>
    <row r="341" spans="1:256" x14ac:dyDescent="0.25">
      <c r="A341" s="7">
        <v>130.50953834528468</v>
      </c>
      <c r="B341"/>
      <c r="C341"/>
      <c r="D341"/>
      <c r="E341"/>
      <c r="EO341" s="27" t="s">
        <v>8</v>
      </c>
      <c r="EP341" s="27" t="s">
        <v>7</v>
      </c>
      <c r="EQ341" s="27" t="s">
        <v>8</v>
      </c>
      <c r="ES341" s="27" t="s">
        <v>8</v>
      </c>
      <c r="ET341" s="27" t="s">
        <v>7</v>
      </c>
      <c r="EW341" s="27" t="s">
        <v>8</v>
      </c>
      <c r="EX341" s="27" t="s">
        <v>7</v>
      </c>
      <c r="EY341" s="27" t="s">
        <v>8</v>
      </c>
      <c r="EZ341" s="27" t="s">
        <v>7</v>
      </c>
      <c r="FA341" s="27" t="s">
        <v>8</v>
      </c>
      <c r="FB341" s="27" t="s">
        <v>7</v>
      </c>
      <c r="IS341" s="27" t="s">
        <v>8</v>
      </c>
      <c r="IT341" s="27" t="s">
        <v>7</v>
      </c>
    </row>
    <row r="342" spans="1:256" x14ac:dyDescent="0.25">
      <c r="A342" s="7">
        <v>127.95052778949477</v>
      </c>
      <c r="B342"/>
      <c r="C342"/>
      <c r="D342"/>
      <c r="E342"/>
      <c r="EO342" s="27" t="s">
        <v>8</v>
      </c>
      <c r="EP342" s="27" t="s">
        <v>7</v>
      </c>
      <c r="EQ342" s="27" t="s">
        <v>8</v>
      </c>
      <c r="ER342" s="27" t="s">
        <v>7</v>
      </c>
      <c r="ES342" s="27" t="s">
        <v>8</v>
      </c>
      <c r="ET342" s="27" t="s">
        <v>7</v>
      </c>
      <c r="EW342" s="27" t="s">
        <v>8</v>
      </c>
      <c r="EX342" s="27" t="s">
        <v>7</v>
      </c>
      <c r="EY342" s="27" t="s">
        <v>8</v>
      </c>
      <c r="EZ342" s="27" t="s">
        <v>7</v>
      </c>
      <c r="FA342" s="27" t="s">
        <v>8</v>
      </c>
      <c r="FB342" s="27" t="s">
        <v>7</v>
      </c>
      <c r="IC342" s="27" t="s">
        <v>8</v>
      </c>
      <c r="IS342" s="27" t="s">
        <v>8</v>
      </c>
      <c r="IT342" s="27" t="s">
        <v>7</v>
      </c>
    </row>
    <row r="343" spans="1:256" x14ac:dyDescent="0.25">
      <c r="A343" s="7">
        <v>125.44169391126938</v>
      </c>
      <c r="B343"/>
      <c r="C343"/>
      <c r="D343"/>
      <c r="E343"/>
      <c r="EO343" s="27" t="s">
        <v>8</v>
      </c>
      <c r="EP343" s="27" t="s">
        <v>7</v>
      </c>
      <c r="EQ343" s="27" t="s">
        <v>8</v>
      </c>
      <c r="ER343" s="27" t="s">
        <v>7</v>
      </c>
      <c r="ES343" s="27" t="s">
        <v>8</v>
      </c>
      <c r="ET343" s="27" t="s">
        <v>7</v>
      </c>
      <c r="EU343" s="27" t="s">
        <v>8</v>
      </c>
      <c r="EW343" s="27" t="s">
        <v>8</v>
      </c>
      <c r="EX343" s="27" t="s">
        <v>7</v>
      </c>
      <c r="EY343" s="27" t="s">
        <v>8</v>
      </c>
      <c r="EZ343" s="27" t="s">
        <v>7</v>
      </c>
      <c r="FB343" s="27" t="s">
        <v>7</v>
      </c>
      <c r="IC343" s="27" t="s">
        <v>8</v>
      </c>
      <c r="ID343" s="27" t="s">
        <v>7</v>
      </c>
      <c r="IS343" s="27" t="s">
        <v>8</v>
      </c>
      <c r="IT343" s="27" t="s">
        <v>7</v>
      </c>
    </row>
    <row r="344" spans="1:256" x14ac:dyDescent="0.25">
      <c r="A344" s="7">
        <v>122.98205285418567</v>
      </c>
      <c r="B344"/>
      <c r="C344"/>
      <c r="D344"/>
      <c r="E344"/>
      <c r="EO344" s="27" t="s">
        <v>8</v>
      </c>
      <c r="EP344" s="27" t="s">
        <v>7</v>
      </c>
      <c r="EQ344" s="27" t="s">
        <v>8</v>
      </c>
      <c r="ER344" s="27" t="s">
        <v>7</v>
      </c>
      <c r="ES344" s="27" t="s">
        <v>8</v>
      </c>
      <c r="ET344" s="27" t="s">
        <v>7</v>
      </c>
      <c r="EU344" s="27" t="s">
        <v>8</v>
      </c>
      <c r="EV344" s="27" t="s">
        <v>7</v>
      </c>
      <c r="EW344" s="27" t="s">
        <v>8</v>
      </c>
      <c r="EX344" s="27" t="s">
        <v>7</v>
      </c>
      <c r="EY344" s="27" t="s">
        <v>8</v>
      </c>
      <c r="FB344" s="27" t="s">
        <v>7</v>
      </c>
      <c r="FC344" s="27" t="s">
        <v>8</v>
      </c>
      <c r="FK344" s="27" t="s">
        <v>8</v>
      </c>
      <c r="IC344" s="27" t="s">
        <v>8</v>
      </c>
      <c r="ID344" s="27" t="s">
        <v>7</v>
      </c>
      <c r="IS344" s="27" t="s">
        <v>8</v>
      </c>
      <c r="IT344" s="27" t="s">
        <v>7</v>
      </c>
      <c r="IU344" s="27" t="s">
        <v>8</v>
      </c>
    </row>
    <row r="345" spans="1:256" x14ac:dyDescent="0.25">
      <c r="A345" s="7">
        <v>120.5706400531232</v>
      </c>
      <c r="B345"/>
      <c r="C345"/>
      <c r="D345"/>
      <c r="E345"/>
      <c r="EO345" s="27" t="s">
        <v>8</v>
      </c>
      <c r="EP345" s="27" t="s">
        <v>7</v>
      </c>
      <c r="EQ345" s="27" t="s">
        <v>8</v>
      </c>
      <c r="ER345" s="27" t="s">
        <v>7</v>
      </c>
      <c r="ES345" s="27" t="s">
        <v>8</v>
      </c>
      <c r="ET345" s="27" t="s">
        <v>7</v>
      </c>
      <c r="EU345" s="27" t="s">
        <v>8</v>
      </c>
      <c r="EV345" s="27" t="s">
        <v>7</v>
      </c>
      <c r="EW345" s="27" t="s">
        <v>8</v>
      </c>
      <c r="EX345" s="27" t="s">
        <v>7</v>
      </c>
      <c r="EY345" s="27" t="s">
        <v>8</v>
      </c>
      <c r="FB345" s="27" t="s">
        <v>7</v>
      </c>
      <c r="FC345" s="27" t="s">
        <v>8</v>
      </c>
      <c r="FD345" s="27" t="s">
        <v>7</v>
      </c>
      <c r="FK345" s="27" t="s">
        <v>8</v>
      </c>
      <c r="FL345" s="27" t="s">
        <v>7</v>
      </c>
      <c r="IC345" s="27" t="s">
        <v>8</v>
      </c>
      <c r="ID345" s="27" t="s">
        <v>7</v>
      </c>
      <c r="IS345" s="27" t="s">
        <v>8</v>
      </c>
      <c r="IT345" s="27" t="s">
        <v>7</v>
      </c>
      <c r="IU345" s="27" t="s">
        <v>8</v>
      </c>
      <c r="IV345" s="27" t="s">
        <v>7</v>
      </c>
    </row>
    <row r="346" spans="1:256" x14ac:dyDescent="0.25">
      <c r="A346" s="7">
        <v>118.20650985600314</v>
      </c>
      <c r="B346"/>
      <c r="C346"/>
      <c r="D346"/>
      <c r="E346"/>
      <c r="EO346" s="27" t="s">
        <v>8</v>
      </c>
      <c r="EP346" s="27" t="s">
        <v>7</v>
      </c>
      <c r="EQ346" s="27" t="s">
        <v>8</v>
      </c>
      <c r="ER346" s="27" t="s">
        <v>7</v>
      </c>
      <c r="ES346" s="27" t="s">
        <v>8</v>
      </c>
      <c r="ET346" s="27" t="s">
        <v>7</v>
      </c>
      <c r="EU346" s="27" t="s">
        <v>8</v>
      </c>
      <c r="EV346" s="27" t="s">
        <v>7</v>
      </c>
      <c r="EW346" s="27" t="s">
        <v>8</v>
      </c>
      <c r="EX346" s="27" t="s">
        <v>7</v>
      </c>
      <c r="FB346" s="27" t="s">
        <v>7</v>
      </c>
      <c r="FC346" s="27" t="s">
        <v>8</v>
      </c>
      <c r="FD346" s="27" t="s">
        <v>7</v>
      </c>
      <c r="FK346" s="27" t="s">
        <v>8</v>
      </c>
      <c r="FL346" s="27" t="s">
        <v>7</v>
      </c>
      <c r="HG346" s="27" t="s">
        <v>8</v>
      </c>
      <c r="IC346" s="27" t="s">
        <v>8</v>
      </c>
      <c r="ID346" s="27" t="s">
        <v>7</v>
      </c>
      <c r="IS346" s="27" t="s">
        <v>8</v>
      </c>
      <c r="IT346" s="27" t="s">
        <v>7</v>
      </c>
      <c r="IU346" s="27" t="s">
        <v>8</v>
      </c>
      <c r="IV346" s="27" t="s">
        <v>7</v>
      </c>
    </row>
    <row r="347" spans="1:256" x14ac:dyDescent="0.25">
      <c r="A347" s="7">
        <v>115.88873515294425</v>
      </c>
      <c r="B347"/>
      <c r="C347"/>
      <c r="D347"/>
      <c r="E347"/>
      <c r="EO347" s="27" t="s">
        <v>8</v>
      </c>
      <c r="EP347" s="27" t="s">
        <v>7</v>
      </c>
      <c r="EQ347" s="27" t="s">
        <v>8</v>
      </c>
      <c r="ER347" s="27" t="s">
        <v>7</v>
      </c>
      <c r="ES347" s="27" t="s">
        <v>8</v>
      </c>
      <c r="ET347" s="27" t="s">
        <v>7</v>
      </c>
      <c r="EU347" s="27" t="s">
        <v>8</v>
      </c>
      <c r="EV347" s="27" t="s">
        <v>7</v>
      </c>
      <c r="EW347" s="27" t="s">
        <v>8</v>
      </c>
      <c r="FB347" s="27" t="s">
        <v>7</v>
      </c>
      <c r="FC347" s="27" t="s">
        <v>8</v>
      </c>
      <c r="FD347" s="27" t="s">
        <v>7</v>
      </c>
      <c r="FK347" s="27" t="s">
        <v>8</v>
      </c>
      <c r="FL347" s="27" t="s">
        <v>7</v>
      </c>
      <c r="FM347" s="27" t="s">
        <v>8</v>
      </c>
      <c r="HG347" s="27" t="s">
        <v>8</v>
      </c>
      <c r="HH347" s="27" t="s">
        <v>7</v>
      </c>
      <c r="IC347" s="27" t="s">
        <v>8</v>
      </c>
      <c r="ID347" s="27" t="s">
        <v>7</v>
      </c>
      <c r="IS347" s="27" t="s">
        <v>8</v>
      </c>
      <c r="IT347" s="27" t="s">
        <v>7</v>
      </c>
      <c r="IU347" s="27" t="s">
        <v>8</v>
      </c>
      <c r="IV347" s="27" t="s">
        <v>7</v>
      </c>
    </row>
    <row r="348" spans="1:256" x14ac:dyDescent="0.25">
      <c r="A348" s="7">
        <v>113.61640701269044</v>
      </c>
      <c r="B348"/>
      <c r="C348"/>
      <c r="D348"/>
      <c r="E348"/>
      <c r="EO348" s="27" t="s">
        <v>8</v>
      </c>
      <c r="EP348" s="27" t="s">
        <v>7</v>
      </c>
      <c r="EQ348" s="27" t="s">
        <v>8</v>
      </c>
      <c r="ER348" s="27" t="s">
        <v>7</v>
      </c>
      <c r="ES348" s="27" t="s">
        <v>8</v>
      </c>
      <c r="ET348" s="27" t="s">
        <v>7</v>
      </c>
      <c r="EV348" s="27" t="s">
        <v>7</v>
      </c>
      <c r="EW348" s="27" t="s">
        <v>8</v>
      </c>
      <c r="FB348" s="27" t="s">
        <v>7</v>
      </c>
      <c r="FC348" s="27" t="s">
        <v>8</v>
      </c>
      <c r="FD348" s="27" t="s">
        <v>7</v>
      </c>
      <c r="FK348" s="27" t="s">
        <v>8</v>
      </c>
      <c r="FL348" s="27" t="s">
        <v>7</v>
      </c>
      <c r="FM348" s="27" t="s">
        <v>8</v>
      </c>
      <c r="FN348" s="27" t="s">
        <v>7</v>
      </c>
      <c r="HG348" s="27" t="s">
        <v>8</v>
      </c>
      <c r="HH348" s="27" t="s">
        <v>7</v>
      </c>
      <c r="IC348" s="27" t="s">
        <v>8</v>
      </c>
      <c r="ID348" s="27" t="s">
        <v>7</v>
      </c>
      <c r="IK348" s="27" t="s">
        <v>8</v>
      </c>
      <c r="IQ348" s="27" t="s">
        <v>8</v>
      </c>
      <c r="IS348" s="27" t="s">
        <v>8</v>
      </c>
      <c r="IT348" s="27" t="s">
        <v>7</v>
      </c>
      <c r="IU348" s="27" t="s">
        <v>8</v>
      </c>
      <c r="IV348" s="27" t="s">
        <v>7</v>
      </c>
    </row>
    <row r="349" spans="1:256" x14ac:dyDescent="0.25">
      <c r="A349" s="7">
        <v>111.38863432616711</v>
      </c>
      <c r="B349"/>
      <c r="C349"/>
      <c r="D349"/>
      <c r="E349"/>
      <c r="EO349" s="27" t="s">
        <v>8</v>
      </c>
      <c r="EP349" s="27" t="s">
        <v>7</v>
      </c>
      <c r="EQ349" s="27" t="s">
        <v>8</v>
      </c>
      <c r="ER349" s="27" t="s">
        <v>7</v>
      </c>
      <c r="ES349" s="27" t="s">
        <v>8</v>
      </c>
      <c r="EV349" s="27" t="s">
        <v>7</v>
      </c>
      <c r="EW349" s="27" t="s">
        <v>8</v>
      </c>
      <c r="FB349" s="27" t="s">
        <v>7</v>
      </c>
      <c r="FD349" s="27" t="s">
        <v>7</v>
      </c>
      <c r="FG349" s="27" t="s">
        <v>8</v>
      </c>
      <c r="FK349" s="27" t="s">
        <v>8</v>
      </c>
      <c r="FL349" s="27" t="s">
        <v>7</v>
      </c>
      <c r="FM349" s="27" t="s">
        <v>8</v>
      </c>
      <c r="FN349" s="27" t="s">
        <v>7</v>
      </c>
      <c r="HG349" s="27" t="s">
        <v>8</v>
      </c>
      <c r="HH349" s="27" t="s">
        <v>7</v>
      </c>
      <c r="IC349" s="27" t="s">
        <v>8</v>
      </c>
      <c r="ID349" s="27" t="s">
        <v>7</v>
      </c>
      <c r="IK349" s="27" t="s">
        <v>8</v>
      </c>
      <c r="IL349" s="27" t="s">
        <v>7</v>
      </c>
      <c r="IQ349" s="27" t="s">
        <v>8</v>
      </c>
      <c r="IR349" s="27" t="s">
        <v>7</v>
      </c>
      <c r="IS349" s="27" t="s">
        <v>8</v>
      </c>
      <c r="IT349" s="27" t="s">
        <v>7</v>
      </c>
      <c r="IU349" s="27" t="s">
        <v>8</v>
      </c>
      <c r="IV349" s="27" t="s">
        <v>7</v>
      </c>
    </row>
    <row r="350" spans="1:256" x14ac:dyDescent="0.25">
      <c r="A350" s="7">
        <v>109.20454345702657</v>
      </c>
      <c r="B350"/>
      <c r="C350"/>
      <c r="D350"/>
      <c r="E350"/>
      <c r="EO350" s="27" t="s">
        <v>8</v>
      </c>
      <c r="EP350" s="27" t="s">
        <v>7</v>
      </c>
      <c r="EQ350" s="27" t="s">
        <v>8</v>
      </c>
      <c r="ER350" s="27" t="s">
        <v>7</v>
      </c>
      <c r="ES350" s="27" t="s">
        <v>8</v>
      </c>
      <c r="EV350" s="27" t="s">
        <v>7</v>
      </c>
      <c r="EW350" s="27" t="s">
        <v>8</v>
      </c>
      <c r="FD350" s="27" t="s">
        <v>7</v>
      </c>
      <c r="FE350" s="27" t="s">
        <v>8</v>
      </c>
      <c r="FG350" s="27" t="s">
        <v>8</v>
      </c>
      <c r="FH350" s="27" t="s">
        <v>7</v>
      </c>
      <c r="FK350" s="27" t="s">
        <v>8</v>
      </c>
      <c r="FL350" s="27" t="s">
        <v>7</v>
      </c>
      <c r="FM350" s="27" t="s">
        <v>8</v>
      </c>
      <c r="FN350" s="27" t="s">
        <v>7</v>
      </c>
      <c r="HA350" s="27" t="s">
        <v>8</v>
      </c>
      <c r="HG350" s="27" t="s">
        <v>8</v>
      </c>
      <c r="HH350" s="27" t="s">
        <v>7</v>
      </c>
      <c r="IC350" s="27" t="s">
        <v>8</v>
      </c>
      <c r="ID350" s="27" t="s">
        <v>7</v>
      </c>
      <c r="II350" s="27" t="s">
        <v>8</v>
      </c>
      <c r="IK350" s="27" t="s">
        <v>8</v>
      </c>
      <c r="IL350" s="27" t="s">
        <v>7</v>
      </c>
      <c r="IQ350" s="27" t="s">
        <v>8</v>
      </c>
      <c r="IR350" s="27" t="s">
        <v>7</v>
      </c>
      <c r="IS350" s="27" t="s">
        <v>8</v>
      </c>
      <c r="IT350" s="27" t="s">
        <v>7</v>
      </c>
      <c r="IU350" s="27" t="s">
        <v>8</v>
      </c>
      <c r="IV350" s="27" t="s">
        <v>7</v>
      </c>
    </row>
    <row r="351" spans="1:256" x14ac:dyDescent="0.25">
      <c r="A351" s="7">
        <v>107.06327789904566</v>
      </c>
      <c r="B351"/>
      <c r="C351"/>
      <c r="D351"/>
      <c r="E351"/>
      <c r="EO351" s="27" t="s">
        <v>8</v>
      </c>
      <c r="EP351" s="27" t="s">
        <v>7</v>
      </c>
      <c r="EQ351" s="27" t="s">
        <v>8</v>
      </c>
      <c r="ER351" s="27" t="s">
        <v>7</v>
      </c>
      <c r="ES351" s="27" t="s">
        <v>8</v>
      </c>
      <c r="EV351" s="27" t="s">
        <v>7</v>
      </c>
      <c r="FD351" s="27" t="s">
        <v>7</v>
      </c>
      <c r="FE351" s="27" t="s">
        <v>8</v>
      </c>
      <c r="FF351" s="27" t="s">
        <v>7</v>
      </c>
      <c r="FG351" s="27" t="s">
        <v>8</v>
      </c>
      <c r="FH351" s="27" t="s">
        <v>7</v>
      </c>
      <c r="FI351" s="27" t="s">
        <v>8</v>
      </c>
      <c r="FK351" s="27" t="s">
        <v>8</v>
      </c>
      <c r="FL351" s="27" t="s">
        <v>7</v>
      </c>
      <c r="FM351" s="27" t="s">
        <v>8</v>
      </c>
      <c r="FN351" s="27" t="s">
        <v>7</v>
      </c>
      <c r="HA351" s="27" t="s">
        <v>8</v>
      </c>
      <c r="HB351" s="27" t="s">
        <v>7</v>
      </c>
      <c r="HG351" s="27" t="s">
        <v>8</v>
      </c>
      <c r="HH351" s="27" t="s">
        <v>7</v>
      </c>
      <c r="IC351" s="27" t="s">
        <v>8</v>
      </c>
      <c r="ID351" s="27" t="s">
        <v>7</v>
      </c>
      <c r="II351" s="27" t="s">
        <v>8</v>
      </c>
      <c r="IJ351" s="27" t="s">
        <v>7</v>
      </c>
      <c r="IK351" s="27" t="s">
        <v>8</v>
      </c>
      <c r="IL351" s="27" t="s">
        <v>7</v>
      </c>
      <c r="IQ351" s="27" t="s">
        <v>8</v>
      </c>
      <c r="IR351" s="27" t="s">
        <v>7</v>
      </c>
      <c r="IS351" s="27" t="s">
        <v>8</v>
      </c>
      <c r="IT351" s="27" t="s">
        <v>7</v>
      </c>
      <c r="IU351" s="27" t="s">
        <v>8</v>
      </c>
      <c r="IV351" s="27" t="s">
        <v>7</v>
      </c>
    </row>
    <row r="352" spans="1:256" x14ac:dyDescent="0.25">
      <c r="A352" s="7">
        <v>104.96399794024084</v>
      </c>
      <c r="B352"/>
      <c r="C352"/>
      <c r="D352"/>
      <c r="E352"/>
      <c r="EO352" s="27" t="s">
        <v>8</v>
      </c>
      <c r="EP352" s="27" t="s">
        <v>7</v>
      </c>
      <c r="EQ352" s="27" t="s">
        <v>8</v>
      </c>
      <c r="ER352" s="27" t="s">
        <v>7</v>
      </c>
      <c r="ES352" s="27" t="s">
        <v>8</v>
      </c>
      <c r="FD352" s="27" t="s">
        <v>7</v>
      </c>
      <c r="FE352" s="27" t="s">
        <v>8</v>
      </c>
      <c r="FF352" s="27" t="s">
        <v>7</v>
      </c>
      <c r="FG352" s="27" t="s">
        <v>8</v>
      </c>
      <c r="FH352" s="27" t="s">
        <v>7</v>
      </c>
      <c r="FI352" s="27" t="s">
        <v>8</v>
      </c>
      <c r="FJ352" s="27" t="s">
        <v>7</v>
      </c>
      <c r="FK352" s="27" t="s">
        <v>8</v>
      </c>
      <c r="FL352" s="27" t="s">
        <v>7</v>
      </c>
      <c r="FM352" s="27" t="s">
        <v>8</v>
      </c>
      <c r="FN352" s="27" t="s">
        <v>7</v>
      </c>
      <c r="HA352" s="27" t="s">
        <v>8</v>
      </c>
      <c r="HB352" s="27" t="s">
        <v>7</v>
      </c>
      <c r="HG352" s="27" t="s">
        <v>8</v>
      </c>
      <c r="HH352" s="27" t="s">
        <v>7</v>
      </c>
      <c r="IC352" s="27" t="s">
        <v>8</v>
      </c>
      <c r="ID352" s="27" t="s">
        <v>7</v>
      </c>
      <c r="II352" s="27" t="s">
        <v>8</v>
      </c>
      <c r="IJ352" s="27" t="s">
        <v>7</v>
      </c>
      <c r="IK352" s="27" t="s">
        <v>8</v>
      </c>
      <c r="IL352" s="27" t="s">
        <v>7</v>
      </c>
      <c r="IQ352" s="27" t="s">
        <v>8</v>
      </c>
      <c r="IR352" s="27" t="s">
        <v>7</v>
      </c>
      <c r="IS352" s="27" t="s">
        <v>8</v>
      </c>
      <c r="IT352" s="27" t="s">
        <v>7</v>
      </c>
      <c r="IU352" s="27" t="s">
        <v>8</v>
      </c>
      <c r="IV352" s="27" t="s">
        <v>7</v>
      </c>
    </row>
    <row r="353" spans="1:260" x14ac:dyDescent="0.25">
      <c r="A353" s="7">
        <v>102.90588033356946</v>
      </c>
      <c r="B353"/>
      <c r="C353"/>
      <c r="D353"/>
      <c r="E353"/>
      <c r="EO353" s="27" t="s">
        <v>8</v>
      </c>
      <c r="EP353" s="27" t="s">
        <v>7</v>
      </c>
      <c r="EQ353" s="27" t="s">
        <v>8</v>
      </c>
      <c r="ER353" s="27" t="s">
        <v>7</v>
      </c>
      <c r="ES353" s="27" t="s">
        <v>8</v>
      </c>
      <c r="FD353" s="27" t="s">
        <v>7</v>
      </c>
      <c r="FE353" s="27" t="s">
        <v>8</v>
      </c>
      <c r="FF353" s="27" t="s">
        <v>7</v>
      </c>
      <c r="FG353" s="27" t="s">
        <v>8</v>
      </c>
      <c r="FH353" s="27" t="s">
        <v>7</v>
      </c>
      <c r="FI353" s="27" t="s">
        <v>8</v>
      </c>
      <c r="FJ353" s="27" t="s">
        <v>7</v>
      </c>
      <c r="FK353" s="27" t="s">
        <v>8</v>
      </c>
      <c r="FL353" s="27" t="s">
        <v>7</v>
      </c>
      <c r="FM353" s="27" t="s">
        <v>8</v>
      </c>
      <c r="FN353" s="27" t="s">
        <v>7</v>
      </c>
      <c r="HA353" s="27" t="s">
        <v>8</v>
      </c>
      <c r="HB353" s="27" t="s">
        <v>7</v>
      </c>
      <c r="HG353" s="27" t="s">
        <v>8</v>
      </c>
      <c r="HH353" s="27" t="s">
        <v>7</v>
      </c>
      <c r="IC353" s="27" t="s">
        <v>8</v>
      </c>
      <c r="ID353" s="27" t="s">
        <v>7</v>
      </c>
      <c r="II353" s="27" t="s">
        <v>8</v>
      </c>
      <c r="IJ353" s="27" t="s">
        <v>7</v>
      </c>
      <c r="IK353" s="27" t="s">
        <v>8</v>
      </c>
      <c r="IL353" s="27" t="s">
        <v>7</v>
      </c>
      <c r="IM353" s="27" t="s">
        <v>8</v>
      </c>
      <c r="IQ353" s="27" t="s">
        <v>8</v>
      </c>
      <c r="IR353" s="27" t="s">
        <v>7</v>
      </c>
      <c r="IS353" s="27" t="s">
        <v>8</v>
      </c>
      <c r="IT353" s="27" t="s">
        <v>7</v>
      </c>
      <c r="IU353" s="27" t="s">
        <v>8</v>
      </c>
      <c r="IV353" s="27" t="s">
        <v>7</v>
      </c>
    </row>
    <row r="354" spans="1:260" x14ac:dyDescent="0.25">
      <c r="A354" s="7">
        <v>100.88811797408771</v>
      </c>
      <c r="B354"/>
      <c r="C354"/>
      <c r="D354"/>
      <c r="E354"/>
      <c r="EO354" s="27" t="s">
        <v>8</v>
      </c>
      <c r="EP354" s="27" t="s">
        <v>7</v>
      </c>
      <c r="EQ354" s="27" t="s">
        <v>8</v>
      </c>
      <c r="ER354" s="27" t="s">
        <v>7</v>
      </c>
      <c r="ES354" s="27" t="s">
        <v>8</v>
      </c>
      <c r="FD354" s="27" t="s">
        <v>7</v>
      </c>
      <c r="FE354" s="27" t="s">
        <v>8</v>
      </c>
      <c r="FF354" s="27" t="s">
        <v>7</v>
      </c>
      <c r="FG354" s="27" t="s">
        <v>8</v>
      </c>
      <c r="FH354" s="27" t="s">
        <v>7</v>
      </c>
      <c r="FI354" s="27" t="s">
        <v>8</v>
      </c>
      <c r="FJ354" s="27" t="s">
        <v>7</v>
      </c>
      <c r="FK354" s="27" t="s">
        <v>8</v>
      </c>
      <c r="FL354" s="27" t="s">
        <v>7</v>
      </c>
      <c r="FN354" s="27" t="s">
        <v>7</v>
      </c>
      <c r="HA354" s="27" t="s">
        <v>8</v>
      </c>
      <c r="HB354" s="27" t="s">
        <v>7</v>
      </c>
      <c r="HG354" s="27" t="s">
        <v>8</v>
      </c>
      <c r="HH354" s="27" t="s">
        <v>7</v>
      </c>
      <c r="IC354" s="27" t="s">
        <v>8</v>
      </c>
      <c r="ID354" s="27" t="s">
        <v>7</v>
      </c>
      <c r="II354" s="27" t="s">
        <v>8</v>
      </c>
      <c r="IJ354" s="27" t="s">
        <v>7</v>
      </c>
      <c r="IK354" s="27" t="s">
        <v>8</v>
      </c>
      <c r="IL354" s="27" t="s">
        <v>7</v>
      </c>
      <c r="IM354" s="27" t="s">
        <v>8</v>
      </c>
      <c r="IN354" s="27" t="s">
        <v>7</v>
      </c>
      <c r="IQ354" s="27" t="s">
        <v>8</v>
      </c>
      <c r="IR354" s="27" t="s">
        <v>7</v>
      </c>
      <c r="IT354" s="27" t="s">
        <v>7</v>
      </c>
      <c r="IU354" s="27" t="s">
        <v>8</v>
      </c>
      <c r="IV354" s="27" t="s">
        <v>7</v>
      </c>
    </row>
    <row r="355" spans="1:260" x14ac:dyDescent="0.25">
      <c r="A355" s="7">
        <v>98.909919582438931</v>
      </c>
      <c r="B355"/>
      <c r="C355"/>
      <c r="D355"/>
      <c r="E355"/>
      <c r="EO355" s="27" t="s">
        <v>8</v>
      </c>
      <c r="EP355" s="27" t="s">
        <v>7</v>
      </c>
      <c r="EQ355" s="27" t="s">
        <v>8</v>
      </c>
      <c r="ER355" s="27" t="s">
        <v>7</v>
      </c>
      <c r="ES355" s="27" t="s">
        <v>8</v>
      </c>
      <c r="FD355" s="27" t="s">
        <v>7</v>
      </c>
      <c r="FE355" s="27" t="s">
        <v>8</v>
      </c>
      <c r="FF355" s="27" t="s">
        <v>7</v>
      </c>
      <c r="FG355" s="27" t="s">
        <v>8</v>
      </c>
      <c r="FH355" s="27" t="s">
        <v>7</v>
      </c>
      <c r="FI355" s="27" t="s">
        <v>8</v>
      </c>
      <c r="FJ355" s="27" t="s">
        <v>7</v>
      </c>
      <c r="FK355" s="27" t="s">
        <v>8</v>
      </c>
      <c r="FN355" s="27" t="s">
        <v>7</v>
      </c>
      <c r="HA355" s="27" t="s">
        <v>8</v>
      </c>
      <c r="HB355" s="27" t="s">
        <v>7</v>
      </c>
      <c r="HG355" s="27" t="s">
        <v>8</v>
      </c>
      <c r="HH355" s="27" t="s">
        <v>7</v>
      </c>
      <c r="IC355" s="27" t="s">
        <v>8</v>
      </c>
      <c r="ID355" s="27" t="s">
        <v>7</v>
      </c>
      <c r="II355" s="27" t="s">
        <v>8</v>
      </c>
      <c r="IJ355" s="27" t="s">
        <v>7</v>
      </c>
      <c r="IK355" s="27" t="s">
        <v>8</v>
      </c>
      <c r="IL355" s="27" t="s">
        <v>7</v>
      </c>
      <c r="IM355" s="27" t="s">
        <v>8</v>
      </c>
      <c r="IN355" s="27" t="s">
        <v>7</v>
      </c>
      <c r="IQ355" s="27" t="s">
        <v>8</v>
      </c>
      <c r="IT355" s="27" t="s">
        <v>7</v>
      </c>
      <c r="IV355" s="27" t="s">
        <v>7</v>
      </c>
    </row>
    <row r="356" spans="1:260" x14ac:dyDescent="0.25">
      <c r="A356" s="7">
        <v>96.970509394547975</v>
      </c>
      <c r="B356"/>
      <c r="C356"/>
      <c r="D356"/>
      <c r="E356"/>
      <c r="EO356" s="27" t="s">
        <v>8</v>
      </c>
      <c r="EP356" s="27" t="s">
        <v>7</v>
      </c>
      <c r="EQ356" s="27" t="s">
        <v>8</v>
      </c>
      <c r="ER356" s="27" t="s">
        <v>7</v>
      </c>
      <c r="ES356" s="27" t="s">
        <v>8</v>
      </c>
      <c r="FD356" s="27" t="s">
        <v>7</v>
      </c>
      <c r="FE356" s="27" t="s">
        <v>8</v>
      </c>
      <c r="FF356" s="27" t="s">
        <v>7</v>
      </c>
      <c r="FG356" s="27" t="s">
        <v>8</v>
      </c>
      <c r="FH356" s="27" t="s">
        <v>7</v>
      </c>
      <c r="FI356" s="27" t="s">
        <v>8</v>
      </c>
      <c r="FJ356" s="27" t="s">
        <v>7</v>
      </c>
      <c r="FK356" s="27" t="s">
        <v>8</v>
      </c>
      <c r="FN356" s="27" t="s">
        <v>7</v>
      </c>
      <c r="HA356" s="27" t="s">
        <v>8</v>
      </c>
      <c r="HB356" s="27" t="s">
        <v>7</v>
      </c>
      <c r="HG356" s="27" t="s">
        <v>8</v>
      </c>
      <c r="HH356" s="27" t="s">
        <v>7</v>
      </c>
      <c r="IC356" s="27" t="s">
        <v>8</v>
      </c>
      <c r="ID356" s="27" t="s">
        <v>7</v>
      </c>
      <c r="II356" s="27" t="s">
        <v>8</v>
      </c>
      <c r="IJ356" s="27" t="s">
        <v>7</v>
      </c>
      <c r="IK356" s="27" t="s">
        <v>8</v>
      </c>
      <c r="IL356" s="27" t="s">
        <v>7</v>
      </c>
      <c r="IM356" s="27" t="s">
        <v>8</v>
      </c>
      <c r="IN356" s="27" t="s">
        <v>7</v>
      </c>
      <c r="IQ356" s="27" t="s">
        <v>8</v>
      </c>
      <c r="IV356" s="27" t="s">
        <v>7</v>
      </c>
    </row>
    <row r="357" spans="1:260" x14ac:dyDescent="0.25">
      <c r="A357" s="7">
        <v>95.069126857399979</v>
      </c>
      <c r="B357"/>
      <c r="C357"/>
      <c r="D357"/>
      <c r="E357"/>
      <c r="EO357" s="27" t="s">
        <v>8</v>
      </c>
      <c r="EP357" s="27" t="s">
        <v>7</v>
      </c>
      <c r="EQ357" s="27" t="s">
        <v>8</v>
      </c>
      <c r="ER357" s="27" t="s">
        <v>7</v>
      </c>
      <c r="ES357" s="27" t="s">
        <v>8</v>
      </c>
      <c r="FD357" s="27" t="s">
        <v>7</v>
      </c>
      <c r="FE357" s="27" t="s">
        <v>8</v>
      </c>
      <c r="FF357" s="27" t="s">
        <v>7</v>
      </c>
      <c r="FG357" s="27" t="s">
        <v>8</v>
      </c>
      <c r="FH357" s="27" t="s">
        <v>7</v>
      </c>
      <c r="FJ357" s="27" t="s">
        <v>7</v>
      </c>
      <c r="FK357" s="27" t="s">
        <v>8</v>
      </c>
      <c r="FN357" s="27" t="s">
        <v>7</v>
      </c>
      <c r="HA357" s="27" t="s">
        <v>8</v>
      </c>
      <c r="HB357" s="27" t="s">
        <v>7</v>
      </c>
      <c r="HG357" s="27" t="s">
        <v>8</v>
      </c>
      <c r="HH357" s="27" t="s">
        <v>7</v>
      </c>
      <c r="IC357" s="27" t="s">
        <v>8</v>
      </c>
      <c r="ID357" s="27" t="s">
        <v>7</v>
      </c>
      <c r="II357" s="27" t="s">
        <v>8</v>
      </c>
      <c r="IJ357" s="27" t="s">
        <v>7</v>
      </c>
      <c r="IK357" s="27" t="s">
        <v>8</v>
      </c>
      <c r="IL357" s="27" t="s">
        <v>7</v>
      </c>
      <c r="IN357" s="27" t="s">
        <v>7</v>
      </c>
      <c r="IQ357" s="27" t="s">
        <v>8</v>
      </c>
      <c r="IV357" s="27" t="s">
        <v>7</v>
      </c>
    </row>
    <row r="358" spans="1:260" x14ac:dyDescent="0.25">
      <c r="A358" s="7">
        <v>93.205026330784293</v>
      </c>
      <c r="B358"/>
      <c r="C358"/>
      <c r="D358"/>
      <c r="E358"/>
      <c r="EO358" s="27" t="s">
        <v>8</v>
      </c>
      <c r="EP358" s="27" t="s">
        <v>7</v>
      </c>
      <c r="EQ358" s="27" t="s">
        <v>8</v>
      </c>
      <c r="ER358" s="27" t="s">
        <v>7</v>
      </c>
      <c r="ES358" s="27" t="s">
        <v>8</v>
      </c>
      <c r="FD358" s="27" t="s">
        <v>7</v>
      </c>
      <c r="FE358" s="27" t="s">
        <v>8</v>
      </c>
      <c r="FF358" s="27" t="s">
        <v>7</v>
      </c>
      <c r="FG358" s="27" t="s">
        <v>8</v>
      </c>
      <c r="FJ358" s="27" t="s">
        <v>7</v>
      </c>
      <c r="FK358" s="27" t="s">
        <v>8</v>
      </c>
      <c r="FN358" s="27" t="s">
        <v>7</v>
      </c>
      <c r="FO358" s="27" t="s">
        <v>8</v>
      </c>
      <c r="HA358" s="27" t="s">
        <v>8</v>
      </c>
      <c r="HB358" s="27" t="s">
        <v>7</v>
      </c>
      <c r="HG358" s="27" t="s">
        <v>8</v>
      </c>
      <c r="HH358" s="27" t="s">
        <v>7</v>
      </c>
      <c r="IA358" s="27" t="s">
        <v>8</v>
      </c>
      <c r="IC358" s="27" t="s">
        <v>8</v>
      </c>
      <c r="ID358" s="27" t="s">
        <v>7</v>
      </c>
      <c r="II358" s="27" t="s">
        <v>8</v>
      </c>
      <c r="IJ358" s="27" t="s">
        <v>7</v>
      </c>
      <c r="IK358" s="27" t="s">
        <v>8</v>
      </c>
      <c r="IN358" s="27" t="s">
        <v>7</v>
      </c>
      <c r="IO358" s="27" t="s">
        <v>8</v>
      </c>
      <c r="IQ358" s="27" t="s">
        <v>8</v>
      </c>
      <c r="IV358" s="27" t="s">
        <v>7</v>
      </c>
    </row>
    <row r="359" spans="1:260" x14ac:dyDescent="0.25">
      <c r="A359" s="7">
        <v>91.377476794886562</v>
      </c>
      <c r="B359"/>
      <c r="C359"/>
      <c r="D359"/>
      <c r="E359"/>
      <c r="EO359" s="27" t="s">
        <v>8</v>
      </c>
      <c r="EP359" s="27" t="s">
        <v>7</v>
      </c>
      <c r="EQ359" s="27" t="s">
        <v>8</v>
      </c>
      <c r="ER359" s="27" t="s">
        <v>7</v>
      </c>
      <c r="ES359" s="27" t="s">
        <v>8</v>
      </c>
      <c r="FD359" s="27" t="s">
        <v>7</v>
      </c>
      <c r="FE359" s="27" t="s">
        <v>8</v>
      </c>
      <c r="FF359" s="27" t="s">
        <v>7</v>
      </c>
      <c r="FG359" s="27" t="s">
        <v>8</v>
      </c>
      <c r="FJ359" s="27" t="s">
        <v>7</v>
      </c>
      <c r="FK359" s="27" t="s">
        <v>8</v>
      </c>
      <c r="FN359" s="27" t="s">
        <v>7</v>
      </c>
      <c r="FO359" s="27" t="s">
        <v>8</v>
      </c>
      <c r="FP359" s="27" t="s">
        <v>7</v>
      </c>
      <c r="FQ359" s="27" t="s">
        <v>8</v>
      </c>
      <c r="GY359" s="27" t="s">
        <v>8</v>
      </c>
      <c r="HA359" s="27" t="s">
        <v>8</v>
      </c>
      <c r="HB359" s="27" t="s">
        <v>7</v>
      </c>
      <c r="HG359" s="27" t="s">
        <v>8</v>
      </c>
      <c r="HH359" s="27" t="s">
        <v>7</v>
      </c>
      <c r="IA359" s="27" t="s">
        <v>8</v>
      </c>
      <c r="IB359" s="27" t="s">
        <v>7</v>
      </c>
      <c r="IC359" s="27" t="s">
        <v>8</v>
      </c>
      <c r="ID359" s="27" t="s">
        <v>7</v>
      </c>
      <c r="II359" s="27" t="s">
        <v>8</v>
      </c>
      <c r="IJ359" s="27" t="s">
        <v>7</v>
      </c>
      <c r="IK359" s="27" t="s">
        <v>8</v>
      </c>
      <c r="IN359" s="27" t="s">
        <v>7</v>
      </c>
      <c r="IO359" s="27" t="s">
        <v>8</v>
      </c>
      <c r="IP359" s="27" t="s">
        <v>7</v>
      </c>
      <c r="IQ359" s="27" t="s">
        <v>8</v>
      </c>
      <c r="IV359" s="27" t="s">
        <v>7</v>
      </c>
    </row>
    <row r="360" spans="1:260" x14ac:dyDescent="0.25">
      <c r="A360" s="7">
        <v>89.58576156361427</v>
      </c>
      <c r="B360"/>
      <c r="C360"/>
      <c r="D360"/>
      <c r="E360"/>
      <c r="EO360" s="27" t="s">
        <v>8</v>
      </c>
      <c r="EP360" s="27" t="s">
        <v>7</v>
      </c>
      <c r="EQ360" s="27" t="s">
        <v>8</v>
      </c>
      <c r="ER360" s="27" t="s">
        <v>7</v>
      </c>
      <c r="ES360" s="27" t="s">
        <v>8</v>
      </c>
      <c r="FD360" s="27" t="s">
        <v>7</v>
      </c>
      <c r="FE360" s="27" t="s">
        <v>8</v>
      </c>
      <c r="FF360" s="27" t="s">
        <v>7</v>
      </c>
      <c r="FG360" s="27" t="s">
        <v>8</v>
      </c>
      <c r="FJ360" s="27" t="s">
        <v>7</v>
      </c>
      <c r="FK360" s="27" t="s">
        <v>8</v>
      </c>
      <c r="FN360" s="27" t="s">
        <v>7</v>
      </c>
      <c r="FO360" s="27" t="s">
        <v>8</v>
      </c>
      <c r="FP360" s="27" t="s">
        <v>7</v>
      </c>
      <c r="FQ360" s="27" t="s">
        <v>8</v>
      </c>
      <c r="FR360" s="27" t="s">
        <v>7</v>
      </c>
      <c r="GY360" s="27" t="s">
        <v>8</v>
      </c>
      <c r="GZ360" s="27" t="s">
        <v>7</v>
      </c>
      <c r="HA360" s="27" t="s">
        <v>8</v>
      </c>
      <c r="HB360" s="27" t="s">
        <v>7</v>
      </c>
      <c r="HG360" s="27" t="s">
        <v>8</v>
      </c>
      <c r="HH360" s="27" t="s">
        <v>7</v>
      </c>
      <c r="IA360" s="27" t="s">
        <v>8</v>
      </c>
      <c r="IB360" s="27" t="s">
        <v>7</v>
      </c>
      <c r="IC360" s="27" t="s">
        <v>8</v>
      </c>
      <c r="ID360" s="27" t="s">
        <v>7</v>
      </c>
      <c r="IE360" s="27" t="s">
        <v>8</v>
      </c>
      <c r="IG360" s="27" t="s">
        <v>8</v>
      </c>
      <c r="II360" s="27" t="s">
        <v>8</v>
      </c>
      <c r="IJ360" s="27" t="s">
        <v>7</v>
      </c>
      <c r="IK360" s="27" t="s">
        <v>8</v>
      </c>
      <c r="IN360" s="27" t="s">
        <v>7</v>
      </c>
      <c r="IO360" s="27" t="s">
        <v>8</v>
      </c>
      <c r="IP360" s="27" t="s">
        <v>7</v>
      </c>
      <c r="IQ360" s="27" t="s">
        <v>8</v>
      </c>
      <c r="IV360" s="27" t="s">
        <v>7</v>
      </c>
    </row>
    <row r="361" spans="1:260" x14ac:dyDescent="0.25">
      <c r="A361" s="7">
        <v>87.829178003543404</v>
      </c>
      <c r="B361"/>
      <c r="C361"/>
      <c r="D361"/>
      <c r="E361"/>
      <c r="EO361" s="27" t="s">
        <v>8</v>
      </c>
      <c r="EP361" s="27" t="s">
        <v>7</v>
      </c>
      <c r="EQ361" s="27" t="s">
        <v>8</v>
      </c>
      <c r="ER361" s="27" t="s">
        <v>7</v>
      </c>
      <c r="FD361" s="27" t="s">
        <v>7</v>
      </c>
      <c r="FE361" s="27" t="s">
        <v>8</v>
      </c>
      <c r="FF361" s="27" t="s">
        <v>7</v>
      </c>
      <c r="FG361" s="27" t="s">
        <v>8</v>
      </c>
      <c r="FJ361" s="27" t="s">
        <v>7</v>
      </c>
      <c r="FN361" s="27" t="s">
        <v>7</v>
      </c>
      <c r="FO361" s="27" t="s">
        <v>8</v>
      </c>
      <c r="FP361" s="27" t="s">
        <v>7</v>
      </c>
      <c r="FQ361" s="27" t="s">
        <v>8</v>
      </c>
      <c r="FR361" s="27" t="s">
        <v>7</v>
      </c>
      <c r="GY361" s="27" t="s">
        <v>8</v>
      </c>
      <c r="GZ361" s="27" t="s">
        <v>7</v>
      </c>
      <c r="HA361" s="27" t="s">
        <v>8</v>
      </c>
      <c r="HB361" s="27" t="s">
        <v>7</v>
      </c>
      <c r="HC361" s="27" t="s">
        <v>8</v>
      </c>
      <c r="HG361" s="27" t="s">
        <v>8</v>
      </c>
      <c r="HH361" s="27" t="s">
        <v>7</v>
      </c>
      <c r="IA361" s="27" t="s">
        <v>8</v>
      </c>
      <c r="IB361" s="27" t="s">
        <v>7</v>
      </c>
      <c r="IC361" s="27" t="s">
        <v>8</v>
      </c>
      <c r="ID361" s="27" t="s">
        <v>7</v>
      </c>
      <c r="IE361" s="27" t="s">
        <v>8</v>
      </c>
      <c r="IF361" s="27" t="s">
        <v>7</v>
      </c>
      <c r="IG361" s="27" t="s">
        <v>8</v>
      </c>
      <c r="IH361" s="27" t="s">
        <v>7</v>
      </c>
      <c r="II361" s="27" t="s">
        <v>8</v>
      </c>
      <c r="IJ361" s="27" t="s">
        <v>7</v>
      </c>
      <c r="IK361" s="27" t="s">
        <v>8</v>
      </c>
      <c r="IN361" s="27" t="s">
        <v>7</v>
      </c>
      <c r="IO361" s="27" t="s">
        <v>8</v>
      </c>
      <c r="IP361" s="27" t="s">
        <v>7</v>
      </c>
      <c r="IQ361" s="27" t="s">
        <v>8</v>
      </c>
      <c r="IV361" s="27" t="s">
        <v>7</v>
      </c>
    </row>
    <row r="362" spans="1:260" x14ac:dyDescent="0.25">
      <c r="A362" s="7">
        <v>86.107037258375883</v>
      </c>
      <c r="B362"/>
      <c r="C362"/>
      <c r="D362"/>
      <c r="E362"/>
      <c r="EO362" s="27" t="s">
        <v>8</v>
      </c>
      <c r="EP362" s="27" t="s">
        <v>7</v>
      </c>
      <c r="EQ362" s="27" t="s">
        <v>8</v>
      </c>
      <c r="FD362" s="27" t="s">
        <v>7</v>
      </c>
      <c r="FE362" s="27" t="s">
        <v>8</v>
      </c>
      <c r="FF362" s="27" t="s">
        <v>7</v>
      </c>
      <c r="FG362" s="27" t="s">
        <v>8</v>
      </c>
      <c r="FN362" s="27" t="s">
        <v>7</v>
      </c>
      <c r="FO362" s="27" t="s">
        <v>8</v>
      </c>
      <c r="FP362" s="27" t="s">
        <v>7</v>
      </c>
      <c r="FQ362" s="27" t="s">
        <v>8</v>
      </c>
      <c r="FR362" s="27" t="s">
        <v>7</v>
      </c>
      <c r="GY362" s="27" t="s">
        <v>8</v>
      </c>
      <c r="GZ362" s="27" t="s">
        <v>7</v>
      </c>
      <c r="HA362" s="27" t="s">
        <v>8</v>
      </c>
      <c r="HB362" s="27" t="s">
        <v>7</v>
      </c>
      <c r="HC362" s="27" t="s">
        <v>8</v>
      </c>
      <c r="HD362" s="27" t="s">
        <v>7</v>
      </c>
      <c r="HG362" s="27" t="s">
        <v>8</v>
      </c>
      <c r="HH362" s="27" t="s">
        <v>7</v>
      </c>
      <c r="HS362" s="27" t="s">
        <v>8</v>
      </c>
      <c r="IA362" s="27" t="s">
        <v>8</v>
      </c>
      <c r="IB362" s="27" t="s">
        <v>7</v>
      </c>
      <c r="IC362" s="27" t="s">
        <v>8</v>
      </c>
      <c r="ID362" s="27" t="s">
        <v>7</v>
      </c>
      <c r="IE362" s="27" t="s">
        <v>8</v>
      </c>
      <c r="IF362" s="27" t="s">
        <v>7</v>
      </c>
      <c r="IG362" s="27" t="s">
        <v>8</v>
      </c>
      <c r="IH362" s="27" t="s">
        <v>7</v>
      </c>
      <c r="II362" s="27" t="s">
        <v>8</v>
      </c>
      <c r="IJ362" s="27" t="s">
        <v>7</v>
      </c>
      <c r="IN362" s="27" t="s">
        <v>7</v>
      </c>
      <c r="IO362" s="27" t="s">
        <v>8</v>
      </c>
      <c r="IP362" s="27" t="s">
        <v>7</v>
      </c>
      <c r="IQ362" s="27" t="s">
        <v>8</v>
      </c>
      <c r="IV362" s="27" t="s">
        <v>7</v>
      </c>
    </row>
    <row r="363" spans="1:260" x14ac:dyDescent="0.25">
      <c r="A363" s="7">
        <v>84.418663978799884</v>
      </c>
      <c r="B363"/>
      <c r="C363"/>
      <c r="D363"/>
      <c r="E363"/>
      <c r="DM363" s="27" t="s">
        <v>8</v>
      </c>
      <c r="EO363" s="27" t="s">
        <v>8</v>
      </c>
      <c r="EP363" s="27" t="s">
        <v>7</v>
      </c>
      <c r="EQ363" s="27" t="s">
        <v>8</v>
      </c>
      <c r="FD363" s="27" t="s">
        <v>7</v>
      </c>
      <c r="FE363" s="27" t="s">
        <v>8</v>
      </c>
      <c r="FF363" s="27" t="s">
        <v>7</v>
      </c>
      <c r="FG363" s="27" t="s">
        <v>8</v>
      </c>
      <c r="FN363" s="27" t="s">
        <v>7</v>
      </c>
      <c r="FO363" s="27" t="s">
        <v>8</v>
      </c>
      <c r="FP363" s="27" t="s">
        <v>7</v>
      </c>
      <c r="FQ363" s="27" t="s">
        <v>8</v>
      </c>
      <c r="FR363" s="27" t="s">
        <v>7</v>
      </c>
      <c r="GY363" s="27" t="s">
        <v>8</v>
      </c>
      <c r="GZ363" s="27" t="s">
        <v>7</v>
      </c>
      <c r="HA363" s="27" t="s">
        <v>8</v>
      </c>
      <c r="HB363" s="27" t="s">
        <v>7</v>
      </c>
      <c r="HC363" s="27" t="s">
        <v>8</v>
      </c>
      <c r="HD363" s="27" t="s">
        <v>7</v>
      </c>
      <c r="HE363" s="27" t="s">
        <v>8</v>
      </c>
      <c r="HG363" s="27" t="s">
        <v>8</v>
      </c>
      <c r="HH363" s="27" t="s">
        <v>7</v>
      </c>
      <c r="HS363" s="27" t="s">
        <v>8</v>
      </c>
      <c r="HT363" s="27" t="s">
        <v>7</v>
      </c>
      <c r="IA363" s="27" t="s">
        <v>8</v>
      </c>
      <c r="IB363" s="27" t="s">
        <v>7</v>
      </c>
      <c r="IC363" s="27" t="s">
        <v>8</v>
      </c>
      <c r="ID363" s="27" t="s">
        <v>7</v>
      </c>
      <c r="IE363" s="27" t="s">
        <v>8</v>
      </c>
      <c r="IF363" s="27" t="s">
        <v>7</v>
      </c>
      <c r="IG363" s="27" t="s">
        <v>8</v>
      </c>
      <c r="IH363" s="27" t="s">
        <v>7</v>
      </c>
      <c r="II363" s="27" t="s">
        <v>8</v>
      </c>
      <c r="IN363" s="27" t="s">
        <v>7</v>
      </c>
      <c r="IO363" s="27" t="s">
        <v>8</v>
      </c>
      <c r="IP363" s="27" t="s">
        <v>7</v>
      </c>
      <c r="IQ363" s="27" t="s">
        <v>8</v>
      </c>
      <c r="IV363" s="27" t="s">
        <v>7</v>
      </c>
    </row>
    <row r="364" spans="1:260" x14ac:dyDescent="0.25">
      <c r="A364" s="7">
        <v>82.763396057646943</v>
      </c>
      <c r="B364"/>
      <c r="C364"/>
      <c r="D364"/>
      <c r="E364"/>
      <c r="DM364" s="27" t="s">
        <v>8</v>
      </c>
      <c r="DN364" s="27" t="s">
        <v>7</v>
      </c>
      <c r="EO364" s="27" t="s">
        <v>8</v>
      </c>
      <c r="EP364" s="27" t="s">
        <v>7</v>
      </c>
      <c r="FD364" s="27" t="s">
        <v>7</v>
      </c>
      <c r="FE364" s="27" t="s">
        <v>8</v>
      </c>
      <c r="FF364" s="27" t="s">
        <v>7</v>
      </c>
      <c r="FG364" s="27" t="s">
        <v>8</v>
      </c>
      <c r="FN364" s="27" t="s">
        <v>7</v>
      </c>
      <c r="FO364" s="27" t="s">
        <v>8</v>
      </c>
      <c r="FP364" s="27" t="s">
        <v>7</v>
      </c>
      <c r="FQ364" s="27" t="s">
        <v>8</v>
      </c>
      <c r="FR364" s="27" t="s">
        <v>7</v>
      </c>
      <c r="FS364" s="27" t="s">
        <v>8</v>
      </c>
      <c r="GY364" s="27" t="s">
        <v>8</v>
      </c>
      <c r="GZ364" s="27" t="s">
        <v>7</v>
      </c>
      <c r="HA364" s="27" t="s">
        <v>8</v>
      </c>
      <c r="HB364" s="27" t="s">
        <v>7</v>
      </c>
      <c r="HC364" s="27" t="s">
        <v>8</v>
      </c>
      <c r="HD364" s="27" t="s">
        <v>7</v>
      </c>
      <c r="HE364" s="27" t="s">
        <v>8</v>
      </c>
      <c r="HF364" s="27" t="s">
        <v>7</v>
      </c>
      <c r="HG364" s="27" t="s">
        <v>8</v>
      </c>
      <c r="HH364" s="27" t="s">
        <v>7</v>
      </c>
      <c r="HQ364" s="27" t="s">
        <v>8</v>
      </c>
      <c r="HS364" s="27" t="s">
        <v>8</v>
      </c>
      <c r="HT364" s="27" t="s">
        <v>7</v>
      </c>
      <c r="HW364" s="27" t="s">
        <v>8</v>
      </c>
      <c r="HY364" s="27" t="s">
        <v>8</v>
      </c>
      <c r="IA364" s="27" t="s">
        <v>8</v>
      </c>
      <c r="IB364" s="27" t="s">
        <v>7</v>
      </c>
      <c r="IC364" s="27" t="s">
        <v>8</v>
      </c>
      <c r="ID364" s="27" t="s">
        <v>7</v>
      </c>
      <c r="IF364" s="27" t="s">
        <v>7</v>
      </c>
      <c r="IG364" s="27" t="s">
        <v>8</v>
      </c>
      <c r="IH364" s="27" t="s">
        <v>7</v>
      </c>
      <c r="II364" s="27" t="s">
        <v>8</v>
      </c>
      <c r="IN364" s="27" t="s">
        <v>7</v>
      </c>
      <c r="IO364" s="27" t="s">
        <v>8</v>
      </c>
      <c r="IP364" s="27" t="s">
        <v>7</v>
      </c>
      <c r="IQ364" s="27" t="s">
        <v>8</v>
      </c>
      <c r="IV364" s="27" t="s">
        <v>7</v>
      </c>
      <c r="IW364" s="27" t="s">
        <v>8</v>
      </c>
    </row>
    <row r="365" spans="1:260" x14ac:dyDescent="0.25">
      <c r="A365" s="7">
        <v>81.140584370242095</v>
      </c>
      <c r="B365"/>
      <c r="C365"/>
      <c r="D365"/>
      <c r="E365"/>
      <c r="DM365" s="27" t="s">
        <v>8</v>
      </c>
      <c r="DN365" s="27" t="s">
        <v>7</v>
      </c>
      <c r="EO365" s="27" t="s">
        <v>8</v>
      </c>
      <c r="FD365" s="27" t="s">
        <v>7</v>
      </c>
      <c r="FE365" s="27" t="s">
        <v>8</v>
      </c>
      <c r="FF365" s="27" t="s">
        <v>7</v>
      </c>
      <c r="FG365" s="27" t="s">
        <v>8</v>
      </c>
      <c r="FN365" s="27" t="s">
        <v>7</v>
      </c>
      <c r="FO365" s="27" t="s">
        <v>8</v>
      </c>
      <c r="FP365" s="27" t="s">
        <v>7</v>
      </c>
      <c r="FQ365" s="27" t="s">
        <v>8</v>
      </c>
      <c r="FR365" s="27" t="s">
        <v>7</v>
      </c>
      <c r="FS365" s="27" t="s">
        <v>8</v>
      </c>
      <c r="FT365" s="27" t="s">
        <v>7</v>
      </c>
      <c r="GW365" s="27" t="s">
        <v>8</v>
      </c>
      <c r="GY365" s="27" t="s">
        <v>8</v>
      </c>
      <c r="GZ365" s="27" t="s">
        <v>7</v>
      </c>
      <c r="HA365" s="27" t="s">
        <v>8</v>
      </c>
      <c r="HB365" s="27" t="s">
        <v>7</v>
      </c>
      <c r="HC365" s="27" t="s">
        <v>8</v>
      </c>
      <c r="HD365" s="27" t="s">
        <v>7</v>
      </c>
      <c r="HE365" s="27" t="s">
        <v>8</v>
      </c>
      <c r="HF365" s="27" t="s">
        <v>7</v>
      </c>
      <c r="HG365" s="27" t="s">
        <v>8</v>
      </c>
      <c r="HH365" s="27" t="s">
        <v>7</v>
      </c>
      <c r="HQ365" s="27" t="s">
        <v>8</v>
      </c>
      <c r="HR365" s="27" t="s">
        <v>7</v>
      </c>
      <c r="HS365" s="27" t="s">
        <v>8</v>
      </c>
      <c r="HT365" s="27" t="s">
        <v>7</v>
      </c>
      <c r="HW365" s="27" t="s">
        <v>8</v>
      </c>
      <c r="HX365" s="27" t="s">
        <v>7</v>
      </c>
      <c r="HY365" s="27" t="s">
        <v>8</v>
      </c>
      <c r="HZ365" s="27" t="s">
        <v>7</v>
      </c>
      <c r="IA365" s="27" t="s">
        <v>8</v>
      </c>
      <c r="IB365" s="27" t="s">
        <v>7</v>
      </c>
      <c r="IC365" s="27" t="s">
        <v>8</v>
      </c>
      <c r="IF365" s="27" t="s">
        <v>7</v>
      </c>
      <c r="IH365" s="27" t="s">
        <v>7</v>
      </c>
      <c r="IN365" s="27" t="s">
        <v>7</v>
      </c>
      <c r="IP365" s="27" t="s">
        <v>7</v>
      </c>
      <c r="IV365" s="27" t="s">
        <v>7</v>
      </c>
      <c r="IW365" s="27" t="s">
        <v>8</v>
      </c>
      <c r="IX365" s="27" t="s">
        <v>7</v>
      </c>
    </row>
    <row r="366" spans="1:260" x14ac:dyDescent="0.25">
      <c r="A366" s="7">
        <v>79.549592519845191</v>
      </c>
      <c r="B366"/>
      <c r="C366"/>
      <c r="D366"/>
      <c r="E366"/>
      <c r="DM366" s="27" t="s">
        <v>8</v>
      </c>
      <c r="DN366" s="27" t="s">
        <v>7</v>
      </c>
      <c r="EM366" s="27" t="s">
        <v>8</v>
      </c>
      <c r="EO366" s="27" t="s">
        <v>8</v>
      </c>
      <c r="FD366" s="27" t="s">
        <v>7</v>
      </c>
      <c r="FE366" s="27" t="s">
        <v>8</v>
      </c>
      <c r="FF366" s="27" t="s">
        <v>7</v>
      </c>
      <c r="FG366" s="27" t="s">
        <v>8</v>
      </c>
      <c r="FN366" s="27" t="s">
        <v>7</v>
      </c>
      <c r="FO366" s="27" t="s">
        <v>8</v>
      </c>
      <c r="FP366" s="27" t="s">
        <v>7</v>
      </c>
      <c r="FQ366" s="27" t="s">
        <v>8</v>
      </c>
      <c r="FR366" s="27" t="s">
        <v>7</v>
      </c>
      <c r="FS366" s="27" t="s">
        <v>8</v>
      </c>
      <c r="FT366" s="27" t="s">
        <v>7</v>
      </c>
      <c r="GW366" s="27" t="s">
        <v>8</v>
      </c>
      <c r="GX366" s="27" t="s">
        <v>7</v>
      </c>
      <c r="GY366" s="27" t="s">
        <v>8</v>
      </c>
      <c r="GZ366" s="27" t="s">
        <v>7</v>
      </c>
      <c r="HA366" s="27" t="s">
        <v>8</v>
      </c>
      <c r="HB366" s="27" t="s">
        <v>7</v>
      </c>
      <c r="HC366" s="27" t="s">
        <v>8</v>
      </c>
      <c r="HD366" s="27" t="s">
        <v>7</v>
      </c>
      <c r="HE366" s="27" t="s">
        <v>8</v>
      </c>
      <c r="HF366" s="27" t="s">
        <v>7</v>
      </c>
      <c r="HG366" s="27" t="s">
        <v>8</v>
      </c>
      <c r="HH366" s="27" t="s">
        <v>7</v>
      </c>
      <c r="HO366" s="27" t="s">
        <v>8</v>
      </c>
      <c r="HQ366" s="27" t="s">
        <v>8</v>
      </c>
      <c r="HR366" s="27" t="s">
        <v>7</v>
      </c>
      <c r="HS366" s="27" t="s">
        <v>8</v>
      </c>
      <c r="HT366" s="27" t="s">
        <v>7</v>
      </c>
      <c r="HU366" s="27" t="s">
        <v>8</v>
      </c>
      <c r="HW366" s="27" t="s">
        <v>8</v>
      </c>
      <c r="HX366" s="27" t="s">
        <v>7</v>
      </c>
      <c r="HY366" s="27" t="s">
        <v>8</v>
      </c>
      <c r="HZ366" s="27" t="s">
        <v>7</v>
      </c>
      <c r="IA366" s="27" t="s">
        <v>8</v>
      </c>
      <c r="IB366" s="27" t="s">
        <v>7</v>
      </c>
      <c r="IC366" s="27" t="s">
        <v>8</v>
      </c>
      <c r="IV366" s="27" t="s">
        <v>7</v>
      </c>
      <c r="IW366" s="27" t="s">
        <v>8</v>
      </c>
      <c r="IX366" s="27" t="s">
        <v>7</v>
      </c>
    </row>
    <row r="367" spans="1:260" x14ac:dyDescent="0.25">
      <c r="A367" s="7">
        <v>77.989796588083522</v>
      </c>
      <c r="B367"/>
      <c r="C367"/>
      <c r="D367"/>
      <c r="E367"/>
      <c r="DM367" s="27" t="s">
        <v>8</v>
      </c>
      <c r="DN367" s="27" t="s">
        <v>7</v>
      </c>
      <c r="DO367" s="27" t="s">
        <v>8</v>
      </c>
      <c r="EK367" s="27" t="s">
        <v>8</v>
      </c>
      <c r="EM367" s="27" t="s">
        <v>8</v>
      </c>
      <c r="EN367" s="27" t="s">
        <v>7</v>
      </c>
      <c r="EO367" s="27" t="s">
        <v>8</v>
      </c>
      <c r="FD367" s="27" t="s">
        <v>7</v>
      </c>
      <c r="FE367" s="27" t="s">
        <v>8</v>
      </c>
      <c r="FF367" s="27" t="s">
        <v>7</v>
      </c>
      <c r="FG367" s="27" t="s">
        <v>8</v>
      </c>
      <c r="FN367" s="27" t="s">
        <v>7</v>
      </c>
      <c r="FO367" s="27" t="s">
        <v>8</v>
      </c>
      <c r="FP367" s="27" t="s">
        <v>7</v>
      </c>
      <c r="FQ367" s="27" t="s">
        <v>8</v>
      </c>
      <c r="FR367" s="27" t="s">
        <v>7</v>
      </c>
      <c r="FT367" s="27" t="s">
        <v>7</v>
      </c>
      <c r="GU367" s="27" t="s">
        <v>8</v>
      </c>
      <c r="GW367" s="27" t="s">
        <v>8</v>
      </c>
      <c r="GX367" s="27" t="s">
        <v>7</v>
      </c>
      <c r="GY367" s="27" t="s">
        <v>8</v>
      </c>
      <c r="GZ367" s="27" t="s">
        <v>7</v>
      </c>
      <c r="HB367" s="27" t="s">
        <v>7</v>
      </c>
      <c r="HC367" s="27" t="s">
        <v>8</v>
      </c>
      <c r="HD367" s="27" t="s">
        <v>7</v>
      </c>
      <c r="HF367" s="27" t="s">
        <v>7</v>
      </c>
      <c r="HG367" s="27" t="s">
        <v>8</v>
      </c>
      <c r="HH367" s="27" t="s">
        <v>7</v>
      </c>
      <c r="HI367" s="27" t="s">
        <v>8</v>
      </c>
      <c r="HO367" s="27" t="s">
        <v>8</v>
      </c>
      <c r="HP367" s="27" t="s">
        <v>7</v>
      </c>
      <c r="HQ367" s="27" t="s">
        <v>8</v>
      </c>
      <c r="HR367" s="27" t="s">
        <v>7</v>
      </c>
      <c r="HS367" s="27" t="s">
        <v>8</v>
      </c>
      <c r="HT367" s="27" t="s">
        <v>7</v>
      </c>
      <c r="HU367" s="27" t="s">
        <v>8</v>
      </c>
      <c r="HV367" s="27" t="s">
        <v>7</v>
      </c>
      <c r="HW367" s="27" t="s">
        <v>8</v>
      </c>
      <c r="HX367" s="27" t="s">
        <v>7</v>
      </c>
      <c r="HY367" s="27" t="s">
        <v>8</v>
      </c>
      <c r="HZ367" s="27" t="s">
        <v>7</v>
      </c>
      <c r="IB367" s="27" t="s">
        <v>7</v>
      </c>
      <c r="IC367" s="27" t="s">
        <v>8</v>
      </c>
      <c r="IV367" s="27" t="s">
        <v>7</v>
      </c>
      <c r="IW367" s="27" t="s">
        <v>8</v>
      </c>
      <c r="IX367" s="27" t="s">
        <v>7</v>
      </c>
      <c r="IY367" s="27" t="s">
        <v>8</v>
      </c>
    </row>
    <row r="368" spans="1:260" x14ac:dyDescent="0.25">
      <c r="A368" s="7">
        <v>76.460584890277957</v>
      </c>
      <c r="B368"/>
      <c r="C368"/>
      <c r="D368"/>
      <c r="E368"/>
      <c r="DM368" s="27" t="s">
        <v>8</v>
      </c>
      <c r="DN368" s="27" t="s">
        <v>7</v>
      </c>
      <c r="DO368" s="27" t="s">
        <v>8</v>
      </c>
      <c r="DP368" s="27" t="s">
        <v>7</v>
      </c>
      <c r="EK368" s="27" t="s">
        <v>8</v>
      </c>
      <c r="EL368" s="27" t="s">
        <v>7</v>
      </c>
      <c r="EM368" s="27" t="s">
        <v>8</v>
      </c>
      <c r="EN368" s="27" t="s">
        <v>7</v>
      </c>
      <c r="EO368" s="27" t="s">
        <v>8</v>
      </c>
      <c r="FD368" s="27" t="s">
        <v>7</v>
      </c>
      <c r="FE368" s="27" t="s">
        <v>8</v>
      </c>
      <c r="FF368" s="27" t="s">
        <v>7</v>
      </c>
      <c r="FG368" s="27" t="s">
        <v>8</v>
      </c>
      <c r="FN368" s="27" t="s">
        <v>7</v>
      </c>
      <c r="FO368" s="27" t="s">
        <v>8</v>
      </c>
      <c r="FP368" s="27" t="s">
        <v>7</v>
      </c>
      <c r="FQ368" s="27" t="s">
        <v>8</v>
      </c>
      <c r="FT368" s="27" t="s">
        <v>7</v>
      </c>
      <c r="GQ368" s="27" t="s">
        <v>8</v>
      </c>
      <c r="GU368" s="27" t="s">
        <v>8</v>
      </c>
      <c r="GV368" s="27" t="s">
        <v>7</v>
      </c>
      <c r="GW368" s="27" t="s">
        <v>8</v>
      </c>
      <c r="GX368" s="27" t="s">
        <v>7</v>
      </c>
      <c r="GY368" s="27" t="s">
        <v>8</v>
      </c>
      <c r="HB368" s="27" t="s">
        <v>7</v>
      </c>
      <c r="HC368" s="27" t="s">
        <v>8</v>
      </c>
      <c r="HF368" s="27" t="s">
        <v>7</v>
      </c>
      <c r="HH368" s="27" t="s">
        <v>7</v>
      </c>
      <c r="HI368" s="27" t="s">
        <v>8</v>
      </c>
      <c r="HJ368" s="27" t="s">
        <v>7</v>
      </c>
      <c r="HO368" s="27" t="s">
        <v>8</v>
      </c>
      <c r="HP368" s="27" t="s">
        <v>7</v>
      </c>
      <c r="HQ368" s="27" t="s">
        <v>8</v>
      </c>
      <c r="HR368" s="27" t="s">
        <v>7</v>
      </c>
      <c r="HT368" s="27" t="s">
        <v>7</v>
      </c>
      <c r="HU368" s="27" t="s">
        <v>8</v>
      </c>
      <c r="HV368" s="27" t="s">
        <v>7</v>
      </c>
      <c r="HW368" s="27" t="s">
        <v>8</v>
      </c>
      <c r="HX368" s="27" t="s">
        <v>7</v>
      </c>
      <c r="HY368" s="27" t="s">
        <v>8</v>
      </c>
      <c r="IB368" s="27" t="s">
        <v>7</v>
      </c>
      <c r="IC368" s="27" t="s">
        <v>8</v>
      </c>
      <c r="IV368" s="27" t="s">
        <v>7</v>
      </c>
      <c r="IW368" s="27" t="s">
        <v>8</v>
      </c>
      <c r="IX368" s="27" t="s">
        <v>7</v>
      </c>
      <c r="IY368" s="27" t="s">
        <v>8</v>
      </c>
      <c r="IZ368" s="27" t="s">
        <v>7</v>
      </c>
    </row>
    <row r="369" spans="1:277" x14ac:dyDescent="0.25">
      <c r="A369" s="7">
        <v>74.961357735566622</v>
      </c>
      <c r="B369"/>
      <c r="C369"/>
      <c r="D369"/>
      <c r="E369"/>
      <c r="DM369" s="27" t="s">
        <v>8</v>
      </c>
      <c r="DN369" s="27" t="s">
        <v>7</v>
      </c>
      <c r="DO369" s="27" t="s">
        <v>8</v>
      </c>
      <c r="DP369" s="27" t="s">
        <v>7</v>
      </c>
      <c r="EK369" s="27" t="s">
        <v>8</v>
      </c>
      <c r="EL369" s="27" t="s">
        <v>7</v>
      </c>
      <c r="EM369" s="27" t="s">
        <v>8</v>
      </c>
      <c r="EN369" s="27" t="s">
        <v>7</v>
      </c>
      <c r="FD369" s="27" t="s">
        <v>7</v>
      </c>
      <c r="FE369" s="27" t="s">
        <v>8</v>
      </c>
      <c r="FF369" s="27" t="s">
        <v>7</v>
      </c>
      <c r="FG369" s="27" t="s">
        <v>8</v>
      </c>
      <c r="FN369" s="27" t="s">
        <v>7</v>
      </c>
      <c r="FO369" s="27" t="s">
        <v>8</v>
      </c>
      <c r="FP369" s="27" t="s">
        <v>7</v>
      </c>
      <c r="FQ369" s="27" t="s">
        <v>8</v>
      </c>
      <c r="FT369" s="27" t="s">
        <v>7</v>
      </c>
      <c r="GQ369" s="27" t="s">
        <v>8</v>
      </c>
      <c r="GR369" s="27" t="s">
        <v>7</v>
      </c>
      <c r="GS369" s="27" t="s">
        <v>8</v>
      </c>
      <c r="GU369" s="27" t="s">
        <v>8</v>
      </c>
      <c r="GV369" s="27" t="s">
        <v>7</v>
      </c>
      <c r="GW369" s="27" t="s">
        <v>8</v>
      </c>
      <c r="GX369" s="27" t="s">
        <v>7</v>
      </c>
      <c r="HB369" s="27" t="s">
        <v>7</v>
      </c>
      <c r="HC369" s="27" t="s">
        <v>8</v>
      </c>
      <c r="HH369" s="27" t="s">
        <v>7</v>
      </c>
      <c r="HI369" s="27" t="s">
        <v>8</v>
      </c>
      <c r="HJ369" s="27" t="s">
        <v>7</v>
      </c>
      <c r="HO369" s="27" t="s">
        <v>8</v>
      </c>
      <c r="HP369" s="27" t="s">
        <v>7</v>
      </c>
      <c r="HQ369" s="27" t="s">
        <v>8</v>
      </c>
      <c r="HT369" s="27" t="s">
        <v>7</v>
      </c>
      <c r="HU369" s="27" t="s">
        <v>8</v>
      </c>
      <c r="HV369" s="27" t="s">
        <v>7</v>
      </c>
      <c r="HX369" s="27" t="s">
        <v>7</v>
      </c>
      <c r="HY369" s="27" t="s">
        <v>8</v>
      </c>
      <c r="IB369" s="27" t="s">
        <v>7</v>
      </c>
      <c r="IC369" s="27" t="s">
        <v>8</v>
      </c>
      <c r="IV369" s="27" t="s">
        <v>7</v>
      </c>
      <c r="IW369" s="27" t="s">
        <v>8</v>
      </c>
      <c r="IX369" s="27" t="s">
        <v>7</v>
      </c>
      <c r="IY369" s="27" t="s">
        <v>8</v>
      </c>
      <c r="IZ369" s="27" t="s">
        <v>7</v>
      </c>
      <c r="JG369" s="27" t="s">
        <v>8</v>
      </c>
    </row>
    <row r="370" spans="1:277" x14ac:dyDescent="0.25">
      <c r="A370" s="7">
        <v>73.491527191731976</v>
      </c>
      <c r="B370"/>
      <c r="C370"/>
      <c r="D370"/>
      <c r="E370"/>
      <c r="DM370" s="27" t="s">
        <v>8</v>
      </c>
      <c r="DN370" s="27" t="s">
        <v>7</v>
      </c>
      <c r="DO370" s="27" t="s">
        <v>8</v>
      </c>
      <c r="DP370" s="27" t="s">
        <v>7</v>
      </c>
      <c r="EK370" s="27" t="s">
        <v>8</v>
      </c>
      <c r="EL370" s="27" t="s">
        <v>7</v>
      </c>
      <c r="EM370" s="27" t="s">
        <v>8</v>
      </c>
      <c r="FD370" s="27" t="s">
        <v>7</v>
      </c>
      <c r="FE370" s="27" t="s">
        <v>8</v>
      </c>
      <c r="FF370" s="27" t="s">
        <v>7</v>
      </c>
      <c r="FG370" s="27" t="s">
        <v>8</v>
      </c>
      <c r="FN370" s="27" t="s">
        <v>7</v>
      </c>
      <c r="FP370" s="27" t="s">
        <v>7</v>
      </c>
      <c r="FT370" s="27" t="s">
        <v>7</v>
      </c>
      <c r="GQ370" s="27" t="s">
        <v>8</v>
      </c>
      <c r="GR370" s="27" t="s">
        <v>7</v>
      </c>
      <c r="GS370" s="27" t="s">
        <v>8</v>
      </c>
      <c r="GT370" s="27" t="s">
        <v>7</v>
      </c>
      <c r="GU370" s="27" t="s">
        <v>8</v>
      </c>
      <c r="GV370" s="27" t="s">
        <v>7</v>
      </c>
      <c r="GW370" s="27" t="s">
        <v>8</v>
      </c>
      <c r="HB370" s="27" t="s">
        <v>7</v>
      </c>
      <c r="HC370" s="27" t="s">
        <v>8</v>
      </c>
      <c r="HH370" s="27" t="s">
        <v>7</v>
      </c>
      <c r="HI370" s="27" t="s">
        <v>8</v>
      </c>
      <c r="HJ370" s="27" t="s">
        <v>7</v>
      </c>
      <c r="HO370" s="27" t="s">
        <v>8</v>
      </c>
      <c r="HP370" s="27" t="s">
        <v>7</v>
      </c>
      <c r="HQ370" s="27" t="s">
        <v>8</v>
      </c>
      <c r="HT370" s="27" t="s">
        <v>7</v>
      </c>
      <c r="HU370" s="27" t="s">
        <v>8</v>
      </c>
      <c r="HX370" s="27" t="s">
        <v>7</v>
      </c>
      <c r="IB370" s="27" t="s">
        <v>7</v>
      </c>
      <c r="IC370" s="27" t="s">
        <v>8</v>
      </c>
      <c r="IV370" s="27" t="s">
        <v>7</v>
      </c>
      <c r="IW370" s="27" t="s">
        <v>8</v>
      </c>
      <c r="IX370" s="27" t="s">
        <v>7</v>
      </c>
      <c r="IY370" s="27" t="s">
        <v>8</v>
      </c>
      <c r="IZ370" s="27" t="s">
        <v>7</v>
      </c>
      <c r="JG370" s="27" t="s">
        <v>8</v>
      </c>
      <c r="JH370" s="27" t="s">
        <v>7</v>
      </c>
      <c r="JI370" s="27" t="s">
        <v>8</v>
      </c>
    </row>
    <row r="371" spans="1:277" x14ac:dyDescent="0.25">
      <c r="A371" s="7">
        <v>72.050516854639184</v>
      </c>
      <c r="B371"/>
      <c r="C371"/>
      <c r="D371"/>
      <c r="E371"/>
      <c r="DM371" s="27" t="s">
        <v>8</v>
      </c>
      <c r="DN371" s="27" t="s">
        <v>7</v>
      </c>
      <c r="DO371" s="27" t="s">
        <v>8</v>
      </c>
      <c r="DP371" s="27" t="s">
        <v>7</v>
      </c>
      <c r="EK371" s="27" t="s">
        <v>8</v>
      </c>
      <c r="EL371" s="27" t="s">
        <v>7</v>
      </c>
      <c r="EM371" s="27" t="s">
        <v>8</v>
      </c>
      <c r="FD371" s="27" t="s">
        <v>7</v>
      </c>
      <c r="FE371" s="27" t="s">
        <v>8</v>
      </c>
      <c r="FF371" s="27" t="s">
        <v>7</v>
      </c>
      <c r="FG371" s="27" t="s">
        <v>8</v>
      </c>
      <c r="FT371" s="27" t="s">
        <v>7</v>
      </c>
      <c r="FW371" s="27" t="s">
        <v>8</v>
      </c>
      <c r="GQ371" s="27" t="s">
        <v>8</v>
      </c>
      <c r="GR371" s="27" t="s">
        <v>7</v>
      </c>
      <c r="GS371" s="27" t="s">
        <v>8</v>
      </c>
      <c r="GT371" s="27" t="s">
        <v>7</v>
      </c>
      <c r="GU371" s="27" t="s">
        <v>8</v>
      </c>
      <c r="GV371" s="27" t="s">
        <v>7</v>
      </c>
      <c r="GW371" s="27" t="s">
        <v>8</v>
      </c>
      <c r="HB371" s="27" t="s">
        <v>7</v>
      </c>
      <c r="HH371" s="27" t="s">
        <v>7</v>
      </c>
      <c r="HI371" s="27" t="s">
        <v>8</v>
      </c>
      <c r="HJ371" s="27" t="s">
        <v>7</v>
      </c>
      <c r="HO371" s="27" t="s">
        <v>8</v>
      </c>
      <c r="HP371" s="27" t="s">
        <v>7</v>
      </c>
      <c r="HT371" s="27" t="s">
        <v>7</v>
      </c>
      <c r="HU371" s="27" t="s">
        <v>8</v>
      </c>
      <c r="IB371" s="27" t="s">
        <v>7</v>
      </c>
      <c r="IC371" s="27" t="s">
        <v>8</v>
      </c>
      <c r="IV371" s="27" t="s">
        <v>7</v>
      </c>
      <c r="IW371" s="27" t="s">
        <v>8</v>
      </c>
      <c r="IX371" s="27" t="s">
        <v>7</v>
      </c>
      <c r="IY371" s="27" t="s">
        <v>8</v>
      </c>
      <c r="IZ371" s="27" t="s">
        <v>7</v>
      </c>
      <c r="JC371" s="27" t="s">
        <v>8</v>
      </c>
      <c r="JG371" s="27" t="s">
        <v>8</v>
      </c>
      <c r="JH371" s="27" t="s">
        <v>7</v>
      </c>
      <c r="JI371" s="27" t="s">
        <v>8</v>
      </c>
      <c r="JJ371" s="27" t="s">
        <v>7</v>
      </c>
    </row>
    <row r="372" spans="1:277" x14ac:dyDescent="0.25">
      <c r="A372" s="7">
        <v>70.637761622195271</v>
      </c>
      <c r="B372"/>
      <c r="C372"/>
      <c r="D372"/>
      <c r="E372"/>
      <c r="DM372" s="27" t="s">
        <v>8</v>
      </c>
      <c r="DN372" s="27" t="s">
        <v>7</v>
      </c>
      <c r="DO372" s="27" t="s">
        <v>8</v>
      </c>
      <c r="DP372" s="27" t="s">
        <v>7</v>
      </c>
      <c r="EI372" s="27" t="s">
        <v>8</v>
      </c>
      <c r="EK372" s="27" t="s">
        <v>8</v>
      </c>
      <c r="EL372" s="27" t="s">
        <v>7</v>
      </c>
      <c r="FD372" s="27" t="s">
        <v>7</v>
      </c>
      <c r="FE372" s="27" t="s">
        <v>8</v>
      </c>
      <c r="FF372" s="27" t="s">
        <v>7</v>
      </c>
      <c r="FG372" s="27" t="s">
        <v>8</v>
      </c>
      <c r="FT372" s="27" t="s">
        <v>7</v>
      </c>
      <c r="FW372" s="27" t="s">
        <v>8</v>
      </c>
      <c r="FX372" s="27" t="s">
        <v>7</v>
      </c>
      <c r="GQ372" s="27" t="s">
        <v>8</v>
      </c>
      <c r="GR372" s="27" t="s">
        <v>7</v>
      </c>
      <c r="GS372" s="27" t="s">
        <v>8</v>
      </c>
      <c r="GT372" s="27" t="s">
        <v>7</v>
      </c>
      <c r="GU372" s="27" t="s">
        <v>8</v>
      </c>
      <c r="GV372" s="27" t="s">
        <v>7</v>
      </c>
      <c r="GW372" s="27" t="s">
        <v>8</v>
      </c>
      <c r="HH372" s="27" t="s">
        <v>7</v>
      </c>
      <c r="HI372" s="27" t="s">
        <v>8</v>
      </c>
      <c r="HJ372" s="27" t="s">
        <v>7</v>
      </c>
      <c r="HM372" s="27" t="s">
        <v>8</v>
      </c>
      <c r="HO372" s="27" t="s">
        <v>8</v>
      </c>
      <c r="HT372" s="27" t="s">
        <v>7</v>
      </c>
      <c r="HU372" s="27" t="s">
        <v>8</v>
      </c>
      <c r="IB372" s="27" t="s">
        <v>7</v>
      </c>
      <c r="IV372" s="27" t="s">
        <v>7</v>
      </c>
      <c r="IW372" s="27" t="s">
        <v>8</v>
      </c>
      <c r="IX372" s="27" t="s">
        <v>7</v>
      </c>
      <c r="IY372" s="27" t="s">
        <v>8</v>
      </c>
      <c r="IZ372" s="27" t="s">
        <v>7</v>
      </c>
      <c r="JC372" s="27" t="s">
        <v>8</v>
      </c>
      <c r="JD372" s="27" t="s">
        <v>7</v>
      </c>
      <c r="JG372" s="27" t="s">
        <v>8</v>
      </c>
      <c r="JH372" s="27" t="s">
        <v>7</v>
      </c>
      <c r="JI372" s="27" t="s">
        <v>8</v>
      </c>
      <c r="JJ372" s="27" t="s">
        <v>7</v>
      </c>
    </row>
    <row r="373" spans="1:277" x14ac:dyDescent="0.25">
      <c r="A373" s="7">
        <v>69.252707472740454</v>
      </c>
      <c r="B373"/>
      <c r="C373"/>
      <c r="D373"/>
      <c r="E373"/>
      <c r="DM373" s="27" t="s">
        <v>8</v>
      </c>
      <c r="DN373" s="27" t="s">
        <v>7</v>
      </c>
      <c r="DO373" s="27" t="s">
        <v>8</v>
      </c>
      <c r="DP373" s="27" t="s">
        <v>7</v>
      </c>
      <c r="EI373" s="27" t="s">
        <v>8</v>
      </c>
      <c r="EJ373" s="27" t="s">
        <v>7</v>
      </c>
      <c r="EK373" s="27" t="s">
        <v>8</v>
      </c>
      <c r="FD373" s="27" t="s">
        <v>7</v>
      </c>
      <c r="FE373" s="27" t="s">
        <v>8</v>
      </c>
      <c r="FF373" s="27" t="s">
        <v>7</v>
      </c>
      <c r="FG373" s="27" t="s">
        <v>8</v>
      </c>
      <c r="FT373" s="27" t="s">
        <v>7</v>
      </c>
      <c r="FW373" s="27" t="s">
        <v>8</v>
      </c>
      <c r="FX373" s="27" t="s">
        <v>7</v>
      </c>
      <c r="FY373" s="27" t="s">
        <v>8</v>
      </c>
      <c r="GA373" s="27" t="s">
        <v>8</v>
      </c>
      <c r="GO373" s="27" t="s">
        <v>8</v>
      </c>
      <c r="GQ373" s="27" t="s">
        <v>8</v>
      </c>
      <c r="GR373" s="27" t="s">
        <v>7</v>
      </c>
      <c r="GS373" s="27" t="s">
        <v>8</v>
      </c>
      <c r="GT373" s="27" t="s">
        <v>7</v>
      </c>
      <c r="GV373" s="27" t="s">
        <v>7</v>
      </c>
      <c r="GW373" s="27" t="s">
        <v>8</v>
      </c>
      <c r="HH373" s="27" t="s">
        <v>7</v>
      </c>
      <c r="HI373" s="27" t="s">
        <v>8</v>
      </c>
      <c r="HJ373" s="27" t="s">
        <v>7</v>
      </c>
      <c r="HK373" s="27" t="s">
        <v>8</v>
      </c>
      <c r="HM373" s="27" t="s">
        <v>8</v>
      </c>
      <c r="HN373" s="27" t="s">
        <v>7</v>
      </c>
      <c r="HO373" s="27" t="s">
        <v>8</v>
      </c>
      <c r="HT373" s="27" t="s">
        <v>7</v>
      </c>
      <c r="IV373" s="27" t="s">
        <v>7</v>
      </c>
      <c r="IW373" s="27" t="s">
        <v>8</v>
      </c>
      <c r="IX373" s="27" t="s">
        <v>7</v>
      </c>
      <c r="IY373" s="27" t="s">
        <v>8</v>
      </c>
      <c r="IZ373" s="27" t="s">
        <v>7</v>
      </c>
      <c r="JA373" s="27" t="s">
        <v>8</v>
      </c>
      <c r="JC373" s="27" t="s">
        <v>8</v>
      </c>
      <c r="JD373" s="27" t="s">
        <v>7</v>
      </c>
      <c r="JE373" s="27" t="s">
        <v>8</v>
      </c>
      <c r="JG373" s="27" t="s">
        <v>8</v>
      </c>
      <c r="JH373" s="27" t="s">
        <v>7</v>
      </c>
      <c r="JI373" s="27" t="s">
        <v>8</v>
      </c>
      <c r="JJ373" s="27" t="s">
        <v>7</v>
      </c>
    </row>
    <row r="374" spans="1:277" x14ac:dyDescent="0.25">
      <c r="A374" s="7">
        <v>67.894811247784759</v>
      </c>
      <c r="B374"/>
      <c r="C374"/>
      <c r="D374"/>
      <c r="E374"/>
      <c r="DM374" s="27" t="s">
        <v>8</v>
      </c>
      <c r="DN374" s="27" t="s">
        <v>7</v>
      </c>
      <c r="DO374" s="27" t="s">
        <v>8</v>
      </c>
      <c r="DP374" s="27" t="s">
        <v>7</v>
      </c>
      <c r="EI374" s="27" t="s">
        <v>8</v>
      </c>
      <c r="EJ374" s="27" t="s">
        <v>7</v>
      </c>
      <c r="EK374" s="27" t="s">
        <v>8</v>
      </c>
      <c r="FD374" s="27" t="s">
        <v>7</v>
      </c>
      <c r="FE374" s="27" t="s">
        <v>8</v>
      </c>
      <c r="FF374" s="27" t="s">
        <v>7</v>
      </c>
      <c r="FG374" s="27" t="s">
        <v>8</v>
      </c>
      <c r="FT374" s="27" t="s">
        <v>7</v>
      </c>
      <c r="FU374" s="27" t="s">
        <v>8</v>
      </c>
      <c r="FW374" s="27" t="s">
        <v>8</v>
      </c>
      <c r="FX374" s="27" t="s">
        <v>7</v>
      </c>
      <c r="FY374" s="27" t="s">
        <v>8</v>
      </c>
      <c r="FZ374" s="27" t="s">
        <v>7</v>
      </c>
      <c r="GA374" s="27" t="s">
        <v>8</v>
      </c>
      <c r="GB374" s="27" t="s">
        <v>7</v>
      </c>
      <c r="GO374" s="27" t="s">
        <v>8</v>
      </c>
      <c r="GP374" s="27" t="s">
        <v>7</v>
      </c>
      <c r="GQ374" s="27" t="s">
        <v>8</v>
      </c>
      <c r="GR374" s="27" t="s">
        <v>7</v>
      </c>
      <c r="GV374" s="27" t="s">
        <v>7</v>
      </c>
      <c r="GW374" s="27" t="s">
        <v>8</v>
      </c>
      <c r="HH374" s="27" t="s">
        <v>7</v>
      </c>
      <c r="HJ374" s="27" t="s">
        <v>7</v>
      </c>
      <c r="HK374" s="27" t="s">
        <v>8</v>
      </c>
      <c r="HL374" s="27" t="s">
        <v>7</v>
      </c>
      <c r="HM374" s="27" t="s">
        <v>8</v>
      </c>
      <c r="HN374" s="27" t="s">
        <v>7</v>
      </c>
      <c r="HO374" s="27" t="s">
        <v>8</v>
      </c>
      <c r="IV374" s="27" t="s">
        <v>7</v>
      </c>
      <c r="IW374" s="27" t="s">
        <v>8</v>
      </c>
      <c r="IX374" s="27" t="s">
        <v>7</v>
      </c>
      <c r="IY374" s="27" t="s">
        <v>8</v>
      </c>
      <c r="IZ374" s="27" t="s">
        <v>7</v>
      </c>
      <c r="JA374" s="27" t="s">
        <v>8</v>
      </c>
      <c r="JB374" s="27" t="s">
        <v>7</v>
      </c>
      <c r="JC374" s="27" t="s">
        <v>8</v>
      </c>
      <c r="JD374" s="27" t="s">
        <v>7</v>
      </c>
      <c r="JE374" s="27" t="s">
        <v>8</v>
      </c>
      <c r="JF374" s="27" t="s">
        <v>7</v>
      </c>
      <c r="JG374" s="27" t="s">
        <v>8</v>
      </c>
      <c r="JH374" s="27" t="s">
        <v>7</v>
      </c>
      <c r="JJ374" s="27" t="s">
        <v>7</v>
      </c>
    </row>
    <row r="375" spans="1:277" x14ac:dyDescent="0.25">
      <c r="A375" s="7">
        <v>66.563540439004669</v>
      </c>
      <c r="B375"/>
      <c r="C375"/>
      <c r="D375"/>
      <c r="E375"/>
      <c r="DM375" s="27" t="s">
        <v>8</v>
      </c>
      <c r="DN375" s="27" t="s">
        <v>7</v>
      </c>
      <c r="DO375" s="27" t="s">
        <v>8</v>
      </c>
      <c r="DP375" s="27" t="s">
        <v>7</v>
      </c>
      <c r="EI375" s="27" t="s">
        <v>8</v>
      </c>
      <c r="EJ375" s="27" t="s">
        <v>7</v>
      </c>
      <c r="EK375" s="27" t="s">
        <v>8</v>
      </c>
      <c r="FD375" s="27" t="s">
        <v>7</v>
      </c>
      <c r="FE375" s="27" t="s">
        <v>8</v>
      </c>
      <c r="FF375" s="27" t="s">
        <v>7</v>
      </c>
      <c r="FG375" s="27" t="s">
        <v>8</v>
      </c>
      <c r="FT375" s="27" t="s">
        <v>7</v>
      </c>
      <c r="FU375" s="27" t="s">
        <v>8</v>
      </c>
      <c r="FV375" s="27" t="s">
        <v>7</v>
      </c>
      <c r="FW375" s="27" t="s">
        <v>8</v>
      </c>
      <c r="FX375" s="27" t="s">
        <v>7</v>
      </c>
      <c r="FY375" s="27" t="s">
        <v>8</v>
      </c>
      <c r="FZ375" s="27" t="s">
        <v>7</v>
      </c>
      <c r="GA375" s="27" t="s">
        <v>8</v>
      </c>
      <c r="GB375" s="27" t="s">
        <v>7</v>
      </c>
      <c r="GO375" s="27" t="s">
        <v>8</v>
      </c>
      <c r="GP375" s="27" t="s">
        <v>7</v>
      </c>
      <c r="GQ375" s="27" t="s">
        <v>8</v>
      </c>
      <c r="GV375" s="27" t="s">
        <v>7</v>
      </c>
      <c r="GW375" s="27" t="s">
        <v>8</v>
      </c>
      <c r="HJ375" s="27" t="s">
        <v>7</v>
      </c>
      <c r="HK375" s="27" t="s">
        <v>8</v>
      </c>
      <c r="HL375" s="27" t="s">
        <v>7</v>
      </c>
      <c r="HM375" s="27" t="s">
        <v>8</v>
      </c>
      <c r="HN375" s="27" t="s">
        <v>7</v>
      </c>
      <c r="HO375" s="27" t="s">
        <v>8</v>
      </c>
      <c r="IV375" s="27" t="s">
        <v>7</v>
      </c>
      <c r="IW375" s="27" t="s">
        <v>8</v>
      </c>
      <c r="IX375" s="27" t="s">
        <v>7</v>
      </c>
      <c r="IY375" s="27" t="s">
        <v>8</v>
      </c>
      <c r="IZ375" s="27" t="s">
        <v>7</v>
      </c>
      <c r="JA375" s="27" t="s">
        <v>8</v>
      </c>
      <c r="JB375" s="27" t="s">
        <v>7</v>
      </c>
      <c r="JC375" s="27" t="s">
        <v>8</v>
      </c>
      <c r="JD375" s="27" t="s">
        <v>7</v>
      </c>
      <c r="JE375" s="27" t="s">
        <v>8</v>
      </c>
      <c r="JF375" s="27" t="s">
        <v>7</v>
      </c>
      <c r="JG375" s="27" t="s">
        <v>8</v>
      </c>
      <c r="JJ375" s="27" t="s">
        <v>7</v>
      </c>
      <c r="JK375" s="27" t="s">
        <v>8</v>
      </c>
    </row>
    <row r="376" spans="1:277" x14ac:dyDescent="0.25">
      <c r="A376" s="7">
        <v>65.258372979416336</v>
      </c>
      <c r="B376"/>
      <c r="C376"/>
      <c r="D376"/>
      <c r="E376"/>
      <c r="DM376" s="27" t="s">
        <v>8</v>
      </c>
      <c r="DN376" s="27" t="s">
        <v>7</v>
      </c>
      <c r="DP376" s="27" t="s">
        <v>7</v>
      </c>
      <c r="EI376" s="27" t="s">
        <v>8</v>
      </c>
      <c r="EJ376" s="27" t="s">
        <v>7</v>
      </c>
      <c r="EK376" s="27" t="s">
        <v>8</v>
      </c>
      <c r="FD376" s="27" t="s">
        <v>7</v>
      </c>
      <c r="FE376" s="27" t="s">
        <v>8</v>
      </c>
      <c r="FF376" s="27" t="s">
        <v>7</v>
      </c>
      <c r="FG376" s="27" t="s">
        <v>8</v>
      </c>
      <c r="FT376" s="27" t="s">
        <v>7</v>
      </c>
      <c r="FU376" s="27" t="s">
        <v>8</v>
      </c>
      <c r="FV376" s="27" t="s">
        <v>7</v>
      </c>
      <c r="FW376" s="27" t="s">
        <v>8</v>
      </c>
      <c r="FX376" s="27" t="s">
        <v>7</v>
      </c>
      <c r="FY376" s="27" t="s">
        <v>8</v>
      </c>
      <c r="FZ376" s="27" t="s">
        <v>7</v>
      </c>
      <c r="GA376" s="27" t="s">
        <v>8</v>
      </c>
      <c r="GB376" s="27" t="s">
        <v>7</v>
      </c>
      <c r="GO376" s="27" t="s">
        <v>8</v>
      </c>
      <c r="GP376" s="27" t="s">
        <v>7</v>
      </c>
      <c r="GQ376" s="27" t="s">
        <v>8</v>
      </c>
      <c r="GV376" s="27" t="s">
        <v>7</v>
      </c>
      <c r="GW376" s="27" t="s">
        <v>8</v>
      </c>
      <c r="HJ376" s="27" t="s">
        <v>7</v>
      </c>
      <c r="HL376" s="27" t="s">
        <v>7</v>
      </c>
      <c r="HM376" s="27" t="s">
        <v>8</v>
      </c>
      <c r="HN376" s="27" t="s">
        <v>7</v>
      </c>
      <c r="HO376" s="27" t="s">
        <v>8</v>
      </c>
      <c r="IV376" s="27" t="s">
        <v>7</v>
      </c>
      <c r="IW376" s="27" t="s">
        <v>8</v>
      </c>
      <c r="IX376" s="27" t="s">
        <v>7</v>
      </c>
      <c r="IZ376" s="27" t="s">
        <v>7</v>
      </c>
      <c r="JB376" s="27" t="s">
        <v>7</v>
      </c>
      <c r="JC376" s="27" t="s">
        <v>8</v>
      </c>
      <c r="JD376" s="27" t="s">
        <v>7</v>
      </c>
      <c r="JE376" s="27" t="s">
        <v>8</v>
      </c>
      <c r="JF376" s="27" t="s">
        <v>7</v>
      </c>
      <c r="JG376" s="27" t="s">
        <v>8</v>
      </c>
      <c r="JJ376" s="27" t="s">
        <v>7</v>
      </c>
      <c r="JK376" s="27" t="s">
        <v>8</v>
      </c>
      <c r="JL376" s="27" t="s">
        <v>7</v>
      </c>
    </row>
    <row r="377" spans="1:277" x14ac:dyDescent="0.25">
      <c r="A377" s="7">
        <v>63.978797038643471</v>
      </c>
      <c r="B377"/>
      <c r="C377"/>
      <c r="D377"/>
      <c r="E377"/>
      <c r="DM377" s="27" t="s">
        <v>8</v>
      </c>
      <c r="DP377" s="27" t="s">
        <v>7</v>
      </c>
      <c r="EA377" s="27" t="s">
        <v>8</v>
      </c>
      <c r="EG377" s="27" t="s">
        <v>8</v>
      </c>
      <c r="EI377" s="27" t="s">
        <v>8</v>
      </c>
      <c r="EJ377" s="27" t="s">
        <v>7</v>
      </c>
      <c r="EK377" s="27" t="s">
        <v>8</v>
      </c>
      <c r="FD377" s="27" t="s">
        <v>7</v>
      </c>
      <c r="FE377" s="27" t="s">
        <v>8</v>
      </c>
      <c r="FF377" s="27" t="s">
        <v>7</v>
      </c>
      <c r="FG377" s="27" t="s">
        <v>8</v>
      </c>
      <c r="FT377" s="27" t="s">
        <v>7</v>
      </c>
      <c r="FU377" s="27" t="s">
        <v>8</v>
      </c>
      <c r="FV377" s="27" t="s">
        <v>7</v>
      </c>
      <c r="FW377" s="27" t="s">
        <v>8</v>
      </c>
      <c r="FX377" s="27" t="s">
        <v>7</v>
      </c>
      <c r="FY377" s="27" t="s">
        <v>8</v>
      </c>
      <c r="FZ377" s="27" t="s">
        <v>7</v>
      </c>
      <c r="GA377" s="27" t="s">
        <v>8</v>
      </c>
      <c r="GB377" s="27" t="s">
        <v>7</v>
      </c>
      <c r="GO377" s="27" t="s">
        <v>8</v>
      </c>
      <c r="GP377" s="27" t="s">
        <v>7</v>
      </c>
      <c r="GQ377" s="27" t="s">
        <v>8</v>
      </c>
      <c r="GV377" s="27" t="s">
        <v>7</v>
      </c>
      <c r="HL377" s="27" t="s">
        <v>7</v>
      </c>
      <c r="HM377" s="27" t="s">
        <v>8</v>
      </c>
      <c r="HN377" s="27" t="s">
        <v>7</v>
      </c>
      <c r="HO377" s="27" t="s">
        <v>8</v>
      </c>
      <c r="IV377" s="27" t="s">
        <v>7</v>
      </c>
      <c r="IW377" s="27" t="s">
        <v>8</v>
      </c>
      <c r="JB377" s="27" t="s">
        <v>7</v>
      </c>
      <c r="JC377" s="27" t="s">
        <v>8</v>
      </c>
      <c r="JD377" s="27" t="s">
        <v>7</v>
      </c>
      <c r="JF377" s="27" t="s">
        <v>7</v>
      </c>
      <c r="JG377" s="27" t="s">
        <v>8</v>
      </c>
      <c r="JJ377" s="27" t="s">
        <v>7</v>
      </c>
      <c r="JK377" s="27" t="s">
        <v>8</v>
      </c>
      <c r="JL377" s="27" t="s">
        <v>7</v>
      </c>
    </row>
    <row r="378" spans="1:277" x14ac:dyDescent="0.25">
      <c r="A378" s="7">
        <v>62.724310822199477</v>
      </c>
      <c r="B378"/>
      <c r="C378"/>
      <c r="D378"/>
      <c r="E378"/>
      <c r="DM378" s="27" t="s">
        <v>8</v>
      </c>
      <c r="DP378" s="27" t="s">
        <v>7</v>
      </c>
      <c r="EA378" s="27" t="s">
        <v>8</v>
      </c>
      <c r="EB378" s="27" t="s">
        <v>7</v>
      </c>
      <c r="EG378" s="27" t="s">
        <v>8</v>
      </c>
      <c r="EH378" s="27" t="s">
        <v>7</v>
      </c>
      <c r="EI378" s="27" t="s">
        <v>8</v>
      </c>
      <c r="EJ378" s="27" t="s">
        <v>7</v>
      </c>
      <c r="EK378" s="27" t="s">
        <v>8</v>
      </c>
      <c r="FD378" s="27" t="s">
        <v>7</v>
      </c>
      <c r="FE378" s="27" t="s">
        <v>8</v>
      </c>
      <c r="FF378" s="27" t="s">
        <v>7</v>
      </c>
      <c r="FG378" s="27" t="s">
        <v>8</v>
      </c>
      <c r="FT378" s="27" t="s">
        <v>7</v>
      </c>
      <c r="FU378" s="27" t="s">
        <v>8</v>
      </c>
      <c r="FV378" s="27" t="s">
        <v>7</v>
      </c>
      <c r="FW378" s="27" t="s">
        <v>8</v>
      </c>
      <c r="FX378" s="27" t="s">
        <v>7</v>
      </c>
      <c r="FY378" s="27" t="s">
        <v>8</v>
      </c>
      <c r="FZ378" s="27" t="s">
        <v>7</v>
      </c>
      <c r="GB378" s="27" t="s">
        <v>7</v>
      </c>
      <c r="GC378" s="27" t="s">
        <v>8</v>
      </c>
      <c r="GO378" s="27" t="s">
        <v>8</v>
      </c>
      <c r="GP378" s="27" t="s">
        <v>7</v>
      </c>
      <c r="GQ378" s="27" t="s">
        <v>8</v>
      </c>
      <c r="HL378" s="27" t="s">
        <v>7</v>
      </c>
      <c r="HM378" s="27" t="s">
        <v>8</v>
      </c>
      <c r="HN378" s="27" t="s">
        <v>7</v>
      </c>
      <c r="IV378" s="27" t="s">
        <v>7</v>
      </c>
      <c r="IW378" s="27" t="s">
        <v>8</v>
      </c>
      <c r="JB378" s="27" t="s">
        <v>7</v>
      </c>
      <c r="JC378" s="27" t="s">
        <v>8</v>
      </c>
      <c r="JF378" s="27" t="s">
        <v>7</v>
      </c>
      <c r="JG378" s="27" t="s">
        <v>8</v>
      </c>
      <c r="JJ378" s="27" t="s">
        <v>7</v>
      </c>
      <c r="JK378" s="27" t="s">
        <v>8</v>
      </c>
      <c r="JL378" s="27" t="s">
        <v>7</v>
      </c>
    </row>
    <row r="379" spans="1:277" x14ac:dyDescent="0.25">
      <c r="A379" s="7">
        <v>61.494422374705366</v>
      </c>
      <c r="B379"/>
      <c r="C379"/>
      <c r="D379"/>
      <c r="E379"/>
      <c r="DM379" s="27" t="s">
        <v>8</v>
      </c>
      <c r="DP379" s="27" t="s">
        <v>7</v>
      </c>
      <c r="EA379" s="27" t="s">
        <v>8</v>
      </c>
      <c r="EB379" s="27" t="s">
        <v>7</v>
      </c>
      <c r="EG379" s="27" t="s">
        <v>8</v>
      </c>
      <c r="EH379" s="27" t="s">
        <v>7</v>
      </c>
      <c r="EI379" s="27" t="s">
        <v>8</v>
      </c>
      <c r="EJ379" s="27" t="s">
        <v>7</v>
      </c>
      <c r="FD379" s="27" t="s">
        <v>7</v>
      </c>
      <c r="FE379" s="27" t="s">
        <v>8</v>
      </c>
      <c r="FF379" s="27" t="s">
        <v>7</v>
      </c>
      <c r="FG379" s="27" t="s">
        <v>8</v>
      </c>
      <c r="FT379" s="27" t="s">
        <v>7</v>
      </c>
      <c r="FU379" s="27" t="s">
        <v>8</v>
      </c>
      <c r="FV379" s="27" t="s">
        <v>7</v>
      </c>
      <c r="FW379" s="27" t="s">
        <v>8</v>
      </c>
      <c r="FX379" s="27" t="s">
        <v>7</v>
      </c>
      <c r="FY379" s="27" t="s">
        <v>8</v>
      </c>
      <c r="GB379" s="27" t="s">
        <v>7</v>
      </c>
      <c r="GC379" s="27" t="s">
        <v>8</v>
      </c>
      <c r="GD379" s="27" t="s">
        <v>7</v>
      </c>
      <c r="GE379" s="27" t="s">
        <v>8</v>
      </c>
      <c r="GI379" s="27" t="s">
        <v>8</v>
      </c>
      <c r="GM379" s="27" t="s">
        <v>8</v>
      </c>
      <c r="GO379" s="27" t="s">
        <v>8</v>
      </c>
      <c r="GP379" s="27" t="s">
        <v>7</v>
      </c>
      <c r="HL379" s="27" t="s">
        <v>7</v>
      </c>
      <c r="IV379" s="27" t="s">
        <v>7</v>
      </c>
      <c r="IW379" s="27" t="s">
        <v>8</v>
      </c>
      <c r="JB379" s="27" t="s">
        <v>7</v>
      </c>
      <c r="JC379" s="27" t="s">
        <v>8</v>
      </c>
      <c r="JF379" s="27" t="s">
        <v>7</v>
      </c>
      <c r="JG379" s="27" t="s">
        <v>8</v>
      </c>
      <c r="JJ379" s="27" t="s">
        <v>7</v>
      </c>
      <c r="JK379" s="27" t="s">
        <v>8</v>
      </c>
      <c r="JL379" s="27" t="s">
        <v>7</v>
      </c>
    </row>
    <row r="380" spans="1:277" x14ac:dyDescent="0.25">
      <c r="A380" s="7">
        <v>60.288649386966043</v>
      </c>
      <c r="B380"/>
      <c r="C380"/>
      <c r="D380"/>
      <c r="E380"/>
      <c r="DM380" s="27" t="s">
        <v>8</v>
      </c>
      <c r="DP380" s="27" t="s">
        <v>7</v>
      </c>
      <c r="EA380" s="27" t="s">
        <v>8</v>
      </c>
      <c r="EB380" s="27" t="s">
        <v>7</v>
      </c>
      <c r="EG380" s="27" t="s">
        <v>8</v>
      </c>
      <c r="EH380" s="27" t="s">
        <v>7</v>
      </c>
      <c r="EI380" s="27" t="s">
        <v>8</v>
      </c>
      <c r="FD380" s="27" t="s">
        <v>7</v>
      </c>
      <c r="FE380" s="27" t="s">
        <v>8</v>
      </c>
      <c r="FF380" s="27" t="s">
        <v>7</v>
      </c>
      <c r="FT380" s="27" t="s">
        <v>7</v>
      </c>
      <c r="FU380" s="27" t="s">
        <v>8</v>
      </c>
      <c r="FV380" s="27" t="s">
        <v>7</v>
      </c>
      <c r="FW380" s="27" t="s">
        <v>8</v>
      </c>
      <c r="FX380" s="27" t="s">
        <v>7</v>
      </c>
      <c r="FY380" s="27" t="s">
        <v>8</v>
      </c>
      <c r="GB380" s="27" t="s">
        <v>7</v>
      </c>
      <c r="GC380" s="27" t="s">
        <v>8</v>
      </c>
      <c r="GD380" s="27" t="s">
        <v>7</v>
      </c>
      <c r="GE380" s="27" t="s">
        <v>8</v>
      </c>
      <c r="GF380" s="27" t="s">
        <v>7</v>
      </c>
      <c r="GI380" s="27" t="s">
        <v>8</v>
      </c>
      <c r="GJ380" s="27" t="s">
        <v>7</v>
      </c>
      <c r="GM380" s="27" t="s">
        <v>8</v>
      </c>
      <c r="GN380" s="27" t="s">
        <v>7</v>
      </c>
      <c r="GO380" s="27" t="s">
        <v>8</v>
      </c>
      <c r="IV380" s="27" t="s">
        <v>7</v>
      </c>
      <c r="IW380" s="27" t="s">
        <v>8</v>
      </c>
      <c r="JB380" s="27" t="s">
        <v>7</v>
      </c>
      <c r="JC380" s="27" t="s">
        <v>8</v>
      </c>
      <c r="JF380" s="27" t="s">
        <v>7</v>
      </c>
      <c r="JJ380" s="27" t="s">
        <v>7</v>
      </c>
      <c r="JL380" s="27" t="s">
        <v>7</v>
      </c>
      <c r="JO380" s="27" t="s">
        <v>8</v>
      </c>
    </row>
    <row r="381" spans="1:277" x14ac:dyDescent="0.25">
      <c r="A381" s="7">
        <v>59.106519006829451</v>
      </c>
      <c r="B381"/>
      <c r="C381"/>
      <c r="D381"/>
      <c r="E381"/>
      <c r="DM381" s="27" t="s">
        <v>8</v>
      </c>
      <c r="DP381" s="27" t="s">
        <v>7</v>
      </c>
      <c r="DQ381" s="27" t="s">
        <v>8</v>
      </c>
      <c r="EA381" s="27" t="s">
        <v>8</v>
      </c>
      <c r="EB381" s="27" t="s">
        <v>7</v>
      </c>
      <c r="EG381" s="27" t="s">
        <v>8</v>
      </c>
      <c r="EH381" s="27" t="s">
        <v>7</v>
      </c>
      <c r="EI381" s="27" t="s">
        <v>8</v>
      </c>
      <c r="FD381" s="27" t="s">
        <v>7</v>
      </c>
      <c r="FE381" s="27" t="s">
        <v>8</v>
      </c>
      <c r="FT381" s="27" t="s">
        <v>7</v>
      </c>
      <c r="FU381" s="27" t="s">
        <v>8</v>
      </c>
      <c r="FV381" s="27" t="s">
        <v>7</v>
      </c>
      <c r="FW381" s="27" t="s">
        <v>8</v>
      </c>
      <c r="FX381" s="27" t="s">
        <v>7</v>
      </c>
      <c r="FY381" s="27" t="s">
        <v>8</v>
      </c>
      <c r="GB381" s="27" t="s">
        <v>7</v>
      </c>
      <c r="GC381" s="27" t="s">
        <v>8</v>
      </c>
      <c r="GD381" s="27" t="s">
        <v>7</v>
      </c>
      <c r="GE381" s="27" t="s">
        <v>8</v>
      </c>
      <c r="GF381" s="27" t="s">
        <v>7</v>
      </c>
      <c r="GI381" s="27" t="s">
        <v>8</v>
      </c>
      <c r="GJ381" s="27" t="s">
        <v>7</v>
      </c>
      <c r="GM381" s="27" t="s">
        <v>8</v>
      </c>
      <c r="GN381" s="27" t="s">
        <v>7</v>
      </c>
      <c r="GO381" s="27" t="s">
        <v>8</v>
      </c>
      <c r="IV381" s="27" t="s">
        <v>7</v>
      </c>
      <c r="IW381" s="27" t="s">
        <v>8</v>
      </c>
      <c r="JB381" s="27" t="s">
        <v>7</v>
      </c>
      <c r="JC381" s="27" t="s">
        <v>8</v>
      </c>
      <c r="JL381" s="27" t="s">
        <v>7</v>
      </c>
      <c r="JO381" s="27" t="s">
        <v>8</v>
      </c>
      <c r="JP381" s="27" t="s">
        <v>7</v>
      </c>
    </row>
    <row r="382" spans="1:277" x14ac:dyDescent="0.25">
      <c r="A382" s="7">
        <v>57.947567653754362</v>
      </c>
      <c r="B382"/>
      <c r="C382"/>
      <c r="D382"/>
      <c r="E382"/>
      <c r="DK382" s="27" t="s">
        <v>8</v>
      </c>
      <c r="DM382" s="27" t="s">
        <v>8</v>
      </c>
      <c r="DP382" s="27" t="s">
        <v>7</v>
      </c>
      <c r="DQ382" s="27" t="s">
        <v>8</v>
      </c>
      <c r="DR382" s="27" t="s">
        <v>7</v>
      </c>
      <c r="DY382" s="27" t="s">
        <v>8</v>
      </c>
      <c r="EA382" s="27" t="s">
        <v>8</v>
      </c>
      <c r="EB382" s="27" t="s">
        <v>7</v>
      </c>
      <c r="EG382" s="27" t="s">
        <v>8</v>
      </c>
      <c r="EH382" s="27" t="s">
        <v>7</v>
      </c>
      <c r="EI382" s="27" t="s">
        <v>8</v>
      </c>
      <c r="FD382" s="27" t="s">
        <v>7</v>
      </c>
      <c r="FE382" s="27" t="s">
        <v>8</v>
      </c>
      <c r="FT382" s="27" t="s">
        <v>7</v>
      </c>
      <c r="FU382" s="27" t="s">
        <v>8</v>
      </c>
      <c r="FV382" s="27" t="s">
        <v>7</v>
      </c>
      <c r="FW382" s="27" t="s">
        <v>8</v>
      </c>
      <c r="FX382" s="27" t="s">
        <v>7</v>
      </c>
      <c r="GB382" s="27" t="s">
        <v>7</v>
      </c>
      <c r="GC382" s="27" t="s">
        <v>8</v>
      </c>
      <c r="GD382" s="27" t="s">
        <v>7</v>
      </c>
      <c r="GF382" s="27" t="s">
        <v>7</v>
      </c>
      <c r="GI382" s="27" t="s">
        <v>8</v>
      </c>
      <c r="GJ382" s="27" t="s">
        <v>7</v>
      </c>
      <c r="GK382" s="27" t="s">
        <v>8</v>
      </c>
      <c r="GM382" s="27" t="s">
        <v>8</v>
      </c>
      <c r="GN382" s="27" t="s">
        <v>7</v>
      </c>
      <c r="GO382" s="27" t="s">
        <v>8</v>
      </c>
      <c r="IV382" s="27" t="s">
        <v>7</v>
      </c>
      <c r="IW382" s="27" t="s">
        <v>8</v>
      </c>
      <c r="JB382" s="27" t="s">
        <v>7</v>
      </c>
      <c r="JL382" s="27" t="s">
        <v>7</v>
      </c>
      <c r="JM382" s="27" t="s">
        <v>8</v>
      </c>
      <c r="JO382" s="27" t="s">
        <v>8</v>
      </c>
      <c r="JP382" s="27" t="s">
        <v>7</v>
      </c>
    </row>
    <row r="383" spans="1:277" x14ac:dyDescent="0.25">
      <c r="A383" s="7">
        <v>56.811340837014079</v>
      </c>
      <c r="B383"/>
      <c r="C383"/>
      <c r="D383"/>
      <c r="E383"/>
      <c r="DK383" s="27" t="s">
        <v>8</v>
      </c>
      <c r="DL383" s="27" t="s">
        <v>7</v>
      </c>
      <c r="DM383" s="27" t="s">
        <v>8</v>
      </c>
      <c r="DP383" s="27" t="s">
        <v>7</v>
      </c>
      <c r="DQ383" s="27" t="s">
        <v>8</v>
      </c>
      <c r="DR383" s="27" t="s">
        <v>7</v>
      </c>
      <c r="DY383" s="27" t="s">
        <v>8</v>
      </c>
      <c r="DZ383" s="27" t="s">
        <v>7</v>
      </c>
      <c r="EA383" s="27" t="s">
        <v>8</v>
      </c>
      <c r="EB383" s="27" t="s">
        <v>7</v>
      </c>
      <c r="EG383" s="27" t="s">
        <v>8</v>
      </c>
      <c r="EH383" s="27" t="s">
        <v>7</v>
      </c>
      <c r="EI383" s="27" t="s">
        <v>8</v>
      </c>
      <c r="FD383" s="27" t="s">
        <v>7</v>
      </c>
      <c r="FE383" s="27" t="s">
        <v>8</v>
      </c>
      <c r="FT383" s="27" t="s">
        <v>7</v>
      </c>
      <c r="FU383" s="27" t="s">
        <v>8</v>
      </c>
      <c r="FV383" s="27" t="s">
        <v>7</v>
      </c>
      <c r="FW383" s="27" t="s">
        <v>8</v>
      </c>
      <c r="GB383" s="27" t="s">
        <v>7</v>
      </c>
      <c r="GF383" s="27" t="s">
        <v>7</v>
      </c>
      <c r="GI383" s="27" t="s">
        <v>8</v>
      </c>
      <c r="GJ383" s="27" t="s">
        <v>7</v>
      </c>
      <c r="GK383" s="27" t="s">
        <v>8</v>
      </c>
      <c r="GL383" s="27" t="s">
        <v>7</v>
      </c>
      <c r="GM383" s="27" t="s">
        <v>8</v>
      </c>
      <c r="GN383" s="27" t="s">
        <v>7</v>
      </c>
      <c r="GO383" s="27" t="s">
        <v>8</v>
      </c>
      <c r="IV383" s="27" t="s">
        <v>7</v>
      </c>
      <c r="IW383" s="27" t="s">
        <v>8</v>
      </c>
      <c r="JL383" s="27" t="s">
        <v>7</v>
      </c>
      <c r="JM383" s="27" t="s">
        <v>8</v>
      </c>
      <c r="JN383" s="27" t="s">
        <v>7</v>
      </c>
      <c r="JO383" s="27" t="s">
        <v>8</v>
      </c>
      <c r="JP383" s="27" t="s">
        <v>7</v>
      </c>
    </row>
    <row r="384" spans="1:277" x14ac:dyDescent="0.25">
      <c r="A384" s="7">
        <v>55.69739297746478</v>
      </c>
      <c r="B384"/>
      <c r="C384"/>
      <c r="D384"/>
      <c r="E384"/>
      <c r="DK384" s="27" t="s">
        <v>8</v>
      </c>
      <c r="DL384" s="27" t="s">
        <v>7</v>
      </c>
      <c r="DM384" s="27" t="s">
        <v>8</v>
      </c>
      <c r="DP384" s="27" t="s">
        <v>7</v>
      </c>
      <c r="DQ384" s="27" t="s">
        <v>8</v>
      </c>
      <c r="DR384" s="27" t="s">
        <v>7</v>
      </c>
      <c r="DY384" s="27" t="s">
        <v>8</v>
      </c>
      <c r="DZ384" s="27" t="s">
        <v>7</v>
      </c>
      <c r="EA384" s="27" t="s">
        <v>8</v>
      </c>
      <c r="EB384" s="27" t="s">
        <v>7</v>
      </c>
      <c r="EG384" s="27" t="s">
        <v>8</v>
      </c>
      <c r="EH384" s="27" t="s">
        <v>7</v>
      </c>
      <c r="EI384" s="27" t="s">
        <v>8</v>
      </c>
      <c r="FD384" s="27" t="s">
        <v>7</v>
      </c>
      <c r="FE384" s="27" t="s">
        <v>8</v>
      </c>
      <c r="FT384" s="27" t="s">
        <v>7</v>
      </c>
      <c r="FU384" s="27" t="s">
        <v>8</v>
      </c>
      <c r="FV384" s="27" t="s">
        <v>7</v>
      </c>
      <c r="FW384" s="27" t="s">
        <v>8</v>
      </c>
      <c r="GF384" s="27" t="s">
        <v>7</v>
      </c>
      <c r="GI384" s="27" t="s">
        <v>8</v>
      </c>
      <c r="GJ384" s="27" t="s">
        <v>7</v>
      </c>
      <c r="GK384" s="27" t="s">
        <v>8</v>
      </c>
      <c r="GL384" s="27" t="s">
        <v>7</v>
      </c>
      <c r="GM384" s="27" t="s">
        <v>8</v>
      </c>
      <c r="GN384" s="27" t="s">
        <v>7</v>
      </c>
      <c r="IV384" s="27" t="s">
        <v>7</v>
      </c>
      <c r="JL384" s="27" t="s">
        <v>7</v>
      </c>
      <c r="JM384" s="27" t="s">
        <v>8</v>
      </c>
      <c r="JN384" s="27" t="s">
        <v>7</v>
      </c>
      <c r="JO384" s="27" t="s">
        <v>8</v>
      </c>
      <c r="JP384" s="27" t="s">
        <v>7</v>
      </c>
      <c r="JQ384" s="27" t="s">
        <v>8</v>
      </c>
    </row>
    <row r="385" spans="1:281" x14ac:dyDescent="0.25">
      <c r="A385" s="7">
        <v>54.605287232808607</v>
      </c>
      <c r="B385"/>
      <c r="C385"/>
      <c r="D385"/>
      <c r="E385"/>
      <c r="DK385" s="27" t="s">
        <v>8</v>
      </c>
      <c r="DL385" s="27" t="s">
        <v>7</v>
      </c>
      <c r="DM385" s="27" t="s">
        <v>8</v>
      </c>
      <c r="DP385" s="27" t="s">
        <v>7</v>
      </c>
      <c r="DQ385" s="27" t="s">
        <v>8</v>
      </c>
      <c r="DR385" s="27" t="s">
        <v>7</v>
      </c>
      <c r="DW385" s="27" t="s">
        <v>8</v>
      </c>
      <c r="DY385" s="27" t="s">
        <v>8</v>
      </c>
      <c r="DZ385" s="27" t="s">
        <v>7</v>
      </c>
      <c r="EA385" s="27" t="s">
        <v>8</v>
      </c>
      <c r="EB385" s="27" t="s">
        <v>7</v>
      </c>
      <c r="EE385" s="27" t="s">
        <v>8</v>
      </c>
      <c r="EG385" s="27" t="s">
        <v>8</v>
      </c>
      <c r="EH385" s="27" t="s">
        <v>7</v>
      </c>
      <c r="EI385" s="27" t="s">
        <v>8</v>
      </c>
      <c r="FD385" s="27" t="s">
        <v>7</v>
      </c>
      <c r="FE385" s="27" t="s">
        <v>8</v>
      </c>
      <c r="FT385" s="27" t="s">
        <v>7</v>
      </c>
      <c r="FU385" s="27" t="s">
        <v>8</v>
      </c>
      <c r="FV385" s="27" t="s">
        <v>7</v>
      </c>
      <c r="FW385" s="27" t="s">
        <v>8</v>
      </c>
      <c r="GF385" s="27" t="s">
        <v>7</v>
      </c>
      <c r="GG385" s="27" t="s">
        <v>8</v>
      </c>
      <c r="GI385" s="27" t="s">
        <v>8</v>
      </c>
      <c r="GJ385" s="27" t="s">
        <v>7</v>
      </c>
      <c r="GK385" s="27" t="s">
        <v>8</v>
      </c>
      <c r="GL385" s="27" t="s">
        <v>7</v>
      </c>
      <c r="GM385" s="27" t="s">
        <v>8</v>
      </c>
      <c r="JL385" s="27" t="s">
        <v>7</v>
      </c>
      <c r="JM385" s="27" t="s">
        <v>8</v>
      </c>
      <c r="JN385" s="27" t="s">
        <v>7</v>
      </c>
      <c r="JO385" s="27" t="s">
        <v>8</v>
      </c>
      <c r="JP385" s="27" t="s">
        <v>7</v>
      </c>
      <c r="JQ385" s="27" t="s">
        <v>8</v>
      </c>
      <c r="JR385" s="27" t="s">
        <v>7</v>
      </c>
    </row>
    <row r="386" spans="1:281" x14ac:dyDescent="0.25">
      <c r="A386" s="7">
        <v>53.534595326282947</v>
      </c>
      <c r="B386"/>
      <c r="C386"/>
      <c r="D386"/>
      <c r="E386"/>
      <c r="DK386" s="27" t="s">
        <v>8</v>
      </c>
      <c r="DL386" s="27" t="s">
        <v>7</v>
      </c>
      <c r="DM386" s="27" t="s">
        <v>8</v>
      </c>
      <c r="DP386" s="27" t="s">
        <v>7</v>
      </c>
      <c r="DQ386" s="27" t="s">
        <v>8</v>
      </c>
      <c r="DR386" s="27" t="s">
        <v>7</v>
      </c>
      <c r="DW386" s="27" t="s">
        <v>8</v>
      </c>
      <c r="DX386" s="27" t="s">
        <v>7</v>
      </c>
      <c r="DY386" s="27" t="s">
        <v>8</v>
      </c>
      <c r="DZ386" s="27" t="s">
        <v>7</v>
      </c>
      <c r="EA386" s="27" t="s">
        <v>8</v>
      </c>
      <c r="EB386" s="27" t="s">
        <v>7</v>
      </c>
      <c r="EE386" s="27" t="s">
        <v>8</v>
      </c>
      <c r="EF386" s="27" t="s">
        <v>7</v>
      </c>
      <c r="EG386" s="27" t="s">
        <v>8</v>
      </c>
      <c r="EH386" s="27" t="s">
        <v>7</v>
      </c>
      <c r="FD386" s="27" t="s">
        <v>7</v>
      </c>
      <c r="FT386" s="27" t="s">
        <v>7</v>
      </c>
      <c r="FU386" s="27" t="s">
        <v>8</v>
      </c>
      <c r="FV386" s="27" t="s">
        <v>7</v>
      </c>
      <c r="FW386" s="27" t="s">
        <v>8</v>
      </c>
      <c r="GF386" s="27" t="s">
        <v>7</v>
      </c>
      <c r="GG386" s="27" t="s">
        <v>8</v>
      </c>
      <c r="GH386" s="27" t="s">
        <v>7</v>
      </c>
      <c r="GI386" s="27" t="s">
        <v>8</v>
      </c>
      <c r="GJ386" s="27" t="s">
        <v>7</v>
      </c>
      <c r="GK386" s="27" t="s">
        <v>8</v>
      </c>
      <c r="GL386" s="27" t="s">
        <v>7</v>
      </c>
      <c r="JL386" s="27" t="s">
        <v>7</v>
      </c>
      <c r="JM386" s="27" t="s">
        <v>8</v>
      </c>
      <c r="JN386" s="27" t="s">
        <v>7</v>
      </c>
      <c r="JO386" s="27" t="s">
        <v>8</v>
      </c>
      <c r="JP386" s="27" t="s">
        <v>7</v>
      </c>
      <c r="JQ386" s="27" t="s">
        <v>8</v>
      </c>
      <c r="JR386" s="27" t="s">
        <v>7</v>
      </c>
    </row>
    <row r="387" spans="1:281" x14ac:dyDescent="0.25">
      <c r="A387" s="7">
        <v>52.484897378708773</v>
      </c>
      <c r="B387"/>
      <c r="C387"/>
      <c r="D387"/>
      <c r="E387"/>
      <c r="DK387" s="27" t="s">
        <v>8</v>
      </c>
      <c r="DL387" s="27" t="s">
        <v>7</v>
      </c>
      <c r="DM387" s="27" t="s">
        <v>8</v>
      </c>
      <c r="DP387" s="27" t="s">
        <v>7</v>
      </c>
      <c r="DQ387" s="27" t="s">
        <v>8</v>
      </c>
      <c r="DR387" s="27" t="s">
        <v>7</v>
      </c>
      <c r="DW387" s="27" t="s">
        <v>8</v>
      </c>
      <c r="DX387" s="27" t="s">
        <v>7</v>
      </c>
      <c r="DY387" s="27" t="s">
        <v>8</v>
      </c>
      <c r="DZ387" s="27" t="s">
        <v>7</v>
      </c>
      <c r="EA387" s="27" t="s">
        <v>8</v>
      </c>
      <c r="EB387" s="27" t="s">
        <v>7</v>
      </c>
      <c r="EE387" s="27" t="s">
        <v>8</v>
      </c>
      <c r="EF387" s="27" t="s">
        <v>7</v>
      </c>
      <c r="EG387" s="27" t="s">
        <v>8</v>
      </c>
      <c r="FT387" s="27" t="s">
        <v>7</v>
      </c>
      <c r="FU387" s="27" t="s">
        <v>8</v>
      </c>
      <c r="FV387" s="27" t="s">
        <v>7</v>
      </c>
      <c r="GF387" s="27" t="s">
        <v>7</v>
      </c>
      <c r="GG387" s="27" t="s">
        <v>8</v>
      </c>
      <c r="GH387" s="27" t="s">
        <v>7</v>
      </c>
      <c r="GI387" s="27" t="s">
        <v>8</v>
      </c>
      <c r="GJ387" s="27" t="s">
        <v>7</v>
      </c>
      <c r="JL387" s="27" t="s">
        <v>7</v>
      </c>
      <c r="JM387" s="27" t="s">
        <v>8</v>
      </c>
      <c r="JN387" s="27" t="s">
        <v>7</v>
      </c>
      <c r="JO387" s="27" t="s">
        <v>8</v>
      </c>
      <c r="JP387" s="27" t="s">
        <v>7</v>
      </c>
      <c r="JR387" s="27" t="s">
        <v>7</v>
      </c>
    </row>
    <row r="388" spans="1:281" x14ac:dyDescent="0.25">
      <c r="A388" s="7">
        <v>51.455781743832127</v>
      </c>
      <c r="B388"/>
      <c r="C388"/>
      <c r="D388"/>
      <c r="E388"/>
      <c r="DK388" s="27" t="s">
        <v>8</v>
      </c>
      <c r="DL388" s="27" t="s">
        <v>7</v>
      </c>
      <c r="DM388" s="27" t="s">
        <v>8</v>
      </c>
      <c r="DP388" s="27" t="s">
        <v>7</v>
      </c>
      <c r="DQ388" s="27" t="s">
        <v>8</v>
      </c>
      <c r="DR388" s="27" t="s">
        <v>7</v>
      </c>
      <c r="DS388" s="27" t="s">
        <v>8</v>
      </c>
      <c r="DW388" s="27" t="s">
        <v>8</v>
      </c>
      <c r="DX388" s="27" t="s">
        <v>7</v>
      </c>
      <c r="DY388" s="27" t="s">
        <v>8</v>
      </c>
      <c r="DZ388" s="27" t="s">
        <v>7</v>
      </c>
      <c r="EA388" s="27" t="s">
        <v>8</v>
      </c>
      <c r="EB388" s="27" t="s">
        <v>7</v>
      </c>
      <c r="EE388" s="27" t="s">
        <v>8</v>
      </c>
      <c r="EF388" s="27" t="s">
        <v>7</v>
      </c>
      <c r="EG388" s="27" t="s">
        <v>8</v>
      </c>
      <c r="FT388" s="27" t="s">
        <v>7</v>
      </c>
      <c r="FU388" s="27" t="s">
        <v>8</v>
      </c>
      <c r="GF388" s="27" t="s">
        <v>7</v>
      </c>
      <c r="GG388" s="27" t="s">
        <v>8</v>
      </c>
      <c r="GH388" s="27" t="s">
        <v>7</v>
      </c>
      <c r="GI388" s="27" t="s">
        <v>8</v>
      </c>
      <c r="JL388" s="27" t="s">
        <v>7</v>
      </c>
      <c r="JN388" s="27" t="s">
        <v>7</v>
      </c>
      <c r="JR388" s="27" t="s">
        <v>7</v>
      </c>
    </row>
    <row r="389" spans="1:281" x14ac:dyDescent="0.25">
      <c r="A389" s="7">
        <v>50.446844846894244</v>
      </c>
      <c r="B389"/>
      <c r="C389"/>
      <c r="D389"/>
      <c r="E389"/>
      <c r="DK389" s="27" t="s">
        <v>8</v>
      </c>
      <c r="DL389" s="27" t="s">
        <v>7</v>
      </c>
      <c r="DM389" s="27" t="s">
        <v>8</v>
      </c>
      <c r="DP389" s="27" t="s">
        <v>7</v>
      </c>
      <c r="DQ389" s="27" t="s">
        <v>8</v>
      </c>
      <c r="DR389" s="27" t="s">
        <v>7</v>
      </c>
      <c r="DS389" s="27" t="s">
        <v>8</v>
      </c>
      <c r="DT389" s="27" t="s">
        <v>7</v>
      </c>
      <c r="DU389" s="27" t="s">
        <v>8</v>
      </c>
      <c r="DW389" s="27" t="s">
        <v>8</v>
      </c>
      <c r="DX389" s="27" t="s">
        <v>7</v>
      </c>
      <c r="DY389" s="27" t="s">
        <v>8</v>
      </c>
      <c r="DZ389" s="27" t="s">
        <v>7</v>
      </c>
      <c r="EA389" s="27" t="s">
        <v>8</v>
      </c>
      <c r="EB389" s="27" t="s">
        <v>7</v>
      </c>
      <c r="EC389" s="27" t="s">
        <v>8</v>
      </c>
      <c r="EE389" s="27" t="s">
        <v>8</v>
      </c>
      <c r="EF389" s="27" t="s">
        <v>7</v>
      </c>
      <c r="EG389" s="27" t="s">
        <v>8</v>
      </c>
      <c r="FT389" s="27" t="s">
        <v>7</v>
      </c>
      <c r="FU389" s="27" t="s">
        <v>8</v>
      </c>
      <c r="GF389" s="27" t="s">
        <v>7</v>
      </c>
      <c r="GG389" s="27" t="s">
        <v>8</v>
      </c>
      <c r="GH389" s="27" t="s">
        <v>7</v>
      </c>
      <c r="GI389" s="27" t="s">
        <v>8</v>
      </c>
      <c r="JR389" s="27" t="s">
        <v>7</v>
      </c>
    </row>
    <row r="390" spans="1:281" x14ac:dyDescent="0.25">
      <c r="A390" s="7">
        <v>49.457691026366902</v>
      </c>
      <c r="B390"/>
      <c r="C390"/>
      <c r="D390"/>
      <c r="E390"/>
      <c r="DK390" s="27" t="s">
        <v>8</v>
      </c>
      <c r="DL390" s="27" t="s">
        <v>7</v>
      </c>
      <c r="DM390" s="27" t="s">
        <v>8</v>
      </c>
      <c r="DP390" s="27" t="s">
        <v>7</v>
      </c>
      <c r="DQ390" s="27" t="s">
        <v>8</v>
      </c>
      <c r="DR390" s="27" t="s">
        <v>7</v>
      </c>
      <c r="DS390" s="27" t="s">
        <v>8</v>
      </c>
      <c r="DT390" s="27" t="s">
        <v>7</v>
      </c>
      <c r="DU390" s="27" t="s">
        <v>8</v>
      </c>
      <c r="DV390" s="27" t="s">
        <v>7</v>
      </c>
      <c r="DW390" s="27" t="s">
        <v>8</v>
      </c>
      <c r="DX390" s="27" t="s">
        <v>7</v>
      </c>
      <c r="DY390" s="27" t="s">
        <v>8</v>
      </c>
      <c r="DZ390" s="27" t="s">
        <v>7</v>
      </c>
      <c r="EA390" s="27" t="s">
        <v>8</v>
      </c>
      <c r="EB390" s="27" t="s">
        <v>7</v>
      </c>
      <c r="EC390" s="27" t="s">
        <v>8</v>
      </c>
      <c r="ED390" s="27" t="s">
        <v>7</v>
      </c>
      <c r="EE390" s="27" t="s">
        <v>8</v>
      </c>
      <c r="EF390" s="27" t="s">
        <v>7</v>
      </c>
      <c r="EG390" s="27" t="s">
        <v>8</v>
      </c>
      <c r="FT390" s="27" t="s">
        <v>7</v>
      </c>
      <c r="FU390" s="27" t="s">
        <v>8</v>
      </c>
      <c r="GF390" s="27" t="s">
        <v>7</v>
      </c>
      <c r="GG390" s="27" t="s">
        <v>8</v>
      </c>
      <c r="GH390" s="27" t="s">
        <v>7</v>
      </c>
      <c r="JR390" s="27" t="s">
        <v>7</v>
      </c>
    </row>
    <row r="391" spans="1:281" x14ac:dyDescent="0.25">
      <c r="A391" s="7">
        <v>48.487932378791079</v>
      </c>
      <c r="B391"/>
      <c r="C391"/>
      <c r="D391"/>
      <c r="E391"/>
      <c r="DI391" s="27" t="s">
        <v>8</v>
      </c>
      <c r="DK391" s="27" t="s">
        <v>8</v>
      </c>
      <c r="DL391" s="27" t="s">
        <v>7</v>
      </c>
      <c r="DM391" s="27" t="s">
        <v>8</v>
      </c>
      <c r="DP391" s="27" t="s">
        <v>7</v>
      </c>
      <c r="DQ391" s="27" t="s">
        <v>8</v>
      </c>
      <c r="DR391" s="27" t="s">
        <v>7</v>
      </c>
      <c r="DS391" s="27" t="s">
        <v>8</v>
      </c>
      <c r="DT391" s="27" t="s">
        <v>7</v>
      </c>
      <c r="DU391" s="27" t="s">
        <v>8</v>
      </c>
      <c r="DV391" s="27" t="s">
        <v>7</v>
      </c>
      <c r="DW391" s="27" t="s">
        <v>8</v>
      </c>
      <c r="DX391" s="27" t="s">
        <v>7</v>
      </c>
      <c r="DY391" s="27" t="s">
        <v>8</v>
      </c>
      <c r="DZ391" s="27" t="s">
        <v>7</v>
      </c>
      <c r="EA391" s="27" t="s">
        <v>8</v>
      </c>
      <c r="EB391" s="27" t="s">
        <v>7</v>
      </c>
      <c r="EC391" s="27" t="s">
        <v>8</v>
      </c>
      <c r="ED391" s="27" t="s">
        <v>7</v>
      </c>
      <c r="EE391" s="27" t="s">
        <v>8</v>
      </c>
      <c r="EF391" s="27" t="s">
        <v>7</v>
      </c>
      <c r="FT391" s="27" t="s">
        <v>7</v>
      </c>
      <c r="FU391" s="27" t="s">
        <v>8</v>
      </c>
      <c r="GF391" s="27" t="s">
        <v>7</v>
      </c>
      <c r="GG391" s="27" t="s">
        <v>8</v>
      </c>
      <c r="JR391" s="27" t="s">
        <v>7</v>
      </c>
    </row>
    <row r="392" spans="1:281" x14ac:dyDescent="0.25">
      <c r="A392" s="7">
        <v>47.537188606657921</v>
      </c>
      <c r="B392"/>
      <c r="C392"/>
      <c r="D392"/>
      <c r="E392"/>
      <c r="DI392" s="27" t="s">
        <v>8</v>
      </c>
      <c r="DJ392" s="27" t="s">
        <v>7</v>
      </c>
      <c r="DK392" s="27" t="s">
        <v>8</v>
      </c>
      <c r="DL392" s="27" t="s">
        <v>7</v>
      </c>
      <c r="DM392" s="27" t="s">
        <v>8</v>
      </c>
      <c r="DP392" s="27" t="s">
        <v>7</v>
      </c>
      <c r="DQ392" s="27" t="s">
        <v>8</v>
      </c>
      <c r="DR392" s="27" t="s">
        <v>7</v>
      </c>
      <c r="DS392" s="27" t="s">
        <v>8</v>
      </c>
      <c r="DT392" s="27" t="s">
        <v>7</v>
      </c>
      <c r="DU392" s="27" t="s">
        <v>8</v>
      </c>
      <c r="DV392" s="27" t="s">
        <v>7</v>
      </c>
      <c r="DW392" s="27" t="s">
        <v>8</v>
      </c>
      <c r="DX392" s="27" t="s">
        <v>7</v>
      </c>
      <c r="DY392" s="27" t="s">
        <v>8</v>
      </c>
      <c r="DZ392" s="27" t="s">
        <v>7</v>
      </c>
      <c r="EA392" s="27" t="s">
        <v>8</v>
      </c>
      <c r="EB392" s="27" t="s">
        <v>7</v>
      </c>
      <c r="EC392" s="27" t="s">
        <v>8</v>
      </c>
      <c r="ED392" s="27" t="s">
        <v>7</v>
      </c>
      <c r="FT392" s="27" t="s">
        <v>7</v>
      </c>
      <c r="GF392" s="27" t="s">
        <v>7</v>
      </c>
      <c r="GG392" s="27" t="s">
        <v>8</v>
      </c>
      <c r="JR392" s="27" t="s">
        <v>7</v>
      </c>
    </row>
    <row r="393" spans="1:281" x14ac:dyDescent="0.25">
      <c r="A393" s="7">
        <v>46.605086869272469</v>
      </c>
      <c r="B393"/>
      <c r="C393"/>
      <c r="D393"/>
      <c r="E393"/>
      <c r="DI393" s="27" t="s">
        <v>8</v>
      </c>
      <c r="DJ393" s="27" t="s">
        <v>7</v>
      </c>
      <c r="DK393" s="27" t="s">
        <v>8</v>
      </c>
      <c r="DL393" s="27" t="s">
        <v>7</v>
      </c>
      <c r="DM393" s="27" t="s">
        <v>8</v>
      </c>
      <c r="DP393" s="27" t="s">
        <v>7</v>
      </c>
      <c r="DQ393" s="27" t="s">
        <v>8</v>
      </c>
      <c r="DR393" s="27" t="s">
        <v>7</v>
      </c>
      <c r="DS393" s="27" t="s">
        <v>8</v>
      </c>
      <c r="DT393" s="27" t="s">
        <v>7</v>
      </c>
      <c r="DU393" s="27" t="s">
        <v>8</v>
      </c>
      <c r="DV393" s="27" t="s">
        <v>7</v>
      </c>
      <c r="DW393" s="27" t="s">
        <v>8</v>
      </c>
      <c r="DX393" s="27" t="s">
        <v>7</v>
      </c>
      <c r="DY393" s="27" t="s">
        <v>8</v>
      </c>
      <c r="DZ393" s="27" t="s">
        <v>7</v>
      </c>
      <c r="EB393" s="27" t="s">
        <v>7</v>
      </c>
      <c r="EC393" s="27" t="s">
        <v>8</v>
      </c>
      <c r="GF393" s="27" t="s">
        <v>7</v>
      </c>
      <c r="GG393" s="27" t="s">
        <v>8</v>
      </c>
      <c r="JR393" s="27" t="s">
        <v>7</v>
      </c>
    </row>
    <row r="394" spans="1:281" x14ac:dyDescent="0.25">
      <c r="A394" s="7">
        <v>45.691261636541633</v>
      </c>
      <c r="B394"/>
      <c r="C394"/>
      <c r="D394"/>
      <c r="E394"/>
      <c r="DG394" s="27" t="s">
        <v>8</v>
      </c>
      <c r="DI394" s="27" t="s">
        <v>8</v>
      </c>
      <c r="DJ394" s="27" t="s">
        <v>7</v>
      </c>
      <c r="DL394" s="27" t="s">
        <v>7</v>
      </c>
      <c r="DM394" s="27" t="s">
        <v>8</v>
      </c>
      <c r="DP394" s="27" t="s">
        <v>7</v>
      </c>
      <c r="DQ394" s="27" t="s">
        <v>8</v>
      </c>
      <c r="DR394" s="27" t="s">
        <v>7</v>
      </c>
      <c r="DS394" s="27" t="s">
        <v>8</v>
      </c>
      <c r="DT394" s="27" t="s">
        <v>7</v>
      </c>
      <c r="DU394" s="27" t="s">
        <v>8</v>
      </c>
      <c r="DV394" s="27" t="s">
        <v>7</v>
      </c>
      <c r="DW394" s="27" t="s">
        <v>8</v>
      </c>
      <c r="DX394" s="27" t="s">
        <v>7</v>
      </c>
      <c r="EB394" s="27" t="s">
        <v>7</v>
      </c>
      <c r="EC394" s="27" t="s">
        <v>8</v>
      </c>
      <c r="GF394" s="18" t="s">
        <v>7</v>
      </c>
      <c r="GG394" s="27" t="s">
        <v>8</v>
      </c>
      <c r="JR394" s="27" t="s">
        <v>7</v>
      </c>
    </row>
    <row r="395" spans="1:281" x14ac:dyDescent="0.25">
      <c r="A395" s="7">
        <v>44.795354545629053</v>
      </c>
      <c r="B395"/>
      <c r="C395"/>
      <c r="D395"/>
      <c r="E395"/>
      <c r="DG395" s="27" t="s">
        <v>8</v>
      </c>
      <c r="DH395" s="27" t="s">
        <v>7</v>
      </c>
      <c r="DI395" s="27" t="s">
        <v>8</v>
      </c>
      <c r="DL395" s="27" t="s">
        <v>7</v>
      </c>
      <c r="DM395" s="27" t="s">
        <v>8</v>
      </c>
      <c r="DP395" s="27" t="s">
        <v>7</v>
      </c>
      <c r="DQ395" s="27" t="s">
        <v>8</v>
      </c>
      <c r="DR395" s="27" t="s">
        <v>7</v>
      </c>
      <c r="DS395" s="27" t="s">
        <v>8</v>
      </c>
      <c r="DT395" s="27" t="s">
        <v>7</v>
      </c>
      <c r="DU395" s="27" t="s">
        <v>8</v>
      </c>
      <c r="DV395" s="27" t="s">
        <v>7</v>
      </c>
      <c r="DW395" s="27" t="s">
        <v>8</v>
      </c>
      <c r="EB395" s="27" t="s">
        <v>7</v>
      </c>
      <c r="EC395" s="27" t="s">
        <v>8</v>
      </c>
      <c r="GF395" s="27" t="s">
        <v>7</v>
      </c>
      <c r="GG395" s="27" t="s">
        <v>8</v>
      </c>
      <c r="JR395" s="27" t="s">
        <v>7</v>
      </c>
    </row>
    <row r="396" spans="1:281" x14ac:dyDescent="0.25">
      <c r="A396" s="7">
        <v>43.917014260420636</v>
      </c>
      <c r="B396"/>
      <c r="C396"/>
      <c r="D396"/>
      <c r="E396"/>
      <c r="DG396" s="27" t="s">
        <v>8</v>
      </c>
      <c r="DH396" s="27" t="s">
        <v>7</v>
      </c>
      <c r="DI396" s="27" t="s">
        <v>8</v>
      </c>
      <c r="DL396" s="27" t="s">
        <v>7</v>
      </c>
      <c r="DP396" s="27" t="s">
        <v>7</v>
      </c>
      <c r="DR396" s="27" t="s">
        <v>7</v>
      </c>
      <c r="DT396" s="27" t="s">
        <v>7</v>
      </c>
      <c r="DU396" s="27" t="s">
        <v>8</v>
      </c>
      <c r="DV396" s="27" t="s">
        <v>7</v>
      </c>
      <c r="DW396" s="27" t="s">
        <v>8</v>
      </c>
      <c r="EB396" s="27" t="s">
        <v>7</v>
      </c>
      <c r="GF396" s="27" t="s">
        <v>7</v>
      </c>
      <c r="GG396" s="27" t="s">
        <v>8</v>
      </c>
      <c r="JR396" s="27" t="s">
        <v>7</v>
      </c>
    </row>
    <row r="397" spans="1:281" x14ac:dyDescent="0.25">
      <c r="A397" s="7">
        <v>43.055896333745721</v>
      </c>
      <c r="B397"/>
      <c r="C397"/>
      <c r="D397"/>
      <c r="E397"/>
      <c r="DG397" s="27" t="s">
        <v>8</v>
      </c>
      <c r="DH397" s="27" t="s">
        <v>7</v>
      </c>
      <c r="DI397" s="27" t="s">
        <v>8</v>
      </c>
      <c r="DT397" s="27" t="s">
        <v>7</v>
      </c>
      <c r="DU397" s="27" t="s">
        <v>8</v>
      </c>
      <c r="DV397" s="27" t="s">
        <v>7</v>
      </c>
      <c r="DW397" s="27" t="s">
        <v>8</v>
      </c>
      <c r="GF397" s="27" t="s">
        <v>7</v>
      </c>
      <c r="GG397" s="27" t="s">
        <v>8</v>
      </c>
      <c r="JR397" s="27" t="s">
        <v>7</v>
      </c>
    </row>
    <row r="398" spans="1:281" x14ac:dyDescent="0.25">
      <c r="A398" s="7">
        <v>42.211663072299729</v>
      </c>
      <c r="B398"/>
      <c r="C398"/>
      <c r="D398"/>
      <c r="E398"/>
      <c r="DG398" s="27" t="s">
        <v>8</v>
      </c>
      <c r="DH398" s="27" t="s">
        <v>7</v>
      </c>
      <c r="DI398" s="27" t="s">
        <v>8</v>
      </c>
      <c r="DT398" s="27" t="s">
        <v>7</v>
      </c>
      <c r="DU398" s="27" t="s">
        <v>8</v>
      </c>
      <c r="DV398" s="27" t="s">
        <v>7</v>
      </c>
      <c r="DW398" s="27" t="s">
        <v>8</v>
      </c>
      <c r="GF398" s="27" t="s">
        <v>7</v>
      </c>
      <c r="GG398" s="27" t="s">
        <v>8</v>
      </c>
      <c r="JR398" s="27" t="s">
        <v>7</v>
      </c>
    </row>
    <row r="399" spans="1:281" x14ac:dyDescent="0.25">
      <c r="A399" s="7">
        <v>41.383983404215421</v>
      </c>
      <c r="B399"/>
      <c r="C399"/>
      <c r="D399"/>
      <c r="E399"/>
      <c r="DG399" s="27" t="s">
        <v>8</v>
      </c>
      <c r="DH399" s="27" t="s">
        <v>7</v>
      </c>
      <c r="DI399" s="27" t="s">
        <v>8</v>
      </c>
      <c r="DT399" s="27" t="s">
        <v>7</v>
      </c>
      <c r="DU399" s="27" t="s">
        <v>8</v>
      </c>
      <c r="DV399" s="27" t="s">
        <v>7</v>
      </c>
      <c r="DW399" s="27" t="s">
        <v>8</v>
      </c>
      <c r="GF399" s="27" t="s">
        <v>7</v>
      </c>
      <c r="JR399" s="27" t="s">
        <v>7</v>
      </c>
    </row>
    <row r="400" spans="1:281" x14ac:dyDescent="0.25">
      <c r="A400" s="7">
        <v>40.572532749230803</v>
      </c>
      <c r="B400"/>
      <c r="C400"/>
      <c r="D400"/>
      <c r="E400"/>
      <c r="DG400" s="27" t="s">
        <v>8</v>
      </c>
      <c r="DH400" s="27" t="s">
        <v>7</v>
      </c>
      <c r="DI400" s="27" t="s">
        <v>8</v>
      </c>
      <c r="DT400" s="27" t="s">
        <v>7</v>
      </c>
      <c r="DU400" s="27" t="s">
        <v>8</v>
      </c>
      <c r="DV400" s="27" t="s">
        <v>7</v>
      </c>
      <c r="JR400" s="27" t="s">
        <v>7</v>
      </c>
      <c r="JU400" s="27" t="s">
        <v>8</v>
      </c>
    </row>
    <row r="401" spans="1:282" x14ac:dyDescent="0.25">
      <c r="A401" s="7">
        <v>39.776992891402749</v>
      </c>
      <c r="B401"/>
      <c r="C401"/>
      <c r="D401"/>
      <c r="E401"/>
      <c r="DG401" s="27" t="s">
        <v>8</v>
      </c>
      <c r="DH401" s="27" t="s">
        <v>7</v>
      </c>
      <c r="DI401" s="27" t="s">
        <v>8</v>
      </c>
      <c r="DT401" s="27" t="s">
        <v>7</v>
      </c>
      <c r="JR401" s="27" t="s">
        <v>7</v>
      </c>
      <c r="JU401" s="27" t="s">
        <v>8</v>
      </c>
      <c r="JV401" s="27" t="s">
        <v>7</v>
      </c>
    </row>
    <row r="402" spans="1:282" x14ac:dyDescent="0.25">
      <c r="A402" s="7">
        <v>38.997051854316418</v>
      </c>
      <c r="B402"/>
      <c r="C402"/>
      <c r="D402"/>
      <c r="E402"/>
      <c r="CW402" s="27" t="s">
        <v>8</v>
      </c>
      <c r="DA402" s="27" t="s">
        <v>8</v>
      </c>
      <c r="DE402" s="27" t="s">
        <v>8</v>
      </c>
      <c r="DG402" s="27" t="s">
        <v>8</v>
      </c>
      <c r="DH402" s="27" t="s">
        <v>7</v>
      </c>
      <c r="JR402" s="27" t="s">
        <v>7</v>
      </c>
      <c r="JU402" s="27" t="s">
        <v>8</v>
      </c>
      <c r="JV402" s="27" t="s">
        <v>7</v>
      </c>
    </row>
    <row r="403" spans="1:282" x14ac:dyDescent="0.25">
      <c r="A403" s="7">
        <v>38.232403778741585</v>
      </c>
      <c r="B403"/>
      <c r="C403"/>
      <c r="D403"/>
      <c r="E403"/>
      <c r="CW403" s="27" t="s">
        <v>8</v>
      </c>
      <c r="CX403" s="27" t="s">
        <v>7</v>
      </c>
      <c r="DA403" s="27" t="s">
        <v>8</v>
      </c>
      <c r="DB403" s="27" t="s">
        <v>7</v>
      </c>
      <c r="DE403" s="27" t="s">
        <v>8</v>
      </c>
      <c r="DF403" s="27" t="s">
        <v>7</v>
      </c>
      <c r="DG403" s="27" t="s">
        <v>8</v>
      </c>
      <c r="JR403" s="27" t="s">
        <v>7</v>
      </c>
      <c r="JU403" s="27" t="s">
        <v>8</v>
      </c>
      <c r="JV403" s="27" t="s">
        <v>7</v>
      </c>
    </row>
    <row r="404" spans="1:282" x14ac:dyDescent="0.25">
      <c r="A404" s="7">
        <v>37.48274880268783</v>
      </c>
      <c r="B404"/>
      <c r="C404"/>
      <c r="D404"/>
      <c r="E404"/>
      <c r="CW404" s="27" t="s">
        <v>8</v>
      </c>
      <c r="CX404" s="27" t="s">
        <v>7</v>
      </c>
      <c r="CY404" s="27" t="s">
        <v>8</v>
      </c>
      <c r="DA404" s="27" t="s">
        <v>8</v>
      </c>
      <c r="DB404" s="27" t="s">
        <v>7</v>
      </c>
      <c r="DE404" s="27" t="s">
        <v>8</v>
      </c>
      <c r="DF404" s="27" t="s">
        <v>7</v>
      </c>
      <c r="DG404" s="27" t="s">
        <v>8</v>
      </c>
      <c r="JR404" s="27" t="s">
        <v>7</v>
      </c>
      <c r="JU404" s="27" t="s">
        <v>8</v>
      </c>
      <c r="JV404" s="27" t="s">
        <v>7</v>
      </c>
    </row>
    <row r="405" spans="1:282" x14ac:dyDescent="0.25">
      <c r="A405" s="7">
        <v>36.747792943811596</v>
      </c>
      <c r="B405"/>
      <c r="C405"/>
      <c r="D405"/>
      <c r="E405"/>
      <c r="CW405" s="27" t="s">
        <v>8</v>
      </c>
      <c r="CX405" s="27" t="s">
        <v>7</v>
      </c>
      <c r="CY405" s="27" t="s">
        <v>8</v>
      </c>
      <c r="CZ405" s="27" t="s">
        <v>7</v>
      </c>
      <c r="DA405" s="27" t="s">
        <v>8</v>
      </c>
      <c r="DB405" s="27" t="s">
        <v>7</v>
      </c>
      <c r="DC405" s="27" t="s">
        <v>8</v>
      </c>
      <c r="DE405" s="27" t="s">
        <v>8</v>
      </c>
      <c r="DF405" s="27" t="s">
        <v>7</v>
      </c>
      <c r="DG405" s="27" t="s">
        <v>8</v>
      </c>
      <c r="JR405" s="27" t="s">
        <v>7</v>
      </c>
      <c r="JS405" s="27" t="s">
        <v>8</v>
      </c>
      <c r="JU405" s="27" t="s">
        <v>8</v>
      </c>
      <c r="JV405" s="27" t="s">
        <v>7</v>
      </c>
    </row>
    <row r="406" spans="1:282" x14ac:dyDescent="0.25">
      <c r="A406" s="7">
        <v>36.027247984129012</v>
      </c>
      <c r="B406"/>
      <c r="C406"/>
      <c r="D406"/>
      <c r="E406"/>
      <c r="CW406" s="27" t="s">
        <v>8</v>
      </c>
      <c r="CX406" s="27" t="s">
        <v>7</v>
      </c>
      <c r="CY406" s="27" t="s">
        <v>8</v>
      </c>
      <c r="CZ406" s="27" t="s">
        <v>7</v>
      </c>
      <c r="DA406" s="27" t="s">
        <v>8</v>
      </c>
      <c r="DB406" s="27" t="s">
        <v>7</v>
      </c>
      <c r="DC406" s="27" t="s">
        <v>8</v>
      </c>
      <c r="DD406" s="27" t="s">
        <v>7</v>
      </c>
      <c r="DE406" s="27" t="s">
        <v>8</v>
      </c>
      <c r="DF406" s="27" t="s">
        <v>7</v>
      </c>
      <c r="DG406" s="27" t="s">
        <v>8</v>
      </c>
      <c r="JR406" s="27" t="s">
        <v>7</v>
      </c>
      <c r="JS406" s="27" t="s">
        <v>8</v>
      </c>
      <c r="JT406" s="27" t="s">
        <v>7</v>
      </c>
      <c r="JU406" s="27" t="s">
        <v>8</v>
      </c>
      <c r="JV406" s="27" t="s">
        <v>7</v>
      </c>
    </row>
    <row r="407" spans="1:282" x14ac:dyDescent="0.25">
      <c r="A407" s="7">
        <v>35.320831356989224</v>
      </c>
      <c r="B407"/>
      <c r="C407"/>
      <c r="D407"/>
      <c r="E407"/>
      <c r="CW407" s="27" t="s">
        <v>8</v>
      </c>
      <c r="CX407" s="27" t="s">
        <v>7</v>
      </c>
      <c r="CY407" s="27" t="s">
        <v>8</v>
      </c>
      <c r="CZ407" s="27" t="s">
        <v>7</v>
      </c>
      <c r="DA407" s="27" t="s">
        <v>8</v>
      </c>
      <c r="DB407" s="27" t="s">
        <v>7</v>
      </c>
      <c r="DC407" s="27" t="s">
        <v>8</v>
      </c>
      <c r="DD407" s="27" t="s">
        <v>7</v>
      </c>
      <c r="DE407" s="27" t="s">
        <v>8</v>
      </c>
      <c r="DF407" s="27" t="s">
        <v>7</v>
      </c>
      <c r="DG407" s="27" t="s">
        <v>8</v>
      </c>
      <c r="JR407" s="27" t="s">
        <v>7</v>
      </c>
      <c r="JS407" s="27" t="s">
        <v>8</v>
      </c>
      <c r="JT407" s="27" t="s">
        <v>7</v>
      </c>
      <c r="JU407" s="27" t="s">
        <v>8</v>
      </c>
    </row>
    <row r="408" spans="1:282" x14ac:dyDescent="0.25">
      <c r="A408" s="7">
        <v>34.628266036263945</v>
      </c>
      <c r="B408"/>
      <c r="C408"/>
      <c r="D408"/>
      <c r="E408"/>
      <c r="CW408" s="27" t="s">
        <v>8</v>
      </c>
      <c r="CX408" s="27" t="s">
        <v>7</v>
      </c>
      <c r="CY408" s="27" t="s">
        <v>8</v>
      </c>
      <c r="CZ408" s="27" t="s">
        <v>7</v>
      </c>
      <c r="DA408" s="27" t="s">
        <v>8</v>
      </c>
      <c r="DB408" s="27" t="s">
        <v>7</v>
      </c>
      <c r="DD408" s="27" t="s">
        <v>7</v>
      </c>
      <c r="DF408" s="27" t="s">
        <v>7</v>
      </c>
      <c r="DG408" s="27" t="s">
        <v>8</v>
      </c>
      <c r="JR408" s="27" t="s">
        <v>7</v>
      </c>
      <c r="JS408" s="27" t="s">
        <v>8</v>
      </c>
      <c r="JT408" s="27" t="s">
        <v>7</v>
      </c>
      <c r="JU408" s="27" t="s">
        <v>8</v>
      </c>
    </row>
    <row r="409" spans="1:282" x14ac:dyDescent="0.25">
      <c r="A409" s="7">
        <v>33.949280427709752</v>
      </c>
      <c r="B409"/>
      <c r="C409"/>
      <c r="D409"/>
      <c r="E409"/>
      <c r="CS409" s="27" t="s">
        <v>8</v>
      </c>
      <c r="CW409" s="27" t="s">
        <v>8</v>
      </c>
      <c r="CX409" s="27" t="s">
        <v>7</v>
      </c>
      <c r="CY409" s="27" t="s">
        <v>8</v>
      </c>
      <c r="CZ409" s="27" t="s">
        <v>7</v>
      </c>
      <c r="DA409" s="27" t="s">
        <v>8</v>
      </c>
      <c r="DF409" s="27" t="s">
        <v>7</v>
      </c>
      <c r="DG409" s="27" t="s">
        <v>8</v>
      </c>
      <c r="JR409" s="27" t="s">
        <v>7</v>
      </c>
      <c r="JS409" s="27" t="s">
        <v>8</v>
      </c>
      <c r="JT409" s="27" t="s">
        <v>7</v>
      </c>
      <c r="JU409" s="27" t="s">
        <v>8</v>
      </c>
    </row>
    <row r="410" spans="1:282" x14ac:dyDescent="0.25">
      <c r="A410" s="7">
        <v>33.28360826246054</v>
      </c>
      <c r="B410"/>
      <c r="C410"/>
      <c r="D410"/>
      <c r="E410"/>
      <c r="CS410" s="27" t="s">
        <v>8</v>
      </c>
      <c r="CT410" s="27" t="s">
        <v>7</v>
      </c>
      <c r="CW410" s="27" t="s">
        <v>8</v>
      </c>
      <c r="CX410" s="27" t="s">
        <v>7</v>
      </c>
      <c r="CY410" s="27" t="s">
        <v>8</v>
      </c>
      <c r="CZ410" s="27" t="s">
        <v>7</v>
      </c>
      <c r="DF410" s="27" t="s">
        <v>7</v>
      </c>
      <c r="DG410" s="27" t="s">
        <v>8</v>
      </c>
      <c r="JR410" s="27" t="s">
        <v>7</v>
      </c>
      <c r="JS410" s="27" t="s">
        <v>8</v>
      </c>
      <c r="JT410" s="27" t="s">
        <v>7</v>
      </c>
      <c r="JU410" s="27" t="s">
        <v>8</v>
      </c>
    </row>
    <row r="411" spans="1:282" x14ac:dyDescent="0.25">
      <c r="A411" s="7">
        <v>32.630988492608374</v>
      </c>
      <c r="B411"/>
      <c r="C411"/>
      <c r="D411"/>
      <c r="E411"/>
      <c r="CS411" s="27" t="s">
        <v>8</v>
      </c>
      <c r="CT411" s="27" t="s">
        <v>7</v>
      </c>
      <c r="CW411" s="27" t="s">
        <v>8</v>
      </c>
      <c r="CX411" s="27" t="s">
        <v>7</v>
      </c>
      <c r="CY411" s="27" t="s">
        <v>8</v>
      </c>
      <c r="DF411" s="27" t="s">
        <v>7</v>
      </c>
      <c r="DG411" s="27" t="s">
        <v>8</v>
      </c>
      <c r="JR411" s="27" t="s">
        <v>7</v>
      </c>
      <c r="JS411" s="27" t="s">
        <v>8</v>
      </c>
      <c r="JT411" s="27" t="s">
        <v>7</v>
      </c>
      <c r="JU411" s="27" t="s">
        <v>8</v>
      </c>
    </row>
    <row r="412" spans="1:282" x14ac:dyDescent="0.25">
      <c r="A412" s="7">
        <v>31.99116518883174</v>
      </c>
      <c r="B412"/>
      <c r="C412"/>
      <c r="D412"/>
      <c r="E412"/>
      <c r="CS412" s="27" t="s">
        <v>8</v>
      </c>
      <c r="CT412" s="27" t="s">
        <v>7</v>
      </c>
      <c r="CW412" s="27" t="s">
        <v>8</v>
      </c>
      <c r="CX412" s="27" t="s">
        <v>7</v>
      </c>
      <c r="CY412" s="27" t="s">
        <v>8</v>
      </c>
      <c r="DF412" s="27" t="s">
        <v>7</v>
      </c>
      <c r="JR412" s="27" t="s">
        <v>7</v>
      </c>
      <c r="JS412" s="27" t="s">
        <v>8</v>
      </c>
      <c r="JT412" s="27" t="s">
        <v>7</v>
      </c>
      <c r="JU412" s="27" t="s">
        <v>8</v>
      </c>
    </row>
    <row r="413" spans="1:282" x14ac:dyDescent="0.25">
      <c r="A413" s="7">
        <v>31.363887440031117</v>
      </c>
      <c r="B413"/>
      <c r="C413"/>
      <c r="D413"/>
      <c r="E413"/>
      <c r="CS413" s="27" t="s">
        <v>8</v>
      </c>
      <c r="CT413" s="27" t="s">
        <v>7</v>
      </c>
      <c r="CW413" s="27" t="s">
        <v>8</v>
      </c>
      <c r="CX413" s="27" t="s">
        <v>7</v>
      </c>
      <c r="CY413" s="27" t="s">
        <v>8</v>
      </c>
      <c r="JR413" s="27" t="s">
        <v>7</v>
      </c>
      <c r="JS413" s="27" t="s">
        <v>8</v>
      </c>
      <c r="JT413" s="27" t="s">
        <v>7</v>
      </c>
      <c r="JU413" s="27" t="s">
        <v>8</v>
      </c>
    </row>
    <row r="414" spans="1:282" x14ac:dyDescent="0.25">
      <c r="A414" s="7">
        <v>30.748909254932467</v>
      </c>
      <c r="B414"/>
      <c r="C414"/>
      <c r="D414"/>
      <c r="E414"/>
      <c r="CO414" s="27" t="s">
        <v>8</v>
      </c>
      <c r="CS414" s="27" t="s">
        <v>8</v>
      </c>
      <c r="CT414" s="27" t="s">
        <v>7</v>
      </c>
      <c r="CW414" s="27" t="s">
        <v>8</v>
      </c>
      <c r="CX414" s="27" t="s">
        <v>7</v>
      </c>
      <c r="CY414" s="27" t="s">
        <v>8</v>
      </c>
      <c r="JR414" s="27" t="s">
        <v>7</v>
      </c>
      <c r="JS414" s="27" t="s">
        <v>8</v>
      </c>
      <c r="JT414" s="27" t="s">
        <v>7</v>
      </c>
      <c r="JU414" s="27" t="s">
        <v>8</v>
      </c>
    </row>
    <row r="415" spans="1:282" x14ac:dyDescent="0.25">
      <c r="A415" s="7">
        <v>30.145989465620065</v>
      </c>
      <c r="B415"/>
      <c r="C415"/>
      <c r="D415"/>
      <c r="E415"/>
      <c r="CO415" s="27" t="s">
        <v>8</v>
      </c>
      <c r="CP415" s="27" t="s">
        <v>7</v>
      </c>
      <c r="CS415" s="27" t="s">
        <v>8</v>
      </c>
      <c r="CT415" s="27" t="s">
        <v>7</v>
      </c>
      <c r="CW415" s="27" t="s">
        <v>8</v>
      </c>
      <c r="CX415" s="27" t="s">
        <v>7</v>
      </c>
      <c r="CY415" s="27" t="s">
        <v>8</v>
      </c>
      <c r="JR415" s="27" t="s">
        <v>7</v>
      </c>
      <c r="JT415" s="27" t="s">
        <v>7</v>
      </c>
    </row>
    <row r="416" spans="1:282" x14ac:dyDescent="0.25">
      <c r="A416" s="7">
        <v>29.55489163296085</v>
      </c>
      <c r="B416"/>
      <c r="C416"/>
      <c r="D416"/>
      <c r="E416"/>
      <c r="CO416" s="27" t="s">
        <v>8</v>
      </c>
      <c r="CP416" s="27" t="s">
        <v>7</v>
      </c>
      <c r="CS416" s="27" t="s">
        <v>8</v>
      </c>
      <c r="CT416" s="27" t="s">
        <v>7</v>
      </c>
      <c r="CU416" s="27" t="s">
        <v>8</v>
      </c>
      <c r="CW416" s="27" t="s">
        <v>8</v>
      </c>
      <c r="CX416" s="27" t="s">
        <v>7</v>
      </c>
      <c r="CY416" s="27" t="s">
        <v>8</v>
      </c>
    </row>
    <row r="417" spans="1:103" x14ac:dyDescent="0.25">
      <c r="A417" s="7">
        <v>28.975383953883185</v>
      </c>
      <c r="B417"/>
      <c r="C417"/>
      <c r="D417"/>
      <c r="E417"/>
      <c r="CO417" s="27" t="s">
        <v>8</v>
      </c>
      <c r="CP417" s="27" t="s">
        <v>7</v>
      </c>
      <c r="CS417" s="27" t="s">
        <v>8</v>
      </c>
      <c r="CT417" s="27" t="s">
        <v>7</v>
      </c>
      <c r="CU417" s="27" t="s">
        <v>8</v>
      </c>
      <c r="CV417" s="27" t="s">
        <v>7</v>
      </c>
      <c r="CW417" s="27" t="s">
        <v>8</v>
      </c>
      <c r="CX417" s="27" t="s">
        <v>7</v>
      </c>
      <c r="CY417" s="27" t="s">
        <v>8</v>
      </c>
    </row>
    <row r="418" spans="1:103" x14ac:dyDescent="0.25">
      <c r="A418" s="7">
        <v>28.407239170473709</v>
      </c>
      <c r="B418"/>
      <c r="C418"/>
      <c r="D418"/>
      <c r="E418"/>
      <c r="CO418" s="27" t="s">
        <v>8</v>
      </c>
      <c r="CP418" s="27" t="s">
        <v>7</v>
      </c>
      <c r="CS418" s="27" t="s">
        <v>8</v>
      </c>
      <c r="CT418" s="27" t="s">
        <v>7</v>
      </c>
      <c r="CU418" s="27" t="s">
        <v>8</v>
      </c>
      <c r="CV418" s="27" t="s">
        <v>7</v>
      </c>
      <c r="CW418" s="27" t="s">
        <v>8</v>
      </c>
      <c r="CX418" s="27" t="s">
        <v>7</v>
      </c>
    </row>
    <row r="419" spans="1:103" x14ac:dyDescent="0.25">
      <c r="A419" s="7">
        <v>27.850234480856578</v>
      </c>
      <c r="B419"/>
      <c r="C419"/>
      <c r="D419"/>
      <c r="E419"/>
      <c r="CO419" s="27" t="s">
        <v>8</v>
      </c>
      <c r="CP419" s="27" t="s">
        <v>7</v>
      </c>
      <c r="CS419" s="27" t="s">
        <v>8</v>
      </c>
      <c r="CT419" s="27" t="s">
        <v>7</v>
      </c>
      <c r="CU419" s="27" t="s">
        <v>8</v>
      </c>
      <c r="CV419" s="27" t="s">
        <v>7</v>
      </c>
      <c r="CW419" s="27" t="s">
        <v>8</v>
      </c>
    </row>
    <row r="420" spans="1:103" x14ac:dyDescent="0.25">
      <c r="A420" s="7">
        <v>27.304151451820175</v>
      </c>
      <c r="B420"/>
      <c r="C420"/>
      <c r="D420"/>
      <c r="E420"/>
      <c r="CO420" s="27" t="s">
        <v>8</v>
      </c>
      <c r="CP420" s="27" t="s">
        <v>7</v>
      </c>
      <c r="CQ420" s="27" t="s">
        <v>8</v>
      </c>
      <c r="CS420" s="27" t="s">
        <v>8</v>
      </c>
      <c r="CT420" s="27" t="s">
        <v>7</v>
      </c>
      <c r="CU420" s="27" t="s">
        <v>8</v>
      </c>
      <c r="CV420" s="27" t="s">
        <v>7</v>
      </c>
      <c r="CW420" s="27" t="s">
        <v>8</v>
      </c>
    </row>
    <row r="421" spans="1:103" x14ac:dyDescent="0.25">
      <c r="A421" s="7">
        <v>26.768775933157034</v>
      </c>
      <c r="B421"/>
      <c r="C421"/>
      <c r="D421"/>
      <c r="E421"/>
      <c r="CO421" s="27" t="s">
        <v>8</v>
      </c>
      <c r="CP421" s="27" t="s">
        <v>7</v>
      </c>
      <c r="CQ421" s="27" t="s">
        <v>8</v>
      </c>
      <c r="CR421" s="27" t="s">
        <v>7</v>
      </c>
      <c r="CS421" s="27" t="s">
        <v>8</v>
      </c>
      <c r="CT421" s="27" t="s">
        <v>7</v>
      </c>
      <c r="CU421" s="27" t="s">
        <v>8</v>
      </c>
      <c r="CV421" s="27" t="s">
        <v>7</v>
      </c>
    </row>
    <row r="422" spans="1:103" x14ac:dyDescent="0.25">
      <c r="A422" s="7">
        <v>26.243897973683367</v>
      </c>
      <c r="B422"/>
      <c r="C422"/>
      <c r="D422"/>
      <c r="E422"/>
      <c r="CO422" s="27" t="s">
        <v>8</v>
      </c>
      <c r="CP422" s="27" t="s">
        <v>7</v>
      </c>
      <c r="CQ422" s="27" t="s">
        <v>8</v>
      </c>
      <c r="CR422" s="27" t="s">
        <v>7</v>
      </c>
      <c r="CS422" s="27" t="s">
        <v>8</v>
      </c>
      <c r="CT422" s="27" t="s">
        <v>7</v>
      </c>
      <c r="CU422" s="27" t="s">
        <v>8</v>
      </c>
    </row>
    <row r="423" spans="1:103" x14ac:dyDescent="0.25">
      <c r="A423" s="7">
        <v>25.729311738905263</v>
      </c>
      <c r="B423"/>
      <c r="C423"/>
      <c r="D423"/>
      <c r="E423"/>
      <c r="CO423" s="27" t="s">
        <v>8</v>
      </c>
      <c r="CP423" s="27" t="s">
        <v>7</v>
      </c>
      <c r="CQ423" s="27" t="s">
        <v>8</v>
      </c>
      <c r="CR423" s="27" t="s">
        <v>7</v>
      </c>
      <c r="CS423" s="27" t="s">
        <v>8</v>
      </c>
      <c r="CT423" s="27" t="s">
        <v>7</v>
      </c>
      <c r="CU423" s="27" t="s">
        <v>8</v>
      </c>
    </row>
    <row r="424" spans="1:103" x14ac:dyDescent="0.25">
      <c r="A424" s="7">
        <v>25.224815430299277</v>
      </c>
      <c r="B424"/>
      <c r="C424"/>
      <c r="D424"/>
      <c r="E424"/>
      <c r="CO424" s="27" t="s">
        <v>8</v>
      </c>
      <c r="CP424" s="27" t="s">
        <v>7</v>
      </c>
      <c r="CQ424" s="27" t="s">
        <v>8</v>
      </c>
      <c r="CR424" s="27" t="s">
        <v>7</v>
      </c>
      <c r="CS424" s="27" t="s">
        <v>8</v>
      </c>
      <c r="CT424" s="27" t="s">
        <v>7</v>
      </c>
      <c r="CU424" s="27" t="s">
        <v>8</v>
      </c>
    </row>
    <row r="425" spans="1:103" x14ac:dyDescent="0.25">
      <c r="A425" s="7">
        <v>24.73021120617576</v>
      </c>
      <c r="B425"/>
      <c r="C425"/>
      <c r="D425"/>
      <c r="E425"/>
      <c r="CO425" s="27" t="s">
        <v>8</v>
      </c>
      <c r="CP425" s="27" t="s">
        <v>7</v>
      </c>
      <c r="CQ425" s="27" t="s">
        <v>8</v>
      </c>
      <c r="CR425" s="27" t="s">
        <v>7</v>
      </c>
      <c r="CS425" s="27" t="s">
        <v>8</v>
      </c>
      <c r="CT425" s="27" t="s">
        <v>7</v>
      </c>
    </row>
    <row r="426" spans="1:103" x14ac:dyDescent="0.25">
      <c r="A426" s="7">
        <v>24.24530510409388</v>
      </c>
      <c r="B426"/>
      <c r="C426"/>
      <c r="D426"/>
      <c r="E426"/>
      <c r="CO426" s="27" t="s">
        <v>8</v>
      </c>
      <c r="CP426" s="27" t="s">
        <v>7</v>
      </c>
      <c r="CR426" s="27" t="s">
        <v>7</v>
      </c>
      <c r="CS426" s="27" t="s">
        <v>8</v>
      </c>
    </row>
    <row r="427" spans="1:103" x14ac:dyDescent="0.25">
      <c r="A427" s="7">
        <v>23.769906964797922</v>
      </c>
      <c r="B427"/>
      <c r="C427"/>
      <c r="D427"/>
      <c r="E427"/>
      <c r="CO427" s="27" t="s">
        <v>8</v>
      </c>
      <c r="CR427" s="27" t="s">
        <v>7</v>
      </c>
      <c r="CS427" s="27" t="s">
        <v>8</v>
      </c>
    </row>
    <row r="428" spans="1:103" x14ac:dyDescent="0.25">
      <c r="A428" s="7">
        <v>23.303830357645023</v>
      </c>
      <c r="B428"/>
      <c r="C428"/>
      <c r="D428"/>
      <c r="E428"/>
      <c r="CO428" s="27" t="s">
        <v>8</v>
      </c>
      <c r="CR428" s="27" t="s">
        <v>7</v>
      </c>
      <c r="CS428" s="27" t="s">
        <v>8</v>
      </c>
    </row>
    <row r="429" spans="1:103" x14ac:dyDescent="0.25">
      <c r="A429" s="7">
        <v>22.84689250749512</v>
      </c>
      <c r="B429"/>
      <c r="C429"/>
      <c r="D429"/>
      <c r="E429"/>
      <c r="CO429" s="27" t="s">
        <v>8</v>
      </c>
      <c r="CR429" s="27" t="s">
        <v>7</v>
      </c>
      <c r="CS429" s="27" t="s">
        <v>8</v>
      </c>
    </row>
    <row r="430" spans="1:103" x14ac:dyDescent="0.25">
      <c r="A430" s="7">
        <v>22.398914223034431</v>
      </c>
      <c r="B430"/>
      <c r="C430"/>
      <c r="D430"/>
      <c r="E430"/>
      <c r="CO430" s="27" t="s">
        <v>8</v>
      </c>
      <c r="CR430" s="27" t="s">
        <v>7</v>
      </c>
      <c r="CS430" s="27" t="s">
        <v>8</v>
      </c>
    </row>
    <row r="431" spans="1:103" x14ac:dyDescent="0.25">
      <c r="A431" s="7">
        <v>21.959719826504344</v>
      </c>
      <c r="B431"/>
      <c r="C431"/>
      <c r="D431"/>
      <c r="E431"/>
      <c r="CO431" s="27" t="s">
        <v>8</v>
      </c>
      <c r="CR431" s="27" t="s">
        <v>7</v>
      </c>
    </row>
    <row r="432" spans="1:103" x14ac:dyDescent="0.25">
      <c r="A432" s="7">
        <v>21.52913708480818</v>
      </c>
      <c r="B432"/>
      <c r="C432"/>
      <c r="D432"/>
      <c r="E432"/>
      <c r="CO432" s="27" t="s">
        <v>8</v>
      </c>
    </row>
    <row r="433" spans="1:93" x14ac:dyDescent="0.25">
      <c r="A433" s="7">
        <v>21.106997141968804</v>
      </c>
      <c r="B433"/>
      <c r="C433"/>
      <c r="D433"/>
      <c r="E433"/>
      <c r="CO433" s="27" t="s">
        <v>8</v>
      </c>
    </row>
    <row r="434" spans="1:93" x14ac:dyDescent="0.25">
      <c r="A434" s="7">
        <v>20.693134452910591</v>
      </c>
      <c r="B434"/>
      <c r="C434"/>
      <c r="D434"/>
      <c r="E434"/>
      <c r="CO434" s="27" t="s">
        <v>8</v>
      </c>
    </row>
    <row r="435" spans="1:93" x14ac:dyDescent="0.25">
      <c r="A435" s="7">
        <v>20.287386718539796</v>
      </c>
      <c r="B435"/>
      <c r="C435"/>
      <c r="D435"/>
      <c r="E435"/>
      <c r="CO435" s="27" t="s">
        <v>8</v>
      </c>
    </row>
    <row r="436" spans="1:93" x14ac:dyDescent="0.25">
      <c r="A436" s="7">
        <v>19.889594822097838</v>
      </c>
      <c r="B436"/>
      <c r="C436"/>
      <c r="D436"/>
      <c r="E436"/>
      <c r="CO436" s="27" t="s">
        <v>8</v>
      </c>
    </row>
    <row r="437" spans="1:93" x14ac:dyDescent="0.25">
      <c r="A437" s="7">
        <v>19.499602766762585</v>
      </c>
      <c r="B437"/>
      <c r="C437"/>
      <c r="D437"/>
      <c r="E437"/>
      <c r="BQ437" s="27" t="s">
        <v>8</v>
      </c>
      <c r="CO437" s="27" t="s">
        <v>8</v>
      </c>
    </row>
    <row r="438" spans="1:93" x14ac:dyDescent="0.25">
      <c r="A438" s="7">
        <v>19.117257614473122</v>
      </c>
      <c r="B438"/>
      <c r="C438"/>
      <c r="D438"/>
      <c r="E438"/>
      <c r="BQ438" s="27" t="s">
        <v>8</v>
      </c>
      <c r="BR438" s="27" t="s">
        <v>7</v>
      </c>
      <c r="CO438" s="27" t="s">
        <v>8</v>
      </c>
    </row>
    <row r="439" spans="1:93" x14ac:dyDescent="0.25">
      <c r="A439" s="7">
        <v>18.74240942595404</v>
      </c>
      <c r="B439"/>
      <c r="C439"/>
      <c r="D439"/>
      <c r="E439"/>
      <c r="BQ439" s="27" t="s">
        <v>8</v>
      </c>
      <c r="BR439" s="27" t="s">
        <v>7</v>
      </c>
      <c r="CO439" s="27" t="s">
        <v>8</v>
      </c>
    </row>
    <row r="440" spans="1:93" x14ac:dyDescent="0.25">
      <c r="A440" s="7">
        <v>18.374911201915726</v>
      </c>
      <c r="B440"/>
      <c r="C440"/>
      <c r="D440"/>
      <c r="E440"/>
      <c r="BQ440" s="27" t="s">
        <v>8</v>
      </c>
      <c r="BR440" s="27" t="s">
        <v>7</v>
      </c>
      <c r="CO440" s="27" t="s">
        <v>8</v>
      </c>
    </row>
    <row r="441" spans="1:93" x14ac:dyDescent="0.25">
      <c r="A441" s="7">
        <v>18.014618825407574</v>
      </c>
      <c r="B441"/>
      <c r="C441"/>
      <c r="D441"/>
      <c r="E441"/>
      <c r="BQ441" s="27" t="s">
        <v>8</v>
      </c>
      <c r="BR441" s="27" t="s">
        <v>7</v>
      </c>
      <c r="CO441" s="27" t="s">
        <v>8</v>
      </c>
    </row>
    <row r="442" spans="1:93" x14ac:dyDescent="0.25">
      <c r="A442" s="7">
        <v>17.661391005301542</v>
      </c>
      <c r="B442"/>
      <c r="C442"/>
      <c r="D442"/>
      <c r="E442"/>
      <c r="BQ442" s="27" t="s">
        <v>8</v>
      </c>
      <c r="BR442" s="27" t="s">
        <v>7</v>
      </c>
      <c r="CO442" s="27" t="s">
        <v>8</v>
      </c>
    </row>
    <row r="443" spans="1:93" x14ac:dyDescent="0.25">
      <c r="A443" s="7">
        <v>17.315089220883866</v>
      </c>
      <c r="B443"/>
      <c r="C443"/>
      <c r="D443"/>
      <c r="E443"/>
      <c r="BQ443" s="27" t="s">
        <v>8</v>
      </c>
      <c r="BR443" s="27" t="s">
        <v>7</v>
      </c>
      <c r="CO443" s="27" t="s">
        <v>8</v>
      </c>
    </row>
    <row r="444" spans="1:93" x14ac:dyDescent="0.25">
      <c r="A444" s="7">
        <v>16.975577667533202</v>
      </c>
      <c r="B444"/>
      <c r="C444"/>
      <c r="D444"/>
      <c r="E444"/>
      <c r="BQ444" s="27" t="s">
        <v>8</v>
      </c>
      <c r="BR444" s="27" t="s">
        <v>7</v>
      </c>
      <c r="CO444" s="27" t="s">
        <v>8</v>
      </c>
    </row>
    <row r="445" spans="1:93" x14ac:dyDescent="0.25">
      <c r="A445" s="7">
        <v>16.642723203463923</v>
      </c>
      <c r="B445"/>
      <c r="C445"/>
      <c r="D445"/>
      <c r="E445"/>
      <c r="BQ445" s="27" t="s">
        <v>8</v>
      </c>
      <c r="BR445" s="27" t="s">
        <v>7</v>
      </c>
      <c r="BU445" s="27" t="s">
        <v>8</v>
      </c>
      <c r="CO445" s="27" t="s">
        <v>8</v>
      </c>
    </row>
    <row r="446" spans="1:93" x14ac:dyDescent="0.25">
      <c r="A446" s="7">
        <v>16.316395297513651</v>
      </c>
      <c r="B446"/>
      <c r="C446"/>
      <c r="D446"/>
      <c r="E446"/>
      <c r="BQ446" s="27" t="s">
        <v>8</v>
      </c>
      <c r="BR446" s="27" t="s">
        <v>7</v>
      </c>
      <c r="BU446" s="27" t="s">
        <v>8</v>
      </c>
      <c r="BV446" s="27" t="s">
        <v>7</v>
      </c>
      <c r="CM446" s="27" t="s">
        <v>8</v>
      </c>
      <c r="CO446" s="27" t="s">
        <v>8</v>
      </c>
    </row>
    <row r="447" spans="1:93" x14ac:dyDescent="0.25">
      <c r="A447" s="7">
        <v>15.996465977954561</v>
      </c>
      <c r="B447"/>
      <c r="C447"/>
      <c r="D447"/>
      <c r="E447"/>
      <c r="BQ447" s="27" t="s">
        <v>8</v>
      </c>
      <c r="BR447" s="27" t="s">
        <v>7</v>
      </c>
      <c r="BU447" s="27" t="s">
        <v>8</v>
      </c>
      <c r="BV447" s="27" t="s">
        <v>7</v>
      </c>
      <c r="CM447" s="27" t="s">
        <v>8</v>
      </c>
      <c r="CN447" s="27" t="s">
        <v>7</v>
      </c>
      <c r="CO447" s="27" t="s">
        <v>8</v>
      </c>
    </row>
    <row r="448" spans="1:93" x14ac:dyDescent="0.25">
      <c r="A448" s="7">
        <v>15.682809782308393</v>
      </c>
      <c r="B448"/>
      <c r="C448"/>
      <c r="D448"/>
      <c r="E448"/>
      <c r="BQ448" s="27" t="s">
        <v>8</v>
      </c>
      <c r="BR448" s="27" t="s">
        <v>7</v>
      </c>
      <c r="BS448" s="27" t="s">
        <v>8</v>
      </c>
      <c r="BU448" s="27" t="s">
        <v>8</v>
      </c>
      <c r="BV448" s="27" t="s">
        <v>7</v>
      </c>
      <c r="CM448" s="27" t="s">
        <v>8</v>
      </c>
      <c r="CN448" s="27" t="s">
        <v>7</v>
      </c>
      <c r="CO448" s="27" t="s">
        <v>8</v>
      </c>
    </row>
    <row r="449" spans="1:93" x14ac:dyDescent="0.25">
      <c r="A449" s="7">
        <v>15.375303708145482</v>
      </c>
      <c r="B449"/>
      <c r="C449"/>
      <c r="D449"/>
      <c r="E449"/>
      <c r="BQ449" s="27" t="s">
        <v>8</v>
      </c>
      <c r="BR449" s="27" t="s">
        <v>7</v>
      </c>
      <c r="BS449" s="27" t="s">
        <v>8</v>
      </c>
      <c r="BT449" s="27" t="s">
        <v>7</v>
      </c>
      <c r="BU449" s="27" t="s">
        <v>8</v>
      </c>
      <c r="BV449" s="27" t="s">
        <v>7</v>
      </c>
      <c r="CM449" s="27" t="s">
        <v>8</v>
      </c>
      <c r="CN449" s="27" t="s">
        <v>7</v>
      </c>
      <c r="CO449" s="27" t="s">
        <v>8</v>
      </c>
    </row>
    <row r="450" spans="1:93" x14ac:dyDescent="0.25">
      <c r="A450" s="7">
        <v>15.073827164848511</v>
      </c>
      <c r="B450"/>
      <c r="C450"/>
      <c r="D450"/>
      <c r="E450"/>
      <c r="BQ450" s="27" t="s">
        <v>8</v>
      </c>
      <c r="BR450" s="27" t="s">
        <v>7</v>
      </c>
      <c r="BS450" s="27" t="s">
        <v>8</v>
      </c>
      <c r="BT450" s="27" t="s">
        <v>7</v>
      </c>
      <c r="BU450" s="27" t="s">
        <v>8</v>
      </c>
      <c r="BV450" s="27" t="s">
        <v>7</v>
      </c>
      <c r="CK450" s="27" t="s">
        <v>8</v>
      </c>
      <c r="CM450" s="27" t="s">
        <v>8</v>
      </c>
      <c r="CN450" s="27" t="s">
        <v>7</v>
      </c>
      <c r="CO450" s="27" t="s">
        <v>8</v>
      </c>
    </row>
    <row r="451" spans="1:93" x14ac:dyDescent="0.25">
      <c r="A451" s="7">
        <v>14.77826192632207</v>
      </c>
      <c r="B451"/>
      <c r="C451"/>
      <c r="D451"/>
      <c r="E451"/>
      <c r="BQ451" s="27" t="s">
        <v>8</v>
      </c>
      <c r="BR451" s="27" t="s">
        <v>7</v>
      </c>
      <c r="BS451" s="27" t="s">
        <v>8</v>
      </c>
      <c r="BT451" s="27" t="s">
        <v>7</v>
      </c>
      <c r="BU451" s="27" t="s">
        <v>8</v>
      </c>
      <c r="BV451" s="27" t="s">
        <v>7</v>
      </c>
      <c r="CK451" s="27" t="s">
        <v>8</v>
      </c>
      <c r="CL451" s="27" t="s">
        <v>7</v>
      </c>
      <c r="CM451" s="27" t="s">
        <v>8</v>
      </c>
      <c r="CN451" s="27" t="s">
        <v>7</v>
      </c>
      <c r="CO451" s="27" t="s">
        <v>8</v>
      </c>
    </row>
    <row r="452" spans="1:93" x14ac:dyDescent="0.25">
      <c r="A452" s="7">
        <v>14.488492084629481</v>
      </c>
      <c r="B452"/>
      <c r="C452"/>
      <c r="D452"/>
      <c r="E452"/>
      <c r="BQ452" s="27" t="s">
        <v>8</v>
      </c>
      <c r="BR452" s="27" t="s">
        <v>7</v>
      </c>
      <c r="BS452" s="27" t="s">
        <v>8</v>
      </c>
      <c r="BT452" s="27" t="s">
        <v>7</v>
      </c>
      <c r="BU452" s="27" t="s">
        <v>8</v>
      </c>
      <c r="BV452" s="27" t="s">
        <v>7</v>
      </c>
      <c r="CI452" s="27" t="s">
        <v>8</v>
      </c>
      <c r="CK452" s="27" t="s">
        <v>8</v>
      </c>
      <c r="CL452" s="27" t="s">
        <v>7</v>
      </c>
      <c r="CM452" s="27" t="s">
        <v>8</v>
      </c>
      <c r="CN452" s="27" t="s">
        <v>7</v>
      </c>
      <c r="CO452" s="27" t="s">
        <v>8</v>
      </c>
    </row>
    <row r="453" spans="1:93" x14ac:dyDescent="0.25">
      <c r="A453" s="7">
        <v>14.204404004538707</v>
      </c>
      <c r="B453"/>
      <c r="C453"/>
      <c r="D453"/>
      <c r="E453"/>
      <c r="BQ453" s="27" t="s">
        <v>8</v>
      </c>
      <c r="BR453" s="27" t="s">
        <v>7</v>
      </c>
      <c r="BS453" s="27" t="s">
        <v>8</v>
      </c>
      <c r="BT453" s="27" t="s">
        <v>7</v>
      </c>
      <c r="BU453" s="27" t="s">
        <v>8</v>
      </c>
      <c r="BV453" s="27" t="s">
        <v>7</v>
      </c>
      <c r="CI453" s="27" t="s">
        <v>8</v>
      </c>
      <c r="CJ453" s="27" t="s">
        <v>7</v>
      </c>
      <c r="CK453" s="27" t="s">
        <v>8</v>
      </c>
      <c r="CL453" s="27" t="s">
        <v>7</v>
      </c>
      <c r="CM453" s="27" t="s">
        <v>8</v>
      </c>
      <c r="CN453" s="27" t="s">
        <v>7</v>
      </c>
      <c r="CO453" s="27" t="s">
        <v>8</v>
      </c>
    </row>
    <row r="454" spans="1:93" x14ac:dyDescent="0.25">
      <c r="A454" s="7">
        <v>13.925886278959517</v>
      </c>
      <c r="B454"/>
      <c r="C454"/>
      <c r="D454"/>
      <c r="E454"/>
      <c r="BQ454" s="27" t="s">
        <v>8</v>
      </c>
      <c r="BR454" s="27" t="s">
        <v>7</v>
      </c>
      <c r="BS454" s="27" t="s">
        <v>8</v>
      </c>
      <c r="BT454" s="27" t="s">
        <v>7</v>
      </c>
      <c r="BU454" s="27" t="s">
        <v>8</v>
      </c>
      <c r="BV454" s="27" t="s">
        <v>7</v>
      </c>
      <c r="CI454" s="27" t="s">
        <v>8</v>
      </c>
      <c r="CJ454" s="27" t="s">
        <v>7</v>
      </c>
      <c r="CK454" s="27" t="s">
        <v>8</v>
      </c>
      <c r="CL454" s="27" t="s">
        <v>7</v>
      </c>
      <c r="CM454" s="27" t="s">
        <v>8</v>
      </c>
      <c r="CN454" s="27" t="s">
        <v>7</v>
      </c>
      <c r="CO454" s="27" t="s">
        <v>8</v>
      </c>
    </row>
    <row r="455" spans="1:93" x14ac:dyDescent="0.25">
      <c r="A455" s="7">
        <v>13.652829685254428</v>
      </c>
      <c r="B455"/>
      <c r="C455"/>
      <c r="D455"/>
      <c r="E455"/>
      <c r="BQ455" s="27" t="s">
        <v>8</v>
      </c>
      <c r="BR455" s="27" t="s">
        <v>7</v>
      </c>
      <c r="BS455" s="27" t="s">
        <v>8</v>
      </c>
      <c r="BT455" s="27" t="s">
        <v>7</v>
      </c>
      <c r="BV455" s="27" t="s">
        <v>7</v>
      </c>
      <c r="CI455" s="27" t="s">
        <v>8</v>
      </c>
      <c r="CJ455" s="27" t="s">
        <v>7</v>
      </c>
      <c r="CK455" s="27" t="s">
        <v>8</v>
      </c>
      <c r="CL455" s="27" t="s">
        <v>7</v>
      </c>
      <c r="CM455" s="27" t="s">
        <v>8</v>
      </c>
      <c r="CN455" s="27" t="s">
        <v>7</v>
      </c>
      <c r="CO455" s="27" t="s">
        <v>8</v>
      </c>
    </row>
    <row r="456" spans="1:93" x14ac:dyDescent="0.25">
      <c r="A456" s="7">
        <v>13.385127142406303</v>
      </c>
      <c r="B456"/>
      <c r="C456"/>
      <c r="D456"/>
      <c r="E456"/>
      <c r="BQ456" s="27" t="s">
        <v>8</v>
      </c>
      <c r="BR456" s="27" t="s">
        <v>7</v>
      </c>
      <c r="BS456" s="27" t="s">
        <v>8</v>
      </c>
      <c r="BV456" s="27" t="s">
        <v>7</v>
      </c>
      <c r="CA456" s="27" t="s">
        <v>8</v>
      </c>
      <c r="CI456" s="27" t="s">
        <v>8</v>
      </c>
      <c r="CJ456" s="27" t="s">
        <v>7</v>
      </c>
      <c r="CK456" s="27" t="s">
        <v>8</v>
      </c>
      <c r="CL456" s="27" t="s">
        <v>7</v>
      </c>
      <c r="CM456" s="27" t="s">
        <v>8</v>
      </c>
      <c r="CN456" s="27" t="s">
        <v>7</v>
      </c>
    </row>
    <row r="457" spans="1:93" x14ac:dyDescent="0.25">
      <c r="A457" s="7">
        <v>13.122673669025787</v>
      </c>
      <c r="B457"/>
      <c r="C457"/>
      <c r="D457"/>
      <c r="E457"/>
      <c r="BQ457" s="27" t="s">
        <v>8</v>
      </c>
      <c r="BR457" s="27" t="s">
        <v>7</v>
      </c>
      <c r="BS457" s="27" t="s">
        <v>8</v>
      </c>
      <c r="BV457" s="27" t="s">
        <v>7</v>
      </c>
      <c r="CA457" s="27" t="s">
        <v>8</v>
      </c>
      <c r="CB457" s="27" t="s">
        <v>7</v>
      </c>
      <c r="CE457" s="27" t="s">
        <v>8</v>
      </c>
      <c r="CI457" s="27" t="s">
        <v>8</v>
      </c>
      <c r="CJ457" s="27" t="s">
        <v>7</v>
      </c>
      <c r="CK457" s="27" t="s">
        <v>8</v>
      </c>
      <c r="CL457" s="27" t="s">
        <v>7</v>
      </c>
      <c r="CM457" s="27" t="s">
        <v>8</v>
      </c>
    </row>
    <row r="458" spans="1:93" x14ac:dyDescent="0.25">
      <c r="A458" s="7">
        <v>12.865366342182144</v>
      </c>
      <c r="B458"/>
      <c r="C458"/>
      <c r="D458"/>
      <c r="E458"/>
      <c r="BQ458" s="27" t="s">
        <v>8</v>
      </c>
      <c r="BR458" s="27" t="s">
        <v>7</v>
      </c>
      <c r="BS458" s="27" t="s">
        <v>8</v>
      </c>
      <c r="BV458" s="27" t="s">
        <v>7</v>
      </c>
      <c r="BW458" s="27" t="s">
        <v>8</v>
      </c>
      <c r="CA458" s="27" t="s">
        <v>8</v>
      </c>
      <c r="CB458" s="27" t="s">
        <v>7</v>
      </c>
      <c r="CE458" s="27" t="s">
        <v>8</v>
      </c>
      <c r="CF458" s="27" t="s">
        <v>7</v>
      </c>
      <c r="CI458" s="27" t="s">
        <v>8</v>
      </c>
      <c r="CJ458" s="27" t="s">
        <v>7</v>
      </c>
      <c r="CK458" s="27" t="s">
        <v>8</v>
      </c>
      <c r="CL458" s="27" t="s">
        <v>7</v>
      </c>
    </row>
    <row r="459" spans="1:93" x14ac:dyDescent="0.25">
      <c r="A459" s="7">
        <v>12.613104257041318</v>
      </c>
      <c r="B459"/>
      <c r="C459"/>
      <c r="D459"/>
      <c r="E459"/>
      <c r="BQ459" s="27" t="s">
        <v>8</v>
      </c>
      <c r="BR459" s="27" t="s">
        <v>7</v>
      </c>
      <c r="BS459" s="27" t="s">
        <v>8</v>
      </c>
      <c r="BV459" s="27" t="s">
        <v>7</v>
      </c>
      <c r="BW459" s="27" t="s">
        <v>8</v>
      </c>
      <c r="BX459" s="27" t="s">
        <v>7</v>
      </c>
      <c r="CA459" s="27" t="s">
        <v>8</v>
      </c>
      <c r="CB459" s="27" t="s">
        <v>7</v>
      </c>
      <c r="CC459" s="27" t="s">
        <v>8</v>
      </c>
      <c r="CE459" s="27" t="s">
        <v>8</v>
      </c>
      <c r="CF459" s="27" t="s">
        <v>7</v>
      </c>
      <c r="CI459" s="27" t="s">
        <v>8</v>
      </c>
      <c r="CJ459" s="27" t="s">
        <v>7</v>
      </c>
      <c r="CK459" s="27" t="s">
        <v>8</v>
      </c>
    </row>
    <row r="460" spans="1:93" x14ac:dyDescent="0.25">
      <c r="A460" s="7">
        <v>12.36578848729541</v>
      </c>
      <c r="B460"/>
      <c r="C460"/>
      <c r="D460"/>
      <c r="E460"/>
      <c r="BQ460" s="27" t="s">
        <v>8</v>
      </c>
      <c r="BR460" s="27" t="s">
        <v>7</v>
      </c>
      <c r="BS460" s="27" t="s">
        <v>8</v>
      </c>
      <c r="BV460" s="27" t="s">
        <v>7</v>
      </c>
      <c r="BW460" s="27" t="s">
        <v>8</v>
      </c>
      <c r="BX460" s="27" t="s">
        <v>7</v>
      </c>
      <c r="CA460" s="27" t="s">
        <v>8</v>
      </c>
      <c r="CB460" s="27" t="s">
        <v>7</v>
      </c>
      <c r="CC460" s="27" t="s">
        <v>8</v>
      </c>
      <c r="CD460" s="27" t="s">
        <v>7</v>
      </c>
      <c r="CE460" s="27" t="s">
        <v>8</v>
      </c>
      <c r="CF460" s="27" t="s">
        <v>7</v>
      </c>
      <c r="CI460" s="27" t="s">
        <v>8</v>
      </c>
      <c r="CJ460" s="27" t="s">
        <v>7</v>
      </c>
      <c r="CK460" s="27" t="s">
        <v>8</v>
      </c>
    </row>
    <row r="461" spans="1:93" x14ac:dyDescent="0.25">
      <c r="A461" s="7">
        <v>12.123322046368049</v>
      </c>
      <c r="B461"/>
      <c r="C461"/>
      <c r="D461"/>
      <c r="E461"/>
      <c r="BQ461" s="27" t="s">
        <v>8</v>
      </c>
      <c r="BR461" s="27" t="s">
        <v>7</v>
      </c>
      <c r="BS461" s="27" t="s">
        <v>8</v>
      </c>
      <c r="BV461" s="27" t="s">
        <v>7</v>
      </c>
      <c r="BW461" s="27" t="s">
        <v>8</v>
      </c>
      <c r="BX461" s="27" t="s">
        <v>7</v>
      </c>
      <c r="BY461" s="27" t="s">
        <v>8</v>
      </c>
      <c r="CA461" s="27" t="s">
        <v>8</v>
      </c>
      <c r="CB461" s="27" t="s">
        <v>7</v>
      </c>
      <c r="CC461" s="27" t="s">
        <v>8</v>
      </c>
      <c r="CD461" s="27" t="s">
        <v>7</v>
      </c>
      <c r="CE461" s="27" t="s">
        <v>8</v>
      </c>
      <c r="CF461" s="27" t="s">
        <v>7</v>
      </c>
      <c r="CG461" s="27" t="s">
        <v>8</v>
      </c>
      <c r="CI461" s="27" t="s">
        <v>8</v>
      </c>
      <c r="CJ461" s="27" t="s">
        <v>7</v>
      </c>
      <c r="CK461" s="27" t="s">
        <v>8</v>
      </c>
    </row>
    <row r="462" spans="1:93" x14ac:dyDescent="0.25">
      <c r="A462" s="7">
        <v>11.88560984938044</v>
      </c>
      <c r="B462"/>
      <c r="C462"/>
      <c r="D462"/>
      <c r="E462"/>
      <c r="BQ462" s="27" t="s">
        <v>8</v>
      </c>
      <c r="BR462" s="27" t="s">
        <v>7</v>
      </c>
      <c r="BS462" s="27" t="s">
        <v>8</v>
      </c>
      <c r="BV462" s="27" t="s">
        <v>7</v>
      </c>
      <c r="BW462" s="27" t="s">
        <v>8</v>
      </c>
      <c r="BX462" s="27" t="s">
        <v>7</v>
      </c>
      <c r="BY462" s="27" t="s">
        <v>8</v>
      </c>
      <c r="BZ462" s="27" t="s">
        <v>7</v>
      </c>
      <c r="CA462" s="27" t="s">
        <v>8</v>
      </c>
      <c r="CB462" s="27" t="s">
        <v>7</v>
      </c>
      <c r="CC462" s="27" t="s">
        <v>8</v>
      </c>
      <c r="CD462" s="27" t="s">
        <v>7</v>
      </c>
      <c r="CE462" s="27" t="s">
        <v>8</v>
      </c>
      <c r="CF462" s="27" t="s">
        <v>7</v>
      </c>
      <c r="CG462" s="27" t="s">
        <v>8</v>
      </c>
      <c r="CH462" s="27" t="s">
        <v>7</v>
      </c>
      <c r="CI462" s="27" t="s">
        <v>8</v>
      </c>
      <c r="CJ462" s="27" t="s">
        <v>7</v>
      </c>
      <c r="CK462" s="27" t="s">
        <v>8</v>
      </c>
    </row>
    <row r="463" spans="1:93" x14ac:dyDescent="0.25">
      <c r="A463" s="7">
        <v>11.652558675863176</v>
      </c>
      <c r="B463"/>
      <c r="C463"/>
      <c r="D463"/>
      <c r="E463"/>
      <c r="BQ463" s="27" t="s">
        <v>8</v>
      </c>
      <c r="BR463" s="27" t="s">
        <v>7</v>
      </c>
      <c r="BS463" s="27" t="s">
        <v>8</v>
      </c>
      <c r="BV463" s="27" t="s">
        <v>7</v>
      </c>
      <c r="BW463" s="27" t="s">
        <v>8</v>
      </c>
      <c r="BX463" s="27" t="s">
        <v>7</v>
      </c>
      <c r="BY463" s="27" t="s">
        <v>8</v>
      </c>
      <c r="BZ463" s="27" t="s">
        <v>7</v>
      </c>
      <c r="CA463" s="27" t="s">
        <v>8</v>
      </c>
      <c r="CB463" s="27" t="s">
        <v>7</v>
      </c>
      <c r="CD463" s="27" t="s">
        <v>7</v>
      </c>
      <c r="CE463" s="27" t="s">
        <v>8</v>
      </c>
      <c r="CF463" s="27" t="s">
        <v>7</v>
      </c>
      <c r="CG463" s="27" t="s">
        <v>8</v>
      </c>
      <c r="CH463" s="27" t="s">
        <v>7</v>
      </c>
      <c r="CI463" s="27" t="s">
        <v>8</v>
      </c>
      <c r="CJ463" s="27" t="s">
        <v>7</v>
      </c>
      <c r="CK463" s="27" t="s">
        <v>8</v>
      </c>
    </row>
    <row r="464" spans="1:93" x14ac:dyDescent="0.25">
      <c r="A464" s="7">
        <v>11.424077133199193</v>
      </c>
      <c r="B464"/>
      <c r="C464"/>
      <c r="D464"/>
      <c r="E464"/>
      <c r="Q464" s="27" t="s">
        <v>8</v>
      </c>
      <c r="BQ464" s="27" t="s">
        <v>8</v>
      </c>
      <c r="BR464" s="27" t="s">
        <v>7</v>
      </c>
      <c r="BS464" s="27" t="s">
        <v>8</v>
      </c>
      <c r="BV464" s="27" t="s">
        <v>7</v>
      </c>
      <c r="BX464" s="27" t="s">
        <v>7</v>
      </c>
      <c r="BY464" s="27" t="s">
        <v>8</v>
      </c>
      <c r="BZ464" s="27" t="s">
        <v>7</v>
      </c>
      <c r="CA464" s="27" t="s">
        <v>8</v>
      </c>
      <c r="CD464" s="27" t="s">
        <v>7</v>
      </c>
      <c r="CE464" s="27" t="s">
        <v>8</v>
      </c>
      <c r="CF464" s="27" t="s">
        <v>7</v>
      </c>
      <c r="CG464" s="27" t="s">
        <v>8</v>
      </c>
      <c r="CH464" s="27" t="s">
        <v>7</v>
      </c>
      <c r="CI464" s="27" t="s">
        <v>8</v>
      </c>
      <c r="CJ464" s="27" t="s">
        <v>7</v>
      </c>
    </row>
    <row r="465" spans="1:87" x14ac:dyDescent="0.25">
      <c r="A465" s="7">
        <v>11.200075620783522</v>
      </c>
      <c r="B465"/>
      <c r="C465"/>
      <c r="D465"/>
      <c r="E465"/>
      <c r="Q465" s="27" t="s">
        <v>8</v>
      </c>
      <c r="R465" s="27" t="s">
        <v>7</v>
      </c>
      <c r="S465" s="27" t="s">
        <v>8</v>
      </c>
      <c r="BQ465" s="27" t="s">
        <v>8</v>
      </c>
      <c r="BR465" s="27" t="s">
        <v>7</v>
      </c>
      <c r="BX465" s="27" t="s">
        <v>7</v>
      </c>
      <c r="BY465" s="27" t="s">
        <v>8</v>
      </c>
      <c r="BZ465" s="27" t="s">
        <v>7</v>
      </c>
      <c r="CA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CH465" s="27" t="s">
        <v>7</v>
      </c>
      <c r="CI465" s="27" t="s">
        <v>8</v>
      </c>
    </row>
    <row r="466" spans="1:87" x14ac:dyDescent="0.25">
      <c r="A466" s="7">
        <v>10.980466294885806</v>
      </c>
      <c r="B466"/>
      <c r="C466"/>
      <c r="D466"/>
      <c r="E466"/>
      <c r="Q466" s="27" t="s">
        <v>8</v>
      </c>
      <c r="R466" s="27" t="s">
        <v>7</v>
      </c>
      <c r="S466" s="27" t="s">
        <v>8</v>
      </c>
      <c r="T466" s="27" t="s">
        <v>7</v>
      </c>
      <c r="BQ466" s="27" t="s">
        <v>8</v>
      </c>
      <c r="BX466" s="27" t="s">
        <v>7</v>
      </c>
      <c r="BY466" s="27" t="s">
        <v>8</v>
      </c>
      <c r="BZ466" s="27" t="s">
        <v>7</v>
      </c>
      <c r="CA466" s="27" t="s">
        <v>8</v>
      </c>
      <c r="CD466" s="27" t="s">
        <v>7</v>
      </c>
      <c r="CE466" s="27" t="s">
        <v>8</v>
      </c>
      <c r="CF466" s="27" t="s">
        <v>7</v>
      </c>
      <c r="CG466" s="27" t="s">
        <v>8</v>
      </c>
      <c r="CH466" s="27" t="s">
        <v>7</v>
      </c>
      <c r="CI466" s="27" t="s">
        <v>8</v>
      </c>
    </row>
    <row r="467" spans="1:87" x14ac:dyDescent="0.25">
      <c r="A467" s="7">
        <v>10.765163034201771</v>
      </c>
      <c r="B467"/>
      <c r="C467"/>
      <c r="D467"/>
      <c r="E467"/>
      <c r="Q467" s="27" t="s">
        <v>8</v>
      </c>
      <c r="R467" s="27" t="s">
        <v>7</v>
      </c>
      <c r="S467" s="27" t="s">
        <v>8</v>
      </c>
      <c r="T467" s="27" t="s">
        <v>7</v>
      </c>
      <c r="AA467" s="27" t="s">
        <v>8</v>
      </c>
      <c r="BQ467" s="27" t="s">
        <v>8</v>
      </c>
      <c r="BX467" s="27" t="s">
        <v>7</v>
      </c>
      <c r="BY467" s="27" t="s">
        <v>8</v>
      </c>
      <c r="BZ467" s="27" t="s">
        <v>7</v>
      </c>
      <c r="CD467" s="27" t="s">
        <v>7</v>
      </c>
      <c r="CE467" s="27" t="s">
        <v>8</v>
      </c>
      <c r="CF467" s="27" t="s">
        <v>7</v>
      </c>
      <c r="CG467" s="27" t="s">
        <v>8</v>
      </c>
      <c r="CH467" s="27" t="s">
        <v>7</v>
      </c>
      <c r="CI467" s="27" t="s">
        <v>8</v>
      </c>
    </row>
    <row r="468" spans="1:87" x14ac:dyDescent="0.25">
      <c r="A468" s="7">
        <v>10.554081406080169</v>
      </c>
      <c r="B468"/>
      <c r="C468"/>
      <c r="D468"/>
      <c r="E468"/>
      <c r="Q468" s="27" t="s">
        <v>8</v>
      </c>
      <c r="R468" s="27" t="s">
        <v>7</v>
      </c>
      <c r="S468" s="27" t="s">
        <v>8</v>
      </c>
      <c r="T468" s="27" t="s">
        <v>7</v>
      </c>
      <c r="U468" s="27" t="s">
        <v>8</v>
      </c>
      <c r="AA468" s="27" t="s">
        <v>8</v>
      </c>
      <c r="AB468" s="27" t="s">
        <v>7</v>
      </c>
      <c r="BQ468" s="27" t="s">
        <v>8</v>
      </c>
      <c r="BX468" s="27" t="s">
        <v>7</v>
      </c>
      <c r="BY468" s="27" t="s">
        <v>8</v>
      </c>
      <c r="CD468" s="27" t="s">
        <v>7</v>
      </c>
      <c r="CE468" s="27" t="s">
        <v>8</v>
      </c>
      <c r="CF468" s="27" t="s">
        <v>7</v>
      </c>
      <c r="CG468" s="27" t="s">
        <v>8</v>
      </c>
      <c r="CH468" s="27" t="s">
        <v>7</v>
      </c>
      <c r="CI468" s="27" t="s">
        <v>8</v>
      </c>
    </row>
    <row r="469" spans="1:87" x14ac:dyDescent="0.25">
      <c r="A469" s="7">
        <v>10.34713863341193</v>
      </c>
      <c r="B469"/>
      <c r="C469"/>
      <c r="D469"/>
      <c r="E469"/>
      <c r="Q469" s="27" t="s">
        <v>8</v>
      </c>
      <c r="R469" s="27" t="s">
        <v>7</v>
      </c>
      <c r="S469" s="27" t="s">
        <v>8</v>
      </c>
      <c r="T469" s="27" t="s">
        <v>7</v>
      </c>
      <c r="U469" s="27" t="s">
        <v>8</v>
      </c>
      <c r="V469" s="27" t="s">
        <v>7</v>
      </c>
      <c r="W469" s="27" t="s">
        <v>8</v>
      </c>
      <c r="AA469" s="27" t="s">
        <v>8</v>
      </c>
      <c r="AB469" s="27" t="s">
        <v>7</v>
      </c>
      <c r="AE469" s="27" t="s">
        <v>8</v>
      </c>
      <c r="BQ469" s="27" t="s">
        <v>8</v>
      </c>
      <c r="BX469" s="27" t="s">
        <v>7</v>
      </c>
      <c r="BY469" s="27" t="s">
        <v>8</v>
      </c>
      <c r="CD469" s="27" t="s">
        <v>7</v>
      </c>
      <c r="CE469" s="27" t="s">
        <v>8</v>
      </c>
      <c r="CF469" s="27" t="s">
        <v>7</v>
      </c>
      <c r="CH469" s="27" t="s">
        <v>7</v>
      </c>
    </row>
    <row r="470" spans="1:87" x14ac:dyDescent="0.25">
      <c r="A470" s="7">
        <v>10.14425356216856</v>
      </c>
      <c r="B470"/>
      <c r="C470"/>
      <c r="D470"/>
      <c r="E470"/>
      <c r="Q470" s="27" t="s">
        <v>8</v>
      </c>
      <c r="R470" s="27" t="s">
        <v>7</v>
      </c>
      <c r="S470" s="27" t="s">
        <v>8</v>
      </c>
      <c r="T470" s="27" t="s">
        <v>7</v>
      </c>
      <c r="U470" s="27" t="s">
        <v>8</v>
      </c>
      <c r="V470" s="27" t="s">
        <v>7</v>
      </c>
      <c r="W470" s="27" t="s">
        <v>8</v>
      </c>
      <c r="X470" s="27" t="s">
        <v>7</v>
      </c>
      <c r="AA470" s="27" t="s">
        <v>8</v>
      </c>
      <c r="AB470" s="27" t="s">
        <v>7</v>
      </c>
      <c r="AE470" s="27" t="s">
        <v>8</v>
      </c>
      <c r="AF470" s="27" t="s">
        <v>7</v>
      </c>
      <c r="BQ470" s="27" t="s">
        <v>8</v>
      </c>
      <c r="BX470" s="27" t="s">
        <v>7</v>
      </c>
      <c r="BY470" s="27" t="s">
        <v>8</v>
      </c>
      <c r="CD470" s="27" t="s">
        <v>7</v>
      </c>
      <c r="CE470" s="27" t="s">
        <v>8</v>
      </c>
    </row>
    <row r="471" spans="1:87" x14ac:dyDescent="0.25">
      <c r="A471" s="7">
        <v>9.9453466295770188</v>
      </c>
      <c r="B471"/>
      <c r="C471"/>
      <c r="D471"/>
      <c r="E471"/>
      <c r="Q471" s="27" t="s">
        <v>8</v>
      </c>
      <c r="R471" s="27" t="s">
        <v>7</v>
      </c>
      <c r="T471" s="27" t="s">
        <v>7</v>
      </c>
      <c r="V471" s="27" t="s">
        <v>7</v>
      </c>
      <c r="W471" s="27" t="s">
        <v>8</v>
      </c>
      <c r="X471" s="27" t="s">
        <v>7</v>
      </c>
      <c r="AA471" s="27" t="s">
        <v>8</v>
      </c>
      <c r="AB471" s="27" t="s">
        <v>7</v>
      </c>
      <c r="AE471" s="27" t="s">
        <v>8</v>
      </c>
      <c r="AF471" s="27" t="s">
        <v>7</v>
      </c>
      <c r="BQ471" s="27" t="s">
        <v>8</v>
      </c>
      <c r="BX471" s="27" t="s">
        <v>7</v>
      </c>
      <c r="BY471" s="27" t="s">
        <v>8</v>
      </c>
      <c r="CD471" s="27" t="s">
        <v>7</v>
      </c>
      <c r="CE471" s="27" t="s">
        <v>8</v>
      </c>
    </row>
    <row r="472" spans="1:87" x14ac:dyDescent="0.25">
      <c r="A472" s="7">
        <v>9.7503398329186464</v>
      </c>
      <c r="B472"/>
      <c r="C472"/>
      <c r="D472"/>
      <c r="E472"/>
      <c r="Q472" s="27" t="s">
        <v>8</v>
      </c>
      <c r="V472" s="27" t="s">
        <v>7</v>
      </c>
      <c r="W472" s="27" t="s">
        <v>8</v>
      </c>
      <c r="X472" s="27" t="s">
        <v>7</v>
      </c>
      <c r="AA472" s="27" t="s">
        <v>8</v>
      </c>
      <c r="AB472" s="27" t="s">
        <v>7</v>
      </c>
      <c r="AC472" s="27" t="s">
        <v>8</v>
      </c>
      <c r="AE472" s="27" t="s">
        <v>8</v>
      </c>
      <c r="AF472" s="27" t="s">
        <v>7</v>
      </c>
      <c r="BQ472" s="27" t="s">
        <v>8</v>
      </c>
      <c r="BX472" s="27" t="s">
        <v>7</v>
      </c>
      <c r="BY472" s="27" t="s">
        <v>8</v>
      </c>
      <c r="CD472" s="27" t="s">
        <v>7</v>
      </c>
      <c r="CE472" s="27" t="s">
        <v>8</v>
      </c>
    </row>
    <row r="473" spans="1:87" x14ac:dyDescent="0.25">
      <c r="A473" s="7">
        <v>9.5591566989398498</v>
      </c>
      <c r="B473"/>
      <c r="C473"/>
      <c r="D473"/>
      <c r="E473"/>
      <c r="M473" s="27" t="s">
        <v>8</v>
      </c>
      <c r="Q473" s="27" t="s">
        <v>8</v>
      </c>
      <c r="V473" s="27" t="s">
        <v>7</v>
      </c>
      <c r="X473" s="27" t="s">
        <v>7</v>
      </c>
      <c r="Y473" s="27" t="s">
        <v>8</v>
      </c>
      <c r="AA473" s="27" t="s">
        <v>8</v>
      </c>
      <c r="AB473" s="27" t="s">
        <v>7</v>
      </c>
      <c r="AC473" s="27" t="s">
        <v>8</v>
      </c>
      <c r="AD473" s="27" t="s">
        <v>7</v>
      </c>
      <c r="AE473" s="27" t="s">
        <v>8</v>
      </c>
      <c r="AF473" s="27" t="s">
        <v>7</v>
      </c>
      <c r="BO473" s="27" t="s">
        <v>8</v>
      </c>
      <c r="BQ473" s="27" t="s">
        <v>8</v>
      </c>
      <c r="BX473" s="27" t="s">
        <v>7</v>
      </c>
      <c r="BY473" s="27" t="s">
        <v>8</v>
      </c>
      <c r="CD473" s="27" t="s">
        <v>7</v>
      </c>
      <c r="CE473" s="27" t="s">
        <v>8</v>
      </c>
    </row>
    <row r="474" spans="1:87" x14ac:dyDescent="0.25">
      <c r="A474" s="7">
        <v>9.3717222538625968</v>
      </c>
      <c r="B474"/>
      <c r="C474"/>
      <c r="D474"/>
      <c r="E474"/>
      <c r="M474" s="27" t="s">
        <v>8</v>
      </c>
      <c r="N474" s="27" t="s">
        <v>7</v>
      </c>
      <c r="O474" s="27" t="s">
        <v>8</v>
      </c>
      <c r="Q474" s="27" t="s">
        <v>8</v>
      </c>
      <c r="X474" s="27" t="s">
        <v>7</v>
      </c>
      <c r="Y474" s="27" t="s">
        <v>8</v>
      </c>
      <c r="Z474" s="27" t="s">
        <v>7</v>
      </c>
      <c r="AA474" s="27" t="s">
        <v>8</v>
      </c>
      <c r="AB474" s="27" t="s">
        <v>7</v>
      </c>
      <c r="AC474" s="27" t="s">
        <v>8</v>
      </c>
      <c r="AD474" s="27" t="s">
        <v>7</v>
      </c>
      <c r="AE474" s="27" t="s">
        <v>8</v>
      </c>
      <c r="AF474" s="27" t="s">
        <v>7</v>
      </c>
      <c r="BO474" s="27" t="s">
        <v>8</v>
      </c>
      <c r="BP474" s="27" t="s">
        <v>7</v>
      </c>
      <c r="BQ474" s="27" t="s">
        <v>8</v>
      </c>
      <c r="BX474" s="27" t="s">
        <v>7</v>
      </c>
      <c r="BY474" s="27" t="s">
        <v>8</v>
      </c>
      <c r="CD474" s="27" t="s">
        <v>7</v>
      </c>
      <c r="CE474" s="27" t="s">
        <v>8</v>
      </c>
    </row>
    <row r="475" spans="1:87" x14ac:dyDescent="0.25">
      <c r="A475" s="7">
        <v>9.1879629939829375</v>
      </c>
      <c r="B475"/>
      <c r="C475"/>
      <c r="D475"/>
      <c r="E475"/>
      <c r="M475" s="27" t="s">
        <v>8</v>
      </c>
      <c r="N475" s="27" t="s">
        <v>7</v>
      </c>
      <c r="O475" s="27" t="s">
        <v>8</v>
      </c>
      <c r="P475" s="27" t="s">
        <v>7</v>
      </c>
      <c r="Q475" s="27" t="s">
        <v>8</v>
      </c>
      <c r="X475" s="27" t="s">
        <v>7</v>
      </c>
      <c r="Y475" s="27" t="s">
        <v>8</v>
      </c>
      <c r="Z475" s="27" t="s">
        <v>7</v>
      </c>
      <c r="AA475" s="27" t="s">
        <v>8</v>
      </c>
      <c r="AB475" s="27" t="s">
        <v>7</v>
      </c>
      <c r="AD475" s="27" t="s">
        <v>7</v>
      </c>
      <c r="AE475" s="27" t="s">
        <v>8</v>
      </c>
      <c r="AF475" s="27" t="s">
        <v>7</v>
      </c>
      <c r="BO475" s="27" t="s">
        <v>8</v>
      </c>
      <c r="BP475" s="27" t="s">
        <v>7</v>
      </c>
      <c r="BQ475" s="27" t="s">
        <v>8</v>
      </c>
      <c r="BX475" s="27" t="s">
        <v>7</v>
      </c>
      <c r="BY475" s="27" t="s">
        <v>8</v>
      </c>
      <c r="CD475" s="27" t="s">
        <v>7</v>
      </c>
      <c r="CE475" s="27" t="s">
        <v>8</v>
      </c>
    </row>
    <row r="476" spans="1:87" x14ac:dyDescent="0.25">
      <c r="A476" s="7">
        <v>9.0078068568460168</v>
      </c>
      <c r="B476"/>
      <c r="C476"/>
      <c r="D476"/>
      <c r="E476"/>
      <c r="M476" s="27" t="s">
        <v>8</v>
      </c>
      <c r="N476" s="27" t="s">
        <v>7</v>
      </c>
      <c r="O476" s="27" t="s">
        <v>8</v>
      </c>
      <c r="P476" s="27" t="s">
        <v>7</v>
      </c>
      <c r="Q476" s="27" t="s">
        <v>8</v>
      </c>
      <c r="X476" s="27" t="s">
        <v>7</v>
      </c>
      <c r="Y476" s="27" t="s">
        <v>8</v>
      </c>
      <c r="Z476" s="27" t="s">
        <v>7</v>
      </c>
      <c r="AD476" s="27" t="s">
        <v>7</v>
      </c>
      <c r="AE476" s="27" t="s">
        <v>8</v>
      </c>
      <c r="AF476" s="27" t="s">
        <v>7</v>
      </c>
      <c r="AI476" s="27" t="s">
        <v>8</v>
      </c>
      <c r="BO476" s="27" t="s">
        <v>8</v>
      </c>
      <c r="BP476" s="27" t="s">
        <v>7</v>
      </c>
      <c r="BQ476" s="27" t="s">
        <v>8</v>
      </c>
      <c r="BX476" s="27" t="s">
        <v>7</v>
      </c>
      <c r="CD476" s="27" t="s">
        <v>7</v>
      </c>
      <c r="CE476" s="27" t="s">
        <v>8</v>
      </c>
    </row>
    <row r="477" spans="1:87" x14ac:dyDescent="0.25">
      <c r="A477" s="7">
        <v>8.8311831929862912</v>
      </c>
      <c r="B477"/>
      <c r="C477"/>
      <c r="D477"/>
      <c r="E477" t="s">
        <v>8</v>
      </c>
      <c r="M477" s="27" t="s">
        <v>8</v>
      </c>
      <c r="N477" s="27" t="s">
        <v>7</v>
      </c>
      <c r="O477" s="27" t="s">
        <v>8</v>
      </c>
      <c r="P477" s="27" t="s">
        <v>7</v>
      </c>
      <c r="Q477" s="27" t="s">
        <v>8</v>
      </c>
      <c r="X477" s="27" t="s">
        <v>7</v>
      </c>
      <c r="AD477" s="27" t="s">
        <v>7</v>
      </c>
      <c r="AE477" s="27" t="s">
        <v>8</v>
      </c>
      <c r="AF477" s="27" t="s">
        <v>7</v>
      </c>
      <c r="AG477" s="27" t="s">
        <v>8</v>
      </c>
      <c r="AI477" s="27" t="s">
        <v>8</v>
      </c>
      <c r="AJ477" s="27" t="s">
        <v>7</v>
      </c>
      <c r="BO477" s="27" t="s">
        <v>8</v>
      </c>
      <c r="BP477" s="27" t="s">
        <v>7</v>
      </c>
      <c r="BQ477" s="27" t="s">
        <v>8</v>
      </c>
      <c r="CD477" s="27" t="s">
        <v>7</v>
      </c>
      <c r="CE477" s="27" t="s">
        <v>8</v>
      </c>
    </row>
    <row r="478" spans="1:87" x14ac:dyDescent="0.25">
      <c r="A478" s="7">
        <v>8.6580227382218542</v>
      </c>
      <c r="B478"/>
      <c r="C478"/>
      <c r="D478"/>
      <c r="E478" t="s">
        <v>8</v>
      </c>
      <c r="F478" s="27" t="s">
        <v>7</v>
      </c>
      <c r="G478" s="27" t="s">
        <v>8</v>
      </c>
      <c r="M478" s="27" t="s">
        <v>8</v>
      </c>
      <c r="N478" s="27" t="s">
        <v>7</v>
      </c>
      <c r="O478" s="27" t="s">
        <v>8</v>
      </c>
      <c r="P478" s="27" t="s">
        <v>7</v>
      </c>
      <c r="Q478" s="27" t="s">
        <v>8</v>
      </c>
      <c r="AD478" s="27" t="s">
        <v>7</v>
      </c>
      <c r="AE478" s="27" t="s">
        <v>8</v>
      </c>
      <c r="AF478" s="27" t="s">
        <v>7</v>
      </c>
      <c r="AG478" s="27" t="s">
        <v>8</v>
      </c>
      <c r="AH478" s="27" t="s">
        <v>7</v>
      </c>
      <c r="AI478" s="27" t="s">
        <v>8</v>
      </c>
      <c r="AJ478" s="27" t="s">
        <v>7</v>
      </c>
      <c r="BO478" s="27" t="s">
        <v>8</v>
      </c>
      <c r="BP478" s="27" t="s">
        <v>7</v>
      </c>
      <c r="BQ478" s="27" t="s">
        <v>8</v>
      </c>
      <c r="CD478" s="27" t="s">
        <v>7</v>
      </c>
      <c r="CE478" s="27" t="s">
        <v>8</v>
      </c>
    </row>
    <row r="479" spans="1:87" x14ac:dyDescent="0.25">
      <c r="A479" s="7">
        <v>8.4882575864920131</v>
      </c>
      <c r="B479"/>
      <c r="C479"/>
      <c r="D479"/>
      <c r="E479" t="s">
        <v>8</v>
      </c>
      <c r="F479" s="27" t="s">
        <v>7</v>
      </c>
      <c r="G479" s="27" t="s">
        <v>8</v>
      </c>
      <c r="H479" s="27" t="s">
        <v>7</v>
      </c>
      <c r="K479" s="27" t="s">
        <v>8</v>
      </c>
      <c r="M479" s="27" t="s">
        <v>8</v>
      </c>
      <c r="N479" s="27" t="s">
        <v>7</v>
      </c>
      <c r="O479" s="27" t="s">
        <v>8</v>
      </c>
      <c r="P479" s="27" t="s">
        <v>7</v>
      </c>
      <c r="Q479" s="27" t="s">
        <v>8</v>
      </c>
      <c r="AD479" s="27" t="s">
        <v>7</v>
      </c>
      <c r="AF479" s="27" t="s">
        <v>7</v>
      </c>
      <c r="AG479" s="27" t="s">
        <v>8</v>
      </c>
      <c r="AH479" s="27" t="s">
        <v>7</v>
      </c>
      <c r="AI479" s="27" t="s">
        <v>8</v>
      </c>
      <c r="AJ479" s="27" t="s">
        <v>7</v>
      </c>
      <c r="BO479" s="27" t="s">
        <v>8</v>
      </c>
      <c r="BP479" s="27" t="s">
        <v>7</v>
      </c>
      <c r="BQ479" s="27" t="s">
        <v>8</v>
      </c>
      <c r="CD479" s="27" t="s">
        <v>7</v>
      </c>
      <c r="CE479" s="27" t="s">
        <v>8</v>
      </c>
    </row>
    <row r="480" spans="1:87" x14ac:dyDescent="0.25">
      <c r="A480" s="7">
        <v>8.3218211632274635</v>
      </c>
      <c r="B480"/>
      <c r="C480"/>
      <c r="D480"/>
      <c r="E480" t="s">
        <v>8</v>
      </c>
      <c r="F480" s="27" t="s">
        <v>7</v>
      </c>
      <c r="G480" s="27" t="s">
        <v>8</v>
      </c>
      <c r="H480" s="27" t="s">
        <v>7</v>
      </c>
      <c r="K480" s="27" t="s">
        <v>8</v>
      </c>
      <c r="L480" s="27" t="s">
        <v>7</v>
      </c>
      <c r="M480" s="27" t="s">
        <v>8</v>
      </c>
      <c r="N480" s="27" t="s">
        <v>7</v>
      </c>
      <c r="O480" s="27" t="s">
        <v>8</v>
      </c>
      <c r="P480" s="27" t="s">
        <v>7</v>
      </c>
      <c r="Q480" s="27" t="s">
        <v>8</v>
      </c>
      <c r="AF480" s="27" t="s">
        <v>7</v>
      </c>
      <c r="AG480" s="27" t="s">
        <v>8</v>
      </c>
      <c r="AH480" s="27" t="s">
        <v>7</v>
      </c>
      <c r="AI480" s="27" t="s">
        <v>8</v>
      </c>
      <c r="AJ480" s="27" t="s">
        <v>7</v>
      </c>
      <c r="BO480" s="27" t="s">
        <v>8</v>
      </c>
      <c r="BP480" s="27" t="s">
        <v>7</v>
      </c>
      <c r="BQ480" s="27" t="s">
        <v>8</v>
      </c>
      <c r="CD480" s="27" t="s">
        <v>7</v>
      </c>
    </row>
    <row r="481" spans="1:69" x14ac:dyDescent="0.25">
      <c r="A481" s="7">
        <v>8.1586481992426112</v>
      </c>
      <c r="B481"/>
      <c r="C481"/>
      <c r="D481"/>
      <c r="E481" t="s">
        <v>8</v>
      </c>
      <c r="F481" s="27" t="s">
        <v>7</v>
      </c>
      <c r="G481" s="27" t="s">
        <v>8</v>
      </c>
      <c r="H481" s="27" t="s">
        <v>7</v>
      </c>
      <c r="K481" s="27" t="s">
        <v>8</v>
      </c>
      <c r="L481" s="27" t="s">
        <v>7</v>
      </c>
      <c r="M481" s="27" t="s">
        <v>8</v>
      </c>
      <c r="N481" s="27" t="s">
        <v>7</v>
      </c>
      <c r="O481" s="27" t="s">
        <v>8</v>
      </c>
      <c r="P481" s="27" t="s">
        <v>7</v>
      </c>
      <c r="AF481" s="27" t="s">
        <v>7</v>
      </c>
      <c r="AH481" s="27" t="s">
        <v>7</v>
      </c>
      <c r="AJ481" s="27" t="s">
        <v>7</v>
      </c>
      <c r="BO481" s="27" t="s">
        <v>8</v>
      </c>
      <c r="BP481" s="27" t="s">
        <v>7</v>
      </c>
      <c r="BQ481" s="27" t="s">
        <v>8</v>
      </c>
    </row>
    <row r="482" spans="1:69" x14ac:dyDescent="0.25">
      <c r="A482" s="7">
        <v>7.9986747051398144</v>
      </c>
      <c r="B482"/>
      <c r="C482"/>
      <c r="D482"/>
      <c r="E482" t="s">
        <v>8</v>
      </c>
      <c r="F482" s="27" t="s">
        <v>7</v>
      </c>
      <c r="G482" s="27" t="s">
        <v>8</v>
      </c>
      <c r="H482" s="27" t="s">
        <v>7</v>
      </c>
      <c r="K482" s="27" t="s">
        <v>8</v>
      </c>
      <c r="L482" s="27" t="s">
        <v>7</v>
      </c>
      <c r="N482" s="27" t="s">
        <v>7</v>
      </c>
      <c r="AJ482" s="27" t="s">
        <v>7</v>
      </c>
      <c r="BO482" s="27" t="s">
        <v>8</v>
      </c>
      <c r="BP482" s="27" t="s">
        <v>7</v>
      </c>
      <c r="BQ482" s="27" t="s">
        <v>8</v>
      </c>
    </row>
    <row r="483" spans="1:69" x14ac:dyDescent="0.25">
      <c r="A483" s="7">
        <v>7.8418379462155041</v>
      </c>
      <c r="B483"/>
      <c r="C483"/>
      <c r="D483"/>
      <c r="E483" t="s">
        <v>8</v>
      </c>
      <c r="F483" s="27" t="s">
        <v>7</v>
      </c>
      <c r="G483" s="27" t="s">
        <v>8</v>
      </c>
      <c r="H483" s="27" t="s">
        <v>7</v>
      </c>
      <c r="K483" s="27" t="s">
        <v>8</v>
      </c>
      <c r="AJ483" s="27" t="s">
        <v>7</v>
      </c>
      <c r="AW483" s="27" t="s">
        <v>8</v>
      </c>
      <c r="BO483" s="27" t="s">
        <v>8</v>
      </c>
      <c r="BP483" s="27" t="s">
        <v>7</v>
      </c>
      <c r="BQ483" s="27" t="s">
        <v>8</v>
      </c>
    </row>
    <row r="484" spans="1:69" x14ac:dyDescent="0.25">
      <c r="A484" s="7">
        <v>7.688076417858337</v>
      </c>
      <c r="B484"/>
      <c r="C484"/>
      <c r="D484"/>
      <c r="E484" t="s">
        <v>8</v>
      </c>
      <c r="F484" s="27" t="s">
        <v>7</v>
      </c>
      <c r="G484" s="27" t="s">
        <v>8</v>
      </c>
      <c r="H484" s="27" t="s">
        <v>7</v>
      </c>
      <c r="I484" s="27" t="s">
        <v>8</v>
      </c>
      <c r="K484" s="27" t="s">
        <v>8</v>
      </c>
      <c r="AJ484" s="27" t="s">
        <v>7</v>
      </c>
      <c r="AW484" s="27" t="s">
        <v>8</v>
      </c>
      <c r="AX484" s="27" t="s">
        <v>7</v>
      </c>
      <c r="BO484" s="27" t="s">
        <v>8</v>
      </c>
      <c r="BP484" s="27" t="s">
        <v>7</v>
      </c>
      <c r="BQ484" s="27" t="s">
        <v>8</v>
      </c>
    </row>
    <row r="485" spans="1:69" x14ac:dyDescent="0.25">
      <c r="A485" s="7">
        <v>7.5373298214297417</v>
      </c>
      <c r="B485"/>
      <c r="C485"/>
      <c r="D485"/>
      <c r="E485" t="s">
        <v>8</v>
      </c>
      <c r="F485" s="27" t="s">
        <v>7</v>
      </c>
      <c r="G485" s="27" t="s">
        <v>8</v>
      </c>
      <c r="H485" s="27" t="s">
        <v>7</v>
      </c>
      <c r="I485" s="27" t="s">
        <v>8</v>
      </c>
      <c r="J485" s="27" t="s">
        <v>7</v>
      </c>
      <c r="K485" s="27" t="s">
        <v>8</v>
      </c>
      <c r="AJ485" s="27" t="s">
        <v>7</v>
      </c>
      <c r="AW485" s="27" t="s">
        <v>8</v>
      </c>
      <c r="AX485" s="27" t="s">
        <v>7</v>
      </c>
      <c r="BO485" s="27" t="s">
        <v>8</v>
      </c>
      <c r="BP485" s="27" t="s">
        <v>7</v>
      </c>
    </row>
    <row r="486" spans="1:69" x14ac:dyDescent="0.25">
      <c r="A486" s="7">
        <v>7.389539040617394</v>
      </c>
      <c r="B486"/>
      <c r="C486"/>
      <c r="D486"/>
      <c r="E486" t="s">
        <v>8</v>
      </c>
      <c r="F486" s="27" t="s">
        <v>7</v>
      </c>
      <c r="G486" s="27" t="s">
        <v>8</v>
      </c>
      <c r="H486" s="27" t="s">
        <v>7</v>
      </c>
      <c r="I486" s="27" t="s">
        <v>8</v>
      </c>
      <c r="J486" s="27" t="s">
        <v>7</v>
      </c>
      <c r="K486" s="27" t="s">
        <v>8</v>
      </c>
      <c r="AJ486" s="27" t="s">
        <v>7</v>
      </c>
      <c r="AW486" s="27" t="s">
        <v>8</v>
      </c>
      <c r="AX486" s="27" t="s">
        <v>7</v>
      </c>
      <c r="BO486" s="27" t="s">
        <v>8</v>
      </c>
    </row>
    <row r="487" spans="1:69" x14ac:dyDescent="0.25">
      <c r="A487" s="7">
        <v>7.2446461182523469</v>
      </c>
      <c r="B487"/>
      <c r="C487"/>
      <c r="D487"/>
      <c r="E487" t="s">
        <v>8</v>
      </c>
      <c r="F487" s="27" t="s">
        <v>7</v>
      </c>
      <c r="G487" s="27" t="s">
        <v>8</v>
      </c>
      <c r="H487" s="27" t="s">
        <v>7</v>
      </c>
      <c r="I487" s="27" t="s">
        <v>8</v>
      </c>
      <c r="J487" s="27" t="s">
        <v>7</v>
      </c>
      <c r="K487" s="27" t="s">
        <v>8</v>
      </c>
      <c r="AJ487" s="27" t="s">
        <v>7</v>
      </c>
      <c r="AK487" s="27" t="s">
        <v>8</v>
      </c>
      <c r="AW487" s="27" t="s">
        <v>8</v>
      </c>
      <c r="AX487" s="27" t="s">
        <v>7</v>
      </c>
      <c r="BO487" s="27" t="s">
        <v>8</v>
      </c>
    </row>
    <row r="488" spans="1:69" x14ac:dyDescent="0.25">
      <c r="A488" s="7">
        <v>7.1025942335807324</v>
      </c>
      <c r="B488"/>
      <c r="C488"/>
      <c r="D488"/>
      <c r="E488" t="s">
        <v>8</v>
      </c>
      <c r="F488" s="27" t="s">
        <v>7</v>
      </c>
      <c r="G488" s="27" t="s">
        <v>8</v>
      </c>
      <c r="H488" s="27" t="s">
        <v>7</v>
      </c>
      <c r="I488" s="27" t="s">
        <v>8</v>
      </c>
      <c r="J488" s="27" t="s">
        <v>7</v>
      </c>
      <c r="AJ488" s="27" t="s">
        <v>7</v>
      </c>
      <c r="AK488" s="27" t="s">
        <v>8</v>
      </c>
      <c r="AL488" s="27" t="s">
        <v>7</v>
      </c>
      <c r="AW488" s="27" t="s">
        <v>8</v>
      </c>
      <c r="AX488" s="27" t="s">
        <v>7</v>
      </c>
      <c r="BO488" s="27" t="s">
        <v>8</v>
      </c>
    </row>
    <row r="489" spans="1:69" x14ac:dyDescent="0.25">
      <c r="A489" s="7">
        <v>6.9633276799811101</v>
      </c>
      <c r="B489"/>
      <c r="C489"/>
      <c r="D489"/>
      <c r="E489" t="s">
        <v>8</v>
      </c>
      <c r="F489" s="27" t="s">
        <v>7</v>
      </c>
      <c r="G489" s="27" t="s">
        <v>8</v>
      </c>
      <c r="H489" s="27" t="s">
        <v>7</v>
      </c>
      <c r="AJ489" s="27" t="s">
        <v>7</v>
      </c>
      <c r="AK489" s="27" t="s">
        <v>8</v>
      </c>
      <c r="AL489" s="27" t="s">
        <v>7</v>
      </c>
      <c r="AW489" s="27" t="s">
        <v>8</v>
      </c>
      <c r="AX489" s="27" t="s">
        <v>7</v>
      </c>
      <c r="BO489" s="27" t="s">
        <v>8</v>
      </c>
    </row>
    <row r="490" spans="1:69" x14ac:dyDescent="0.25">
      <c r="A490" s="7">
        <v>6.8267918431187349</v>
      </c>
      <c r="B490"/>
      <c r="C490"/>
      <c r="D490"/>
      <c r="E490" t="s">
        <v>8</v>
      </c>
      <c r="F490" s="27" t="s">
        <v>7</v>
      </c>
      <c r="G490" s="27" t="s">
        <v>8</v>
      </c>
      <c r="AJ490" s="27" t="s">
        <v>7</v>
      </c>
      <c r="AK490" s="27" t="s">
        <v>8</v>
      </c>
      <c r="AL490" s="27" t="s">
        <v>7</v>
      </c>
      <c r="AW490" s="27" t="s">
        <v>8</v>
      </c>
      <c r="AX490" s="27" t="s">
        <v>7</v>
      </c>
      <c r="BO490" s="27" t="s">
        <v>8</v>
      </c>
    </row>
    <row r="491" spans="1:69" x14ac:dyDescent="0.25">
      <c r="A491" s="7">
        <v>6.692933179528171</v>
      </c>
      <c r="B491"/>
      <c r="C491"/>
      <c r="D491"/>
      <c r="E491" t="s">
        <v>8</v>
      </c>
      <c r="F491" s="27" t="s">
        <v>7</v>
      </c>
      <c r="G491" s="27" t="s">
        <v>8</v>
      </c>
      <c r="AJ491" s="27" t="s">
        <v>7</v>
      </c>
      <c r="AK491" s="27" t="s">
        <v>8</v>
      </c>
      <c r="AL491" s="27" t="s">
        <v>7</v>
      </c>
      <c r="AW491" s="27" t="s">
        <v>8</v>
      </c>
      <c r="AX491" s="27" t="s">
        <v>7</v>
      </c>
      <c r="BI491" s="27" t="s">
        <v>8</v>
      </c>
      <c r="BO491" s="27" t="s">
        <v>8</v>
      </c>
    </row>
    <row r="492" spans="1:69" x14ac:dyDescent="0.25">
      <c r="A492" s="7">
        <v>6.5616991956158541</v>
      </c>
      <c r="B492"/>
      <c r="C492"/>
      <c r="D492"/>
      <c r="E492" t="s">
        <v>8</v>
      </c>
      <c r="F492" s="27" t="s">
        <v>7</v>
      </c>
      <c r="AJ492" s="27" t="s">
        <v>7</v>
      </c>
      <c r="AK492" s="27" t="s">
        <v>8</v>
      </c>
      <c r="AL492" s="27" t="s">
        <v>7</v>
      </c>
      <c r="AO492" s="27" t="s">
        <v>8</v>
      </c>
      <c r="AW492" s="27" t="s">
        <v>8</v>
      </c>
      <c r="AX492" s="27" t="s">
        <v>7</v>
      </c>
      <c r="BI492" s="27" t="s">
        <v>8</v>
      </c>
      <c r="BJ492" s="27" t="s">
        <v>7</v>
      </c>
      <c r="BK492" s="27" t="s">
        <v>8</v>
      </c>
      <c r="BM492" s="27" t="s">
        <v>8</v>
      </c>
      <c r="BO492" s="27" t="s">
        <v>8</v>
      </c>
    </row>
    <row r="493" spans="1:69" x14ac:dyDescent="0.25">
      <c r="A493" s="7">
        <v>6.4330384270743668</v>
      </c>
      <c r="B493"/>
      <c r="C493"/>
      <c r="D493"/>
      <c r="E493" t="s">
        <v>8</v>
      </c>
      <c r="AJ493" s="27" t="s">
        <v>7</v>
      </c>
      <c r="AL493" s="27" t="s">
        <v>7</v>
      </c>
      <c r="AM493" s="27" t="s">
        <v>8</v>
      </c>
      <c r="AO493" s="27" t="s">
        <v>8</v>
      </c>
      <c r="AP493" s="27" t="s">
        <v>7</v>
      </c>
      <c r="AQ493" s="27" t="s">
        <v>8</v>
      </c>
      <c r="AW493" s="27" t="s">
        <v>8</v>
      </c>
      <c r="AX493" s="27" t="s">
        <v>7</v>
      </c>
      <c r="BG493" s="27" t="s">
        <v>8</v>
      </c>
      <c r="BI493" s="27" t="s">
        <v>8</v>
      </c>
      <c r="BJ493" s="27" t="s">
        <v>7</v>
      </c>
      <c r="BK493" s="27" t="s">
        <v>8</v>
      </c>
      <c r="BL493" s="27" t="s">
        <v>7</v>
      </c>
      <c r="BM493" s="27" t="s">
        <v>8</v>
      </c>
      <c r="BN493" s="27" t="s">
        <v>7</v>
      </c>
      <c r="BO493" s="27" t="s">
        <v>8</v>
      </c>
    </row>
    <row r="494" spans="1:69" x14ac:dyDescent="0.25">
      <c r="A494" s="7">
        <v>6.3069004187003594</v>
      </c>
      <c r="B494"/>
      <c r="C494"/>
      <c r="D494"/>
      <c r="E494" t="s">
        <v>8</v>
      </c>
      <c r="AL494" s="27" t="s">
        <v>7</v>
      </c>
      <c r="AM494" s="27" t="s">
        <v>8</v>
      </c>
      <c r="AN494" s="27" t="s">
        <v>7</v>
      </c>
      <c r="AO494" s="27" t="s">
        <v>8</v>
      </c>
      <c r="AP494" s="27" t="s">
        <v>7</v>
      </c>
      <c r="AQ494" s="27" t="s">
        <v>8</v>
      </c>
      <c r="AR494" s="27" t="s">
        <v>7</v>
      </c>
      <c r="AW494" s="27" t="s">
        <v>8</v>
      </c>
      <c r="AX494" s="27" t="s">
        <v>7</v>
      </c>
      <c r="BG494" s="27" t="s">
        <v>8</v>
      </c>
      <c r="BH494" s="27" t="s">
        <v>7</v>
      </c>
      <c r="BI494" s="27" t="s">
        <v>8</v>
      </c>
      <c r="BJ494" s="27" t="s">
        <v>7</v>
      </c>
      <c r="BK494" s="27" t="s">
        <v>8</v>
      </c>
      <c r="BL494" s="27" t="s">
        <v>7</v>
      </c>
      <c r="BM494" s="27" t="s">
        <v>8</v>
      </c>
      <c r="BN494" s="27" t="s">
        <v>7</v>
      </c>
      <c r="BO494" s="27" t="s">
        <v>8</v>
      </c>
    </row>
    <row r="495" spans="1:69" x14ac:dyDescent="0.25">
      <c r="A495" s="7">
        <v>6.1832357046081956</v>
      </c>
      <c r="B495"/>
      <c r="C495"/>
      <c r="D495"/>
      <c r="E495" t="s">
        <v>8</v>
      </c>
      <c r="AL495" s="27" t="s">
        <v>7</v>
      </c>
      <c r="AM495" s="27" t="s">
        <v>8</v>
      </c>
      <c r="AN495" s="27" t="s">
        <v>7</v>
      </c>
      <c r="AO495" s="27" t="s">
        <v>8</v>
      </c>
      <c r="AP495" s="27" t="s">
        <v>7</v>
      </c>
      <c r="AQ495" s="27" t="s">
        <v>8</v>
      </c>
      <c r="AR495" s="27" t="s">
        <v>7</v>
      </c>
      <c r="AS495" s="27" t="s">
        <v>8</v>
      </c>
      <c r="AW495" s="27" t="s">
        <v>8</v>
      </c>
      <c r="AX495" s="27" t="s">
        <v>7</v>
      </c>
      <c r="AY495" s="27" t="s">
        <v>8</v>
      </c>
      <c r="BG495" s="27" t="s">
        <v>8</v>
      </c>
      <c r="BH495" s="27" t="s">
        <v>7</v>
      </c>
      <c r="BI495" s="27" t="s">
        <v>8</v>
      </c>
      <c r="BJ495" s="27" t="s">
        <v>7</v>
      </c>
      <c r="BK495" s="27" t="s">
        <v>8</v>
      </c>
      <c r="BL495" s="27" t="s">
        <v>7</v>
      </c>
      <c r="BN495" s="27" t="s">
        <v>7</v>
      </c>
      <c r="BO495" s="27" t="s">
        <v>8</v>
      </c>
    </row>
    <row r="496" spans="1:69" x14ac:dyDescent="0.25">
      <c r="A496" s="7">
        <v>6.0619957888315641</v>
      </c>
      <c r="B496"/>
      <c r="C496"/>
      <c r="D496"/>
      <c r="E496" t="s">
        <v>8</v>
      </c>
      <c r="AL496" s="27" t="s">
        <v>7</v>
      </c>
      <c r="AM496" s="27" t="s">
        <v>8</v>
      </c>
      <c r="AN496" s="27" t="s">
        <v>7</v>
      </c>
      <c r="AO496" s="27" t="s">
        <v>8</v>
      </c>
      <c r="AP496" s="27" t="s">
        <v>7</v>
      </c>
      <c r="AR496" s="27" t="s">
        <v>7</v>
      </c>
      <c r="AS496" s="27" t="s">
        <v>8</v>
      </c>
      <c r="AT496" s="27" t="s">
        <v>7</v>
      </c>
      <c r="AW496" s="27" t="s">
        <v>8</v>
      </c>
      <c r="AX496" s="27" t="s">
        <v>7</v>
      </c>
      <c r="AY496" s="27" t="s">
        <v>8</v>
      </c>
      <c r="AZ496" s="27" t="s">
        <v>7</v>
      </c>
      <c r="BG496" s="27" t="s">
        <v>8</v>
      </c>
      <c r="BH496" s="27" t="s">
        <v>7</v>
      </c>
      <c r="BI496" s="27" t="s">
        <v>8</v>
      </c>
      <c r="BJ496" s="27" t="s">
        <v>7</v>
      </c>
      <c r="BK496" s="27" t="s">
        <v>8</v>
      </c>
      <c r="BN496" s="27" t="s">
        <v>7</v>
      </c>
    </row>
    <row r="497" spans="1:62" x14ac:dyDescent="0.25">
      <c r="A497" s="7">
        <v>5.9431331263054545</v>
      </c>
      <c r="B497"/>
      <c r="C497"/>
      <c r="D497"/>
      <c r="E497" t="s">
        <v>8</v>
      </c>
      <c r="AL497" s="27" t="s">
        <v>7</v>
      </c>
      <c r="AM497" s="27" t="s">
        <v>8</v>
      </c>
      <c r="AN497" s="27" t="s">
        <v>7</v>
      </c>
      <c r="AO497" s="27" t="s">
        <v>8</v>
      </c>
      <c r="AR497" s="27" t="s">
        <v>7</v>
      </c>
      <c r="AS497" s="27" t="s">
        <v>8</v>
      </c>
      <c r="AT497" s="27" t="s">
        <v>7</v>
      </c>
      <c r="AW497" s="27" t="s">
        <v>8</v>
      </c>
      <c r="AX497" s="27" t="s">
        <v>7</v>
      </c>
      <c r="AY497" s="27" t="s">
        <v>8</v>
      </c>
      <c r="AZ497" s="27" t="s">
        <v>7</v>
      </c>
      <c r="BA497" s="27" t="s">
        <v>8</v>
      </c>
      <c r="BC497" s="27" t="s">
        <v>8</v>
      </c>
      <c r="BG497" s="27" t="s">
        <v>8</v>
      </c>
      <c r="BH497" s="27" t="s">
        <v>7</v>
      </c>
      <c r="BI497" s="27" t="s">
        <v>8</v>
      </c>
      <c r="BJ497" s="27" t="s">
        <v>7</v>
      </c>
    </row>
    <row r="498" spans="1:62" x14ac:dyDescent="0.25">
      <c r="A498" s="7">
        <v>5.8266011042210337</v>
      </c>
      <c r="B498"/>
      <c r="C498"/>
      <c r="D498"/>
      <c r="E498" t="s">
        <v>8</v>
      </c>
      <c r="AL498" s="27" t="s">
        <v>7</v>
      </c>
      <c r="AM498" s="27" t="s">
        <v>8</v>
      </c>
      <c r="AN498" s="27" t="s">
        <v>7</v>
      </c>
      <c r="AO498" s="27" t="s">
        <v>8</v>
      </c>
      <c r="AR498" s="27" t="s">
        <v>7</v>
      </c>
      <c r="AS498" s="27" t="s">
        <v>8</v>
      </c>
      <c r="AT498" s="27" t="s">
        <v>7</v>
      </c>
      <c r="AW498" s="27" t="s">
        <v>8</v>
      </c>
      <c r="AX498" s="27" t="s">
        <v>7</v>
      </c>
      <c r="AZ498" s="27" t="s">
        <v>7</v>
      </c>
      <c r="BA498" s="27" t="s">
        <v>8</v>
      </c>
      <c r="BB498" s="27" t="s">
        <v>7</v>
      </c>
      <c r="BC498" s="27" t="s">
        <v>8</v>
      </c>
      <c r="BD498" s="27" t="s">
        <v>7</v>
      </c>
      <c r="BG498" s="27" t="s">
        <v>8</v>
      </c>
      <c r="BH498" s="27" t="s">
        <v>7</v>
      </c>
      <c r="BI498" s="27" t="s">
        <v>8</v>
      </c>
    </row>
    <row r="499" spans="1:62" x14ac:dyDescent="0.25">
      <c r="A499" s="7">
        <v>5.7123540237461112</v>
      </c>
      <c r="B499"/>
      <c r="C499"/>
      <c r="D499"/>
      <c r="E499" t="s">
        <v>8</v>
      </c>
      <c r="AL499" s="27" t="s">
        <v>7</v>
      </c>
      <c r="AM499" s="27" t="s">
        <v>8</v>
      </c>
      <c r="AN499" s="27" t="s">
        <v>7</v>
      </c>
      <c r="AR499" s="27" t="s">
        <v>7</v>
      </c>
      <c r="AS499" s="27" t="s">
        <v>8</v>
      </c>
      <c r="AT499" s="27" t="s">
        <v>7</v>
      </c>
      <c r="AW499" s="27" t="s">
        <v>8</v>
      </c>
      <c r="AZ499" s="27" t="s">
        <v>7</v>
      </c>
      <c r="BA499" s="27" t="s">
        <v>8</v>
      </c>
      <c r="BB499" s="27" t="s">
        <v>7</v>
      </c>
      <c r="BC499" s="27" t="s">
        <v>8</v>
      </c>
      <c r="BD499" s="27" t="s">
        <v>7</v>
      </c>
      <c r="BG499" s="27" t="s">
        <v>8</v>
      </c>
      <c r="BH499" s="27" t="s">
        <v>7</v>
      </c>
    </row>
    <row r="500" spans="1:62" x14ac:dyDescent="0.25">
      <c r="A500" s="7">
        <v>5.6003470821040304</v>
      </c>
      <c r="B500"/>
      <c r="C500"/>
      <c r="D500"/>
      <c r="E500" t="s">
        <v>8</v>
      </c>
      <c r="AL500" s="27" t="s">
        <v>7</v>
      </c>
      <c r="AR500" s="27" t="s">
        <v>7</v>
      </c>
      <c r="AS500" s="27" t="s">
        <v>8</v>
      </c>
      <c r="AT500" s="27" t="s">
        <v>7</v>
      </c>
      <c r="AW500" s="27" t="s">
        <v>8</v>
      </c>
      <c r="AZ500" s="27" t="s">
        <v>7</v>
      </c>
      <c r="BA500" s="27" t="s">
        <v>8</v>
      </c>
      <c r="BB500" s="27" t="s">
        <v>7</v>
      </c>
      <c r="BC500" s="27" t="s">
        <v>8</v>
      </c>
      <c r="BD500" s="27" t="s">
        <v>7</v>
      </c>
      <c r="BE500" s="27" t="s">
        <v>8</v>
      </c>
      <c r="BG500" s="27" t="s">
        <v>8</v>
      </c>
    </row>
    <row r="501" spans="1:62" x14ac:dyDescent="0.25">
      <c r="A501" s="7">
        <v>5.4905363550039512</v>
      </c>
      <c r="B501"/>
      <c r="C501"/>
      <c r="D501"/>
      <c r="E501" t="s">
        <v>8</v>
      </c>
      <c r="AR501" s="27" t="s">
        <v>7</v>
      </c>
      <c r="AS501" s="27" t="s">
        <v>8</v>
      </c>
      <c r="AT501" s="27" t="s">
        <v>7</v>
      </c>
      <c r="AU501" s="27" t="s">
        <v>8</v>
      </c>
      <c r="AW501" s="27" t="s">
        <v>8</v>
      </c>
      <c r="AZ501" s="27" t="s">
        <v>7</v>
      </c>
      <c r="BB501" s="27" t="s">
        <v>7</v>
      </c>
      <c r="BC501" s="27" t="s">
        <v>8</v>
      </c>
      <c r="BD501" s="27" t="s">
        <v>7</v>
      </c>
      <c r="BE501" s="27" t="s">
        <v>8</v>
      </c>
      <c r="BF501" s="27" t="s">
        <v>7</v>
      </c>
      <c r="BG501" s="27" t="s">
        <v>8</v>
      </c>
    </row>
    <row r="502" spans="1:62" x14ac:dyDescent="0.25">
      <c r="A502" s="7">
        <v>5.3828787794156385</v>
      </c>
      <c r="B502"/>
      <c r="C502"/>
      <c r="D502"/>
      <c r="E502" t="s">
        <v>8</v>
      </c>
      <c r="AR502" s="27" t="s">
        <v>7</v>
      </c>
      <c r="AS502" s="27" t="s">
        <v>8</v>
      </c>
      <c r="AT502" s="27" t="s">
        <v>7</v>
      </c>
      <c r="AU502" s="27" t="s">
        <v>8</v>
      </c>
      <c r="AV502" s="27" t="s">
        <v>7</v>
      </c>
      <c r="AW502" s="27" t="s">
        <v>8</v>
      </c>
      <c r="BB502" s="27" t="s">
        <v>7</v>
      </c>
      <c r="BC502" s="27" t="s">
        <v>8</v>
      </c>
      <c r="BD502" s="27" t="s">
        <v>7</v>
      </c>
      <c r="BE502" s="27" t="s">
        <v>8</v>
      </c>
      <c r="BF502" s="27" t="s">
        <v>7</v>
      </c>
      <c r="BG502" s="27" t="s">
        <v>8</v>
      </c>
    </row>
    <row r="503" spans="1:62" x14ac:dyDescent="0.25">
      <c r="A503" s="7">
        <v>5.2773321366819985</v>
      </c>
      <c r="B503"/>
      <c r="C503"/>
      <c r="D503"/>
      <c r="E503" t="s">
        <v>8</v>
      </c>
      <c r="AR503" s="27" t="s">
        <v>7</v>
      </c>
      <c r="AT503" s="27" t="s">
        <v>7</v>
      </c>
      <c r="AU503" s="27" t="s">
        <v>8</v>
      </c>
      <c r="AV503" s="27" t="s">
        <v>7</v>
      </c>
      <c r="AW503" s="27" t="s">
        <v>8</v>
      </c>
      <c r="BB503" s="27" t="s">
        <v>7</v>
      </c>
      <c r="BD503" s="27" t="s">
        <v>7</v>
      </c>
      <c r="BF503" s="27" t="s">
        <v>7</v>
      </c>
      <c r="BG503" s="27" t="s">
        <v>8</v>
      </c>
    </row>
    <row r="504" spans="1:62" x14ac:dyDescent="0.25">
      <c r="A504" s="7">
        <v>5.1738550359627435</v>
      </c>
      <c r="B504"/>
      <c r="C504"/>
      <c r="D504"/>
      <c r="E504" t="s">
        <v>8</v>
      </c>
      <c r="AT504" s="27" t="s">
        <v>7</v>
      </c>
      <c r="AV504" s="27" t="s">
        <v>7</v>
      </c>
      <c r="AW504" s="27" t="s">
        <v>8</v>
      </c>
      <c r="BF504" s="27" t="s">
        <v>7</v>
      </c>
    </row>
    <row r="505" spans="1:62" x14ac:dyDescent="0.25">
      <c r="A505" s="7">
        <v>5.07240689800269</v>
      </c>
      <c r="B505"/>
      <c r="C505"/>
      <c r="D505"/>
      <c r="E505" t="s">
        <v>8</v>
      </c>
      <c r="AV505" s="27" t="s">
        <v>7</v>
      </c>
    </row>
    <row r="506" spans="1:62" x14ac:dyDescent="0.25">
      <c r="A506" s="7">
        <v>4.9729479392183231</v>
      </c>
      <c r="B506"/>
      <c r="C506"/>
      <c r="D506"/>
      <c r="E506" t="s">
        <v>8</v>
      </c>
    </row>
    <row r="507" spans="1:62" x14ac:dyDescent="0.25">
      <c r="A507" s="7">
        <v>4.8754391560963954</v>
      </c>
      <c r="B507"/>
      <c r="C507"/>
      <c r="D507"/>
      <c r="E507" t="s">
        <v>8</v>
      </c>
    </row>
    <row r="508" spans="1:62" x14ac:dyDescent="0.25">
      <c r="A508" s="7">
        <v>4.7798423098984264</v>
      </c>
      <c r="B508"/>
      <c r="C508"/>
      <c r="D508"/>
      <c r="E508" t="s">
        <v>8</v>
      </c>
    </row>
    <row r="509" spans="1:62" x14ac:dyDescent="0.25">
      <c r="A509" s="7">
        <v>4.6861199116651235</v>
      </c>
      <c r="B509"/>
      <c r="C509"/>
      <c r="D509"/>
      <c r="E509" t="s">
        <v>8</v>
      </c>
    </row>
    <row r="510" spans="1:62" x14ac:dyDescent="0.25">
      <c r="A510" s="7">
        <v>4.5942352075148269</v>
      </c>
      <c r="B510"/>
      <c r="C510"/>
      <c r="D510"/>
      <c r="E510" t="s">
        <v>8</v>
      </c>
    </row>
    <row r="511" spans="1:62" x14ac:dyDescent="0.25">
      <c r="A511" s="7">
        <v>4.5041521642302227</v>
      </c>
      <c r="B511"/>
      <c r="C511"/>
      <c r="D511"/>
      <c r="E511" t="s">
        <v>8</v>
      </c>
    </row>
    <row r="512" spans="1:62" x14ac:dyDescent="0.25">
      <c r="A512" s="7">
        <v>4.4158354551276693</v>
      </c>
      <c r="B512"/>
      <c r="C512"/>
      <c r="D512"/>
      <c r="E512" t="s">
        <v>8</v>
      </c>
    </row>
    <row r="513" spans="1:5" x14ac:dyDescent="0.25">
      <c r="A513" s="7">
        <v>4.3292504462035977</v>
      </c>
      <c r="B513"/>
      <c r="C513"/>
      <c r="D513"/>
      <c r="E513" t="s">
        <v>8</v>
      </c>
    </row>
    <row r="514" spans="1:5" x14ac:dyDescent="0.25">
      <c r="A514" s="7">
        <v>4.2443631825525463</v>
      </c>
      <c r="B514"/>
      <c r="C514"/>
      <c r="D514"/>
      <c r="E514" t="s">
        <v>8</v>
      </c>
    </row>
    <row r="515" spans="1:5" x14ac:dyDescent="0.25">
      <c r="A515" s="7">
        <v>4.1611403750515157</v>
      </c>
      <c r="B515"/>
      <c r="C515"/>
      <c r="D515"/>
      <c r="E515" t="s">
        <v>8</v>
      </c>
    </row>
    <row r="516" spans="1:5" x14ac:dyDescent="0.25">
      <c r="A516" s="7">
        <v>4.0795493873054074</v>
      </c>
      <c r="B516"/>
      <c r="C516"/>
      <c r="D516"/>
      <c r="E516" t="s">
        <v>8</v>
      </c>
    </row>
    <row r="517" spans="1:5" x14ac:dyDescent="0.25">
      <c r="A517" s="7">
        <v>3.9995582228484383</v>
      </c>
      <c r="B517"/>
      <c r="C517"/>
      <c r="D517"/>
      <c r="E517" t="s">
        <v>8</v>
      </c>
    </row>
    <row r="518" spans="1:5" x14ac:dyDescent="0.25">
      <c r="A518" s="7">
        <v>3.9211355125965079</v>
      </c>
      <c r="B518"/>
      <c r="C518"/>
      <c r="D518"/>
      <c r="E518" t="s">
        <v>8</v>
      </c>
    </row>
    <row r="519" spans="1:5" x14ac:dyDescent="0.25">
      <c r="A519" s="7">
        <v>3.844250502545596</v>
      </c>
      <c r="B519"/>
      <c r="C519"/>
      <c r="D519"/>
      <c r="E519" t="s">
        <v>8</v>
      </c>
    </row>
    <row r="520" spans="1:5" x14ac:dyDescent="0.25">
      <c r="A520" s="7">
        <v>3.7688730417113687</v>
      </c>
      <c r="B520"/>
      <c r="C520"/>
      <c r="D520"/>
      <c r="E520" t="s">
        <v>8</v>
      </c>
    </row>
    <row r="521" spans="1:5" x14ac:dyDescent="0.25">
      <c r="A521" s="7">
        <v>3.6949735703052635</v>
      </c>
      <c r="B521"/>
      <c r="C521"/>
      <c r="D521"/>
      <c r="E521" t="s">
        <v>8</v>
      </c>
    </row>
    <row r="522" spans="1:5" x14ac:dyDescent="0.25">
      <c r="A522" s="7">
        <v>3.6225231081424152</v>
      </c>
      <c r="B522"/>
      <c r="C522"/>
      <c r="D522"/>
      <c r="E522" t="s">
        <v>8</v>
      </c>
    </row>
    <row r="523" spans="1:5" x14ac:dyDescent="0.25">
      <c r="A523" s="7">
        <v>3.5514932432768775</v>
      </c>
      <c r="B523"/>
      <c r="C523"/>
      <c r="D523"/>
      <c r="E523" t="s">
        <v>8</v>
      </c>
    </row>
    <row r="524" spans="1:5" x14ac:dyDescent="0.25">
      <c r="A524" s="7">
        <v>3.4818561208596837</v>
      </c>
      <c r="B524"/>
      <c r="C524"/>
      <c r="D524"/>
      <c r="E524" t="s">
        <v>8</v>
      </c>
    </row>
    <row r="525" spans="1:5" x14ac:dyDescent="0.25">
      <c r="A525" s="7">
        <v>3.4135844322153761</v>
      </c>
      <c r="B525"/>
      <c r="C525"/>
      <c r="D525"/>
      <c r="E525" t="s">
        <v>8</v>
      </c>
    </row>
    <row r="526" spans="1:5" x14ac:dyDescent="0.25">
      <c r="A526" s="7">
        <v>3.3466514041327216</v>
      </c>
      <c r="B526"/>
      <c r="C526"/>
      <c r="D526"/>
      <c r="E526" t="s">
        <v>8</v>
      </c>
    </row>
    <row r="527" spans="1:5" x14ac:dyDescent="0.25">
      <c r="A527" s="7">
        <v>3.2810307883654133</v>
      </c>
      <c r="B527"/>
      <c r="C527"/>
      <c r="D527"/>
      <c r="E527" t="s">
        <v>8</v>
      </c>
    </row>
    <row r="528" spans="1:5" x14ac:dyDescent="0.25">
      <c r="A528" s="7">
        <v>3.2166968513386403</v>
      </c>
      <c r="B528"/>
      <c r="C528"/>
      <c r="D528"/>
      <c r="E528" t="s">
        <v>8</v>
      </c>
    </row>
    <row r="529" spans="1:5" x14ac:dyDescent="0.25">
      <c r="A529" s="7">
        <v>3.1536243640574906</v>
      </c>
      <c r="B529"/>
      <c r="C529"/>
      <c r="D529"/>
      <c r="E529" t="s">
        <v>8</v>
      </c>
    </row>
    <row r="530" spans="1:5" x14ac:dyDescent="0.25">
      <c r="A530" s="7">
        <v>3.0917885922132262</v>
      </c>
      <c r="B530"/>
      <c r="C530"/>
      <c r="D530"/>
      <c r="E530" t="s">
        <v>8</v>
      </c>
    </row>
    <row r="531" spans="1:5" x14ac:dyDescent="0.25">
      <c r="A531" s="7">
        <v>3.0311652864835552</v>
      </c>
      <c r="B531"/>
      <c r="C531"/>
      <c r="D531"/>
      <c r="E531" t="s">
        <v>8</v>
      </c>
    </row>
    <row r="532" spans="1:5" x14ac:dyDescent="0.25">
      <c r="A532" s="7">
        <v>2.9717306730230932</v>
      </c>
      <c r="B532"/>
      <c r="C532"/>
      <c r="D532"/>
      <c r="E532" t="s">
        <v>8</v>
      </c>
    </row>
    <row r="533" spans="1:5" x14ac:dyDescent="0.25">
      <c r="A533" s="7">
        <v>2.9134614441402875</v>
      </c>
      <c r="B533"/>
      <c r="C533"/>
      <c r="D533"/>
      <c r="E533" t="s">
        <v>8</v>
      </c>
    </row>
    <row r="534" spans="1:5" x14ac:dyDescent="0.25">
      <c r="A534" s="7">
        <v>2.8563347491571447</v>
      </c>
      <c r="B534"/>
      <c r="C534"/>
      <c r="D534"/>
      <c r="E534" t="s">
        <v>8</v>
      </c>
    </row>
    <row r="535" spans="1:5" x14ac:dyDescent="0.25">
      <c r="A535" s="7">
        <v>2.8003281854481812</v>
      </c>
      <c r="B535"/>
      <c r="C535"/>
      <c r="D535"/>
      <c r="E535" t="s">
        <v>8</v>
      </c>
    </row>
    <row r="536" spans="1:5" x14ac:dyDescent="0.25">
      <c r="A536" s="7">
        <v>2.7454197896550796</v>
      </c>
      <c r="B536"/>
      <c r="C536"/>
      <c r="D536"/>
      <c r="E536" t="s">
        <v>8</v>
      </c>
    </row>
    <row r="537" spans="1:5" x14ac:dyDescent="0.25">
      <c r="A537" s="7">
        <v>2.6915880290736074</v>
      </c>
      <c r="B537"/>
      <c r="C537"/>
      <c r="D537"/>
      <c r="E537" t="s">
        <v>8</v>
      </c>
    </row>
    <row r="538" spans="1:5" x14ac:dyDescent="0.25">
      <c r="A538" s="7">
        <v>2.6388117932094191</v>
      </c>
      <c r="B538"/>
      <c r="C538"/>
      <c r="D538"/>
      <c r="E538" t="s">
        <v>8</v>
      </c>
    </row>
    <row r="539" spans="1:5" x14ac:dyDescent="0.25">
      <c r="A539" s="7">
        <v>2.5870703854994304</v>
      </c>
      <c r="B539"/>
      <c r="C539"/>
      <c r="D539"/>
      <c r="E539" t="s">
        <v>8</v>
      </c>
    </row>
    <row r="540" spans="1:5" x14ac:dyDescent="0.25">
      <c r="A540" s="7">
        <v>2.53634351519552</v>
      </c>
      <c r="B540"/>
      <c r="C540"/>
      <c r="D540"/>
      <c r="E540" t="s">
        <v>8</v>
      </c>
    </row>
    <row r="541" spans="1:5" x14ac:dyDescent="0.25">
      <c r="A541" s="7">
        <v>2.4866112894073726</v>
      </c>
      <c r="B541"/>
      <c r="C541"/>
      <c r="D541"/>
      <c r="E541" t="s">
        <v>8</v>
      </c>
    </row>
    <row r="542" spans="1:5" x14ac:dyDescent="0.25">
      <c r="A542" s="7">
        <v>2.4378542053013459</v>
      </c>
      <c r="B542"/>
      <c r="C542"/>
      <c r="D542"/>
      <c r="E542" t="s">
        <v>8</v>
      </c>
    </row>
    <row r="543" spans="1:5" x14ac:dyDescent="0.25">
      <c r="A543" s="7">
        <v>2.3900531424522997</v>
      </c>
      <c r="B543"/>
      <c r="C543"/>
      <c r="D543"/>
      <c r="E543" t="s">
        <v>8</v>
      </c>
    </row>
    <row r="544" spans="1:5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76" operator="equal">
      <formula>$U$1</formula>
    </cfRule>
    <cfRule type="cellIs" dxfId="89" priority="977" operator="equal">
      <formula>$S$1</formula>
    </cfRule>
  </conditionalFormatting>
  <conditionalFormatting sqref="D27">
    <cfRule type="cellIs" dxfId="88" priority="974" operator="equal">
      <formula>$S$1</formula>
    </cfRule>
    <cfRule type="cellIs" dxfId="87" priority="975" operator="equal">
      <formula>$U$1</formula>
    </cfRule>
  </conditionalFormatting>
  <conditionalFormatting sqref="C164">
    <cfRule type="cellIs" dxfId="86" priority="972" operator="equal">
      <formula>$U$1</formula>
    </cfRule>
    <cfRule type="cellIs" dxfId="85" priority="973" operator="equal">
      <formula>$S$1</formula>
    </cfRule>
  </conditionalFormatting>
  <conditionalFormatting sqref="D164">
    <cfRule type="cellIs" dxfId="84" priority="970" operator="equal">
      <formula>$S$1</formula>
    </cfRule>
    <cfRule type="cellIs" dxfId="83" priority="971" operator="equal">
      <formula>$U$1</formula>
    </cfRule>
  </conditionalFormatting>
  <conditionalFormatting sqref="C55">
    <cfRule type="cellIs" dxfId="82" priority="968" operator="equal">
      <formula>$U$1</formula>
    </cfRule>
    <cfRule type="cellIs" dxfId="81" priority="969" operator="equal">
      <formula>$S$1</formula>
    </cfRule>
  </conditionalFormatting>
  <conditionalFormatting sqref="D55">
    <cfRule type="cellIs" dxfId="80" priority="966" operator="equal">
      <formula>$S$1</formula>
    </cfRule>
    <cfRule type="cellIs" dxfId="79" priority="967" operator="equal">
      <formula>$U$1</formula>
    </cfRule>
  </conditionalFormatting>
  <conditionalFormatting sqref="C89">
    <cfRule type="cellIs" dxfId="78" priority="964" operator="equal">
      <formula>$U$1</formula>
    </cfRule>
    <cfRule type="cellIs" dxfId="77" priority="965" operator="equal">
      <formula>$S$1</formula>
    </cfRule>
  </conditionalFormatting>
  <conditionalFormatting sqref="D89">
    <cfRule type="cellIs" dxfId="76" priority="962" operator="equal">
      <formula>$S$1</formula>
    </cfRule>
    <cfRule type="cellIs" dxfId="75" priority="963" operator="equal">
      <formula>$U$1</formula>
    </cfRule>
  </conditionalFormatting>
  <conditionalFormatting sqref="C136">
    <cfRule type="cellIs" dxfId="74" priority="960" operator="equal">
      <formula>$U$1</formula>
    </cfRule>
    <cfRule type="cellIs" dxfId="73" priority="961" operator="equal">
      <formula>$S$1</formula>
    </cfRule>
  </conditionalFormatting>
  <conditionalFormatting sqref="D136">
    <cfRule type="cellIs" dxfId="72" priority="958" operator="equal">
      <formula>$S$1</formula>
    </cfRule>
    <cfRule type="cellIs" dxfId="71" priority="959" operator="equal">
      <formula>$U$1</formula>
    </cfRule>
  </conditionalFormatting>
  <conditionalFormatting sqref="C1">
    <cfRule type="cellIs" dxfId="70" priority="95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75"/>
  <sheetViews>
    <sheetView topLeftCell="A202" zoomScale="90" zoomScaleNormal="90" workbookViewId="0">
      <pane xSplit="4" topLeftCell="BR1" activePane="topRight" state="frozen"/>
      <selection activeCell="A109" sqref="A109"/>
      <selection pane="topRight" activeCell="EC232" sqref="EC232"/>
    </sheetView>
  </sheetViews>
  <sheetFormatPr defaultRowHeight="15" x14ac:dyDescent="0.25"/>
  <cols>
    <col min="1" max="1" width="12.5703125" style="30" customWidth="1"/>
    <col min="2" max="5" width="10.7109375" style="1" hidden="1" customWidth="1"/>
    <col min="6" max="7" width="10.710937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1">
        <v>2632434.7683733804</v>
      </c>
    </row>
    <row r="6" spans="1:21" x14ac:dyDescent="0.25">
      <c r="A6" s="31">
        <v>2507080.7317841719</v>
      </c>
    </row>
    <row r="7" spans="1:21" x14ac:dyDescent="0.25">
      <c r="A7" s="31">
        <v>2387695.9350325447</v>
      </c>
    </row>
    <row r="8" spans="1:21" x14ac:dyDescent="0.25">
      <c r="A8" s="31">
        <v>2273996.1286024232</v>
      </c>
    </row>
    <row r="9" spans="1:21" x14ac:dyDescent="0.25">
      <c r="A9" s="31">
        <v>2165710.5986689744</v>
      </c>
    </row>
    <row r="10" spans="1:21" x14ac:dyDescent="0.25">
      <c r="A10" s="31">
        <v>2062581.5225418801</v>
      </c>
    </row>
    <row r="11" spans="1:21" x14ac:dyDescent="0.25">
      <c r="A11" s="31">
        <v>1964363.3548017906</v>
      </c>
    </row>
    <row r="12" spans="1:21" x14ac:dyDescent="0.25">
      <c r="A12" s="31">
        <v>1870822.2426683719</v>
      </c>
    </row>
    <row r="13" spans="1:21" x14ac:dyDescent="0.25">
      <c r="A13" s="31">
        <v>1781735.4692079732</v>
      </c>
    </row>
    <row r="14" spans="1:21" x14ac:dyDescent="0.25">
      <c r="A14" s="31">
        <v>1696890.9230552125</v>
      </c>
    </row>
    <row r="15" spans="1:21" x14ac:dyDescent="0.25">
      <c r="A15" s="31">
        <v>1616086.5933859167</v>
      </c>
    </row>
    <row r="16" spans="1:21" x14ac:dyDescent="0.25">
      <c r="A16" s="31">
        <v>1539130.0889389683</v>
      </c>
    </row>
    <row r="17" spans="1:7" x14ac:dyDescent="0.25">
      <c r="A17" s="31">
        <v>1465838.1799418745</v>
      </c>
    </row>
    <row r="18" spans="1:7" x14ac:dyDescent="0.25">
      <c r="A18" s="31">
        <v>1396036.3618494042</v>
      </c>
    </row>
    <row r="19" spans="1:7" x14ac:dyDescent="0.25">
      <c r="A19" s="31">
        <v>1329558.4398565753</v>
      </c>
    </row>
    <row r="20" spans="1:7" x14ac:dyDescent="0.25">
      <c r="A20" s="31">
        <v>1266246.1331967383</v>
      </c>
    </row>
    <row r="21" spans="1:7" x14ac:dyDescent="0.25">
      <c r="A21" s="31">
        <v>1205948.6982826078</v>
      </c>
      <c r="C21" s="1" t="s">
        <v>15</v>
      </c>
      <c r="G21" s="11"/>
    </row>
    <row r="22" spans="1:7" x14ac:dyDescent="0.25">
      <c r="A22" s="31">
        <v>1148522.5697929598</v>
      </c>
      <c r="C22" s="7">
        <v>0.11686133436193799</v>
      </c>
      <c r="D22"/>
    </row>
    <row r="23" spans="1:7" x14ac:dyDescent="0.25">
      <c r="A23" s="31">
        <v>1093831.0188504378</v>
      </c>
    </row>
    <row r="24" spans="1:7" x14ac:dyDescent="0.25">
      <c r="A24" s="31">
        <v>1041743.8274766075</v>
      </c>
      <c r="C24" s="1" t="s">
        <v>11</v>
      </c>
      <c r="D24" s="1" t="s">
        <v>12</v>
      </c>
    </row>
    <row r="25" spans="1:7" x14ac:dyDescent="0.25">
      <c r="A25" s="31">
        <v>992136.97854914994</v>
      </c>
      <c r="C25"/>
      <c r="D25"/>
    </row>
    <row r="26" spans="1:7" x14ac:dyDescent="0.25">
      <c r="A26" s="31">
        <v>944892.36052299989</v>
      </c>
    </row>
    <row r="27" spans="1:7" x14ac:dyDescent="0.25">
      <c r="A27" s="31">
        <v>899897.48621238081</v>
      </c>
      <c r="C27" s="1" t="s">
        <v>13</v>
      </c>
    </row>
    <row r="28" spans="1:7" x14ac:dyDescent="0.25">
      <c r="A28" s="31">
        <v>857045.22496417211</v>
      </c>
      <c r="C28" s="1">
        <f>C17</f>
        <v>0</v>
      </c>
    </row>
    <row r="29" spans="1:7" x14ac:dyDescent="0.25">
      <c r="A29" s="31">
        <v>816233.54758492578</v>
      </c>
      <c r="C29"/>
    </row>
    <row r="30" spans="1:7" x14ac:dyDescent="0.25">
      <c r="A30" s="31">
        <v>777365.28341421497</v>
      </c>
      <c r="C30" s="1" t="s">
        <v>14</v>
      </c>
    </row>
    <row r="31" spans="1:7" x14ac:dyDescent="0.25">
      <c r="A31" s="31">
        <v>740347.88896591903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1">
        <v>705093.22758658952</v>
      </c>
    </row>
    <row r="33" spans="1:5" x14ac:dyDescent="0.25">
      <c r="A33" s="31">
        <v>671517.35960627568</v>
      </c>
      <c r="E33"/>
    </row>
    <row r="34" spans="1:5" x14ac:dyDescent="0.25">
      <c r="A34" s="31">
        <v>639540.3424821673</v>
      </c>
      <c r="E34"/>
    </row>
    <row r="35" spans="1:5" x14ac:dyDescent="0.25">
      <c r="A35" s="31">
        <v>609086.04045920691</v>
      </c>
      <c r="E35"/>
    </row>
    <row r="36" spans="1:5" x14ac:dyDescent="0.25">
      <c r="A36" s="31">
        <v>580081.94329448277</v>
      </c>
      <c r="E36"/>
    </row>
    <row r="37" spans="1:5" x14ac:dyDescent="0.25">
      <c r="A37" s="31">
        <v>552458.99361379305</v>
      </c>
      <c r="E37"/>
    </row>
    <row r="38" spans="1:5" x14ac:dyDescent="0.25">
      <c r="A38" s="31">
        <v>526151.42248932668</v>
      </c>
      <c r="E38"/>
    </row>
    <row r="39" spans="1:5" x14ac:dyDescent="0.25">
      <c r="A39" s="31">
        <v>501096.59284697776</v>
      </c>
      <c r="E39"/>
    </row>
    <row r="40" spans="1:5" x14ac:dyDescent="0.25">
      <c r="A40" s="31">
        <v>477234.850330455</v>
      </c>
      <c r="E40"/>
    </row>
    <row r="41" spans="1:5" x14ac:dyDescent="0.25">
      <c r="A41" s="31">
        <v>454509.38126709999</v>
      </c>
      <c r="E41"/>
    </row>
    <row r="42" spans="1:5" x14ac:dyDescent="0.25">
      <c r="A42" s="31">
        <v>432866.07739723806</v>
      </c>
      <c r="E42"/>
    </row>
    <row r="43" spans="1:5" x14ac:dyDescent="0.25">
      <c r="A43" s="31">
        <v>412253.40704498859</v>
      </c>
      <c r="E43"/>
    </row>
    <row r="44" spans="1:5" x14ac:dyDescent="0.25">
      <c r="A44" s="31">
        <v>392622.29242379864</v>
      </c>
      <c r="E44"/>
    </row>
    <row r="45" spans="1:5" x14ac:dyDescent="0.25">
      <c r="A45" s="31">
        <v>373925.99278457015</v>
      </c>
      <c r="E45"/>
    </row>
    <row r="46" spans="1:5" x14ac:dyDescent="0.25">
      <c r="A46" s="31">
        <v>356119.99312816205</v>
      </c>
      <c r="C46" s="1" t="s">
        <v>15</v>
      </c>
      <c r="E46"/>
    </row>
    <row r="47" spans="1:5" x14ac:dyDescent="0.25">
      <c r="A47" s="31">
        <v>339161.89821729716</v>
      </c>
      <c r="C47" s="7">
        <v>0.11686133436193799</v>
      </c>
      <c r="D47"/>
      <c r="E47"/>
    </row>
    <row r="48" spans="1:5" x14ac:dyDescent="0.25">
      <c r="A48" s="31">
        <v>323011.33163552108</v>
      </c>
      <c r="E48"/>
    </row>
    <row r="49" spans="1:5" x14ac:dyDescent="0.25">
      <c r="A49" s="31">
        <v>307629.83965287718</v>
      </c>
      <c r="C49" s="1" t="s">
        <v>11</v>
      </c>
      <c r="D49" s="1" t="s">
        <v>12</v>
      </c>
      <c r="E49"/>
    </row>
    <row r="50" spans="1:5" x14ac:dyDescent="0.25">
      <c r="A50" s="31">
        <v>292980.79966940684</v>
      </c>
      <c r="C50"/>
      <c r="D50"/>
      <c r="E50"/>
    </row>
    <row r="51" spans="1:5" x14ac:dyDescent="0.25">
      <c r="A51" s="31">
        <v>279029.33301848272</v>
      </c>
      <c r="E51"/>
    </row>
    <row r="52" spans="1:5" x14ac:dyDescent="0.25">
      <c r="A52" s="31">
        <v>265742.22192236449</v>
      </c>
      <c r="C52" s="1" t="s">
        <v>13</v>
      </c>
      <c r="E52"/>
    </row>
    <row r="53" spans="1:5" x14ac:dyDescent="0.25">
      <c r="A53" s="31">
        <v>253087.83040225189</v>
      </c>
      <c r="C53" s="1">
        <f>C42</f>
        <v>0</v>
      </c>
      <c r="E53"/>
    </row>
    <row r="54" spans="1:5" x14ac:dyDescent="0.25">
      <c r="A54" s="31">
        <v>241036.02895452559</v>
      </c>
      <c r="C54"/>
      <c r="E54"/>
    </row>
    <row r="55" spans="1:5" x14ac:dyDescent="0.25">
      <c r="A55" s="31">
        <v>229558.12281383388</v>
      </c>
      <c r="C55" s="1" t="s">
        <v>14</v>
      </c>
      <c r="E55"/>
    </row>
    <row r="56" spans="1:5" x14ac:dyDescent="0.25">
      <c r="A56" s="31">
        <v>218626.78363222274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1">
        <v>208215.9844116407</v>
      </c>
      <c r="E57"/>
    </row>
    <row r="58" spans="1:5" x14ac:dyDescent="0.25">
      <c r="A58" s="31">
        <v>198300.9375348959</v>
      </c>
      <c r="E58"/>
    </row>
    <row r="59" spans="1:5" x14ac:dyDescent="0.25">
      <c r="A59" s="31">
        <v>188858.0357475199</v>
      </c>
      <c r="E59"/>
    </row>
    <row r="60" spans="1:5" x14ac:dyDescent="0.25">
      <c r="A60" s="31">
        <v>179864.79595001895</v>
      </c>
      <c r="E60"/>
    </row>
    <row r="61" spans="1:5" x14ac:dyDescent="0.25">
      <c r="A61" s="31">
        <v>171299.8056666847</v>
      </c>
      <c r="E61"/>
    </row>
    <row r="62" spans="1:5" x14ac:dyDescent="0.25">
      <c r="A62" s="31">
        <v>163142.67206350924</v>
      </c>
      <c r="E62"/>
    </row>
    <row r="63" spans="1:5" x14ac:dyDescent="0.25">
      <c r="A63" s="31">
        <v>155373.97339381831</v>
      </c>
      <c r="E63"/>
    </row>
    <row r="64" spans="1:5" x14ac:dyDescent="0.25">
      <c r="A64" s="31">
        <v>147975.21275601743</v>
      </c>
      <c r="E64"/>
    </row>
    <row r="65" spans="1:5" x14ac:dyDescent="0.25">
      <c r="A65" s="31">
        <v>140928.77405334992</v>
      </c>
      <c r="E65"/>
    </row>
    <row r="66" spans="1:5" x14ac:dyDescent="0.25">
      <c r="A66" s="31">
        <v>134217.88005080944</v>
      </c>
      <c r="E66"/>
    </row>
    <row r="67" spans="1:5" x14ac:dyDescent="0.25">
      <c r="A67" s="31">
        <v>127826.55242934231</v>
      </c>
      <c r="E67"/>
    </row>
    <row r="68" spans="1:5" x14ac:dyDescent="0.25">
      <c r="A68" s="31">
        <v>121739.57374223076</v>
      </c>
      <c r="E68"/>
    </row>
    <row r="69" spans="1:5" x14ac:dyDescent="0.25">
      <c r="A69" s="31">
        <v>115942.4511830769</v>
      </c>
      <c r="E69"/>
    </row>
    <row r="70" spans="1:5" x14ac:dyDescent="0.25">
      <c r="A70" s="31">
        <v>110421.38207912086</v>
      </c>
      <c r="E70"/>
    </row>
    <row r="71" spans="1:5" x14ac:dyDescent="0.25">
      <c r="A71" s="31">
        <v>105163.22102773415</v>
      </c>
      <c r="C71" s="1" t="s">
        <v>15</v>
      </c>
      <c r="E71"/>
    </row>
    <row r="72" spans="1:5" x14ac:dyDescent="0.25">
      <c r="A72" s="30">
        <v>100155.44859784204</v>
      </c>
      <c r="C72" s="7">
        <v>0.11686133436193799</v>
      </c>
      <c r="D72"/>
      <c r="E72"/>
    </row>
    <row r="73" spans="1:5" x14ac:dyDescent="0.25">
      <c r="A73" s="30">
        <v>95386.141521754325</v>
      </c>
      <c r="E73"/>
    </row>
    <row r="74" spans="1:5" x14ac:dyDescent="0.25">
      <c r="A74" s="30">
        <v>90843.944306432692</v>
      </c>
      <c r="C74" s="1" t="s">
        <v>11</v>
      </c>
      <c r="D74" s="1" t="s">
        <v>12</v>
      </c>
      <c r="E74"/>
    </row>
    <row r="75" spans="1:5" x14ac:dyDescent="0.25">
      <c r="A75" s="30">
        <v>86518.042196602561</v>
      </c>
      <c r="C75"/>
      <c r="D75"/>
      <c r="E75"/>
    </row>
    <row r="76" spans="1:5" x14ac:dyDescent="0.25">
      <c r="A76" s="30">
        <v>82398.135425335771</v>
      </c>
      <c r="E76"/>
    </row>
    <row r="77" spans="1:5" x14ac:dyDescent="0.25">
      <c r="A77" s="30">
        <v>78474.414690795966</v>
      </c>
      <c r="C77" s="1" t="s">
        <v>13</v>
      </c>
      <c r="E77"/>
    </row>
    <row r="78" spans="1:5" x14ac:dyDescent="0.25">
      <c r="A78" s="30">
        <v>74737.537800758058</v>
      </c>
      <c r="C78" s="1">
        <f>C67</f>
        <v>0</v>
      </c>
      <c r="E78"/>
    </row>
    <row r="79" spans="1:5" x14ac:dyDescent="0.25">
      <c r="A79" s="30">
        <v>71178.607429293392</v>
      </c>
      <c r="C79"/>
      <c r="E79"/>
    </row>
    <row r="80" spans="1:5" x14ac:dyDescent="0.25">
      <c r="A80" s="30">
        <v>67789.149932660366</v>
      </c>
      <c r="C80" s="1" t="s">
        <v>14</v>
      </c>
      <c r="E80"/>
    </row>
    <row r="81" spans="1:5" x14ac:dyDescent="0.25">
      <c r="A81" s="30">
        <v>64561.095173962254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61486.757308535474</v>
      </c>
      <c r="E82"/>
    </row>
    <row r="83" spans="1:5" x14ac:dyDescent="0.25">
      <c r="A83" s="30">
        <v>58558.816484319497</v>
      </c>
      <c r="E83"/>
    </row>
    <row r="84" spans="1:5" x14ac:dyDescent="0.25">
      <c r="A84" s="30">
        <v>55770.301413637615</v>
      </c>
      <c r="E84"/>
    </row>
    <row r="85" spans="1:5" x14ac:dyDescent="0.25">
      <c r="A85" s="30">
        <v>53114.572774892964</v>
      </c>
      <c r="E85"/>
    </row>
    <row r="86" spans="1:5" x14ac:dyDescent="0.25">
      <c r="A86" s="30">
        <v>50585.307404659965</v>
      </c>
      <c r="E86"/>
    </row>
    <row r="87" spans="1:5" x14ac:dyDescent="0.25">
      <c r="A87" s="30">
        <v>48176.483242533301</v>
      </c>
      <c r="E87"/>
    </row>
    <row r="88" spans="1:5" x14ac:dyDescent="0.25">
      <c r="A88" s="30">
        <v>45882.364992888855</v>
      </c>
      <c r="E88"/>
    </row>
    <row r="89" spans="1:5" x14ac:dyDescent="0.25">
      <c r="A89" s="30">
        <v>43697.490469417957</v>
      </c>
      <c r="E89"/>
    </row>
    <row r="90" spans="1:5" x14ac:dyDescent="0.25">
      <c r="A90" s="30">
        <v>41616.657589921859</v>
      </c>
      <c r="E90"/>
    </row>
    <row r="91" spans="1:5" x14ac:dyDescent="0.25">
      <c r="A91" s="30">
        <v>39634.911990401772</v>
      </c>
      <c r="E91"/>
    </row>
    <row r="92" spans="1:5" x14ac:dyDescent="0.25">
      <c r="A92" s="30">
        <v>37747.535228954068</v>
      </c>
      <c r="E92"/>
    </row>
    <row r="93" spans="1:5" x14ac:dyDescent="0.25">
      <c r="A93" s="30">
        <v>35950.033551384826</v>
      </c>
      <c r="E93"/>
    </row>
    <row r="94" spans="1:5" x14ac:dyDescent="0.25">
      <c r="A94" s="30">
        <v>34238.127191795073</v>
      </c>
      <c r="E94"/>
    </row>
    <row r="95" spans="1:5" x14ac:dyDescent="0.25">
      <c r="A95" s="30">
        <v>32607.740182661972</v>
      </c>
      <c r="E95"/>
    </row>
    <row r="96" spans="1:5" x14ac:dyDescent="0.25">
      <c r="A96" s="30">
        <v>31054.990650154257</v>
      </c>
      <c r="C96" s="1" t="s">
        <v>15</v>
      </c>
      <c r="E96"/>
    </row>
    <row r="97" spans="1:5" x14ac:dyDescent="0.25">
      <c r="A97" s="30">
        <v>29576.181571575482</v>
      </c>
      <c r="C97" s="7">
        <v>0.11686133436193799</v>
      </c>
      <c r="D97"/>
      <c r="E97"/>
    </row>
    <row r="98" spans="1:5" x14ac:dyDescent="0.25">
      <c r="A98" s="30">
        <v>28167.79197292903</v>
      </c>
      <c r="E98"/>
    </row>
    <row r="99" spans="1:5" x14ac:dyDescent="0.25">
      <c r="A99" s="30">
        <v>26826.468545646694</v>
      </c>
      <c r="C99" s="1" t="s">
        <v>11</v>
      </c>
      <c r="D99" s="1" t="s">
        <v>12</v>
      </c>
      <c r="E99"/>
    </row>
    <row r="100" spans="1:5" x14ac:dyDescent="0.25">
      <c r="A100" s="30">
        <v>25549.017662520659</v>
      </c>
      <c r="C100"/>
      <c r="D100"/>
      <c r="E100"/>
    </row>
    <row r="101" spans="1:5" x14ac:dyDescent="0.25">
      <c r="A101" s="30">
        <v>24332.397773829198</v>
      </c>
      <c r="E101"/>
    </row>
    <row r="102" spans="1:5" x14ac:dyDescent="0.25">
      <c r="A102" s="30">
        <v>23173.712165551617</v>
      </c>
      <c r="C102" s="1" t="s">
        <v>13</v>
      </c>
      <c r="E102"/>
    </row>
    <row r="103" spans="1:5" x14ac:dyDescent="0.25">
      <c r="A103" s="30">
        <v>22070.202062430111</v>
      </c>
      <c r="C103" s="1">
        <f>C92</f>
        <v>0</v>
      </c>
      <c r="E103"/>
    </row>
    <row r="104" spans="1:5" x14ac:dyDescent="0.25">
      <c r="A104" s="30">
        <v>21019.240059457246</v>
      </c>
      <c r="C104"/>
      <c r="E104"/>
    </row>
    <row r="105" spans="1:5" x14ac:dyDescent="0.25">
      <c r="A105" s="30">
        <v>20018.323866149756</v>
      </c>
      <c r="C105" s="1" t="s">
        <v>14</v>
      </c>
      <c r="E105"/>
    </row>
    <row r="106" spans="1:5" x14ac:dyDescent="0.25">
      <c r="A106" s="30">
        <v>19065.070348714053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18157.209855918143</v>
      </c>
      <c r="E107"/>
    </row>
    <row r="108" spans="1:5" x14ac:dyDescent="0.25">
      <c r="A108" s="30">
        <v>17292.580815160134</v>
      </c>
      <c r="E108"/>
    </row>
    <row r="109" spans="1:5" x14ac:dyDescent="0.25">
      <c r="A109" s="30">
        <v>16469.124585866793</v>
      </c>
      <c r="E109"/>
    </row>
    <row r="110" spans="1:5" x14ac:dyDescent="0.25">
      <c r="A110" s="30">
        <v>15684.880557968376</v>
      </c>
      <c r="E110"/>
    </row>
    <row r="111" spans="1:5" x14ac:dyDescent="0.25">
      <c r="A111" s="30">
        <v>14937.981483779406</v>
      </c>
      <c r="C111" s="1" t="str">
        <f>ADDRESS(C121-1,1,1,1)</f>
        <v>$A$231</v>
      </c>
      <c r="D111" s="1" t="str">
        <f>ADDRESS(C121-1,D121,1,1)</f>
        <v>$EC$231</v>
      </c>
      <c r="E111"/>
    </row>
    <row r="112" spans="1:5" x14ac:dyDescent="0.25">
      <c r="A112" s="30">
        <v>14226.649032170862</v>
      </c>
      <c r="C112" s="1" t="str">
        <f>ADDRESS(C121,1,1,1)</f>
        <v>$A$232</v>
      </c>
      <c r="D112" s="1" t="str">
        <f>ADDRESS(C121,D121-1,1,1)</f>
        <v>$EB$232</v>
      </c>
      <c r="E112"/>
    </row>
    <row r="113" spans="1:5" x14ac:dyDescent="0.25">
      <c r="A113" s="30">
        <v>13549.18955444844</v>
      </c>
      <c r="C113" s="1" t="str">
        <f>ADDRESS(C121+1,1,1,1)</f>
        <v>$A$233</v>
      </c>
      <c r="D113" s="1" t="str">
        <f>ADDRESS(C121-1,D121+1,1,1)</f>
        <v>$ED$231</v>
      </c>
    </row>
    <row r="114" spans="1:5" x14ac:dyDescent="0.25">
      <c r="A114" s="30">
        <v>12903.990051855657</v>
      </c>
      <c r="C114" s="1" t="str">
        <f>ADDRESS(C121,D121,1,1)</f>
        <v>$EC$232</v>
      </c>
      <c r="D114" s="1" t="str">
        <f>ADDRESS(C121+1,D121+1,1,1)</f>
        <v>$ED$233</v>
      </c>
    </row>
    <row r="115" spans="1:5" x14ac:dyDescent="0.25">
      <c r="A115" s="30">
        <v>12289.514335100625</v>
      </c>
      <c r="C115" s="1" t="str">
        <f>ADDRESS(C121+1,D121,1,1)</f>
        <v>$EC$233</v>
      </c>
    </row>
    <row r="116" spans="1:5" x14ac:dyDescent="0.25">
      <c r="A116" s="30">
        <v>11704.2993667625</v>
      </c>
      <c r="C116" s="1">
        <f>C117-1</f>
        <v>231</v>
      </c>
    </row>
    <row r="117" spans="1:5" x14ac:dyDescent="0.25">
      <c r="A117" s="30">
        <v>11146.951777869046</v>
      </c>
      <c r="C117" s="1">
        <f>C121</f>
        <v>232</v>
      </c>
      <c r="D117" s="1">
        <f>D121</f>
        <v>133</v>
      </c>
    </row>
    <row r="118" spans="1:5" x14ac:dyDescent="0.25">
      <c r="A118" s="30">
        <v>10616.144550351471</v>
      </c>
      <c r="C118" s="1">
        <f>C117+1</f>
        <v>233</v>
      </c>
      <c r="D118" s="1">
        <f>D117+1</f>
        <v>134</v>
      </c>
    </row>
    <row r="119" spans="1:5" x14ac:dyDescent="0.25">
      <c r="A119" s="30">
        <v>10110.613857477592</v>
      </c>
    </row>
    <row r="120" spans="1:5" x14ac:dyDescent="0.25">
      <c r="A120" s="30">
        <v>9629.1560547405643</v>
      </c>
      <c r="C120" s="1" t="s">
        <v>9</v>
      </c>
    </row>
    <row r="121" spans="1:5" x14ac:dyDescent="0.25">
      <c r="A121" s="30">
        <v>9170.6248140386324</v>
      </c>
      <c r="C121" s="18">
        <v>232</v>
      </c>
      <c r="D121" s="19">
        <v>133</v>
      </c>
      <c r="E121" s="19"/>
    </row>
    <row r="122" spans="1:5" x14ac:dyDescent="0.25">
      <c r="A122" s="30">
        <v>8733.9283943225073</v>
      </c>
      <c r="C122" s="1" t="str">
        <f>INDEX(1:1048576,C117,D117)</f>
        <v>X</v>
      </c>
    </row>
    <row r="123" spans="1:5" x14ac:dyDescent="0.25">
      <c r="A123" s="30">
        <v>8318.027042211912</v>
      </c>
      <c r="C123" s="1" t="str">
        <f>"R"&amp;C121</f>
        <v>R232</v>
      </c>
      <c r="D123" s="1" t="str">
        <f>"C"&amp;D121</f>
        <v>C133</v>
      </c>
    </row>
    <row r="124" spans="1:5" x14ac:dyDescent="0.25">
      <c r="A124" s="30">
        <v>7921.9305163922963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7544.6957298974248</v>
      </c>
    </row>
    <row r="126" spans="1:5" x14ac:dyDescent="0.25">
      <c r="A126" s="30">
        <v>7185.4245046642136</v>
      </c>
      <c r="C126" s="1" t="s">
        <v>10</v>
      </c>
    </row>
    <row r="127" spans="1:5" x14ac:dyDescent="0.25">
      <c r="A127" s="30">
        <v>6843.2614330135366</v>
      </c>
      <c r="C127" s="30">
        <v>40.774320219943419</v>
      </c>
      <c r="D127"/>
    </row>
    <row r="128" spans="1:5" x14ac:dyDescent="0.25">
      <c r="A128" s="30">
        <v>6517.3918409652724</v>
      </c>
    </row>
    <row r="129" spans="1:5" x14ac:dyDescent="0.25">
      <c r="A129" s="30">
        <v>6207.0398485383548</v>
      </c>
      <c r="C129" s="1" t="s">
        <v>11</v>
      </c>
      <c r="D129" s="1" t="s">
        <v>12</v>
      </c>
      <c r="E129"/>
    </row>
    <row r="130" spans="1:5" x14ac:dyDescent="0.25">
      <c r="A130" s="30">
        <v>5911.4665224174805</v>
      </c>
      <c r="C130" s="6"/>
      <c r="D130" s="6"/>
      <c r="E130"/>
    </row>
    <row r="131" spans="1:5" x14ac:dyDescent="0.25">
      <c r="A131" s="30">
        <v>5629.9681165880766</v>
      </c>
      <c r="E131"/>
    </row>
    <row r="132" spans="1:5" x14ac:dyDescent="0.25">
      <c r="A132" s="30">
        <v>5361.8743967505488</v>
      </c>
      <c r="C132" s="1" t="s">
        <v>13</v>
      </c>
      <c r="E132"/>
    </row>
    <row r="133" spans="1:5" x14ac:dyDescent="0.25">
      <c r="A133" s="30">
        <v>5106.5470445243318</v>
      </c>
      <c r="C133" s="1" t="str">
        <f>C122</f>
        <v>X</v>
      </c>
      <c r="E133"/>
    </row>
    <row r="134" spans="1:5" x14ac:dyDescent="0.25">
      <c r="A134" s="30">
        <v>4863.3781376422203</v>
      </c>
      <c r="C134"/>
      <c r="E134"/>
    </row>
    <row r="135" spans="1:5" x14ac:dyDescent="0.25">
      <c r="A135" s="30">
        <v>4631.7887025164</v>
      </c>
      <c r="C135" s="1" t="s">
        <v>14</v>
      </c>
      <c r="E135"/>
    </row>
    <row r="136" spans="1:5" x14ac:dyDescent="0.25">
      <c r="A136" s="30">
        <v>4411.2273357299046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4201.1688911713372</v>
      </c>
      <c r="E137"/>
    </row>
    <row r="138" spans="1:5" x14ac:dyDescent="0.25">
      <c r="A138" s="30">
        <v>4001.1132296869878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3810.5840282733216</v>
      </c>
      <c r="E139"/>
    </row>
    <row r="140" spans="1:5" x14ac:dyDescent="0.25">
      <c r="A140" s="30">
        <v>3629.1276459745918</v>
      </c>
      <c r="C140" s="1">
        <v>0</v>
      </c>
      <c r="E140"/>
    </row>
    <row r="141" spans="1:5" x14ac:dyDescent="0.25">
      <c r="A141" s="30">
        <v>3456.3120437853254</v>
      </c>
      <c r="C141" s="1">
        <v>1</v>
      </c>
      <c r="E141"/>
    </row>
    <row r="142" spans="1:5" x14ac:dyDescent="0.25">
      <c r="A142" s="30">
        <v>3291.7257559860241</v>
      </c>
      <c r="C142" s="1">
        <v>2</v>
      </c>
      <c r="E142"/>
    </row>
    <row r="143" spans="1:5" x14ac:dyDescent="0.25">
      <c r="A143" s="30">
        <v>3134.9769104628799</v>
      </c>
      <c r="C143" s="1">
        <v>3</v>
      </c>
      <c r="E143"/>
    </row>
    <row r="144" spans="1:5" x14ac:dyDescent="0.25">
      <c r="A144" s="30">
        <v>2985.6922956789331</v>
      </c>
      <c r="C144" s="1">
        <v>4</v>
      </c>
      <c r="E144"/>
    </row>
    <row r="145" spans="1:5" x14ac:dyDescent="0.25">
      <c r="A145" s="30">
        <v>2843.5164720751741</v>
      </c>
      <c r="E145"/>
    </row>
    <row r="146" spans="1:5" x14ac:dyDescent="0.25">
      <c r="A146" s="30">
        <v>2708.1109257858798</v>
      </c>
      <c r="E146"/>
    </row>
    <row r="147" spans="1:5" x14ac:dyDescent="0.25">
      <c r="A147" s="30">
        <v>2579.1532626532189</v>
      </c>
      <c r="E147"/>
    </row>
    <row r="148" spans="1:5" x14ac:dyDescent="0.25">
      <c r="A148" s="30">
        <v>2456.3364406221131</v>
      </c>
      <c r="E148"/>
    </row>
    <row r="149" spans="1:5" x14ac:dyDescent="0.25">
      <c r="A149" s="30">
        <v>2339.3680386877268</v>
      </c>
      <c r="E149"/>
    </row>
    <row r="150" spans="1:5" x14ac:dyDescent="0.25">
      <c r="A150" s="30">
        <v>2227.9695606549776</v>
      </c>
      <c r="E150"/>
    </row>
    <row r="151" spans="1:5" x14ac:dyDescent="0.25">
      <c r="A151" s="30">
        <v>2121.8757720523595</v>
      </c>
      <c r="E151"/>
    </row>
    <row r="152" spans="1:5" x14ac:dyDescent="0.25">
      <c r="A152" s="30">
        <v>2020.8340686212948</v>
      </c>
      <c r="E152"/>
    </row>
    <row r="153" spans="1:5" x14ac:dyDescent="0.25">
      <c r="A153" s="30">
        <v>1924.6038748774236</v>
      </c>
      <c r="C153" s="7"/>
      <c r="D153"/>
      <c r="E153"/>
    </row>
    <row r="154" spans="1:5" x14ac:dyDescent="0.25">
      <c r="A154" s="30">
        <v>1832.9560713118319</v>
      </c>
      <c r="E154"/>
    </row>
    <row r="155" spans="1:5" x14ac:dyDescent="0.25">
      <c r="A155" s="30">
        <v>1745.6724488684113</v>
      </c>
      <c r="E155"/>
    </row>
    <row r="156" spans="1:5" x14ac:dyDescent="0.25">
      <c r="A156" s="30">
        <v>1662.5451893984869</v>
      </c>
      <c r="C156"/>
      <c r="D156"/>
      <c r="E156"/>
    </row>
    <row r="157" spans="1:5" x14ac:dyDescent="0.25">
      <c r="A157" s="30">
        <v>1583.3763708557017</v>
      </c>
      <c r="E157"/>
    </row>
    <row r="158" spans="1:5" x14ac:dyDescent="0.25">
      <c r="A158" s="30">
        <v>1507.9774960530492</v>
      </c>
      <c r="E158"/>
    </row>
    <row r="159" spans="1:5" x14ac:dyDescent="0.25">
      <c r="A159" s="30">
        <v>1436.1690438600467</v>
      </c>
      <c r="E159"/>
    </row>
    <row r="160" spans="1:5" x14ac:dyDescent="0.25">
      <c r="A160" s="30">
        <v>1367.780041771473</v>
      </c>
      <c r="C160"/>
      <c r="E160"/>
    </row>
    <row r="161" spans="1:5" x14ac:dyDescent="0.25">
      <c r="A161" s="30">
        <v>1302.6476588299743</v>
      </c>
      <c r="E161"/>
    </row>
    <row r="162" spans="1:5" x14ac:dyDescent="0.25">
      <c r="A162" s="30">
        <v>1240.6168179333088</v>
      </c>
      <c r="E162"/>
    </row>
    <row r="163" spans="1:5" x14ac:dyDescent="0.25">
      <c r="A163" s="30">
        <v>1181.5398266031511</v>
      </c>
      <c r="E163"/>
    </row>
    <row r="164" spans="1:5" x14ac:dyDescent="0.25">
      <c r="A164" s="30">
        <v>1125.2760253363344</v>
      </c>
      <c r="E164"/>
    </row>
    <row r="165" spans="1:5" x14ac:dyDescent="0.25">
      <c r="A165" s="30">
        <v>1071.6914527012709</v>
      </c>
      <c r="E165"/>
    </row>
    <row r="166" spans="1:5" x14ac:dyDescent="0.25">
      <c r="A166" s="30">
        <v>1020.6585263821628</v>
      </c>
      <c r="E166"/>
    </row>
    <row r="167" spans="1:5" x14ac:dyDescent="0.25">
      <c r="A167" s="30">
        <v>972.05573941158355</v>
      </c>
      <c r="E167"/>
    </row>
    <row r="168" spans="1:5" x14ac:dyDescent="0.25">
      <c r="A168" s="30">
        <v>925.76737086817479</v>
      </c>
      <c r="E168"/>
    </row>
    <row r="169" spans="1:5" x14ac:dyDescent="0.25">
      <c r="A169" s="30">
        <v>881.68321035064264</v>
      </c>
      <c r="E169"/>
    </row>
    <row r="170" spans="1:5" x14ac:dyDescent="0.25">
      <c r="A170" s="30">
        <v>839.69829557204059</v>
      </c>
      <c r="E170"/>
    </row>
    <row r="171" spans="1:5" x14ac:dyDescent="0.25">
      <c r="A171" s="30">
        <v>799.71266244956246</v>
      </c>
      <c r="E171"/>
    </row>
    <row r="172" spans="1:5" x14ac:dyDescent="0.25">
      <c r="A172" s="30">
        <v>761.63110709482135</v>
      </c>
      <c r="E172"/>
    </row>
    <row r="173" spans="1:5" x14ac:dyDescent="0.25">
      <c r="A173" s="30">
        <v>725.36295913792503</v>
      </c>
      <c r="E173"/>
    </row>
    <row r="174" spans="1:5" x14ac:dyDescent="0.25">
      <c r="A174" s="30">
        <v>690.82186584564283</v>
      </c>
      <c r="E174"/>
    </row>
    <row r="175" spans="1:5" x14ac:dyDescent="0.25">
      <c r="A175" s="30">
        <v>657.92558651965976</v>
      </c>
      <c r="E175"/>
    </row>
    <row r="176" spans="1:5" x14ac:dyDescent="0.25">
      <c r="A176" s="30">
        <v>626.59579668539027</v>
      </c>
      <c r="E176"/>
    </row>
    <row r="177" spans="1:5" x14ac:dyDescent="0.25">
      <c r="A177" s="30">
        <v>596.75790160513361</v>
      </c>
      <c r="E177"/>
    </row>
    <row r="178" spans="1:5" x14ac:dyDescent="0.25">
      <c r="A178" s="30">
        <v>568.34085867155579</v>
      </c>
      <c r="C178" s="7"/>
      <c r="D178"/>
      <c r="E178"/>
    </row>
    <row r="179" spans="1:5" x14ac:dyDescent="0.25">
      <c r="A179" s="30">
        <v>541.27700825862451</v>
      </c>
      <c r="E179"/>
    </row>
    <row r="180" spans="1:5" x14ac:dyDescent="0.25">
      <c r="A180" s="30">
        <v>515.50191262726139</v>
      </c>
      <c r="E180"/>
    </row>
    <row r="181" spans="1:5" x14ac:dyDescent="0.25">
      <c r="A181" s="30">
        <v>490.95420250215363</v>
      </c>
      <c r="C181"/>
      <c r="D181"/>
      <c r="E181"/>
    </row>
    <row r="182" spans="1:5" x14ac:dyDescent="0.25">
      <c r="A182" s="30">
        <v>467.57543095443202</v>
      </c>
      <c r="E182"/>
    </row>
    <row r="183" spans="1:5" x14ac:dyDescent="0.25">
      <c r="A183" s="30">
        <v>445.30993424231622</v>
      </c>
      <c r="E183"/>
    </row>
    <row r="184" spans="1:5" x14ac:dyDescent="0.25">
      <c r="A184" s="30">
        <v>424.10469927839637</v>
      </c>
      <c r="E184"/>
    </row>
    <row r="185" spans="1:5" x14ac:dyDescent="0.25">
      <c r="A185" s="30">
        <v>403.9092374079965</v>
      </c>
      <c r="C185"/>
      <c r="E185"/>
    </row>
    <row r="186" spans="1:5" x14ac:dyDescent="0.25">
      <c r="A186" s="30">
        <v>384.6754641980919</v>
      </c>
      <c r="E186"/>
    </row>
    <row r="187" spans="1:5" x14ac:dyDescent="0.25">
      <c r="A187" s="30">
        <v>366.35758495056371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348.91198566720351</v>
      </c>
      <c r="E188"/>
    </row>
    <row r="189" spans="1:5" x14ac:dyDescent="0.25">
      <c r="A189" s="30">
        <v>332.29712920686046</v>
      </c>
      <c r="E189"/>
    </row>
    <row r="190" spans="1:5" x14ac:dyDescent="0.25">
      <c r="A190" s="30">
        <v>316.47345638748612</v>
      </c>
      <c r="E190"/>
    </row>
    <row r="191" spans="1:5" x14ac:dyDescent="0.25">
      <c r="A191" s="30">
        <v>301.40329179760585</v>
      </c>
      <c r="E191"/>
    </row>
    <row r="192" spans="1:5" x14ac:dyDescent="0.25">
      <c r="A192" s="30">
        <v>287.05075409295796</v>
      </c>
      <c r="E192"/>
    </row>
    <row r="193" spans="1:118" x14ac:dyDescent="0.25">
      <c r="A193" s="30">
        <v>273.38167056472184</v>
      </c>
      <c r="E193"/>
    </row>
    <row r="194" spans="1:118" x14ac:dyDescent="0.25">
      <c r="A194" s="30">
        <v>260.36349577592557</v>
      </c>
      <c r="E194"/>
    </row>
    <row r="195" spans="1:118" x14ac:dyDescent="0.25">
      <c r="A195" s="30">
        <v>247.96523407231004</v>
      </c>
      <c r="E195"/>
    </row>
    <row r="196" spans="1:118" x14ac:dyDescent="0.25">
      <c r="A196" s="30">
        <v>236.15736578315241</v>
      </c>
      <c r="E196"/>
    </row>
    <row r="197" spans="1:118" x14ac:dyDescent="0.25">
      <c r="A197" s="30">
        <v>224.91177693633563</v>
      </c>
      <c r="E197"/>
    </row>
    <row r="198" spans="1:118" x14ac:dyDescent="0.25">
      <c r="A198" s="30">
        <v>214.20169232031964</v>
      </c>
      <c r="E198"/>
    </row>
    <row r="199" spans="1:118" x14ac:dyDescent="0.25">
      <c r="A199" s="30">
        <v>204.00161173363773</v>
      </c>
      <c r="E199"/>
    </row>
    <row r="200" spans="1:118" x14ac:dyDescent="0.25">
      <c r="A200" s="30">
        <v>194.28724927013116</v>
      </c>
      <c r="E200"/>
    </row>
    <row r="201" spans="1:118" x14ac:dyDescent="0.25">
      <c r="A201" s="30">
        <v>185.03547549536299</v>
      </c>
      <c r="E201"/>
    </row>
    <row r="202" spans="1:118" x14ac:dyDescent="0.25">
      <c r="A202" s="30">
        <v>176.22426237653616</v>
      </c>
      <c r="E202"/>
    </row>
    <row r="203" spans="1:118" x14ac:dyDescent="0.25">
      <c r="A203" s="30">
        <v>167.83263083479633</v>
      </c>
      <c r="C203" s="7"/>
      <c r="D203"/>
      <c r="E203"/>
      <c r="BU203" s="27" t="s">
        <v>8</v>
      </c>
    </row>
    <row r="204" spans="1:118" x14ac:dyDescent="0.25">
      <c r="A204" s="30">
        <v>159.84060079504411</v>
      </c>
      <c r="E204"/>
      <c r="BU204" s="27" t="s">
        <v>8</v>
      </c>
      <c r="BV204" s="27" t="s">
        <v>7</v>
      </c>
    </row>
    <row r="205" spans="1:118" x14ac:dyDescent="0.25">
      <c r="A205" s="30">
        <v>152.22914361432771</v>
      </c>
      <c r="E205"/>
      <c r="BU205" s="27" t="s">
        <v>8</v>
      </c>
      <c r="BV205" s="27" t="s">
        <v>7</v>
      </c>
      <c r="BW205" s="27" t="s">
        <v>8</v>
      </c>
      <c r="BY205" s="27" t="s">
        <v>8</v>
      </c>
    </row>
    <row r="206" spans="1:118" x14ac:dyDescent="0.25">
      <c r="A206" s="30">
        <v>144.98013677555019</v>
      </c>
      <c r="C206"/>
      <c r="D206"/>
      <c r="E206"/>
      <c r="BU206" s="27" t="s">
        <v>8</v>
      </c>
      <c r="BV206" s="27" t="s">
        <v>7</v>
      </c>
      <c r="BW206" s="27" t="s">
        <v>8</v>
      </c>
      <c r="BX206" s="27" t="s">
        <v>7</v>
      </c>
      <c r="BY206" s="27" t="s">
        <v>8</v>
      </c>
      <c r="BZ206" s="27" t="s">
        <v>7</v>
      </c>
    </row>
    <row r="207" spans="1:118" x14ac:dyDescent="0.25">
      <c r="A207" s="30">
        <v>138.07632073861922</v>
      </c>
      <c r="E207"/>
      <c r="BO207" s="27" t="s">
        <v>8</v>
      </c>
      <c r="BS207" s="27" t="s">
        <v>8</v>
      </c>
      <c r="BU207" s="27" t="s">
        <v>8</v>
      </c>
      <c r="BV207" s="27" t="s">
        <v>7</v>
      </c>
      <c r="BW207" s="27" t="s">
        <v>8</v>
      </c>
      <c r="BX207" s="27" t="s">
        <v>7</v>
      </c>
      <c r="BY207" s="27" t="s">
        <v>8</v>
      </c>
      <c r="BZ207" s="27" t="s">
        <v>7</v>
      </c>
      <c r="DM207" s="27" t="s">
        <v>8</v>
      </c>
    </row>
    <row r="208" spans="1:118" x14ac:dyDescent="0.25">
      <c r="A208" s="30">
        <v>131.50125784630401</v>
      </c>
      <c r="E208"/>
      <c r="BO208" s="27" t="s">
        <v>8</v>
      </c>
      <c r="BP208" s="27" t="s">
        <v>7</v>
      </c>
      <c r="BQ208" s="27" t="s">
        <v>8</v>
      </c>
      <c r="BS208" s="27" t="s">
        <v>8</v>
      </c>
      <c r="BT208" s="27" t="s">
        <v>7</v>
      </c>
      <c r="BU208" s="27" t="s">
        <v>8</v>
      </c>
      <c r="BV208" s="27" t="s">
        <v>7</v>
      </c>
      <c r="BW208" s="27" t="s">
        <v>8</v>
      </c>
      <c r="BX208" s="27" t="s">
        <v>7</v>
      </c>
      <c r="BY208" s="27" t="s">
        <v>8</v>
      </c>
      <c r="BZ208" s="27" t="s">
        <v>7</v>
      </c>
      <c r="DM208" s="27" t="s">
        <v>8</v>
      </c>
      <c r="DN208" s="27" t="s">
        <v>7</v>
      </c>
    </row>
    <row r="209" spans="1:129" x14ac:dyDescent="0.25">
      <c r="A209" s="30">
        <v>125.23929318695619</v>
      </c>
      <c r="E209"/>
      <c r="BO209" s="27" t="s">
        <v>8</v>
      </c>
      <c r="BP209" s="27" t="s">
        <v>7</v>
      </c>
      <c r="BQ209" s="27" t="s">
        <v>8</v>
      </c>
      <c r="BR209" s="27" t="s">
        <v>7</v>
      </c>
      <c r="BS209" s="27" t="s">
        <v>8</v>
      </c>
      <c r="BT209" s="27" t="s">
        <v>7</v>
      </c>
      <c r="BU209" s="27" t="s">
        <v>8</v>
      </c>
      <c r="BV209" s="27" t="s">
        <v>7</v>
      </c>
      <c r="BW209" s="27" t="s">
        <v>8</v>
      </c>
      <c r="BX209" s="27" t="s">
        <v>7</v>
      </c>
      <c r="BZ209" s="27" t="s">
        <v>7</v>
      </c>
      <c r="DE209" s="27" t="s">
        <v>8</v>
      </c>
      <c r="DM209" s="27" t="s">
        <v>8</v>
      </c>
      <c r="DN209" s="27" t="s">
        <v>7</v>
      </c>
    </row>
    <row r="210" spans="1:129" x14ac:dyDescent="0.25">
      <c r="A210" s="30">
        <v>119.27551732091065</v>
      </c>
      <c r="C210"/>
      <c r="E210"/>
      <c r="BO210" s="27" t="s">
        <v>8</v>
      </c>
      <c r="BP210" s="27" t="s">
        <v>7</v>
      </c>
      <c r="BQ210" s="27" t="s">
        <v>8</v>
      </c>
      <c r="BR210" s="27" t="s">
        <v>7</v>
      </c>
      <c r="BS210" s="27" t="s">
        <v>8</v>
      </c>
      <c r="BT210" s="27" t="s">
        <v>7</v>
      </c>
      <c r="BU210" s="27" t="s">
        <v>8</v>
      </c>
      <c r="BV210" s="27" t="s">
        <v>7</v>
      </c>
      <c r="BZ210" s="27" t="s">
        <v>7</v>
      </c>
      <c r="CG210" s="32" t="s">
        <v>8</v>
      </c>
      <c r="CY210" s="27" t="s">
        <v>8</v>
      </c>
      <c r="DE210" s="27" t="s">
        <v>8</v>
      </c>
      <c r="DF210" s="27" t="s">
        <v>7</v>
      </c>
      <c r="DM210" s="27" t="s">
        <v>8</v>
      </c>
      <c r="DN210" s="27" t="s">
        <v>7</v>
      </c>
      <c r="DO210" s="27" t="s">
        <v>8</v>
      </c>
    </row>
    <row r="211" spans="1:129" x14ac:dyDescent="0.25">
      <c r="A211" s="30">
        <v>113.59573078181967</v>
      </c>
      <c r="E211"/>
      <c r="BO211" s="27" t="s">
        <v>8</v>
      </c>
      <c r="BP211" s="27" t="s">
        <v>7</v>
      </c>
      <c r="BQ211" s="27" t="s">
        <v>8</v>
      </c>
      <c r="BR211" s="27" t="s">
        <v>7</v>
      </c>
      <c r="BS211" s="27" t="s">
        <v>8</v>
      </c>
      <c r="BT211" s="27" t="s">
        <v>7</v>
      </c>
      <c r="BU211" s="27" t="s">
        <v>8</v>
      </c>
      <c r="BZ211" s="27" t="s">
        <v>7</v>
      </c>
      <c r="CG211" s="27" t="s">
        <v>8</v>
      </c>
      <c r="CH211" s="32" t="s">
        <v>7</v>
      </c>
      <c r="CY211" s="27" t="s">
        <v>8</v>
      </c>
      <c r="CZ211" s="27" t="s">
        <v>7</v>
      </c>
      <c r="DE211" s="27" t="s">
        <v>8</v>
      </c>
      <c r="DF211" s="27" t="s">
        <v>7</v>
      </c>
      <c r="DI211" s="27" t="s">
        <v>8</v>
      </c>
      <c r="DM211" s="27" t="s">
        <v>8</v>
      </c>
      <c r="DN211" s="27" t="s">
        <v>7</v>
      </c>
      <c r="DO211" s="27" t="s">
        <v>8</v>
      </c>
      <c r="DP211" s="27" t="s">
        <v>7</v>
      </c>
    </row>
    <row r="212" spans="1:129" x14ac:dyDescent="0.25">
      <c r="A212" s="30">
        <v>108.18641026839968</v>
      </c>
      <c r="E212"/>
      <c r="BO212" s="27" t="s">
        <v>8</v>
      </c>
      <c r="BP212" s="27" t="s">
        <v>7</v>
      </c>
      <c r="BQ212" s="27" t="s">
        <v>8</v>
      </c>
      <c r="BR212" s="27" t="s">
        <v>7</v>
      </c>
      <c r="BS212" s="27" t="s">
        <v>8</v>
      </c>
      <c r="BT212" s="27" t="s">
        <v>7</v>
      </c>
      <c r="BZ212" s="27" t="s">
        <v>7</v>
      </c>
      <c r="CA212" s="27" t="s">
        <v>8</v>
      </c>
      <c r="CC212" s="27" t="s">
        <v>8</v>
      </c>
      <c r="CE212" s="27" t="s">
        <v>8</v>
      </c>
      <c r="CG212" s="27" t="s">
        <v>8</v>
      </c>
      <c r="CH212" s="27" t="s">
        <v>7</v>
      </c>
      <c r="CI212" s="32"/>
      <c r="CW212" s="27" t="s">
        <v>8</v>
      </c>
      <c r="CY212" s="27" t="s">
        <v>8</v>
      </c>
      <c r="CZ212" s="27" t="s">
        <v>7</v>
      </c>
      <c r="DE212" s="27" t="s">
        <v>8</v>
      </c>
      <c r="DF212" s="27" t="s">
        <v>7</v>
      </c>
      <c r="DG212" s="27" t="s">
        <v>8</v>
      </c>
      <c r="DI212" s="27" t="s">
        <v>8</v>
      </c>
      <c r="DJ212" s="27" t="s">
        <v>7</v>
      </c>
      <c r="DM212" s="27" t="s">
        <v>8</v>
      </c>
      <c r="DN212" s="27" t="s">
        <v>7</v>
      </c>
      <c r="DO212" s="27" t="s">
        <v>8</v>
      </c>
      <c r="DP212" s="27" t="s">
        <v>7</v>
      </c>
    </row>
    <row r="213" spans="1:129" x14ac:dyDescent="0.25">
      <c r="A213" s="30">
        <v>103.03467644609493</v>
      </c>
      <c r="E213"/>
      <c r="BO213" s="27" t="s">
        <v>8</v>
      </c>
      <c r="BP213" s="27" t="s">
        <v>7</v>
      </c>
      <c r="BQ213" s="27" t="s">
        <v>8</v>
      </c>
      <c r="BR213" s="27" t="s">
        <v>7</v>
      </c>
      <c r="BS213" s="27" t="s">
        <v>8</v>
      </c>
      <c r="BZ213" s="27" t="s">
        <v>7</v>
      </c>
      <c r="CA213" s="27" t="s">
        <v>8</v>
      </c>
      <c r="CB213" s="27" t="s">
        <v>7</v>
      </c>
      <c r="CC213" s="27" t="s">
        <v>8</v>
      </c>
      <c r="CD213" s="27" t="s">
        <v>7</v>
      </c>
      <c r="CE213" s="27" t="s">
        <v>8</v>
      </c>
      <c r="CF213" s="27" t="s">
        <v>7</v>
      </c>
      <c r="CG213" s="27" t="s">
        <v>8</v>
      </c>
      <c r="CH213" s="27" t="s">
        <v>7</v>
      </c>
      <c r="CJ213" s="32"/>
      <c r="CW213" s="27" t="s">
        <v>8</v>
      </c>
      <c r="CX213" s="27" t="s">
        <v>7</v>
      </c>
      <c r="CY213" s="27" t="s">
        <v>8</v>
      </c>
      <c r="CZ213" s="27" t="s">
        <v>7</v>
      </c>
      <c r="DE213" s="27" t="s">
        <v>8</v>
      </c>
      <c r="DF213" s="27" t="s">
        <v>7</v>
      </c>
      <c r="DG213" s="27" t="s">
        <v>8</v>
      </c>
      <c r="DH213" s="27" t="s">
        <v>7</v>
      </c>
      <c r="DI213" s="27" t="s">
        <v>8</v>
      </c>
      <c r="DJ213" s="27" t="s">
        <v>7</v>
      </c>
      <c r="DM213" s="27" t="s">
        <v>8</v>
      </c>
      <c r="DN213" s="27" t="s">
        <v>7</v>
      </c>
      <c r="DO213" s="27" t="s">
        <v>8</v>
      </c>
      <c r="DP213" s="27" t="s">
        <v>7</v>
      </c>
    </row>
    <row r="214" spans="1:129" x14ac:dyDescent="0.25">
      <c r="A214" s="30">
        <v>98.128263281995174</v>
      </c>
      <c r="E214"/>
      <c r="BO214" s="27" t="s">
        <v>8</v>
      </c>
      <c r="BP214" s="27" t="s">
        <v>7</v>
      </c>
      <c r="BQ214" s="27" t="s">
        <v>8</v>
      </c>
      <c r="BR214" s="27" t="s">
        <v>7</v>
      </c>
      <c r="BS214" s="27" t="s">
        <v>8</v>
      </c>
      <c r="BZ214" s="27" t="s">
        <v>7</v>
      </c>
      <c r="CA214" s="27" t="s">
        <v>8</v>
      </c>
      <c r="CB214" s="27" t="s">
        <v>7</v>
      </c>
      <c r="CC214" s="27" t="s">
        <v>8</v>
      </c>
      <c r="CD214" s="27" t="s">
        <v>7</v>
      </c>
      <c r="CE214" s="27" t="s">
        <v>8</v>
      </c>
      <c r="CF214" s="27" t="s">
        <v>7</v>
      </c>
      <c r="CG214" s="27" t="s">
        <v>8</v>
      </c>
      <c r="CH214" s="27" t="s">
        <v>7</v>
      </c>
      <c r="CK214" s="32"/>
      <c r="CW214" s="27" t="s">
        <v>8</v>
      </c>
      <c r="CX214" s="27" t="s">
        <v>7</v>
      </c>
      <c r="CY214" s="27" t="s">
        <v>8</v>
      </c>
      <c r="CZ214" s="27" t="s">
        <v>7</v>
      </c>
      <c r="DE214" s="27" t="s">
        <v>8</v>
      </c>
      <c r="DF214" s="27" t="s">
        <v>7</v>
      </c>
      <c r="DG214" s="27" t="s">
        <v>8</v>
      </c>
      <c r="DH214" s="27" t="s">
        <v>7</v>
      </c>
      <c r="DI214" s="27" t="s">
        <v>8</v>
      </c>
      <c r="DJ214" s="27" t="s">
        <v>7</v>
      </c>
      <c r="DM214" s="27" t="s">
        <v>8</v>
      </c>
      <c r="DN214" s="27" t="s">
        <v>7</v>
      </c>
      <c r="DP214" s="27" t="s">
        <v>7</v>
      </c>
    </row>
    <row r="215" spans="1:129" x14ac:dyDescent="0.25">
      <c r="A215" s="30">
        <v>93.455488839995397</v>
      </c>
      <c r="E215"/>
      <c r="BO215" s="27" t="s">
        <v>8</v>
      </c>
      <c r="BP215" s="27" t="s">
        <v>7</v>
      </c>
      <c r="BQ215" s="27" t="s">
        <v>8</v>
      </c>
      <c r="BR215" s="27" t="s">
        <v>7</v>
      </c>
      <c r="BS215" s="27" t="s">
        <v>8</v>
      </c>
      <c r="BZ215" s="27" t="s">
        <v>7</v>
      </c>
      <c r="CA215" s="27" t="s">
        <v>8</v>
      </c>
      <c r="CB215" s="27" t="s">
        <v>7</v>
      </c>
      <c r="CC215" s="27" t="s">
        <v>8</v>
      </c>
      <c r="CD215" s="27" t="s">
        <v>7</v>
      </c>
      <c r="CE215" s="27" t="s">
        <v>8</v>
      </c>
      <c r="CF215" s="27" t="s">
        <v>7</v>
      </c>
      <c r="CG215" s="27" t="s">
        <v>8</v>
      </c>
      <c r="CH215" s="27" t="s">
        <v>7</v>
      </c>
      <c r="CI215" s="27" t="s">
        <v>8</v>
      </c>
      <c r="CL215" s="32"/>
      <c r="CW215" s="27" t="s">
        <v>8</v>
      </c>
      <c r="CX215" s="27" t="s">
        <v>7</v>
      </c>
      <c r="CY215" s="27" t="s">
        <v>8</v>
      </c>
      <c r="CZ215" s="27" t="s">
        <v>7</v>
      </c>
      <c r="DC215" s="27" t="s">
        <v>8</v>
      </c>
      <c r="DE215" s="27" t="s">
        <v>8</v>
      </c>
      <c r="DF215" s="27" t="s">
        <v>7</v>
      </c>
      <c r="DG215" s="27" t="s">
        <v>8</v>
      </c>
      <c r="DH215" s="27" t="s">
        <v>7</v>
      </c>
      <c r="DI215" s="27" t="s">
        <v>8</v>
      </c>
      <c r="DJ215" s="27" t="s">
        <v>7</v>
      </c>
      <c r="DK215" s="27" t="s">
        <v>8</v>
      </c>
      <c r="DM215" s="27" t="s">
        <v>8</v>
      </c>
      <c r="DP215" s="27" t="s">
        <v>7</v>
      </c>
    </row>
    <row r="216" spans="1:129" x14ac:dyDescent="0.25">
      <c r="A216" s="30">
        <v>89.005227466662276</v>
      </c>
      <c r="E216"/>
      <c r="BO216" s="27" t="s">
        <v>8</v>
      </c>
      <c r="BP216" s="27" t="s">
        <v>7</v>
      </c>
      <c r="BQ216" s="27" t="s">
        <v>8</v>
      </c>
      <c r="BR216" s="27" t="s">
        <v>7</v>
      </c>
      <c r="BZ216" s="27" t="s">
        <v>7</v>
      </c>
      <c r="CA216" s="27" t="s">
        <v>8</v>
      </c>
      <c r="CB216" s="27" t="s">
        <v>7</v>
      </c>
      <c r="CC216" s="27" t="s">
        <v>8</v>
      </c>
      <c r="CD216" s="27" t="s">
        <v>7</v>
      </c>
      <c r="CF216" s="27" t="s">
        <v>7</v>
      </c>
      <c r="CH216" s="27" t="s">
        <v>7</v>
      </c>
      <c r="CI216" s="27" t="s">
        <v>8</v>
      </c>
      <c r="CJ216" s="27" t="s">
        <v>7</v>
      </c>
      <c r="CK216" s="27" t="s">
        <v>8</v>
      </c>
      <c r="CM216" s="32"/>
      <c r="CU216" s="27" t="s">
        <v>8</v>
      </c>
      <c r="CW216" s="27" t="s">
        <v>8</v>
      </c>
      <c r="CX216" s="27" t="s">
        <v>7</v>
      </c>
      <c r="CY216" s="27" t="s">
        <v>8</v>
      </c>
      <c r="CZ216" s="27" t="s">
        <v>7</v>
      </c>
      <c r="DC216" s="27" t="s">
        <v>8</v>
      </c>
      <c r="DD216" s="27" t="s">
        <v>7</v>
      </c>
      <c r="DE216" s="27" t="s">
        <v>8</v>
      </c>
      <c r="DF216" s="27" t="s">
        <v>7</v>
      </c>
      <c r="DG216" s="27" t="s">
        <v>8</v>
      </c>
      <c r="DH216" s="27" t="s">
        <v>7</v>
      </c>
      <c r="DJ216" s="27" t="s">
        <v>7</v>
      </c>
      <c r="DK216" s="27" t="s">
        <v>8</v>
      </c>
      <c r="DL216" s="27" t="s">
        <v>7</v>
      </c>
      <c r="DM216" s="27" t="s">
        <v>8</v>
      </c>
      <c r="DP216" s="27" t="s">
        <v>7</v>
      </c>
    </row>
    <row r="217" spans="1:129" x14ac:dyDescent="0.25">
      <c r="A217" s="30">
        <v>84.766883301583121</v>
      </c>
      <c r="E217"/>
      <c r="AY217" s="27" t="s">
        <v>8</v>
      </c>
      <c r="BO217" s="27" t="s">
        <v>8</v>
      </c>
      <c r="BP217" s="27" t="s">
        <v>7</v>
      </c>
      <c r="BZ217" s="27" t="s">
        <v>7</v>
      </c>
      <c r="CA217" s="27" t="s">
        <v>8</v>
      </c>
      <c r="CB217" s="27" t="s">
        <v>7</v>
      </c>
      <c r="CC217" s="27" t="s">
        <v>8</v>
      </c>
      <c r="CH217" s="34" t="s">
        <v>7</v>
      </c>
      <c r="CI217" s="27" t="s">
        <v>8</v>
      </c>
      <c r="CJ217" s="27" t="s">
        <v>7</v>
      </c>
      <c r="CK217" s="27" t="s">
        <v>8</v>
      </c>
      <c r="CL217" s="27" t="s">
        <v>7</v>
      </c>
      <c r="CN217" s="32"/>
      <c r="CU217" s="27" t="s">
        <v>8</v>
      </c>
      <c r="CV217" s="27" t="s">
        <v>7</v>
      </c>
      <c r="CW217" s="27" t="s">
        <v>8</v>
      </c>
      <c r="CX217" s="27" t="s">
        <v>7</v>
      </c>
      <c r="CY217" s="27" t="s">
        <v>8</v>
      </c>
      <c r="CZ217" s="27" t="s">
        <v>7</v>
      </c>
      <c r="DA217" s="27" t="s">
        <v>8</v>
      </c>
      <c r="DC217" s="27" t="s">
        <v>8</v>
      </c>
      <c r="DD217" s="27" t="s">
        <v>7</v>
      </c>
      <c r="DE217" s="27" t="s">
        <v>8</v>
      </c>
      <c r="DF217" s="27" t="s">
        <v>7</v>
      </c>
      <c r="DG217" s="27" t="s">
        <v>8</v>
      </c>
      <c r="DJ217" s="27" t="s">
        <v>7</v>
      </c>
      <c r="DK217" s="27" t="s">
        <v>8</v>
      </c>
      <c r="DL217" s="27" t="s">
        <v>7</v>
      </c>
      <c r="DM217" s="27" t="s">
        <v>8</v>
      </c>
      <c r="DP217" s="27" t="s">
        <v>7</v>
      </c>
    </row>
    <row r="218" spans="1:129" x14ac:dyDescent="0.25">
      <c r="A218" s="30">
        <v>80.730365049126775</v>
      </c>
      <c r="E218"/>
      <c r="AY218" s="27" t="s">
        <v>8</v>
      </c>
      <c r="AZ218" s="27" t="s">
        <v>7</v>
      </c>
      <c r="BO218" s="27" t="s">
        <v>8</v>
      </c>
      <c r="BZ218" s="27" t="s">
        <v>7</v>
      </c>
      <c r="CA218" s="27" t="s">
        <v>8</v>
      </c>
      <c r="CB218" s="27" t="s">
        <v>7</v>
      </c>
      <c r="CC218" s="27" t="s">
        <v>8</v>
      </c>
      <c r="CH218" s="27" t="s">
        <v>7</v>
      </c>
      <c r="CI218" s="27" t="s">
        <v>8</v>
      </c>
      <c r="CJ218" s="27" t="s">
        <v>7</v>
      </c>
      <c r="CK218" s="27" t="s">
        <v>8</v>
      </c>
      <c r="CL218" s="27" t="s">
        <v>7</v>
      </c>
      <c r="CO218" s="32"/>
      <c r="CU218" s="27" t="s">
        <v>8</v>
      </c>
      <c r="CV218" s="27" t="s">
        <v>7</v>
      </c>
      <c r="CW218" s="27" t="s">
        <v>8</v>
      </c>
      <c r="CX218" s="27" t="s">
        <v>7</v>
      </c>
      <c r="CY218" s="27" t="s">
        <v>8</v>
      </c>
      <c r="CZ218" s="27" t="s">
        <v>7</v>
      </c>
      <c r="DA218" s="27" t="s">
        <v>8</v>
      </c>
      <c r="DB218" s="27" t="s">
        <v>7</v>
      </c>
      <c r="DC218" s="27" t="s">
        <v>8</v>
      </c>
      <c r="DD218" s="27" t="s">
        <v>7</v>
      </c>
      <c r="DE218" s="27" t="s">
        <v>8</v>
      </c>
      <c r="DF218" s="27" t="s">
        <v>7</v>
      </c>
      <c r="DJ218" s="27" t="s">
        <v>7</v>
      </c>
      <c r="DL218" s="27" t="s">
        <v>7</v>
      </c>
      <c r="DP218" s="27" t="s">
        <v>7</v>
      </c>
      <c r="DQ218" s="27" t="s">
        <v>8</v>
      </c>
    </row>
    <row r="219" spans="1:129" x14ac:dyDescent="0.25">
      <c r="A219" s="30">
        <v>76.886061951549308</v>
      </c>
      <c r="E219"/>
      <c r="AY219" s="27" t="s">
        <v>8</v>
      </c>
      <c r="AZ219" s="27" t="s">
        <v>7</v>
      </c>
      <c r="BA219" s="27" t="s">
        <v>8</v>
      </c>
      <c r="BO219" s="27" t="s">
        <v>8</v>
      </c>
      <c r="BZ219" s="27" t="s">
        <v>7</v>
      </c>
      <c r="CA219" s="27" t="s">
        <v>8</v>
      </c>
      <c r="CB219" s="27" t="s">
        <v>7</v>
      </c>
      <c r="CC219" s="27" t="s">
        <v>8</v>
      </c>
      <c r="CH219" s="27" t="s">
        <v>7</v>
      </c>
      <c r="CJ219" s="27" t="s">
        <v>7</v>
      </c>
      <c r="CK219" s="27" t="s">
        <v>8</v>
      </c>
      <c r="CL219" s="27" t="s">
        <v>7</v>
      </c>
      <c r="CP219" s="32"/>
      <c r="CS219" s="27" t="s">
        <v>8</v>
      </c>
      <c r="CU219" s="27" t="s">
        <v>8</v>
      </c>
      <c r="CV219" s="27" t="s">
        <v>7</v>
      </c>
      <c r="CX219" s="27" t="s">
        <v>7</v>
      </c>
      <c r="CY219" s="27" t="s">
        <v>8</v>
      </c>
      <c r="CZ219" s="27" t="s">
        <v>7</v>
      </c>
      <c r="DA219" s="27" t="s">
        <v>8</v>
      </c>
      <c r="DB219" s="27" t="s">
        <v>7</v>
      </c>
      <c r="DC219" s="27" t="s">
        <v>8</v>
      </c>
      <c r="DD219" s="27" t="s">
        <v>7</v>
      </c>
      <c r="DE219" s="27" t="s">
        <v>8</v>
      </c>
      <c r="DP219" s="27" t="s">
        <v>7</v>
      </c>
      <c r="DQ219" s="27" t="s">
        <v>8</v>
      </c>
      <c r="DR219" s="27" t="s">
        <v>7</v>
      </c>
      <c r="DS219" s="27" t="s">
        <v>8</v>
      </c>
    </row>
    <row r="220" spans="1:129" x14ac:dyDescent="0.25">
      <c r="A220" s="30">
        <v>73.22482090623744</v>
      </c>
      <c r="E220"/>
      <c r="AY220" s="27" t="s">
        <v>8</v>
      </c>
      <c r="AZ220" s="27" t="s">
        <v>7</v>
      </c>
      <c r="BA220" s="27" t="s">
        <v>8</v>
      </c>
      <c r="BB220" s="27" t="s">
        <v>7</v>
      </c>
      <c r="BO220" s="27" t="s">
        <v>8</v>
      </c>
      <c r="BZ220" s="27" t="s">
        <v>7</v>
      </c>
      <c r="CA220" s="27" t="s">
        <v>8</v>
      </c>
      <c r="CB220" s="27" t="s">
        <v>7</v>
      </c>
      <c r="CC220" s="27" t="s">
        <v>8</v>
      </c>
      <c r="CJ220" s="27" t="s">
        <v>7</v>
      </c>
      <c r="CL220" s="27" t="s">
        <v>7</v>
      </c>
      <c r="CQ220" s="32"/>
      <c r="CS220" s="33" t="s">
        <v>8</v>
      </c>
      <c r="CT220" s="27" t="s">
        <v>7</v>
      </c>
      <c r="CU220" s="27" t="s">
        <v>8</v>
      </c>
      <c r="CX220" s="27" t="s">
        <v>7</v>
      </c>
      <c r="CZ220" s="27" t="s">
        <v>7</v>
      </c>
      <c r="DA220" s="27" t="s">
        <v>8</v>
      </c>
      <c r="DB220" s="27" t="s">
        <v>7</v>
      </c>
      <c r="DC220" s="27" t="s">
        <v>8</v>
      </c>
      <c r="DD220" s="27" t="s">
        <v>7</v>
      </c>
      <c r="DE220" s="27" t="s">
        <v>8</v>
      </c>
      <c r="DP220" s="27" t="s">
        <v>7</v>
      </c>
      <c r="DQ220" s="27" t="s">
        <v>8</v>
      </c>
      <c r="DR220" s="27" t="s">
        <v>7</v>
      </c>
      <c r="DS220" s="27" t="s">
        <v>8</v>
      </c>
      <c r="DT220" s="27" t="s">
        <v>7</v>
      </c>
      <c r="DW220" s="27" t="s">
        <v>8</v>
      </c>
    </row>
    <row r="221" spans="1:129" x14ac:dyDescent="0.25">
      <c r="A221" s="30">
        <v>69.737924672607079</v>
      </c>
      <c r="E221"/>
      <c r="AY221" s="27" t="s">
        <v>8</v>
      </c>
      <c r="AZ221" s="27" t="s">
        <v>7</v>
      </c>
      <c r="BA221" s="27" t="s">
        <v>8</v>
      </c>
      <c r="BB221" s="27" t="s">
        <v>7</v>
      </c>
      <c r="BO221" s="27" t="s">
        <v>8</v>
      </c>
      <c r="BZ221" s="27" t="s">
        <v>7</v>
      </c>
      <c r="CA221" s="27" t="s">
        <v>8</v>
      </c>
      <c r="CB221" s="27" t="s">
        <v>7</v>
      </c>
      <c r="CC221" s="27" t="s">
        <v>8</v>
      </c>
      <c r="CL221" s="27" t="s">
        <v>7</v>
      </c>
      <c r="CO221" s="33" t="s">
        <v>8</v>
      </c>
      <c r="CQ221" s="27" t="s">
        <v>8</v>
      </c>
      <c r="CR221" s="32"/>
      <c r="CS221" s="27" t="s">
        <v>8</v>
      </c>
      <c r="CT221" s="27" t="s">
        <v>7</v>
      </c>
      <c r="CU221" s="27" t="s">
        <v>8</v>
      </c>
      <c r="CZ221" s="27" t="s">
        <v>7</v>
      </c>
      <c r="DA221" s="27" t="s">
        <v>8</v>
      </c>
      <c r="DB221" s="27" t="s">
        <v>7</v>
      </c>
      <c r="DD221" s="27" t="s">
        <v>7</v>
      </c>
      <c r="DP221" s="27" t="s">
        <v>7</v>
      </c>
      <c r="DQ221" s="27" t="s">
        <v>8</v>
      </c>
      <c r="DR221" s="27" t="s">
        <v>7</v>
      </c>
      <c r="DS221" s="27" t="s">
        <v>8</v>
      </c>
      <c r="DT221" s="27" t="s">
        <v>7</v>
      </c>
      <c r="DU221" s="27" t="s">
        <v>8</v>
      </c>
      <c r="DW221" s="27" t="s">
        <v>8</v>
      </c>
      <c r="DX221" s="27" t="s">
        <v>7</v>
      </c>
    </row>
    <row r="222" spans="1:129" x14ac:dyDescent="0.25">
      <c r="A222" s="30">
        <v>66.417071116768639</v>
      </c>
      <c r="E222"/>
      <c r="AY222" s="27" t="s">
        <v>8</v>
      </c>
      <c r="AZ222" s="27" t="s">
        <v>7</v>
      </c>
      <c r="BB222" s="27" t="s">
        <v>7</v>
      </c>
      <c r="BO222" s="27" t="s">
        <v>8</v>
      </c>
      <c r="BZ222" s="27" t="s">
        <v>7</v>
      </c>
      <c r="CA222" s="27" t="s">
        <v>8</v>
      </c>
      <c r="CB222" s="27" t="s">
        <v>7</v>
      </c>
      <c r="CC222" s="27" t="s">
        <v>8</v>
      </c>
      <c r="CL222" s="27" t="s">
        <v>7</v>
      </c>
      <c r="CM222" s="27" t="s">
        <v>8</v>
      </c>
      <c r="CO222" s="27" t="s">
        <v>8</v>
      </c>
      <c r="CP222" s="27" t="s">
        <v>7</v>
      </c>
      <c r="CQ222" s="27" t="s">
        <v>8</v>
      </c>
      <c r="CR222" s="27" t="s">
        <v>7</v>
      </c>
      <c r="CS222" s="32" t="s">
        <v>8</v>
      </c>
      <c r="CT222" s="27" t="s">
        <v>7</v>
      </c>
      <c r="CZ222" s="27" t="s">
        <v>7</v>
      </c>
      <c r="DA222" s="27" t="s">
        <v>8</v>
      </c>
      <c r="DP222" s="27" t="s">
        <v>7</v>
      </c>
      <c r="DQ222" s="27" t="s">
        <v>8</v>
      </c>
      <c r="DR222" s="27" t="s">
        <v>7</v>
      </c>
      <c r="DT222" s="27" t="s">
        <v>7</v>
      </c>
      <c r="DU222" s="27" t="s">
        <v>8</v>
      </c>
      <c r="DV222" s="27" t="s">
        <v>7</v>
      </c>
      <c r="DW222" s="27" t="s">
        <v>8</v>
      </c>
      <c r="DX222" s="27" t="s">
        <v>7</v>
      </c>
    </row>
    <row r="223" spans="1:129" x14ac:dyDescent="0.25">
      <c r="A223" s="30">
        <v>63.254353444541557</v>
      </c>
      <c r="E223"/>
      <c r="AY223" s="27" t="s">
        <v>8</v>
      </c>
      <c r="BB223" s="27" t="s">
        <v>7</v>
      </c>
      <c r="BK223" s="27" t="s">
        <v>8</v>
      </c>
      <c r="BM223" s="27" t="s">
        <v>8</v>
      </c>
      <c r="BO223" s="27" t="s">
        <v>8</v>
      </c>
      <c r="BZ223" s="27" t="s">
        <v>7</v>
      </c>
      <c r="CA223" s="27" t="s">
        <v>8</v>
      </c>
      <c r="CB223" s="27" t="s">
        <v>7</v>
      </c>
      <c r="CC223" s="27" t="s">
        <v>8</v>
      </c>
      <c r="CL223" s="27" t="s">
        <v>7</v>
      </c>
      <c r="CM223" s="27" t="s">
        <v>8</v>
      </c>
      <c r="CN223" s="27" t="s">
        <v>7</v>
      </c>
      <c r="CO223" s="27" t="s">
        <v>8</v>
      </c>
      <c r="CP223" s="27" t="s">
        <v>7</v>
      </c>
      <c r="CQ223" s="27" t="s">
        <v>8</v>
      </c>
      <c r="CR223" s="27" t="s">
        <v>7</v>
      </c>
      <c r="CS223" s="27" t="s">
        <v>8</v>
      </c>
      <c r="CT223" s="32"/>
      <c r="CZ223" s="32" t="s">
        <v>7</v>
      </c>
      <c r="DP223" s="27" t="s">
        <v>7</v>
      </c>
      <c r="DQ223" s="27" t="s">
        <v>8</v>
      </c>
      <c r="DT223" s="27" t="s">
        <v>7</v>
      </c>
      <c r="DU223" s="27" t="s">
        <v>8</v>
      </c>
      <c r="DV223" s="27" t="s">
        <v>7</v>
      </c>
      <c r="DW223" s="27" t="s">
        <v>8</v>
      </c>
      <c r="DX223" s="27" t="s">
        <v>7</v>
      </c>
    </row>
    <row r="224" spans="1:129" x14ac:dyDescent="0.25">
      <c r="A224" s="30">
        <v>60.242241375753864</v>
      </c>
      <c r="E224"/>
      <c r="AY224" s="27" t="s">
        <v>8</v>
      </c>
      <c r="BB224" s="27" t="s">
        <v>7</v>
      </c>
      <c r="BK224" s="27" t="s">
        <v>8</v>
      </c>
      <c r="BL224" s="27" t="s">
        <v>7</v>
      </c>
      <c r="BM224" s="27" t="s">
        <v>8</v>
      </c>
      <c r="BN224" s="27" t="s">
        <v>7</v>
      </c>
      <c r="BO224" s="27" t="s">
        <v>8</v>
      </c>
      <c r="BZ224" s="27" t="s">
        <v>7</v>
      </c>
      <c r="CA224" s="27" t="s">
        <v>8</v>
      </c>
      <c r="CB224" s="27" t="s">
        <v>7</v>
      </c>
      <c r="CL224" s="27" t="s">
        <v>7</v>
      </c>
      <c r="CM224" s="27" t="s">
        <v>8</v>
      </c>
      <c r="CN224" s="27" t="s">
        <v>7</v>
      </c>
      <c r="CO224" s="27" t="s">
        <v>8</v>
      </c>
      <c r="CP224" s="27" t="s">
        <v>7</v>
      </c>
      <c r="CR224" s="27" t="s">
        <v>7</v>
      </c>
      <c r="CS224" s="27" t="s">
        <v>8</v>
      </c>
      <c r="CY224" s="32"/>
      <c r="DP224" s="27" t="s">
        <v>7</v>
      </c>
      <c r="DQ224" s="27" t="s">
        <v>8</v>
      </c>
      <c r="DT224" s="27" t="s">
        <v>7</v>
      </c>
      <c r="DU224" s="27" t="s">
        <v>8</v>
      </c>
      <c r="DV224" s="27" t="s">
        <v>7</v>
      </c>
      <c r="DX224" s="27" t="s">
        <v>7</v>
      </c>
      <c r="DY224" s="27" t="s">
        <v>8</v>
      </c>
    </row>
    <row r="225" spans="1:133" x14ac:dyDescent="0.25">
      <c r="A225" s="30">
        <v>57.373563215003678</v>
      </c>
      <c r="E225"/>
      <c r="AW225" s="27" t="s">
        <v>8</v>
      </c>
      <c r="AY225" s="27" t="s">
        <v>8</v>
      </c>
      <c r="BB225" s="27" t="s">
        <v>7</v>
      </c>
      <c r="BC225" s="27" t="s">
        <v>8</v>
      </c>
      <c r="BI225" s="27" t="s">
        <v>8</v>
      </c>
      <c r="BK225" s="27" t="s">
        <v>8</v>
      </c>
      <c r="BL225" s="27" t="s">
        <v>7</v>
      </c>
      <c r="BM225" s="27" t="s">
        <v>8</v>
      </c>
      <c r="BN225" s="27" t="s">
        <v>7</v>
      </c>
      <c r="BO225" s="27" t="s">
        <v>8</v>
      </c>
      <c r="BZ225" s="27" t="s">
        <v>7</v>
      </c>
      <c r="CA225" s="27" t="s">
        <v>8</v>
      </c>
      <c r="CL225" s="27" t="s">
        <v>7</v>
      </c>
      <c r="CM225" s="27" t="s">
        <v>8</v>
      </c>
      <c r="CN225" s="27" t="s">
        <v>7</v>
      </c>
      <c r="CO225" s="27" t="s">
        <v>8</v>
      </c>
      <c r="CR225" s="34" t="s">
        <v>7</v>
      </c>
      <c r="CS225" s="27" t="s">
        <v>8</v>
      </c>
      <c r="CX225" s="32"/>
      <c r="DP225" s="27" t="s">
        <v>7</v>
      </c>
      <c r="DT225" s="27" t="s">
        <v>7</v>
      </c>
      <c r="DX225" s="27" t="s">
        <v>7</v>
      </c>
      <c r="DY225" s="27" t="s">
        <v>8</v>
      </c>
      <c r="DZ225" s="27" t="s">
        <v>7</v>
      </c>
    </row>
    <row r="226" spans="1:133" x14ac:dyDescent="0.25">
      <c r="A226" s="30">
        <v>54.641488776193974</v>
      </c>
      <c r="E226"/>
      <c r="AW226" s="27" t="s">
        <v>8</v>
      </c>
      <c r="AX226" s="27" t="s">
        <v>7</v>
      </c>
      <c r="AY226" s="27" t="s">
        <v>8</v>
      </c>
      <c r="BB226" s="27" t="s">
        <v>7</v>
      </c>
      <c r="BC226" s="27" t="s">
        <v>8</v>
      </c>
      <c r="BD226" s="27" t="s">
        <v>7</v>
      </c>
      <c r="BG226" s="27" t="s">
        <v>8</v>
      </c>
      <c r="BI226" s="27" t="s">
        <v>8</v>
      </c>
      <c r="BJ226" s="27" t="s">
        <v>7</v>
      </c>
      <c r="BK226" s="27" t="s">
        <v>8</v>
      </c>
      <c r="BL226" s="27" t="s">
        <v>7</v>
      </c>
      <c r="BM226" s="27" t="s">
        <v>8</v>
      </c>
      <c r="BN226" s="27" t="s">
        <v>7</v>
      </c>
      <c r="BZ226" s="27" t="s">
        <v>7</v>
      </c>
      <c r="CL226" s="27" t="s">
        <v>7</v>
      </c>
      <c r="CM226" s="27" t="s">
        <v>8</v>
      </c>
      <c r="CN226" s="27" t="s">
        <v>7</v>
      </c>
      <c r="CO226" s="27" t="s">
        <v>8</v>
      </c>
      <c r="CR226" s="27" t="s">
        <v>7</v>
      </c>
      <c r="CS226" s="27" t="s">
        <v>8</v>
      </c>
      <c r="CW226" s="32"/>
      <c r="DX226" s="27" t="s">
        <v>7</v>
      </c>
      <c r="DY226" s="27" t="s">
        <v>8</v>
      </c>
      <c r="DZ226" s="27" t="s">
        <v>7</v>
      </c>
    </row>
    <row r="227" spans="1:133" x14ac:dyDescent="0.25">
      <c r="A227" s="30">
        <v>52.039513120184736</v>
      </c>
      <c r="E227"/>
      <c r="AW227" s="27" t="s">
        <v>8</v>
      </c>
      <c r="AX227" s="27" t="s">
        <v>7</v>
      </c>
      <c r="AY227" s="27" t="s">
        <v>8</v>
      </c>
      <c r="BB227" s="27" t="s">
        <v>7</v>
      </c>
      <c r="BC227" s="27" t="s">
        <v>8</v>
      </c>
      <c r="BD227" s="27" t="s">
        <v>7</v>
      </c>
      <c r="BG227" s="27" t="s">
        <v>8</v>
      </c>
      <c r="BH227" s="27" t="s">
        <v>7</v>
      </c>
      <c r="BI227" s="27" t="s">
        <v>8</v>
      </c>
      <c r="BJ227" s="27" t="s">
        <v>7</v>
      </c>
      <c r="BK227" s="27" t="s">
        <v>8</v>
      </c>
      <c r="BL227" s="27" t="s">
        <v>7</v>
      </c>
      <c r="BM227" s="27" t="s">
        <v>8</v>
      </c>
      <c r="CL227" s="27" t="s">
        <v>7</v>
      </c>
      <c r="CM227" s="27" t="s">
        <v>8</v>
      </c>
      <c r="CN227" s="27" t="s">
        <v>7</v>
      </c>
      <c r="CR227" s="27" t="s">
        <v>7</v>
      </c>
      <c r="CS227" s="27" t="s">
        <v>8</v>
      </c>
      <c r="CV227" s="32"/>
      <c r="DX227" s="27" t="s">
        <v>7</v>
      </c>
      <c r="DZ227" s="27" t="s">
        <v>7</v>
      </c>
    </row>
    <row r="228" spans="1:133" x14ac:dyDescent="0.25">
      <c r="A228" s="30">
        <v>49.561441066842605</v>
      </c>
      <c r="C228" s="7"/>
      <c r="D228"/>
      <c r="E228"/>
      <c r="AW228" s="27" t="s">
        <v>8</v>
      </c>
      <c r="AX228" s="27" t="s">
        <v>7</v>
      </c>
      <c r="AY228" s="27" t="s">
        <v>8</v>
      </c>
      <c r="BB228" s="27" t="s">
        <v>7</v>
      </c>
      <c r="BC228" s="27" t="s">
        <v>8</v>
      </c>
      <c r="BD228" s="27" t="s">
        <v>7</v>
      </c>
      <c r="BE228" s="27" t="s">
        <v>8</v>
      </c>
      <c r="BG228" s="27" t="s">
        <v>8</v>
      </c>
      <c r="BH228" s="27" t="s">
        <v>7</v>
      </c>
      <c r="BI228" s="27" t="s">
        <v>8</v>
      </c>
      <c r="BJ228" s="27" t="s">
        <v>7</v>
      </c>
      <c r="BK228" s="27" t="s">
        <v>8</v>
      </c>
      <c r="BL228" s="27" t="s">
        <v>7</v>
      </c>
      <c r="BM228" s="27" t="s">
        <v>8</v>
      </c>
      <c r="CL228" s="27" t="s">
        <v>7</v>
      </c>
      <c r="CR228" s="27" t="s">
        <v>7</v>
      </c>
      <c r="CS228" s="27" t="s">
        <v>8</v>
      </c>
      <c r="CU228" s="32"/>
      <c r="DZ228" s="27" t="s">
        <v>7</v>
      </c>
    </row>
    <row r="229" spans="1:133" x14ac:dyDescent="0.25">
      <c r="A229" s="30">
        <v>47.201372444612005</v>
      </c>
      <c r="E229"/>
      <c r="AW229" s="27" t="s">
        <v>8</v>
      </c>
      <c r="AX229" s="27" t="s">
        <v>7</v>
      </c>
      <c r="AY229" s="27" t="s">
        <v>8</v>
      </c>
      <c r="BB229" s="27" t="s">
        <v>7</v>
      </c>
      <c r="BC229" s="27" t="s">
        <v>8</v>
      </c>
      <c r="BD229" s="27" t="s">
        <v>7</v>
      </c>
      <c r="BE229" s="27" t="s">
        <v>8</v>
      </c>
      <c r="BF229" s="27" t="s">
        <v>7</v>
      </c>
      <c r="BG229" s="27" t="s">
        <v>8</v>
      </c>
      <c r="BH229" s="27" t="s">
        <v>7</v>
      </c>
      <c r="BJ229" s="27" t="s">
        <v>7</v>
      </c>
      <c r="BL229" s="27" t="s">
        <v>7</v>
      </c>
      <c r="BM229" s="27" t="s">
        <v>8</v>
      </c>
      <c r="CR229" s="18" t="s">
        <v>7</v>
      </c>
      <c r="CS229" s="27" t="s">
        <v>8</v>
      </c>
      <c r="CT229" s="32"/>
      <c r="DZ229" s="27" t="s">
        <v>7</v>
      </c>
    </row>
    <row r="230" spans="1:133" x14ac:dyDescent="0.25">
      <c r="A230" s="30">
        <v>44.95368804248762</v>
      </c>
      <c r="E230"/>
      <c r="AU230" s="27" t="s">
        <v>8</v>
      </c>
      <c r="AW230" s="27" t="s">
        <v>8</v>
      </c>
      <c r="AX230" s="27" t="s">
        <v>7</v>
      </c>
      <c r="BB230" s="27" t="s">
        <v>7</v>
      </c>
      <c r="BD230" s="27" t="s">
        <v>7</v>
      </c>
      <c r="BE230" s="27" t="s">
        <v>8</v>
      </c>
      <c r="BF230" s="27" t="s">
        <v>7</v>
      </c>
      <c r="BG230" s="27" t="s">
        <v>8</v>
      </c>
      <c r="BL230" s="27" t="s">
        <v>7</v>
      </c>
      <c r="CR230" s="27" t="s">
        <v>7</v>
      </c>
      <c r="CS230" s="32" t="s">
        <v>8</v>
      </c>
      <c r="DZ230" s="27" t="s">
        <v>7</v>
      </c>
    </row>
    <row r="231" spans="1:133" x14ac:dyDescent="0.25">
      <c r="A231" s="30">
        <v>42.81303623094059</v>
      </c>
      <c r="C231"/>
      <c r="D231"/>
      <c r="E231"/>
      <c r="AU231" s="27" t="s">
        <v>8</v>
      </c>
      <c r="AV231" s="27" t="s">
        <v>7</v>
      </c>
      <c r="AW231" s="27" t="s">
        <v>8</v>
      </c>
      <c r="BD231" s="27" t="s">
        <v>7</v>
      </c>
      <c r="BE231" s="27" t="s">
        <v>8</v>
      </c>
      <c r="BF231" s="27" t="s">
        <v>7</v>
      </c>
      <c r="BG231" s="27" t="s">
        <v>8</v>
      </c>
      <c r="CR231" s="32" t="s">
        <v>7</v>
      </c>
      <c r="DZ231" s="27" t="s">
        <v>7</v>
      </c>
    </row>
    <row r="232" spans="1:133" x14ac:dyDescent="0.25">
      <c r="A232" s="30">
        <v>40.774320219943419</v>
      </c>
      <c r="E232"/>
      <c r="AU232" s="27" t="s">
        <v>8</v>
      </c>
      <c r="AV232" s="27" t="s">
        <v>7</v>
      </c>
      <c r="AW232" s="27" t="s">
        <v>8</v>
      </c>
      <c r="BD232" s="27" t="s">
        <v>7</v>
      </c>
      <c r="BF232" s="27" t="s">
        <v>7</v>
      </c>
      <c r="DZ232" s="27" t="s">
        <v>7</v>
      </c>
      <c r="EC232" s="27" t="s">
        <v>8</v>
      </c>
    </row>
    <row r="233" spans="1:133" x14ac:dyDescent="0.25">
      <c r="A233" s="30">
        <v>38.832685923755633</v>
      </c>
      <c r="E233"/>
      <c r="AQ233" s="27" t="s">
        <v>8</v>
      </c>
      <c r="AS233" s="27" t="s">
        <v>8</v>
      </c>
      <c r="AU233" s="27" t="s">
        <v>8</v>
      </c>
      <c r="AV233" s="27" t="s">
        <v>7</v>
      </c>
      <c r="DZ233" s="27" t="s">
        <v>7</v>
      </c>
      <c r="EC233" s="27" t="s">
        <v>8</v>
      </c>
    </row>
    <row r="234" spans="1:133" x14ac:dyDescent="0.25">
      <c r="A234" s="30">
        <v>36.983510403576794</v>
      </c>
      <c r="E234"/>
      <c r="AQ234" s="27" t="s">
        <v>8</v>
      </c>
      <c r="AR234" s="27" t="s">
        <v>7</v>
      </c>
      <c r="AS234" s="27" t="s">
        <v>8</v>
      </c>
      <c r="AT234" s="27" t="s">
        <v>7</v>
      </c>
      <c r="AU234" s="27" t="s">
        <v>8</v>
      </c>
      <c r="DZ234" s="27" t="s">
        <v>7</v>
      </c>
      <c r="EA234" s="27" t="s">
        <v>8</v>
      </c>
      <c r="EC234" s="27" t="s">
        <v>8</v>
      </c>
    </row>
    <row r="235" spans="1:133" x14ac:dyDescent="0.25">
      <c r="A235" s="30">
        <v>35.222390860549325</v>
      </c>
      <c r="C235"/>
      <c r="E235"/>
      <c r="AQ235" s="27" t="s">
        <v>8</v>
      </c>
      <c r="AR235" s="27" t="s">
        <v>7</v>
      </c>
      <c r="AS235" s="27" t="s">
        <v>8</v>
      </c>
      <c r="AT235" s="27" t="s">
        <v>7</v>
      </c>
      <c r="AU235" s="27" t="s">
        <v>8</v>
      </c>
      <c r="DZ235" s="27" t="s">
        <v>7</v>
      </c>
      <c r="EA235" s="27" t="s">
        <v>8</v>
      </c>
      <c r="EB235" s="27" t="s">
        <v>7</v>
      </c>
      <c r="EC235" s="27" t="s">
        <v>8</v>
      </c>
    </row>
    <row r="236" spans="1:133" x14ac:dyDescent="0.25">
      <c r="A236" s="30">
        <v>33.545134152904119</v>
      </c>
      <c r="E236"/>
      <c r="AO236" s="27" t="s">
        <v>8</v>
      </c>
      <c r="AQ236" s="27" t="s">
        <v>8</v>
      </c>
      <c r="AR236" s="27" t="s">
        <v>7</v>
      </c>
      <c r="AS236" s="27" t="s">
        <v>8</v>
      </c>
      <c r="AT236" s="27" t="s">
        <v>7</v>
      </c>
      <c r="AU236" s="27" t="s">
        <v>8</v>
      </c>
      <c r="DZ236" s="27" t="s">
        <v>7</v>
      </c>
      <c r="EA236" s="27" t="s">
        <v>8</v>
      </c>
      <c r="EB236" s="27" t="s">
        <v>7</v>
      </c>
      <c r="EC236" s="27" t="s">
        <v>8</v>
      </c>
    </row>
    <row r="237" spans="1:133" x14ac:dyDescent="0.25">
      <c r="A237" s="30">
        <v>31.947746812289637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O237" s="27" t="s">
        <v>8</v>
      </c>
      <c r="AP237" s="27" t="s">
        <v>7</v>
      </c>
      <c r="AQ237" s="27" t="s">
        <v>8</v>
      </c>
      <c r="AR237" s="27" t="s">
        <v>7</v>
      </c>
      <c r="AS237" s="27" t="s">
        <v>8</v>
      </c>
      <c r="AT237" s="27" t="s">
        <v>7</v>
      </c>
      <c r="DZ237" s="27" t="s">
        <v>7</v>
      </c>
      <c r="EA237" s="27" t="s">
        <v>8</v>
      </c>
      <c r="EB237" s="27" t="s">
        <v>7</v>
      </c>
      <c r="EC237" s="27" t="s">
        <v>8</v>
      </c>
    </row>
    <row r="238" spans="1:133" x14ac:dyDescent="0.25">
      <c r="A238" s="30">
        <v>30.426425535513939</v>
      </c>
      <c r="E238"/>
      <c r="AM238" s="27" t="s">
        <v>8</v>
      </c>
      <c r="AO238" s="27" t="s">
        <v>8</v>
      </c>
      <c r="AP238" s="27" t="s">
        <v>7</v>
      </c>
      <c r="AQ238" s="27" t="s">
        <v>8</v>
      </c>
      <c r="AR238" s="27" t="s">
        <v>7</v>
      </c>
      <c r="AS238" s="27" t="s">
        <v>8</v>
      </c>
      <c r="DZ238" s="27" t="s">
        <v>7</v>
      </c>
      <c r="EB238" s="27" t="s">
        <v>7</v>
      </c>
    </row>
    <row r="239" spans="1:133" x14ac:dyDescent="0.25">
      <c r="A239" s="30">
        <v>28.977548129060892</v>
      </c>
      <c r="E239"/>
      <c r="AM239" s="27" t="s">
        <v>8</v>
      </c>
      <c r="AN239" s="27" t="s">
        <v>7</v>
      </c>
      <c r="AO239" s="27" t="s">
        <v>8</v>
      </c>
      <c r="AP239" s="27" t="s">
        <v>7</v>
      </c>
      <c r="AQ239" s="27" t="s">
        <v>8</v>
      </c>
      <c r="AR239" s="27" t="s">
        <v>7</v>
      </c>
    </row>
    <row r="240" spans="1:133" x14ac:dyDescent="0.25">
      <c r="A240" s="30">
        <v>27.597664884819896</v>
      </c>
      <c r="E240" s="29"/>
      <c r="AM240" s="27" t="s">
        <v>8</v>
      </c>
      <c r="AN240" s="27" t="s">
        <v>7</v>
      </c>
      <c r="AO240" s="27" t="s">
        <v>8</v>
      </c>
      <c r="AP240" s="27" t="s">
        <v>7</v>
      </c>
      <c r="AQ240" s="27" t="s">
        <v>8</v>
      </c>
    </row>
    <row r="241" spans="1:43" x14ac:dyDescent="0.25">
      <c r="A241" s="30">
        <v>26.283490366495137</v>
      </c>
      <c r="B241"/>
      <c r="C241"/>
      <c r="D241"/>
      <c r="E241"/>
      <c r="AM241" s="27" t="s">
        <v>8</v>
      </c>
      <c r="AN241" s="27" t="s">
        <v>7</v>
      </c>
      <c r="AO241" s="27" t="s">
        <v>8</v>
      </c>
      <c r="AP241" s="27" t="s">
        <v>7</v>
      </c>
      <c r="AQ241" s="27" t="s">
        <v>8</v>
      </c>
    </row>
    <row r="242" spans="1:43" x14ac:dyDescent="0.25">
      <c r="A242" s="30">
        <v>25.031895587138223</v>
      </c>
      <c r="B242"/>
      <c r="C242"/>
      <c r="D242"/>
      <c r="E242"/>
      <c r="AM242" s="27" t="s">
        <v>8</v>
      </c>
      <c r="AN242" s="27" t="s">
        <v>7</v>
      </c>
      <c r="AO242" s="27" t="s">
        <v>8</v>
      </c>
      <c r="AP242" s="27" t="s">
        <v>7</v>
      </c>
    </row>
    <row r="243" spans="1:43" x14ac:dyDescent="0.25">
      <c r="A243" s="30">
        <v>23.839900559179259</v>
      </c>
      <c r="B243"/>
      <c r="C243"/>
      <c r="D243"/>
      <c r="E243"/>
      <c r="AM243" s="27" t="s">
        <v>8</v>
      </c>
      <c r="AN243" s="27" t="s">
        <v>7</v>
      </c>
      <c r="AO243" s="27" t="s">
        <v>8</v>
      </c>
    </row>
    <row r="244" spans="1:43" x14ac:dyDescent="0.25">
      <c r="A244" s="30">
        <v>22.704667199218342</v>
      </c>
      <c r="B244"/>
      <c r="C244"/>
      <c r="D244"/>
      <c r="E244"/>
      <c r="AM244" s="27" t="s">
        <v>8</v>
      </c>
      <c r="AN244" s="27" t="s">
        <v>7</v>
      </c>
      <c r="AO244" s="27" t="s">
        <v>8</v>
      </c>
    </row>
    <row r="245" spans="1:43" x14ac:dyDescent="0.25">
      <c r="A245" s="30">
        <v>21.623492570684135</v>
      </c>
      <c r="B245"/>
      <c r="C245"/>
      <c r="D245"/>
      <c r="E245"/>
      <c r="AM245" s="27" t="s">
        <v>8</v>
      </c>
      <c r="AN245" s="27" t="s">
        <v>7</v>
      </c>
    </row>
    <row r="246" spans="1:43" x14ac:dyDescent="0.25">
      <c r="A246" s="30">
        <v>20.593802448270605</v>
      </c>
      <c r="B246"/>
      <c r="C246"/>
      <c r="D246"/>
      <c r="E246"/>
      <c r="AM246" s="27" t="s">
        <v>8</v>
      </c>
    </row>
    <row r="247" spans="1:43" x14ac:dyDescent="0.25">
      <c r="A247" s="30">
        <v>19.613145188829147</v>
      </c>
      <c r="B247"/>
      <c r="C247"/>
      <c r="D247"/>
      <c r="E247"/>
      <c r="AM247" s="27" t="s">
        <v>8</v>
      </c>
    </row>
    <row r="248" spans="1:43" x14ac:dyDescent="0.25">
      <c r="A248" s="30">
        <v>18.679185894122998</v>
      </c>
      <c r="B248"/>
      <c r="C248"/>
      <c r="D248"/>
      <c r="E248"/>
      <c r="W248" s="27" t="s">
        <v>8</v>
      </c>
      <c r="AM248" s="27" t="s">
        <v>8</v>
      </c>
    </row>
    <row r="249" spans="1:43" x14ac:dyDescent="0.25">
      <c r="A249" s="30">
        <v>17.78970085154571</v>
      </c>
      <c r="B249"/>
      <c r="C249"/>
      <c r="D249"/>
      <c r="E249"/>
      <c r="W249" s="27" t="s">
        <v>8</v>
      </c>
      <c r="X249" s="27" t="s">
        <v>7</v>
      </c>
      <c r="AM249" s="27" t="s">
        <v>8</v>
      </c>
    </row>
    <row r="250" spans="1:43" x14ac:dyDescent="0.25">
      <c r="A250" s="30">
        <v>16.942572239567344</v>
      </c>
      <c r="B250"/>
      <c r="C250"/>
      <c r="D250"/>
      <c r="E250"/>
      <c r="W250" s="27" t="s">
        <v>8</v>
      </c>
      <c r="X250" s="27" t="s">
        <v>7</v>
      </c>
      <c r="AM250" s="27" t="s">
        <v>8</v>
      </c>
    </row>
    <row r="251" spans="1:43" x14ac:dyDescent="0.25">
      <c r="A251" s="30">
        <v>16.135783085302233</v>
      </c>
      <c r="B251"/>
      <c r="C251"/>
      <c r="D251"/>
      <c r="E251"/>
      <c r="W251" s="27" t="s">
        <v>8</v>
      </c>
      <c r="X251" s="27" t="s">
        <v>7</v>
      </c>
      <c r="Y251" s="27" t="s">
        <v>8</v>
      </c>
      <c r="AK251" s="27" t="s">
        <v>8</v>
      </c>
      <c r="AM251" s="27" t="s">
        <v>8</v>
      </c>
    </row>
    <row r="252" spans="1:43" x14ac:dyDescent="0.25">
      <c r="A252" s="30">
        <v>15.367412462192602</v>
      </c>
      <c r="B252"/>
      <c r="C252"/>
      <c r="D252"/>
      <c r="E252"/>
      <c r="W252" s="27" t="s">
        <v>8</v>
      </c>
      <c r="X252" s="27" t="s">
        <v>7</v>
      </c>
      <c r="Y252" s="27" t="s">
        <v>8</v>
      </c>
      <c r="Z252" s="27" t="s">
        <v>7</v>
      </c>
      <c r="AK252" s="27" t="s">
        <v>8</v>
      </c>
      <c r="AL252" s="27" t="s">
        <v>7</v>
      </c>
      <c r="AM252" s="27" t="s">
        <v>8</v>
      </c>
    </row>
    <row r="253" spans="1:43" x14ac:dyDescent="0.25">
      <c r="A253" s="30">
        <v>14.635630916373906</v>
      </c>
      <c r="B253"/>
      <c r="C253"/>
      <c r="D253"/>
      <c r="E253"/>
      <c r="W253" s="27" t="s">
        <v>8</v>
      </c>
      <c r="X253" s="27" t="s">
        <v>7</v>
      </c>
      <c r="Y253" s="27" t="s">
        <v>8</v>
      </c>
      <c r="Z253" s="27" t="s">
        <v>7</v>
      </c>
      <c r="AG253" s="27" t="s">
        <v>8</v>
      </c>
      <c r="AI253" s="27" t="s">
        <v>8</v>
      </c>
      <c r="AK253" s="27" t="s">
        <v>8</v>
      </c>
      <c r="AL253" s="27" t="s">
        <v>7</v>
      </c>
      <c r="AM253" s="27" t="s">
        <v>8</v>
      </c>
    </row>
    <row r="254" spans="1:43" x14ac:dyDescent="0.25">
      <c r="A254" s="30">
        <v>13.938696110832291</v>
      </c>
      <c r="B254"/>
      <c r="C254"/>
      <c r="D254"/>
      <c r="E254"/>
      <c r="W254" s="27" t="s">
        <v>8</v>
      </c>
      <c r="X254" s="27" t="s">
        <v>7</v>
      </c>
      <c r="Y254" s="27" t="s">
        <v>8</v>
      </c>
      <c r="Z254" s="27" t="s">
        <v>7</v>
      </c>
      <c r="AG254" s="27" t="s">
        <v>8</v>
      </c>
      <c r="AH254" s="27" t="s">
        <v>7</v>
      </c>
      <c r="AI254" s="27" t="s">
        <v>8</v>
      </c>
      <c r="AJ254" s="27" t="s">
        <v>7</v>
      </c>
      <c r="AK254" s="27" t="s">
        <v>8</v>
      </c>
      <c r="AL254" s="27" t="s">
        <v>7</v>
      </c>
      <c r="AM254" s="27" t="s">
        <v>8</v>
      </c>
    </row>
    <row r="255" spans="1:43" x14ac:dyDescent="0.25">
      <c r="A255" s="30">
        <v>13.274948676983135</v>
      </c>
      <c r="E255"/>
      <c r="W255" s="27" t="s">
        <v>8</v>
      </c>
      <c r="X255" s="27" t="s">
        <v>7</v>
      </c>
      <c r="Y255" s="27" t="s">
        <v>8</v>
      </c>
      <c r="Z255" s="27" t="s">
        <v>7</v>
      </c>
      <c r="AA255" s="27" t="s">
        <v>8</v>
      </c>
      <c r="AC255" s="27" t="s">
        <v>8</v>
      </c>
      <c r="AG255" s="27" t="s">
        <v>8</v>
      </c>
      <c r="AH255" s="27" t="s">
        <v>7</v>
      </c>
      <c r="AI255" s="27" t="s">
        <v>8</v>
      </c>
      <c r="AJ255" s="27" t="s">
        <v>7</v>
      </c>
      <c r="AK255" s="27" t="s">
        <v>8</v>
      </c>
      <c r="AL255" s="27" t="s">
        <v>7</v>
      </c>
    </row>
    <row r="256" spans="1:43" x14ac:dyDescent="0.25">
      <c r="A256" s="30">
        <v>12.64280826379346</v>
      </c>
      <c r="E256"/>
      <c r="W256" s="27" t="s">
        <v>8</v>
      </c>
      <c r="X256" s="27" t="s">
        <v>7</v>
      </c>
      <c r="Y256" s="27" t="s">
        <v>8</v>
      </c>
      <c r="Z256" s="27" t="s">
        <v>7</v>
      </c>
      <c r="AA256" s="27" t="s">
        <v>8</v>
      </c>
      <c r="AB256" s="27" t="s">
        <v>7</v>
      </c>
      <c r="AC256" s="27" t="s">
        <v>8</v>
      </c>
      <c r="AD256" s="27" t="s">
        <v>7</v>
      </c>
      <c r="AG256" s="27" t="s">
        <v>8</v>
      </c>
      <c r="AH256" s="27" t="s">
        <v>7</v>
      </c>
      <c r="AI256" s="27" t="s">
        <v>8</v>
      </c>
      <c r="AJ256" s="27" t="s">
        <v>7</v>
      </c>
      <c r="AK256" s="27" t="s">
        <v>8</v>
      </c>
    </row>
    <row r="257" spans="1:36" x14ac:dyDescent="0.25">
      <c r="A257" s="30">
        <v>12.04076977504139</v>
      </c>
      <c r="B257"/>
      <c r="C257"/>
      <c r="D257"/>
      <c r="E257"/>
      <c r="W257" s="27" t="s">
        <v>8</v>
      </c>
      <c r="X257" s="27" t="s">
        <v>7</v>
      </c>
      <c r="Y257" s="27" t="s">
        <v>8</v>
      </c>
      <c r="Z257" s="27" t="s">
        <v>7</v>
      </c>
      <c r="AA257" s="27" t="s">
        <v>8</v>
      </c>
      <c r="AB257" s="27" t="s">
        <v>7</v>
      </c>
      <c r="AC257" s="27" t="s">
        <v>8</v>
      </c>
      <c r="AD257" s="27" t="s">
        <v>7</v>
      </c>
      <c r="AE257" s="27" t="s">
        <v>8</v>
      </c>
      <c r="AG257" s="27" t="s">
        <v>8</v>
      </c>
      <c r="AH257" s="27" t="s">
        <v>7</v>
      </c>
      <c r="AI257" s="27" t="s">
        <v>8</v>
      </c>
      <c r="AJ257" s="27" t="s">
        <v>7</v>
      </c>
    </row>
    <row r="258" spans="1:36" x14ac:dyDescent="0.25">
      <c r="A258" s="30">
        <v>11.467399785753704</v>
      </c>
      <c r="B258"/>
      <c r="C258"/>
      <c r="D258"/>
      <c r="E258"/>
      <c r="K258" s="27" t="s">
        <v>8</v>
      </c>
      <c r="W258" s="27" t="s">
        <v>8</v>
      </c>
      <c r="X258" s="27" t="s">
        <v>7</v>
      </c>
      <c r="Z258" s="27" t="s">
        <v>7</v>
      </c>
      <c r="AA258" s="27" t="s">
        <v>8</v>
      </c>
      <c r="AB258" s="27" t="s">
        <v>7</v>
      </c>
      <c r="AC258" s="27" t="s">
        <v>8</v>
      </c>
      <c r="AD258" s="27" t="s">
        <v>7</v>
      </c>
      <c r="AE258" s="27" t="s">
        <v>8</v>
      </c>
      <c r="AF258" s="27" t="s">
        <v>7</v>
      </c>
      <c r="AG258" s="27" t="s">
        <v>8</v>
      </c>
      <c r="AH258" s="27" t="s">
        <v>7</v>
      </c>
    </row>
    <row r="259" spans="1:36" x14ac:dyDescent="0.25">
      <c r="A259" s="30">
        <v>10.921333129289241</v>
      </c>
      <c r="B259"/>
      <c r="C259"/>
      <c r="D259"/>
      <c r="E259"/>
      <c r="K259" s="27" t="s">
        <v>8</v>
      </c>
      <c r="L259" s="27" t="s">
        <v>7</v>
      </c>
      <c r="W259" s="27" t="s">
        <v>8</v>
      </c>
      <c r="Z259" s="27" t="s">
        <v>7</v>
      </c>
      <c r="AA259" s="27" t="s">
        <v>8</v>
      </c>
      <c r="AB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AG259" s="27" t="s">
        <v>8</v>
      </c>
    </row>
    <row r="260" spans="1:36" x14ac:dyDescent="0.25">
      <c r="A260" s="30">
        <v>10.401269646942135</v>
      </c>
      <c r="B260"/>
      <c r="C260"/>
      <c r="D260"/>
      <c r="E260"/>
      <c r="K260" s="27" t="s">
        <v>8</v>
      </c>
      <c r="L260" s="27" t="s">
        <v>7</v>
      </c>
      <c r="M260" s="27" t="s">
        <v>8</v>
      </c>
      <c r="O260" s="27" t="s">
        <v>8</v>
      </c>
      <c r="W260" s="27" t="s">
        <v>8</v>
      </c>
      <c r="Z260" s="27" t="s">
        <v>7</v>
      </c>
      <c r="AA260" s="27" t="s">
        <v>8</v>
      </c>
      <c r="AB260" s="27" t="s">
        <v>7</v>
      </c>
      <c r="AC260" s="27" t="s">
        <v>8</v>
      </c>
      <c r="AD260" s="27" t="s">
        <v>7</v>
      </c>
      <c r="AF260" s="27" t="s">
        <v>7</v>
      </c>
    </row>
    <row r="261" spans="1:36" x14ac:dyDescent="0.25">
      <c r="A261" s="30">
        <v>9.9059710923258422</v>
      </c>
      <c r="B261"/>
      <c r="C261"/>
      <c r="D261"/>
      <c r="E261"/>
      <c r="K261" s="27" t="s">
        <v>8</v>
      </c>
      <c r="L261" s="27" t="s">
        <v>7</v>
      </c>
      <c r="M261" s="27" t="s">
        <v>8</v>
      </c>
      <c r="N261" s="27" t="s">
        <v>7</v>
      </c>
      <c r="O261" s="27" t="s">
        <v>8</v>
      </c>
      <c r="P261" s="27" t="s">
        <v>7</v>
      </c>
      <c r="W261" s="27" t="s">
        <v>8</v>
      </c>
      <c r="Z261" s="27" t="s">
        <v>7</v>
      </c>
      <c r="AA261" s="27" t="s">
        <v>8</v>
      </c>
      <c r="AB261" s="27" t="s">
        <v>7</v>
      </c>
      <c r="AC261" s="27" t="s">
        <v>8</v>
      </c>
    </row>
    <row r="262" spans="1:36" x14ac:dyDescent="0.25">
      <c r="A262" s="30">
        <v>9.4342581831674686</v>
      </c>
      <c r="B262"/>
      <c r="C262"/>
      <c r="D262"/>
      <c r="E262"/>
      <c r="I262" s="27" t="s">
        <v>8</v>
      </c>
      <c r="K262" s="27" t="s">
        <v>8</v>
      </c>
      <c r="L262" s="27" t="s">
        <v>7</v>
      </c>
      <c r="M262" s="27" t="s">
        <v>8</v>
      </c>
      <c r="N262" s="27" t="s">
        <v>7</v>
      </c>
      <c r="O262" s="27" t="s">
        <v>8</v>
      </c>
      <c r="P262" s="27" t="s">
        <v>7</v>
      </c>
      <c r="U262" s="27" t="s">
        <v>8</v>
      </c>
      <c r="W262" s="27" t="s">
        <v>8</v>
      </c>
      <c r="Z262" s="27" t="s">
        <v>7</v>
      </c>
      <c r="AA262" s="27" t="s">
        <v>8</v>
      </c>
      <c r="AB262" s="27" t="s">
        <v>7</v>
      </c>
      <c r="AC262" s="27" t="s">
        <v>8</v>
      </c>
    </row>
    <row r="263" spans="1:36" x14ac:dyDescent="0.25">
      <c r="A263" s="30">
        <v>8.9850077934928265</v>
      </c>
      <c r="B263"/>
      <c r="C263"/>
      <c r="D263"/>
      <c r="E263"/>
      <c r="I263" s="27" t="s">
        <v>8</v>
      </c>
      <c r="J263" s="27" t="s">
        <v>7</v>
      </c>
      <c r="K263" s="27" t="s">
        <v>8</v>
      </c>
      <c r="L263" s="27" t="s">
        <v>7</v>
      </c>
      <c r="N263" s="27" t="s">
        <v>7</v>
      </c>
      <c r="O263" s="27" t="s">
        <v>8</v>
      </c>
      <c r="P263" s="27" t="s">
        <v>7</v>
      </c>
      <c r="U263" s="27" t="s">
        <v>8</v>
      </c>
      <c r="V263" s="27" t="s">
        <v>7</v>
      </c>
      <c r="W263" s="27" t="s">
        <v>8</v>
      </c>
      <c r="Z263" s="27" t="s">
        <v>7</v>
      </c>
      <c r="AB263" s="27" t="s">
        <v>7</v>
      </c>
      <c r="AC263" s="27" t="s">
        <v>8</v>
      </c>
    </row>
    <row r="264" spans="1:36" x14ac:dyDescent="0.25">
      <c r="A264" s="30">
        <v>8.5571502795169767</v>
      </c>
      <c r="B264"/>
      <c r="C264"/>
      <c r="D264"/>
      <c r="E264" t="s">
        <v>8</v>
      </c>
      <c r="G264" s="27" t="s">
        <v>8</v>
      </c>
      <c r="I264" s="27" t="s">
        <v>8</v>
      </c>
      <c r="J264" s="27" t="s">
        <v>7</v>
      </c>
      <c r="K264" s="27" t="s">
        <v>8</v>
      </c>
      <c r="N264" s="27" t="s">
        <v>7</v>
      </c>
      <c r="P264" s="27" t="s">
        <v>7</v>
      </c>
      <c r="U264" s="27" t="s">
        <v>8</v>
      </c>
      <c r="V264" s="27" t="s">
        <v>7</v>
      </c>
      <c r="W264" s="27" t="s">
        <v>8</v>
      </c>
      <c r="AB264" s="27" t="s">
        <v>7</v>
      </c>
    </row>
    <row r="265" spans="1:36" x14ac:dyDescent="0.25">
      <c r="A265" s="30">
        <v>8.1496669328733109</v>
      </c>
      <c r="B265"/>
      <c r="C265"/>
      <c r="D265"/>
      <c r="E265" t="s">
        <v>8</v>
      </c>
      <c r="F265" s="27" t="s">
        <v>7</v>
      </c>
      <c r="G265" s="27" t="s">
        <v>8</v>
      </c>
      <c r="H265" s="27" t="s">
        <v>7</v>
      </c>
      <c r="I265" s="27" t="s">
        <v>8</v>
      </c>
      <c r="J265" s="27" t="s">
        <v>7</v>
      </c>
      <c r="P265" s="27" t="s">
        <v>7</v>
      </c>
      <c r="U265" s="27" t="s">
        <v>8</v>
      </c>
      <c r="V265" s="27" t="s">
        <v>7</v>
      </c>
      <c r="W265" s="27" t="s">
        <v>8</v>
      </c>
    </row>
    <row r="266" spans="1:36" x14ac:dyDescent="0.25">
      <c r="A266" s="30">
        <v>7.7615875551174378</v>
      </c>
      <c r="B266"/>
      <c r="C266"/>
      <c r="D266"/>
      <c r="E266" t="s">
        <v>8</v>
      </c>
      <c r="F266" s="27" t="s">
        <v>7</v>
      </c>
      <c r="G266" s="27" t="s">
        <v>8</v>
      </c>
      <c r="H266" s="27" t="s">
        <v>7</v>
      </c>
      <c r="I266" s="27" t="s">
        <v>8</v>
      </c>
      <c r="P266" s="27" t="s">
        <v>7</v>
      </c>
      <c r="S266" s="27" t="s">
        <v>8</v>
      </c>
      <c r="U266" s="27" t="s">
        <v>8</v>
      </c>
      <c r="V266" s="27" t="s">
        <v>7</v>
      </c>
    </row>
    <row r="267" spans="1:36" x14ac:dyDescent="0.25">
      <c r="A267" s="30">
        <v>7.3919881477308929</v>
      </c>
      <c r="B267"/>
      <c r="C267"/>
      <c r="D267"/>
      <c r="E267" t="s">
        <v>8</v>
      </c>
      <c r="F267" s="27" t="s">
        <v>7</v>
      </c>
      <c r="G267" s="27" t="s">
        <v>8</v>
      </c>
      <c r="H267" s="27" t="s">
        <v>7</v>
      </c>
      <c r="I267" s="27" t="s">
        <v>8</v>
      </c>
      <c r="P267" s="27" t="s">
        <v>7</v>
      </c>
      <c r="S267" s="27" t="s">
        <v>8</v>
      </c>
      <c r="T267" s="27" t="s">
        <v>7</v>
      </c>
      <c r="U267" s="27" t="s">
        <v>8</v>
      </c>
    </row>
    <row r="268" spans="1:36" x14ac:dyDescent="0.25">
      <c r="A268" s="30">
        <v>7.0399887121246598</v>
      </c>
      <c r="B268"/>
      <c r="C268"/>
      <c r="D268"/>
      <c r="E268" t="s">
        <v>8</v>
      </c>
      <c r="F268" s="27" t="s">
        <v>7</v>
      </c>
      <c r="G268" s="27" t="s">
        <v>8</v>
      </c>
      <c r="H268" s="27" t="s">
        <v>7</v>
      </c>
      <c r="P268" s="27" t="s">
        <v>7</v>
      </c>
      <c r="S268" s="27" t="s">
        <v>8</v>
      </c>
      <c r="T268" s="27" t="s">
        <v>7</v>
      </c>
      <c r="U268" s="27" t="s">
        <v>8</v>
      </c>
    </row>
    <row r="269" spans="1:36" x14ac:dyDescent="0.25">
      <c r="A269" s="30">
        <v>6.7047511544044376</v>
      </c>
      <c r="B269"/>
      <c r="C269"/>
      <c r="D269"/>
      <c r="E269" t="s">
        <v>8</v>
      </c>
      <c r="F269" s="27" t="s">
        <v>7</v>
      </c>
      <c r="P269" s="27" t="s">
        <v>7</v>
      </c>
      <c r="S269" s="27" t="s">
        <v>8</v>
      </c>
      <c r="T269" s="27" t="s">
        <v>7</v>
      </c>
      <c r="U269" s="27" t="s">
        <v>8</v>
      </c>
    </row>
    <row r="270" spans="1:36" x14ac:dyDescent="0.25">
      <c r="A270" s="30">
        <v>6.3854772899089882</v>
      </c>
      <c r="B270"/>
      <c r="C270"/>
      <c r="D270"/>
      <c r="E270" t="s">
        <v>8</v>
      </c>
      <c r="P270" s="27" t="s">
        <v>7</v>
      </c>
      <c r="S270" s="27" t="s">
        <v>8</v>
      </c>
      <c r="T270" s="27" t="s">
        <v>7</v>
      </c>
      <c r="U270" s="27" t="s">
        <v>8</v>
      </c>
    </row>
    <row r="271" spans="1:36" x14ac:dyDescent="0.25">
      <c r="A271" s="30">
        <v>6.0814069427704647</v>
      </c>
      <c r="B271"/>
      <c r="C271"/>
      <c r="D271"/>
      <c r="E271" t="s">
        <v>8</v>
      </c>
      <c r="P271" s="27" t="s">
        <v>7</v>
      </c>
      <c r="Q271" s="27" t="s">
        <v>8</v>
      </c>
      <c r="S271" s="27" t="s">
        <v>8</v>
      </c>
      <c r="T271" s="27" t="s">
        <v>7</v>
      </c>
      <c r="U271" s="27" t="s">
        <v>8</v>
      </c>
    </row>
    <row r="272" spans="1:36" x14ac:dyDescent="0.25">
      <c r="A272" s="30">
        <v>5.7918161359718709</v>
      </c>
      <c r="B272"/>
      <c r="C272"/>
      <c r="D272"/>
      <c r="E272" t="s">
        <v>8</v>
      </c>
      <c r="P272" s="27" t="s">
        <v>7</v>
      </c>
      <c r="Q272" s="27" t="s">
        <v>8</v>
      </c>
      <c r="R272" s="27" t="s">
        <v>7</v>
      </c>
      <c r="S272" s="27" t="s">
        <v>8</v>
      </c>
      <c r="T272" s="27" t="s">
        <v>7</v>
      </c>
      <c r="U272" s="27" t="s">
        <v>8</v>
      </c>
    </row>
    <row r="273" spans="1:21" x14ac:dyDescent="0.25">
      <c r="A273" s="30">
        <v>5.5160153675922574</v>
      </c>
      <c r="B273"/>
      <c r="C273"/>
      <c r="D273"/>
      <c r="E273" t="s">
        <v>8</v>
      </c>
      <c r="P273" s="27" t="s">
        <v>7</v>
      </c>
      <c r="Q273" s="27" t="s">
        <v>8</v>
      </c>
      <c r="R273" s="27" t="s">
        <v>7</v>
      </c>
      <c r="S273" s="27" t="s">
        <v>8</v>
      </c>
      <c r="T273" s="27" t="s">
        <v>7</v>
      </c>
      <c r="U273" s="27" t="s">
        <v>8</v>
      </c>
    </row>
    <row r="274" spans="1:21" x14ac:dyDescent="0.25">
      <c r="A274" s="30">
        <v>5.2533479691354827</v>
      </c>
      <c r="B274"/>
      <c r="C274"/>
      <c r="D274"/>
      <c r="E274" t="s">
        <v>8</v>
      </c>
      <c r="P274" s="27" t="s">
        <v>7</v>
      </c>
      <c r="R274" s="27" t="s">
        <v>7</v>
      </c>
      <c r="T274" s="27" t="s">
        <v>7</v>
      </c>
    </row>
    <row r="275" spans="1:21" x14ac:dyDescent="0.25">
      <c r="A275" s="30">
        <v>5.0031885420337927</v>
      </c>
      <c r="B275"/>
      <c r="C275"/>
      <c r="D275"/>
      <c r="E275" t="s">
        <v>8</v>
      </c>
    </row>
    <row r="276" spans="1:21" x14ac:dyDescent="0.25">
      <c r="A276" s="30">
        <v>4.7649414686036122</v>
      </c>
      <c r="B276"/>
      <c r="C276"/>
      <c r="D276"/>
      <c r="E276" t="s">
        <v>8</v>
      </c>
    </row>
    <row r="277" spans="1:21" x14ac:dyDescent="0.25">
      <c r="A277" s="30">
        <v>4.5380394939082018</v>
      </c>
      <c r="B277"/>
      <c r="C277"/>
      <c r="D277"/>
      <c r="E277" t="s">
        <v>8</v>
      </c>
    </row>
    <row r="278" spans="1:21" x14ac:dyDescent="0.25">
      <c r="A278" s="30">
        <v>4.3219423751506678</v>
      </c>
      <c r="B278"/>
      <c r="C278"/>
      <c r="D278"/>
      <c r="E278" t="s">
        <v>8</v>
      </c>
    </row>
    <row r="279" spans="1:21" x14ac:dyDescent="0.25">
      <c r="A279" s="30">
        <v>4.1161355953815884</v>
      </c>
      <c r="B279"/>
      <c r="C279"/>
      <c r="D279"/>
      <c r="E279" t="s">
        <v>8</v>
      </c>
    </row>
    <row r="280" spans="1:21" x14ac:dyDescent="0.25">
      <c r="A280" s="30">
        <v>3.9201291384586554</v>
      </c>
      <c r="B280"/>
      <c r="C280"/>
      <c r="D280"/>
      <c r="E280" t="s">
        <v>8</v>
      </c>
    </row>
    <row r="281" spans="1:21" x14ac:dyDescent="0.25">
      <c r="A281" s="30">
        <v>3.7334563223415764</v>
      </c>
      <c r="B281"/>
      <c r="C281"/>
      <c r="D281"/>
      <c r="E281" t="s">
        <v>8</v>
      </c>
    </row>
    <row r="282" spans="1:21" x14ac:dyDescent="0.25">
      <c r="A282" s="30">
        <v>3.5556726879443583</v>
      </c>
      <c r="B282"/>
      <c r="C282"/>
      <c r="D282"/>
      <c r="E282" t="s">
        <v>8</v>
      </c>
    </row>
    <row r="283" spans="1:21" x14ac:dyDescent="0.25">
      <c r="A283" s="30">
        <v>3.3863549408993889</v>
      </c>
      <c r="B283"/>
      <c r="C283"/>
      <c r="D283"/>
      <c r="E283" t="s">
        <v>8</v>
      </c>
    </row>
    <row r="284" spans="1:21" x14ac:dyDescent="0.25">
      <c r="A284" s="30">
        <v>3.2250999437137038</v>
      </c>
      <c r="B284"/>
      <c r="C284"/>
      <c r="D284"/>
      <c r="E284" t="s">
        <v>8</v>
      </c>
    </row>
    <row r="285" spans="1:21" x14ac:dyDescent="0.25">
      <c r="A285" s="30">
        <v>3.0715237559178128</v>
      </c>
      <c r="B285"/>
      <c r="C285"/>
      <c r="D285"/>
      <c r="E285" t="s">
        <v>8</v>
      </c>
    </row>
    <row r="286" spans="1:21" x14ac:dyDescent="0.25">
      <c r="A286" s="30">
        <v>2.9252607199217264</v>
      </c>
      <c r="B286"/>
      <c r="C286"/>
      <c r="D286"/>
      <c r="E286" t="s">
        <v>8</v>
      </c>
    </row>
    <row r="287" spans="1:21" x14ac:dyDescent="0.25">
      <c r="A287" s="30">
        <v>2.7859625904016441</v>
      </c>
      <c r="B287"/>
      <c r="C287"/>
      <c r="D287"/>
      <c r="E287" t="s">
        <v>8</v>
      </c>
    </row>
    <row r="288" spans="1:21" x14ac:dyDescent="0.25">
      <c r="A288" s="30">
        <v>2.6532977051444226</v>
      </c>
      <c r="B288"/>
      <c r="C288"/>
      <c r="D288"/>
      <c r="E288" t="s">
        <v>8</v>
      </c>
    </row>
    <row r="289" spans="1:5" x14ac:dyDescent="0.25">
      <c r="A289" s="30">
        <v>2.5269501953756404</v>
      </c>
      <c r="B289"/>
      <c r="C289"/>
      <c r="D289"/>
      <c r="E289" t="s">
        <v>8</v>
      </c>
    </row>
    <row r="290" spans="1:5" x14ac:dyDescent="0.25">
      <c r="A290" s="30">
        <v>2.4066192336910861</v>
      </c>
      <c r="B290"/>
      <c r="C290"/>
      <c r="D290"/>
      <c r="E290" t="s">
        <v>8</v>
      </c>
    </row>
    <row r="291" spans="1:5" x14ac:dyDescent="0.25">
      <c r="A291" s="30">
        <v>2.2920183178010345</v>
      </c>
      <c r="B291"/>
      <c r="C291"/>
      <c r="D291"/>
      <c r="E291" t="s">
        <v>8</v>
      </c>
    </row>
    <row r="292" spans="1:5" x14ac:dyDescent="0.25">
      <c r="A292" s="30">
        <v>2.1828745883819374</v>
      </c>
      <c r="B292"/>
      <c r="C292"/>
      <c r="D292"/>
      <c r="E292" t="s">
        <v>8</v>
      </c>
    </row>
    <row r="293" spans="1:5" x14ac:dyDescent="0.25">
      <c r="A293" s="30">
        <v>2.0789281794113688</v>
      </c>
      <c r="B293"/>
      <c r="C293"/>
      <c r="D293"/>
      <c r="E293" t="s">
        <v>8</v>
      </c>
    </row>
    <row r="294" spans="1:5" x14ac:dyDescent="0.25">
      <c r="A294" s="30">
        <v>1.9799315994393987</v>
      </c>
      <c r="B294"/>
      <c r="C294"/>
      <c r="D294"/>
      <c r="E294" t="s">
        <v>8</v>
      </c>
    </row>
    <row r="295" spans="1:5" x14ac:dyDescent="0.25">
      <c r="A295" s="30">
        <v>1.8856491423232367</v>
      </c>
      <c r="B295"/>
      <c r="C295"/>
      <c r="D295"/>
      <c r="E295" t="s">
        <v>8</v>
      </c>
    </row>
    <row r="296" spans="1:5" x14ac:dyDescent="0.25">
      <c r="A296" s="30">
        <v>1.7958563260221301</v>
      </c>
      <c r="B296"/>
      <c r="C296"/>
      <c r="D296"/>
      <c r="E296" t="s">
        <v>8</v>
      </c>
    </row>
    <row r="297" spans="1:5" x14ac:dyDescent="0.25">
      <c r="A297" s="30">
        <v>1.7103393581163142</v>
      </c>
      <c r="B297"/>
      <c r="C297"/>
      <c r="D297"/>
      <c r="E297" t="s">
        <v>8</v>
      </c>
    </row>
    <row r="298" spans="1:5" x14ac:dyDescent="0.25">
      <c r="A298" s="30">
        <v>1.628894626777442</v>
      </c>
      <c r="B298"/>
      <c r="C298"/>
      <c r="D298"/>
      <c r="E298" t="s">
        <v>8</v>
      </c>
    </row>
    <row r="299" spans="1:5" x14ac:dyDescent="0.25">
      <c r="A299" s="30">
        <v>1.5513282159785162</v>
      </c>
      <c r="B299"/>
      <c r="C299"/>
      <c r="D299"/>
      <c r="E299" t="s">
        <v>8</v>
      </c>
    </row>
    <row r="300" spans="1:5" x14ac:dyDescent="0.25">
      <c r="A300" s="30">
        <v>1.477455443789063</v>
      </c>
      <c r="B300"/>
      <c r="C300"/>
      <c r="D300"/>
      <c r="E300" t="s">
        <v>8</v>
      </c>
    </row>
    <row r="301" spans="1:5" x14ac:dyDescent="0.25">
      <c r="A301" s="30">
        <v>1.4071004226562505</v>
      </c>
      <c r="B301"/>
      <c r="C301"/>
      <c r="D301"/>
      <c r="E301" t="s">
        <v>8</v>
      </c>
    </row>
    <row r="302" spans="1:5" x14ac:dyDescent="0.25">
      <c r="A302" s="30">
        <v>1.3400956406250004</v>
      </c>
      <c r="B302"/>
      <c r="C302"/>
      <c r="D302"/>
      <c r="E302" t="s">
        <v>8</v>
      </c>
    </row>
    <row r="303" spans="1:5" x14ac:dyDescent="0.25">
      <c r="A303" s="30">
        <v>1.2762815625000004</v>
      </c>
      <c r="B303"/>
      <c r="C303"/>
      <c r="D303"/>
      <c r="E303" t="s">
        <v>8</v>
      </c>
    </row>
    <row r="304" spans="1:5" x14ac:dyDescent="0.25">
      <c r="A304" s="30">
        <v>1.2155062500000002</v>
      </c>
      <c r="B304"/>
      <c r="C304"/>
      <c r="D304"/>
      <c r="E304" t="s">
        <v>8</v>
      </c>
    </row>
    <row r="305" spans="1:5" x14ac:dyDescent="0.25">
      <c r="A305" s="30">
        <v>1.1576249999999999</v>
      </c>
      <c r="B305"/>
      <c r="C305"/>
      <c r="D305"/>
      <c r="E305" t="s">
        <v>8</v>
      </c>
    </row>
    <row r="306" spans="1:5" x14ac:dyDescent="0.25">
      <c r="A306" s="30">
        <v>1.1025</v>
      </c>
      <c r="B306"/>
      <c r="C306"/>
      <c r="D306"/>
      <c r="E306" t="s">
        <v>8</v>
      </c>
    </row>
    <row r="307" spans="1:5" x14ac:dyDescent="0.25">
      <c r="A307" s="30">
        <v>1.05</v>
      </c>
      <c r="B307"/>
      <c r="C307"/>
      <c r="D307"/>
      <c r="E307" t="s">
        <v>8</v>
      </c>
    </row>
    <row r="308" spans="1:5" x14ac:dyDescent="0.25">
      <c r="A308" s="30">
        <v>1</v>
      </c>
      <c r="B308"/>
      <c r="C308"/>
      <c r="D308"/>
      <c r="E308" t="s">
        <v>8</v>
      </c>
    </row>
    <row r="309" spans="1:5" x14ac:dyDescent="0.25">
      <c r="A309" s="30">
        <v>0.952380952380952</v>
      </c>
      <c r="B309"/>
      <c r="C309"/>
      <c r="D309"/>
      <c r="E309"/>
    </row>
    <row r="310" spans="1:5" x14ac:dyDescent="0.25">
      <c r="A310" s="30">
        <v>0.90702947845804915</v>
      </c>
      <c r="B310"/>
      <c r="C310"/>
      <c r="D310"/>
      <c r="E310"/>
    </row>
    <row r="311" spans="1:5" x14ac:dyDescent="0.25">
      <c r="A311" s="30">
        <v>0.86383759853147501</v>
      </c>
      <c r="B311"/>
      <c r="C311"/>
      <c r="D311"/>
      <c r="E311"/>
    </row>
    <row r="312" spans="1:5" x14ac:dyDescent="0.25">
      <c r="A312" s="30">
        <v>0.82270247479188063</v>
      </c>
      <c r="B312"/>
      <c r="C312"/>
      <c r="D312"/>
      <c r="E312"/>
    </row>
    <row r="313" spans="1:5" x14ac:dyDescent="0.25">
      <c r="A313" s="30">
        <v>0.78352616646845741</v>
      </c>
      <c r="B313"/>
      <c r="C313"/>
      <c r="D313"/>
      <c r="E313"/>
    </row>
    <row r="314" spans="1:5" x14ac:dyDescent="0.25">
      <c r="A314" s="30">
        <v>0.74621539663662584</v>
      </c>
      <c r="B314"/>
      <c r="C314"/>
      <c r="D314"/>
      <c r="E314"/>
    </row>
    <row r="315" spans="1:5" x14ac:dyDescent="0.25">
      <c r="A315" s="30">
        <v>0.71068133013011958</v>
      </c>
      <c r="B315"/>
      <c r="C315"/>
      <c r="D315"/>
      <c r="E315"/>
    </row>
    <row r="316" spans="1:5" x14ac:dyDescent="0.25">
      <c r="A316" s="30">
        <v>0.676839362028685</v>
      </c>
      <c r="B316"/>
      <c r="C316"/>
      <c r="D316"/>
      <c r="E316"/>
    </row>
    <row r="317" spans="1:5" x14ac:dyDescent="0.25">
      <c r="A317" s="30">
        <v>0.64460891621779492</v>
      </c>
      <c r="B317"/>
      <c r="C317"/>
      <c r="D317"/>
      <c r="E317"/>
    </row>
    <row r="318" spans="1:5" x14ac:dyDescent="0.25">
      <c r="A318" s="30">
        <v>0.61391325354075688</v>
      </c>
      <c r="B318"/>
      <c r="C318"/>
      <c r="D318"/>
      <c r="E318"/>
    </row>
    <row r="319" spans="1:5" x14ac:dyDescent="0.25">
      <c r="A319" s="30">
        <v>0.58467928908643485</v>
      </c>
      <c r="B319"/>
      <c r="C319"/>
      <c r="D319"/>
      <c r="E319"/>
    </row>
    <row r="320" spans="1:5" x14ac:dyDescent="0.25">
      <c r="A320" s="30">
        <v>0.55683741817755672</v>
      </c>
      <c r="B320"/>
      <c r="C320"/>
      <c r="D320"/>
      <c r="E320"/>
    </row>
    <row r="321" spans="1:5" x14ac:dyDescent="0.25">
      <c r="A321" s="30">
        <v>0.53032135064529184</v>
      </c>
      <c r="B321"/>
      <c r="C321"/>
      <c r="D321"/>
      <c r="E321"/>
    </row>
    <row r="322" spans="1:5" x14ac:dyDescent="0.25">
      <c r="A322" s="30">
        <v>0.50506795299551588</v>
      </c>
      <c r="B322"/>
      <c r="C322"/>
      <c r="D322"/>
      <c r="E322"/>
    </row>
    <row r="323" spans="1:5" x14ac:dyDescent="0.25">
      <c r="A323" s="30">
        <v>0.48101709809096732</v>
      </c>
      <c r="B323"/>
      <c r="C323"/>
      <c r="D323"/>
      <c r="E323"/>
    </row>
    <row r="324" spans="1:5" x14ac:dyDescent="0.25">
      <c r="A324" s="30">
        <v>0.45811152199139726</v>
      </c>
      <c r="B324"/>
      <c r="C324"/>
      <c r="D324"/>
      <c r="E324"/>
    </row>
    <row r="325" spans="1:5" x14ac:dyDescent="0.25">
      <c r="A325" s="30">
        <v>0.43629668761085438</v>
      </c>
      <c r="B325"/>
      <c r="C325"/>
      <c r="D325"/>
      <c r="E325"/>
    </row>
    <row r="326" spans="1:5" x14ac:dyDescent="0.25">
      <c r="A326" s="30">
        <v>0.41552065486748019</v>
      </c>
      <c r="B326"/>
      <c r="C326"/>
      <c r="D326"/>
      <c r="E326"/>
    </row>
    <row r="327" spans="1:5" x14ac:dyDescent="0.25">
      <c r="A327" s="30">
        <v>0.39573395701664765</v>
      </c>
      <c r="B327"/>
      <c r="C327"/>
      <c r="D327"/>
      <c r="E327"/>
    </row>
    <row r="328" spans="1:5" x14ac:dyDescent="0.25">
      <c r="A328" s="30">
        <v>0.37688948287299762</v>
      </c>
      <c r="B328"/>
      <c r="C328"/>
      <c r="D328"/>
      <c r="E328"/>
    </row>
    <row r="329" spans="1:5" x14ac:dyDescent="0.25">
      <c r="A329" s="30">
        <v>0.35894236464094997</v>
      </c>
      <c r="B329"/>
      <c r="C329"/>
      <c r="D329"/>
      <c r="E329"/>
    </row>
    <row r="330" spans="1:5" x14ac:dyDescent="0.25">
      <c r="A330" s="30">
        <v>0.34184987108661891</v>
      </c>
      <c r="B330"/>
      <c r="C330"/>
      <c r="D330"/>
      <c r="E330"/>
    </row>
    <row r="331" spans="1:5" x14ac:dyDescent="0.25">
      <c r="A331" s="30">
        <v>0.32557130579677979</v>
      </c>
      <c r="B331"/>
      <c r="C331"/>
      <c r="D331"/>
      <c r="E331"/>
    </row>
    <row r="332" spans="1:5" x14ac:dyDescent="0.25">
      <c r="A332" s="30">
        <v>0.3100679102826473</v>
      </c>
      <c r="B332"/>
      <c r="C332"/>
      <c r="D332"/>
      <c r="E332"/>
    </row>
    <row r="333" spans="1:5" x14ac:dyDescent="0.25">
      <c r="A333" s="30">
        <v>0.2953027716977592</v>
      </c>
      <c r="B333"/>
      <c r="C333"/>
      <c r="D333"/>
      <c r="E333"/>
    </row>
    <row r="334" spans="1:5" x14ac:dyDescent="0.25">
      <c r="A334" s="30">
        <v>0.28124073495024676</v>
      </c>
      <c r="B334"/>
      <c r="C334"/>
      <c r="D334"/>
      <c r="E334"/>
    </row>
    <row r="335" spans="1:5" x14ac:dyDescent="0.25">
      <c r="A335" s="30">
        <v>0.26784831900023492</v>
      </c>
      <c r="B335"/>
      <c r="C335"/>
      <c r="D335"/>
      <c r="E335"/>
    </row>
    <row r="336" spans="1:5" x14ac:dyDescent="0.25">
      <c r="A336" s="30">
        <v>0.25509363714308075</v>
      </c>
      <c r="B336"/>
      <c r="C336"/>
      <c r="D336"/>
      <c r="E336"/>
    </row>
    <row r="337" spans="1:5" x14ac:dyDescent="0.25">
      <c r="A337" s="30">
        <v>0.24294632108864825</v>
      </c>
      <c r="B337"/>
      <c r="C337"/>
      <c r="D337"/>
      <c r="E337"/>
    </row>
    <row r="338" spans="1:5" x14ac:dyDescent="0.25">
      <c r="A338" s="30">
        <v>0.23137744865585538</v>
      </c>
      <c r="B338"/>
      <c r="C338"/>
      <c r="D338"/>
      <c r="E338"/>
    </row>
    <row r="339" spans="1:5" x14ac:dyDescent="0.25">
      <c r="A339" s="30">
        <v>0.22035947491033836</v>
      </c>
      <c r="B339"/>
      <c r="C339"/>
      <c r="D339"/>
      <c r="E339"/>
    </row>
    <row r="340" spans="1:5" x14ac:dyDescent="0.25">
      <c r="A340" s="30">
        <v>0.20986616658127455</v>
      </c>
      <c r="B340"/>
      <c r="C340"/>
      <c r="D340"/>
      <c r="E340"/>
    </row>
    <row r="341" spans="1:5" x14ac:dyDescent="0.25">
      <c r="A341" s="30">
        <v>0.19987253960121379</v>
      </c>
      <c r="B341"/>
      <c r="C341"/>
      <c r="D341"/>
      <c r="E341"/>
    </row>
    <row r="342" spans="1:5" x14ac:dyDescent="0.25">
      <c r="A342" s="30">
        <v>0.19035479962020352</v>
      </c>
      <c r="B342"/>
      <c r="C342"/>
      <c r="D342"/>
      <c r="E342"/>
    </row>
    <row r="343" spans="1:5" x14ac:dyDescent="0.25">
      <c r="A343" s="30">
        <v>0.18129028535257471</v>
      </c>
      <c r="B343"/>
      <c r="C343"/>
      <c r="D343"/>
      <c r="E343"/>
    </row>
    <row r="344" spans="1:5" x14ac:dyDescent="0.25">
      <c r="A344" s="30">
        <v>0.17265741462149967</v>
      </c>
      <c r="B344"/>
      <c r="C344"/>
      <c r="D344"/>
      <c r="E344"/>
    </row>
    <row r="345" spans="1:5" x14ac:dyDescent="0.25">
      <c r="A345" s="30">
        <v>0.16443563297285677</v>
      </c>
      <c r="B345"/>
      <c r="C345"/>
      <c r="D345"/>
      <c r="E345"/>
    </row>
    <row r="346" spans="1:5" x14ac:dyDescent="0.25">
      <c r="A346" s="30">
        <v>0.15660536473605399</v>
      </c>
      <c r="B346"/>
      <c r="C346"/>
      <c r="D346"/>
      <c r="E346"/>
    </row>
    <row r="347" spans="1:5" x14ac:dyDescent="0.25">
      <c r="A347" s="30">
        <v>0.14914796641528946</v>
      </c>
      <c r="B347"/>
      <c r="C347"/>
      <c r="D347"/>
      <c r="E347"/>
    </row>
    <row r="348" spans="1:5" x14ac:dyDescent="0.25">
      <c r="A348" s="30">
        <v>0.14204568230027562</v>
      </c>
      <c r="B348"/>
      <c r="C348"/>
      <c r="D348"/>
      <c r="E348"/>
    </row>
    <row r="349" spans="1:5" x14ac:dyDescent="0.25">
      <c r="A349" s="30">
        <v>0.13528160219073862</v>
      </c>
      <c r="B349"/>
      <c r="C349"/>
      <c r="D349"/>
      <c r="E349"/>
    </row>
    <row r="350" spans="1:5" x14ac:dyDescent="0.25">
      <c r="A350" s="30">
        <v>0.12883962113403674</v>
      </c>
      <c r="B350"/>
      <c r="C350"/>
      <c r="D350"/>
      <c r="E350"/>
    </row>
    <row r="351" spans="1:5" x14ac:dyDescent="0.25">
      <c r="A351" s="30">
        <v>0.12270440108003494</v>
      </c>
      <c r="B351"/>
      <c r="C351"/>
      <c r="D351"/>
      <c r="E351"/>
    </row>
    <row r="352" spans="1:5" x14ac:dyDescent="0.25">
      <c r="A352" s="30">
        <v>0.11686133436193799</v>
      </c>
      <c r="B352"/>
      <c r="C352"/>
      <c r="D352"/>
      <c r="E352"/>
    </row>
    <row r="353" spans="1:5" x14ac:dyDescent="0.25">
      <c r="A353" s="30">
        <v>0.11129650891613138</v>
      </c>
      <c r="B353"/>
      <c r="C353"/>
      <c r="D353"/>
      <c r="E353"/>
    </row>
    <row r="354" spans="1:5" x14ac:dyDescent="0.25">
      <c r="A354" s="30">
        <v>0.10599667515822032</v>
      </c>
      <c r="B354"/>
      <c r="C354"/>
      <c r="D354"/>
      <c r="E354"/>
    </row>
    <row r="355" spans="1:5" x14ac:dyDescent="0.25">
      <c r="A355" s="30">
        <v>0.10094921443640027</v>
      </c>
      <c r="B355"/>
      <c r="C355"/>
      <c r="D355"/>
      <c r="E355"/>
    </row>
    <row r="356" spans="1:5" x14ac:dyDescent="0.25">
      <c r="A356" s="30">
        <v>9.6142108987047836E-2</v>
      </c>
      <c r="B356"/>
      <c r="C356"/>
      <c r="D356"/>
      <c r="E356"/>
    </row>
    <row r="357" spans="1:5" x14ac:dyDescent="0.25">
      <c r="A357" s="30">
        <v>9.1563913320997906E-2</v>
      </c>
      <c r="B357"/>
      <c r="C357"/>
      <c r="D357"/>
      <c r="E357"/>
    </row>
    <row r="358" spans="1:5" x14ac:dyDescent="0.25">
      <c r="A358" s="30">
        <v>8.7203726972378923E-2</v>
      </c>
      <c r="B358"/>
      <c r="C358"/>
      <c r="D358"/>
      <c r="E358"/>
    </row>
    <row r="359" spans="1:5" x14ac:dyDescent="0.25">
      <c r="A359" s="30">
        <v>8.3051168545122747E-2</v>
      </c>
      <c r="B359"/>
      <c r="C359"/>
      <c r="D359"/>
      <c r="E359"/>
    </row>
    <row r="360" spans="1:5" x14ac:dyDescent="0.25">
      <c r="A360" s="30">
        <v>7.9096350995354961E-2</v>
      </c>
      <c r="B360"/>
      <c r="C360"/>
      <c r="D360"/>
      <c r="E360"/>
    </row>
    <row r="361" spans="1:5" x14ac:dyDescent="0.25">
      <c r="A361" s="30">
        <v>7.5329858090814217E-2</v>
      </c>
      <c r="B361"/>
      <c r="C361"/>
      <c r="D361"/>
      <c r="E361"/>
    </row>
    <row r="362" spans="1:5" x14ac:dyDescent="0.25">
      <c r="A362" s="30">
        <v>7.1742721991251604E-2</v>
      </c>
      <c r="B362"/>
      <c r="C362"/>
      <c r="D362"/>
      <c r="E362"/>
    </row>
    <row r="363" spans="1:5" x14ac:dyDescent="0.25">
      <c r="A363" s="30">
        <v>6.8326401896430078E-2</v>
      </c>
      <c r="B363"/>
      <c r="C363"/>
      <c r="D363"/>
      <c r="E363"/>
    </row>
    <row r="364" spans="1:5" x14ac:dyDescent="0.25">
      <c r="A364" s="30">
        <v>6.5072763710885759E-2</v>
      </c>
      <c r="B364"/>
      <c r="C364"/>
      <c r="D364"/>
      <c r="E364"/>
    </row>
    <row r="365" spans="1:5" x14ac:dyDescent="0.25">
      <c r="A365" s="30">
        <v>6.197406067703403E-2</v>
      </c>
      <c r="B365"/>
      <c r="C365"/>
      <c r="D365"/>
      <c r="E365"/>
    </row>
    <row r="366" spans="1:5" x14ac:dyDescent="0.25">
      <c r="A366" s="30">
        <v>5.9022914930508576E-2</v>
      </c>
      <c r="B366"/>
      <c r="C366"/>
      <c r="D366"/>
      <c r="E366"/>
    </row>
    <row r="367" spans="1:5" x14ac:dyDescent="0.25">
      <c r="A367" s="30">
        <v>5.6212299933817669E-2</v>
      </c>
      <c r="B367"/>
      <c r="C367"/>
      <c r="D367"/>
      <c r="E367"/>
    </row>
    <row r="368" spans="1:5" x14ac:dyDescent="0.25">
      <c r="A368" s="30">
        <v>5.3535523746492994E-2</v>
      </c>
      <c r="B368"/>
      <c r="C368"/>
      <c r="D368"/>
      <c r="E368"/>
    </row>
    <row r="369" spans="1:5" x14ac:dyDescent="0.25">
      <c r="A369" s="30">
        <v>5.0986213091898068E-2</v>
      </c>
      <c r="B369"/>
      <c r="C369"/>
      <c r="D369"/>
      <c r="E369"/>
    </row>
    <row r="370" spans="1:5" x14ac:dyDescent="0.25">
      <c r="A370" s="30">
        <v>4.8558298182760043E-2</v>
      </c>
      <c r="B370"/>
      <c r="C370"/>
      <c r="D370"/>
      <c r="E370"/>
    </row>
    <row r="371" spans="1:5" x14ac:dyDescent="0.25">
      <c r="A371" s="30">
        <v>4.6245998269295263E-2</v>
      </c>
      <c r="B371"/>
      <c r="C371"/>
      <c r="D371"/>
      <c r="E371"/>
    </row>
    <row r="372" spans="1:5" x14ac:dyDescent="0.25">
      <c r="A372" s="30">
        <v>4.4043807875519279E-2</v>
      </c>
      <c r="B372"/>
      <c r="C372"/>
      <c r="D372"/>
      <c r="E372"/>
    </row>
    <row r="373" spans="1:5" x14ac:dyDescent="0.25">
      <c r="A373" s="30">
        <v>4.1946483690970725E-2</v>
      </c>
      <c r="B373"/>
      <c r="C373"/>
      <c r="D373"/>
      <c r="E373"/>
    </row>
    <row r="374" spans="1:5" x14ac:dyDescent="0.25">
      <c r="A374" s="30">
        <v>3.9949032086638768E-2</v>
      </c>
      <c r="B374"/>
      <c r="C374"/>
      <c r="D374"/>
      <c r="E374"/>
    </row>
    <row r="375" spans="1:5" x14ac:dyDescent="0.25">
      <c r="A375" s="30">
        <v>3.8046697225370241E-2</v>
      </c>
      <c r="B375"/>
      <c r="C375"/>
      <c r="D375"/>
      <c r="E375"/>
    </row>
    <row r="376" spans="1:5" x14ac:dyDescent="0.25">
      <c r="A376" s="30">
        <v>3.6234949738447833E-2</v>
      </c>
      <c r="B376"/>
      <c r="C376"/>
      <c r="D376"/>
      <c r="E376"/>
    </row>
    <row r="377" spans="1:5" x14ac:dyDescent="0.25">
      <c r="A377" s="30">
        <v>3.4509475941378875E-2</v>
      </c>
      <c r="B377"/>
      <c r="C377"/>
      <c r="D377"/>
      <c r="E377"/>
    </row>
    <row r="378" spans="1:5" x14ac:dyDescent="0.25">
      <c r="A378" s="30">
        <v>3.286616756321796E-2</v>
      </c>
      <c r="B378"/>
      <c r="C378"/>
      <c r="D378"/>
      <c r="E378"/>
    </row>
    <row r="379" spans="1:5" x14ac:dyDescent="0.25">
      <c r="A379" s="30">
        <v>3.1301111964969472E-2</v>
      </c>
      <c r="B379"/>
      <c r="C379"/>
      <c r="D379"/>
      <c r="E379"/>
    </row>
    <row r="380" spans="1:5" x14ac:dyDescent="0.25">
      <c r="A380" s="30">
        <v>2.9810582823780438E-2</v>
      </c>
      <c r="B380"/>
      <c r="C380"/>
      <c r="D380"/>
      <c r="E380"/>
    </row>
    <row r="381" spans="1:5" x14ac:dyDescent="0.25">
      <c r="A381" s="30">
        <v>2.8391031260743264E-2</v>
      </c>
      <c r="B381"/>
      <c r="C381"/>
      <c r="D381"/>
      <c r="E381"/>
    </row>
    <row r="382" spans="1:5" x14ac:dyDescent="0.25">
      <c r="A382" s="30">
        <v>2.7039077391184052E-2</v>
      </c>
    </row>
    <row r="383" spans="1:5" x14ac:dyDescent="0.25">
      <c r="A383" s="30">
        <v>2.5751502277318133E-2</v>
      </c>
    </row>
    <row r="384" spans="1:5" x14ac:dyDescent="0.25">
      <c r="A384" s="30">
        <v>2.4525240264112496E-2</v>
      </c>
    </row>
    <row r="385" spans="1:1" x14ac:dyDescent="0.25">
      <c r="A385" s="30">
        <v>2.3357371680107129E-2</v>
      </c>
    </row>
    <row r="386" spans="1:1" x14ac:dyDescent="0.25">
      <c r="A386" s="30">
        <v>2.2245115885816305E-2</v>
      </c>
    </row>
    <row r="387" spans="1:1" x14ac:dyDescent="0.25">
      <c r="A387" s="30">
        <v>2.1185824653158377E-2</v>
      </c>
    </row>
    <row r="388" spans="1:1" x14ac:dyDescent="0.25">
      <c r="A388" s="30">
        <v>2.0176975860150829E-2</v>
      </c>
    </row>
    <row r="389" spans="1:1" x14ac:dyDescent="0.25">
      <c r="A389" s="30">
        <v>1.9216167485857926E-2</v>
      </c>
    </row>
    <row r="390" spans="1:1" x14ac:dyDescent="0.25">
      <c r="A390" s="30">
        <v>1.8301111891293256E-2</v>
      </c>
    </row>
    <row r="391" spans="1:1" x14ac:dyDescent="0.25">
      <c r="A391" s="30">
        <v>1.7429630372660238E-2</v>
      </c>
    </row>
    <row r="392" spans="1:1" x14ac:dyDescent="0.25">
      <c r="A392" s="30">
        <v>1.6599647973962125E-2</v>
      </c>
    </row>
    <row r="393" spans="1:1" x14ac:dyDescent="0.25">
      <c r="A393" s="30">
        <v>1.580918854663059E-2</v>
      </c>
    </row>
    <row r="394" spans="1:1" x14ac:dyDescent="0.25">
      <c r="A394" s="30">
        <v>1.5056370044410079E-2</v>
      </c>
    </row>
    <row r="395" spans="1:1" x14ac:dyDescent="0.25">
      <c r="A395" s="30">
        <v>1.4339400042295308E-2</v>
      </c>
    </row>
    <row r="396" spans="1:1" x14ac:dyDescent="0.25">
      <c r="A396" s="30">
        <v>1.365657146885267E-2</v>
      </c>
    </row>
    <row r="397" spans="1:1" x14ac:dyDescent="0.25">
      <c r="A397" s="30">
        <v>1.3006258541764442E-2</v>
      </c>
    </row>
    <row r="398" spans="1:1" x14ac:dyDescent="0.25">
      <c r="A398" s="30">
        <v>1.2386912896918512E-2</v>
      </c>
    </row>
    <row r="399" spans="1:1" x14ac:dyDescent="0.25">
      <c r="A399" s="30">
        <v>1.179705990182715E-2</v>
      </c>
    </row>
    <row r="400" spans="1:1" x14ac:dyDescent="0.25">
      <c r="A400" s="30">
        <v>1.1235295144597281E-2</v>
      </c>
    </row>
    <row r="401" spans="1:1" x14ac:dyDescent="0.25">
      <c r="A401" s="30">
        <v>1.0700281090092644E-2</v>
      </c>
    </row>
    <row r="402" spans="1:1" x14ac:dyDescent="0.25">
      <c r="A402" s="30">
        <v>1.0190743895326324E-2</v>
      </c>
    </row>
    <row r="403" spans="1:1" x14ac:dyDescent="0.25">
      <c r="A403" s="30">
        <v>9.7054703765012563E-3</v>
      </c>
    </row>
    <row r="404" spans="1:1" x14ac:dyDescent="0.25">
      <c r="A404" s="30">
        <v>9.2433051204773835E-3</v>
      </c>
    </row>
    <row r="405" spans="1:1" x14ac:dyDescent="0.25">
      <c r="A405" s="30">
        <v>8.8031477337879808E-3</v>
      </c>
    </row>
    <row r="406" spans="1:1" x14ac:dyDescent="0.25">
      <c r="A406" s="30">
        <v>8.3839502226552166E-3</v>
      </c>
    </row>
    <row r="407" spans="1:1" x14ac:dyDescent="0.25">
      <c r="A407" s="30">
        <v>7.9847144977668698E-3</v>
      </c>
    </row>
    <row r="408" spans="1:1" x14ac:dyDescent="0.25">
      <c r="A408" s="30">
        <v>7.6044899978732058E-3</v>
      </c>
    </row>
    <row r="409" spans="1:1" x14ac:dyDescent="0.25">
      <c r="A409" s="30">
        <v>7.2423714265459072E-3</v>
      </c>
    </row>
    <row r="410" spans="1:1" x14ac:dyDescent="0.25">
      <c r="A410" s="30">
        <v>6.8974965967103846E-3</v>
      </c>
    </row>
    <row r="411" spans="1:1" x14ac:dyDescent="0.25">
      <c r="A411" s="30">
        <v>6.5690443778194116E-3</v>
      </c>
    </row>
    <row r="412" spans="1:1" x14ac:dyDescent="0.25">
      <c r="A412" s="30">
        <v>6.2562327407803897E-3</v>
      </c>
    </row>
    <row r="413" spans="1:1" x14ac:dyDescent="0.25">
      <c r="A413" s="30">
        <v>5.9583168959813212E-3</v>
      </c>
    </row>
    <row r="414" spans="1:1" x14ac:dyDescent="0.25">
      <c r="A414" s="30">
        <v>5.6745875199822084E-3</v>
      </c>
    </row>
    <row r="415" spans="1:1" x14ac:dyDescent="0.25">
      <c r="A415" s="30">
        <v>5.4043690666497205E-3</v>
      </c>
    </row>
    <row r="416" spans="1:1" x14ac:dyDescent="0.25">
      <c r="A416" s="30">
        <v>5.1470181587140174E-3</v>
      </c>
    </row>
    <row r="417" spans="1:1" x14ac:dyDescent="0.25">
      <c r="A417" s="30">
        <v>4.9019220559181099E-3</v>
      </c>
    </row>
    <row r="418" spans="1:1" x14ac:dyDescent="0.25">
      <c r="A418" s="30">
        <v>4.6684971961124836E-3</v>
      </c>
    </row>
    <row r="419" spans="1:1" x14ac:dyDescent="0.25">
      <c r="A419" s="30">
        <v>4.4461878058214112E-3</v>
      </c>
    </row>
    <row r="420" spans="1:1" x14ac:dyDescent="0.25">
      <c r="A420" s="30">
        <v>4.2344645769727711E-3</v>
      </c>
    </row>
    <row r="421" spans="1:1" x14ac:dyDescent="0.25">
      <c r="A421" s="30">
        <v>4.0328234066407329E-3</v>
      </c>
    </row>
    <row r="422" spans="1:1" x14ac:dyDescent="0.25">
      <c r="A422" s="30">
        <v>3.8407841968006963E-3</v>
      </c>
    </row>
    <row r="423" spans="1:1" x14ac:dyDescent="0.25">
      <c r="A423" s="30">
        <v>3.6578897112387568E-3</v>
      </c>
    </row>
    <row r="424" spans="1:1" x14ac:dyDescent="0.25">
      <c r="A424" s="30">
        <v>3.4837044868940526E-3</v>
      </c>
    </row>
    <row r="425" spans="1:1" x14ac:dyDescent="0.25">
      <c r="A425" s="30">
        <v>3.3178137970419535E-3</v>
      </c>
    </row>
    <row r="426" spans="1:1" x14ac:dyDescent="0.25">
      <c r="A426" s="30">
        <v>3.1598226638494781E-3</v>
      </c>
    </row>
    <row r="427" spans="1:1" x14ac:dyDescent="0.25">
      <c r="A427" s="30">
        <v>3.0093549179518826E-3</v>
      </c>
    </row>
    <row r="428" spans="1:1" x14ac:dyDescent="0.25">
      <c r="A428" s="30">
        <v>2.8660523028113155E-3</v>
      </c>
    </row>
    <row r="429" spans="1:1" x14ac:dyDescent="0.25">
      <c r="A429" s="30">
        <v>2.7295736217250611E-3</v>
      </c>
    </row>
    <row r="430" spans="1:1" x14ac:dyDescent="0.25">
      <c r="A430" s="30">
        <v>2.5995939254524381E-3</v>
      </c>
    </row>
    <row r="431" spans="1:1" x14ac:dyDescent="0.25">
      <c r="A431" s="30">
        <v>2.4758037385261304E-3</v>
      </c>
    </row>
    <row r="432" spans="1:1" x14ac:dyDescent="0.25">
      <c r="A432" s="30">
        <v>2.3579083224058374E-3</v>
      </c>
    </row>
    <row r="433" spans="1:1" x14ac:dyDescent="0.25">
      <c r="A433" s="30">
        <v>2.245626973719844E-3</v>
      </c>
    </row>
    <row r="434" spans="1:1" x14ac:dyDescent="0.25">
      <c r="A434" s="30">
        <v>2.1386923559236601E-3</v>
      </c>
    </row>
    <row r="435" spans="1:1" x14ac:dyDescent="0.25">
      <c r="A435" s="30">
        <v>2.0368498627844375E-3</v>
      </c>
    </row>
    <row r="436" spans="1:1" x14ac:dyDescent="0.25">
      <c r="A436" s="30">
        <v>1.9398570121756541E-3</v>
      </c>
    </row>
    <row r="437" spans="1:1" x14ac:dyDescent="0.25">
      <c r="A437" s="30">
        <v>1.8474828687387174E-3</v>
      </c>
    </row>
    <row r="438" spans="1:1" x14ac:dyDescent="0.25">
      <c r="A438" s="30">
        <v>1.759507494036873E-3</v>
      </c>
    </row>
    <row r="439" spans="1:1" x14ac:dyDescent="0.25">
      <c r="A439" s="30">
        <v>1.6757214228922594E-3</v>
      </c>
    </row>
    <row r="440" spans="1:1" x14ac:dyDescent="0.25">
      <c r="A440" s="30">
        <v>1.595925164659294E-3</v>
      </c>
    </row>
    <row r="441" spans="1:1" x14ac:dyDescent="0.25">
      <c r="A441" s="30">
        <v>1.5199287282469461E-3</v>
      </c>
    </row>
    <row r="442" spans="1:1" x14ac:dyDescent="0.25">
      <c r="A442" s="30">
        <v>1.4475511697589958E-3</v>
      </c>
    </row>
    <row r="443" spans="1:1" x14ac:dyDescent="0.25">
      <c r="A443" s="30">
        <v>1.3786201616752334E-3</v>
      </c>
    </row>
    <row r="444" spans="1:1" x14ac:dyDescent="0.25">
      <c r="A444" s="30">
        <v>1.3129715825478407E-3</v>
      </c>
    </row>
    <row r="445" spans="1:1" x14ac:dyDescent="0.25">
      <c r="A445" s="30">
        <v>1.2504491262360382E-3</v>
      </c>
    </row>
    <row r="446" spans="1:1" x14ac:dyDescent="0.25">
      <c r="A446" s="30">
        <v>1.1909039297486072E-3</v>
      </c>
    </row>
    <row r="447" spans="1:1" x14ac:dyDescent="0.25">
      <c r="A447" s="30">
        <v>1.1341942188081969E-3</v>
      </c>
    </row>
    <row r="448" spans="1:1" x14ac:dyDescent="0.25">
      <c r="A448" s="30">
        <v>1.0801849702935203E-3</v>
      </c>
    </row>
    <row r="449" spans="1:1" x14ac:dyDescent="0.25">
      <c r="A449" s="30">
        <v>1.0287475907557332E-3</v>
      </c>
    </row>
    <row r="450" spans="1:1" x14ac:dyDescent="0.25">
      <c r="A450" s="30">
        <v>9.7731021121794646E-4</v>
      </c>
    </row>
    <row r="451" spans="1:1" x14ac:dyDescent="0.25">
      <c r="A451" s="30">
        <v>9.2844470065704904E-4</v>
      </c>
    </row>
    <row r="452" spans="1:1" x14ac:dyDescent="0.25">
      <c r="A452" s="30">
        <v>8.8202246562419653E-4</v>
      </c>
    </row>
    <row r="453" spans="1:1" x14ac:dyDescent="0.25">
      <c r="A453" s="30">
        <v>8.3792134234298668E-4</v>
      </c>
    </row>
    <row r="454" spans="1:1" x14ac:dyDescent="0.25">
      <c r="A454" s="30">
        <v>7.9602527522583736E-4</v>
      </c>
    </row>
    <row r="455" spans="1:1" x14ac:dyDescent="0.25">
      <c r="A455" s="30">
        <v>7.5622401146454546E-4</v>
      </c>
    </row>
    <row r="456" spans="1:1" x14ac:dyDescent="0.25">
      <c r="A456" s="30">
        <v>7.1841281089131816E-4</v>
      </c>
    </row>
    <row r="457" spans="1:1" x14ac:dyDescent="0.25">
      <c r="A457" s="30">
        <v>6.8249217034675226E-4</v>
      </c>
    </row>
    <row r="458" spans="1:1" x14ac:dyDescent="0.25">
      <c r="A458" s="30">
        <v>6.4836756182941465E-4</v>
      </c>
    </row>
    <row r="459" spans="1:1" x14ac:dyDescent="0.25">
      <c r="A459" s="30">
        <v>6.1594918373794388E-4</v>
      </c>
    </row>
    <row r="460" spans="1:1" x14ac:dyDescent="0.25">
      <c r="A460" s="30">
        <v>5.8515172455104666E-4</v>
      </c>
    </row>
    <row r="461" spans="1:1" x14ac:dyDescent="0.25">
      <c r="A461" s="30">
        <v>5.5589413832349429E-4</v>
      </c>
    </row>
    <row r="462" spans="1:1" x14ac:dyDescent="0.25">
      <c r="A462" s="30">
        <v>5.2809943140731956E-4</v>
      </c>
    </row>
    <row r="463" spans="1:1" x14ac:dyDescent="0.25">
      <c r="A463" s="30">
        <v>5.0169445983695357E-4</v>
      </c>
    </row>
    <row r="464" spans="1:1" x14ac:dyDescent="0.25">
      <c r="A464" s="30">
        <v>4.7660973684510589E-4</v>
      </c>
    </row>
    <row r="465" spans="1:1" x14ac:dyDescent="0.25">
      <c r="A465" s="30">
        <v>4.5277925000285056E-4</v>
      </c>
    </row>
    <row r="466" spans="1:1" x14ac:dyDescent="0.25">
      <c r="A466" s="30">
        <v>4.3014028750270803E-4</v>
      </c>
    </row>
    <row r="467" spans="1:1" x14ac:dyDescent="0.25">
      <c r="A467" s="30">
        <v>4.0863327312757263E-4</v>
      </c>
    </row>
    <row r="468" spans="1:1" x14ac:dyDescent="0.25">
      <c r="A468" s="30">
        <v>3.8820160947119396E-4</v>
      </c>
    </row>
    <row r="469" spans="1:1" x14ac:dyDescent="0.25">
      <c r="A469" s="30">
        <v>3.6879152899763426E-4</v>
      </c>
    </row>
    <row r="470" spans="1:1" x14ac:dyDescent="0.25">
      <c r="A470" s="30">
        <v>3.5035195254775253E-4</v>
      </c>
    </row>
    <row r="471" spans="1:1" x14ac:dyDescent="0.25">
      <c r="A471" s="30">
        <v>3.3283435492036491E-4</v>
      </c>
    </row>
    <row r="472" spans="1:1" x14ac:dyDescent="0.25">
      <c r="A472" s="30">
        <v>3.1619263717434668E-4</v>
      </c>
    </row>
    <row r="473" spans="1:1" x14ac:dyDescent="0.25">
      <c r="A473" s="30">
        <v>3.0038300531562933E-4</v>
      </c>
    </row>
    <row r="474" spans="1:1" x14ac:dyDescent="0.25">
      <c r="A474" s="30">
        <v>2.8536385504984783E-4</v>
      </c>
    </row>
    <row r="475" spans="1:1" x14ac:dyDescent="0.25">
      <c r="A475" s="30">
        <v>2.7109566229735542E-4</v>
      </c>
    </row>
    <row r="476" spans="1:1" x14ac:dyDescent="0.25">
      <c r="A476" s="30">
        <v>2.5754087918248761E-4</v>
      </c>
    </row>
    <row r="477" spans="1:1" x14ac:dyDescent="0.25">
      <c r="A477" s="30">
        <v>2.4466383522336323E-4</v>
      </c>
    </row>
    <row r="478" spans="1:1" x14ac:dyDescent="0.25">
      <c r="A478" s="30">
        <v>2.3243064346219506E-4</v>
      </c>
    </row>
    <row r="479" spans="1:1" x14ac:dyDescent="0.25">
      <c r="A479" s="30">
        <v>2.2080911128908529E-4</v>
      </c>
    </row>
    <row r="480" spans="1:1" x14ac:dyDescent="0.25">
      <c r="A480" s="30">
        <v>2.0976865572463102E-4</v>
      </c>
    </row>
    <row r="481" spans="1:1" x14ac:dyDescent="0.25">
      <c r="A481" s="30">
        <v>1.9928022293839946E-4</v>
      </c>
    </row>
    <row r="482" spans="1:1" x14ac:dyDescent="0.25">
      <c r="A482" s="30">
        <v>1.8931621179147948E-4</v>
      </c>
    </row>
    <row r="483" spans="1:1" x14ac:dyDescent="0.25">
      <c r="A483" s="30">
        <v>1.798504012019055E-4</v>
      </c>
    </row>
    <row r="484" spans="1:1" x14ac:dyDescent="0.25">
      <c r="A484" s="30">
        <v>1.7085788114181021E-4</v>
      </c>
    </row>
    <row r="485" spans="1:1" x14ac:dyDescent="0.25">
      <c r="A485" s="30">
        <v>1.623149870847197E-4</v>
      </c>
    </row>
    <row r="486" spans="1:1" x14ac:dyDescent="0.25">
      <c r="A486" s="30">
        <v>1.541992377304837E-4</v>
      </c>
    </row>
    <row r="487" spans="1:1" x14ac:dyDescent="0.25">
      <c r="A487" s="30">
        <v>1.4648927584395952E-4</v>
      </c>
    </row>
    <row r="488" spans="1:1" x14ac:dyDescent="0.25">
      <c r="A488" s="30">
        <v>1.3916481205176153E-4</v>
      </c>
    </row>
    <row r="489" spans="1:1" x14ac:dyDescent="0.25">
      <c r="A489" s="30">
        <v>1.3220657144917344E-4</v>
      </c>
    </row>
    <row r="490" spans="1:1" x14ac:dyDescent="0.25">
      <c r="A490" s="30">
        <v>1.2559624287671476E-4</v>
      </c>
    </row>
    <row r="491" spans="1:1" x14ac:dyDescent="0.25">
      <c r="A491" s="30">
        <v>1.1931643073287902E-4</v>
      </c>
    </row>
    <row r="492" spans="1:1" x14ac:dyDescent="0.25">
      <c r="A492" s="30">
        <v>1.1335060919623506E-4</v>
      </c>
    </row>
    <row r="493" spans="1:1" x14ac:dyDescent="0.25">
      <c r="A493" s="30">
        <v>1.076830787364233E-4</v>
      </c>
    </row>
    <row r="494" spans="1:1" x14ac:dyDescent="0.25">
      <c r="A494" s="30">
        <v>1.0229892479960213E-4</v>
      </c>
    </row>
    <row r="495" spans="1:1" x14ac:dyDescent="0.25">
      <c r="A495" s="30">
        <v>9.7183978559622027E-5</v>
      </c>
    </row>
    <row r="496" spans="1:1" x14ac:dyDescent="0.25">
      <c r="A496" s="30">
        <v>9.2324779631640922E-5</v>
      </c>
    </row>
    <row r="497" spans="1:1" x14ac:dyDescent="0.25">
      <c r="A497" s="30">
        <v>8.7708540650058869E-5</v>
      </c>
    </row>
    <row r="498" spans="1:1" x14ac:dyDescent="0.25">
      <c r="A498" s="30">
        <v>8.3323113617555917E-5</v>
      </c>
    </row>
    <row r="499" spans="1:1" x14ac:dyDescent="0.25">
      <c r="A499" s="30">
        <v>7.9156957936678114E-5</v>
      </c>
    </row>
    <row r="500" spans="1:1" x14ac:dyDescent="0.25">
      <c r="A500" s="30">
        <v>7.5199110039844203E-5</v>
      </c>
    </row>
    <row r="501" spans="1:1" x14ac:dyDescent="0.25">
      <c r="A501" s="30">
        <v>7.1439154537851989E-5</v>
      </c>
    </row>
    <row r="502" spans="1:1" x14ac:dyDescent="0.25">
      <c r="A502" s="30">
        <v>6.7867196810959381E-5</v>
      </c>
    </row>
    <row r="503" spans="1:1" x14ac:dyDescent="0.25">
      <c r="A503" s="30">
        <v>6.4473836970411412E-5</v>
      </c>
    </row>
    <row r="504" spans="1:1" x14ac:dyDescent="0.25">
      <c r="A504" s="30">
        <v>6.1250145121890834E-5</v>
      </c>
    </row>
    <row r="505" spans="1:1" x14ac:dyDescent="0.25">
      <c r="A505" s="30">
        <v>5.8187637865796292E-5</v>
      </c>
    </row>
    <row r="506" spans="1:1" x14ac:dyDescent="0.25">
      <c r="A506" s="30">
        <v>5.5278255972506478E-5</v>
      </c>
    </row>
    <row r="507" spans="1:1" x14ac:dyDescent="0.25">
      <c r="A507" s="30">
        <v>5.251434317388115E-5</v>
      </c>
    </row>
    <row r="508" spans="1:1" x14ac:dyDescent="0.25">
      <c r="A508" s="30">
        <v>4.9888626015187091E-5</v>
      </c>
    </row>
    <row r="509" spans="1:1" x14ac:dyDescent="0.25">
      <c r="A509" s="30">
        <v>4.7394194714427735E-5</v>
      </c>
    </row>
    <row r="510" spans="1:1" x14ac:dyDescent="0.25">
      <c r="A510" s="30">
        <v>4.5024484978706345E-5</v>
      </c>
    </row>
    <row r="511" spans="1:1" x14ac:dyDescent="0.25">
      <c r="A511" s="30">
        <v>4.2773260729771024E-5</v>
      </c>
    </row>
    <row r="512" spans="1:1" x14ac:dyDescent="0.25">
      <c r="A512" s="30">
        <v>4.0634597693282472E-5</v>
      </c>
    </row>
    <row r="513" spans="1:1" x14ac:dyDescent="0.25">
      <c r="A513" s="30">
        <v>3.8602867808618349E-5</v>
      </c>
    </row>
    <row r="514" spans="1:1" x14ac:dyDescent="0.25">
      <c r="A514" s="30">
        <v>3.6672724418187428E-5</v>
      </c>
    </row>
    <row r="515" spans="1:1" x14ac:dyDescent="0.25">
      <c r="A515" s="30">
        <v>3.4839088197278057E-5</v>
      </c>
    </row>
    <row r="516" spans="1:1" x14ac:dyDescent="0.25">
      <c r="A516" s="30">
        <v>3.3097133787414149E-5</v>
      </c>
    </row>
    <row r="517" spans="1:1" x14ac:dyDescent="0.25">
      <c r="A517" s="30">
        <v>3.1442277098043439E-5</v>
      </c>
    </row>
    <row r="518" spans="1:1" x14ac:dyDescent="0.25">
      <c r="A518" s="30">
        <v>2.9870163243141264E-5</v>
      </c>
    </row>
    <row r="519" spans="1:1" x14ac:dyDescent="0.25">
      <c r="A519" s="30">
        <v>2.8376655080984199E-5</v>
      </c>
    </row>
    <row r="520" spans="1:1" x14ac:dyDescent="0.25">
      <c r="A520" s="30">
        <v>2.6957822326934987E-5</v>
      </c>
    </row>
    <row r="521" spans="1:1" x14ac:dyDescent="0.25">
      <c r="A521" s="30">
        <v>2.5609931210588235E-5</v>
      </c>
    </row>
    <row r="522" spans="1:1" x14ac:dyDescent="0.25">
      <c r="A522" s="30">
        <v>2.4329434650058821E-5</v>
      </c>
    </row>
    <row r="523" spans="1:1" x14ac:dyDescent="0.25">
      <c r="A523" s="30">
        <v>2.311296291755588E-5</v>
      </c>
    </row>
    <row r="524" spans="1:1" x14ac:dyDescent="0.25">
      <c r="A524" s="30">
        <v>2.1957314771678086E-5</v>
      </c>
    </row>
    <row r="525" spans="1:1" x14ac:dyDescent="0.25">
      <c r="A525" s="30">
        <v>2.085944903309418E-5</v>
      </c>
    </row>
    <row r="526" spans="1:1" x14ac:dyDescent="0.25">
      <c r="A526" s="30">
        <v>1.9816476581439472E-5</v>
      </c>
    </row>
    <row r="527" spans="1:1" x14ac:dyDescent="0.25">
      <c r="A527" s="30">
        <v>1.8825652752367499E-5</v>
      </c>
    </row>
    <row r="528" spans="1:1" x14ac:dyDescent="0.25">
      <c r="A528" s="30">
        <v>1.7884370114749124E-5</v>
      </c>
    </row>
    <row r="529" spans="1:1" x14ac:dyDescent="0.25">
      <c r="A529" s="30">
        <v>1.6990151609011666E-5</v>
      </c>
    </row>
    <row r="530" spans="1:1" x14ac:dyDescent="0.25">
      <c r="A530" s="30">
        <v>1.6140644028561083E-5</v>
      </c>
    </row>
    <row r="531" spans="1:1" x14ac:dyDescent="0.25">
      <c r="A531" s="30">
        <v>1.5333611827133028E-5</v>
      </c>
    </row>
    <row r="532" spans="1:1" x14ac:dyDescent="0.25">
      <c r="A532" s="30">
        <v>1.4566931235776375E-5</v>
      </c>
    </row>
    <row r="533" spans="1:1" x14ac:dyDescent="0.25">
      <c r="A533" s="30">
        <v>1.3838584673987556E-5</v>
      </c>
    </row>
    <row r="534" spans="1:1" x14ac:dyDescent="0.25">
      <c r="A534" s="30">
        <v>1.3146655440288178E-5</v>
      </c>
    </row>
    <row r="535" spans="1:1" x14ac:dyDescent="0.25">
      <c r="A535" s="30">
        <v>1.2489322668273768E-5</v>
      </c>
    </row>
    <row r="536" spans="1:1" x14ac:dyDescent="0.25">
      <c r="A536" s="30">
        <v>1.186485653486008E-5</v>
      </c>
    </row>
    <row r="537" spans="1:1" x14ac:dyDescent="0.25">
      <c r="A537" s="30">
        <v>1.1271613708117075E-5</v>
      </c>
    </row>
    <row r="538" spans="1:1" x14ac:dyDescent="0.25">
      <c r="A538" s="30">
        <v>1.0708033022711222E-5</v>
      </c>
    </row>
    <row r="539" spans="1:1" x14ac:dyDescent="0.25">
      <c r="A539" s="30">
        <v>1.0172631371575661E-5</v>
      </c>
    </row>
    <row r="540" spans="1:1" x14ac:dyDescent="0.25">
      <c r="A540" s="30">
        <v>9.6639998029968765E-6</v>
      </c>
    </row>
    <row r="541" spans="1:1" x14ac:dyDescent="0.25">
      <c r="A541" s="30">
        <v>9.1807998128470321E-6</v>
      </c>
    </row>
    <row r="542" spans="1:1" x14ac:dyDescent="0.25">
      <c r="A542" s="30">
        <v>8.7217598222046798E-6</v>
      </c>
    </row>
    <row r="543" spans="1:1" x14ac:dyDescent="0.25">
      <c r="A543" s="30">
        <v>8.2856718310944451E-6</v>
      </c>
    </row>
    <row r="544" spans="1:1" x14ac:dyDescent="0.25">
      <c r="A544" s="30">
        <v>7.8713882395397226E-6</v>
      </c>
    </row>
    <row r="545" spans="1:1" x14ac:dyDescent="0.25">
      <c r="A545" s="30">
        <v>7.4778188275627361E-6</v>
      </c>
    </row>
    <row r="546" spans="1:1" x14ac:dyDescent="0.25">
      <c r="A546" s="30">
        <v>7.1039278861845986E-6</v>
      </c>
    </row>
    <row r="547" spans="1:1" x14ac:dyDescent="0.25">
      <c r="A547" s="30">
        <v>6.7487314918753682E-6</v>
      </c>
    </row>
    <row r="548" spans="1:1" x14ac:dyDescent="0.25">
      <c r="A548" s="30">
        <v>6.4112949172815995E-6</v>
      </c>
    </row>
    <row r="549" spans="1:1" x14ac:dyDescent="0.25">
      <c r="A549" s="30">
        <v>6.0907301714175189E-6</v>
      </c>
    </row>
    <row r="550" spans="1:1" x14ac:dyDescent="0.25">
      <c r="A550" s="30">
        <v>5.7861936628466423E-6</v>
      </c>
    </row>
    <row r="551" spans="1:1" x14ac:dyDescent="0.25">
      <c r="A551" s="30">
        <v>5.4968839797043099E-6</v>
      </c>
    </row>
    <row r="552" spans="1:1" x14ac:dyDescent="0.25">
      <c r="A552" s="30">
        <v>5.2220397807190937E-6</v>
      </c>
    </row>
    <row r="553" spans="1:1" x14ac:dyDescent="0.25">
      <c r="A553" s="30">
        <v>4.9609377916831386E-6</v>
      </c>
    </row>
    <row r="554" spans="1:1" x14ac:dyDescent="0.25">
      <c r="A554" s="30">
        <v>4.7128909020989814E-6</v>
      </c>
    </row>
    <row r="555" spans="1:1" x14ac:dyDescent="0.25">
      <c r="A555" s="30">
        <v>4.4772463569940322E-6</v>
      </c>
    </row>
    <row r="556" spans="1:1" x14ac:dyDescent="0.25">
      <c r="A556" s="30">
        <v>4.2533840391443302E-6</v>
      </c>
    </row>
    <row r="557" spans="1:1" x14ac:dyDescent="0.25">
      <c r="A557" s="30">
        <v>4.0407148371871134E-6</v>
      </c>
    </row>
    <row r="558" spans="1:1" x14ac:dyDescent="0.25">
      <c r="A558" s="30">
        <v>3.838679095327758E-6</v>
      </c>
    </row>
    <row r="559" spans="1:1" x14ac:dyDescent="0.25">
      <c r="A559" s="30">
        <v>3.6467451405613698E-6</v>
      </c>
    </row>
    <row r="560" spans="1:1" x14ac:dyDescent="0.25">
      <c r="A560" s="30">
        <v>3.464407883533301E-6</v>
      </c>
    </row>
    <row r="561" spans="1:1" x14ac:dyDescent="0.25">
      <c r="A561" s="30">
        <v>3.2911874893566358E-6</v>
      </c>
    </row>
    <row r="562" spans="1:1" x14ac:dyDescent="0.25">
      <c r="A562" s="30">
        <v>3.1266281148888039E-6</v>
      </c>
    </row>
    <row r="563" spans="1:1" x14ac:dyDescent="0.25">
      <c r="A563" s="30">
        <v>2.9702967091443636E-6</v>
      </c>
    </row>
    <row r="564" spans="1:1" x14ac:dyDescent="0.25">
      <c r="A564" s="30">
        <v>2.8217818736871453E-6</v>
      </c>
    </row>
    <row r="565" spans="1:1" x14ac:dyDescent="0.25">
      <c r="A565" s="30">
        <v>2.6806927800027881E-6</v>
      </c>
    </row>
    <row r="566" spans="1:1" x14ac:dyDescent="0.25">
      <c r="A566" s="30">
        <v>2.5466581410026485E-6</v>
      </c>
    </row>
    <row r="567" spans="1:1" x14ac:dyDescent="0.25">
      <c r="A567" s="30">
        <v>2.4193252339525159E-6</v>
      </c>
    </row>
    <row r="568" spans="1:1" x14ac:dyDescent="0.25">
      <c r="A568" s="30">
        <v>2.2983589722548901E-6</v>
      </c>
    </row>
    <row r="569" spans="1:1" x14ac:dyDescent="0.25">
      <c r="A569" s="30">
        <v>2.1834410236421454E-6</v>
      </c>
    </row>
    <row r="570" spans="1:1" x14ac:dyDescent="0.25">
      <c r="A570" s="30">
        <v>2.0742689724600379E-6</v>
      </c>
    </row>
    <row r="571" spans="1:1" x14ac:dyDescent="0.25">
      <c r="A571" s="30">
        <v>1.9705555238370358E-6</v>
      </c>
    </row>
    <row r="572" spans="1:1" x14ac:dyDescent="0.25">
      <c r="A572" s="30">
        <v>1.8720277476451839E-6</v>
      </c>
    </row>
    <row r="573" spans="1:1" x14ac:dyDescent="0.25">
      <c r="A573" s="30">
        <v>1.7784263602629246E-6</v>
      </c>
    </row>
    <row r="574" spans="1:1" x14ac:dyDescent="0.25">
      <c r="A574" s="30">
        <v>1.6895050422497783E-6</v>
      </c>
    </row>
    <row r="575" spans="1:1" x14ac:dyDescent="0.25">
      <c r="A575" s="30">
        <v>1.6050297901372894E-6</v>
      </c>
    </row>
    <row r="576" spans="1:1" x14ac:dyDescent="0.25">
      <c r="A576" s="30">
        <v>1.5247783006304249E-6</v>
      </c>
    </row>
    <row r="577" spans="1:1" x14ac:dyDescent="0.25">
      <c r="A577" s="30">
        <v>1.4485393855989036E-6</v>
      </c>
    </row>
    <row r="578" spans="1:1" x14ac:dyDescent="0.25">
      <c r="A578" s="30">
        <v>1.3761124163189583E-6</v>
      </c>
    </row>
    <row r="579" spans="1:1" x14ac:dyDescent="0.25">
      <c r="A579" s="30">
        <v>1.3073067955030102E-6</v>
      </c>
    </row>
    <row r="580" spans="1:1" x14ac:dyDescent="0.25">
      <c r="A580" s="30">
        <v>1.2419414557278597E-6</v>
      </c>
    </row>
    <row r="581" spans="1:1" x14ac:dyDescent="0.25">
      <c r="A581" s="30">
        <v>1.1798443829414667E-6</v>
      </c>
    </row>
    <row r="582" spans="1:1" x14ac:dyDescent="0.25">
      <c r="A582" s="30">
        <v>1.1208521637943934E-6</v>
      </c>
    </row>
    <row r="583" spans="1:1" x14ac:dyDescent="0.25">
      <c r="A583" s="30">
        <v>1.0648095556046737E-6</v>
      </c>
    </row>
    <row r="584" spans="1:1" x14ac:dyDescent="0.25">
      <c r="A584" s="30">
        <v>1.01156907782444E-6</v>
      </c>
    </row>
    <row r="585" spans="1:1" x14ac:dyDescent="0.25">
      <c r="A585" s="30">
        <v>9.6099062393321788E-7</v>
      </c>
    </row>
    <row r="586" spans="1:1" x14ac:dyDescent="0.25">
      <c r="A586" s="30">
        <v>9.1294109273655694E-7</v>
      </c>
    </row>
    <row r="587" spans="1:1" x14ac:dyDescent="0.25">
      <c r="A587" s="30">
        <v>8.6729403809972904E-7</v>
      </c>
    </row>
    <row r="588" spans="1:1" x14ac:dyDescent="0.25">
      <c r="A588" s="30">
        <v>8.2392933619474258E-7</v>
      </c>
    </row>
    <row r="589" spans="1:1" x14ac:dyDescent="0.25">
      <c r="A589" s="30">
        <v>7.8273286938500543E-7</v>
      </c>
    </row>
    <row r="590" spans="1:1" x14ac:dyDescent="0.25">
      <c r="A590" s="30">
        <v>7.4359622591575509E-7</v>
      </c>
    </row>
    <row r="591" spans="1:1" x14ac:dyDescent="0.25">
      <c r="A591" s="30">
        <v>7.064164146199673E-7</v>
      </c>
    </row>
    <row r="592" spans="1:1" x14ac:dyDescent="0.25">
      <c r="A592" s="30">
        <v>6.7109559388896894E-7</v>
      </c>
    </row>
    <row r="593" spans="1:1" x14ac:dyDescent="0.25">
      <c r="A593" s="30">
        <v>6.3754081419452045E-7</v>
      </c>
    </row>
    <row r="594" spans="1:1" x14ac:dyDescent="0.25">
      <c r="A594" s="30">
        <v>6.056637734847944E-7</v>
      </c>
    </row>
    <row r="595" spans="1:1" x14ac:dyDescent="0.25">
      <c r="A595" s="30">
        <v>5.7538058481055464E-7</v>
      </c>
    </row>
    <row r="596" spans="1:1" x14ac:dyDescent="0.25">
      <c r="A596" s="30">
        <v>5.4661155557002689E-7</v>
      </c>
    </row>
    <row r="597" spans="1:1" x14ac:dyDescent="0.25">
      <c r="A597" s="30">
        <v>5.1928097779152547E-7</v>
      </c>
    </row>
    <row r="598" spans="1:1" x14ac:dyDescent="0.25">
      <c r="A598" s="30">
        <v>4.9331692890194916E-7</v>
      </c>
    </row>
    <row r="599" spans="1:1" x14ac:dyDescent="0.25">
      <c r="A599" s="30">
        <v>4.6865108245685168E-7</v>
      </c>
    </row>
    <row r="600" spans="1:1" x14ac:dyDescent="0.25">
      <c r="A600" s="30">
        <v>4.4521852833400909E-7</v>
      </c>
    </row>
    <row r="601" spans="1:1" x14ac:dyDescent="0.25">
      <c r="A601" s="30">
        <v>4.2295760191730863E-7</v>
      </c>
    </row>
    <row r="602" spans="1:1" x14ac:dyDescent="0.25">
      <c r="A602" s="30">
        <v>4.018097218214432E-7</v>
      </c>
    </row>
    <row r="603" spans="1:1" x14ac:dyDescent="0.25">
      <c r="A603" s="30">
        <v>3.8171923573037103E-7</v>
      </c>
    </row>
    <row r="604" spans="1:1" x14ac:dyDescent="0.25">
      <c r="A604" s="30">
        <v>3.6263327394385244E-7</v>
      </c>
    </row>
    <row r="605" spans="1:1" x14ac:dyDescent="0.25">
      <c r="A605" s="30">
        <v>3.4450161024665982E-7</v>
      </c>
    </row>
    <row r="606" spans="1:1" x14ac:dyDescent="0.25">
      <c r="A606" s="30">
        <v>3.2727652973432681E-7</v>
      </c>
    </row>
    <row r="607" spans="1:1" x14ac:dyDescent="0.25">
      <c r="A607" s="30">
        <v>3.1091270324761048E-7</v>
      </c>
    </row>
    <row r="608" spans="1:1" x14ac:dyDescent="0.25">
      <c r="A608" s="30">
        <v>2.9536706808522992E-7</v>
      </c>
    </row>
    <row r="609" spans="1:1" x14ac:dyDescent="0.25">
      <c r="A609" s="30">
        <v>2.8059871468096844E-7</v>
      </c>
    </row>
    <row r="610" spans="1:1" x14ac:dyDescent="0.25">
      <c r="A610" s="30">
        <v>2.6656877894691999E-7</v>
      </c>
    </row>
    <row r="611" spans="1:1" x14ac:dyDescent="0.25">
      <c r="A611" s="30">
        <v>2.5324033999957397E-7</v>
      </c>
    </row>
    <row r="612" spans="1:1" x14ac:dyDescent="0.25">
      <c r="A612" s="30">
        <v>2.4057832299959528E-7</v>
      </c>
    </row>
    <row r="613" spans="1:1" x14ac:dyDescent="0.25">
      <c r="A613" s="30">
        <v>2.2854940684961551E-7</v>
      </c>
    </row>
    <row r="614" spans="1:1" x14ac:dyDescent="0.25">
      <c r="A614" s="30">
        <v>2.1712193650713473E-7</v>
      </c>
    </row>
    <row r="615" spans="1:1" x14ac:dyDescent="0.25">
      <c r="A615" s="30">
        <v>2.0626583968177798E-7</v>
      </c>
    </row>
    <row r="616" spans="1:1" x14ac:dyDescent="0.25">
      <c r="A616" s="30">
        <v>1.9595254769768908E-7</v>
      </c>
    </row>
    <row r="617" spans="1:1" x14ac:dyDescent="0.25">
      <c r="A617" s="30">
        <v>1.8615492031280462E-7</v>
      </c>
    </row>
    <row r="618" spans="1:1" x14ac:dyDescent="0.25">
      <c r="A618" s="30">
        <v>1.7684717429716437E-7</v>
      </c>
    </row>
    <row r="619" spans="1:1" x14ac:dyDescent="0.25">
      <c r="A619" s="30">
        <v>1.6800481558230616E-7</v>
      </c>
    </row>
    <row r="620" spans="1:1" x14ac:dyDescent="0.25">
      <c r="A620" s="30">
        <v>1.5960457480319083E-7</v>
      </c>
    </row>
    <row r="621" spans="1:1" x14ac:dyDescent="0.25">
      <c r="A621" s="30">
        <v>1.5162434606303129E-7</v>
      </c>
    </row>
    <row r="622" spans="1:1" x14ac:dyDescent="0.25">
      <c r="A622" s="30">
        <v>1.4404312875987972E-7</v>
      </c>
    </row>
    <row r="623" spans="1:1" x14ac:dyDescent="0.25">
      <c r="A623" s="30">
        <v>1.3684097232188573E-7</v>
      </c>
    </row>
    <row r="624" spans="1:1" x14ac:dyDescent="0.25">
      <c r="A624" s="30">
        <v>1.2999892370579143E-7</v>
      </c>
    </row>
    <row r="625" spans="1:1" x14ac:dyDescent="0.25">
      <c r="A625" s="30">
        <v>1.2349897752050186E-7</v>
      </c>
    </row>
    <row r="626" spans="1:1" x14ac:dyDescent="0.25">
      <c r="A626" s="30">
        <v>1.1732402864447677E-7</v>
      </c>
    </row>
    <row r="627" spans="1:1" x14ac:dyDescent="0.25">
      <c r="A627" s="30">
        <v>1.1145782721225292E-7</v>
      </c>
    </row>
    <row r="628" spans="1:1" x14ac:dyDescent="0.25">
      <c r="A628" s="30">
        <v>1.0588493585164026E-7</v>
      </c>
    </row>
    <row r="629" spans="1:1" x14ac:dyDescent="0.25">
      <c r="A629" s="30">
        <v>1.0059068905905825E-7</v>
      </c>
    </row>
    <row r="630" spans="1:1" x14ac:dyDescent="0.25">
      <c r="A630" s="30">
        <v>9.5561154606105325E-8</v>
      </c>
    </row>
    <row r="631" spans="1:1" x14ac:dyDescent="0.25">
      <c r="A631" s="30">
        <v>9.0783096875800056E-8</v>
      </c>
    </row>
    <row r="632" spans="1:1" x14ac:dyDescent="0.25">
      <c r="A632" s="30">
        <v>8.6243942032010053E-8</v>
      </c>
    </row>
    <row r="633" spans="1:1" x14ac:dyDescent="0.25">
      <c r="A633" s="30">
        <v>8.1931744930409543E-8</v>
      </c>
    </row>
    <row r="634" spans="1:1" x14ac:dyDescent="0.25">
      <c r="A634" s="30">
        <v>7.7835157683889064E-8</v>
      </c>
    </row>
    <row r="635" spans="1:1" x14ac:dyDescent="0.25">
      <c r="A635" s="30">
        <v>7.3943399799694612E-8</v>
      </c>
    </row>
    <row r="636" spans="1:1" x14ac:dyDescent="0.25">
      <c r="A636" s="30">
        <v>7.0246229809709872E-8</v>
      </c>
    </row>
    <row r="637" spans="1:1" x14ac:dyDescent="0.25">
      <c r="A637" s="30">
        <v>6.6733918319224378E-8</v>
      </c>
    </row>
    <row r="638" spans="1:1" x14ac:dyDescent="0.25">
      <c r="A638" s="30">
        <v>6.3397222403263155E-8</v>
      </c>
    </row>
    <row r="639" spans="1:1" x14ac:dyDescent="0.25">
      <c r="A639" s="30">
        <v>6.0227361283099997E-8</v>
      </c>
    </row>
    <row r="640" spans="1:1" x14ac:dyDescent="0.25">
      <c r="A640" s="30">
        <v>5.7215993218944996E-8</v>
      </c>
    </row>
    <row r="641" spans="1:1" x14ac:dyDescent="0.25">
      <c r="A641" s="30">
        <v>5.4355193557997742E-8</v>
      </c>
    </row>
    <row r="642" spans="1:1" x14ac:dyDescent="0.25">
      <c r="A642" s="30">
        <v>5.1637433880097855E-8</v>
      </c>
    </row>
    <row r="643" spans="1:1" x14ac:dyDescent="0.25">
      <c r="A643" s="30">
        <v>4.9055562186092959E-8</v>
      </c>
    </row>
    <row r="644" spans="1:1" x14ac:dyDescent="0.25">
      <c r="A644" s="30">
        <v>4.6602784076788309E-8</v>
      </c>
    </row>
    <row r="645" spans="1:1" x14ac:dyDescent="0.25">
      <c r="A645" s="30">
        <v>4.4272644872948894E-8</v>
      </c>
    </row>
    <row r="646" spans="1:1" x14ac:dyDescent="0.25">
      <c r="A646" s="30">
        <v>4.2059012629301451E-8</v>
      </c>
    </row>
    <row r="647" spans="1:1" x14ac:dyDescent="0.25">
      <c r="A647" s="30">
        <v>3.9956061997836377E-8</v>
      </c>
    </row>
    <row r="648" spans="1:1" x14ac:dyDescent="0.25">
      <c r="A648" s="30">
        <v>3.7958258897944555E-8</v>
      </c>
    </row>
    <row r="649" spans="1:1" x14ac:dyDescent="0.25">
      <c r="A649" s="30">
        <v>3.6060345953047327E-8</v>
      </c>
    </row>
    <row r="650" spans="1:1" x14ac:dyDescent="0.25">
      <c r="A650" s="30">
        <v>3.4257328655394958E-8</v>
      </c>
    </row>
    <row r="651" spans="1:1" x14ac:dyDescent="0.25">
      <c r="A651" s="30">
        <v>3.2544462222625211E-8</v>
      </c>
    </row>
    <row r="652" spans="1:1" x14ac:dyDescent="0.25">
      <c r="A652" s="30">
        <v>3.0917239111493953E-8</v>
      </c>
    </row>
    <row r="653" spans="1:1" x14ac:dyDescent="0.25">
      <c r="A653" s="30">
        <v>2.9371377155919254E-8</v>
      </c>
    </row>
    <row r="654" spans="1:1" x14ac:dyDescent="0.25">
      <c r="A654" s="30">
        <v>2.7902808298123291E-8</v>
      </c>
    </row>
    <row r="655" spans="1:1" x14ac:dyDescent="0.25">
      <c r="A655" s="30">
        <v>2.6507667883217124E-8</v>
      </c>
    </row>
    <row r="656" spans="1:1" x14ac:dyDescent="0.25">
      <c r="A656" s="30">
        <v>2.5182284489056268E-8</v>
      </c>
    </row>
    <row r="657" spans="1:1" x14ac:dyDescent="0.25">
      <c r="A657" s="30">
        <v>2.3923170264603454E-8</v>
      </c>
    </row>
    <row r="658" spans="1:1" x14ac:dyDescent="0.25">
      <c r="A658" s="30">
        <v>2.2727011751373281E-8</v>
      </c>
    </row>
    <row r="659" spans="1:1" x14ac:dyDescent="0.25">
      <c r="A659" s="30">
        <v>2.1590661163804617E-8</v>
      </c>
    </row>
    <row r="660" spans="1:1" x14ac:dyDescent="0.25">
      <c r="A660" s="30">
        <v>2.0511128105614386E-8</v>
      </c>
    </row>
    <row r="661" spans="1:1" x14ac:dyDescent="0.25">
      <c r="A661" s="30">
        <v>1.9485571700333666E-8</v>
      </c>
    </row>
    <row r="662" spans="1:1" x14ac:dyDescent="0.25">
      <c r="A662" s="30">
        <v>1.8511293115316981E-8</v>
      </c>
    </row>
    <row r="663" spans="1:1" x14ac:dyDescent="0.25">
      <c r="A663" s="30">
        <v>1.758572845955113E-8</v>
      </c>
    </row>
    <row r="664" spans="1:1" x14ac:dyDescent="0.25">
      <c r="A664" s="30">
        <v>1.6706442036573572E-8</v>
      </c>
    </row>
    <row r="665" spans="1:1" x14ac:dyDescent="0.25">
      <c r="A665" s="30">
        <v>1.5871119934744892E-8</v>
      </c>
    </row>
    <row r="666" spans="1:1" x14ac:dyDescent="0.25">
      <c r="A666" s="30">
        <v>1.5077563938007645E-8</v>
      </c>
    </row>
    <row r="667" spans="1:1" x14ac:dyDescent="0.25">
      <c r="A667" s="30">
        <v>1.4323685741107262E-8</v>
      </c>
    </row>
    <row r="668" spans="1:1" x14ac:dyDescent="0.25">
      <c r="A668" s="30">
        <v>1.3607501454051899E-8</v>
      </c>
    </row>
    <row r="669" spans="1:1" x14ac:dyDescent="0.25">
      <c r="A669" s="30">
        <v>1.2927126381349303E-8</v>
      </c>
    </row>
    <row r="670" spans="1:1" x14ac:dyDescent="0.25">
      <c r="A670" s="30">
        <v>1.2280770062281838E-8</v>
      </c>
    </row>
    <row r="671" spans="1:1" x14ac:dyDescent="0.25">
      <c r="A671" s="30">
        <v>1.1666731559167746E-8</v>
      </c>
    </row>
    <row r="672" spans="1:1" x14ac:dyDescent="0.25">
      <c r="A672" s="30">
        <v>1.1083394981209357E-8</v>
      </c>
    </row>
    <row r="673" spans="1:1" x14ac:dyDescent="0.25">
      <c r="A673" s="30">
        <v>1.0529225232148889E-8</v>
      </c>
    </row>
    <row r="674" spans="1:1" x14ac:dyDescent="0.25">
      <c r="A674" s="30">
        <v>1.0002763970541444E-8</v>
      </c>
    </row>
    <row r="675" spans="1:1" x14ac:dyDescent="0.25">
      <c r="A675" s="30">
        <v>9.5026257720143712E-9</v>
      </c>
    </row>
    <row r="676" spans="1:1" x14ac:dyDescent="0.25">
      <c r="A676" s="30">
        <v>9.0274944834136515E-9</v>
      </c>
    </row>
    <row r="677" spans="1:1" x14ac:dyDescent="0.25">
      <c r="A677" s="30">
        <v>8.5761197592429686E-9</v>
      </c>
    </row>
    <row r="678" spans="1:1" x14ac:dyDescent="0.25">
      <c r="A678" s="30">
        <v>8.1473137712808194E-9</v>
      </c>
    </row>
    <row r="679" spans="1:1" x14ac:dyDescent="0.25">
      <c r="A679" s="30">
        <v>7.7399480827167776E-9</v>
      </c>
    </row>
    <row r="680" spans="1:1" x14ac:dyDescent="0.25">
      <c r="A680" s="30">
        <v>7.3529506785809386E-9</v>
      </c>
    </row>
    <row r="681" spans="1:1" x14ac:dyDescent="0.25">
      <c r="A681" s="30">
        <v>6.9853031446518911E-9</v>
      </c>
    </row>
    <row r="682" spans="1:1" x14ac:dyDescent="0.25">
      <c r="A682" s="30">
        <v>6.6360379874192963E-9</v>
      </c>
    </row>
    <row r="683" spans="1:1" x14ac:dyDescent="0.25">
      <c r="A683" s="30">
        <v>6.3042360880483309E-9</v>
      </c>
    </row>
    <row r="684" spans="1:1" x14ac:dyDescent="0.25">
      <c r="A684" s="30">
        <v>5.989024283645914E-9</v>
      </c>
    </row>
    <row r="685" spans="1:1" x14ac:dyDescent="0.25">
      <c r="A685" s="30">
        <v>5.6895730694636181E-9</v>
      </c>
    </row>
    <row r="686" spans="1:1" x14ac:dyDescent="0.25">
      <c r="A686" s="30">
        <v>5.4050944159904366E-9</v>
      </c>
    </row>
    <row r="687" spans="1:1" x14ac:dyDescent="0.25">
      <c r="A687" s="30">
        <v>5.1348396951909145E-9</v>
      </c>
    </row>
    <row r="688" spans="1:1" x14ac:dyDescent="0.25">
      <c r="A688" s="30">
        <v>4.8780977104313684E-9</v>
      </c>
    </row>
    <row r="689" spans="1:1" x14ac:dyDescent="0.25">
      <c r="A689" s="30">
        <v>4.6341928249097994E-9</v>
      </c>
    </row>
    <row r="690" spans="1:1" x14ac:dyDescent="0.25">
      <c r="A690" s="30">
        <v>4.4024831836643092E-9</v>
      </c>
    </row>
    <row r="691" spans="1:1" x14ac:dyDescent="0.25">
      <c r="A691" s="30">
        <v>4.1823590244810936E-9</v>
      </c>
    </row>
    <row r="692" spans="1:1" x14ac:dyDescent="0.25">
      <c r="A692" s="30">
        <v>3.9732410732570384E-9</v>
      </c>
    </row>
    <row r="693" spans="1:1" x14ac:dyDescent="0.25">
      <c r="A693" s="30">
        <v>3.7745790195941862E-9</v>
      </c>
    </row>
    <row r="694" spans="1:1" x14ac:dyDescent="0.25">
      <c r="A694" s="30">
        <v>3.5858500686144767E-9</v>
      </c>
    </row>
    <row r="695" spans="1:1" x14ac:dyDescent="0.25">
      <c r="A695" s="30">
        <v>3.4065575651837529E-9</v>
      </c>
    </row>
    <row r="696" spans="1:1" x14ac:dyDescent="0.25">
      <c r="A696" s="30">
        <v>3.236229686924565E-9</v>
      </c>
    </row>
    <row r="697" spans="1:1" x14ac:dyDescent="0.25">
      <c r="A697" s="30">
        <v>3.0744182025783365E-9</v>
      </c>
    </row>
    <row r="698" spans="1:1" x14ac:dyDescent="0.25">
      <c r="A698" s="30">
        <v>2.9206972924494197E-9</v>
      </c>
    </row>
    <row r="699" spans="1:1" x14ac:dyDescent="0.25">
      <c r="A699" s="30">
        <v>2.7746624278269484E-9</v>
      </c>
    </row>
    <row r="700" spans="1:1" x14ac:dyDescent="0.25">
      <c r="A700" s="30">
        <v>2.635929306435601E-9</v>
      </c>
    </row>
    <row r="701" spans="1:1" x14ac:dyDescent="0.25">
      <c r="A701" s="30">
        <v>2.504132841113821E-9</v>
      </c>
    </row>
    <row r="702" spans="1:1" x14ac:dyDescent="0.25">
      <c r="A702" s="30">
        <v>2.3789261990581298E-9</v>
      </c>
    </row>
    <row r="703" spans="1:1" x14ac:dyDescent="0.25">
      <c r="A703" s="30">
        <v>2.259979889105223E-9</v>
      </c>
    </row>
    <row r="704" spans="1:1" x14ac:dyDescent="0.25">
      <c r="A704" s="30">
        <v>2.1469808946499619E-9</v>
      </c>
    </row>
    <row r="705" spans="1:1" x14ac:dyDescent="0.25">
      <c r="A705" s="30">
        <v>2.0396318499174636E-9</v>
      </c>
    </row>
    <row r="706" spans="1:1" x14ac:dyDescent="0.25">
      <c r="A706" s="30">
        <v>1.9376502574215905E-9</v>
      </c>
    </row>
    <row r="707" spans="1:1" x14ac:dyDescent="0.25">
      <c r="A707" s="30">
        <v>1.8407677445505109E-9</v>
      </c>
    </row>
    <row r="708" spans="1:1" x14ac:dyDescent="0.25">
      <c r="A708" s="30">
        <v>1.7487293573229853E-9</v>
      </c>
    </row>
    <row r="709" spans="1:1" x14ac:dyDescent="0.25">
      <c r="A709" s="30">
        <v>1.661292889456836E-9</v>
      </c>
    </row>
    <row r="710" spans="1:1" x14ac:dyDescent="0.25">
      <c r="A710" s="30">
        <v>1.578228244983994E-9</v>
      </c>
    </row>
    <row r="711" spans="1:1" x14ac:dyDescent="0.25">
      <c r="A711" s="30">
        <v>1.4993168327347942E-9</v>
      </c>
    </row>
    <row r="712" spans="1:1" x14ac:dyDescent="0.25">
      <c r="A712" s="30">
        <v>1.4243509910980544E-9</v>
      </c>
    </row>
    <row r="713" spans="1:1" x14ac:dyDescent="0.25">
      <c r="A713" s="30">
        <v>1.3531334415431516E-9</v>
      </c>
    </row>
    <row r="714" spans="1:1" x14ac:dyDescent="0.25">
      <c r="A714" s="30">
        <v>1.285476769465994E-9</v>
      </c>
    </row>
    <row r="715" spans="1:1" x14ac:dyDescent="0.25">
      <c r="A715" s="30">
        <v>1.2212029309926942E-9</v>
      </c>
    </row>
    <row r="716" spans="1:1" x14ac:dyDescent="0.25">
      <c r="A716" s="30">
        <v>1.1601427844430595E-9</v>
      </c>
    </row>
    <row r="717" spans="1:1" x14ac:dyDescent="0.25">
      <c r="A717" s="30">
        <v>1.1021356452209065E-9</v>
      </c>
    </row>
    <row r="718" spans="1:1" x14ac:dyDescent="0.25">
      <c r="A718" s="30">
        <v>1.047028862959861E-9</v>
      </c>
    </row>
    <row r="719" spans="1:1" x14ac:dyDescent="0.25">
      <c r="A719" s="30">
        <v>9.9467741981186791E-10</v>
      </c>
    </row>
    <row r="720" spans="1:1" x14ac:dyDescent="0.25">
      <c r="A720" s="30">
        <v>9.4494354882127439E-10</v>
      </c>
    </row>
    <row r="721" spans="1:1" x14ac:dyDescent="0.25">
      <c r="A721" s="30">
        <v>8.9769637138021059E-10</v>
      </c>
    </row>
    <row r="722" spans="1:1" x14ac:dyDescent="0.25">
      <c r="A722" s="30">
        <v>8.5281155281120004E-10</v>
      </c>
    </row>
    <row r="723" spans="1:1" x14ac:dyDescent="0.25">
      <c r="A723" s="30">
        <v>8.1017097517064003E-10</v>
      </c>
    </row>
    <row r="724" spans="1:1" x14ac:dyDescent="0.25">
      <c r="A724" s="30">
        <v>7.69662426412108E-10</v>
      </c>
    </row>
    <row r="725" spans="1:1" x14ac:dyDescent="0.25">
      <c r="A725" s="30">
        <v>7.3117930509150257E-10</v>
      </c>
    </row>
    <row r="726" spans="1:1" x14ac:dyDescent="0.25">
      <c r="A726" s="30">
        <v>6.9462033983692743E-10</v>
      </c>
    </row>
    <row r="727" spans="1:1" x14ac:dyDescent="0.25">
      <c r="A727" s="30">
        <v>6.5988932284508105E-10</v>
      </c>
    </row>
    <row r="728" spans="1:1" x14ac:dyDescent="0.25">
      <c r="A728" s="30">
        <v>6.2689485670282699E-10</v>
      </c>
    </row>
    <row r="729" spans="1:1" x14ac:dyDescent="0.25">
      <c r="A729" s="30">
        <v>5.9555011386768556E-10</v>
      </c>
    </row>
    <row r="730" spans="1:1" x14ac:dyDescent="0.25">
      <c r="A730" s="30">
        <v>5.6577260817430128E-10</v>
      </c>
    </row>
    <row r="731" spans="1:1" x14ac:dyDescent="0.25">
      <c r="A731" s="30">
        <v>5.3748397776558616E-10</v>
      </c>
    </row>
    <row r="732" spans="1:1" x14ac:dyDescent="0.25">
      <c r="A732" s="30">
        <v>5.1060977887730685E-10</v>
      </c>
    </row>
    <row r="733" spans="1:1" x14ac:dyDescent="0.25">
      <c r="A733" s="30">
        <v>4.8507928993344152E-10</v>
      </c>
    </row>
    <row r="734" spans="1:1" x14ac:dyDescent="0.25">
      <c r="A734" s="30">
        <v>4.6082532543676942E-10</v>
      </c>
    </row>
    <row r="735" spans="1:1" x14ac:dyDescent="0.25">
      <c r="A735" s="30">
        <v>4.3778405916493093E-10</v>
      </c>
    </row>
    <row r="736" spans="1:1" x14ac:dyDescent="0.25">
      <c r="A736" s="30">
        <v>4.1589485620668437E-10</v>
      </c>
    </row>
    <row r="737" spans="1:1" x14ac:dyDescent="0.25">
      <c r="A737" s="30">
        <v>3.9510011339635012E-10</v>
      </c>
    </row>
    <row r="738" spans="1:1" x14ac:dyDescent="0.25">
      <c r="A738" s="30">
        <v>3.7534510772653259E-10</v>
      </c>
    </row>
    <row r="739" spans="1:1" x14ac:dyDescent="0.25">
      <c r="A739" s="30">
        <v>3.5657785234020594E-10</v>
      </c>
    </row>
    <row r="740" spans="1:1" x14ac:dyDescent="0.25">
      <c r="A740" s="30">
        <v>3.3874895972319565E-10</v>
      </c>
    </row>
    <row r="741" spans="1:1" x14ac:dyDescent="0.25">
      <c r="A741" s="30">
        <v>3.2181151173703586E-10</v>
      </c>
    </row>
    <row r="742" spans="1:1" x14ac:dyDescent="0.25">
      <c r="A742" s="30">
        <v>3.0572093615018408E-10</v>
      </c>
    </row>
    <row r="743" spans="1:1" x14ac:dyDescent="0.25">
      <c r="A743" s="30">
        <v>2.9043488934267484E-10</v>
      </c>
    </row>
    <row r="744" spans="1:1" x14ac:dyDescent="0.25">
      <c r="A744" s="30">
        <v>2.7591314487554109E-10</v>
      </c>
    </row>
    <row r="745" spans="1:1" x14ac:dyDescent="0.25">
      <c r="A745" s="30">
        <v>2.6211748763176403E-10</v>
      </c>
    </row>
    <row r="746" spans="1:1" x14ac:dyDescent="0.25">
      <c r="A746" s="30">
        <v>2.4901161325017583E-10</v>
      </c>
    </row>
    <row r="747" spans="1:1" x14ac:dyDescent="0.25">
      <c r="A747" s="30">
        <v>2.3656103258766704E-10</v>
      </c>
    </row>
    <row r="748" spans="1:1" x14ac:dyDescent="0.25">
      <c r="A748" s="30">
        <v>2.2473298095828367E-10</v>
      </c>
    </row>
    <row r="749" spans="1:1" x14ac:dyDescent="0.25">
      <c r="A749" s="30">
        <v>2.1349633191036949E-10</v>
      </c>
    </row>
    <row r="750" spans="1:1" x14ac:dyDescent="0.25">
      <c r="A750" s="30">
        <v>2.02821515314851E-10</v>
      </c>
    </row>
    <row r="751" spans="1:1" x14ac:dyDescent="0.25">
      <c r="A751" s="30">
        <v>1.9268043954910845E-10</v>
      </c>
    </row>
    <row r="752" spans="1:1" x14ac:dyDescent="0.25">
      <c r="A752" s="30">
        <v>1.8304641757165302E-10</v>
      </c>
    </row>
    <row r="753" spans="1:1" x14ac:dyDescent="0.25">
      <c r="A753" s="30">
        <v>1.7389409669307036E-10</v>
      </c>
    </row>
    <row r="754" spans="1:1" x14ac:dyDescent="0.25">
      <c r="A754" s="30">
        <v>1.6519939185841684E-10</v>
      </c>
    </row>
    <row r="755" spans="1:1" x14ac:dyDescent="0.25">
      <c r="A755" s="30">
        <v>1.5693942226549599E-10</v>
      </c>
    </row>
    <row r="756" spans="1:1" x14ac:dyDescent="0.25">
      <c r="A756" s="30">
        <v>1.4909245115222119E-10</v>
      </c>
    </row>
    <row r="757" spans="1:1" x14ac:dyDescent="0.25">
      <c r="A757" s="30">
        <v>1.4163782859461013E-10</v>
      </c>
    </row>
    <row r="758" spans="1:1" x14ac:dyDescent="0.25">
      <c r="A758" s="30">
        <v>1.3455593716487961E-10</v>
      </c>
    </row>
    <row r="759" spans="1:1" x14ac:dyDescent="0.25">
      <c r="A759" s="30">
        <v>1.2782814030663562E-10</v>
      </c>
    </row>
    <row r="760" spans="1:1" x14ac:dyDescent="0.25">
      <c r="A760" s="30">
        <v>1.2143673329130384E-10</v>
      </c>
    </row>
    <row r="761" spans="1:1" x14ac:dyDescent="0.25">
      <c r="A761" s="30">
        <v>1.1536489662673864E-10</v>
      </c>
    </row>
    <row r="762" spans="1:1" x14ac:dyDescent="0.25">
      <c r="A762" s="30">
        <v>1.095966517954017E-10</v>
      </c>
    </row>
    <row r="763" spans="1:1" x14ac:dyDescent="0.25">
      <c r="A763" s="30">
        <v>1.0411681920563161E-10</v>
      </c>
    </row>
    <row r="764" spans="1:1" x14ac:dyDescent="0.25">
      <c r="A764" s="30">
        <v>9.8910978245350022E-11</v>
      </c>
    </row>
    <row r="765" spans="1:1" x14ac:dyDescent="0.25">
      <c r="A765" s="30">
        <v>9.3965429333082514E-11</v>
      </c>
    </row>
    <row r="766" spans="1:1" x14ac:dyDescent="0.25">
      <c r="A766" s="30">
        <v>8.926715786642838E-11</v>
      </c>
    </row>
    <row r="767" spans="1:1" x14ac:dyDescent="0.25">
      <c r="A767" s="30">
        <v>8.4803799973106953E-11</v>
      </c>
    </row>
    <row r="768" spans="1:1" x14ac:dyDescent="0.25">
      <c r="A768" s="30">
        <v>8.0563609974451603E-11</v>
      </c>
    </row>
    <row r="769" spans="1:1" x14ac:dyDescent="0.25">
      <c r="A769" s="30">
        <v>7.6535429475729024E-11</v>
      </c>
    </row>
    <row r="770" spans="1:1" x14ac:dyDescent="0.25">
      <c r="A770" s="30">
        <v>7.270865800194257E-11</v>
      </c>
    </row>
    <row r="771" spans="1:1" x14ac:dyDescent="0.25">
      <c r="A771" s="30">
        <v>6.9073225101845444E-11</v>
      </c>
    </row>
    <row r="772" spans="1:1" x14ac:dyDescent="0.25">
      <c r="A772" s="30">
        <v>6.5619563846753168E-11</v>
      </c>
    </row>
    <row r="773" spans="1:1" x14ac:dyDescent="0.25">
      <c r="A773" s="30">
        <v>6.2338585654415507E-11</v>
      </c>
    </row>
    <row r="774" spans="1:1" x14ac:dyDescent="0.25">
      <c r="A774" s="30">
        <v>5.9221656371694723E-11</v>
      </c>
    </row>
    <row r="775" spans="1:1" x14ac:dyDescent="0.25">
      <c r="A775" s="30">
        <v>5.6260573553109984E-11</v>
      </c>
    </row>
    <row r="776" spans="1:1" x14ac:dyDescent="0.25">
      <c r="A776" s="30">
        <v>5.3447544875454483E-11</v>
      </c>
    </row>
    <row r="777" spans="1:1" x14ac:dyDescent="0.25">
      <c r="A777" s="30">
        <v>5.0775167631681754E-11</v>
      </c>
    </row>
    <row r="778" spans="1:1" x14ac:dyDescent="0.25">
      <c r="A778" s="30">
        <v>4.8236409250097665E-11</v>
      </c>
    </row>
    <row r="779" spans="1:1" x14ac:dyDescent="0.25">
      <c r="A779" s="30">
        <v>4.5824588787592778E-11</v>
      </c>
    </row>
    <row r="780" spans="1:1" x14ac:dyDescent="0.25">
      <c r="A780" s="30">
        <v>4.3533359348213134E-11</v>
      </c>
    </row>
    <row r="781" spans="1:1" x14ac:dyDescent="0.25">
      <c r="A781" s="30">
        <v>4.1356691380802478E-11</v>
      </c>
    </row>
    <row r="782" spans="1:1" x14ac:dyDescent="0.25">
      <c r="A782" s="30">
        <v>3.9288856811762353E-11</v>
      </c>
    </row>
    <row r="783" spans="1:1" x14ac:dyDescent="0.25">
      <c r="A783" s="30">
        <v>3.7324413971174231E-11</v>
      </c>
    </row>
    <row r="784" spans="1:1" x14ac:dyDescent="0.25">
      <c r="A784" s="30">
        <v>3.545819327261552E-11</v>
      </c>
    </row>
    <row r="785" spans="1:1" x14ac:dyDescent="0.25">
      <c r="A785" s="30">
        <v>3.3685283608984745E-11</v>
      </c>
    </row>
    <row r="786" spans="1:1" x14ac:dyDescent="0.25">
      <c r="A786" s="30">
        <v>3.2001019428535508E-11</v>
      </c>
    </row>
    <row r="787" spans="1:1" x14ac:dyDescent="0.25">
      <c r="A787" s="30">
        <v>3.0400968457108733E-11</v>
      </c>
    </row>
    <row r="788" spans="1:1" x14ac:dyDescent="0.25">
      <c r="A788" s="30">
        <v>2.8880920034253296E-11</v>
      </c>
    </row>
    <row r="789" spans="1:1" x14ac:dyDescent="0.25">
      <c r="A789" s="30">
        <v>2.7436874032540629E-11</v>
      </c>
    </row>
    <row r="790" spans="1:1" x14ac:dyDescent="0.25">
      <c r="A790" s="30">
        <v>2.6065030330913595E-11</v>
      </c>
    </row>
    <row r="791" spans="1:1" x14ac:dyDescent="0.25">
      <c r="A791" s="30">
        <v>2.4761778814367914E-11</v>
      </c>
    </row>
    <row r="792" spans="1:1" x14ac:dyDescent="0.25">
      <c r="A792" s="30">
        <v>2.3523689873649516E-11</v>
      </c>
    </row>
    <row r="793" spans="1:1" x14ac:dyDescent="0.25">
      <c r="A793" s="30">
        <v>2.234750537996704E-11</v>
      </c>
    </row>
    <row r="794" spans="1:1" x14ac:dyDescent="0.25">
      <c r="A794" s="30">
        <v>2.1230130110968688E-11</v>
      </c>
    </row>
    <row r="795" spans="1:1" x14ac:dyDescent="0.25">
      <c r="A795" s="30">
        <v>2.0168623605420253E-11</v>
      </c>
    </row>
    <row r="796" spans="1:1" x14ac:dyDescent="0.25">
      <c r="A796" s="30">
        <v>1.916019242514924E-11</v>
      </c>
    </row>
    <row r="797" spans="1:1" x14ac:dyDescent="0.25">
      <c r="A797" s="30">
        <v>1.8202182803891777E-11</v>
      </c>
    </row>
    <row r="798" spans="1:1" x14ac:dyDescent="0.25">
      <c r="A798" s="30">
        <v>1.7292073663697186E-11</v>
      </c>
    </row>
    <row r="799" spans="1:1" x14ac:dyDescent="0.25">
      <c r="A799" s="30">
        <v>1.6427469980512324E-11</v>
      </c>
    </row>
    <row r="800" spans="1:1" x14ac:dyDescent="0.25">
      <c r="A800" s="30">
        <v>1.5606096481486706E-11</v>
      </c>
    </row>
    <row r="801" spans="1:1" x14ac:dyDescent="0.25">
      <c r="A801" s="30">
        <v>1.482579165741237E-11</v>
      </c>
    </row>
    <row r="802" spans="1:1" x14ac:dyDescent="0.25">
      <c r="A802" s="30">
        <v>1.408450207454175E-11</v>
      </c>
    </row>
    <row r="803" spans="1:1" x14ac:dyDescent="0.25">
      <c r="A803" s="30">
        <v>1.3380276970814662E-11</v>
      </c>
    </row>
    <row r="804" spans="1:1" x14ac:dyDescent="0.25">
      <c r="A804" s="30">
        <v>1.2711263122273928E-11</v>
      </c>
    </row>
    <row r="805" spans="1:1" x14ac:dyDescent="0.25">
      <c r="A805" s="30">
        <v>1.2075699966160231E-11</v>
      </c>
    </row>
    <row r="806" spans="1:1" x14ac:dyDescent="0.25">
      <c r="A806" s="30">
        <v>1.1471914967852219E-11</v>
      </c>
    </row>
    <row r="807" spans="1:1" x14ac:dyDescent="0.25">
      <c r="A807" s="30">
        <v>1.0898319219459608E-11</v>
      </c>
    </row>
    <row r="808" spans="1:1" x14ac:dyDescent="0.25">
      <c r="A808" s="30">
        <v>1.0353403258486628E-11</v>
      </c>
    </row>
    <row r="809" spans="1:1" x14ac:dyDescent="0.25">
      <c r="A809" s="30">
        <v>9.8357330955622963E-12</v>
      </c>
    </row>
    <row r="810" spans="1:1" x14ac:dyDescent="0.25">
      <c r="A810" s="30">
        <v>9.3439464407841808E-12</v>
      </c>
    </row>
    <row r="811" spans="1:1" x14ac:dyDescent="0.25">
      <c r="A811" s="30">
        <v>8.8767491187449709E-12</v>
      </c>
    </row>
    <row r="812" spans="1:1" x14ac:dyDescent="0.25">
      <c r="A812" s="30">
        <v>8.4329116628077213E-12</v>
      </c>
    </row>
    <row r="813" spans="1:1" x14ac:dyDescent="0.25">
      <c r="A813" s="30">
        <v>8.0112660796673341E-12</v>
      </c>
    </row>
    <row r="814" spans="1:1" x14ac:dyDescent="0.25">
      <c r="A814" s="30">
        <v>7.6107027756839663E-12</v>
      </c>
    </row>
    <row r="815" spans="1:1" x14ac:dyDescent="0.25">
      <c r="A815" s="30">
        <v>7.2301676368997673E-12</v>
      </c>
    </row>
    <row r="816" spans="1:1" x14ac:dyDescent="0.25">
      <c r="A816" s="30">
        <v>6.8686592550547782E-12</v>
      </c>
    </row>
    <row r="817" spans="1:1" x14ac:dyDescent="0.25">
      <c r="A817" s="30">
        <v>6.5252262923020387E-12</v>
      </c>
    </row>
    <row r="818" spans="1:1" x14ac:dyDescent="0.25">
      <c r="A818" s="30">
        <v>6.1989649776869368E-12</v>
      </c>
    </row>
    <row r="819" spans="1:1" x14ac:dyDescent="0.25">
      <c r="A819" s="30">
        <v>5.8890167288025901E-12</v>
      </c>
    </row>
    <row r="820" spans="1:1" x14ac:dyDescent="0.25">
      <c r="A820" s="30">
        <v>5.5945658923624606E-12</v>
      </c>
    </row>
    <row r="821" spans="1:1" x14ac:dyDescent="0.25">
      <c r="A821" s="30">
        <v>5.3148375977443373E-12</v>
      </c>
    </row>
    <row r="822" spans="1:1" x14ac:dyDescent="0.25">
      <c r="A822" s="30">
        <v>5.0490957178571204E-12</v>
      </c>
    </row>
    <row r="823" spans="1:1" x14ac:dyDescent="0.25">
      <c r="A823" s="30">
        <v>4.796640931964264E-12</v>
      </c>
    </row>
    <row r="824" spans="1:1" x14ac:dyDescent="0.25">
      <c r="A824" s="30">
        <v>4.5568088853660509E-12</v>
      </c>
    </row>
    <row r="825" spans="1:1" x14ac:dyDescent="0.25">
      <c r="A825" s="30">
        <v>4.3289684410977484E-12</v>
      </c>
    </row>
    <row r="826" spans="1:1" x14ac:dyDescent="0.25">
      <c r="A826" s="30">
        <v>4.1125200190428609E-12</v>
      </c>
    </row>
    <row r="827" spans="1:1" x14ac:dyDescent="0.25">
      <c r="A827" s="30">
        <v>3.9068940180907175E-12</v>
      </c>
    </row>
    <row r="828" spans="1:1" x14ac:dyDescent="0.25">
      <c r="A828" s="30">
        <v>3.7115493171861816E-12</v>
      </c>
    </row>
    <row r="829" spans="1:1" x14ac:dyDescent="0.25">
      <c r="A829" s="30">
        <v>3.5259718513268725E-12</v>
      </c>
    </row>
    <row r="830" spans="1:1" x14ac:dyDescent="0.25">
      <c r="A830" s="30">
        <v>3.3496732587605286E-12</v>
      </c>
    </row>
    <row r="831" spans="1:1" x14ac:dyDescent="0.25">
      <c r="A831" s="30">
        <v>3.182189595822502E-12</v>
      </c>
    </row>
    <row r="832" spans="1:1" x14ac:dyDescent="0.25">
      <c r="A832" s="30">
        <v>3.0230801160313768E-12</v>
      </c>
    </row>
    <row r="833" spans="1:1" x14ac:dyDescent="0.25">
      <c r="A833" s="30">
        <v>2.8719261102298077E-12</v>
      </c>
    </row>
    <row r="834" spans="1:1" x14ac:dyDescent="0.25">
      <c r="A834" s="30">
        <v>2.7283298047183172E-12</v>
      </c>
    </row>
    <row r="835" spans="1:1" x14ac:dyDescent="0.25">
      <c r="A835" s="30">
        <v>2.5919133144824012E-12</v>
      </c>
    </row>
    <row r="836" spans="1:1" x14ac:dyDescent="0.25">
      <c r="A836" s="30">
        <v>2.4623176487582809E-12</v>
      </c>
    </row>
    <row r="837" spans="1:1" x14ac:dyDescent="0.25">
      <c r="A837" s="30">
        <v>2.339201766320367E-12</v>
      </c>
    </row>
    <row r="838" spans="1:1" x14ac:dyDescent="0.25">
      <c r="A838" s="30">
        <v>2.2222416780043484E-12</v>
      </c>
    </row>
    <row r="839" spans="1:1" x14ac:dyDescent="0.25">
      <c r="A839" s="30">
        <v>2.1111295941041311E-12</v>
      </c>
    </row>
    <row r="840" spans="1:1" x14ac:dyDescent="0.25">
      <c r="A840" s="30">
        <v>2.0055731143989244E-12</v>
      </c>
    </row>
    <row r="841" spans="1:1" x14ac:dyDescent="0.25">
      <c r="A841" s="30">
        <v>1.9052944586789781E-12</v>
      </c>
    </row>
    <row r="842" spans="1:1" x14ac:dyDescent="0.25">
      <c r="A842" s="30">
        <v>1.8100297357450291E-12</v>
      </c>
    </row>
    <row r="843" spans="1:1" x14ac:dyDescent="0.25">
      <c r="A843" s="30">
        <v>1.7195282489577775E-12</v>
      </c>
    </row>
    <row r="844" spans="1:1" x14ac:dyDescent="0.25">
      <c r="A844" s="30">
        <v>1.6335518365098885E-12</v>
      </c>
    </row>
    <row r="845" spans="1:1" x14ac:dyDescent="0.25">
      <c r="A845" s="30">
        <v>1.551874244684394E-12</v>
      </c>
    </row>
    <row r="846" spans="1:1" x14ac:dyDescent="0.25">
      <c r="A846" s="30">
        <v>1.4742805324501742E-12</v>
      </c>
    </row>
    <row r="847" spans="1:1" x14ac:dyDescent="0.25">
      <c r="A847" s="30">
        <v>1.4005665058276655E-12</v>
      </c>
    </row>
    <row r="848" spans="1:1" x14ac:dyDescent="0.25">
      <c r="A848" s="30">
        <v>1.3305381805362821E-12</v>
      </c>
    </row>
    <row r="849" spans="1:1" x14ac:dyDescent="0.25">
      <c r="A849" s="30">
        <v>1.264011271509468E-12</v>
      </c>
    </row>
    <row r="850" spans="1:1" x14ac:dyDescent="0.25">
      <c r="A850" s="30">
        <v>1.2008107079339945E-12</v>
      </c>
    </row>
    <row r="851" spans="1:1" x14ac:dyDescent="0.25">
      <c r="A851" s="30">
        <v>1.1407701725372948E-12</v>
      </c>
    </row>
    <row r="852" spans="1:1" x14ac:dyDescent="0.25">
      <c r="A852" s="30">
        <v>1.08373166391043E-12</v>
      </c>
    </row>
    <row r="853" spans="1:1" x14ac:dyDescent="0.25">
      <c r="A853" s="30">
        <v>1.0295450807149084E-12</v>
      </c>
    </row>
    <row r="854" spans="1:1" x14ac:dyDescent="0.25">
      <c r="A854" s="30">
        <v>9.7806782667916296E-13</v>
      </c>
    </row>
    <row r="855" spans="1:1" x14ac:dyDescent="0.25">
      <c r="A855" s="30">
        <v>9.2916443534520479E-13</v>
      </c>
    </row>
    <row r="856" spans="1:1" x14ac:dyDescent="0.25">
      <c r="A856" s="30">
        <v>8.8270621357794449E-13</v>
      </c>
    </row>
    <row r="857" spans="1:1" x14ac:dyDescent="0.25">
      <c r="A857" s="30">
        <v>8.3857090289904726E-13</v>
      </c>
    </row>
    <row r="858" spans="1:1" x14ac:dyDescent="0.25">
      <c r="A858" s="30">
        <v>7.9664235775409483E-13</v>
      </c>
    </row>
    <row r="859" spans="1:1" x14ac:dyDescent="0.25">
      <c r="A859" s="30">
        <v>7.5681023986639008E-13</v>
      </c>
    </row>
    <row r="860" spans="1:1" x14ac:dyDescent="0.25">
      <c r="A860" s="30">
        <v>7.1896972787307055E-13</v>
      </c>
    </row>
    <row r="861" spans="1:1" x14ac:dyDescent="0.25">
      <c r="A861" s="30">
        <v>6.8302124147941695E-13</v>
      </c>
    </row>
    <row r="862" spans="1:1" x14ac:dyDescent="0.25">
      <c r="A862" s="30">
        <v>6.4887017940544605E-13</v>
      </c>
    </row>
    <row r="863" spans="1:1" x14ac:dyDescent="0.25">
      <c r="A863" s="30">
        <v>6.1642667043517373E-13</v>
      </c>
    </row>
    <row r="864" spans="1:1" x14ac:dyDescent="0.25">
      <c r="A864" s="30">
        <v>5.8560533691341505E-13</v>
      </c>
    </row>
    <row r="865" spans="1:1" x14ac:dyDescent="0.25">
      <c r="A865" s="30">
        <v>5.5632507006774425E-13</v>
      </c>
    </row>
    <row r="866" spans="1:1" x14ac:dyDescent="0.25">
      <c r="A866" s="30">
        <v>5.2850881656435705E-13</v>
      </c>
    </row>
    <row r="867" spans="1:1" x14ac:dyDescent="0.25">
      <c r="A867" s="30">
        <v>5.0208337573613919E-13</v>
      </c>
    </row>
    <row r="868" spans="1:1" x14ac:dyDescent="0.25">
      <c r="A868" s="30">
        <v>4.7697920694933223E-13</v>
      </c>
    </row>
    <row r="869" spans="1:1" x14ac:dyDescent="0.25">
      <c r="A869" s="30">
        <v>4.5313024660186561E-13</v>
      </c>
    </row>
    <row r="870" spans="1:1" x14ac:dyDescent="0.25">
      <c r="A870" s="30">
        <v>4.3047373427177233E-13</v>
      </c>
    </row>
    <row r="871" spans="1:1" x14ac:dyDescent="0.25">
      <c r="A871" s="30">
        <v>4.089500475581837E-13</v>
      </c>
    </row>
    <row r="872" spans="1:1" x14ac:dyDescent="0.25">
      <c r="A872" s="30">
        <v>3.8850254518027451E-13</v>
      </c>
    </row>
    <row r="873" spans="1:1" x14ac:dyDescent="0.25">
      <c r="A873" s="30">
        <v>3.6907741792126075E-13</v>
      </c>
    </row>
    <row r="874" spans="1:1" x14ac:dyDescent="0.25">
      <c r="A874" s="30">
        <v>3.506235470251977E-13</v>
      </c>
    </row>
    <row r="875" spans="1:1" x14ac:dyDescent="0.25">
      <c r="A875" s="30">
        <v>3.3309236967393782E-13</v>
      </c>
    </row>
  </sheetData>
  <conditionalFormatting sqref="C136">
    <cfRule type="cellIs" dxfId="68" priority="991" operator="equal">
      <formula>$U$1</formula>
    </cfRule>
    <cfRule type="cellIs" dxfId="67" priority="992" operator="equal">
      <formula>$S$1</formula>
    </cfRule>
  </conditionalFormatting>
  <conditionalFormatting sqref="D136">
    <cfRule type="cellIs" dxfId="66" priority="989" operator="equal">
      <formula>$S$1</formula>
    </cfRule>
    <cfRule type="cellIs" dxfId="65" priority="990" operator="equal">
      <formula>$U$1</formula>
    </cfRule>
  </conditionalFormatting>
  <conditionalFormatting sqref="C162">
    <cfRule type="cellIs" dxfId="64" priority="987" operator="equal">
      <formula>$U$1</formula>
    </cfRule>
    <cfRule type="cellIs" dxfId="63" priority="988" operator="equal">
      <formula>$S$1</formula>
    </cfRule>
  </conditionalFormatting>
  <conditionalFormatting sqref="D162">
    <cfRule type="cellIs" dxfId="62" priority="985" operator="equal">
      <formula>$S$1</formula>
    </cfRule>
    <cfRule type="cellIs" dxfId="61" priority="986" operator="equal">
      <formula>$U$1</formula>
    </cfRule>
  </conditionalFormatting>
  <conditionalFormatting sqref="C187">
    <cfRule type="cellIs" dxfId="60" priority="983" operator="equal">
      <formula>$U$1</formula>
    </cfRule>
    <cfRule type="cellIs" dxfId="59" priority="984" operator="equal">
      <formula>$S$1</formula>
    </cfRule>
  </conditionalFormatting>
  <conditionalFormatting sqref="D187">
    <cfRule type="cellIs" dxfId="58" priority="981" operator="equal">
      <formula>$S$1</formula>
    </cfRule>
    <cfRule type="cellIs" dxfId="57" priority="982" operator="equal">
      <formula>$U$1</formula>
    </cfRule>
  </conditionalFormatting>
  <conditionalFormatting sqref="C212">
    <cfRule type="cellIs" dxfId="56" priority="979" operator="equal">
      <formula>$U$1</formula>
    </cfRule>
    <cfRule type="cellIs" dxfId="55" priority="980" operator="equal">
      <formula>$S$1</formula>
    </cfRule>
  </conditionalFormatting>
  <conditionalFormatting sqref="D212">
    <cfRule type="cellIs" dxfId="54" priority="977" operator="equal">
      <formula>$S$1</formula>
    </cfRule>
    <cfRule type="cellIs" dxfId="53" priority="978" operator="equal">
      <formula>$U$1</formula>
    </cfRule>
  </conditionalFormatting>
  <conditionalFormatting sqref="C237">
    <cfRule type="cellIs" dxfId="52" priority="975" operator="equal">
      <formula>$U$1</formula>
    </cfRule>
    <cfRule type="cellIs" dxfId="51" priority="976" operator="equal">
      <formula>$S$1</formula>
    </cfRule>
  </conditionalFormatting>
  <conditionalFormatting sqref="D237">
    <cfRule type="cellIs" dxfId="50" priority="973" operator="equal">
      <formula>$S$1</formula>
    </cfRule>
    <cfRule type="cellIs" dxfId="49" priority="974" operator="equal">
      <formula>$U$1</formula>
    </cfRule>
  </conditionalFormatting>
  <conditionalFormatting sqref="C106">
    <cfRule type="cellIs" dxfId="48" priority="971" operator="equal">
      <formula>$U$1</formula>
    </cfRule>
    <cfRule type="cellIs" dxfId="47" priority="972" operator="equal">
      <formula>$S$1</formula>
    </cfRule>
  </conditionalFormatting>
  <conditionalFormatting sqref="D106">
    <cfRule type="cellIs" dxfId="46" priority="969" operator="equal">
      <formula>$S$1</formula>
    </cfRule>
    <cfRule type="cellIs" dxfId="45" priority="970" operator="equal">
      <formula>$U$1</formula>
    </cfRule>
  </conditionalFormatting>
  <conditionalFormatting sqref="C81">
    <cfRule type="cellIs" dxfId="44" priority="967" operator="equal">
      <formula>$U$1</formula>
    </cfRule>
    <cfRule type="cellIs" dxfId="43" priority="968" operator="equal">
      <formula>$S$1</formula>
    </cfRule>
  </conditionalFormatting>
  <conditionalFormatting sqref="D81">
    <cfRule type="cellIs" dxfId="42" priority="965" operator="equal">
      <formula>$S$1</formula>
    </cfRule>
    <cfRule type="cellIs" dxfId="41" priority="966" operator="equal">
      <formula>$U$1</formula>
    </cfRule>
  </conditionalFormatting>
  <conditionalFormatting sqref="C56">
    <cfRule type="cellIs" dxfId="40" priority="963" operator="equal">
      <formula>$U$1</formula>
    </cfRule>
    <cfRule type="cellIs" dxfId="39" priority="964" operator="equal">
      <formula>$S$1</formula>
    </cfRule>
  </conditionalFormatting>
  <conditionalFormatting sqref="D56">
    <cfRule type="cellIs" dxfId="38" priority="961" operator="equal">
      <formula>$S$1</formula>
    </cfRule>
    <cfRule type="cellIs" dxfId="37" priority="962" operator="equal">
      <formula>$U$1</formula>
    </cfRule>
  </conditionalFormatting>
  <conditionalFormatting sqref="C31">
    <cfRule type="cellIs" dxfId="36" priority="959" operator="equal">
      <formula>$U$1</formula>
    </cfRule>
    <cfRule type="cellIs" dxfId="35" priority="960" operator="equal">
      <formula>$S$1</formula>
    </cfRule>
  </conditionalFormatting>
  <conditionalFormatting sqref="D31">
    <cfRule type="cellIs" dxfId="34" priority="957" operator="equal">
      <formula>$S$1</formula>
    </cfRule>
    <cfRule type="cellIs" dxfId="33" priority="95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526"/>
  <sheetViews>
    <sheetView topLeftCell="A96" zoomScale="90" zoomScaleNormal="90" workbookViewId="0">
      <pane xSplit="4" topLeftCell="H1" activePane="topRight" state="frozen"/>
      <selection activeCell="A109" sqref="A109"/>
      <selection pane="topRight" activeCell="AT122" sqref="AT122"/>
    </sheetView>
  </sheetViews>
  <sheetFormatPr defaultRowHeight="15" x14ac:dyDescent="0.25"/>
  <cols>
    <col min="1" max="1" width="11.5703125" style="30" customWidth="1"/>
    <col min="2" max="5" width="11.5703125" style="1" hidden="1" customWidth="1"/>
    <col min="6" max="7" width="11.5703125" style="27" hidden="1" customWidth="1"/>
    <col min="8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16">
        <v>2605350.751695944</v>
      </c>
    </row>
    <row r="4" spans="1:21" x14ac:dyDescent="0.25">
      <c r="A4" s="16">
        <v>2368500.6833599489</v>
      </c>
    </row>
    <row r="5" spans="1:21" x14ac:dyDescent="0.25">
      <c r="A5" s="16">
        <v>2153182.4394181352</v>
      </c>
    </row>
    <row r="6" spans="1:21" x14ac:dyDescent="0.25">
      <c r="A6" s="16">
        <v>1957438.5812892136</v>
      </c>
    </row>
    <row r="7" spans="1:21" x14ac:dyDescent="0.25">
      <c r="A7" s="16">
        <v>1779489.6193538303</v>
      </c>
    </row>
    <row r="8" spans="1:21" x14ac:dyDescent="0.25">
      <c r="A8" s="16">
        <v>1617717.8357762094</v>
      </c>
    </row>
    <row r="9" spans="1:21" x14ac:dyDescent="0.25">
      <c r="A9" s="16">
        <v>1470652.5779783721</v>
      </c>
    </row>
    <row r="10" spans="1:21" x14ac:dyDescent="0.25">
      <c r="A10" s="16">
        <v>1336956.8890712473</v>
      </c>
    </row>
    <row r="11" spans="1:21" x14ac:dyDescent="0.25">
      <c r="A11" s="16">
        <v>1215415.3537011337</v>
      </c>
    </row>
    <row r="12" spans="1:21" x14ac:dyDescent="0.25">
      <c r="A12" s="16">
        <v>1104923.0488192125</v>
      </c>
    </row>
    <row r="13" spans="1:21" x14ac:dyDescent="0.25">
      <c r="A13" s="16">
        <v>1004475.4989265567</v>
      </c>
    </row>
    <row r="14" spans="1:21" x14ac:dyDescent="0.25">
      <c r="A14" s="16">
        <v>913159.54447868781</v>
      </c>
    </row>
    <row r="15" spans="1:21" x14ac:dyDescent="0.25">
      <c r="A15" s="16">
        <v>830145.04043517064</v>
      </c>
    </row>
    <row r="16" spans="1:21" x14ac:dyDescent="0.25">
      <c r="A16" s="16">
        <v>754677.30948651873</v>
      </c>
      <c r="C16" s="1" t="s">
        <v>15</v>
      </c>
    </row>
    <row r="17" spans="1:5" x14ac:dyDescent="0.25">
      <c r="A17" s="16">
        <v>686070.28135138063</v>
      </c>
      <c r="C17" s="7">
        <v>0.11167815779424731</v>
      </c>
      <c r="D17"/>
      <c r="E17"/>
    </row>
    <row r="18" spans="1:5" x14ac:dyDescent="0.25">
      <c r="A18" s="16">
        <v>623700.25577398238</v>
      </c>
      <c r="E18"/>
    </row>
    <row r="19" spans="1:5" x14ac:dyDescent="0.25">
      <c r="A19" s="16">
        <v>567000.23252180207</v>
      </c>
      <c r="C19" s="1" t="s">
        <v>11</v>
      </c>
      <c r="D19" s="1" t="s">
        <v>12</v>
      </c>
      <c r="E19"/>
    </row>
    <row r="20" spans="1:5" x14ac:dyDescent="0.25">
      <c r="A20" s="16">
        <v>515454.75683800189</v>
      </c>
      <c r="C20"/>
      <c r="D20"/>
      <c r="E20"/>
    </row>
    <row r="21" spans="1:5" x14ac:dyDescent="0.25">
      <c r="A21" s="16">
        <v>468595.23348909261</v>
      </c>
      <c r="E21"/>
    </row>
    <row r="22" spans="1:5" x14ac:dyDescent="0.25">
      <c r="A22" s="16">
        <v>425995.66680826596</v>
      </c>
      <c r="C22" s="1" t="s">
        <v>13</v>
      </c>
      <c r="E22"/>
    </row>
    <row r="23" spans="1:5" x14ac:dyDescent="0.25">
      <c r="A23" s="16">
        <v>387268.78800751449</v>
      </c>
      <c r="C23" s="1">
        <f>C12</f>
        <v>0</v>
      </c>
      <c r="E23"/>
    </row>
    <row r="24" spans="1:5" x14ac:dyDescent="0.25">
      <c r="A24" s="16">
        <v>352062.53455228586</v>
      </c>
      <c r="C24"/>
      <c r="D24"/>
      <c r="E24"/>
    </row>
    <row r="25" spans="1:5" x14ac:dyDescent="0.25">
      <c r="A25" s="16">
        <v>320056.8495929871</v>
      </c>
      <c r="C25" s="1" t="s">
        <v>14</v>
      </c>
      <c r="E25"/>
    </row>
    <row r="26" spans="1:5" x14ac:dyDescent="0.25">
      <c r="A26" s="16">
        <v>290960.77235726098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16">
        <v>264509.79305205541</v>
      </c>
      <c r="E27"/>
    </row>
    <row r="28" spans="1:5" x14ac:dyDescent="0.25">
      <c r="A28" s="16">
        <v>240463.44822914127</v>
      </c>
      <c r="E28"/>
    </row>
    <row r="29" spans="1:5" x14ac:dyDescent="0.25">
      <c r="A29" s="16">
        <v>218603.13475376478</v>
      </c>
      <c r="E29"/>
    </row>
    <row r="30" spans="1:5" x14ac:dyDescent="0.25">
      <c r="A30" s="16">
        <v>198730.12250342252</v>
      </c>
      <c r="E30"/>
    </row>
    <row r="31" spans="1:5" x14ac:dyDescent="0.25">
      <c r="A31" s="16">
        <v>180663.74773038409</v>
      </c>
      <c r="E31"/>
    </row>
    <row r="32" spans="1:5" x14ac:dyDescent="0.25">
      <c r="A32" s="16">
        <v>164239.77066398552</v>
      </c>
      <c r="E32"/>
    </row>
    <row r="33" spans="1:5" x14ac:dyDescent="0.25">
      <c r="A33" s="16">
        <v>149308.882421805</v>
      </c>
      <c r="E33"/>
    </row>
    <row r="34" spans="1:5" x14ac:dyDescent="0.25">
      <c r="A34" s="16">
        <v>135735.34765618635</v>
      </c>
      <c r="E34"/>
    </row>
    <row r="35" spans="1:5" x14ac:dyDescent="0.25">
      <c r="A35" s="16">
        <v>123395.77059653302</v>
      </c>
      <c r="E35"/>
    </row>
    <row r="36" spans="1:5" x14ac:dyDescent="0.25">
      <c r="A36" s="16">
        <v>112177.97326957546</v>
      </c>
      <c r="E36"/>
    </row>
    <row r="37" spans="1:5" x14ac:dyDescent="0.25">
      <c r="A37" s="16">
        <v>101979.97569961405</v>
      </c>
      <c r="E37"/>
    </row>
    <row r="38" spans="1:5" x14ac:dyDescent="0.25">
      <c r="A38" s="16">
        <v>92709.06881783095</v>
      </c>
      <c r="E38"/>
    </row>
    <row r="39" spans="1:5" x14ac:dyDescent="0.25">
      <c r="A39" s="16">
        <v>84280.971652573586</v>
      </c>
      <c r="E39"/>
    </row>
    <row r="40" spans="1:5" x14ac:dyDescent="0.25">
      <c r="A40" s="30">
        <v>76619.065138703256</v>
      </c>
      <c r="E40"/>
    </row>
    <row r="41" spans="1:5" x14ac:dyDescent="0.25">
      <c r="A41" s="30">
        <v>69653.695580639323</v>
      </c>
      <c r="E41"/>
    </row>
    <row r="42" spans="1:5" x14ac:dyDescent="0.25">
      <c r="A42" s="30">
        <v>63321.541436944834</v>
      </c>
      <c r="C42" s="1" t="s">
        <v>15</v>
      </c>
      <c r="E42"/>
    </row>
    <row r="43" spans="1:5" x14ac:dyDescent="0.25">
      <c r="A43" s="30">
        <v>57565.037669949845</v>
      </c>
      <c r="C43" s="7">
        <v>0.11167815779424731</v>
      </c>
      <c r="D43"/>
      <c r="E43"/>
    </row>
    <row r="44" spans="1:5" x14ac:dyDescent="0.25">
      <c r="A44" s="30">
        <v>52331.852427227124</v>
      </c>
      <c r="E44"/>
    </row>
    <row r="45" spans="1:5" x14ac:dyDescent="0.25">
      <c r="A45" s="30">
        <v>47574.411297479201</v>
      </c>
      <c r="C45" s="1" t="s">
        <v>11</v>
      </c>
      <c r="D45" s="1" t="s">
        <v>12</v>
      </c>
      <c r="E45"/>
    </row>
    <row r="46" spans="1:5" x14ac:dyDescent="0.25">
      <c r="A46" s="30">
        <v>43249.464815890176</v>
      </c>
      <c r="C46"/>
      <c r="D46"/>
      <c r="E46"/>
    </row>
    <row r="47" spans="1:5" x14ac:dyDescent="0.25">
      <c r="A47" s="30">
        <v>39317.695287172886</v>
      </c>
      <c r="E47"/>
    </row>
    <row r="48" spans="1:5" x14ac:dyDescent="0.25">
      <c r="A48" s="30">
        <v>35743.359351975349</v>
      </c>
      <c r="C48" s="1" t="s">
        <v>13</v>
      </c>
      <c r="E48"/>
    </row>
    <row r="49" spans="1:5" x14ac:dyDescent="0.25">
      <c r="A49" s="30">
        <v>32493.963047250312</v>
      </c>
      <c r="C49" s="1">
        <f>C38</f>
        <v>0</v>
      </c>
      <c r="E49"/>
    </row>
    <row r="50" spans="1:5" x14ac:dyDescent="0.25">
      <c r="A50" s="30">
        <v>29539.966406591189</v>
      </c>
      <c r="C50"/>
      <c r="D50"/>
      <c r="E50"/>
    </row>
    <row r="51" spans="1:5" x14ac:dyDescent="0.25">
      <c r="A51" s="30">
        <v>26854.514915082898</v>
      </c>
      <c r="C51" s="1" t="s">
        <v>14</v>
      </c>
      <c r="E51"/>
    </row>
    <row r="52" spans="1:5" x14ac:dyDescent="0.25">
      <c r="A52" s="30">
        <v>24413.195377348089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22193.81397940735</v>
      </c>
      <c r="E53"/>
    </row>
    <row r="54" spans="1:5" x14ac:dyDescent="0.25">
      <c r="A54" s="30">
        <v>20176.194526733954</v>
      </c>
      <c r="E54"/>
    </row>
    <row r="55" spans="1:5" x14ac:dyDescent="0.25">
      <c r="A55" s="30">
        <v>18341.995024303593</v>
      </c>
      <c r="E55"/>
    </row>
    <row r="56" spans="1:5" x14ac:dyDescent="0.25">
      <c r="A56" s="30">
        <v>16674.540931185082</v>
      </c>
      <c r="E56"/>
    </row>
    <row r="57" spans="1:5" x14ac:dyDescent="0.25">
      <c r="A57" s="30">
        <v>15158.673573804617</v>
      </c>
      <c r="E57"/>
    </row>
    <row r="58" spans="1:5" x14ac:dyDescent="0.25">
      <c r="A58" s="30">
        <v>13780.612339822379</v>
      </c>
      <c r="E58"/>
    </row>
    <row r="59" spans="1:5" x14ac:dyDescent="0.25">
      <c r="A59" s="30">
        <v>12527.829399838525</v>
      </c>
      <c r="E59"/>
    </row>
    <row r="60" spans="1:5" x14ac:dyDescent="0.25">
      <c r="A60" s="30">
        <v>11388.935818035023</v>
      </c>
      <c r="E60"/>
    </row>
    <row r="61" spans="1:5" x14ac:dyDescent="0.25">
      <c r="A61" s="30">
        <v>10353.578016395475</v>
      </c>
      <c r="E61"/>
    </row>
    <row r="62" spans="1:5" x14ac:dyDescent="0.25">
      <c r="A62" s="30">
        <v>9412.343651268613</v>
      </c>
      <c r="E62"/>
    </row>
    <row r="63" spans="1:5" x14ac:dyDescent="0.25">
      <c r="A63" s="30">
        <v>8556.6760466078285</v>
      </c>
      <c r="E63"/>
    </row>
    <row r="64" spans="1:5" x14ac:dyDescent="0.25">
      <c r="A64" s="30">
        <v>7778.7964060071163</v>
      </c>
      <c r="E64"/>
    </row>
    <row r="65" spans="1:5" x14ac:dyDescent="0.25">
      <c r="A65" s="30">
        <v>7071.6330963701048</v>
      </c>
      <c r="E65"/>
    </row>
    <row r="66" spans="1:5" x14ac:dyDescent="0.25">
      <c r="A66" s="30">
        <v>6428.7573603364581</v>
      </c>
      <c r="E66"/>
    </row>
    <row r="67" spans="1:5" x14ac:dyDescent="0.25">
      <c r="A67" s="30">
        <v>5844.3248730331434</v>
      </c>
      <c r="C67" s="1" t="s">
        <v>15</v>
      </c>
      <c r="E67"/>
    </row>
    <row r="68" spans="1:5" x14ac:dyDescent="0.25">
      <c r="A68" s="30">
        <v>5313.0226118483115</v>
      </c>
      <c r="C68" s="7">
        <v>0.11167815779424731</v>
      </c>
      <c r="D68"/>
      <c r="E68"/>
    </row>
    <row r="69" spans="1:5" x14ac:dyDescent="0.25">
      <c r="A69" s="30">
        <v>4830.020556225737</v>
      </c>
      <c r="E69"/>
    </row>
    <row r="70" spans="1:5" x14ac:dyDescent="0.25">
      <c r="A70" s="30">
        <v>4390.927778387033</v>
      </c>
      <c r="C70" s="1" t="s">
        <v>11</v>
      </c>
      <c r="D70" s="1" t="s">
        <v>12</v>
      </c>
      <c r="E70"/>
    </row>
    <row r="71" spans="1:5" x14ac:dyDescent="0.25">
      <c r="A71" s="30">
        <v>3991.7525258063934</v>
      </c>
      <c r="C71"/>
      <c r="D71"/>
      <c r="E71"/>
    </row>
    <row r="72" spans="1:5" x14ac:dyDescent="0.25">
      <c r="A72" s="30">
        <v>3628.8659325512663</v>
      </c>
      <c r="E72"/>
    </row>
    <row r="73" spans="1:5" x14ac:dyDescent="0.25">
      <c r="A73" s="30">
        <v>3298.96902959206</v>
      </c>
      <c r="C73" s="1" t="s">
        <v>13</v>
      </c>
      <c r="E73"/>
    </row>
    <row r="74" spans="1:5" x14ac:dyDescent="0.25">
      <c r="A74" s="30">
        <v>2999.0627541745998</v>
      </c>
      <c r="C74" s="1">
        <f>C63</f>
        <v>0</v>
      </c>
      <c r="E74"/>
    </row>
    <row r="75" spans="1:5" x14ac:dyDescent="0.25">
      <c r="A75" s="30">
        <v>2726.4206856132723</v>
      </c>
      <c r="C75"/>
      <c r="D75"/>
      <c r="E75"/>
    </row>
    <row r="76" spans="1:5" x14ac:dyDescent="0.25">
      <c r="A76" s="30">
        <v>2478.564259648429</v>
      </c>
      <c r="C76" s="1" t="s">
        <v>14</v>
      </c>
      <c r="E76"/>
    </row>
    <row r="77" spans="1:5" x14ac:dyDescent="0.25">
      <c r="A77" s="30">
        <v>2253.240236044026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2048.4002145854779</v>
      </c>
      <c r="E78"/>
    </row>
    <row r="79" spans="1:5" x14ac:dyDescent="0.25">
      <c r="A79" s="30">
        <v>1862.1820132595253</v>
      </c>
      <c r="E79"/>
    </row>
    <row r="80" spans="1:5" x14ac:dyDescent="0.25">
      <c r="A80" s="30">
        <v>1692.8927393268411</v>
      </c>
      <c r="E80"/>
    </row>
    <row r="81" spans="1:5" x14ac:dyDescent="0.25">
      <c r="A81" s="30">
        <v>1538.9933993880372</v>
      </c>
      <c r="E81"/>
    </row>
    <row r="82" spans="1:5" x14ac:dyDescent="0.25">
      <c r="A82" s="30">
        <v>1399.0849085345792</v>
      </c>
      <c r="E82"/>
    </row>
    <row r="83" spans="1:5" x14ac:dyDescent="0.25">
      <c r="A83" s="30">
        <v>1271.8953713950718</v>
      </c>
      <c r="E83"/>
    </row>
    <row r="84" spans="1:5" x14ac:dyDescent="0.25">
      <c r="A84" s="30">
        <v>1156.2685194500652</v>
      </c>
      <c r="E84"/>
    </row>
    <row r="85" spans="1:5" x14ac:dyDescent="0.25">
      <c r="A85" s="30">
        <v>1051.1531995000591</v>
      </c>
      <c r="E85"/>
    </row>
    <row r="86" spans="1:5" x14ac:dyDescent="0.25">
      <c r="A86" s="30">
        <v>955.59381772732638</v>
      </c>
      <c r="E86"/>
    </row>
    <row r="87" spans="1:5" x14ac:dyDescent="0.25">
      <c r="A87" s="30">
        <v>868.72165247938756</v>
      </c>
      <c r="E87"/>
    </row>
    <row r="88" spans="1:5" x14ac:dyDescent="0.25">
      <c r="A88" s="30">
        <v>789.74695679944318</v>
      </c>
      <c r="E88"/>
    </row>
    <row r="89" spans="1:5" x14ac:dyDescent="0.25">
      <c r="A89" s="30">
        <v>717.95177890858463</v>
      </c>
      <c r="E89"/>
    </row>
    <row r="90" spans="1:5" x14ac:dyDescent="0.25">
      <c r="A90" s="30">
        <v>652.68343537144051</v>
      </c>
      <c r="E90"/>
    </row>
    <row r="91" spans="1:5" x14ac:dyDescent="0.25">
      <c r="A91" s="30">
        <v>593.34857761040041</v>
      </c>
      <c r="E91"/>
    </row>
    <row r="92" spans="1:5" x14ac:dyDescent="0.25">
      <c r="A92" s="30">
        <v>539.40779782763673</v>
      </c>
      <c r="C92" s="1" t="s">
        <v>15</v>
      </c>
      <c r="E92"/>
    </row>
    <row r="93" spans="1:5" x14ac:dyDescent="0.25">
      <c r="A93" s="30">
        <v>490.37072529785149</v>
      </c>
      <c r="C93" s="7">
        <v>0.11167815779424731</v>
      </c>
      <c r="D93"/>
      <c r="E93"/>
    </row>
    <row r="94" spans="1:5" x14ac:dyDescent="0.25">
      <c r="A94" s="30">
        <v>445.79156845259223</v>
      </c>
      <c r="E94"/>
    </row>
    <row r="95" spans="1:5" x14ac:dyDescent="0.25">
      <c r="A95" s="30">
        <v>405.26506222962928</v>
      </c>
      <c r="C95" s="1" t="s">
        <v>11</v>
      </c>
      <c r="D95" s="1" t="s">
        <v>12</v>
      </c>
      <c r="E95"/>
    </row>
    <row r="96" spans="1:5" x14ac:dyDescent="0.25">
      <c r="A96" s="30">
        <v>368.42278384511752</v>
      </c>
      <c r="C96"/>
      <c r="D96"/>
      <c r="E96"/>
    </row>
    <row r="97" spans="1:45" x14ac:dyDescent="0.25">
      <c r="A97" s="30">
        <v>334.92980349556137</v>
      </c>
      <c r="E97"/>
    </row>
    <row r="98" spans="1:45" x14ac:dyDescent="0.25">
      <c r="A98" s="30">
        <v>304.48163954141938</v>
      </c>
      <c r="C98" s="1" t="s">
        <v>13</v>
      </c>
      <c r="E98"/>
    </row>
    <row r="99" spans="1:45" x14ac:dyDescent="0.25">
      <c r="A99" s="30">
        <v>276.80149049219943</v>
      </c>
      <c r="C99" s="1">
        <f>C88</f>
        <v>0</v>
      </c>
      <c r="E99"/>
    </row>
    <row r="100" spans="1:45" x14ac:dyDescent="0.25">
      <c r="A100" s="30">
        <v>251.63771862927217</v>
      </c>
      <c r="C100"/>
      <c r="D100"/>
      <c r="E100"/>
    </row>
    <row r="101" spans="1:45" x14ac:dyDescent="0.25">
      <c r="A101" s="30">
        <v>228.76156239024741</v>
      </c>
      <c r="C101" s="1" t="s">
        <v>14</v>
      </c>
      <c r="E101"/>
    </row>
    <row r="102" spans="1:45" x14ac:dyDescent="0.25">
      <c r="A102" s="30">
        <v>207.96505671840671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5" x14ac:dyDescent="0.25">
      <c r="A103" s="30">
        <v>189.05914247127882</v>
      </c>
      <c r="E103"/>
    </row>
    <row r="104" spans="1:45" x14ac:dyDescent="0.25">
      <c r="A104" s="30">
        <v>171.87194770116255</v>
      </c>
      <c r="E104"/>
    </row>
    <row r="105" spans="1:45" x14ac:dyDescent="0.25">
      <c r="A105" s="30">
        <v>156.24722518287504</v>
      </c>
      <c r="E105"/>
      <c r="AA105" s="32" t="s">
        <v>8</v>
      </c>
    </row>
    <row r="106" spans="1:45" x14ac:dyDescent="0.25">
      <c r="A106" s="30">
        <v>142.04293198443185</v>
      </c>
      <c r="E106"/>
      <c r="AA106" s="27" t="s">
        <v>8</v>
      </c>
      <c r="AB106" s="32" t="s">
        <v>7</v>
      </c>
    </row>
    <row r="107" spans="1:45" x14ac:dyDescent="0.25">
      <c r="A107" s="30">
        <v>129.1299381676653</v>
      </c>
      <c r="E107"/>
      <c r="W107" s="27" t="s">
        <v>8</v>
      </c>
      <c r="Y107" s="27" t="s">
        <v>8</v>
      </c>
      <c r="AA107" s="27" t="s">
        <v>8</v>
      </c>
      <c r="AB107" s="27" t="s">
        <v>7</v>
      </c>
      <c r="AC107" s="32"/>
      <c r="AQ107" s="27" t="s">
        <v>8</v>
      </c>
    </row>
    <row r="108" spans="1:45" x14ac:dyDescent="0.25">
      <c r="A108" s="30">
        <v>117.39085287969573</v>
      </c>
      <c r="E108"/>
      <c r="W108" s="27" t="s">
        <v>8</v>
      </c>
      <c r="X108" s="27" t="s">
        <v>7</v>
      </c>
      <c r="Y108" s="27" t="s">
        <v>8</v>
      </c>
      <c r="Z108" s="27" t="s">
        <v>7</v>
      </c>
      <c r="AA108" s="27" t="s">
        <v>8</v>
      </c>
      <c r="AB108" s="27" t="s">
        <v>7</v>
      </c>
      <c r="AD108" s="32"/>
      <c r="AE108" s="27" t="s">
        <v>8</v>
      </c>
      <c r="AK108" s="27" t="s">
        <v>8</v>
      </c>
      <c r="AM108" s="27" t="s">
        <v>8</v>
      </c>
      <c r="AQ108" s="27" t="s">
        <v>8</v>
      </c>
      <c r="AR108" s="27" t="s">
        <v>7</v>
      </c>
    </row>
    <row r="109" spans="1:45" x14ac:dyDescent="0.25">
      <c r="A109" s="30">
        <v>106.71895716335975</v>
      </c>
      <c r="E109"/>
      <c r="W109" s="27" t="s">
        <v>8</v>
      </c>
      <c r="X109" s="27" t="s">
        <v>7</v>
      </c>
      <c r="Y109" s="27" t="s">
        <v>8</v>
      </c>
      <c r="Z109" s="27" t="s">
        <v>7</v>
      </c>
      <c r="AA109" s="27" t="s">
        <v>8</v>
      </c>
      <c r="AB109" s="27" t="s">
        <v>7</v>
      </c>
      <c r="AC109" s="27" t="s">
        <v>8</v>
      </c>
      <c r="AE109" s="32" t="s">
        <v>8</v>
      </c>
      <c r="AF109" s="32" t="s">
        <v>7</v>
      </c>
      <c r="AI109" s="27" t="s">
        <v>8</v>
      </c>
      <c r="AK109" s="27" t="s">
        <v>8</v>
      </c>
      <c r="AL109" s="27" t="s">
        <v>7</v>
      </c>
      <c r="AM109" s="27" t="s">
        <v>8</v>
      </c>
      <c r="AN109" s="27" t="s">
        <v>7</v>
      </c>
      <c r="AO109" s="27" t="s">
        <v>8</v>
      </c>
      <c r="AQ109" s="27" t="s">
        <v>8</v>
      </c>
      <c r="AR109" s="27" t="s">
        <v>7</v>
      </c>
    </row>
    <row r="110" spans="1:45" x14ac:dyDescent="0.25">
      <c r="A110" s="30">
        <v>97.017233784872488</v>
      </c>
      <c r="E110"/>
      <c r="W110" s="27" t="s">
        <v>8</v>
      </c>
      <c r="X110" s="27" t="s">
        <v>7</v>
      </c>
      <c r="Y110" s="27" t="s">
        <v>8</v>
      </c>
      <c r="Z110" s="27" t="s">
        <v>7</v>
      </c>
      <c r="AA110" s="27" t="s">
        <v>8</v>
      </c>
      <c r="AB110" s="27" t="s">
        <v>7</v>
      </c>
      <c r="AC110" s="27" t="s">
        <v>8</v>
      </c>
      <c r="AD110" s="27" t="s">
        <v>7</v>
      </c>
      <c r="AE110" s="27" t="s">
        <v>8</v>
      </c>
      <c r="AF110" s="27" t="s">
        <v>7</v>
      </c>
      <c r="AG110" s="32"/>
      <c r="AI110" s="27" t="s">
        <v>8</v>
      </c>
      <c r="AJ110" s="27" t="s">
        <v>7</v>
      </c>
      <c r="AK110" s="27" t="s">
        <v>8</v>
      </c>
      <c r="AL110" s="27" t="s">
        <v>7</v>
      </c>
      <c r="AM110" s="27" t="s">
        <v>8</v>
      </c>
      <c r="AN110" s="27" t="s">
        <v>7</v>
      </c>
      <c r="AO110" s="27" t="s">
        <v>8</v>
      </c>
      <c r="AP110" s="27" t="s">
        <v>7</v>
      </c>
      <c r="AQ110" s="27" t="s">
        <v>8</v>
      </c>
      <c r="AR110" s="27" t="s">
        <v>7</v>
      </c>
    </row>
    <row r="111" spans="1:45" x14ac:dyDescent="0.25">
      <c r="A111" s="30">
        <v>88.197485258974979</v>
      </c>
      <c r="C111" s="1" t="str">
        <f>ADDRESS(C121-1,1,1,1)</f>
        <v>$A$121</v>
      </c>
      <c r="D111" s="1" t="str">
        <f>ADDRESS(C121-1,D121,1,1)</f>
        <v>$AT$121</v>
      </c>
      <c r="E111"/>
      <c r="W111" s="27" t="s">
        <v>8</v>
      </c>
      <c r="X111" s="27" t="s">
        <v>7</v>
      </c>
      <c r="Z111" s="27" t="s">
        <v>7</v>
      </c>
      <c r="AB111" s="27" t="s">
        <v>7</v>
      </c>
      <c r="AC111" s="27" t="s">
        <v>8</v>
      </c>
      <c r="AD111" s="27" t="s">
        <v>7</v>
      </c>
      <c r="AE111" s="27" t="s">
        <v>8</v>
      </c>
      <c r="AF111" s="27" t="s">
        <v>7</v>
      </c>
      <c r="AH111" s="32"/>
      <c r="AI111" s="27" t="s">
        <v>8</v>
      </c>
      <c r="AJ111" s="27" t="s">
        <v>7</v>
      </c>
      <c r="AK111" s="27" t="s">
        <v>8</v>
      </c>
      <c r="AL111" s="27" t="s">
        <v>7</v>
      </c>
      <c r="AM111" s="27" t="s">
        <v>8</v>
      </c>
      <c r="AN111" s="27" t="s">
        <v>7</v>
      </c>
      <c r="AO111" s="27" t="s">
        <v>8</v>
      </c>
      <c r="AP111" s="27" t="s">
        <v>7</v>
      </c>
      <c r="AQ111" s="27" t="s">
        <v>8</v>
      </c>
      <c r="AR111" s="27" t="s">
        <v>7</v>
      </c>
    </row>
    <row r="112" spans="1:45" x14ac:dyDescent="0.25">
      <c r="A112" s="30">
        <v>80.179532053613613</v>
      </c>
      <c r="C112" s="1" t="str">
        <f>ADDRESS(C121,1,1,1)</f>
        <v>$A$122</v>
      </c>
      <c r="D112" s="1" t="str">
        <f>ADDRESS(C121,D121-1,1,1)</f>
        <v>$AS$122</v>
      </c>
      <c r="E112"/>
      <c r="S112" s="27" t="s">
        <v>8</v>
      </c>
      <c r="W112" s="27" t="s">
        <v>8</v>
      </c>
      <c r="AB112" s="27" t="s">
        <v>7</v>
      </c>
      <c r="AC112" s="27" t="s">
        <v>8</v>
      </c>
      <c r="AD112" s="27" t="s">
        <v>7</v>
      </c>
      <c r="AE112" s="27" t="s">
        <v>8</v>
      </c>
      <c r="AF112" s="27" t="s">
        <v>7</v>
      </c>
      <c r="AI112" s="32" t="s">
        <v>8</v>
      </c>
      <c r="AJ112" s="27" t="s">
        <v>7</v>
      </c>
      <c r="AK112" s="27" t="s">
        <v>8</v>
      </c>
      <c r="AL112" s="27" t="s">
        <v>7</v>
      </c>
      <c r="AM112" s="27" t="s">
        <v>8</v>
      </c>
      <c r="AN112" s="27" t="s">
        <v>7</v>
      </c>
      <c r="AP112" s="27" t="s">
        <v>7</v>
      </c>
      <c r="AR112" s="27" t="s">
        <v>7</v>
      </c>
      <c r="AS112" s="27" t="s">
        <v>8</v>
      </c>
    </row>
    <row r="113" spans="1:46" x14ac:dyDescent="0.25">
      <c r="A113" s="30">
        <v>72.890483685103277</v>
      </c>
      <c r="C113" s="1" t="str">
        <f>ADDRESS(C121+1,1,1,1)</f>
        <v>$A$123</v>
      </c>
      <c r="D113" s="1" t="str">
        <f>ADDRESS(C121-1,D121+1,1,1)</f>
        <v>$AU$121</v>
      </c>
      <c r="S113" s="27" t="s">
        <v>8</v>
      </c>
      <c r="T113" s="27" t="s">
        <v>7</v>
      </c>
      <c r="W113" s="27" t="s">
        <v>8</v>
      </c>
      <c r="AB113" s="27" t="s">
        <v>7</v>
      </c>
      <c r="AC113" s="27" t="s">
        <v>8</v>
      </c>
      <c r="AD113" s="27" t="s">
        <v>7</v>
      </c>
      <c r="AE113" s="27" t="s">
        <v>8</v>
      </c>
      <c r="AF113" s="27" t="s">
        <v>7</v>
      </c>
      <c r="AI113" s="27" t="s">
        <v>8</v>
      </c>
      <c r="AJ113" s="27" t="s">
        <v>7</v>
      </c>
      <c r="AL113" s="27" t="s">
        <v>7</v>
      </c>
      <c r="AM113" s="27" t="s">
        <v>8</v>
      </c>
      <c r="AR113" s="27" t="s">
        <v>7</v>
      </c>
      <c r="AS113" s="27" t="s">
        <v>8</v>
      </c>
      <c r="AT113" s="27" t="s">
        <v>7</v>
      </c>
    </row>
    <row r="114" spans="1:46" x14ac:dyDescent="0.25">
      <c r="A114" s="30">
        <v>66.26407607736661</v>
      </c>
      <c r="C114" s="1" t="str">
        <f>ADDRESS(C121,D121,1,1)</f>
        <v>$AT$122</v>
      </c>
      <c r="D114" s="1" t="str">
        <f>ADDRESS(C121+1,D121+1,1,1)</f>
        <v>$AU$123</v>
      </c>
      <c r="S114" s="27" t="s">
        <v>8</v>
      </c>
      <c r="T114" s="27" t="s">
        <v>7</v>
      </c>
      <c r="W114" s="27" t="s">
        <v>8</v>
      </c>
      <c r="AB114" s="27" t="s">
        <v>7</v>
      </c>
      <c r="AC114" s="27" t="s">
        <v>8</v>
      </c>
      <c r="AD114" s="27" t="s">
        <v>7</v>
      </c>
      <c r="AE114" s="27" t="s">
        <v>8</v>
      </c>
      <c r="AF114" s="27" t="s">
        <v>7</v>
      </c>
      <c r="AG114" s="27" t="s">
        <v>8</v>
      </c>
      <c r="AI114" s="27" t="s">
        <v>8</v>
      </c>
      <c r="AL114" s="27" t="s">
        <v>7</v>
      </c>
      <c r="AR114" s="27" t="s">
        <v>7</v>
      </c>
      <c r="AS114" s="27" t="s">
        <v>8</v>
      </c>
      <c r="AT114" s="27" t="s">
        <v>7</v>
      </c>
    </row>
    <row r="115" spans="1:46" x14ac:dyDescent="0.25">
      <c r="A115" s="30">
        <v>60.240069161242367</v>
      </c>
      <c r="C115" s="1" t="str">
        <f>ADDRESS(C121+1,D121,1,1)</f>
        <v>$AT$123</v>
      </c>
      <c r="S115" s="27" t="s">
        <v>8</v>
      </c>
      <c r="T115" s="27" t="s">
        <v>7</v>
      </c>
      <c r="U115" s="27" t="s">
        <v>8</v>
      </c>
      <c r="W115" s="27" t="s">
        <v>8</v>
      </c>
      <c r="AB115" s="27" t="s">
        <v>7</v>
      </c>
      <c r="AC115" s="27" t="s">
        <v>8</v>
      </c>
      <c r="AD115" s="27" t="s">
        <v>7</v>
      </c>
      <c r="AF115" s="27" t="s">
        <v>7</v>
      </c>
      <c r="AG115" s="27" t="s">
        <v>8</v>
      </c>
      <c r="AH115" s="27" t="s">
        <v>7</v>
      </c>
      <c r="AI115" s="27" t="s">
        <v>8</v>
      </c>
      <c r="AL115" s="32"/>
      <c r="AR115" s="27" t="s">
        <v>7</v>
      </c>
      <c r="AT115" s="27" t="s">
        <v>7</v>
      </c>
    </row>
    <row r="116" spans="1:46" x14ac:dyDescent="0.25">
      <c r="A116" s="30">
        <v>54.763699237493057</v>
      </c>
      <c r="C116" s="1">
        <f>C117-1</f>
        <v>121</v>
      </c>
      <c r="S116" s="27" t="s">
        <v>8</v>
      </c>
      <c r="T116" s="27" t="s">
        <v>7</v>
      </c>
      <c r="U116" s="27" t="s">
        <v>8</v>
      </c>
      <c r="V116" s="27" t="s">
        <v>7</v>
      </c>
      <c r="W116" s="27" t="s">
        <v>8</v>
      </c>
      <c r="AB116" s="27" t="s">
        <v>7</v>
      </c>
      <c r="AF116" s="27" t="s">
        <v>7</v>
      </c>
      <c r="AG116" s="32" t="s">
        <v>8</v>
      </c>
      <c r="AH116" s="27" t="s">
        <v>7</v>
      </c>
      <c r="AI116" s="27" t="s">
        <v>8</v>
      </c>
      <c r="AK116" s="32"/>
      <c r="AT116" s="27" t="s">
        <v>7</v>
      </c>
    </row>
    <row r="117" spans="1:46" x14ac:dyDescent="0.25">
      <c r="A117" s="30">
        <v>49.785181124993684</v>
      </c>
      <c r="C117" s="1">
        <f>C121</f>
        <v>122</v>
      </c>
      <c r="D117" s="1">
        <f>D121</f>
        <v>46</v>
      </c>
      <c r="S117" s="27" t="s">
        <v>8</v>
      </c>
      <c r="T117" s="27" t="s">
        <v>7</v>
      </c>
      <c r="U117" s="27" t="s">
        <v>8</v>
      </c>
      <c r="V117" s="27" t="s">
        <v>7</v>
      </c>
      <c r="W117" s="27" t="s">
        <v>8</v>
      </c>
      <c r="AF117" s="32" t="s">
        <v>7</v>
      </c>
      <c r="AH117" s="18" t="s">
        <v>7</v>
      </c>
      <c r="AI117" s="27" t="s">
        <v>8</v>
      </c>
      <c r="AJ117" s="32"/>
      <c r="AT117" s="27" t="s">
        <v>7</v>
      </c>
    </row>
    <row r="118" spans="1:46" x14ac:dyDescent="0.25">
      <c r="A118" s="30">
        <v>45.259255568176073</v>
      </c>
      <c r="C118" s="1">
        <f>C117+1</f>
        <v>123</v>
      </c>
      <c r="D118" s="1">
        <f>D117+1</f>
        <v>47</v>
      </c>
      <c r="S118" s="27" t="s">
        <v>8</v>
      </c>
      <c r="T118" s="27" t="s">
        <v>7</v>
      </c>
      <c r="U118" s="27" t="s">
        <v>8</v>
      </c>
      <c r="V118" s="27" t="s">
        <v>7</v>
      </c>
      <c r="AE118" s="32"/>
      <c r="AH118" s="27" t="s">
        <v>7</v>
      </c>
      <c r="AI118" s="32" t="s">
        <v>8</v>
      </c>
      <c r="AT118" s="27" t="s">
        <v>7</v>
      </c>
    </row>
    <row r="119" spans="1:46" x14ac:dyDescent="0.25">
      <c r="A119" s="30">
        <v>41.144777789250973</v>
      </c>
      <c r="S119" s="27" t="s">
        <v>8</v>
      </c>
      <c r="T119" s="27" t="s">
        <v>7</v>
      </c>
      <c r="AD119" s="32"/>
      <c r="AH119" s="32" t="s">
        <v>7</v>
      </c>
      <c r="AT119" s="27" t="s">
        <v>7</v>
      </c>
    </row>
    <row r="120" spans="1:46" x14ac:dyDescent="0.25">
      <c r="A120" s="30">
        <v>37.404343444773609</v>
      </c>
      <c r="C120" s="1" t="s">
        <v>9</v>
      </c>
      <c r="S120" s="27" t="s">
        <v>8</v>
      </c>
      <c r="AC120" s="32"/>
      <c r="AT120" s="27" t="s">
        <v>7</v>
      </c>
    </row>
    <row r="121" spans="1:46" x14ac:dyDescent="0.25">
      <c r="A121" s="30">
        <v>34.003948586157826</v>
      </c>
      <c r="C121" s="18">
        <v>122</v>
      </c>
      <c r="D121" s="19">
        <v>46</v>
      </c>
      <c r="E121" s="18"/>
      <c r="Q121" s="27" t="s">
        <v>8</v>
      </c>
      <c r="S121" s="27" t="s">
        <v>8</v>
      </c>
      <c r="AB121" s="32"/>
      <c r="AT121" s="27" t="s">
        <v>7</v>
      </c>
    </row>
    <row r="122" spans="1:46" x14ac:dyDescent="0.25">
      <c r="A122" s="30">
        <v>30.912680532870748</v>
      </c>
      <c r="C122" s="1" t="str">
        <f>INDEX(1:1048576,C117,D117)</f>
        <v>O</v>
      </c>
      <c r="O122" s="27" t="s">
        <v>8</v>
      </c>
      <c r="Q122" s="27" t="s">
        <v>8</v>
      </c>
      <c r="R122" s="27" t="s">
        <v>7</v>
      </c>
      <c r="S122" s="27" t="s">
        <v>8</v>
      </c>
      <c r="AA122" s="32"/>
      <c r="AT122" s="27" t="s">
        <v>7</v>
      </c>
    </row>
    <row r="123" spans="1:46" x14ac:dyDescent="0.25">
      <c r="A123" s="30">
        <v>28.102436848064315</v>
      </c>
      <c r="C123" s="1" t="str">
        <f>"R"&amp;C121</f>
        <v>R122</v>
      </c>
      <c r="D123" s="1" t="str">
        <f>"C"&amp;D121</f>
        <v>C46</v>
      </c>
      <c r="O123" s="27" t="s">
        <v>8</v>
      </c>
      <c r="P123" s="27" t="s">
        <v>7</v>
      </c>
      <c r="Q123" s="27" t="s">
        <v>8</v>
      </c>
      <c r="R123" s="27" t="s">
        <v>7</v>
      </c>
      <c r="S123" s="27" t="s">
        <v>8</v>
      </c>
      <c r="Z123" s="32"/>
    </row>
    <row r="124" spans="1:46" x14ac:dyDescent="0.25">
      <c r="A124" s="30">
        <v>25.547669861876649</v>
      </c>
      <c r="C124" s="1">
        <f>SUM(C130:D130)</f>
        <v>0</v>
      </c>
      <c r="D124" s="1">
        <f>IF(C124=0,0,1)</f>
        <v>0</v>
      </c>
      <c r="O124" s="27" t="s">
        <v>8</v>
      </c>
      <c r="P124" s="27" t="s">
        <v>7</v>
      </c>
      <c r="Q124" s="27" t="s">
        <v>8</v>
      </c>
      <c r="R124" s="27" t="s">
        <v>7</v>
      </c>
      <c r="Y124" s="32"/>
    </row>
    <row r="125" spans="1:46" x14ac:dyDescent="0.25">
      <c r="A125" s="30">
        <v>23.225154419887861</v>
      </c>
      <c r="O125" s="27" t="s">
        <v>8</v>
      </c>
      <c r="P125" s="27" t="s">
        <v>7</v>
      </c>
      <c r="X125" s="32"/>
    </row>
    <row r="126" spans="1:46" x14ac:dyDescent="0.25">
      <c r="A126" s="30">
        <v>21.113776745352599</v>
      </c>
      <c r="C126" s="1" t="s">
        <v>10</v>
      </c>
      <c r="O126" s="27" t="s">
        <v>8</v>
      </c>
      <c r="W126" s="32"/>
    </row>
    <row r="127" spans="1:46" x14ac:dyDescent="0.25">
      <c r="A127" s="30">
        <v>19.194342495775089</v>
      </c>
      <c r="C127" s="30">
        <v>30.912680532870748</v>
      </c>
      <c r="D127"/>
      <c r="I127" s="27" t="s">
        <v>8</v>
      </c>
      <c r="O127" s="27" t="s">
        <v>8</v>
      </c>
      <c r="V127" s="32"/>
    </row>
    <row r="128" spans="1:46" x14ac:dyDescent="0.25">
      <c r="A128" s="30">
        <v>17.449402268886445</v>
      </c>
      <c r="I128" s="27" t="s">
        <v>8</v>
      </c>
      <c r="J128" s="27" t="s">
        <v>7</v>
      </c>
      <c r="O128" s="27" t="s">
        <v>8</v>
      </c>
      <c r="U128" s="32"/>
    </row>
    <row r="129" spans="1:20" x14ac:dyDescent="0.25">
      <c r="A129" s="30">
        <v>15.863092971714948</v>
      </c>
      <c r="C129" s="1" t="s">
        <v>11</v>
      </c>
      <c r="D129" s="1" t="s">
        <v>12</v>
      </c>
      <c r="E129"/>
      <c r="I129" s="27" t="s">
        <v>8</v>
      </c>
      <c r="J129" s="27" t="s">
        <v>7</v>
      </c>
      <c r="K129" s="27" t="s">
        <v>8</v>
      </c>
      <c r="O129" s="27" t="s">
        <v>8</v>
      </c>
      <c r="T129" s="32"/>
    </row>
    <row r="130" spans="1:20" x14ac:dyDescent="0.25">
      <c r="A130" s="30">
        <v>14.420993610649951</v>
      </c>
      <c r="C130" s="6"/>
      <c r="D130" s="6"/>
      <c r="E130"/>
      <c r="I130" s="27" t="s">
        <v>8</v>
      </c>
      <c r="J130" s="27" t="s">
        <v>7</v>
      </c>
      <c r="K130" s="27" t="s">
        <v>8</v>
      </c>
      <c r="L130" s="27" t="s">
        <v>7</v>
      </c>
      <c r="O130" s="27" t="s">
        <v>8</v>
      </c>
      <c r="S130" s="32"/>
    </row>
    <row r="131" spans="1:20" x14ac:dyDescent="0.25">
      <c r="A131" s="30">
        <v>13.109994191499954</v>
      </c>
      <c r="E131"/>
      <c r="I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O131" s="27" t="s">
        <v>8</v>
      </c>
      <c r="R131" s="32"/>
    </row>
    <row r="132" spans="1:20" x14ac:dyDescent="0.25">
      <c r="A132" s="30">
        <v>11.918176537727231</v>
      </c>
      <c r="C132" s="1" t="s">
        <v>13</v>
      </c>
      <c r="E132"/>
      <c r="I132" s="27" t="s">
        <v>8</v>
      </c>
      <c r="J132" s="27" t="s">
        <v>7</v>
      </c>
      <c r="L132" s="27" t="s">
        <v>7</v>
      </c>
      <c r="M132" s="27" t="s">
        <v>8</v>
      </c>
      <c r="N132" s="27" t="s">
        <v>7</v>
      </c>
      <c r="O132" s="27" t="s">
        <v>8</v>
      </c>
      <c r="Q132" s="32"/>
    </row>
    <row r="133" spans="1:20" x14ac:dyDescent="0.25">
      <c r="A133" s="30">
        <v>10.834705943388391</v>
      </c>
      <c r="C133" s="1" t="str">
        <f>C122</f>
        <v>O</v>
      </c>
      <c r="E133" t="s">
        <v>8</v>
      </c>
      <c r="I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  <c r="P133" s="32"/>
    </row>
    <row r="134" spans="1:20" x14ac:dyDescent="0.25">
      <c r="A134" s="30">
        <v>9.849732675807628</v>
      </c>
      <c r="C134"/>
      <c r="D134"/>
      <c r="E134" t="s">
        <v>8</v>
      </c>
      <c r="F134" s="27" t="s">
        <v>7</v>
      </c>
      <c r="I134" s="27" t="s">
        <v>8</v>
      </c>
      <c r="L134" s="27" t="s">
        <v>7</v>
      </c>
      <c r="M134" s="27" t="s">
        <v>8</v>
      </c>
      <c r="N134" s="27" t="s">
        <v>7</v>
      </c>
      <c r="O134" s="32" t="s">
        <v>8</v>
      </c>
    </row>
    <row r="135" spans="1:20" x14ac:dyDescent="0.25">
      <c r="A135" s="30">
        <v>8.9543024325523888</v>
      </c>
      <c r="C135" s="1" t="s">
        <v>14</v>
      </c>
      <c r="E135" t="s">
        <v>8</v>
      </c>
      <c r="F135" s="27" t="s">
        <v>7</v>
      </c>
      <c r="I135" s="27" t="s">
        <v>8</v>
      </c>
      <c r="L135" s="27" t="s">
        <v>7</v>
      </c>
      <c r="N135" s="32" t="s">
        <v>7</v>
      </c>
    </row>
    <row r="136" spans="1:20" x14ac:dyDescent="0.25">
      <c r="A136" s="30">
        <v>8.140274938683989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 t="s">
        <v>8</v>
      </c>
      <c r="F136" s="27" t="s">
        <v>7</v>
      </c>
      <c r="I136" s="27" t="s">
        <v>8</v>
      </c>
    </row>
    <row r="137" spans="1:20" x14ac:dyDescent="0.25">
      <c r="A137" s="30">
        <v>7.4002499442581717</v>
      </c>
      <c r="E137" t="s">
        <v>8</v>
      </c>
      <c r="F137" s="27" t="s">
        <v>7</v>
      </c>
      <c r="G137" s="27" t="s">
        <v>8</v>
      </c>
      <c r="I137" s="27" t="s">
        <v>8</v>
      </c>
    </row>
    <row r="138" spans="1:20" x14ac:dyDescent="0.25">
      <c r="A138" s="30">
        <v>6.72749994932561</v>
      </c>
      <c r="C138" s="1">
        <f>IF(AND(C136="",D136=""),0,IF(AND(C133="X",D136="X"),1,IF(AND(C133="O",C136="O"),2,(IF(AND(C133="X",D136="O"),3,4)))))</f>
        <v>2</v>
      </c>
      <c r="E138" t="s">
        <v>8</v>
      </c>
      <c r="F138" s="27" t="s">
        <v>7</v>
      </c>
      <c r="G138" s="27" t="s">
        <v>8</v>
      </c>
      <c r="H138" s="27" t="s">
        <v>7</v>
      </c>
      <c r="I138" s="27" t="s">
        <v>8</v>
      </c>
    </row>
    <row r="139" spans="1:20" x14ac:dyDescent="0.25">
      <c r="A139" s="30">
        <v>6.1159090448414632</v>
      </c>
      <c r="E139" t="s">
        <v>8</v>
      </c>
      <c r="F139" s="27" t="s">
        <v>7</v>
      </c>
      <c r="G139" s="27" t="s">
        <v>8</v>
      </c>
      <c r="H139" s="27" t="s">
        <v>7</v>
      </c>
      <c r="I139" s="27" t="s">
        <v>8</v>
      </c>
    </row>
    <row r="140" spans="1:20" x14ac:dyDescent="0.25">
      <c r="A140" s="30">
        <v>5.5599173134922388</v>
      </c>
      <c r="C140" s="1">
        <v>0</v>
      </c>
      <c r="E140" t="s">
        <v>8</v>
      </c>
      <c r="F140" s="27" t="s">
        <v>7</v>
      </c>
      <c r="H140" s="27" t="s">
        <v>7</v>
      </c>
    </row>
    <row r="141" spans="1:20" x14ac:dyDescent="0.25">
      <c r="A141" s="30">
        <v>5.0544702849929442</v>
      </c>
      <c r="C141" s="1">
        <v>1</v>
      </c>
      <c r="E141" t="s">
        <v>8</v>
      </c>
    </row>
    <row r="142" spans="1:20" x14ac:dyDescent="0.25">
      <c r="A142" s="30">
        <v>4.594972986357222</v>
      </c>
      <c r="C142" s="1">
        <v>2</v>
      </c>
      <c r="E142" t="s">
        <v>8</v>
      </c>
    </row>
    <row r="143" spans="1:20" x14ac:dyDescent="0.25">
      <c r="A143" s="30">
        <v>4.1772481694156562</v>
      </c>
      <c r="C143" s="1">
        <v>3</v>
      </c>
      <c r="E143" t="s">
        <v>8</v>
      </c>
    </row>
    <row r="144" spans="1:20" x14ac:dyDescent="0.25">
      <c r="A144" s="30">
        <v>3.7974983358324148</v>
      </c>
      <c r="C144" s="1">
        <v>4</v>
      </c>
      <c r="E144" t="s">
        <v>8</v>
      </c>
    </row>
    <row r="145" spans="1:5" x14ac:dyDescent="0.25">
      <c r="A145" s="30">
        <v>3.4522712143931042</v>
      </c>
      <c r="B145"/>
      <c r="C145"/>
      <c r="D145"/>
      <c r="E145" t="s">
        <v>8</v>
      </c>
    </row>
    <row r="146" spans="1:5" x14ac:dyDescent="0.25">
      <c r="A146" s="30">
        <v>3.1384283767210035</v>
      </c>
      <c r="B146"/>
      <c r="C146"/>
      <c r="D146"/>
      <c r="E146" t="s">
        <v>8</v>
      </c>
    </row>
    <row r="147" spans="1:5" x14ac:dyDescent="0.25">
      <c r="A147" s="30">
        <v>2.8531167061100029</v>
      </c>
      <c r="B147"/>
      <c r="C147"/>
      <c r="D147"/>
      <c r="E147" t="s">
        <v>8</v>
      </c>
    </row>
    <row r="148" spans="1:5" x14ac:dyDescent="0.25">
      <c r="A148" s="30">
        <v>2.5937424601000023</v>
      </c>
      <c r="B148"/>
      <c r="C148"/>
      <c r="D148"/>
      <c r="E148" t="s">
        <v>8</v>
      </c>
    </row>
    <row r="149" spans="1:5" x14ac:dyDescent="0.25">
      <c r="A149" s="30">
        <v>2.3579476910000019</v>
      </c>
      <c r="B149"/>
      <c r="C149"/>
      <c r="D149"/>
      <c r="E149" t="s">
        <v>8</v>
      </c>
    </row>
    <row r="150" spans="1:5" x14ac:dyDescent="0.25">
      <c r="A150" s="30">
        <v>2.1435888100000016</v>
      </c>
      <c r="B150"/>
      <c r="C150"/>
      <c r="D150"/>
      <c r="E150" t="s">
        <v>8</v>
      </c>
    </row>
    <row r="151" spans="1:5" x14ac:dyDescent="0.25">
      <c r="A151" s="30">
        <v>1.9487171000000014</v>
      </c>
      <c r="B151"/>
      <c r="C151"/>
      <c r="D151"/>
      <c r="E151" t="s">
        <v>8</v>
      </c>
    </row>
    <row r="152" spans="1:5" x14ac:dyDescent="0.25">
      <c r="A152" s="30">
        <v>1.7715610000000011</v>
      </c>
      <c r="B152"/>
      <c r="C152"/>
      <c r="D152"/>
      <c r="E152" t="s">
        <v>8</v>
      </c>
    </row>
    <row r="153" spans="1:5" x14ac:dyDescent="0.25">
      <c r="A153" s="30">
        <v>1.6105100000000008</v>
      </c>
      <c r="B153"/>
      <c r="C153"/>
      <c r="D153"/>
      <c r="E153" t="s">
        <v>8</v>
      </c>
    </row>
    <row r="154" spans="1:5" x14ac:dyDescent="0.25">
      <c r="A154" s="30">
        <v>1.4641000000000006</v>
      </c>
      <c r="B154"/>
      <c r="C154"/>
      <c r="D154"/>
      <c r="E154" t="s">
        <v>8</v>
      </c>
    </row>
    <row r="155" spans="1:5" x14ac:dyDescent="0.25">
      <c r="A155" s="30">
        <v>1.3310000000000004</v>
      </c>
      <c r="B155"/>
      <c r="C155"/>
      <c r="D155"/>
      <c r="E155" t="s">
        <v>8</v>
      </c>
    </row>
    <row r="156" spans="1:5" x14ac:dyDescent="0.25">
      <c r="A156" s="30">
        <v>1.2100000000000002</v>
      </c>
      <c r="B156"/>
      <c r="C156"/>
      <c r="D156"/>
      <c r="E156" t="s">
        <v>8</v>
      </c>
    </row>
    <row r="157" spans="1:5" x14ac:dyDescent="0.25">
      <c r="A157" s="30">
        <v>1.1000000000000001</v>
      </c>
      <c r="B157"/>
      <c r="C157"/>
      <c r="D157"/>
      <c r="E157" t="s">
        <v>8</v>
      </c>
    </row>
    <row r="158" spans="1:5" x14ac:dyDescent="0.25">
      <c r="A158" s="30">
        <v>1</v>
      </c>
      <c r="B158"/>
      <c r="C158"/>
      <c r="D158"/>
      <c r="E158" t="s">
        <v>8</v>
      </c>
    </row>
    <row r="159" spans="1:5" x14ac:dyDescent="0.25">
      <c r="A159" s="30">
        <v>0.90909090909090895</v>
      </c>
      <c r="B159"/>
      <c r="C159"/>
      <c r="D159"/>
      <c r="E159"/>
    </row>
    <row r="160" spans="1:5" x14ac:dyDescent="0.25">
      <c r="A160" s="30">
        <v>0.82644628099173523</v>
      </c>
      <c r="B160"/>
      <c r="C160"/>
      <c r="D160"/>
      <c r="E160"/>
    </row>
    <row r="161" spans="1:5" x14ac:dyDescent="0.25">
      <c r="A161" s="30">
        <v>0.75131480090157732</v>
      </c>
      <c r="B161"/>
      <c r="C161"/>
      <c r="D161"/>
      <c r="E161"/>
    </row>
    <row r="162" spans="1:5" x14ac:dyDescent="0.25">
      <c r="A162" s="30">
        <v>0.68301345536507019</v>
      </c>
      <c r="B162"/>
      <c r="C162"/>
      <c r="D162"/>
      <c r="E162"/>
    </row>
    <row r="163" spans="1:5" x14ac:dyDescent="0.25">
      <c r="A163" s="30">
        <v>0.6209213230591546</v>
      </c>
      <c r="B163"/>
      <c r="C163"/>
      <c r="D163"/>
      <c r="E163"/>
    </row>
    <row r="164" spans="1:5" x14ac:dyDescent="0.25">
      <c r="A164" s="30">
        <v>0.56447393005377677</v>
      </c>
      <c r="B164"/>
      <c r="C164"/>
      <c r="D164"/>
      <c r="E164"/>
    </row>
    <row r="165" spans="1:5" x14ac:dyDescent="0.25">
      <c r="A165" s="30">
        <v>0.51315811823070612</v>
      </c>
      <c r="B165"/>
      <c r="C165"/>
      <c r="D165"/>
      <c r="E165"/>
    </row>
    <row r="166" spans="1:5" x14ac:dyDescent="0.25">
      <c r="A166" s="30">
        <v>0.46650738020973276</v>
      </c>
      <c r="B166"/>
      <c r="C166"/>
      <c r="D166"/>
      <c r="E166"/>
    </row>
    <row r="167" spans="1:5" x14ac:dyDescent="0.25">
      <c r="A167" s="30">
        <v>0.42409761837248428</v>
      </c>
      <c r="B167"/>
      <c r="C167"/>
      <c r="D167"/>
      <c r="E167"/>
    </row>
    <row r="168" spans="1:5" x14ac:dyDescent="0.25">
      <c r="A168" s="30">
        <v>0.38554328942953109</v>
      </c>
      <c r="B168"/>
      <c r="C168"/>
      <c r="D168"/>
      <c r="E168"/>
    </row>
    <row r="169" spans="1:5" x14ac:dyDescent="0.25">
      <c r="A169" s="30">
        <v>0.35049389948139187</v>
      </c>
      <c r="B169"/>
      <c r="C169"/>
      <c r="D169"/>
      <c r="E169"/>
    </row>
    <row r="170" spans="1:5" x14ac:dyDescent="0.25">
      <c r="A170" s="30">
        <v>0.31863081771035617</v>
      </c>
      <c r="B170"/>
      <c r="C170"/>
      <c r="D170"/>
      <c r="E170"/>
    </row>
    <row r="171" spans="1:5" x14ac:dyDescent="0.25">
      <c r="A171" s="30">
        <v>0.28966437973668741</v>
      </c>
    </row>
    <row r="172" spans="1:5" x14ac:dyDescent="0.25">
      <c r="A172" s="30">
        <v>0.2633312543060794</v>
      </c>
    </row>
    <row r="173" spans="1:5" x14ac:dyDescent="0.25">
      <c r="A173" s="30">
        <v>0.23939204936916306</v>
      </c>
    </row>
    <row r="174" spans="1:5" x14ac:dyDescent="0.25">
      <c r="A174" s="30">
        <v>0.2176291357901482</v>
      </c>
    </row>
    <row r="175" spans="1:5" x14ac:dyDescent="0.25">
      <c r="A175" s="30">
        <v>0.19784466890013469</v>
      </c>
    </row>
    <row r="176" spans="1:5" x14ac:dyDescent="0.25">
      <c r="A176" s="30">
        <v>0.17985878990921333</v>
      </c>
    </row>
    <row r="177" spans="1:1" x14ac:dyDescent="0.25">
      <c r="A177" s="30">
        <v>0.16350799082655756</v>
      </c>
    </row>
    <row r="178" spans="1:1" x14ac:dyDescent="0.25">
      <c r="A178" s="30">
        <v>0.14864362802414322</v>
      </c>
    </row>
    <row r="179" spans="1:1" x14ac:dyDescent="0.25">
      <c r="A179" s="30">
        <v>0.13513057093103928</v>
      </c>
    </row>
    <row r="180" spans="1:1" x14ac:dyDescent="0.25">
      <c r="A180" s="30">
        <v>0.12284597357367205</v>
      </c>
    </row>
    <row r="181" spans="1:1" x14ac:dyDescent="0.25">
      <c r="A181" s="30">
        <v>0.11167815779424731</v>
      </c>
    </row>
    <row r="182" spans="1:1" x14ac:dyDescent="0.25">
      <c r="A182" s="30">
        <v>0.10152559799477026</v>
      </c>
    </row>
    <row r="183" spans="1:1" x14ac:dyDescent="0.25">
      <c r="A183" s="30">
        <v>9.2295998177063854E-2</v>
      </c>
    </row>
    <row r="184" spans="1:1" x14ac:dyDescent="0.25">
      <c r="A184" s="30">
        <v>8.3905452888239848E-2</v>
      </c>
    </row>
    <row r="185" spans="1:1" x14ac:dyDescent="0.25">
      <c r="A185" s="30">
        <v>7.6277684443854396E-2</v>
      </c>
    </row>
    <row r="186" spans="1:1" x14ac:dyDescent="0.25">
      <c r="A186" s="30">
        <v>6.9343349494413078E-2</v>
      </c>
    </row>
    <row r="187" spans="1:1" x14ac:dyDescent="0.25">
      <c r="A187" s="30">
        <v>6.3039408631284613E-2</v>
      </c>
    </row>
    <row r="188" spans="1:1" x14ac:dyDescent="0.25">
      <c r="A188" s="30">
        <v>5.7308553301167818E-2</v>
      </c>
    </row>
    <row r="189" spans="1:1" x14ac:dyDescent="0.25">
      <c r="A189" s="30">
        <v>5.2098684819243464E-2</v>
      </c>
    </row>
    <row r="190" spans="1:1" x14ac:dyDescent="0.25">
      <c r="A190" s="30">
        <v>4.7362440744766775E-2</v>
      </c>
    </row>
    <row r="191" spans="1:1" x14ac:dyDescent="0.25">
      <c r="A191" s="30">
        <v>4.3056764313424332E-2</v>
      </c>
    </row>
    <row r="192" spans="1:1" x14ac:dyDescent="0.25">
      <c r="A192" s="30">
        <v>3.9142513012203929E-2</v>
      </c>
    </row>
    <row r="193" spans="1:1" x14ac:dyDescent="0.25">
      <c r="A193" s="30">
        <v>3.55841027383672E-2</v>
      </c>
    </row>
    <row r="194" spans="1:1" x14ac:dyDescent="0.25">
      <c r="A194" s="30">
        <v>3.2349184307606541E-2</v>
      </c>
    </row>
    <row r="195" spans="1:1" x14ac:dyDescent="0.25">
      <c r="A195" s="30">
        <v>2.9408349370551395E-2</v>
      </c>
    </row>
    <row r="196" spans="1:1" x14ac:dyDescent="0.25">
      <c r="A196" s="30">
        <v>2.6734863064137627E-2</v>
      </c>
    </row>
    <row r="197" spans="1:1" x14ac:dyDescent="0.25">
      <c r="A197" s="30">
        <v>2.4304420967397839E-2</v>
      </c>
    </row>
    <row r="198" spans="1:1" x14ac:dyDescent="0.25">
      <c r="A198" s="30">
        <v>2.2094928152179852E-2</v>
      </c>
    </row>
    <row r="199" spans="1:1" x14ac:dyDescent="0.25">
      <c r="A199" s="30">
        <v>2.0086298320163499E-2</v>
      </c>
    </row>
    <row r="200" spans="1:1" x14ac:dyDescent="0.25">
      <c r="A200" s="30">
        <v>1.8260271200148632E-2</v>
      </c>
    </row>
    <row r="201" spans="1:1" x14ac:dyDescent="0.25">
      <c r="A201" s="30">
        <v>1.6600246545589663E-2</v>
      </c>
    </row>
    <row r="202" spans="1:1" x14ac:dyDescent="0.25">
      <c r="A202" s="30">
        <v>1.5091133223263328E-2</v>
      </c>
    </row>
    <row r="203" spans="1:1" x14ac:dyDescent="0.25">
      <c r="A203" s="30">
        <v>1.3719212021148477E-2</v>
      </c>
    </row>
    <row r="204" spans="1:1" x14ac:dyDescent="0.25">
      <c r="A204" s="30">
        <v>1.2472010928316795E-2</v>
      </c>
    </row>
    <row r="205" spans="1:1" x14ac:dyDescent="0.25">
      <c r="A205" s="30">
        <v>1.1338191753015267E-2</v>
      </c>
    </row>
    <row r="206" spans="1:1" x14ac:dyDescent="0.25">
      <c r="A206" s="30">
        <v>1.0307447048195697E-2</v>
      </c>
    </row>
    <row r="207" spans="1:1" x14ac:dyDescent="0.25">
      <c r="A207" s="30">
        <v>9.3704064074506318E-3</v>
      </c>
    </row>
    <row r="208" spans="1:1" x14ac:dyDescent="0.25">
      <c r="A208" s="30">
        <v>8.5185512795005747E-3</v>
      </c>
    </row>
    <row r="209" spans="1:1" x14ac:dyDescent="0.25">
      <c r="A209" s="30">
        <v>7.744137526818704E-3</v>
      </c>
    </row>
    <row r="210" spans="1:1" x14ac:dyDescent="0.25">
      <c r="A210" s="30">
        <v>7.0401250243806394E-3</v>
      </c>
    </row>
    <row r="211" spans="1:1" x14ac:dyDescent="0.25">
      <c r="A211" s="30">
        <v>6.4001136585278536E-3</v>
      </c>
    </row>
    <row r="212" spans="1:1" x14ac:dyDescent="0.25">
      <c r="A212" s="30">
        <v>5.8182851441162305E-3</v>
      </c>
    </row>
    <row r="213" spans="1:1" x14ac:dyDescent="0.25">
      <c r="A213" s="30">
        <v>5.2893501310147546E-3</v>
      </c>
    </row>
    <row r="214" spans="1:1" x14ac:dyDescent="0.25">
      <c r="A214" s="30">
        <v>4.8085001191043222E-3</v>
      </c>
    </row>
    <row r="215" spans="1:1" x14ac:dyDescent="0.25">
      <c r="A215" s="30">
        <v>4.3713637446402926E-3</v>
      </c>
    </row>
    <row r="216" spans="1:1" x14ac:dyDescent="0.25">
      <c r="A216" s="30">
        <v>3.9739670405820838E-3</v>
      </c>
    </row>
    <row r="217" spans="1:1" x14ac:dyDescent="0.25">
      <c r="A217" s="30">
        <v>3.6126973096200759E-3</v>
      </c>
    </row>
    <row r="218" spans="1:1" x14ac:dyDescent="0.25">
      <c r="A218" s="30">
        <v>3.2842702814727962E-3</v>
      </c>
    </row>
    <row r="219" spans="1:1" x14ac:dyDescent="0.25">
      <c r="A219" s="30">
        <v>2.9857002558843601E-3</v>
      </c>
    </row>
    <row r="220" spans="1:1" x14ac:dyDescent="0.25">
      <c r="A220" s="30">
        <v>2.7142729598948726E-3</v>
      </c>
    </row>
    <row r="221" spans="1:1" x14ac:dyDescent="0.25">
      <c r="A221" s="30">
        <v>2.4675208726317021E-3</v>
      </c>
    </row>
    <row r="222" spans="1:1" x14ac:dyDescent="0.25">
      <c r="A222" s="30">
        <v>2.2432007933015472E-3</v>
      </c>
    </row>
    <row r="223" spans="1:1" x14ac:dyDescent="0.25">
      <c r="A223" s="30">
        <v>2.0392734484559519E-3</v>
      </c>
    </row>
    <row r="224" spans="1:1" x14ac:dyDescent="0.25">
      <c r="A224" s="30">
        <v>1.8538849531417744E-3</v>
      </c>
    </row>
    <row r="225" spans="1:1" x14ac:dyDescent="0.25">
      <c r="A225" s="30">
        <v>1.6853499574016129E-3</v>
      </c>
    </row>
    <row r="226" spans="1:1" x14ac:dyDescent="0.25">
      <c r="A226" s="30">
        <v>1.5321363249105571E-3</v>
      </c>
    </row>
    <row r="227" spans="1:1" x14ac:dyDescent="0.25">
      <c r="A227" s="30">
        <v>1.3928512044641427E-3</v>
      </c>
    </row>
    <row r="228" spans="1:1" x14ac:dyDescent="0.25">
      <c r="A228" s="30">
        <v>1.2662283676946752E-3</v>
      </c>
    </row>
    <row r="229" spans="1:1" x14ac:dyDescent="0.25">
      <c r="A229" s="30">
        <v>1.15111669790425E-3</v>
      </c>
    </row>
    <row r="230" spans="1:1" x14ac:dyDescent="0.25">
      <c r="A230" s="30">
        <v>1.0464697253675E-3</v>
      </c>
    </row>
    <row r="231" spans="1:1" x14ac:dyDescent="0.25">
      <c r="A231" s="30">
        <v>9.5133611397045449E-4</v>
      </c>
    </row>
    <row r="232" spans="1:1" x14ac:dyDescent="0.25">
      <c r="A232" s="30">
        <v>8.6485101270041313E-4</v>
      </c>
    </row>
    <row r="233" spans="1:1" x14ac:dyDescent="0.25">
      <c r="A233" s="30">
        <v>7.862281933640119E-4</v>
      </c>
    </row>
    <row r="234" spans="1:1" x14ac:dyDescent="0.25">
      <c r="A234" s="30">
        <v>7.0760537402761068E-4</v>
      </c>
    </row>
    <row r="235" spans="1:1" x14ac:dyDescent="0.25">
      <c r="A235" s="30">
        <v>6.368448366248496E-4</v>
      </c>
    </row>
    <row r="236" spans="1:1" x14ac:dyDescent="0.25">
      <c r="A236" s="30">
        <v>5.7316035296236471E-4</v>
      </c>
    </row>
    <row r="237" spans="1:1" x14ac:dyDescent="0.25">
      <c r="A237" s="30">
        <v>5.1584431766612821E-4</v>
      </c>
    </row>
    <row r="238" spans="1:1" x14ac:dyDescent="0.25">
      <c r="A238" s="30">
        <v>4.6425988589951538E-4</v>
      </c>
    </row>
    <row r="239" spans="1:1" x14ac:dyDescent="0.25">
      <c r="A239" s="30">
        <v>4.1783389730956383E-4</v>
      </c>
    </row>
    <row r="240" spans="1:1" x14ac:dyDescent="0.25">
      <c r="A240" s="30">
        <v>3.7605050757860746E-4</v>
      </c>
    </row>
    <row r="241" spans="1:1" x14ac:dyDescent="0.25">
      <c r="A241" s="30">
        <v>3.3844545682074675E-4</v>
      </c>
    </row>
    <row r="242" spans="1:1" x14ac:dyDescent="0.25">
      <c r="A242" s="30">
        <v>3.0460091113867208E-4</v>
      </c>
    </row>
    <row r="243" spans="1:1" x14ac:dyDescent="0.25">
      <c r="A243" s="30">
        <v>2.7414082002480487E-4</v>
      </c>
    </row>
    <row r="244" spans="1:1" x14ac:dyDescent="0.25">
      <c r="A244" s="30">
        <v>2.4672673802232442E-4</v>
      </c>
    </row>
    <row r="245" spans="1:1" x14ac:dyDescent="0.25">
      <c r="A245" s="30">
        <v>2.2205406422009198E-4</v>
      </c>
    </row>
    <row r="246" spans="1:1" x14ac:dyDescent="0.25">
      <c r="A246" s="30">
        <v>1.998486577980828E-4</v>
      </c>
    </row>
    <row r="247" spans="1:1" x14ac:dyDescent="0.25">
      <c r="A247" s="30">
        <v>1.7986379201827453E-4</v>
      </c>
    </row>
    <row r="248" spans="1:1" x14ac:dyDescent="0.25">
      <c r="A248" s="30">
        <v>1.6187741281644709E-4</v>
      </c>
    </row>
    <row r="249" spans="1:1" x14ac:dyDescent="0.25">
      <c r="A249" s="30">
        <v>1.4568967153480238E-4</v>
      </c>
    </row>
    <row r="250" spans="1:1" x14ac:dyDescent="0.25">
      <c r="A250" s="30">
        <v>1.3112070438132215E-4</v>
      </c>
    </row>
    <row r="251" spans="1:1" x14ac:dyDescent="0.25">
      <c r="A251" s="30">
        <v>1.1800863394318995E-4</v>
      </c>
    </row>
    <row r="252" spans="1:1" x14ac:dyDescent="0.25">
      <c r="A252" s="30">
        <v>1.0620777054887096E-4</v>
      </c>
    </row>
    <row r="253" spans="1:1" x14ac:dyDescent="0.25">
      <c r="A253" s="30">
        <v>9.5586993493983861E-5</v>
      </c>
    </row>
    <row r="254" spans="1:1" x14ac:dyDescent="0.25">
      <c r="A254" s="30">
        <v>8.6028294144585476E-5</v>
      </c>
    </row>
    <row r="255" spans="1:1" x14ac:dyDescent="0.25">
      <c r="A255" s="30">
        <v>7.7425464730126924E-5</v>
      </c>
    </row>
    <row r="256" spans="1:1" x14ac:dyDescent="0.25">
      <c r="A256" s="30">
        <v>6.9682918257114228E-5</v>
      </c>
    </row>
    <row r="257" spans="1:1" x14ac:dyDescent="0.25">
      <c r="A257" s="30">
        <v>6.2714626431402813E-5</v>
      </c>
    </row>
    <row r="258" spans="1:1" x14ac:dyDescent="0.25">
      <c r="A258" s="30">
        <v>5.6443163788262536E-5</v>
      </c>
    </row>
    <row r="259" spans="1:1" x14ac:dyDescent="0.25">
      <c r="A259" s="30">
        <v>5.0798847409436286E-5</v>
      </c>
    </row>
    <row r="260" spans="1:1" x14ac:dyDescent="0.25">
      <c r="A260" s="30">
        <v>4.5718962668492656E-5</v>
      </c>
    </row>
    <row r="261" spans="1:1" x14ac:dyDescent="0.25">
      <c r="A261" s="30">
        <v>4.1147066401643391E-5</v>
      </c>
    </row>
    <row r="262" spans="1:1" x14ac:dyDescent="0.25">
      <c r="A262" s="30">
        <v>3.7032359761479051E-5</v>
      </c>
    </row>
    <row r="263" spans="1:1" x14ac:dyDescent="0.25">
      <c r="A263" s="30">
        <v>3.3329123785331146E-5</v>
      </c>
    </row>
    <row r="264" spans="1:1" x14ac:dyDescent="0.25">
      <c r="A264" s="30">
        <v>2.9996211406798031E-5</v>
      </c>
    </row>
    <row r="265" spans="1:1" x14ac:dyDescent="0.25">
      <c r="A265" s="30">
        <v>2.6996590266118227E-5</v>
      </c>
    </row>
    <row r="266" spans="1:1" x14ac:dyDescent="0.25">
      <c r="A266" s="30">
        <v>2.4296931239506405E-5</v>
      </c>
    </row>
    <row r="267" spans="1:1" x14ac:dyDescent="0.25">
      <c r="A267" s="30">
        <v>2.1867238115555765E-5</v>
      </c>
    </row>
    <row r="268" spans="1:1" x14ac:dyDescent="0.25">
      <c r="A268" s="30">
        <v>1.968051430400019E-5</v>
      </c>
    </row>
    <row r="269" spans="1:1" x14ac:dyDescent="0.25">
      <c r="A269" s="30">
        <v>1.7712462873600173E-5</v>
      </c>
    </row>
    <row r="270" spans="1:1" x14ac:dyDescent="0.25">
      <c r="A270" s="30">
        <v>1.5941216586240156E-5</v>
      </c>
    </row>
    <row r="271" spans="1:1" x14ac:dyDescent="0.25">
      <c r="A271" s="30">
        <v>1.434709492761614E-5</v>
      </c>
    </row>
    <row r="272" spans="1:1" x14ac:dyDescent="0.25">
      <c r="A272" s="30">
        <v>1.2912385434854527E-5</v>
      </c>
    </row>
    <row r="273" spans="1:1" x14ac:dyDescent="0.25">
      <c r="A273" s="30">
        <v>1.1621146891369075E-5</v>
      </c>
    </row>
    <row r="274" spans="1:1" x14ac:dyDescent="0.25">
      <c r="A274" s="30">
        <v>1.0459032202232167E-5</v>
      </c>
    </row>
    <row r="275" spans="1:1" x14ac:dyDescent="0.25">
      <c r="A275" s="30">
        <v>9.4131289820089515E-6</v>
      </c>
    </row>
    <row r="276" spans="1:1" x14ac:dyDescent="0.25">
      <c r="A276" s="30">
        <v>8.4718160838080567E-6</v>
      </c>
    </row>
    <row r="277" spans="1:1" x14ac:dyDescent="0.25">
      <c r="A277" s="30">
        <v>7.6246344754272515E-6</v>
      </c>
    </row>
    <row r="278" spans="1:1" x14ac:dyDescent="0.25">
      <c r="A278" s="30">
        <v>6.8621710278845262E-6</v>
      </c>
    </row>
    <row r="279" spans="1:1" x14ac:dyDescent="0.25">
      <c r="A279" s="30">
        <v>6.1759539250960733E-6</v>
      </c>
    </row>
    <row r="280" spans="1:1" x14ac:dyDescent="0.25">
      <c r="A280" s="30">
        <v>5.5583585325864661E-6</v>
      </c>
    </row>
    <row r="281" spans="1:1" x14ac:dyDescent="0.25">
      <c r="A281" s="30">
        <v>5.0025226793278193E-6</v>
      </c>
    </row>
    <row r="282" spans="1:1" x14ac:dyDescent="0.25">
      <c r="A282" s="30">
        <v>4.5022704113950371E-6</v>
      </c>
    </row>
    <row r="283" spans="1:1" x14ac:dyDescent="0.25">
      <c r="A283" s="30">
        <v>4.0520433702555336E-6</v>
      </c>
    </row>
    <row r="284" spans="1:1" x14ac:dyDescent="0.25">
      <c r="A284" s="30">
        <v>3.6468390332299805E-6</v>
      </c>
    </row>
    <row r="285" spans="1:1" x14ac:dyDescent="0.25">
      <c r="A285" s="30">
        <v>3.2821551299069824E-6</v>
      </c>
    </row>
    <row r="286" spans="1:1" x14ac:dyDescent="0.25">
      <c r="A286" s="30">
        <v>2.9539396169162842E-6</v>
      </c>
    </row>
    <row r="287" spans="1:1" x14ac:dyDescent="0.25">
      <c r="A287" s="30">
        <v>2.6585456552246558E-6</v>
      </c>
    </row>
    <row r="288" spans="1:1" x14ac:dyDescent="0.25">
      <c r="A288" s="30">
        <v>2.39269108970219E-6</v>
      </c>
    </row>
    <row r="289" spans="1:1" x14ac:dyDescent="0.25">
      <c r="A289" s="30">
        <v>2.1534219807319713E-6</v>
      </c>
    </row>
    <row r="290" spans="1:1" x14ac:dyDescent="0.25">
      <c r="A290" s="30">
        <v>1.9380797826587742E-6</v>
      </c>
    </row>
    <row r="291" spans="1:1" x14ac:dyDescent="0.25">
      <c r="A291" s="30">
        <v>1.7442718043928968E-6</v>
      </c>
    </row>
    <row r="292" spans="1:1" x14ac:dyDescent="0.25">
      <c r="A292" s="30">
        <v>1.5698446239536072E-6</v>
      </c>
    </row>
    <row r="293" spans="1:1" x14ac:dyDescent="0.25">
      <c r="A293" s="30">
        <v>1.4128601615582464E-6</v>
      </c>
    </row>
    <row r="294" spans="1:1" x14ac:dyDescent="0.25">
      <c r="A294" s="30">
        <v>1.2715741454024219E-6</v>
      </c>
    </row>
    <row r="295" spans="1:1" x14ac:dyDescent="0.25">
      <c r="A295" s="30">
        <v>1.1444167308621797E-6</v>
      </c>
    </row>
    <row r="296" spans="1:1" x14ac:dyDescent="0.25">
      <c r="A296" s="30">
        <v>1.0299750577759617E-6</v>
      </c>
    </row>
    <row r="297" spans="1:1" x14ac:dyDescent="0.25">
      <c r="A297" s="30">
        <v>9.2697755199836562E-7</v>
      </c>
    </row>
    <row r="298" spans="1:1" x14ac:dyDescent="0.25">
      <c r="A298" s="30">
        <v>8.3427979679852907E-7</v>
      </c>
    </row>
    <row r="299" spans="1:1" x14ac:dyDescent="0.25">
      <c r="A299" s="30">
        <v>7.508518171186762E-7</v>
      </c>
    </row>
    <row r="300" spans="1:1" x14ac:dyDescent="0.25">
      <c r="A300" s="30">
        <v>6.7576663540680858E-7</v>
      </c>
    </row>
    <row r="301" spans="1:1" x14ac:dyDescent="0.25">
      <c r="A301" s="30">
        <v>6.0818997186612771E-7</v>
      </c>
    </row>
    <row r="302" spans="1:1" x14ac:dyDescent="0.25">
      <c r="A302" s="30">
        <v>5.4737097467951492E-7</v>
      </c>
    </row>
    <row r="303" spans="1:1" x14ac:dyDescent="0.25">
      <c r="A303" s="30">
        <v>4.9263387721156344E-7</v>
      </c>
    </row>
    <row r="304" spans="1:1" x14ac:dyDescent="0.25">
      <c r="A304" s="30">
        <v>4.4337048949040709E-7</v>
      </c>
    </row>
    <row r="305" spans="1:1" x14ac:dyDescent="0.25">
      <c r="A305" s="30">
        <v>3.9903344054136637E-7</v>
      </c>
    </row>
    <row r="306" spans="1:1" x14ac:dyDescent="0.25">
      <c r="A306" s="30">
        <v>3.5913009648722975E-7</v>
      </c>
    </row>
    <row r="307" spans="1:1" x14ac:dyDescent="0.25">
      <c r="A307" s="30">
        <v>3.2321708683850679E-7</v>
      </c>
    </row>
    <row r="308" spans="1:1" x14ac:dyDescent="0.25">
      <c r="A308" s="30">
        <v>2.908953781546561E-7</v>
      </c>
    </row>
    <row r="309" spans="1:1" x14ac:dyDescent="0.25">
      <c r="A309" s="30">
        <v>2.6180584033919052E-7</v>
      </c>
    </row>
    <row r="310" spans="1:1" x14ac:dyDescent="0.25">
      <c r="A310" s="30">
        <v>2.3562525630527146E-7</v>
      </c>
    </row>
    <row r="311" spans="1:1" x14ac:dyDescent="0.25">
      <c r="A311" s="30">
        <v>2.1206273067474431E-7</v>
      </c>
    </row>
    <row r="312" spans="1:1" x14ac:dyDescent="0.25">
      <c r="A312" s="30">
        <v>1.9085645760726988E-7</v>
      </c>
    </row>
    <row r="313" spans="1:1" x14ac:dyDescent="0.25">
      <c r="A313" s="30">
        <v>1.717708118465429E-7</v>
      </c>
    </row>
    <row r="314" spans="1:1" x14ac:dyDescent="0.25">
      <c r="A314" s="30">
        <v>1.5459373066188861E-7</v>
      </c>
    </row>
    <row r="315" spans="1:1" x14ac:dyDescent="0.25">
      <c r="A315" s="30">
        <v>1.3913435759569975E-7</v>
      </c>
    </row>
    <row r="316" spans="1:1" x14ac:dyDescent="0.25">
      <c r="A316" s="30">
        <v>1.2522092183612977E-7</v>
      </c>
    </row>
    <row r="317" spans="1:1" x14ac:dyDescent="0.25">
      <c r="A317" s="30">
        <v>1.1269882965251679E-7</v>
      </c>
    </row>
    <row r="318" spans="1:1" x14ac:dyDescent="0.25">
      <c r="A318" s="30">
        <v>1.0142894668726512E-7</v>
      </c>
    </row>
    <row r="319" spans="1:1" x14ac:dyDescent="0.25">
      <c r="A319" s="30">
        <v>9.1286052018538604E-8</v>
      </c>
    </row>
    <row r="320" spans="1:1" x14ac:dyDescent="0.25">
      <c r="A320" s="30">
        <v>8.2157446816684752E-8</v>
      </c>
    </row>
    <row r="321" spans="1:1" x14ac:dyDescent="0.25">
      <c r="A321" s="30">
        <v>7.3941702135016276E-8</v>
      </c>
    </row>
    <row r="322" spans="1:1" x14ac:dyDescent="0.25">
      <c r="A322" s="30">
        <v>6.6547531921514646E-8</v>
      </c>
    </row>
    <row r="323" spans="1:1" x14ac:dyDescent="0.25">
      <c r="A323" s="30">
        <v>5.9892778729363178E-8</v>
      </c>
    </row>
    <row r="324" spans="1:1" x14ac:dyDescent="0.25">
      <c r="A324" s="30">
        <v>5.3903500856426864E-8</v>
      </c>
    </row>
    <row r="325" spans="1:1" x14ac:dyDescent="0.25">
      <c r="A325" s="30">
        <v>4.851315077078418E-8</v>
      </c>
    </row>
    <row r="326" spans="1:1" x14ac:dyDescent="0.25">
      <c r="A326" s="30">
        <v>4.3661835693705764E-8</v>
      </c>
    </row>
    <row r="327" spans="1:1" x14ac:dyDescent="0.25">
      <c r="A327" s="30">
        <v>3.929565212433519E-8</v>
      </c>
    </row>
    <row r="328" spans="1:1" x14ac:dyDescent="0.25">
      <c r="A328" s="30">
        <v>3.536608691190167E-8</v>
      </c>
    </row>
    <row r="329" spans="1:1" x14ac:dyDescent="0.25">
      <c r="A329" s="30">
        <v>3.1829478220711501E-8</v>
      </c>
    </row>
    <row r="330" spans="1:1" x14ac:dyDescent="0.25">
      <c r="A330" s="30">
        <v>2.8646530398640351E-8</v>
      </c>
    </row>
    <row r="331" spans="1:1" x14ac:dyDescent="0.25">
      <c r="A331" s="30">
        <v>2.5781877358776315E-8</v>
      </c>
    </row>
    <row r="332" spans="1:1" x14ac:dyDescent="0.25">
      <c r="A332" s="30">
        <v>2.3203689622898683E-8</v>
      </c>
    </row>
    <row r="333" spans="1:1" x14ac:dyDescent="0.25">
      <c r="A333" s="30">
        <v>2.0883320660608816E-8</v>
      </c>
    </row>
    <row r="334" spans="1:1" x14ac:dyDescent="0.25">
      <c r="A334" s="30">
        <v>1.8794988594547934E-8</v>
      </c>
    </row>
    <row r="335" spans="1:1" x14ac:dyDescent="0.25">
      <c r="A335" s="30">
        <v>1.6915489735093139E-8</v>
      </c>
    </row>
    <row r="336" spans="1:1" x14ac:dyDescent="0.25">
      <c r="A336" s="30">
        <v>1.5223940761583825E-8</v>
      </c>
    </row>
    <row r="337" spans="1:1" x14ac:dyDescent="0.25">
      <c r="A337" s="30">
        <v>1.3701546685425444E-8</v>
      </c>
    </row>
    <row r="338" spans="1:1" x14ac:dyDescent="0.25">
      <c r="A338" s="30">
        <v>1.2331392016882899E-8</v>
      </c>
    </row>
    <row r="339" spans="1:1" x14ac:dyDescent="0.25">
      <c r="A339" s="30">
        <v>1.1098252815194609E-8</v>
      </c>
    </row>
    <row r="340" spans="1:1" x14ac:dyDescent="0.25">
      <c r="A340" s="30">
        <v>9.9884275336751485E-9</v>
      </c>
    </row>
    <row r="341" spans="1:1" x14ac:dyDescent="0.25">
      <c r="A341" s="30">
        <v>8.9895847803076335E-9</v>
      </c>
    </row>
    <row r="342" spans="1:1" x14ac:dyDescent="0.25">
      <c r="A342" s="30">
        <v>8.0906263022768703E-9</v>
      </c>
    </row>
    <row r="343" spans="1:1" x14ac:dyDescent="0.25">
      <c r="A343" s="30">
        <v>7.2815636720491835E-9</v>
      </c>
    </row>
    <row r="344" spans="1:1" x14ac:dyDescent="0.25">
      <c r="A344" s="30">
        <v>6.553407304844265E-9</v>
      </c>
    </row>
    <row r="345" spans="1:1" x14ac:dyDescent="0.25">
      <c r="A345" s="30">
        <v>5.8980665743598385E-9</v>
      </c>
    </row>
    <row r="346" spans="1:1" x14ac:dyDescent="0.25">
      <c r="A346" s="30">
        <v>5.3082599169238552E-9</v>
      </c>
    </row>
    <row r="347" spans="1:1" x14ac:dyDescent="0.25">
      <c r="A347" s="30">
        <v>4.7774339252314701E-9</v>
      </c>
    </row>
    <row r="348" spans="1:1" x14ac:dyDescent="0.25">
      <c r="A348" s="30">
        <v>4.2996905327083231E-9</v>
      </c>
    </row>
    <row r="349" spans="1:1" x14ac:dyDescent="0.25">
      <c r="A349" s="30">
        <v>3.8697214794374908E-9</v>
      </c>
    </row>
    <row r="350" spans="1:1" x14ac:dyDescent="0.25">
      <c r="A350" s="30">
        <v>3.4827493314937417E-9</v>
      </c>
    </row>
    <row r="351" spans="1:1" x14ac:dyDescent="0.25">
      <c r="A351" s="30">
        <v>3.1344743983443674E-9</v>
      </c>
    </row>
    <row r="352" spans="1:1" x14ac:dyDescent="0.25">
      <c r="A352" s="30">
        <v>2.8210269585099307E-9</v>
      </c>
    </row>
    <row r="353" spans="1:1" x14ac:dyDescent="0.25">
      <c r="A353" s="30">
        <v>2.5389242626589379E-9</v>
      </c>
    </row>
    <row r="354" spans="1:1" x14ac:dyDescent="0.25">
      <c r="A354" s="30">
        <v>2.285031836393044E-9</v>
      </c>
    </row>
    <row r="355" spans="1:1" x14ac:dyDescent="0.25">
      <c r="A355" s="30">
        <v>2.0565286527537398E-9</v>
      </c>
    </row>
    <row r="356" spans="1:1" x14ac:dyDescent="0.25">
      <c r="A356" s="30">
        <v>1.8508757874783659E-9</v>
      </c>
    </row>
    <row r="357" spans="1:1" x14ac:dyDescent="0.25">
      <c r="A357" s="30">
        <v>1.6657882087305294E-9</v>
      </c>
    </row>
    <row r="358" spans="1:1" x14ac:dyDescent="0.25">
      <c r="A358" s="30">
        <v>1.4992093878574765E-9</v>
      </c>
    </row>
    <row r="359" spans="1:1" x14ac:dyDescent="0.25">
      <c r="A359" s="30">
        <v>1.3492884490717289E-9</v>
      </c>
    </row>
    <row r="360" spans="1:1" x14ac:dyDescent="0.25">
      <c r="A360" s="30">
        <v>1.214359604164556E-9</v>
      </c>
    </row>
    <row r="361" spans="1:1" x14ac:dyDescent="0.25">
      <c r="A361" s="30">
        <v>1.0929236437481004E-9</v>
      </c>
    </row>
    <row r="362" spans="1:1" x14ac:dyDescent="0.25">
      <c r="A362" s="30">
        <v>9.8363127937329029E-10</v>
      </c>
    </row>
    <row r="363" spans="1:1" x14ac:dyDescent="0.25">
      <c r="A363" s="30">
        <v>8.8526815143596126E-10</v>
      </c>
    </row>
    <row r="364" spans="1:1" x14ac:dyDescent="0.25">
      <c r="A364" s="30">
        <v>7.967413362923651E-10</v>
      </c>
    </row>
    <row r="365" spans="1:1" x14ac:dyDescent="0.25">
      <c r="A365" s="30">
        <v>7.1706720266312858E-10</v>
      </c>
    </row>
    <row r="366" spans="1:1" x14ac:dyDescent="0.25">
      <c r="A366" s="30">
        <v>6.4536048239681569E-10</v>
      </c>
    </row>
    <row r="367" spans="1:1" x14ac:dyDescent="0.25">
      <c r="A367" s="30">
        <v>5.8082443415713415E-10</v>
      </c>
    </row>
    <row r="368" spans="1:1" x14ac:dyDescent="0.25">
      <c r="A368" s="30">
        <v>5.2274199074142077E-10</v>
      </c>
    </row>
    <row r="369" spans="1:1" x14ac:dyDescent="0.25">
      <c r="A369" s="30">
        <v>4.7046779166727869E-10</v>
      </c>
    </row>
    <row r="370" spans="1:1" x14ac:dyDescent="0.25">
      <c r="A370" s="30">
        <v>4.2342101250055083E-10</v>
      </c>
    </row>
    <row r="371" spans="1:1" x14ac:dyDescent="0.25">
      <c r="A371" s="30">
        <v>3.8107891125049577E-10</v>
      </c>
    </row>
    <row r="372" spans="1:1" x14ac:dyDescent="0.25">
      <c r="A372" s="30">
        <v>3.4297102012544618E-10</v>
      </c>
    </row>
    <row r="373" spans="1:1" x14ac:dyDescent="0.25">
      <c r="A373" s="30">
        <v>3.0867391811290155E-10</v>
      </c>
    </row>
    <row r="374" spans="1:1" x14ac:dyDescent="0.25">
      <c r="A374" s="30">
        <v>2.7780652630161142E-10</v>
      </c>
    </row>
    <row r="375" spans="1:1" x14ac:dyDescent="0.25">
      <c r="A375" s="30">
        <v>2.5002587367145027E-10</v>
      </c>
    </row>
    <row r="376" spans="1:1" x14ac:dyDescent="0.25">
      <c r="A376" s="30">
        <v>2.2502328630430526E-10</v>
      </c>
    </row>
    <row r="377" spans="1:1" x14ac:dyDescent="0.25">
      <c r="A377" s="30">
        <v>2.0252095767387472E-10</v>
      </c>
    </row>
    <row r="378" spans="1:1" x14ac:dyDescent="0.25">
      <c r="A378" s="30">
        <v>1.8226886190648727E-10</v>
      </c>
    </row>
    <row r="379" spans="1:1" x14ac:dyDescent="0.25">
      <c r="A379" s="30">
        <v>1.6404197571583855E-10</v>
      </c>
    </row>
    <row r="380" spans="1:1" x14ac:dyDescent="0.25">
      <c r="A380" s="30">
        <v>1.4763777814425471E-10</v>
      </c>
    </row>
    <row r="381" spans="1:1" x14ac:dyDescent="0.25">
      <c r="A381" s="30">
        <v>1.3287400032982923E-10</v>
      </c>
    </row>
    <row r="382" spans="1:1" x14ac:dyDescent="0.25">
      <c r="A382" s="30">
        <v>1.1958660029684632E-10</v>
      </c>
    </row>
    <row r="383" spans="1:1" x14ac:dyDescent="0.25">
      <c r="A383" s="30">
        <v>1.0762794026716169E-10</v>
      </c>
    </row>
    <row r="384" spans="1:1" x14ac:dyDescent="0.25">
      <c r="A384" s="30">
        <v>9.686514624044552E-11</v>
      </c>
    </row>
    <row r="385" spans="1:1" x14ac:dyDescent="0.25">
      <c r="A385" s="30">
        <v>8.7178631616400964E-11</v>
      </c>
    </row>
    <row r="386" spans="1:1" x14ac:dyDescent="0.25">
      <c r="A386" s="30">
        <v>7.8460768454760866E-11</v>
      </c>
    </row>
    <row r="387" spans="1:1" x14ac:dyDescent="0.25">
      <c r="A387" s="30">
        <v>7.0614691609284776E-11</v>
      </c>
    </row>
    <row r="388" spans="1:1" x14ac:dyDescent="0.25">
      <c r="A388" s="30">
        <v>6.3553222448356295E-11</v>
      </c>
    </row>
    <row r="389" spans="1:1" x14ac:dyDescent="0.25">
      <c r="A389" s="30">
        <v>5.7197900203520665E-11</v>
      </c>
    </row>
    <row r="390" spans="1:1" x14ac:dyDescent="0.25">
      <c r="A390" s="30">
        <v>5.1478110183168601E-11</v>
      </c>
    </row>
    <row r="391" spans="1:1" x14ac:dyDescent="0.25">
      <c r="A391" s="30">
        <v>4.633029916485174E-11</v>
      </c>
    </row>
    <row r="392" spans="1:1" x14ac:dyDescent="0.25">
      <c r="A392" s="30">
        <v>4.1697269248366565E-11</v>
      </c>
    </row>
    <row r="393" spans="1:1" x14ac:dyDescent="0.25">
      <c r="A393" s="30">
        <v>3.7527542323529907E-11</v>
      </c>
    </row>
    <row r="394" spans="1:1" x14ac:dyDescent="0.25">
      <c r="A394" s="30">
        <v>3.3774788091176915E-11</v>
      </c>
    </row>
    <row r="395" spans="1:1" x14ac:dyDescent="0.25">
      <c r="A395" s="30">
        <v>3.0397309282059222E-11</v>
      </c>
    </row>
    <row r="396" spans="1:1" x14ac:dyDescent="0.25">
      <c r="A396" s="30">
        <v>2.7357578353853301E-11</v>
      </c>
    </row>
    <row r="397" spans="1:1" x14ac:dyDescent="0.25">
      <c r="A397" s="30">
        <v>2.4621820518467972E-11</v>
      </c>
    </row>
    <row r="398" spans="1:1" x14ac:dyDescent="0.25">
      <c r="A398" s="30">
        <v>2.2159638466621177E-11</v>
      </c>
    </row>
    <row r="399" spans="1:1" x14ac:dyDescent="0.25">
      <c r="A399" s="30">
        <v>1.994367461995906E-11</v>
      </c>
    </row>
    <row r="400" spans="1:1" x14ac:dyDescent="0.25">
      <c r="A400" s="30">
        <v>1.7949307157963154E-11</v>
      </c>
    </row>
    <row r="401" spans="1:1" x14ac:dyDescent="0.25">
      <c r="A401" s="30">
        <v>1.615437644216684E-11</v>
      </c>
    </row>
    <row r="402" spans="1:1" x14ac:dyDescent="0.25">
      <c r="A402" s="30">
        <v>1.4538938797950156E-11</v>
      </c>
    </row>
    <row r="403" spans="1:1" x14ac:dyDescent="0.25">
      <c r="A403" s="30">
        <v>1.308504491815514E-11</v>
      </c>
    </row>
    <row r="404" spans="1:1" x14ac:dyDescent="0.25">
      <c r="A404" s="30">
        <v>1.1776540426339626E-11</v>
      </c>
    </row>
    <row r="405" spans="1:1" x14ac:dyDescent="0.25">
      <c r="A405" s="30">
        <v>1.0598886383705664E-11</v>
      </c>
    </row>
    <row r="406" spans="1:1" x14ac:dyDescent="0.25">
      <c r="A406" s="30">
        <v>9.5389977453350987E-12</v>
      </c>
    </row>
    <row r="407" spans="1:1" x14ac:dyDescent="0.25">
      <c r="A407" s="30">
        <v>8.5850979708015893E-12</v>
      </c>
    </row>
    <row r="408" spans="1:1" x14ac:dyDescent="0.25">
      <c r="A408" s="30">
        <v>7.7265881737214303E-12</v>
      </c>
    </row>
    <row r="409" spans="1:1" x14ac:dyDescent="0.25">
      <c r="A409" s="30">
        <v>6.9539293563492874E-12</v>
      </c>
    </row>
    <row r="410" spans="1:1" x14ac:dyDescent="0.25">
      <c r="A410" s="30">
        <v>6.2585364207143591E-12</v>
      </c>
    </row>
    <row r="411" spans="1:1" x14ac:dyDescent="0.25">
      <c r="A411" s="30">
        <v>5.632682778642923E-12</v>
      </c>
    </row>
    <row r="412" spans="1:1" x14ac:dyDescent="0.25">
      <c r="A412" s="30">
        <v>5.0694145007786311E-12</v>
      </c>
    </row>
    <row r="413" spans="1:1" x14ac:dyDescent="0.25">
      <c r="A413" s="30">
        <v>4.5624730507007684E-12</v>
      </c>
    </row>
    <row r="414" spans="1:1" x14ac:dyDescent="0.25">
      <c r="A414" s="30">
        <v>4.1062257456306914E-12</v>
      </c>
    </row>
    <row r="415" spans="1:1" x14ac:dyDescent="0.25">
      <c r="A415" s="30">
        <v>3.6956031710676221E-12</v>
      </c>
    </row>
    <row r="416" spans="1:1" x14ac:dyDescent="0.25">
      <c r="A416" s="30">
        <v>3.3260428539608601E-12</v>
      </c>
    </row>
    <row r="417" spans="1:1" x14ac:dyDescent="0.25">
      <c r="A417" s="30">
        <v>2.9934385685647741E-12</v>
      </c>
    </row>
    <row r="418" spans="1:1" x14ac:dyDescent="0.25">
      <c r="A418" s="30">
        <v>2.6940947117082966E-12</v>
      </c>
    </row>
    <row r="419" spans="1:1" x14ac:dyDescent="0.25">
      <c r="A419" s="30">
        <v>2.4246852405374669E-12</v>
      </c>
    </row>
    <row r="420" spans="1:1" x14ac:dyDescent="0.25">
      <c r="A420" s="30">
        <v>2.1822167164837201E-12</v>
      </c>
    </row>
    <row r="421" spans="1:1" x14ac:dyDescent="0.25">
      <c r="A421" s="30">
        <v>1.9639950448353481E-12</v>
      </c>
    </row>
    <row r="422" spans="1:1" x14ac:dyDescent="0.25">
      <c r="A422" s="30">
        <v>1.7675955403518133E-12</v>
      </c>
    </row>
    <row r="423" spans="1:1" x14ac:dyDescent="0.25">
      <c r="A423" s="30">
        <v>1.5908359863166319E-12</v>
      </c>
    </row>
    <row r="424" spans="1:1" x14ac:dyDescent="0.25">
      <c r="A424" s="30">
        <v>1.4317523876849688E-12</v>
      </c>
    </row>
    <row r="425" spans="1:1" x14ac:dyDescent="0.25">
      <c r="A425" s="30">
        <v>1.2885771489164719E-12</v>
      </c>
    </row>
    <row r="426" spans="1:1" x14ac:dyDescent="0.25">
      <c r="A426" s="30">
        <v>1.1597194340248247E-12</v>
      </c>
    </row>
    <row r="427" spans="1:1" x14ac:dyDescent="0.25">
      <c r="A427" s="30">
        <v>1.0437474906223423E-12</v>
      </c>
    </row>
    <row r="428" spans="1:1" x14ac:dyDescent="0.25">
      <c r="A428" s="30">
        <v>9.3937274156010802E-13</v>
      </c>
    </row>
    <row r="429" spans="1:1" x14ac:dyDescent="0.25">
      <c r="A429" s="30">
        <v>8.4543546740409726E-13</v>
      </c>
    </row>
    <row r="430" spans="1:1" x14ac:dyDescent="0.25">
      <c r="A430" s="30">
        <v>7.608919206636876E-13</v>
      </c>
    </row>
    <row r="431" spans="1:1" x14ac:dyDescent="0.25">
      <c r="A431" s="30">
        <v>6.8480272859731885E-13</v>
      </c>
    </row>
    <row r="432" spans="1:1" x14ac:dyDescent="0.25">
      <c r="A432" s="30">
        <v>6.16322455737587E-13</v>
      </c>
    </row>
    <row r="433" spans="1:1" x14ac:dyDescent="0.25">
      <c r="A433" s="30">
        <v>5.5469021016382834E-13</v>
      </c>
    </row>
    <row r="434" spans="1:1" x14ac:dyDescent="0.25">
      <c r="A434" s="30">
        <v>4.9922118914744555E-13</v>
      </c>
    </row>
    <row r="435" spans="1:1" x14ac:dyDescent="0.25">
      <c r="A435" s="30">
        <v>4.4929907023270098E-13</v>
      </c>
    </row>
    <row r="436" spans="1:1" x14ac:dyDescent="0.25">
      <c r="A436" s="30">
        <v>4.0436916320943091E-13</v>
      </c>
    </row>
    <row r="437" spans="1:1" x14ac:dyDescent="0.25">
      <c r="A437" s="30">
        <v>3.6393224688848781E-13</v>
      </c>
    </row>
    <row r="438" spans="1:1" x14ac:dyDescent="0.25">
      <c r="A438" s="30">
        <v>3.2753902219963903E-13</v>
      </c>
    </row>
    <row r="439" spans="1:1" x14ac:dyDescent="0.25">
      <c r="A439" s="30">
        <v>2.9478511997967513E-13</v>
      </c>
    </row>
    <row r="440" spans="1:1" x14ac:dyDescent="0.25">
      <c r="A440" s="30">
        <v>2.6530660798170763E-13</v>
      </c>
    </row>
    <row r="441" spans="1:1" x14ac:dyDescent="0.25">
      <c r="A441" s="30">
        <v>2.3877594718353686E-13</v>
      </c>
    </row>
    <row r="442" spans="1:1" x14ac:dyDescent="0.25">
      <c r="A442" s="30">
        <v>2.1489835246518316E-13</v>
      </c>
    </row>
    <row r="443" spans="1:1" x14ac:dyDescent="0.25">
      <c r="A443" s="30">
        <v>1.9340851721866486E-13</v>
      </c>
    </row>
    <row r="444" spans="1:1" x14ac:dyDescent="0.25">
      <c r="A444" s="30">
        <v>1.7406766549679839E-13</v>
      </c>
    </row>
    <row r="445" spans="1:1" x14ac:dyDescent="0.25">
      <c r="A445" s="30">
        <v>1.5666089894711856E-13</v>
      </c>
    </row>
    <row r="446" spans="1:1" x14ac:dyDescent="0.25">
      <c r="A446" s="30">
        <v>1.4099480905240672E-13</v>
      </c>
    </row>
    <row r="447" spans="1:1" x14ac:dyDescent="0.25">
      <c r="A447" s="30">
        <v>1.2689532814716606E-13</v>
      </c>
    </row>
    <row r="448" spans="1:1" x14ac:dyDescent="0.25">
      <c r="A448" s="30">
        <v>1.1420579533244944E-13</v>
      </c>
    </row>
    <row r="449" spans="1:1" x14ac:dyDescent="0.25">
      <c r="A449" s="30">
        <v>1.0278521579920451E-13</v>
      </c>
    </row>
    <row r="450" spans="1:1" x14ac:dyDescent="0.25">
      <c r="A450" s="30">
        <v>9.2506694219284062E-14</v>
      </c>
    </row>
    <row r="451" spans="1:1" x14ac:dyDescent="0.25">
      <c r="A451" s="30">
        <v>8.3256024797355662E-14</v>
      </c>
    </row>
    <row r="452" spans="1:1" x14ac:dyDescent="0.25">
      <c r="A452" s="30">
        <v>7.4930422317620103E-14</v>
      </c>
    </row>
    <row r="453" spans="1:1" x14ac:dyDescent="0.25">
      <c r="A453" s="30">
        <v>6.7437380085858099E-14</v>
      </c>
    </row>
    <row r="454" spans="1:1" x14ac:dyDescent="0.25">
      <c r="A454" s="30">
        <v>6.0693642077272288E-14</v>
      </c>
    </row>
    <row r="455" spans="1:1" x14ac:dyDescent="0.25">
      <c r="A455" s="30">
        <v>5.4624277869545061E-14</v>
      </c>
    </row>
    <row r="456" spans="1:1" x14ac:dyDescent="0.25">
      <c r="A456" s="30">
        <v>4.9161850082590553E-14</v>
      </c>
    </row>
    <row r="457" spans="1:1" x14ac:dyDescent="0.25">
      <c r="A457" s="30">
        <v>4.4245665074331497E-14</v>
      </c>
    </row>
    <row r="458" spans="1:1" x14ac:dyDescent="0.25">
      <c r="A458" s="30">
        <v>3.9821098566898348E-14</v>
      </c>
    </row>
    <row r="459" spans="1:1" x14ac:dyDescent="0.25">
      <c r="A459" s="30">
        <v>3.5838988710208514E-14</v>
      </c>
    </row>
    <row r="460" spans="1:1" x14ac:dyDescent="0.25">
      <c r="A460" s="30">
        <v>3.2255089839187663E-14</v>
      </c>
    </row>
    <row r="461" spans="1:1" x14ac:dyDescent="0.25">
      <c r="A461" s="30">
        <v>2.9029580855268898E-14</v>
      </c>
    </row>
    <row r="462" spans="1:1" x14ac:dyDescent="0.25">
      <c r="A462" s="30">
        <v>2.612662276974201E-14</v>
      </c>
    </row>
    <row r="463" spans="1:1" x14ac:dyDescent="0.25">
      <c r="A463" s="30">
        <v>2.3513960492767811E-14</v>
      </c>
    </row>
    <row r="464" spans="1:1" x14ac:dyDescent="0.25">
      <c r="A464" s="30">
        <v>2.1162564443491029E-14</v>
      </c>
    </row>
    <row r="465" spans="1:1" x14ac:dyDescent="0.25">
      <c r="A465" s="30">
        <v>1.9046307999141925E-14</v>
      </c>
    </row>
    <row r="466" spans="1:1" x14ac:dyDescent="0.25">
      <c r="A466" s="30">
        <v>1.7141677199227731E-14</v>
      </c>
    </row>
    <row r="467" spans="1:1" x14ac:dyDescent="0.25">
      <c r="A467" s="30">
        <v>1.5427509479304957E-14</v>
      </c>
    </row>
    <row r="468" spans="1:1" x14ac:dyDescent="0.25">
      <c r="A468" s="30">
        <v>1.3884758531374462E-14</v>
      </c>
    </row>
    <row r="469" spans="1:1" x14ac:dyDescent="0.25">
      <c r="A469" s="30">
        <v>1.2496282678237016E-14</v>
      </c>
    </row>
    <row r="470" spans="1:1" x14ac:dyDescent="0.25">
      <c r="A470" s="30">
        <v>1.1246654410413315E-14</v>
      </c>
    </row>
    <row r="471" spans="1:1" x14ac:dyDescent="0.25">
      <c r="A471" s="30">
        <v>1.0121988969371984E-14</v>
      </c>
    </row>
    <row r="472" spans="1:1" x14ac:dyDescent="0.25">
      <c r="A472" s="30">
        <v>9.1097900724347861E-15</v>
      </c>
    </row>
    <row r="473" spans="1:1" x14ac:dyDescent="0.25">
      <c r="A473" s="30">
        <v>8.1988110651913077E-15</v>
      </c>
    </row>
    <row r="474" spans="1:1" x14ac:dyDescent="0.25">
      <c r="A474" s="30">
        <v>7.3789299586721777E-15</v>
      </c>
    </row>
    <row r="475" spans="1:1" x14ac:dyDescent="0.25">
      <c r="A475" s="30">
        <v>6.6410369628049599E-15</v>
      </c>
    </row>
    <row r="476" spans="1:1" x14ac:dyDescent="0.25">
      <c r="A476" s="30">
        <v>5.9769332665244643E-15</v>
      </c>
    </row>
    <row r="477" spans="1:1" x14ac:dyDescent="0.25">
      <c r="A477" s="30">
        <v>5.3792399398720178E-15</v>
      </c>
    </row>
    <row r="478" spans="1:1" x14ac:dyDescent="0.25">
      <c r="A478" s="30">
        <v>4.8413159458848159E-15</v>
      </c>
    </row>
    <row r="479" spans="1:1" x14ac:dyDescent="0.25">
      <c r="A479" s="30">
        <v>4.3571843512963347E-15</v>
      </c>
    </row>
    <row r="480" spans="1:1" x14ac:dyDescent="0.25">
      <c r="A480" s="30">
        <v>3.921465916166701E-15</v>
      </c>
    </row>
    <row r="481" spans="1:1" x14ac:dyDescent="0.25">
      <c r="A481" s="30">
        <v>3.529319324550031E-15</v>
      </c>
    </row>
    <row r="482" spans="1:1" x14ac:dyDescent="0.25">
      <c r="A482" s="30">
        <v>3.176387392095028E-15</v>
      </c>
    </row>
    <row r="483" spans="1:1" x14ac:dyDescent="0.25">
      <c r="A483" s="30">
        <v>2.8587486528855254E-15</v>
      </c>
    </row>
    <row r="484" spans="1:1" x14ac:dyDescent="0.25">
      <c r="A484" s="30">
        <v>2.5728737875969727E-15</v>
      </c>
    </row>
    <row r="485" spans="1:1" x14ac:dyDescent="0.25">
      <c r="A485" s="30">
        <v>2.3155864088372755E-15</v>
      </c>
    </row>
    <row r="486" spans="1:1" x14ac:dyDescent="0.25">
      <c r="A486" s="30">
        <v>2.0840277679535482E-15</v>
      </c>
    </row>
    <row r="487" spans="1:1" x14ac:dyDescent="0.25">
      <c r="A487" s="30">
        <v>1.8756249911581935E-15</v>
      </c>
    </row>
    <row r="488" spans="1:1" x14ac:dyDescent="0.25">
      <c r="A488" s="30">
        <v>1.6880624920423743E-15</v>
      </c>
    </row>
    <row r="489" spans="1:1" x14ac:dyDescent="0.25">
      <c r="A489" s="30">
        <v>1.519256242838137E-15</v>
      </c>
    </row>
    <row r="490" spans="1:1" x14ac:dyDescent="0.25">
      <c r="A490" s="30">
        <v>1.3673306185543234E-15</v>
      </c>
    </row>
    <row r="491" spans="1:1" x14ac:dyDescent="0.25">
      <c r="A491" s="30">
        <v>1.230597556698891E-15</v>
      </c>
    </row>
    <row r="492" spans="1:1" x14ac:dyDescent="0.25">
      <c r="A492" s="30">
        <v>1.1075378010290018E-15</v>
      </c>
    </row>
    <row r="493" spans="1:1" x14ac:dyDescent="0.25">
      <c r="A493" s="30">
        <v>9.9678402092610166E-16</v>
      </c>
    </row>
    <row r="494" spans="1:1" x14ac:dyDescent="0.25">
      <c r="A494" s="30">
        <v>8.9710561883349156E-16</v>
      </c>
    </row>
    <row r="495" spans="1:1" x14ac:dyDescent="0.25">
      <c r="A495" s="30">
        <v>8.0739505695014242E-16</v>
      </c>
    </row>
    <row r="496" spans="1:1" x14ac:dyDescent="0.25">
      <c r="A496" s="30">
        <v>7.2665555125512816E-16</v>
      </c>
    </row>
    <row r="497" spans="1:1" x14ac:dyDescent="0.25">
      <c r="A497" s="30">
        <v>6.5398999612961539E-16</v>
      </c>
    </row>
    <row r="498" spans="1:1" x14ac:dyDescent="0.25">
      <c r="A498" s="30">
        <v>5.885909965166539E-16</v>
      </c>
    </row>
    <row r="499" spans="1:1" x14ac:dyDescent="0.25">
      <c r="A499" s="30">
        <v>5.2973189686498855E-16</v>
      </c>
    </row>
    <row r="500" spans="1:1" x14ac:dyDescent="0.25">
      <c r="A500" s="30">
        <v>4.767587071784897E-16</v>
      </c>
    </row>
    <row r="501" spans="1:1" x14ac:dyDescent="0.25">
      <c r="A501" s="30">
        <v>4.2908283646064075E-16</v>
      </c>
    </row>
    <row r="502" spans="1:1" x14ac:dyDescent="0.25">
      <c r="A502" s="30">
        <v>3.8617455281457667E-16</v>
      </c>
    </row>
    <row r="503" spans="1:1" x14ac:dyDescent="0.25">
      <c r="A503" s="30">
        <v>3.47557097533119E-16</v>
      </c>
    </row>
    <row r="504" spans="1:1" x14ac:dyDescent="0.25">
      <c r="A504" s="30">
        <v>3.1280138777980711E-16</v>
      </c>
    </row>
    <row r="505" spans="1:1" x14ac:dyDescent="0.25">
      <c r="A505" s="30">
        <v>2.815212490018264E-16</v>
      </c>
    </row>
    <row r="506" spans="1:1" x14ac:dyDescent="0.25">
      <c r="A506" s="30">
        <v>2.5336912410164374E-16</v>
      </c>
    </row>
    <row r="507" spans="1:1" x14ac:dyDescent="0.25">
      <c r="A507" s="30">
        <v>2.2803221169147938E-16</v>
      </c>
    </row>
    <row r="508" spans="1:1" x14ac:dyDescent="0.25">
      <c r="A508" s="30">
        <v>2.0522899052233145E-16</v>
      </c>
    </row>
    <row r="509" spans="1:1" x14ac:dyDescent="0.25">
      <c r="A509" s="30">
        <v>1.8470609147009832E-16</v>
      </c>
    </row>
    <row r="510" spans="1:1" x14ac:dyDescent="0.25">
      <c r="A510" s="30">
        <v>1.6623548232308849E-16</v>
      </c>
    </row>
    <row r="511" spans="1:1" x14ac:dyDescent="0.25">
      <c r="A511" s="30">
        <v>1.4961193409077965E-16</v>
      </c>
    </row>
    <row r="512" spans="1:1" x14ac:dyDescent="0.25">
      <c r="A512" s="30">
        <v>1.3465074068170169E-16</v>
      </c>
    </row>
    <row r="513" spans="1:1" x14ac:dyDescent="0.25">
      <c r="A513" s="30">
        <v>1.2118566661353153E-16</v>
      </c>
    </row>
    <row r="514" spans="1:1" x14ac:dyDescent="0.25">
      <c r="A514" s="30">
        <v>1.0906709995217838E-16</v>
      </c>
    </row>
    <row r="515" spans="1:1" x14ac:dyDescent="0.25">
      <c r="A515" s="30">
        <v>9.8160389956960543E-17</v>
      </c>
    </row>
    <row r="516" spans="1:1" x14ac:dyDescent="0.25">
      <c r="A516" s="30">
        <v>8.8344350961264486E-17</v>
      </c>
    </row>
    <row r="517" spans="1:1" x14ac:dyDescent="0.25">
      <c r="A517" s="30">
        <v>7.9509915865138035E-17</v>
      </c>
    </row>
    <row r="518" spans="1:1" x14ac:dyDescent="0.25">
      <c r="A518" s="30">
        <v>7.1558924278624229E-17</v>
      </c>
    </row>
    <row r="519" spans="1:1" x14ac:dyDescent="0.25">
      <c r="A519" s="30">
        <v>6.440303185076181E-17</v>
      </c>
    </row>
    <row r="520" spans="1:1" x14ac:dyDescent="0.25">
      <c r="A520" s="30">
        <v>5.7962728665685633E-17</v>
      </c>
    </row>
    <row r="521" spans="1:1" x14ac:dyDescent="0.25">
      <c r="A521" s="30">
        <v>5.2166455799117073E-17</v>
      </c>
    </row>
    <row r="522" spans="1:1" x14ac:dyDescent="0.25">
      <c r="A522" s="30">
        <v>4.6949810219205366E-17</v>
      </c>
    </row>
    <row r="523" spans="1:1" x14ac:dyDescent="0.25">
      <c r="A523" s="30">
        <v>4.2254829197284832E-17</v>
      </c>
    </row>
    <row r="524" spans="1:1" x14ac:dyDescent="0.25">
      <c r="A524" s="30">
        <v>3.8029346277556347E-17</v>
      </c>
    </row>
    <row r="525" spans="1:1" x14ac:dyDescent="0.25">
      <c r="A525" s="30">
        <v>3.4226411649800712E-17</v>
      </c>
    </row>
    <row r="526" spans="1:1" x14ac:dyDescent="0.25">
      <c r="A526" s="30">
        <v>3.0803770484820639E-17</v>
      </c>
    </row>
  </sheetData>
  <conditionalFormatting sqref="C136">
    <cfRule type="cellIs" dxfId="31" priority="975" operator="equal">
      <formula>$U$1</formula>
    </cfRule>
    <cfRule type="cellIs" dxfId="30" priority="976" operator="equal">
      <formula>$S$1</formula>
    </cfRule>
  </conditionalFormatting>
  <conditionalFormatting sqref="D136">
    <cfRule type="cellIs" dxfId="29" priority="973" operator="equal">
      <formula>$S$1</formula>
    </cfRule>
    <cfRule type="cellIs" dxfId="28" priority="974" operator="equal">
      <formula>$U$1</formula>
    </cfRule>
  </conditionalFormatting>
  <conditionalFormatting sqref="C102">
    <cfRule type="cellIs" dxfId="27" priority="971" operator="equal">
      <formula>$U$1</formula>
    </cfRule>
    <cfRule type="cellIs" dxfId="26" priority="972" operator="equal">
      <formula>$S$1</formula>
    </cfRule>
  </conditionalFormatting>
  <conditionalFormatting sqref="D102">
    <cfRule type="cellIs" dxfId="25" priority="969" operator="equal">
      <formula>$S$1</formula>
    </cfRule>
    <cfRule type="cellIs" dxfId="24" priority="970" operator="equal">
      <formula>$U$1</formula>
    </cfRule>
  </conditionalFormatting>
  <conditionalFormatting sqref="C77">
    <cfRule type="cellIs" dxfId="23" priority="967" operator="equal">
      <formula>$U$1</formula>
    </cfRule>
    <cfRule type="cellIs" dxfId="22" priority="968" operator="equal">
      <formula>$S$1</formula>
    </cfRule>
  </conditionalFormatting>
  <conditionalFormatting sqref="D77">
    <cfRule type="cellIs" dxfId="21" priority="965" operator="equal">
      <formula>$S$1</formula>
    </cfRule>
    <cfRule type="cellIs" dxfId="20" priority="966" operator="equal">
      <formula>$U$1</formula>
    </cfRule>
  </conditionalFormatting>
  <conditionalFormatting sqref="C52">
    <cfRule type="cellIs" dxfId="19" priority="963" operator="equal">
      <formula>$U$1</formula>
    </cfRule>
    <cfRule type="cellIs" dxfId="18" priority="964" operator="equal">
      <formula>$S$1</formula>
    </cfRule>
  </conditionalFormatting>
  <conditionalFormatting sqref="D52">
    <cfRule type="cellIs" dxfId="17" priority="961" operator="equal">
      <formula>$S$1</formula>
    </cfRule>
    <cfRule type="cellIs" dxfId="16" priority="962" operator="equal">
      <formula>$U$1</formula>
    </cfRule>
  </conditionalFormatting>
  <conditionalFormatting sqref="C26">
    <cfRule type="cellIs" dxfId="15" priority="959" operator="equal">
      <formula>$U$1</formula>
    </cfRule>
    <cfRule type="cellIs" dxfId="14" priority="960" operator="equal">
      <formula>$S$1</formula>
    </cfRule>
  </conditionalFormatting>
  <conditionalFormatting sqref="D26">
    <cfRule type="cellIs" dxfId="13" priority="957" operator="equal">
      <formula>$S$1</formula>
    </cfRule>
    <cfRule type="cellIs" dxfId="12" priority="95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4" sqref="G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49.561441066842605</v>
      </c>
      <c r="F3" s="30">
        <v>54.641488776193974</v>
      </c>
      <c r="G3" s="30">
        <v>69.737924672607079</v>
      </c>
      <c r="H3" s="25">
        <f>IF(G3="","",(3*(G3-F3))+E3)</f>
        <v>94.850748756081913</v>
      </c>
      <c r="I3" s="7"/>
      <c r="J3" s="7">
        <f>(E3+G3)/2</f>
        <v>59.649682869724842</v>
      </c>
      <c r="K3" s="7">
        <f>H3/2</f>
        <v>47.425374378040956</v>
      </c>
      <c r="M3" s="26">
        <f>IF(OR(J3="",H3=""),"",H3/J3)</f>
        <v>1.5901299754306548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42.81303623094059</v>
      </c>
      <c r="F4" s="30">
        <v>44.95368804248762</v>
      </c>
      <c r="G4" s="30">
        <v>76.886061951549308</v>
      </c>
      <c r="H4" s="25">
        <f t="shared" ref="H4:H25" si="0">IF(G4="","",(3*(G4-F4))+E4)</f>
        <v>138.61015795812565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2022-01-28T01:23:37Z</dcterms:modified>
</cp:coreProperties>
</file>