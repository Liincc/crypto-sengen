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281C621-2014-4690-A733-4A8A785B899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4"/>
  <c r="C133" i="4" s="1"/>
  <c r="C136" i="4" s="1"/>
  <c r="C118" i="4"/>
  <c r="C122" i="3"/>
  <c r="C133" i="3" s="1"/>
  <c r="C136" i="3" s="1"/>
  <c r="C116" i="3"/>
  <c r="R765" i="1"/>
  <c r="C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<sst xmlns="http://schemas.openxmlformats.org/spreadsheetml/2006/main" count="4448" uniqueCount="34">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</sst>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2.839</c:v>
                </c:pt>
                <c:pt idx="1">
                  <c:v>2.887</c:v>
                </c:pt>
                <c:pt idx="2">
                  <c:v>2.907</c:v>
                </c:pt>
                <c:pt idx="3">
                  <c:v>2.9409999999999998</c:v>
                </c:pt>
                <c:pt idx="4">
                  <c:v>2.9449999999999998</c:v>
                </c:pt>
                <c:pt idx="5">
                  <c:v>2.8039999999999998</c:v>
                </c:pt>
                <c:pt idx="6">
                  <c:v>3.1680000000000001</c:v>
                </c:pt>
                <c:pt idx="7">
                  <c:v>3.5830000000000002</c:v>
                </c:pt>
                <c:pt idx="8">
                  <c:v>3.6269999999999998</c:v>
                </c:pt>
                <c:pt idx="9">
                  <c:v>3.7269999999999999</c:v>
                </c:pt>
                <c:pt idx="10">
                  <c:v>3.798</c:v>
                </c:pt>
                <c:pt idx="11">
                  <c:v>3.89</c:v>
                </c:pt>
                <c:pt idx="12">
                  <c:v>3.8460000000000001</c:v>
                </c:pt>
                <c:pt idx="13">
                  <c:v>3.8450000000000002</c:v>
                </c:pt>
                <c:pt idx="14">
                  <c:v>3.7829999999999999</c:v>
                </c:pt>
                <c:pt idx="15">
                  <c:v>3.9220000000000002</c:v>
                </c:pt>
                <c:pt idx="16">
                  <c:v>3.8180000000000001</c:v>
                </c:pt>
                <c:pt idx="17">
                  <c:v>3.5790000000000002</c:v>
                </c:pt>
                <c:pt idx="18">
                  <c:v>3.77</c:v>
                </c:pt>
                <c:pt idx="19">
                  <c:v>3.657</c:v>
                </c:pt>
                <c:pt idx="20">
                  <c:v>3.8109999999999999</c:v>
                </c:pt>
                <c:pt idx="21">
                  <c:v>3.8759999999999999</c:v>
                </c:pt>
                <c:pt idx="22">
                  <c:v>3.8079999999999998</c:v>
                </c:pt>
                <c:pt idx="23">
                  <c:v>4.1120000000000001</c:v>
                </c:pt>
                <c:pt idx="24">
                  <c:v>4.1520000000000001</c:v>
                </c:pt>
                <c:pt idx="25">
                  <c:v>4.1719999999999997</c:v>
                </c:pt>
                <c:pt idx="26">
                  <c:v>4.2210000000000001</c:v>
                </c:pt>
                <c:pt idx="27">
                  <c:v>4.0179999999999998</c:v>
                </c:pt>
                <c:pt idx="28">
                  <c:v>4.048</c:v>
                </c:pt>
                <c:pt idx="29">
                  <c:v>4.1150000000000002</c:v>
                </c:pt>
                <c:pt idx="30">
                  <c:v>4.5640000000000001</c:v>
                </c:pt>
                <c:pt idx="31">
                  <c:v>4.3609999999999998</c:v>
                </c:pt>
                <c:pt idx="32">
                  <c:v>4.1130000000000004</c:v>
                </c:pt>
                <c:pt idx="33">
                  <c:v>4.05</c:v>
                </c:pt>
                <c:pt idx="34">
                  <c:v>4.0039999999999996</c:v>
                </c:pt>
                <c:pt idx="35">
                  <c:v>4.157</c:v>
                </c:pt>
                <c:pt idx="36">
                  <c:v>3.8620000000000001</c:v>
                </c:pt>
                <c:pt idx="37">
                  <c:v>3.7989999999999999</c:v>
                </c:pt>
                <c:pt idx="38">
                  <c:v>3.7109999999999999</c:v>
                </c:pt>
                <c:pt idx="39">
                  <c:v>3.55</c:v>
                </c:pt>
                <c:pt idx="40">
                  <c:v>3.621</c:v>
                </c:pt>
                <c:pt idx="41">
                  <c:v>3.577</c:v>
                </c:pt>
                <c:pt idx="42">
                  <c:v>3.7519999999999998</c:v>
                </c:pt>
                <c:pt idx="43">
                  <c:v>3.835</c:v>
                </c:pt>
                <c:pt idx="44">
                  <c:v>3.919</c:v>
                </c:pt>
                <c:pt idx="45">
                  <c:v>3.8340000000000001</c:v>
                </c:pt>
                <c:pt idx="46">
                  <c:v>4.1879999999999997</c:v>
                </c:pt>
                <c:pt idx="47">
                  <c:v>4.1180000000000003</c:v>
                </c:pt>
                <c:pt idx="48">
                  <c:v>4.0730000000000004</c:v>
                </c:pt>
                <c:pt idx="49">
                  <c:v>4.1210000000000004</c:v>
                </c:pt>
                <c:pt idx="50">
                  <c:v>4.3310000000000004</c:v>
                </c:pt>
                <c:pt idx="51">
                  <c:v>4.282</c:v>
                </c:pt>
                <c:pt idx="52">
                  <c:v>4.375</c:v>
                </c:pt>
                <c:pt idx="53">
                  <c:v>4.4119999999999999</c:v>
                </c:pt>
                <c:pt idx="54">
                  <c:v>4.1399999999999997</c:v>
                </c:pt>
                <c:pt idx="55">
                  <c:v>4.5259999999999998</c:v>
                </c:pt>
                <c:pt idx="56">
                  <c:v>4.6879999999999997</c:v>
                </c:pt>
                <c:pt idx="57">
                  <c:v>4.8479999999999999</c:v>
                </c:pt>
                <c:pt idx="58">
                  <c:v>4.806</c:v>
                </c:pt>
                <c:pt idx="59">
                  <c:v>4.9409999999999998</c:v>
                </c:pt>
                <c:pt idx="60">
                  <c:v>4.9249999999999998</c:v>
                </c:pt>
                <c:pt idx="61">
                  <c:v>4.9800000000000004</c:v>
                </c:pt>
                <c:pt idx="62">
                  <c:v>4.944</c:v>
                </c:pt>
                <c:pt idx="63">
                  <c:v>5.343</c:v>
                </c:pt>
                <c:pt idx="64">
                  <c:v>5.1639999999999997</c:v>
                </c:pt>
                <c:pt idx="65">
                  <c:v>5.1749999999999998</c:v>
                </c:pt>
                <c:pt idx="66">
                  <c:v>5.46</c:v>
                </c:pt>
                <c:pt idx="67">
                  <c:v>5.4219999999999997</c:v>
                </c:pt>
                <c:pt idx="68">
                  <c:v>5.5060000000000002</c:v>
                </c:pt>
                <c:pt idx="69">
                  <c:v>5.5640000000000001</c:v>
                </c:pt>
                <c:pt idx="70">
                  <c:v>5.31</c:v>
                </c:pt>
                <c:pt idx="71">
                  <c:v>5.7370000000000001</c:v>
                </c:pt>
                <c:pt idx="72">
                  <c:v>5.8360000000000003</c:v>
                </c:pt>
                <c:pt idx="73">
                  <c:v>6.2220000000000004</c:v>
                </c:pt>
                <c:pt idx="74">
                  <c:v>6.133</c:v>
                </c:pt>
                <c:pt idx="75">
                  <c:v>6.141</c:v>
                </c:pt>
                <c:pt idx="76">
                  <c:v>6.0960000000000001</c:v>
                </c:pt>
                <c:pt idx="77">
                  <c:v>6.194</c:v>
                </c:pt>
                <c:pt idx="78">
                  <c:v>6.093</c:v>
                </c:pt>
                <c:pt idx="79">
                  <c:v>6.1959999999999997</c:v>
                </c:pt>
                <c:pt idx="80">
                  <c:v>6.306</c:v>
                </c:pt>
                <c:pt idx="81">
                  <c:v>6.3789999999999996</c:v>
                </c:pt>
                <c:pt idx="82">
                  <c:v>6.2229999999999999</c:v>
                </c:pt>
                <c:pt idx="83">
                  <c:v>6.2169999999999996</c:v>
                </c:pt>
                <c:pt idx="84">
                  <c:v>6.2030000000000003</c:v>
                </c:pt>
                <c:pt idx="85">
                  <c:v>6.2649999999999997</c:v>
                </c:pt>
                <c:pt idx="86">
                  <c:v>6.3970000000000002</c:v>
                </c:pt>
                <c:pt idx="87">
                  <c:v>6.4939999999999998</c:v>
                </c:pt>
                <c:pt idx="88">
                  <c:v>6.4059999999999997</c:v>
                </c:pt>
                <c:pt idx="89">
                  <c:v>6.5</c:v>
                </c:pt>
                <c:pt idx="90">
                  <c:v>6.56</c:v>
                </c:pt>
                <c:pt idx="91">
                  <c:v>6.423</c:v>
                </c:pt>
                <c:pt idx="92">
                  <c:v>6.3289999999999997</c:v>
                </c:pt>
                <c:pt idx="93">
                  <c:v>6.9550000000000001</c:v>
                </c:pt>
                <c:pt idx="94">
                  <c:v>7.1150000000000002</c:v>
                </c:pt>
                <c:pt idx="95">
                  <c:v>6.9480000000000004</c:v>
                </c:pt>
                <c:pt idx="96">
                  <c:v>7.2089999999999996</c:v>
                </c:pt>
                <c:pt idx="97">
                  <c:v>7.2190000000000003</c:v>
                </c:pt>
                <c:pt idx="98">
                  <c:v>7.1920000000000002</c:v>
                </c:pt>
                <c:pt idx="99">
                  <c:v>7.5250000000000004</c:v>
                </c:pt>
                <c:pt idx="100">
                  <c:v>7.3159999999999998</c:v>
                </c:pt>
                <c:pt idx="101">
                  <c:v>7.3049999999999997</c:v>
                </c:pt>
                <c:pt idx="102">
                  <c:v>7.3579999999999997</c:v>
                </c:pt>
                <c:pt idx="103">
                  <c:v>7.48</c:v>
                </c:pt>
                <c:pt idx="104">
                  <c:v>7.4560000000000004</c:v>
                </c:pt>
                <c:pt idx="105">
                  <c:v>7.9080000000000004</c:v>
                </c:pt>
                <c:pt idx="106">
                  <c:v>7.3559999999999999</c:v>
                </c:pt>
                <c:pt idx="107">
                  <c:v>7.3170000000000002</c:v>
                </c:pt>
                <c:pt idx="108">
                  <c:v>7.2249999999999996</c:v>
                </c:pt>
                <c:pt idx="109">
                  <c:v>7.3310000000000004</c:v>
                </c:pt>
                <c:pt idx="110">
                  <c:v>7.5</c:v>
                </c:pt>
                <c:pt idx="111">
                  <c:v>7.38</c:v>
                </c:pt>
                <c:pt idx="112">
                  <c:v>7.4459999999999997</c:v>
                </c:pt>
                <c:pt idx="113">
                  <c:v>7.52</c:v>
                </c:pt>
                <c:pt idx="114">
                  <c:v>7.2690000000000001</c:v>
                </c:pt>
                <c:pt idx="115">
                  <c:v>7.2290000000000001</c:v>
                </c:pt>
                <c:pt idx="116">
                  <c:v>7.3719999999999999</c:v>
                </c:pt>
                <c:pt idx="117">
                  <c:v>7.4039999999999999</c:v>
                </c:pt>
                <c:pt idx="118">
                  <c:v>7.3650000000000002</c:v>
                </c:pt>
                <c:pt idx="119">
                  <c:v>7.1970000000000001</c:v>
                </c:pt>
                <c:pt idx="120">
                  <c:v>7.0609999999999999</c:v>
                </c:pt>
                <c:pt idx="121">
                  <c:v>7.15</c:v>
                </c:pt>
                <c:pt idx="122">
                  <c:v>7.2370000000000001</c:v>
                </c:pt>
                <c:pt idx="123">
                  <c:v>7.2709999999999999</c:v>
                </c:pt>
                <c:pt idx="124">
                  <c:v>7.2709999999999999</c:v>
                </c:pt>
                <c:pt idx="125">
                  <c:v>7.3780000000000001</c:v>
                </c:pt>
                <c:pt idx="126">
                  <c:v>7.7220000000000004</c:v>
                </c:pt>
                <c:pt idx="127">
                  <c:v>7.5919999999999996</c:v>
                </c:pt>
                <c:pt idx="128">
                  <c:v>7.25</c:v>
                </c:pt>
                <c:pt idx="129">
                  <c:v>7.4359999999999999</c:v>
                </c:pt>
                <c:pt idx="130">
                  <c:v>7.8209999999999997</c:v>
                </c:pt>
                <c:pt idx="131">
                  <c:v>8.2870000000000008</c:v>
                </c:pt>
                <c:pt idx="132">
                  <c:v>8.3260000000000005</c:v>
                </c:pt>
                <c:pt idx="133">
                  <c:v>8.6379999999999999</c:v>
                </c:pt>
                <c:pt idx="134">
                  <c:v>9.4529999999999994</c:v>
                </c:pt>
                <c:pt idx="135">
                  <c:v>7.718</c:v>
                </c:pt>
                <c:pt idx="136">
                  <c:v>7.1529999999999996</c:v>
                </c:pt>
                <c:pt idx="137">
                  <c:v>7.4320000000000004</c:v>
                </c:pt>
                <c:pt idx="138">
                  <c:v>7.194</c:v>
                </c:pt>
                <c:pt idx="139">
                  <c:v>7.282</c:v>
                </c:pt>
                <c:pt idx="140">
                  <c:v>7.1130000000000004</c:v>
                </c:pt>
                <c:pt idx="141">
                  <c:v>7.1319999999999997</c:v>
                </c:pt>
                <c:pt idx="142">
                  <c:v>7.2720000000000002</c:v>
                </c:pt>
                <c:pt idx="143">
                  <c:v>8.3239999999999998</c:v>
                </c:pt>
                <c:pt idx="144">
                  <c:v>8.1929999999999996</c:v>
                </c:pt>
                <c:pt idx="145">
                  <c:v>7.6470000000000002</c:v>
                </c:pt>
                <c:pt idx="146">
                  <c:v>7.7060000000000004</c:v>
                </c:pt>
                <c:pt idx="147">
                  <c:v>7.5430000000000001</c:v>
                </c:pt>
                <c:pt idx="148">
                  <c:v>7.5579999999999998</c:v>
                </c:pt>
                <c:pt idx="149">
                  <c:v>7.2110000000000003</c:v>
                </c:pt>
                <c:pt idx="150">
                  <c:v>7.2830000000000004</c:v>
                </c:pt>
                <c:pt idx="151">
                  <c:v>7.4260000000000002</c:v>
                </c:pt>
                <c:pt idx="152">
                  <c:v>7.548</c:v>
                </c:pt>
                <c:pt idx="153">
                  <c:v>7.6829999999999998</c:v>
                </c:pt>
                <c:pt idx="154">
                  <c:v>7.5490000000000004</c:v>
                </c:pt>
                <c:pt idx="155">
                  <c:v>8.0660000000000007</c:v>
                </c:pt>
                <c:pt idx="156">
                  <c:v>8.0289999999999999</c:v>
                </c:pt>
                <c:pt idx="157">
                  <c:v>8.3079999999999998</c:v>
                </c:pt>
                <c:pt idx="158">
                  <c:v>8.2739999999999991</c:v>
                </c:pt>
                <c:pt idx="159">
                  <c:v>8.1430000000000007</c:v>
                </c:pt>
                <c:pt idx="160">
                  <c:v>8.4220000000000006</c:v>
                </c:pt>
                <c:pt idx="161">
                  <c:v>8.4190000000000005</c:v>
                </c:pt>
                <c:pt idx="162">
                  <c:v>8.3689999999999998</c:v>
                </c:pt>
                <c:pt idx="163">
                  <c:v>8.4819999999999993</c:v>
                </c:pt>
                <c:pt idx="164">
                  <c:v>8.5730000000000004</c:v>
                </c:pt>
                <c:pt idx="165">
                  <c:v>8.8010000000000002</c:v>
                </c:pt>
                <c:pt idx="166">
                  <c:v>8.5259999999999998</c:v>
                </c:pt>
                <c:pt idx="167">
                  <c:v>8.3889999999999993</c:v>
                </c:pt>
                <c:pt idx="168">
                  <c:v>8.1270000000000007</c:v>
                </c:pt>
                <c:pt idx="169">
                  <c:v>7.8730000000000002</c:v>
                </c:pt>
                <c:pt idx="170">
                  <c:v>8.016</c:v>
                </c:pt>
                <c:pt idx="171">
                  <c:v>8.3249999999999993</c:v>
                </c:pt>
                <c:pt idx="172">
                  <c:v>7.2489999999999997</c:v>
                </c:pt>
                <c:pt idx="173">
                  <c:v>7.46</c:v>
                </c:pt>
                <c:pt idx="174">
                  <c:v>7.3159999999999998</c:v>
                </c:pt>
                <c:pt idx="175">
                  <c:v>7.23</c:v>
                </c:pt>
                <c:pt idx="176">
                  <c:v>7.2240000000000002</c:v>
                </c:pt>
                <c:pt idx="177">
                  <c:v>7.0780000000000003</c:v>
                </c:pt>
                <c:pt idx="178">
                  <c:v>7.3339999999999996</c:v>
                </c:pt>
                <c:pt idx="179">
                  <c:v>6.7949999999999999</c:v>
                </c:pt>
                <c:pt idx="180">
                  <c:v>7.0010000000000003</c:v>
                </c:pt>
                <c:pt idx="181">
                  <c:v>6.9050000000000002</c:v>
                </c:pt>
                <c:pt idx="182">
                  <c:v>6.7389999999999999</c:v>
                </c:pt>
                <c:pt idx="183">
                  <c:v>6.39</c:v>
                </c:pt>
                <c:pt idx="184">
                  <c:v>6.4589999999999996</c:v>
                </c:pt>
                <c:pt idx="185">
                  <c:v>6.3559999999999999</c:v>
                </c:pt>
                <c:pt idx="186">
                  <c:v>6.6269999999999998</c:v>
                </c:pt>
                <c:pt idx="187">
                  <c:v>6.4809999999999999</c:v>
                </c:pt>
                <c:pt idx="188">
                  <c:v>6.8579999999999997</c:v>
                </c:pt>
                <c:pt idx="189">
                  <c:v>6.2910000000000004</c:v>
                </c:pt>
                <c:pt idx="190">
                  <c:v>5.75</c:v>
                </c:pt>
                <c:pt idx="191">
                  <c:v>5.3360000000000003</c:v>
                </c:pt>
                <c:pt idx="192">
                  <c:v>5.569</c:v>
                </c:pt>
                <c:pt idx="193">
                  <c:v>5.4</c:v>
                </c:pt>
                <c:pt idx="194">
                  <c:v>5.3520000000000003</c:v>
                </c:pt>
                <c:pt idx="195">
                  <c:v>5.226</c:v>
                </c:pt>
                <c:pt idx="196">
                  <c:v>5.48</c:v>
                </c:pt>
                <c:pt idx="197">
                  <c:v>5.84</c:v>
                </c:pt>
                <c:pt idx="198">
                  <c:v>5.8</c:v>
                </c:pt>
                <c:pt idx="199">
                  <c:v>5.6769999999999996</c:v>
                </c:pt>
                <c:pt idx="200">
                  <c:v>5.0940000000000003</c:v>
                </c:pt>
                <c:pt idx="201">
                  <c:v>5.0759999999999996</c:v>
                </c:pt>
                <c:pt idx="202">
                  <c:v>4.9509999999999996</c:v>
                </c:pt>
                <c:pt idx="203">
                  <c:v>4.9009999999999998</c:v>
                </c:pt>
                <c:pt idx="204">
                  <c:v>5.05</c:v>
                </c:pt>
                <c:pt idx="205">
                  <c:v>5.0209999999999999</c:v>
                </c:pt>
                <c:pt idx="206">
                  <c:v>5.0030000000000001</c:v>
                </c:pt>
                <c:pt idx="207">
                  <c:v>5.032</c:v>
                </c:pt>
                <c:pt idx="208">
                  <c:v>4.9939999999999998</c:v>
                </c:pt>
                <c:pt idx="209">
                  <c:v>4.9749999999999996</c:v>
                </c:pt>
                <c:pt idx="210">
                  <c:v>5.0750000000000002</c:v>
                </c:pt>
                <c:pt idx="211">
                  <c:v>5.0529999999999999</c:v>
                </c:pt>
                <c:pt idx="212">
                  <c:v>5.1130000000000004</c:v>
                </c:pt>
                <c:pt idx="213">
                  <c:v>5.0389999999999997</c:v>
                </c:pt>
                <c:pt idx="214">
                  <c:v>5.0199999999999996</c:v>
                </c:pt>
                <c:pt idx="215">
                  <c:v>5.0490000000000004</c:v>
                </c:pt>
                <c:pt idx="216">
                  <c:v>4.899</c:v>
                </c:pt>
                <c:pt idx="217">
                  <c:v>5.2809999999999997</c:v>
                </c:pt>
                <c:pt idx="218">
                  <c:v>5.2</c:v>
                </c:pt>
                <c:pt idx="219">
                  <c:v>4.9770000000000003</c:v>
                </c:pt>
                <c:pt idx="220">
                  <c:v>4.9210000000000003</c:v>
                </c:pt>
                <c:pt idx="221">
                  <c:v>6.1189999999999998</c:v>
                </c:pt>
                <c:pt idx="222">
                  <c:v>6.3479999999999999</c:v>
                </c:pt>
                <c:pt idx="223">
                  <c:v>6.2629999999999999</c:v>
                </c:pt>
                <c:pt idx="224">
                  <c:v>6.4009999999999998</c:v>
                </c:pt>
                <c:pt idx="225">
                  <c:v>6.0190000000000001</c:v>
                </c:pt>
                <c:pt idx="226">
                  <c:v>6.3579999999999997</c:v>
                </c:pt>
                <c:pt idx="227">
                  <c:v>6.1230000000000002</c:v>
                </c:pt>
                <c:pt idx="228">
                  <c:v>6.02</c:v>
                </c:pt>
                <c:pt idx="229">
                  <c:v>5.8680000000000003</c:v>
                </c:pt>
                <c:pt idx="230">
                  <c:v>6.5</c:v>
                </c:pt>
                <c:pt idx="231">
                  <c:v>6.1280000000000001</c:v>
                </c:pt>
                <c:pt idx="232">
                  <c:v>5.45</c:v>
                </c:pt>
                <c:pt idx="233">
                  <c:v>5.1479999999999997</c:v>
                </c:pt>
                <c:pt idx="234">
                  <c:v>5.4089999999999998</c:v>
                </c:pt>
                <c:pt idx="235">
                  <c:v>5.7329999999999997</c:v>
                </c:pt>
                <c:pt idx="236">
                  <c:v>5.9290000000000003</c:v>
                </c:pt>
                <c:pt idx="237">
                  <c:v>5.86</c:v>
                </c:pt>
                <c:pt idx="238">
                  <c:v>6.3209999999999997</c:v>
                </c:pt>
                <c:pt idx="239">
                  <c:v>5.9690000000000003</c:v>
                </c:pt>
                <c:pt idx="240">
                  <c:v>5.7309999999999999</c:v>
                </c:pt>
                <c:pt idx="241">
                  <c:v>6.1050000000000004</c:v>
                </c:pt>
                <c:pt idx="242">
                  <c:v>5.9189999999999996</c:v>
                </c:pt>
                <c:pt idx="243">
                  <c:v>5.9349999999999996</c:v>
                </c:pt>
                <c:pt idx="244">
                  <c:v>6.1349999999999998</c:v>
                </c:pt>
                <c:pt idx="245">
                  <c:v>6.7679999999999998</c:v>
                </c:pt>
                <c:pt idx="246">
                  <c:v>6.1980000000000004</c:v>
                </c:pt>
                <c:pt idx="247">
                  <c:v>5.8</c:v>
                </c:pt>
                <c:pt idx="248">
                  <c:v>6.2409999999999997</c:v>
                </c:pt>
                <c:pt idx="249">
                  <c:v>5.7939999999999996</c:v>
                </c:pt>
                <c:pt idx="250">
                  <c:v>7.931</c:v>
                </c:pt>
                <c:pt idx="251">
                  <c:v>9.8219999999999992</c:v>
                </c:pt>
                <c:pt idx="252">
                  <c:v>8.6839999999999993</c:v>
                </c:pt>
                <c:pt idx="253">
                  <c:v>7.6920000000000002</c:v>
                </c:pt>
                <c:pt idx="254">
                  <c:v>12.885</c:v>
                </c:pt>
                <c:pt idx="255">
                  <c:v>10.188000000000001</c:v>
                </c:pt>
                <c:pt idx="256">
                  <c:v>11.167</c:v>
                </c:pt>
                <c:pt idx="257">
                  <c:v>12.15</c:v>
                </c:pt>
                <c:pt idx="258">
                  <c:v>9.8079999999999998</c:v>
                </c:pt>
                <c:pt idx="259">
                  <c:v>8.5389999999999997</c:v>
                </c:pt>
                <c:pt idx="260">
                  <c:v>8.0589999999999993</c:v>
                </c:pt>
                <c:pt idx="261">
                  <c:v>8.2859999999999996</c:v>
                </c:pt>
                <c:pt idx="262">
                  <c:v>8.0939999999999994</c:v>
                </c:pt>
                <c:pt idx="263">
                  <c:v>8.7799999999999994</c:v>
                </c:pt>
                <c:pt idx="264">
                  <c:v>9.0470000000000006</c:v>
                </c:pt>
                <c:pt idx="265">
                  <c:v>9.0939999999999994</c:v>
                </c:pt>
                <c:pt idx="266">
                  <c:v>8.9960000000000004</c:v>
                </c:pt>
                <c:pt idx="267">
                  <c:v>9.3379999999999992</c:v>
                </c:pt>
                <c:pt idx="268">
                  <c:v>8.9489999999999998</c:v>
                </c:pt>
                <c:pt idx="269">
                  <c:v>9.9990000000000006</c:v>
                </c:pt>
                <c:pt idx="270">
                  <c:v>9.8719999999999999</c:v>
                </c:pt>
                <c:pt idx="271">
                  <c:v>9.7270000000000003</c:v>
                </c:pt>
                <c:pt idx="272">
                  <c:v>9.7789999999999999</c:v>
                </c:pt>
                <c:pt idx="273">
                  <c:v>9.6579999999999995</c:v>
                </c:pt>
                <c:pt idx="274">
                  <c:v>9.3640000000000008</c:v>
                </c:pt>
                <c:pt idx="275">
                  <c:v>9.5500000000000007</c:v>
                </c:pt>
                <c:pt idx="276">
                  <c:v>9.39</c:v>
                </c:pt>
                <c:pt idx="277">
                  <c:v>8.0050000000000008</c:v>
                </c:pt>
                <c:pt idx="278">
                  <c:v>7.9630000000000001</c:v>
                </c:pt>
                <c:pt idx="279">
                  <c:v>8.1989999999999998</c:v>
                </c:pt>
                <c:pt idx="280">
                  <c:v>8.9179999999999993</c:v>
                </c:pt>
                <c:pt idx="281">
                  <c:v>8.9529999999999994</c:v>
                </c:pt>
                <c:pt idx="282">
                  <c:v>9.1050000000000004</c:v>
                </c:pt>
                <c:pt idx="283">
                  <c:v>8.7870000000000008</c:v>
                </c:pt>
                <c:pt idx="284">
                  <c:v>9.2520000000000007</c:v>
                </c:pt>
                <c:pt idx="285">
                  <c:v>10.471</c:v>
                </c:pt>
                <c:pt idx="286">
                  <c:v>10.417</c:v>
                </c:pt>
                <c:pt idx="287">
                  <c:v>11.026</c:v>
                </c:pt>
                <c:pt idx="288">
                  <c:v>11.2</c:v>
                </c:pt>
                <c:pt idx="289">
                  <c:v>11.167</c:v>
                </c:pt>
                <c:pt idx="290">
                  <c:v>10.686999999999999</c:v>
                </c:pt>
                <c:pt idx="291">
                  <c:v>10.275</c:v>
                </c:pt>
                <c:pt idx="292">
                  <c:v>9.7360000000000007</c:v>
                </c:pt>
                <c:pt idx="293">
                  <c:v>10.063000000000001</c:v>
                </c:pt>
                <c:pt idx="294">
                  <c:v>10.459</c:v>
                </c:pt>
                <c:pt idx="295">
                  <c:v>11.616</c:v>
                </c:pt>
                <c:pt idx="296">
                  <c:v>10.654</c:v>
                </c:pt>
                <c:pt idx="297">
                  <c:v>10.117000000000001</c:v>
                </c:pt>
                <c:pt idx="298">
                  <c:v>9.7289999999999992</c:v>
                </c:pt>
                <c:pt idx="299">
                  <c:v>9.27</c:v>
                </c:pt>
                <c:pt idx="300">
                  <c:v>10.282</c:v>
                </c:pt>
                <c:pt idx="301">
                  <c:v>10.201000000000001</c:v>
                </c:pt>
                <c:pt idx="302">
                  <c:v>10.38</c:v>
                </c:pt>
                <c:pt idx="303">
                  <c:v>10.374000000000001</c:v>
                </c:pt>
                <c:pt idx="304">
                  <c:v>10.308</c:v>
                </c:pt>
                <c:pt idx="305">
                  <c:v>9.6</c:v>
                </c:pt>
                <c:pt idx="306">
                  <c:v>9.7330000000000005</c:v>
                </c:pt>
                <c:pt idx="307">
                  <c:v>9.7360000000000007</c:v>
                </c:pt>
                <c:pt idx="308">
                  <c:v>9.1920000000000002</c:v>
                </c:pt>
                <c:pt idx="309">
                  <c:v>8.6319999999999997</c:v>
                </c:pt>
                <c:pt idx="310">
                  <c:v>8.952</c:v>
                </c:pt>
                <c:pt idx="311">
                  <c:v>9.3870000000000005</c:v>
                </c:pt>
                <c:pt idx="312">
                  <c:v>9.59</c:v>
                </c:pt>
                <c:pt idx="313">
                  <c:v>10.194000000000001</c:v>
                </c:pt>
                <c:pt idx="314">
                  <c:v>10.753</c:v>
                </c:pt>
                <c:pt idx="315">
                  <c:v>11.029</c:v>
                </c:pt>
                <c:pt idx="316">
                  <c:v>10.798</c:v>
                </c:pt>
                <c:pt idx="317">
                  <c:v>10.538</c:v>
                </c:pt>
                <c:pt idx="318">
                  <c:v>10.532</c:v>
                </c:pt>
                <c:pt idx="319">
                  <c:v>11.119</c:v>
                </c:pt>
                <c:pt idx="320">
                  <c:v>12.23</c:v>
                </c:pt>
                <c:pt idx="321">
                  <c:v>8.99</c:v>
                </c:pt>
                <c:pt idx="322">
                  <c:v>9.4890000000000008</c:v>
                </c:pt>
                <c:pt idx="323">
                  <c:v>7.4649999999999999</c:v>
                </c:pt>
                <c:pt idx="324">
                  <c:v>7.39</c:v>
                </c:pt>
                <c:pt idx="325">
                  <c:v>7</c:v>
                </c:pt>
                <c:pt idx="326">
                  <c:v>6.8710000000000004</c:v>
                </c:pt>
                <c:pt idx="327">
                  <c:v>6.7750000000000004</c:v>
                </c:pt>
                <c:pt idx="328">
                  <c:v>6.4939999999999998</c:v>
                </c:pt>
                <c:pt idx="329">
                  <c:v>6.4530000000000003</c:v>
                </c:pt>
                <c:pt idx="330">
                  <c:v>6.8959999999999999</c:v>
                </c:pt>
                <c:pt idx="331">
                  <c:v>6.4379999999999997</c:v>
                </c:pt>
                <c:pt idx="332">
                  <c:v>6.7939999999999996</c:v>
                </c:pt>
                <c:pt idx="333">
                  <c:v>6.4470000000000001</c:v>
                </c:pt>
                <c:pt idx="334">
                  <c:v>5.9340000000000002</c:v>
                </c:pt>
                <c:pt idx="335">
                  <c:v>5.7539999999999996</c:v>
                </c:pt>
                <c:pt idx="336">
                  <c:v>6.2069999999999999</c:v>
                </c:pt>
                <c:pt idx="337">
                  <c:v>6.548</c:v>
                </c:pt>
                <c:pt idx="338">
                  <c:v>6.3769999999999998</c:v>
                </c:pt>
                <c:pt idx="339">
                  <c:v>7.0979999999999999</c:v>
                </c:pt>
                <c:pt idx="340">
                  <c:v>7.9870000000000001</c:v>
                </c:pt>
                <c:pt idx="341">
                  <c:v>7.7850000000000001</c:v>
                </c:pt>
                <c:pt idx="342">
                  <c:v>8.4090000000000007</c:v>
                </c:pt>
                <c:pt idx="343">
                  <c:v>8.6620000000000008</c:v>
                </c:pt>
                <c:pt idx="344">
                  <c:v>6.5129999999999999</c:v>
                </c:pt>
                <c:pt idx="345">
                  <c:v>6.49</c:v>
                </c:pt>
                <c:pt idx="346">
                  <c:v>6.0629999999999997</c:v>
                </c:pt>
                <c:pt idx="347">
                  <c:v>6.3369999999999997</c:v>
                </c:pt>
                <c:pt idx="348">
                  <c:v>7.2629999999999999</c:v>
                </c:pt>
                <c:pt idx="349">
                  <c:v>6.556</c:v>
                </c:pt>
                <c:pt idx="350">
                  <c:v>6.3869999999999996</c:v>
                </c:pt>
                <c:pt idx="351">
                  <c:v>5.444</c:v>
                </c:pt>
                <c:pt idx="352">
                  <c:v>4.8129999999999997</c:v>
                </c:pt>
                <c:pt idx="353">
                  <c:v>4.8789999999999996</c:v>
                </c:pt>
                <c:pt idx="354">
                  <c:v>4.21</c:v>
                </c:pt>
                <c:pt idx="355">
                  <c:v>4.1619999999999999</c:v>
                </c:pt>
                <c:pt idx="356">
                  <c:v>3.9750000000000001</c:v>
                </c:pt>
                <c:pt idx="357">
                  <c:v>3.7919999999999998</c:v>
                </c:pt>
                <c:pt idx="358">
                  <c:v>3.9769999999999999</c:v>
                </c:pt>
                <c:pt idx="359">
                  <c:v>3.7930000000000001</c:v>
                </c:pt>
                <c:pt idx="360">
                  <c:v>3.7429999999999999</c:v>
                </c:pt>
                <c:pt idx="361">
                  <c:v>3.6269999999999998</c:v>
                </c:pt>
                <c:pt idx="362">
                  <c:v>3.7360000000000002</c:v>
                </c:pt>
                <c:pt idx="363">
                  <c:v>3.7490000000000001</c:v>
                </c:pt>
                <c:pt idx="364">
                  <c:v>3.7650000000000001</c:v>
                </c:pt>
                <c:pt idx="365">
                  <c:v>4.1449999999999996</c:v>
                </c:pt>
                <c:pt idx="366">
                  <c:v>4.0670000000000002</c:v>
                </c:pt>
                <c:pt idx="367">
                  <c:v>3.68</c:v>
                </c:pt>
                <c:pt idx="368">
                  <c:v>3.786</c:v>
                </c:pt>
                <c:pt idx="369">
                  <c:v>3.806</c:v>
                </c:pt>
                <c:pt idx="370">
                  <c:v>3.9750000000000001</c:v>
                </c:pt>
                <c:pt idx="371">
                  <c:v>3.8980000000000001</c:v>
                </c:pt>
                <c:pt idx="372">
                  <c:v>4.3869999999999996</c:v>
                </c:pt>
                <c:pt idx="373">
                  <c:v>4.0780000000000003</c:v>
                </c:pt>
                <c:pt idx="374">
                  <c:v>4.2709999999999999</c:v>
                </c:pt>
                <c:pt idx="375">
                  <c:v>4.2709999999999999</c:v>
                </c:pt>
                <c:pt idx="376">
                  <c:v>4.4809999999999999</c:v>
                </c:pt>
                <c:pt idx="377">
                  <c:v>4.4240000000000004</c:v>
                </c:pt>
                <c:pt idx="378">
                  <c:v>4.4720000000000004</c:v>
                </c:pt>
                <c:pt idx="379">
                  <c:v>5.2039999999999997</c:v>
                </c:pt>
                <c:pt idx="380">
                  <c:v>2.9990000000000001</c:v>
                </c:pt>
                <c:pt idx="381">
                  <c:v>3.1309999999999998</c:v>
                </c:pt>
                <c:pt idx="382">
                  <c:v>3.5179999999999998</c:v>
                </c:pt>
                <c:pt idx="383">
                  <c:v>3.7509999999999999</c:v>
                </c:pt>
                <c:pt idx="384">
                  <c:v>3.9550000000000001</c:v>
                </c:pt>
                <c:pt idx="385">
                  <c:v>3.8450000000000002</c:v>
                </c:pt>
                <c:pt idx="386">
                  <c:v>4.2</c:v>
                </c:pt>
                <c:pt idx="387">
                  <c:v>4.3630000000000004</c:v>
                </c:pt>
                <c:pt idx="388">
                  <c:v>4.8609999999999998</c:v>
                </c:pt>
                <c:pt idx="389">
                  <c:v>5.0910000000000002</c:v>
                </c:pt>
                <c:pt idx="390">
                  <c:v>5.8259999999999996</c:v>
                </c:pt>
                <c:pt idx="391">
                  <c:v>7.1109999999999998</c:v>
                </c:pt>
                <c:pt idx="392">
                  <c:v>6.97</c:v>
                </c:pt>
                <c:pt idx="393">
                  <c:v>9.5990000000000002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80-4FE1-B893-12BF97C321F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-0.36588114824611806</c:v>
                </c:pt>
                <c:pt idx="1">
                  <c:v>-0.36586160424611808</c:v>
                </c:pt>
                <c:pt idx="2">
                  <c:v>-0.36559238616768674</c:v>
                </c:pt>
                <c:pt idx="3">
                  <c:v>-0.36560936764055496</c:v>
                </c:pt>
                <c:pt idx="4">
                  <c:v>-0.36632637052561245</c:v>
                </c:pt>
                <c:pt idx="5">
                  <c:v>-0.36650956102785459</c:v>
                </c:pt>
                <c:pt idx="6">
                  <c:v>-0.36608643651050921</c:v>
                </c:pt>
                <c:pt idx="7">
                  <c:v>-0.36453159512995947</c:v>
                </c:pt>
                <c:pt idx="8">
                  <c:v>-0.35821033512995948</c:v>
                </c:pt>
                <c:pt idx="9">
                  <c:v>-0.35802239399042463</c:v>
                </c:pt>
                <c:pt idx="10">
                  <c:v>-0.35803380024785042</c:v>
                </c:pt>
                <c:pt idx="11">
                  <c:v>-0.35701736218291535</c:v>
                </c:pt>
                <c:pt idx="12">
                  <c:v>-0.35716672142429462</c:v>
                </c:pt>
                <c:pt idx="13">
                  <c:v>-0.35704919656479051</c:v>
                </c:pt>
                <c:pt idx="14">
                  <c:v>-0.357046033571502</c:v>
                </c:pt>
                <c:pt idx="15">
                  <c:v>-0.3566348283413765</c:v>
                </c:pt>
                <c:pt idx="16">
                  <c:v>-0.35721035208110247</c:v>
                </c:pt>
                <c:pt idx="17">
                  <c:v>-0.35748277570979448</c:v>
                </c:pt>
                <c:pt idx="18">
                  <c:v>-0.35702919220583668</c:v>
                </c:pt>
                <c:pt idx="19">
                  <c:v>-0.35684967515045213</c:v>
                </c:pt>
                <c:pt idx="20">
                  <c:v>-0.35611743801191309</c:v>
                </c:pt>
                <c:pt idx="21">
                  <c:v>-0.35681406338739202</c:v>
                </c:pt>
                <c:pt idx="22">
                  <c:v>-0.3567518890027766</c:v>
                </c:pt>
                <c:pt idx="23">
                  <c:v>-0.35630664019680641</c:v>
                </c:pt>
                <c:pt idx="24">
                  <c:v>-0.35448119594266275</c:v>
                </c:pt>
                <c:pt idx="25">
                  <c:v>-0.3544701174009961</c:v>
                </c:pt>
                <c:pt idx="26">
                  <c:v>-0.35285312786868844</c:v>
                </c:pt>
                <c:pt idx="27">
                  <c:v>-0.35237999269964559</c:v>
                </c:pt>
                <c:pt idx="28">
                  <c:v>-0.35228791471539361</c:v>
                </c:pt>
                <c:pt idx="29">
                  <c:v>-0.35212072647729836</c:v>
                </c:pt>
                <c:pt idx="30">
                  <c:v>-0.34994002538525465</c:v>
                </c:pt>
                <c:pt idx="31">
                  <c:v>-0.3298703098042271</c:v>
                </c:pt>
                <c:pt idx="32">
                  <c:v>-0.31995387547838439</c:v>
                </c:pt>
                <c:pt idx="33">
                  <c:v>-0.31983609480638431</c:v>
                </c:pt>
                <c:pt idx="34">
                  <c:v>-0.31901669761240442</c:v>
                </c:pt>
                <c:pt idx="35">
                  <c:v>-0.3179712147250805</c:v>
                </c:pt>
                <c:pt idx="36">
                  <c:v>-0.3127592909933522</c:v>
                </c:pt>
                <c:pt idx="37">
                  <c:v>-0.31247933016982277</c:v>
                </c:pt>
                <c:pt idx="38">
                  <c:v>-0.31187281404005185</c:v>
                </c:pt>
                <c:pt idx="39">
                  <c:v>-0.31146712018976608</c:v>
                </c:pt>
                <c:pt idx="40">
                  <c:v>-0.31016815118976609</c:v>
                </c:pt>
                <c:pt idx="41">
                  <c:v>-0.31035970908450294</c:v>
                </c:pt>
                <c:pt idx="42">
                  <c:v>-0.30970375594085336</c:v>
                </c:pt>
                <c:pt idx="43">
                  <c:v>-0.30883396554598153</c:v>
                </c:pt>
                <c:pt idx="44">
                  <c:v>-0.30839557334486423</c:v>
                </c:pt>
                <c:pt idx="45">
                  <c:v>-0.308551435062353</c:v>
                </c:pt>
                <c:pt idx="46">
                  <c:v>-0.30773132454312224</c:v>
                </c:pt>
                <c:pt idx="47">
                  <c:v>-0.30779177156223053</c:v>
                </c:pt>
                <c:pt idx="48">
                  <c:v>-0.30780685900043275</c:v>
                </c:pt>
                <c:pt idx="49">
                  <c:v>-0.30741924367003626</c:v>
                </c:pt>
                <c:pt idx="50">
                  <c:v>-0.30579859795575054</c:v>
                </c:pt>
                <c:pt idx="51">
                  <c:v>-0.30603426302387043</c:v>
                </c:pt>
                <c:pt idx="52">
                  <c:v>-0.3048447766834449</c:v>
                </c:pt>
                <c:pt idx="53">
                  <c:v>-0.30563069016273481</c:v>
                </c:pt>
                <c:pt idx="54">
                  <c:v>-0.29856302177839317</c:v>
                </c:pt>
                <c:pt idx="55">
                  <c:v>-0.29778347199942456</c:v>
                </c:pt>
                <c:pt idx="56">
                  <c:v>-0.29657412625562291</c:v>
                </c:pt>
                <c:pt idx="57">
                  <c:v>-0.29581551908149356</c:v>
                </c:pt>
                <c:pt idx="58">
                  <c:v>-0.29616290863563371</c:v>
                </c:pt>
                <c:pt idx="59">
                  <c:v>-0.29468546463563372</c:v>
                </c:pt>
                <c:pt idx="60">
                  <c:v>-0.29441562414538297</c:v>
                </c:pt>
                <c:pt idx="61">
                  <c:v>-0.29478179574735835</c:v>
                </c:pt>
                <c:pt idx="62">
                  <c:v>-0.2946961127473583</c:v>
                </c:pt>
                <c:pt idx="63">
                  <c:v>-0.29406101973983956</c:v>
                </c:pt>
                <c:pt idx="64">
                  <c:v>-0.29494675413983951</c:v>
                </c:pt>
                <c:pt idx="65">
                  <c:v>-0.29474838381873858</c:v>
                </c:pt>
                <c:pt idx="66">
                  <c:v>-0.29351657448540525</c:v>
                </c:pt>
                <c:pt idx="67">
                  <c:v>-0.29354653156873861</c:v>
                </c:pt>
                <c:pt idx="68">
                  <c:v>-0.29279456539800691</c:v>
                </c:pt>
                <c:pt idx="69">
                  <c:v>-0.2928104509328906</c:v>
                </c:pt>
                <c:pt idx="70">
                  <c:v>-0.29311019199041272</c:v>
                </c:pt>
                <c:pt idx="71">
                  <c:v>-0.29228636331706914</c:v>
                </c:pt>
                <c:pt idx="72">
                  <c:v>-0.29221205203904221</c:v>
                </c:pt>
                <c:pt idx="73">
                  <c:v>-0.29130231306126442</c:v>
                </c:pt>
                <c:pt idx="74">
                  <c:v>-0.29086980923773503</c:v>
                </c:pt>
                <c:pt idx="75">
                  <c:v>-0.29123088860836444</c:v>
                </c:pt>
                <c:pt idx="76">
                  <c:v>-0.29144238491139468</c:v>
                </c:pt>
                <c:pt idx="77">
                  <c:v>-0.29132820449664815</c:v>
                </c:pt>
                <c:pt idx="78">
                  <c:v>-0.29158792480914814</c:v>
                </c:pt>
                <c:pt idx="79">
                  <c:v>-0.29019579539376356</c:v>
                </c:pt>
                <c:pt idx="80">
                  <c:v>-0.28959456160687824</c:v>
                </c:pt>
                <c:pt idx="81">
                  <c:v>-0.28933491714580045</c:v>
                </c:pt>
                <c:pt idx="82">
                  <c:v>-0.28719337614580043</c:v>
                </c:pt>
                <c:pt idx="83">
                  <c:v>-0.28731293870864194</c:v>
                </c:pt>
                <c:pt idx="84">
                  <c:v>-0.28673554302443138</c:v>
                </c:pt>
                <c:pt idx="85">
                  <c:v>-0.28613070136075425</c:v>
                </c:pt>
                <c:pt idx="86">
                  <c:v>-0.2859840360274209</c:v>
                </c:pt>
                <c:pt idx="87">
                  <c:v>-0.28514171102742086</c:v>
                </c:pt>
                <c:pt idx="88">
                  <c:v>-0.28701133202742091</c:v>
                </c:pt>
                <c:pt idx="89">
                  <c:v>-0.28204118676655132</c:v>
                </c:pt>
                <c:pt idx="90">
                  <c:v>-0.2827916517352197</c:v>
                </c:pt>
                <c:pt idx="91">
                  <c:v>-0.28300257211203134</c:v>
                </c:pt>
                <c:pt idx="92">
                  <c:v>-0.28302024020294037</c:v>
                </c:pt>
                <c:pt idx="93">
                  <c:v>-0.28160379204656649</c:v>
                </c:pt>
                <c:pt idx="94">
                  <c:v>-0.28093769612656649</c:v>
                </c:pt>
                <c:pt idx="95">
                  <c:v>-0.28110014957704571</c:v>
                </c:pt>
                <c:pt idx="96">
                  <c:v>-0.27988674520057516</c:v>
                </c:pt>
                <c:pt idx="97">
                  <c:v>-0.28038416446161935</c:v>
                </c:pt>
                <c:pt idx="98">
                  <c:v>-0.28076121654495267</c:v>
                </c:pt>
                <c:pt idx="99">
                  <c:v>-0.27795250915660313</c:v>
                </c:pt>
                <c:pt idx="100">
                  <c:v>-0.27896482725082811</c:v>
                </c:pt>
                <c:pt idx="101">
                  <c:v>-0.27845143443862153</c:v>
                </c:pt>
                <c:pt idx="102">
                  <c:v>-0.27749144825456079</c:v>
                </c:pt>
                <c:pt idx="103">
                  <c:v>-0.27692998180738637</c:v>
                </c:pt>
                <c:pt idx="104">
                  <c:v>-0.2768537694704688</c:v>
                </c:pt>
                <c:pt idx="105">
                  <c:v>-0.27572781692809595</c:v>
                </c:pt>
                <c:pt idx="106">
                  <c:v>-0.27558223790884834</c:v>
                </c:pt>
                <c:pt idx="107">
                  <c:v>-0.2760700853611644</c:v>
                </c:pt>
                <c:pt idx="108">
                  <c:v>-0.27669583504765094</c:v>
                </c:pt>
                <c:pt idx="109">
                  <c:v>-0.2764993492361007</c:v>
                </c:pt>
                <c:pt idx="110">
                  <c:v>-0.27580207159218384</c:v>
                </c:pt>
                <c:pt idx="111">
                  <c:v>-0.2759508916892302</c:v>
                </c:pt>
                <c:pt idx="112">
                  <c:v>-0.27504034200322341</c:v>
                </c:pt>
                <c:pt idx="113">
                  <c:v>-0.27310535204571201</c:v>
                </c:pt>
                <c:pt idx="114">
                  <c:v>-0.27367001650432504</c:v>
                </c:pt>
                <c:pt idx="115">
                  <c:v>-0.27386006504195942</c:v>
                </c:pt>
                <c:pt idx="116">
                  <c:v>-0.27371314423401244</c:v>
                </c:pt>
                <c:pt idx="117">
                  <c:v>-0.27337958023401238</c:v>
                </c:pt>
                <c:pt idx="118">
                  <c:v>-0.2728058542253356</c:v>
                </c:pt>
                <c:pt idx="119">
                  <c:v>-0.27317491629850638</c:v>
                </c:pt>
                <c:pt idx="120">
                  <c:v>-0.27313343433904691</c:v>
                </c:pt>
                <c:pt idx="121">
                  <c:v>-0.2726083856287021</c:v>
                </c:pt>
                <c:pt idx="122">
                  <c:v>-0.27131445754419509</c:v>
                </c:pt>
                <c:pt idx="123">
                  <c:v>-0.26919022821316052</c:v>
                </c:pt>
                <c:pt idx="124">
                  <c:v>-0.26947729430018846</c:v>
                </c:pt>
                <c:pt idx="125">
                  <c:v>-0.2692320347496267</c:v>
                </c:pt>
                <c:pt idx="126">
                  <c:v>-0.26861005066122257</c:v>
                </c:pt>
                <c:pt idx="127">
                  <c:v>-0.26574722347615498</c:v>
                </c:pt>
                <c:pt idx="128">
                  <c:v>-0.26598847532800685</c:v>
                </c:pt>
                <c:pt idx="129">
                  <c:v>-0.26287467462637004</c:v>
                </c:pt>
                <c:pt idx="130">
                  <c:v>-0.26228375299102336</c:v>
                </c:pt>
                <c:pt idx="131">
                  <c:v>-0.26148598009853435</c:v>
                </c:pt>
                <c:pt idx="132">
                  <c:v>-0.25999317802492578</c:v>
                </c:pt>
                <c:pt idx="133">
                  <c:v>-0.25692597833214226</c:v>
                </c:pt>
                <c:pt idx="134">
                  <c:v>-0.24791683117305138</c:v>
                </c:pt>
                <c:pt idx="135">
                  <c:v>-0.2460327258250796</c:v>
                </c:pt>
                <c:pt idx="136">
                  <c:v>-0.2471448513933453</c:v>
                </c:pt>
                <c:pt idx="137">
                  <c:v>-0.24605664928066923</c:v>
                </c:pt>
                <c:pt idx="138">
                  <c:v>-0.24688742953739296</c:v>
                </c:pt>
                <c:pt idx="139">
                  <c:v>-0.24538600357739296</c:v>
                </c:pt>
                <c:pt idx="140">
                  <c:v>-0.24232792671124359</c:v>
                </c:pt>
                <c:pt idx="141">
                  <c:v>-0.24199031703382423</c:v>
                </c:pt>
                <c:pt idx="142">
                  <c:v>-0.24232218125684743</c:v>
                </c:pt>
                <c:pt idx="143">
                  <c:v>-0.24019877323792851</c:v>
                </c:pt>
                <c:pt idx="144">
                  <c:v>-0.24084962430055479</c:v>
                </c:pt>
                <c:pt idx="145">
                  <c:v>-0.24035585503094356</c:v>
                </c:pt>
                <c:pt idx="146">
                  <c:v>-0.2403423154050443</c:v>
                </c:pt>
                <c:pt idx="147">
                  <c:v>-0.24011404427837763</c:v>
                </c:pt>
                <c:pt idx="148">
                  <c:v>-0.24034589734579337</c:v>
                </c:pt>
                <c:pt idx="149">
                  <c:v>-0.24104209044033884</c:v>
                </c:pt>
                <c:pt idx="150">
                  <c:v>-0.24035081205000425</c:v>
                </c:pt>
                <c:pt idx="151">
                  <c:v>-0.23984378393739367</c:v>
                </c:pt>
                <c:pt idx="152">
                  <c:v>-0.23919997709054683</c:v>
                </c:pt>
                <c:pt idx="153">
                  <c:v>-0.23885452622296691</c:v>
                </c:pt>
                <c:pt idx="154">
                  <c:v>-0.24005635356367461</c:v>
                </c:pt>
                <c:pt idx="155">
                  <c:v>-0.2386034086192253</c:v>
                </c:pt>
                <c:pt idx="156">
                  <c:v>-0.23852921764872384</c:v>
                </c:pt>
                <c:pt idx="157">
                  <c:v>-0.23695940252985129</c:v>
                </c:pt>
                <c:pt idx="158">
                  <c:v>-0.23814691551754702</c:v>
                </c:pt>
                <c:pt idx="159">
                  <c:v>-0.23835565261482511</c:v>
                </c:pt>
                <c:pt idx="160">
                  <c:v>-0.23702342200720738</c:v>
                </c:pt>
                <c:pt idx="161">
                  <c:v>-0.2352197813800469</c:v>
                </c:pt>
                <c:pt idx="162">
                  <c:v>-0.23551894376488106</c:v>
                </c:pt>
                <c:pt idx="163">
                  <c:v>-0.23464950256051484</c:v>
                </c:pt>
                <c:pt idx="164">
                  <c:v>-0.23421504734460205</c:v>
                </c:pt>
                <c:pt idx="165">
                  <c:v>-0.23278636930614049</c:v>
                </c:pt>
                <c:pt idx="166">
                  <c:v>-0.2287335081061751</c:v>
                </c:pt>
                <c:pt idx="167">
                  <c:v>-0.22974846845103417</c:v>
                </c:pt>
                <c:pt idx="168">
                  <c:v>-0.22837737396594204</c:v>
                </c:pt>
                <c:pt idx="169">
                  <c:v>-0.22851755821481662</c:v>
                </c:pt>
                <c:pt idx="170">
                  <c:v>-0.22718689444070495</c:v>
                </c:pt>
                <c:pt idx="171">
                  <c:v>-0.22403850219531574</c:v>
                </c:pt>
                <c:pt idx="172">
                  <c:v>-0.22818744888793177</c:v>
                </c:pt>
                <c:pt idx="173">
                  <c:v>-0.22573296534043588</c:v>
                </c:pt>
                <c:pt idx="174">
                  <c:v>-0.22631628091585407</c:v>
                </c:pt>
                <c:pt idx="175">
                  <c:v>-0.22610042945968012</c:v>
                </c:pt>
                <c:pt idx="176">
                  <c:v>-0.22658154197937053</c:v>
                </c:pt>
                <c:pt idx="177">
                  <c:v>-0.22634466908897749</c:v>
                </c:pt>
                <c:pt idx="178">
                  <c:v>-0.22487541714186748</c:v>
                </c:pt>
                <c:pt idx="179">
                  <c:v>-0.22478452075458188</c:v>
                </c:pt>
                <c:pt idx="180">
                  <c:v>-0.22377294141606333</c:v>
                </c:pt>
                <c:pt idx="181">
                  <c:v>-0.22385063185461443</c:v>
                </c:pt>
                <c:pt idx="182">
                  <c:v>-0.22353949716014634</c:v>
                </c:pt>
                <c:pt idx="183">
                  <c:v>-0.22326988494137084</c:v>
                </c:pt>
                <c:pt idx="184">
                  <c:v>-0.22349117130651786</c:v>
                </c:pt>
                <c:pt idx="185">
                  <c:v>-0.22347616492105571</c:v>
                </c:pt>
                <c:pt idx="186">
                  <c:v>-0.22228187186791282</c:v>
                </c:pt>
                <c:pt idx="187">
                  <c:v>-0.22355416999609029</c:v>
                </c:pt>
                <c:pt idx="188">
                  <c:v>-0.22214099073046328</c:v>
                </c:pt>
                <c:pt idx="189">
                  <c:v>-0.22356379689026556</c:v>
                </c:pt>
                <c:pt idx="190">
                  <c:v>-0.22669518416276899</c:v>
                </c:pt>
                <c:pt idx="191">
                  <c:v>-0.22803171024258836</c:v>
                </c:pt>
                <c:pt idx="192">
                  <c:v>-0.22706169483026198</c:v>
                </c:pt>
                <c:pt idx="193">
                  <c:v>-0.22725367922359532</c:v>
                </c:pt>
                <c:pt idx="194">
                  <c:v>-0.22717124582032736</c:v>
                </c:pt>
                <c:pt idx="195">
                  <c:v>-0.22717789883863762</c:v>
                </c:pt>
                <c:pt idx="196">
                  <c:v>-0.2261062318767674</c:v>
                </c:pt>
                <c:pt idx="197">
                  <c:v>-0.22456902704345511</c:v>
                </c:pt>
                <c:pt idx="198">
                  <c:v>-0.22514572469562899</c:v>
                </c:pt>
                <c:pt idx="199">
                  <c:v>-0.22607797262750293</c:v>
                </c:pt>
                <c:pt idx="200">
                  <c:v>-0.22572365859654375</c:v>
                </c:pt>
                <c:pt idx="201">
                  <c:v>-0.22325109931240808</c:v>
                </c:pt>
                <c:pt idx="202">
                  <c:v>-0.22352460626815807</c:v>
                </c:pt>
                <c:pt idx="203">
                  <c:v>-0.22429474270452171</c:v>
                </c:pt>
                <c:pt idx="204">
                  <c:v>-0.2232399385177217</c:v>
                </c:pt>
                <c:pt idx="205">
                  <c:v>-0.22310689998887706</c:v>
                </c:pt>
                <c:pt idx="206">
                  <c:v>-0.22224069529010068</c:v>
                </c:pt>
                <c:pt idx="207">
                  <c:v>-0.22057201044227462</c:v>
                </c:pt>
                <c:pt idx="208">
                  <c:v>-0.21927598155058925</c:v>
                </c:pt>
                <c:pt idx="209">
                  <c:v>-0.21958123866416948</c:v>
                </c:pt>
                <c:pt idx="210">
                  <c:v>-0.21933421125456251</c:v>
                </c:pt>
                <c:pt idx="211">
                  <c:v>-0.21854282539292988</c:v>
                </c:pt>
                <c:pt idx="212">
                  <c:v>-0.21861403353537431</c:v>
                </c:pt>
                <c:pt idx="213">
                  <c:v>-0.21775601707998973</c:v>
                </c:pt>
                <c:pt idx="214">
                  <c:v>-0.21814797956902587</c:v>
                </c:pt>
                <c:pt idx="215">
                  <c:v>-0.21894654203645442</c:v>
                </c:pt>
                <c:pt idx="216">
                  <c:v>-0.2192975320373956</c:v>
                </c:pt>
                <c:pt idx="217">
                  <c:v>-0.21742389025983039</c:v>
                </c:pt>
                <c:pt idx="218">
                  <c:v>-0.21816254430177373</c:v>
                </c:pt>
                <c:pt idx="219">
                  <c:v>-0.2182554357522126</c:v>
                </c:pt>
                <c:pt idx="220">
                  <c:v>-0.21868844261899306</c:v>
                </c:pt>
                <c:pt idx="221">
                  <c:v>-0.21649262011005557</c:v>
                </c:pt>
                <c:pt idx="222">
                  <c:v>-0.21630437722935647</c:v>
                </c:pt>
                <c:pt idx="223">
                  <c:v>-0.21552079574173608</c:v>
                </c:pt>
                <c:pt idx="224">
                  <c:v>-0.21457989923421295</c:v>
                </c:pt>
                <c:pt idx="225">
                  <c:v>-0.21384079224611002</c:v>
                </c:pt>
                <c:pt idx="226">
                  <c:v>-0.21175076759537689</c:v>
                </c:pt>
                <c:pt idx="227">
                  <c:v>-0.21196245972040706</c:v>
                </c:pt>
                <c:pt idx="228">
                  <c:v>-0.21145669857604263</c:v>
                </c:pt>
                <c:pt idx="229">
                  <c:v>-0.212732650216859</c:v>
                </c:pt>
                <c:pt idx="230">
                  <c:v>-0.20873125424480421</c:v>
                </c:pt>
                <c:pt idx="231">
                  <c:v>-0.16999722557228208</c:v>
                </c:pt>
                <c:pt idx="232">
                  <c:v>-0.17371165977746436</c:v>
                </c:pt>
                <c:pt idx="233">
                  <c:v>-0.17539389470532279</c:v>
                </c:pt>
                <c:pt idx="234">
                  <c:v>-0.17583941317283577</c:v>
                </c:pt>
                <c:pt idx="235">
                  <c:v>-0.17232293492618445</c:v>
                </c:pt>
                <c:pt idx="236">
                  <c:v>-0.17225082085530943</c:v>
                </c:pt>
                <c:pt idx="237">
                  <c:v>-0.17294073154963041</c:v>
                </c:pt>
                <c:pt idx="238">
                  <c:v>-0.17227167685001668</c:v>
                </c:pt>
                <c:pt idx="239">
                  <c:v>-0.17251308117314518</c:v>
                </c:pt>
                <c:pt idx="240">
                  <c:v>-0.1717905684146927</c:v>
                </c:pt>
                <c:pt idx="241">
                  <c:v>-0.17072572795177454</c:v>
                </c:pt>
                <c:pt idx="242">
                  <c:v>-0.17166255572524911</c:v>
                </c:pt>
                <c:pt idx="243">
                  <c:v>-0.17179740173529803</c:v>
                </c:pt>
                <c:pt idx="244">
                  <c:v>-0.17225662971134478</c:v>
                </c:pt>
                <c:pt idx="245">
                  <c:v>-0.16679105280255946</c:v>
                </c:pt>
                <c:pt idx="246">
                  <c:v>-0.16932708951992057</c:v>
                </c:pt>
                <c:pt idx="247">
                  <c:v>-0.17077920517148582</c:v>
                </c:pt>
                <c:pt idx="248">
                  <c:v>-0.170120845042084</c:v>
                </c:pt>
                <c:pt idx="249">
                  <c:v>-0.17171649731752542</c:v>
                </c:pt>
                <c:pt idx="250">
                  <c:v>-0.16957663520668173</c:v>
                </c:pt>
                <c:pt idx="251">
                  <c:v>-0.1656468229400602</c:v>
                </c:pt>
                <c:pt idx="252">
                  <c:v>-0.16656424601575351</c:v>
                </c:pt>
                <c:pt idx="253">
                  <c:v>-0.16932985912623624</c:v>
                </c:pt>
                <c:pt idx="254">
                  <c:v>-0.15867236984589686</c:v>
                </c:pt>
                <c:pt idx="255">
                  <c:v>-0.16417189106504329</c:v>
                </c:pt>
                <c:pt idx="256">
                  <c:v>-0.16214943560159187</c:v>
                </c:pt>
                <c:pt idx="257">
                  <c:v>-0.14454479294880584</c:v>
                </c:pt>
                <c:pt idx="258">
                  <c:v>-0.13280184827098007</c:v>
                </c:pt>
                <c:pt idx="259">
                  <c:v>-0.13483433755870591</c:v>
                </c:pt>
                <c:pt idx="260">
                  <c:v>-0.12609273765786153</c:v>
                </c:pt>
                <c:pt idx="261">
                  <c:v>-0.11005502090616126</c:v>
                </c:pt>
                <c:pt idx="262">
                  <c:v>-0.11027821860366124</c:v>
                </c:pt>
                <c:pt idx="263">
                  <c:v>-0.10968876774021202</c:v>
                </c:pt>
                <c:pt idx="264">
                  <c:v>-0.10971254684407944</c:v>
                </c:pt>
                <c:pt idx="265">
                  <c:v>-0.10914130111125893</c:v>
                </c:pt>
                <c:pt idx="266">
                  <c:v>-0.10907048457479168</c:v>
                </c:pt>
                <c:pt idx="267">
                  <c:v>-0.10836984625678721</c:v>
                </c:pt>
                <c:pt idx="268">
                  <c:v>-0.10925353094105138</c:v>
                </c:pt>
                <c:pt idx="269">
                  <c:v>-0.10722608708712034</c:v>
                </c:pt>
                <c:pt idx="270">
                  <c:v>-0.10645955950813799</c:v>
                </c:pt>
                <c:pt idx="271">
                  <c:v>-0.1070623564527676</c:v>
                </c:pt>
                <c:pt idx="272">
                  <c:v>-0.10624631314085303</c:v>
                </c:pt>
                <c:pt idx="273">
                  <c:v>-0.10643704677201092</c:v>
                </c:pt>
                <c:pt idx="274">
                  <c:v>-0.10598462469720953</c:v>
                </c:pt>
                <c:pt idx="275">
                  <c:v>-0.10659701190984569</c:v>
                </c:pt>
                <c:pt idx="276">
                  <c:v>-0.10736788816641026</c:v>
                </c:pt>
                <c:pt idx="277">
                  <c:v>-0.10893133272224499</c:v>
                </c:pt>
                <c:pt idx="278">
                  <c:v>-0.10817601568226659</c:v>
                </c:pt>
                <c:pt idx="279">
                  <c:v>-0.10770229481473412</c:v>
                </c:pt>
                <c:pt idx="280">
                  <c:v>-0.10612061286627857</c:v>
                </c:pt>
                <c:pt idx="281">
                  <c:v>-0.10447632784100233</c:v>
                </c:pt>
                <c:pt idx="282">
                  <c:v>-0.10295184904489961</c:v>
                </c:pt>
                <c:pt idx="283">
                  <c:v>-0.10380395428209356</c:v>
                </c:pt>
                <c:pt idx="284">
                  <c:v>-0.10238767740223305</c:v>
                </c:pt>
                <c:pt idx="285">
                  <c:v>-0.10036070372010611</c:v>
                </c:pt>
                <c:pt idx="286">
                  <c:v>-0.10087984993007199</c:v>
                </c:pt>
                <c:pt idx="287">
                  <c:v>-9.9933530391882519E-2</c:v>
                </c:pt>
                <c:pt idx="288">
                  <c:v>-9.6767452791882508E-2</c:v>
                </c:pt>
                <c:pt idx="289">
                  <c:v>-9.7200141365215834E-2</c:v>
                </c:pt>
                <c:pt idx="290">
                  <c:v>-9.763239402986508E-2</c:v>
                </c:pt>
                <c:pt idx="291">
                  <c:v>-9.6128398685307162E-2</c:v>
                </c:pt>
                <c:pt idx="292">
                  <c:v>-9.6746480106095753E-2</c:v>
                </c:pt>
                <c:pt idx="293">
                  <c:v>-9.5563360498095773E-2</c:v>
                </c:pt>
                <c:pt idx="294">
                  <c:v>-9.435802382058274E-2</c:v>
                </c:pt>
                <c:pt idx="295">
                  <c:v>-8.9542421588803905E-2</c:v>
                </c:pt>
                <c:pt idx="296">
                  <c:v>-8.9636489748537232E-2</c:v>
                </c:pt>
                <c:pt idx="297">
                  <c:v>-8.9706342927052748E-2</c:v>
                </c:pt>
                <c:pt idx="298">
                  <c:v>-9.0165603382598908E-2</c:v>
                </c:pt>
                <c:pt idx="299">
                  <c:v>-9.0718811355648535E-2</c:v>
                </c:pt>
                <c:pt idx="300">
                  <c:v>-8.90521123036319E-2</c:v>
                </c:pt>
                <c:pt idx="301">
                  <c:v>-8.9022018747425005E-2</c:v>
                </c:pt>
                <c:pt idx="302">
                  <c:v>-8.8461654852591928E-2</c:v>
                </c:pt>
                <c:pt idx="303">
                  <c:v>-8.7354441419557935E-2</c:v>
                </c:pt>
                <c:pt idx="304">
                  <c:v>-8.7786902352202684E-2</c:v>
                </c:pt>
                <c:pt idx="305">
                  <c:v>-8.8658206126752445E-2</c:v>
                </c:pt>
                <c:pt idx="306">
                  <c:v>-8.7462978348800638E-2</c:v>
                </c:pt>
                <c:pt idx="307">
                  <c:v>-8.6973187521226666E-2</c:v>
                </c:pt>
                <c:pt idx="308">
                  <c:v>-8.5402492640872865E-2</c:v>
                </c:pt>
                <c:pt idx="309">
                  <c:v>-8.4827231681072687E-2</c:v>
                </c:pt>
                <c:pt idx="310">
                  <c:v>-8.401903012587271E-2</c:v>
                </c:pt>
                <c:pt idx="311">
                  <c:v>-8.3126566276746264E-2</c:v>
                </c:pt>
                <c:pt idx="312">
                  <c:v>-8.1991539166463318E-2</c:v>
                </c:pt>
                <c:pt idx="313">
                  <c:v>-7.9918187674254196E-2</c:v>
                </c:pt>
                <c:pt idx="314">
                  <c:v>-7.8501475798328266E-2</c:v>
                </c:pt>
                <c:pt idx="315">
                  <c:v>-7.7551324489217172E-2</c:v>
                </c:pt>
                <c:pt idx="316">
                  <c:v>-7.7454423475278603E-2</c:v>
                </c:pt>
                <c:pt idx="317">
                  <c:v>-7.6846791573546819E-2</c:v>
                </c:pt>
                <c:pt idx="318">
                  <c:v>-7.6801686257459409E-2</c:v>
                </c:pt>
                <c:pt idx="319">
                  <c:v>-7.4191100629705783E-2</c:v>
                </c:pt>
                <c:pt idx="320">
                  <c:v>-6.2684332427687395E-2</c:v>
                </c:pt>
                <c:pt idx="321">
                  <c:v>-5.7896264994650781E-2</c:v>
                </c:pt>
                <c:pt idx="322">
                  <c:v>-5.6772267905788501E-2</c:v>
                </c:pt>
                <c:pt idx="323">
                  <c:v>-6.1692301318598215E-2</c:v>
                </c:pt>
                <c:pt idx="324">
                  <c:v>-4.9861341630533552E-2</c:v>
                </c:pt>
                <c:pt idx="325">
                  <c:v>-5.1879404728430743E-2</c:v>
                </c:pt>
                <c:pt idx="326">
                  <c:v>-5.22819243102648E-2</c:v>
                </c:pt>
                <c:pt idx="327">
                  <c:v>-5.1081177115979093E-2</c:v>
                </c:pt>
                <c:pt idx="328">
                  <c:v>-5.0831085209550521E-2</c:v>
                </c:pt>
                <c:pt idx="329">
                  <c:v>-5.1510473810763693E-2</c:v>
                </c:pt>
                <c:pt idx="330">
                  <c:v>-5.0745724113710561E-2</c:v>
                </c:pt>
                <c:pt idx="331">
                  <c:v>-4.9829561265991924E-2</c:v>
                </c:pt>
                <c:pt idx="332">
                  <c:v>-4.9183235173763815E-2</c:v>
                </c:pt>
                <c:pt idx="333">
                  <c:v>-4.9987124389227311E-2</c:v>
                </c:pt>
                <c:pt idx="334">
                  <c:v>-4.2141311984131874E-2</c:v>
                </c:pt>
                <c:pt idx="335">
                  <c:v>-3.8770694916428643E-2</c:v>
                </c:pt>
                <c:pt idx="336">
                  <c:v>-3.8434100952428649E-2</c:v>
                </c:pt>
                <c:pt idx="337">
                  <c:v>-3.7914179160310785E-2</c:v>
                </c:pt>
                <c:pt idx="338">
                  <c:v>-3.7503511082651209E-2</c:v>
                </c:pt>
                <c:pt idx="339">
                  <c:v>-3.761344440605513E-2</c:v>
                </c:pt>
                <c:pt idx="340">
                  <c:v>-3.7146136154586812E-2</c:v>
                </c:pt>
                <c:pt idx="341">
                  <c:v>-3.6732329874435588E-2</c:v>
                </c:pt>
                <c:pt idx="342">
                  <c:v>-3.5979091623228689E-2</c:v>
                </c:pt>
                <c:pt idx="343">
                  <c:v>-3.4599630624620827E-2</c:v>
                </c:pt>
                <c:pt idx="344">
                  <c:v>-3.4998544345919286E-2</c:v>
                </c:pt>
                <c:pt idx="345">
                  <c:v>-3.566715781138937E-2</c:v>
                </c:pt>
                <c:pt idx="346">
                  <c:v>-3.6327661248349651E-2</c:v>
                </c:pt>
                <c:pt idx="347">
                  <c:v>-3.6721148308189462E-2</c:v>
                </c:pt>
                <c:pt idx="348">
                  <c:v>-3.4682990298546608E-2</c:v>
                </c:pt>
                <c:pt idx="349">
                  <c:v>-3.4331019652446421E-2</c:v>
                </c:pt>
                <c:pt idx="350">
                  <c:v>-3.5352308025540756E-2</c:v>
                </c:pt>
                <c:pt idx="351">
                  <c:v>-3.7531310003100081E-2</c:v>
                </c:pt>
                <c:pt idx="352">
                  <c:v>-3.8119552673100084E-2</c:v>
                </c:pt>
                <c:pt idx="353">
                  <c:v>-3.8361766748473206E-2</c:v>
                </c:pt>
                <c:pt idx="354">
                  <c:v>-4.0775911065916388E-2</c:v>
                </c:pt>
                <c:pt idx="355">
                  <c:v>-4.0743225143662368E-2</c:v>
                </c:pt>
                <c:pt idx="356">
                  <c:v>-4.0265236557074827E-2</c:v>
                </c:pt>
                <c:pt idx="357">
                  <c:v>-4.0801055234038187E-2</c:v>
                </c:pt>
                <c:pt idx="358">
                  <c:v>-4.0717278256201771E-2</c:v>
                </c:pt>
                <c:pt idx="359">
                  <c:v>-4.0843132329726126E-2</c:v>
                </c:pt>
                <c:pt idx="360">
                  <c:v>-4.1299153000893637E-2</c:v>
                </c:pt>
                <c:pt idx="361">
                  <c:v>-4.2021719765005995E-2</c:v>
                </c:pt>
                <c:pt idx="362">
                  <c:v>-4.1483216766719393E-2</c:v>
                </c:pt>
                <c:pt idx="363">
                  <c:v>-4.1641062174411707E-2</c:v>
                </c:pt>
                <c:pt idx="364">
                  <c:v>-3.8924505882441257E-2</c:v>
                </c:pt>
                <c:pt idx="365">
                  <c:v>-2.5065053891072844E-2</c:v>
                </c:pt>
                <c:pt idx="366">
                  <c:v>-2.5382944336278319E-2</c:v>
                </c:pt>
                <c:pt idx="367">
                  <c:v>-2.5904540878609775E-2</c:v>
                </c:pt>
                <c:pt idx="368">
                  <c:v>-2.560625591860978E-2</c:v>
                </c:pt>
                <c:pt idx="369">
                  <c:v>-2.5486862824081476E-2</c:v>
                </c:pt>
                <c:pt idx="370">
                  <c:v>-2.5313771676081478E-2</c:v>
                </c:pt>
                <c:pt idx="371">
                  <c:v>-2.5471557546987458E-2</c:v>
                </c:pt>
                <c:pt idx="372">
                  <c:v>-2.4814985819978111E-2</c:v>
                </c:pt>
                <c:pt idx="373">
                  <c:v>-2.5393484651056696E-2</c:v>
                </c:pt>
                <c:pt idx="374">
                  <c:v>-2.011797250603645E-2</c:v>
                </c:pt>
                <c:pt idx="375">
                  <c:v>-2.1794581210950729E-2</c:v>
                </c:pt>
                <c:pt idx="376">
                  <c:v>-2.0325718971784059E-2</c:v>
                </c:pt>
                <c:pt idx="377">
                  <c:v>-1.9475968296829103E-2</c:v>
                </c:pt>
                <c:pt idx="378">
                  <c:v>-1.7328524413721666E-2</c:v>
                </c:pt>
                <c:pt idx="379">
                  <c:v>-1.2325257100386193E-2</c:v>
                </c:pt>
                <c:pt idx="380">
                  <c:v>-1.5276552230015825E-2</c:v>
                </c:pt>
                <c:pt idx="381">
                  <c:v>-1.525284782081337E-2</c:v>
                </c:pt>
                <c:pt idx="382">
                  <c:v>-1.525284782081337E-2</c:v>
                </c:pt>
                <c:pt idx="383">
                  <c:v>-1.5223413530970849E-2</c:v>
                </c:pt>
                <c:pt idx="384">
                  <c:v>-1.4908256894312494E-2</c:v>
                </c:pt>
                <c:pt idx="385">
                  <c:v>-1.4276985644312495E-2</c:v>
                </c:pt>
                <c:pt idx="386">
                  <c:v>-1.2990829770202064E-2</c:v>
                </c:pt>
                <c:pt idx="387">
                  <c:v>-1.1962020155976123E-2</c:v>
                </c:pt>
                <c:pt idx="388">
                  <c:v>-1.137180575039339E-2</c:v>
                </c:pt>
                <c:pt idx="389">
                  <c:v>-1.1831896287809463E-2</c:v>
                </c:pt>
                <c:pt idx="390">
                  <c:v>-1.0574383424877194E-2</c:v>
                </c:pt>
                <c:pt idx="391">
                  <c:v>-8.3711171715057653E-3</c:v>
                </c:pt>
                <c:pt idx="392">
                  <c:v>-1.0317626691505764E-2</c:v>
                </c:pt>
                <c:pt idx="393">
                  <c:v>-8.3106726690851968E-3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80-4FE1-B893-12BF97C32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8138335"/>
        <c:axId val="938135839"/>
      </c:lineChart>
      <c:dateAx>
        <c:axId val="9381383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135839"/>
        <c:crosses val="autoZero"/>
        <c:auto val="1"/>
        <c:lblOffset val="100"/>
        <c:baseTimeUnit val="days"/>
      </c:dateAx>
      <c:valAx>
        <c:axId val="9381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138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BEF8F53-8DB8-4F9B-98C9-09807CF910A3}">
  <sheetPr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7736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E7C856-FAF1-4AF0-B008-384BED80E5B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29.88</v>
      </c>
      <c r="D2" s="4">
        <f>MIN(D3:D1912)</f>
        <v>2.5499999999999998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2.887</v>
      </c>
      <c r="C5">
        <v>2.8959999999999999</v>
      </c>
      <c r="D5">
        <v>2.839</v>
      </c>
      <c r="E5">
        <v>2.839</v>
      </c>
      <c r="F5">
        <v>1954.4</v>
      </c>
      <c r="G5">
        <v>2.839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-1954.4</v>
      </c>
      <c r="R5">
        <f t="shared" ref="R5" si="2">R6+Q5</f>
        <v>-36588114.824611805</v>
      </c>
      <c r="S5">
        <f t="shared" ref="S5" si="3">R5/100000</f>
        <v>-365.88114824611807</v>
      </c>
      <c r="T5">
        <f t="shared" ref="T5" si="4">S5/1000</f>
        <v>-0.36588114824611806</v>
      </c>
    </row>
    <row r="6" spans="1:20" x14ac:dyDescent="0.25">
      <c r="A6" s="5">
        <v>44587</v>
      </c>
      <c r="B6">
        <v>2.9009999999999998</v>
      </c>
      <c r="C6">
        <v>3.0619999999999998</v>
      </c>
      <c r="D6">
        <v>2.8069999999999999</v>
      </c>
      <c r="E6">
        <v>2.887</v>
      </c>
      <c r="F6">
        <v>72263.8</v>
      </c>
      <c r="G6">
        <v>2.887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-0.37254901960784231</v>
      </c>
      <c r="Q6">
        <f t="shared" ref="Q6" si="6">F6*P6</f>
        <v>-26921.807843137198</v>
      </c>
      <c r="R6">
        <f t="shared" ref="R6" si="7">R7+Q6</f>
        <v>-36586160.424611807</v>
      </c>
      <c r="S6">
        <f t="shared" ref="S6" si="8">R6/100000</f>
        <v>-365.86160424611808</v>
      </c>
      <c r="T6">
        <f t="shared" ref="T6" si="9">S6/1000</f>
        <v>-0.36586160424611808</v>
      </c>
    </row>
    <row r="7" spans="1:20" x14ac:dyDescent="0.25">
      <c r="A7" s="5">
        <v>44586</v>
      </c>
      <c r="B7">
        <v>2.9180000000000001</v>
      </c>
      <c r="C7">
        <v>2.9689999999999999</v>
      </c>
      <c r="D7">
        <v>2.84</v>
      </c>
      <c r="E7">
        <v>2.907</v>
      </c>
      <c r="F7">
        <v>43812.2</v>
      </c>
      <c r="G7">
        <v>2.907</v>
      </c>
      <c r="L7" t="s">
        <v>8</v>
      </c>
      <c r="M7" t="s">
        <v>7</v>
      </c>
      <c r="N7" t="s">
        <v>7</v>
      </c>
      <c r="P7">
        <f t="shared" ref="P7" si="10">IF(C7=D7,0,((E7-D7)-(C7-E7))/(C7-D7))</f>
        <v>3.8759689922483236E-2</v>
      </c>
      <c r="Q7">
        <f t="shared" ref="Q7" si="11">F7*P7</f>
        <v>1698.14728682182</v>
      </c>
      <c r="R7">
        <f t="shared" ref="R7" si="12">R8+Q7</f>
        <v>-36559238.616768673</v>
      </c>
      <c r="S7">
        <f t="shared" ref="S7" si="13">R7/100000</f>
        <v>-365.59238616768675</v>
      </c>
      <c r="T7">
        <f t="shared" ref="T7" si="14">S7/1000</f>
        <v>-0.36559238616768674</v>
      </c>
    </row>
    <row r="8" spans="1:20" x14ac:dyDescent="0.25">
      <c r="A8" s="5">
        <v>44585</v>
      </c>
      <c r="B8">
        <v>2.9420000000000002</v>
      </c>
      <c r="C8">
        <v>2.9729999999999999</v>
      </c>
      <c r="D8">
        <v>2.625</v>
      </c>
      <c r="E8">
        <v>2.9409999999999998</v>
      </c>
      <c r="F8">
        <v>87858.1</v>
      </c>
      <c r="G8">
        <v>2.9409999999999998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0.81609195402298829</v>
      </c>
      <c r="Q8">
        <f t="shared" ref="Q8" si="16">F8*P8</f>
        <v>71700.288505747114</v>
      </c>
      <c r="R8">
        <f t="shared" ref="R8" si="17">R9+Q8</f>
        <v>-36560936.764055498</v>
      </c>
      <c r="S8">
        <f t="shared" ref="S8" si="18">R8/100000</f>
        <v>-365.60936764055498</v>
      </c>
      <c r="T8">
        <f t="shared" ref="T8" si="19">S8/1000</f>
        <v>-0.36560936764055496</v>
      </c>
    </row>
    <row r="9" spans="1:20" x14ac:dyDescent="0.25">
      <c r="A9" s="5">
        <v>44584</v>
      </c>
      <c r="B9">
        <v>2.8210000000000002</v>
      </c>
      <c r="C9">
        <v>3.0270000000000001</v>
      </c>
      <c r="D9">
        <v>2.8039999999999998</v>
      </c>
      <c r="E9">
        <v>2.9449999999999998</v>
      </c>
      <c r="F9">
        <v>69239.8</v>
      </c>
      <c r="G9">
        <v>2.9449999999999998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0.26457399103138851</v>
      </c>
      <c r="Q9">
        <f t="shared" ref="Q9" si="21">F9*P9</f>
        <v>18319.050224215134</v>
      </c>
      <c r="R9">
        <f t="shared" ref="R9" si="22">R10+Q9</f>
        <v>-36632637.052561246</v>
      </c>
      <c r="S9">
        <f t="shared" ref="S9" si="23">R9/100000</f>
        <v>-366.32637052561245</v>
      </c>
      <c r="T9">
        <f t="shared" ref="T9" si="24">S9/1000</f>
        <v>-0.36632637052561245</v>
      </c>
    </row>
    <row r="10" spans="1:20" x14ac:dyDescent="0.25">
      <c r="A10" s="5">
        <v>44583</v>
      </c>
      <c r="B10">
        <v>3.1680000000000001</v>
      </c>
      <c r="C10">
        <v>3.2130000000000001</v>
      </c>
      <c r="D10">
        <v>2.5499999999999998</v>
      </c>
      <c r="E10">
        <v>2.8039999999999998</v>
      </c>
      <c r="F10">
        <v>180988.1</v>
      </c>
      <c r="G10">
        <v>2.8039999999999998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-0.23378582202111642</v>
      </c>
      <c r="Q10">
        <f t="shared" ref="Q10" si="26">F10*P10</f>
        <v>-42312.451734540024</v>
      </c>
      <c r="R10">
        <f t="shared" ref="R10" si="27">R11+Q10</f>
        <v>-36650956.102785461</v>
      </c>
      <c r="S10">
        <f t="shared" ref="S10" si="28">R10/100000</f>
        <v>-366.5095610278546</v>
      </c>
      <c r="T10">
        <f t="shared" ref="T10" si="29">S10/1000</f>
        <v>-0.36650956102785459</v>
      </c>
    </row>
    <row r="11" spans="1:20" x14ac:dyDescent="0.25">
      <c r="A11" s="5">
        <v>44582</v>
      </c>
      <c r="B11">
        <v>3.589</v>
      </c>
      <c r="C11">
        <v>3.6230000000000002</v>
      </c>
      <c r="D11">
        <v>3.15</v>
      </c>
      <c r="E11">
        <v>3.1680000000000001</v>
      </c>
      <c r="F11">
        <v>168292.9</v>
      </c>
      <c r="G11">
        <v>3.1680000000000001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-0.92389006342494617</v>
      </c>
      <c r="Q11">
        <f t="shared" ref="Q11" si="31">F11*P11</f>
        <v>-155484.13805496812</v>
      </c>
      <c r="R11">
        <f t="shared" ref="R11" si="32">R12+Q11</f>
        <v>-36608643.651050918</v>
      </c>
      <c r="S11">
        <f t="shared" ref="S11" si="33">R11/100000</f>
        <v>-366.0864365105092</v>
      </c>
      <c r="T11">
        <f t="shared" ref="T11" si="34">S11/1000</f>
        <v>-0.36608643651050921</v>
      </c>
    </row>
    <row r="12" spans="1:20" x14ac:dyDescent="0.25">
      <c r="A12" s="5">
        <v>44581</v>
      </c>
      <c r="B12">
        <v>3.613</v>
      </c>
      <c r="C12">
        <v>4.5</v>
      </c>
      <c r="D12">
        <v>3.5830000000000002</v>
      </c>
      <c r="E12">
        <v>3.5830000000000002</v>
      </c>
      <c r="F12">
        <v>632126</v>
      </c>
      <c r="G12">
        <v>3.5830000000000002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-1</v>
      </c>
      <c r="Q12">
        <f t="shared" ref="Q12" si="36">F12*P12</f>
        <v>-632126</v>
      </c>
      <c r="R12">
        <f t="shared" ref="R12" si="37">R13+Q12</f>
        <v>-36453159.512995951</v>
      </c>
      <c r="S12">
        <f t="shared" ref="S12" si="38">R12/100000</f>
        <v>-364.5315951299595</v>
      </c>
      <c r="T12">
        <f t="shared" ref="T12" si="39">S12/1000</f>
        <v>-0.36453159512995947</v>
      </c>
    </row>
    <row r="13" spans="1:20" x14ac:dyDescent="0.25">
      <c r="A13" s="5">
        <v>44580</v>
      </c>
      <c r="B13">
        <v>3.726</v>
      </c>
      <c r="C13">
        <v>3.7410000000000001</v>
      </c>
      <c r="D13">
        <v>3.6120000000000001</v>
      </c>
      <c r="E13">
        <v>3.6269999999999998</v>
      </c>
      <c r="F13">
        <v>24489.3</v>
      </c>
      <c r="G13">
        <v>3.6269999999999998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-0.7674418604651212</v>
      </c>
      <c r="Q13">
        <f t="shared" ref="Q13" si="41">F13*P13</f>
        <v>-18794.113953488493</v>
      </c>
      <c r="R13">
        <f t="shared" ref="R13" si="42">R14+Q13</f>
        <v>-35821033.512995951</v>
      </c>
      <c r="S13">
        <f t="shared" ref="S13" si="43">R13/100000</f>
        <v>-358.2103351299595</v>
      </c>
      <c r="T13">
        <f t="shared" ref="T13" si="44">S13/1000</f>
        <v>-0.35821033512995948</v>
      </c>
    </row>
    <row r="14" spans="1:20" x14ac:dyDescent="0.25">
      <c r="A14" s="5">
        <v>44579</v>
      </c>
      <c r="B14">
        <v>3.794</v>
      </c>
      <c r="C14">
        <v>3.8260000000000001</v>
      </c>
      <c r="D14">
        <v>3.6240000000000001</v>
      </c>
      <c r="E14">
        <v>3.7269999999999999</v>
      </c>
      <c r="F14">
        <v>57601.599999999999</v>
      </c>
      <c r="G14">
        <v>3.7269999999999999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1.9801980198017627E-2</v>
      </c>
      <c r="Q14">
        <f t="shared" ref="Q14" si="46">F14*P14</f>
        <v>1140.6257425741321</v>
      </c>
      <c r="R14">
        <f t="shared" ref="R14" si="47">R15+Q14</f>
        <v>-35802239.399042465</v>
      </c>
      <c r="S14">
        <f t="shared" ref="S14" si="48">R14/100000</f>
        <v>-358.02239399042463</v>
      </c>
      <c r="T14">
        <f t="shared" ref="T14" si="49">S14/1000</f>
        <v>-0.35802239399042463</v>
      </c>
    </row>
    <row r="15" spans="1:20" x14ac:dyDescent="0.25">
      <c r="A15" s="5">
        <v>44578</v>
      </c>
      <c r="B15">
        <v>3.8849999999999998</v>
      </c>
      <c r="C15">
        <v>4.0659999999999998</v>
      </c>
      <c r="D15">
        <v>3.758</v>
      </c>
      <c r="E15">
        <v>3.798</v>
      </c>
      <c r="F15">
        <v>137308.29999999999</v>
      </c>
      <c r="G15">
        <v>3.798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-0.74025974025973984</v>
      </c>
      <c r="Q15">
        <f t="shared" ref="Q15" si="51">F15*P15</f>
        <v>-101643.80649350643</v>
      </c>
      <c r="R15">
        <f t="shared" ref="R15" si="52">R16+Q15</f>
        <v>-35803380.024785042</v>
      </c>
      <c r="S15">
        <f t="shared" ref="S15" si="53">R15/100000</f>
        <v>-358.03380024785042</v>
      </c>
      <c r="T15">
        <f t="shared" ref="T15" si="54">S15/1000</f>
        <v>-0.35803380024785042</v>
      </c>
    </row>
    <row r="16" spans="1:20" x14ac:dyDescent="0.25">
      <c r="A16" s="5">
        <v>44577</v>
      </c>
      <c r="B16">
        <v>3.855</v>
      </c>
      <c r="C16">
        <v>3.92</v>
      </c>
      <c r="D16">
        <v>3.8039999999999998</v>
      </c>
      <c r="E16">
        <v>3.89</v>
      </c>
      <c r="F16">
        <v>30938.7</v>
      </c>
      <c r="G16">
        <v>3.89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0.48275862068965902</v>
      </c>
      <c r="Q16">
        <f t="shared" ref="Q16" si="56">F16*P16</f>
        <v>14935.924137931153</v>
      </c>
      <c r="R16">
        <f t="shared" ref="R16" si="57">R17+Q16</f>
        <v>-35701736.218291536</v>
      </c>
      <c r="S16">
        <f t="shared" ref="S16" si="58">R16/100000</f>
        <v>-357.01736218291535</v>
      </c>
      <c r="T16">
        <f t="shared" ref="T16" si="59">S16/1000</f>
        <v>-0.35701736218291535</v>
      </c>
    </row>
    <row r="17" spans="1:20" x14ac:dyDescent="0.25">
      <c r="A17" s="5">
        <v>44576</v>
      </c>
      <c r="B17">
        <v>3.847</v>
      </c>
      <c r="C17">
        <v>3.93</v>
      </c>
      <c r="D17">
        <v>3.8090000000000002</v>
      </c>
      <c r="E17">
        <v>3.8460000000000001</v>
      </c>
      <c r="F17">
        <v>30256.400000000001</v>
      </c>
      <c r="G17">
        <v>3.8460000000000001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-0.38842975206611696</v>
      </c>
      <c r="Q17">
        <f t="shared" ref="Q17" si="61">F17*P17</f>
        <v>-11752.485950413262</v>
      </c>
      <c r="R17">
        <f t="shared" ref="R17" si="62">R18+Q17</f>
        <v>-35716672.142429464</v>
      </c>
      <c r="S17">
        <f t="shared" ref="S17" si="63">R17/100000</f>
        <v>-357.16672142429462</v>
      </c>
      <c r="T17">
        <f t="shared" ref="T17" si="64">S17/1000</f>
        <v>-0.35716672142429462</v>
      </c>
    </row>
    <row r="18" spans="1:20" x14ac:dyDescent="0.25">
      <c r="A18" s="5">
        <v>44575</v>
      </c>
      <c r="B18">
        <v>3.7909999999999999</v>
      </c>
      <c r="C18">
        <v>3.92</v>
      </c>
      <c r="D18">
        <v>3.7709999999999999</v>
      </c>
      <c r="E18">
        <v>3.8450000000000002</v>
      </c>
      <c r="F18">
        <v>47128.6</v>
      </c>
      <c r="G18">
        <v>3.8450000000000002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-6.7114093959694341E-3</v>
      </c>
      <c r="Q18">
        <f t="shared" ref="Q18" si="66">F18*P18</f>
        <v>-316.29932885888508</v>
      </c>
      <c r="R18">
        <f t="shared" ref="R18" si="67">R19+Q18</f>
        <v>-35704919.656479053</v>
      </c>
      <c r="S18">
        <f t="shared" ref="S18" si="68">R18/100000</f>
        <v>-357.04919656479052</v>
      </c>
      <c r="T18">
        <f t="shared" ref="T18" si="69">S18/1000</f>
        <v>-0.35704919656479051</v>
      </c>
    </row>
    <row r="19" spans="1:20" x14ac:dyDescent="0.25">
      <c r="A19" s="5">
        <v>44574</v>
      </c>
      <c r="B19">
        <v>3.9209999999999998</v>
      </c>
      <c r="C19">
        <v>4</v>
      </c>
      <c r="D19">
        <v>3.7610000000000001</v>
      </c>
      <c r="E19">
        <v>3.7829999999999999</v>
      </c>
      <c r="F19">
        <v>50399</v>
      </c>
      <c r="G19">
        <v>3.7829999999999999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-0.81589958158995979</v>
      </c>
      <c r="Q19">
        <f t="shared" ref="Q19" si="71">F19*P19</f>
        <v>-41120.523012552381</v>
      </c>
      <c r="R19">
        <f t="shared" ref="R19" si="72">R20+Q19</f>
        <v>-35704603.357150197</v>
      </c>
      <c r="S19">
        <f t="shared" ref="S19" si="73">R19/100000</f>
        <v>-357.04603357150199</v>
      </c>
      <c r="T19">
        <f t="shared" ref="T19" si="74">S19/1000</f>
        <v>-0.357046033571502</v>
      </c>
    </row>
    <row r="20" spans="1:20" x14ac:dyDescent="0.25">
      <c r="A20" s="5">
        <v>44573</v>
      </c>
      <c r="B20">
        <v>3.794</v>
      </c>
      <c r="C20">
        <v>3.97</v>
      </c>
      <c r="D20">
        <v>3.7509999999999999</v>
      </c>
      <c r="E20">
        <v>3.9220000000000002</v>
      </c>
      <c r="F20">
        <v>102471.3</v>
      </c>
      <c r="G20">
        <v>3.9220000000000002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0.5616438356164386</v>
      </c>
      <c r="Q20">
        <f t="shared" ref="Q20" si="76">F20*P20</f>
        <v>57552.373972602763</v>
      </c>
      <c r="R20">
        <f t="shared" ref="R20" si="77">R21+Q20</f>
        <v>-35663482.834137648</v>
      </c>
      <c r="S20">
        <f t="shared" ref="S20" si="78">R20/100000</f>
        <v>-356.63482834137648</v>
      </c>
      <c r="T20">
        <f t="shared" ref="T20" si="79">S20/1000</f>
        <v>-0.3566348283413765</v>
      </c>
    </row>
    <row r="21" spans="1:20" x14ac:dyDescent="0.25">
      <c r="A21" s="5">
        <v>44572</v>
      </c>
      <c r="B21">
        <v>3.5859999999999999</v>
      </c>
      <c r="C21">
        <v>4.0350000000000001</v>
      </c>
      <c r="D21">
        <v>3.5609999999999999</v>
      </c>
      <c r="E21">
        <v>3.8180000000000001</v>
      </c>
      <c r="F21">
        <v>322822</v>
      </c>
      <c r="G21">
        <v>3.8180000000000001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8.4388185654008477E-2</v>
      </c>
      <c r="Q21">
        <f t="shared" ref="Q21" si="81">F21*P21</f>
        <v>27242.362869198325</v>
      </c>
      <c r="R21">
        <f t="shared" ref="R21" si="82">R22+Q21</f>
        <v>-35721035.208110251</v>
      </c>
      <c r="S21">
        <f t="shared" ref="S21" si="83">R21/100000</f>
        <v>-357.21035208110249</v>
      </c>
      <c r="T21">
        <f t="shared" ref="T21" si="84">S21/1000</f>
        <v>-0.35721035208110247</v>
      </c>
    </row>
    <row r="22" spans="1:20" x14ac:dyDescent="0.25">
      <c r="A22" s="5">
        <v>44571</v>
      </c>
      <c r="B22">
        <v>3.7730000000000001</v>
      </c>
      <c r="C22">
        <v>3.8370000000000002</v>
      </c>
      <c r="D22">
        <v>3.4580000000000002</v>
      </c>
      <c r="E22">
        <v>3.5790000000000002</v>
      </c>
      <c r="F22">
        <v>125480.4</v>
      </c>
      <c r="G22">
        <v>3.5790000000000002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-0.3614775725593668</v>
      </c>
      <c r="Q22">
        <f t="shared" ref="Q22" si="86">F22*P22</f>
        <v>-45358.350395778369</v>
      </c>
      <c r="R22">
        <f t="shared" ref="R22" si="87">R23+Q22</f>
        <v>-35748277.570979446</v>
      </c>
      <c r="S22">
        <f t="shared" ref="S22" si="88">R22/100000</f>
        <v>-357.48277570979445</v>
      </c>
      <c r="T22">
        <f t="shared" ref="T22" si="89">S22/1000</f>
        <v>-0.35748277570979448</v>
      </c>
    </row>
    <row r="23" spans="1:20" x14ac:dyDescent="0.25">
      <c r="A23" s="5">
        <v>44570</v>
      </c>
      <c r="B23">
        <v>3.653</v>
      </c>
      <c r="C23">
        <v>3.9489999999999998</v>
      </c>
      <c r="D23">
        <v>3.6240000000000001</v>
      </c>
      <c r="E23">
        <v>3.77</v>
      </c>
      <c r="F23">
        <v>176797.1</v>
      </c>
      <c r="G23">
        <v>3.77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-0.10153846153846137</v>
      </c>
      <c r="Q23">
        <f t="shared" ref="Q23" si="91">F23*P23</f>
        <v>-17951.705538461509</v>
      </c>
      <c r="R23">
        <f t="shared" ref="R23" si="92">R24+Q23</f>
        <v>-35702919.22058367</v>
      </c>
      <c r="S23">
        <f t="shared" ref="S23" si="93">R23/100000</f>
        <v>-357.02919220583669</v>
      </c>
      <c r="T23">
        <f t="shared" ref="T23" si="94">S23/1000</f>
        <v>-0.35702919220583668</v>
      </c>
    </row>
    <row r="24" spans="1:20" x14ac:dyDescent="0.25">
      <c r="A24" s="5">
        <v>44569</v>
      </c>
      <c r="B24">
        <v>3.8119999999999998</v>
      </c>
      <c r="C24">
        <v>3.952</v>
      </c>
      <c r="D24">
        <v>3.5550000000000002</v>
      </c>
      <c r="E24">
        <v>3.657</v>
      </c>
      <c r="F24">
        <v>150620.79999999999</v>
      </c>
      <c r="G24">
        <v>3.657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-0.48614609571788453</v>
      </c>
      <c r="Q24">
        <f t="shared" ref="Q24" si="96">F24*P24</f>
        <v>-73223.713853904337</v>
      </c>
      <c r="R24">
        <f t="shared" ref="R24" si="97">R25+Q24</f>
        <v>-35684967.515045211</v>
      </c>
      <c r="S24">
        <f t="shared" ref="S24" si="98">R24/100000</f>
        <v>-356.84967515045213</v>
      </c>
      <c r="T24">
        <f t="shared" ref="T24" si="99">S24/1000</f>
        <v>-0.35684967515045213</v>
      </c>
    </row>
    <row r="25" spans="1:20" x14ac:dyDescent="0.25">
      <c r="A25" s="5">
        <v>44568</v>
      </c>
      <c r="B25">
        <v>3.8759999999999999</v>
      </c>
      <c r="C25">
        <v>3.8759999999999999</v>
      </c>
      <c r="D25">
        <v>3.6150000000000002</v>
      </c>
      <c r="E25">
        <v>3.8109999999999999</v>
      </c>
      <c r="F25">
        <v>138793.29999999999</v>
      </c>
      <c r="G25">
        <v>3.8109999999999999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0.50191570881226033</v>
      </c>
      <c r="Q25">
        <f t="shared" ref="Q25" si="101">F25*P25</f>
        <v>69662.537547892687</v>
      </c>
      <c r="R25">
        <f t="shared" ref="R25" si="102">R26+Q25</f>
        <v>-35611743.801191308</v>
      </c>
      <c r="S25">
        <f t="shared" ref="S25" si="103">R25/100000</f>
        <v>-356.11743801191307</v>
      </c>
      <c r="T25">
        <f t="shared" ref="T25" si="104">S25/1000</f>
        <v>-0.35611743801191309</v>
      </c>
    </row>
    <row r="26" spans="1:20" x14ac:dyDescent="0.25">
      <c r="A26" s="5">
        <v>44567</v>
      </c>
      <c r="B26">
        <v>3.8050000000000002</v>
      </c>
      <c r="C26">
        <v>4.0650000000000004</v>
      </c>
      <c r="D26">
        <v>3.7010000000000001</v>
      </c>
      <c r="E26">
        <v>3.8759999999999999</v>
      </c>
      <c r="F26">
        <v>161653.4</v>
      </c>
      <c r="G26">
        <v>3.8759999999999999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-3.8461538461540289E-2</v>
      </c>
      <c r="Q26">
        <f t="shared" ref="Q26" si="106">F26*P26</f>
        <v>-6217.4384615387571</v>
      </c>
      <c r="R26">
        <f t="shared" ref="R26" si="107">R27+Q26</f>
        <v>-35681406.338739201</v>
      </c>
      <c r="S26">
        <f t="shared" ref="S26" si="108">R26/100000</f>
        <v>-356.81406338739203</v>
      </c>
      <c r="T26">
        <f t="shared" ref="T26" si="109">S26/1000</f>
        <v>-0.35681406338739202</v>
      </c>
    </row>
    <row r="27" spans="1:20" x14ac:dyDescent="0.25">
      <c r="A27" s="5">
        <v>44566</v>
      </c>
      <c r="B27">
        <v>4.1289999999999996</v>
      </c>
      <c r="C27">
        <v>4.1859999999999999</v>
      </c>
      <c r="D27">
        <v>3.65</v>
      </c>
      <c r="E27">
        <v>3.8079999999999998</v>
      </c>
      <c r="F27">
        <v>108478.8</v>
      </c>
      <c r="G27">
        <v>3.8079999999999998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-0.4104477611940302</v>
      </c>
      <c r="Q27">
        <f t="shared" ref="Q27" si="111">F27*P27</f>
        <v>-44524.880597014962</v>
      </c>
      <c r="R27">
        <f t="shared" ref="R27" si="112">R28+Q27</f>
        <v>-35675188.900277659</v>
      </c>
      <c r="S27">
        <f t="shared" ref="S27" si="113">R27/100000</f>
        <v>-356.75188900277658</v>
      </c>
      <c r="T27">
        <f t="shared" ref="T27" si="114">S27/1000</f>
        <v>-0.3567518890027766</v>
      </c>
    </row>
    <row r="28" spans="1:20" x14ac:dyDescent="0.25">
      <c r="A28" s="5">
        <v>44565</v>
      </c>
      <c r="B28">
        <v>4.1550000000000002</v>
      </c>
      <c r="C28">
        <v>4.2750000000000004</v>
      </c>
      <c r="D28">
        <v>4.0940000000000003</v>
      </c>
      <c r="E28">
        <v>4.1120000000000001</v>
      </c>
      <c r="F28">
        <v>227865.8</v>
      </c>
      <c r="G28">
        <v>4.1120000000000001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-0.80110497237569289</v>
      </c>
      <c r="Q28">
        <f t="shared" ref="Q28" si="116">F28*P28</f>
        <v>-182544.42541436516</v>
      </c>
      <c r="R28">
        <f t="shared" ref="R28" si="117">R29+Q28</f>
        <v>-35630664.019680642</v>
      </c>
      <c r="S28">
        <f t="shared" ref="S28" si="118">R28/100000</f>
        <v>-356.30664019680643</v>
      </c>
      <c r="T28">
        <f t="shared" ref="T28" si="119">S28/1000</f>
        <v>-0.35630664019680641</v>
      </c>
    </row>
    <row r="29" spans="1:20" x14ac:dyDescent="0.25">
      <c r="A29" s="5">
        <v>44564</v>
      </c>
      <c r="B29">
        <v>4.1719999999999997</v>
      </c>
      <c r="C29">
        <v>4.2249999999999996</v>
      </c>
      <c r="D29">
        <v>4.0810000000000004</v>
      </c>
      <c r="E29">
        <v>4.1520000000000001</v>
      </c>
      <c r="F29">
        <v>79765.5</v>
      </c>
      <c r="G29">
        <v>4.1520000000000001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-1.3888888888887433E-2</v>
      </c>
      <c r="Q29">
        <f t="shared" ref="Q29" si="121">F29*P29</f>
        <v>-1107.8541666665506</v>
      </c>
      <c r="R29">
        <f t="shared" ref="R29" si="122">R30+Q29</f>
        <v>-35448119.594266273</v>
      </c>
      <c r="S29">
        <f t="shared" ref="S29" si="123">R29/100000</f>
        <v>-354.48119594266274</v>
      </c>
      <c r="T29">
        <f t="shared" ref="T29" si="124">S29/1000</f>
        <v>-0.35448119594266275</v>
      </c>
    </row>
    <row r="30" spans="1:20" x14ac:dyDescent="0.25">
      <c r="A30" s="5">
        <v>44563</v>
      </c>
      <c r="B30">
        <v>4.2210000000000001</v>
      </c>
      <c r="C30">
        <v>4.444</v>
      </c>
      <c r="D30">
        <v>4.1189999999999998</v>
      </c>
      <c r="E30">
        <v>4.1719999999999997</v>
      </c>
      <c r="F30">
        <v>239964.2</v>
      </c>
      <c r="G30">
        <v>4.1719999999999997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-0.67384615384615443</v>
      </c>
      <c r="Q30">
        <f t="shared" ref="Q30" si="126">F30*P30</f>
        <v>-161698.95323076937</v>
      </c>
      <c r="R30">
        <f t="shared" ref="R30" si="127">R31+Q30</f>
        <v>-35447011.740099609</v>
      </c>
      <c r="S30">
        <f t="shared" ref="S30" si="128">R30/100000</f>
        <v>-354.47011740099612</v>
      </c>
      <c r="T30">
        <f t="shared" ref="T30" si="129">S30/1000</f>
        <v>-0.3544701174009961</v>
      </c>
    </row>
    <row r="31" spans="1:20" x14ac:dyDescent="0.25">
      <c r="A31" s="5">
        <v>44562</v>
      </c>
      <c r="B31">
        <v>4.01</v>
      </c>
      <c r="C31">
        <v>4.5</v>
      </c>
      <c r="D31">
        <v>4.0090000000000003</v>
      </c>
      <c r="E31">
        <v>4.2210000000000001</v>
      </c>
      <c r="F31">
        <v>346730.4</v>
      </c>
      <c r="G31">
        <v>4.2210000000000001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-0.13645621181262774</v>
      </c>
      <c r="Q31">
        <f t="shared" ref="Q31" si="131">F31*P31</f>
        <v>-47313.516904277145</v>
      </c>
      <c r="R31">
        <f t="shared" ref="R31" si="132">R32+Q31</f>
        <v>-35285312.78686884</v>
      </c>
      <c r="S31">
        <f t="shared" ref="S31" si="133">R31/100000</f>
        <v>-352.85312786868843</v>
      </c>
      <c r="T31">
        <f t="shared" ref="T31" si="134">S31/1000</f>
        <v>-0.35285312786868844</v>
      </c>
    </row>
    <row r="32" spans="1:20" x14ac:dyDescent="0.25">
      <c r="A32" s="5">
        <v>44561</v>
      </c>
      <c r="B32">
        <v>4.056</v>
      </c>
      <c r="C32">
        <v>4.157</v>
      </c>
      <c r="D32">
        <v>3.903</v>
      </c>
      <c r="E32">
        <v>4.0179999999999998</v>
      </c>
      <c r="F32">
        <v>97449.2</v>
      </c>
      <c r="G32">
        <v>4.0179999999999998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-9.4488188976379783E-2</v>
      </c>
      <c r="Q32">
        <f t="shared" ref="Q32" si="136">F32*P32</f>
        <v>-9207.7984251970283</v>
      </c>
      <c r="R32">
        <f t="shared" ref="R32" si="137">R33+Q32</f>
        <v>-35237999.269964561</v>
      </c>
      <c r="S32">
        <f t="shared" ref="S32" si="138">R32/100000</f>
        <v>-352.37999269964558</v>
      </c>
      <c r="T32">
        <f t="shared" ref="T32" si="139">S32/1000</f>
        <v>-0.35237999269964559</v>
      </c>
    </row>
    <row r="33" spans="1:20" x14ac:dyDescent="0.25">
      <c r="A33" s="5">
        <v>44560</v>
      </c>
      <c r="B33">
        <v>4.1150000000000002</v>
      </c>
      <c r="C33">
        <v>4.1310000000000002</v>
      </c>
      <c r="D33">
        <v>3.984</v>
      </c>
      <c r="E33">
        <v>4.048</v>
      </c>
      <c r="F33">
        <v>129350.9</v>
      </c>
      <c r="G33">
        <v>4.048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-0.12925170068027278</v>
      </c>
      <c r="Q33">
        <f t="shared" ref="Q33" si="141">F33*P33</f>
        <v>-16718.823809523896</v>
      </c>
      <c r="R33">
        <f t="shared" ref="R33" si="142">R34+Q33</f>
        <v>-35228791.471539363</v>
      </c>
      <c r="S33">
        <f t="shared" ref="S33" si="143">R33/100000</f>
        <v>-352.28791471539364</v>
      </c>
      <c r="T33">
        <f t="shared" ref="T33" si="144">S33/1000</f>
        <v>-0.35228791471539361</v>
      </c>
    </row>
    <row r="34" spans="1:20" x14ac:dyDescent="0.25">
      <c r="A34" s="5">
        <v>44559</v>
      </c>
      <c r="B34">
        <v>4.5599999999999996</v>
      </c>
      <c r="C34">
        <v>4.6609999999999996</v>
      </c>
      <c r="D34">
        <v>4.0199999999999996</v>
      </c>
      <c r="E34">
        <v>4.1150000000000002</v>
      </c>
      <c r="F34">
        <v>309940</v>
      </c>
      <c r="G34">
        <v>4.1150000000000002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-0.70358814352573906</v>
      </c>
      <c r="Q34">
        <f t="shared" ref="Q34" si="146">F34*P34</f>
        <v>-218070.10920436756</v>
      </c>
      <c r="R34">
        <f t="shared" ref="R34" si="147">R35+Q34</f>
        <v>-35212072.647729836</v>
      </c>
      <c r="S34">
        <f t="shared" ref="S34" si="148">R34/100000</f>
        <v>-352.12072647729838</v>
      </c>
      <c r="T34">
        <f t="shared" ref="T34" si="149">S34/1000</f>
        <v>-0.35212072647729836</v>
      </c>
    </row>
    <row r="35" spans="1:20" x14ac:dyDescent="0.25">
      <c r="A35" s="5">
        <v>44558</v>
      </c>
      <c r="B35">
        <v>4.3639999999999999</v>
      </c>
      <c r="C35">
        <v>6</v>
      </c>
      <c r="D35">
        <v>4.2290000000000001</v>
      </c>
      <c r="E35">
        <v>4.5640000000000001</v>
      </c>
      <c r="F35">
        <v>3228289.4</v>
      </c>
      <c r="G35">
        <v>4.5640000000000001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-0.62168266516092607</v>
      </c>
      <c r="Q35">
        <f t="shared" ref="Q35" si="151">F35*P35</f>
        <v>-2006971.558102767</v>
      </c>
      <c r="R35">
        <f t="shared" ref="R35" si="152">R36+Q35</f>
        <v>-34994002.53852547</v>
      </c>
      <c r="S35">
        <f t="shared" ref="S35" si="153">R35/100000</f>
        <v>-349.94002538525467</v>
      </c>
      <c r="T35">
        <f t="shared" ref="T35" si="154">S35/1000</f>
        <v>-0.34994002538525465</v>
      </c>
    </row>
    <row r="36" spans="1:20" x14ac:dyDescent="0.25">
      <c r="A36" s="5">
        <v>44557</v>
      </c>
      <c r="B36">
        <v>4.1059999999999999</v>
      </c>
      <c r="C36">
        <v>6.44</v>
      </c>
      <c r="D36">
        <v>4.0369999999999999</v>
      </c>
      <c r="E36">
        <v>4.3609999999999998</v>
      </c>
      <c r="F36">
        <v>1357788.7</v>
      </c>
      <c r="G36">
        <v>4.3609999999999998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-0.73033707865168562</v>
      </c>
      <c r="Q36">
        <f t="shared" ref="Q36" si="156">F36*P36</f>
        <v>-991643.4325842699</v>
      </c>
      <c r="R36">
        <f t="shared" ref="R36" si="157">R37+Q36</f>
        <v>-32987030.980422705</v>
      </c>
      <c r="S36">
        <f t="shared" ref="S36" si="158">R36/100000</f>
        <v>-329.87030980422708</v>
      </c>
      <c r="T36">
        <f t="shared" ref="T36" si="159">S36/1000</f>
        <v>-0.3298703098042271</v>
      </c>
    </row>
    <row r="37" spans="1:20" x14ac:dyDescent="0.25">
      <c r="A37" s="5">
        <v>44556</v>
      </c>
      <c r="B37">
        <v>4.05</v>
      </c>
      <c r="C37">
        <v>4.25</v>
      </c>
      <c r="D37">
        <v>4</v>
      </c>
      <c r="E37">
        <v>4.1130000000000004</v>
      </c>
      <c r="F37">
        <v>122688.2</v>
      </c>
      <c r="G37">
        <v>4.1130000000000004</v>
      </c>
      <c r="L37" t="s">
        <v>8</v>
      </c>
      <c r="M37" t="s">
        <v>7</v>
      </c>
      <c r="N37" t="s">
        <v>8</v>
      </c>
      <c r="P37">
        <f t="shared" ref="P37" si="160">IF(C37=D37,0,((E37-D37)-(C37-E37))/(C37-D37))</f>
        <v>-9.5999999999996533E-2</v>
      </c>
      <c r="Q37">
        <f t="shared" ref="Q37" si="161">F37*P37</f>
        <v>-11778.067199999574</v>
      </c>
      <c r="R37">
        <f t="shared" ref="R37" si="162">R38+Q37</f>
        <v>-31995387.547838435</v>
      </c>
      <c r="S37">
        <f t="shared" ref="S37" si="163">R37/100000</f>
        <v>-319.95387547838436</v>
      </c>
      <c r="T37">
        <f t="shared" ref="T37" si="164">S37/1000</f>
        <v>-0.31995387547838439</v>
      </c>
    </row>
    <row r="38" spans="1:20" x14ac:dyDescent="0.25">
      <c r="A38" s="5">
        <v>44555</v>
      </c>
      <c r="B38">
        <v>4.0030000000000001</v>
      </c>
      <c r="C38">
        <v>4.2789999999999999</v>
      </c>
      <c r="D38">
        <v>3.98</v>
      </c>
      <c r="E38">
        <v>4.05</v>
      </c>
      <c r="F38">
        <v>154087.9</v>
      </c>
      <c r="G38">
        <v>4.05</v>
      </c>
      <c r="L38" t="s">
        <v>8</v>
      </c>
      <c r="M38" t="s">
        <v>7</v>
      </c>
      <c r="N38" t="s">
        <v>8</v>
      </c>
      <c r="P38">
        <f t="shared" ref="P38" si="165">IF(C38=D38,0,((E38-D38)-(C38-E38))/(C38-D38))</f>
        <v>-0.5317725752508371</v>
      </c>
      <c r="Q38">
        <f t="shared" ref="Q38" si="166">F38*P38</f>
        <v>-81939.719397993453</v>
      </c>
      <c r="R38">
        <f t="shared" ref="R38" si="167">R39+Q38</f>
        <v>-31983609.480638433</v>
      </c>
      <c r="S38">
        <f t="shared" ref="S38" si="168">R38/100000</f>
        <v>-319.83609480638432</v>
      </c>
      <c r="T38">
        <f t="shared" ref="T38" si="169">S38/1000</f>
        <v>-0.31983609480638431</v>
      </c>
    </row>
    <row r="39" spans="1:20" x14ac:dyDescent="0.25">
      <c r="A39" s="5">
        <v>44554</v>
      </c>
      <c r="B39">
        <v>4.157</v>
      </c>
      <c r="C39">
        <v>4.2080000000000002</v>
      </c>
      <c r="D39">
        <v>3.9950000000000001</v>
      </c>
      <c r="E39">
        <v>4.0039999999999996</v>
      </c>
      <c r="F39">
        <v>114198.9</v>
      </c>
      <c r="G39">
        <v>4.0039999999999996</v>
      </c>
      <c r="L39" t="s">
        <v>7</v>
      </c>
      <c r="M39" t="s">
        <v>7</v>
      </c>
      <c r="N39" t="s">
        <v>8</v>
      </c>
      <c r="P39">
        <f t="shared" ref="P39" si="170">IF(C39=D39,0,((E39-D39)-(C39-E39))/(C39-D39))</f>
        <v>-0.91549295774648409</v>
      </c>
      <c r="Q39">
        <f t="shared" ref="Q39" si="171">F39*P39</f>
        <v>-104548.28873239495</v>
      </c>
      <c r="R39">
        <f t="shared" ref="R39" si="172">R40+Q39</f>
        <v>-31901669.761240441</v>
      </c>
      <c r="S39">
        <f t="shared" ref="S39" si="173">R39/100000</f>
        <v>-319.01669761240441</v>
      </c>
      <c r="T39">
        <f t="shared" ref="T39" si="174">S39/1000</f>
        <v>-0.31901669761240442</v>
      </c>
    </row>
    <row r="40" spans="1:20" x14ac:dyDescent="0.25">
      <c r="A40" s="5">
        <v>44553</v>
      </c>
      <c r="B40">
        <v>3.8620000000000001</v>
      </c>
      <c r="C40">
        <v>4.9509999999999996</v>
      </c>
      <c r="D40">
        <v>3.7879999999999998</v>
      </c>
      <c r="E40">
        <v>4.157</v>
      </c>
      <c r="F40">
        <v>1426227.6</v>
      </c>
      <c r="G40">
        <v>4.157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-0.3654342218400683</v>
      </c>
      <c r="Q40">
        <f t="shared" ref="Q40" si="176">F40*P40</f>
        <v>-521192.37317282823</v>
      </c>
      <c r="R40">
        <f t="shared" ref="R40" si="177">R41+Q40</f>
        <v>-31797121.472508047</v>
      </c>
      <c r="S40">
        <f t="shared" ref="S40" si="178">R40/100000</f>
        <v>-317.97121472508047</v>
      </c>
      <c r="T40">
        <f t="shared" ref="T40" si="179">S40/1000</f>
        <v>-0.3179712147250805</v>
      </c>
    </row>
    <row r="41" spans="1:20" x14ac:dyDescent="0.25">
      <c r="A41" s="5">
        <v>44552</v>
      </c>
      <c r="B41">
        <v>3.81</v>
      </c>
      <c r="C41">
        <v>4.0460000000000003</v>
      </c>
      <c r="D41">
        <v>3.7909999999999999</v>
      </c>
      <c r="E41">
        <v>3.8620000000000001</v>
      </c>
      <c r="F41">
        <v>63177</v>
      </c>
      <c r="G41">
        <v>3.8620000000000001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-0.44313725490196015</v>
      </c>
      <c r="Q41">
        <f t="shared" ref="Q41" si="181">F41*P41</f>
        <v>-27996.082352941135</v>
      </c>
      <c r="R41">
        <f t="shared" ref="R41" si="182">R42+Q41</f>
        <v>-31275929.09933522</v>
      </c>
      <c r="S41">
        <f t="shared" ref="S41" si="183">R41/100000</f>
        <v>-312.75929099335218</v>
      </c>
      <c r="T41">
        <f t="shared" ref="T41" si="184">S41/1000</f>
        <v>-0.3127592909933522</v>
      </c>
    </row>
    <row r="42" spans="1:20" x14ac:dyDescent="0.25">
      <c r="A42" s="5">
        <v>44551</v>
      </c>
      <c r="B42">
        <v>3.7120000000000002</v>
      </c>
      <c r="C42">
        <v>3.9710000000000001</v>
      </c>
      <c r="D42">
        <v>3.7090000000000001</v>
      </c>
      <c r="E42">
        <v>3.7989999999999999</v>
      </c>
      <c r="F42">
        <v>193789.3</v>
      </c>
      <c r="G42">
        <v>3.7989999999999999</v>
      </c>
      <c r="L42" t="s">
        <v>7</v>
      </c>
      <c r="M42" t="s">
        <v>8</v>
      </c>
      <c r="N42" t="s">
        <v>7</v>
      </c>
      <c r="P42">
        <f t="shared" ref="P42" si="185">IF(C42=D42,0,((E42-D42)-(C42-E42))/(C42-D42))</f>
        <v>-0.31297709923664235</v>
      </c>
      <c r="Q42">
        <f t="shared" ref="Q42" si="186">F42*P42</f>
        <v>-60651.612977099452</v>
      </c>
      <c r="R42">
        <f t="shared" ref="R42" si="187">R43+Q42</f>
        <v>-31247933.01698228</v>
      </c>
      <c r="S42">
        <f t="shared" ref="S42" si="188">R42/100000</f>
        <v>-312.47933016982279</v>
      </c>
      <c r="T42">
        <f t="shared" ref="T42" si="189">S42/1000</f>
        <v>-0.31247933016982277</v>
      </c>
    </row>
    <row r="43" spans="1:20" x14ac:dyDescent="0.25">
      <c r="A43" s="5">
        <v>44550</v>
      </c>
      <c r="B43">
        <v>3.552</v>
      </c>
      <c r="C43">
        <v>4.1900000000000004</v>
      </c>
      <c r="D43">
        <v>3.3149999999999999</v>
      </c>
      <c r="E43">
        <v>3.7109999999999999</v>
      </c>
      <c r="F43">
        <v>427689.3</v>
      </c>
      <c r="G43">
        <v>3.7109999999999999</v>
      </c>
      <c r="L43" t="s">
        <v>8</v>
      </c>
      <c r="M43" t="s">
        <v>7</v>
      </c>
      <c r="N43" t="s">
        <v>7</v>
      </c>
      <c r="P43">
        <f t="shared" ref="P43" si="190">IF(C43=D43,0,((E43-D43)-(C43-E43))/(C43-D43))</f>
        <v>-9.4857142857143528E-2</v>
      </c>
      <c r="Q43">
        <f t="shared" ref="Q43" si="191">F43*P43</f>
        <v>-40569.385028571713</v>
      </c>
      <c r="R43">
        <f t="shared" ref="R43" si="192">R44+Q43</f>
        <v>-31187281.404005181</v>
      </c>
      <c r="S43">
        <f t="shared" ref="S43" si="193">R43/100000</f>
        <v>-311.87281404005182</v>
      </c>
      <c r="T43">
        <f t="shared" ref="T43" si="194">S43/1000</f>
        <v>-0.31187281404005185</v>
      </c>
    </row>
    <row r="44" spans="1:20" x14ac:dyDescent="0.25">
      <c r="A44" s="5">
        <v>44549</v>
      </c>
      <c r="B44">
        <v>3.609</v>
      </c>
      <c r="C44">
        <v>3.8959999999999999</v>
      </c>
      <c r="D44">
        <v>3.55</v>
      </c>
      <c r="E44">
        <v>3.55</v>
      </c>
      <c r="F44">
        <v>129896.9</v>
      </c>
      <c r="G44">
        <v>3.55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-1</v>
      </c>
      <c r="Q44">
        <f t="shared" ref="Q44" si="196">F44*P44</f>
        <v>-129896.9</v>
      </c>
      <c r="R44">
        <f t="shared" ref="R44" si="197">R45+Q44</f>
        <v>-31146712.01897661</v>
      </c>
      <c r="S44">
        <f t="shared" ref="S44" si="198">R44/100000</f>
        <v>-311.46712018976609</v>
      </c>
      <c r="T44">
        <f t="shared" ref="T44" si="199">S44/1000</f>
        <v>-0.31146712018976608</v>
      </c>
    </row>
    <row r="45" spans="1:20" x14ac:dyDescent="0.25">
      <c r="A45" s="5">
        <v>44548</v>
      </c>
      <c r="B45">
        <v>3.593</v>
      </c>
      <c r="C45">
        <v>3.665</v>
      </c>
      <c r="D45">
        <v>3.532</v>
      </c>
      <c r="E45">
        <v>3.621</v>
      </c>
      <c r="F45">
        <v>56616</v>
      </c>
      <c r="G45">
        <v>3.621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0.33834586466165356</v>
      </c>
      <c r="Q45">
        <f t="shared" ref="Q45" si="201">F45*P45</f>
        <v>19155.789473684177</v>
      </c>
      <c r="R45">
        <f t="shared" ref="R45" si="202">R46+Q45</f>
        <v>-31016815.118976612</v>
      </c>
      <c r="S45">
        <f t="shared" ref="S45" si="203">R45/100000</f>
        <v>-310.16815118976609</v>
      </c>
      <c r="T45">
        <f t="shared" ref="T45" si="204">S45/1000</f>
        <v>-0.31016815118976609</v>
      </c>
    </row>
    <row r="46" spans="1:20" x14ac:dyDescent="0.25">
      <c r="A46" s="5">
        <v>44547</v>
      </c>
      <c r="B46">
        <v>3.7450000000000001</v>
      </c>
      <c r="C46">
        <v>3.806</v>
      </c>
      <c r="D46">
        <v>3.532</v>
      </c>
      <c r="E46">
        <v>3.577</v>
      </c>
      <c r="F46">
        <v>97679.979000000007</v>
      </c>
      <c r="G46">
        <v>3.577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-0.67153284671532898</v>
      </c>
      <c r="Q46">
        <f t="shared" ref="Q46" si="206">F46*P46</f>
        <v>-65595.31436496356</v>
      </c>
      <c r="R46">
        <f t="shared" ref="R46" si="207">R47+Q46</f>
        <v>-31035970.908450294</v>
      </c>
      <c r="S46">
        <f t="shared" ref="S46" si="208">R46/100000</f>
        <v>-310.35970908450292</v>
      </c>
      <c r="T46">
        <f t="shared" ref="T46" si="209">S46/1000</f>
        <v>-0.31035970908450294</v>
      </c>
    </row>
    <row r="47" spans="1:20" x14ac:dyDescent="0.25">
      <c r="A47" s="5">
        <v>44546</v>
      </c>
      <c r="B47">
        <v>3.8359999999999999</v>
      </c>
      <c r="C47">
        <v>3.94</v>
      </c>
      <c r="D47">
        <v>3.7450000000000001</v>
      </c>
      <c r="E47">
        <v>3.7519999999999998</v>
      </c>
      <c r="F47">
        <v>93706.7</v>
      </c>
      <c r="G47">
        <v>3.7519999999999998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-0.92820512820513146</v>
      </c>
      <c r="Q47">
        <f t="shared" ref="Q47" si="211">F47*P47</f>
        <v>-86979.039487179791</v>
      </c>
      <c r="R47">
        <f t="shared" ref="R47" si="212">R48+Q47</f>
        <v>-30970375.594085332</v>
      </c>
      <c r="S47">
        <f t="shared" ref="S47" si="213">R47/100000</f>
        <v>-309.70375594085334</v>
      </c>
      <c r="T47">
        <f t="shared" ref="T47" si="214">S47/1000</f>
        <v>-0.30970375594085336</v>
      </c>
    </row>
    <row r="48" spans="1:20" x14ac:dyDescent="0.25">
      <c r="A48" s="5">
        <v>44545</v>
      </c>
      <c r="B48">
        <v>3.919</v>
      </c>
      <c r="C48">
        <v>4.0819999999999999</v>
      </c>
      <c r="D48">
        <v>3.7240000000000002</v>
      </c>
      <c r="E48">
        <v>3.835</v>
      </c>
      <c r="F48">
        <v>115400.3</v>
      </c>
      <c r="G48">
        <v>3.835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-0.37988826815642529</v>
      </c>
      <c r="Q48">
        <f t="shared" ref="Q48" si="216">F48*P48</f>
        <v>-43839.220111731927</v>
      </c>
      <c r="R48">
        <f t="shared" ref="R48" si="217">R49+Q48</f>
        <v>-30883396.554598153</v>
      </c>
      <c r="S48">
        <f t="shared" ref="S48" si="218">R48/100000</f>
        <v>-308.83396554598153</v>
      </c>
      <c r="T48">
        <f t="shared" ref="T48" si="219">S48/1000</f>
        <v>-0.30883396554598153</v>
      </c>
    </row>
    <row r="49" spans="1:20" x14ac:dyDescent="0.25">
      <c r="A49" s="5">
        <v>44544</v>
      </c>
      <c r="B49">
        <v>3.8380000000000001</v>
      </c>
      <c r="C49">
        <v>3.9990000000000001</v>
      </c>
      <c r="D49">
        <v>3.7759999999999998</v>
      </c>
      <c r="E49">
        <v>3.919</v>
      </c>
      <c r="F49">
        <v>55170.1</v>
      </c>
      <c r="G49">
        <v>3.919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0.28251121076233221</v>
      </c>
      <c r="Q49">
        <f t="shared" ref="Q49" si="221">F49*P49</f>
        <v>15586.171748878944</v>
      </c>
      <c r="R49">
        <f t="shared" ref="R49" si="222">R50+Q49</f>
        <v>-30839557.334486421</v>
      </c>
      <c r="S49">
        <f t="shared" ref="S49" si="223">R49/100000</f>
        <v>-308.3955733448642</v>
      </c>
      <c r="T49">
        <f t="shared" ref="T49" si="224">S49/1000</f>
        <v>-0.30839557334486423</v>
      </c>
    </row>
    <row r="50" spans="1:20" x14ac:dyDescent="0.25">
      <c r="A50" s="5">
        <v>44543</v>
      </c>
      <c r="B50">
        <v>4.1829999999999998</v>
      </c>
      <c r="C50">
        <v>4.2160000000000002</v>
      </c>
      <c r="D50">
        <v>3.8</v>
      </c>
      <c r="E50">
        <v>3.8340000000000001</v>
      </c>
      <c r="F50">
        <v>98036.2</v>
      </c>
      <c r="G50">
        <v>3.8340000000000001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-0.83653846153846045</v>
      </c>
      <c r="Q50">
        <f t="shared" ref="Q50" si="226">F50*P50</f>
        <v>-82011.051923076811</v>
      </c>
      <c r="R50">
        <f t="shared" ref="R50" si="227">R51+Q50</f>
        <v>-30855143.506235301</v>
      </c>
      <c r="S50">
        <f t="shared" ref="S50" si="228">R50/100000</f>
        <v>-308.55143506235299</v>
      </c>
      <c r="T50">
        <f t="shared" ref="T50" si="229">S50/1000</f>
        <v>-0.308551435062353</v>
      </c>
    </row>
    <row r="51" spans="1:20" x14ac:dyDescent="0.25">
      <c r="A51" s="5">
        <v>44542</v>
      </c>
      <c r="B51">
        <v>4.1760000000000002</v>
      </c>
      <c r="C51">
        <v>4.258</v>
      </c>
      <c r="D51">
        <v>4.101</v>
      </c>
      <c r="E51">
        <v>4.1879999999999997</v>
      </c>
      <c r="F51">
        <v>55824.6</v>
      </c>
      <c r="G51">
        <v>4.1879999999999997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0.1082802547770666</v>
      </c>
      <c r="Q51">
        <f t="shared" ref="Q51" si="231">F51*P51</f>
        <v>6044.7019108278319</v>
      </c>
      <c r="R51">
        <f t="shared" ref="R51" si="232">R52+Q51</f>
        <v>-30773132.454312224</v>
      </c>
      <c r="S51">
        <f t="shared" ref="S51" si="233">R51/100000</f>
        <v>-307.73132454312224</v>
      </c>
      <c r="T51">
        <f t="shared" ref="T51" si="234">S51/1000</f>
        <v>-0.30773132454312224</v>
      </c>
    </row>
    <row r="52" spans="1:20" x14ac:dyDescent="0.25">
      <c r="A52" s="5">
        <v>44541</v>
      </c>
      <c r="B52">
        <v>4.0709999999999997</v>
      </c>
      <c r="C52">
        <v>4.1310000000000002</v>
      </c>
      <c r="D52">
        <v>4.0419999999999998</v>
      </c>
      <c r="E52">
        <v>4.1180000000000003</v>
      </c>
      <c r="F52">
        <v>2131.4</v>
      </c>
      <c r="G52">
        <v>4.1180000000000003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0.70786516853932946</v>
      </c>
      <c r="Q52">
        <f t="shared" ref="Q52" si="236">F52*P52</f>
        <v>1508.743820224727</v>
      </c>
      <c r="R52">
        <f t="shared" ref="R52" si="237">R53+Q52</f>
        <v>-30779177.156223051</v>
      </c>
      <c r="S52">
        <f t="shared" ref="S52" si="238">R52/100000</f>
        <v>-307.79177156223051</v>
      </c>
      <c r="T52">
        <f t="shared" ref="T52" si="239">S52/1000</f>
        <v>-0.30779177156223053</v>
      </c>
    </row>
    <row r="53" spans="1:20" x14ac:dyDescent="0.25">
      <c r="A53" s="5">
        <v>44540</v>
      </c>
      <c r="B53">
        <v>4.1230000000000002</v>
      </c>
      <c r="C53">
        <v>4.2450000000000001</v>
      </c>
      <c r="D53">
        <v>4.0179999999999998</v>
      </c>
      <c r="E53">
        <v>4.0730000000000004</v>
      </c>
      <c r="F53">
        <v>75204</v>
      </c>
      <c r="G53">
        <v>4.0730000000000004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-0.51541850220263852</v>
      </c>
      <c r="Q53">
        <f t="shared" ref="Q53" si="241">F53*P53</f>
        <v>-38761.533039647227</v>
      </c>
      <c r="R53">
        <f t="shared" ref="R53" si="242">R54+Q53</f>
        <v>-30780685.900043275</v>
      </c>
      <c r="S53">
        <f t="shared" ref="S53" si="243">R53/100000</f>
        <v>-307.80685900043278</v>
      </c>
      <c r="T53">
        <f t="shared" ref="T53" si="244">S53/1000</f>
        <v>-0.30780685900043275</v>
      </c>
    </row>
    <row r="54" spans="1:20" x14ac:dyDescent="0.25">
      <c r="A54" s="5">
        <v>44539</v>
      </c>
      <c r="B54">
        <v>4.3369999999999997</v>
      </c>
      <c r="C54">
        <v>4.4269999999999996</v>
      </c>
      <c r="D54">
        <v>4.1189999999999998</v>
      </c>
      <c r="E54">
        <v>4.1210000000000004</v>
      </c>
      <c r="F54">
        <v>164197</v>
      </c>
      <c r="G54">
        <v>4.1210000000000004</v>
      </c>
      <c r="L54" t="s">
        <v>8</v>
      </c>
      <c r="M54" t="s">
        <v>7</v>
      </c>
      <c r="N54" t="s">
        <v>8</v>
      </c>
      <c r="P54">
        <f t="shared" ref="P54" si="245">IF(C54=D54,0,((E54-D54)-(C54-E54))/(C54-D54))</f>
        <v>-0.98701298701298268</v>
      </c>
      <c r="Q54">
        <f t="shared" ref="Q54" si="246">F54*P54</f>
        <v>-162064.57142857072</v>
      </c>
      <c r="R54">
        <f t="shared" ref="R54" si="247">R55+Q54</f>
        <v>-30741924.367003627</v>
      </c>
      <c r="S54">
        <f t="shared" ref="S54" si="248">R54/100000</f>
        <v>-307.41924367003628</v>
      </c>
      <c r="T54">
        <f t="shared" ref="T54" si="249">S54/1000</f>
        <v>-0.30741924367003626</v>
      </c>
    </row>
    <row r="55" spans="1:20" x14ac:dyDescent="0.25">
      <c r="A55" s="5">
        <v>44538</v>
      </c>
      <c r="B55">
        <v>4.2729999999999997</v>
      </c>
      <c r="C55">
        <v>4.4660000000000002</v>
      </c>
      <c r="D55">
        <v>4.0990000000000002</v>
      </c>
      <c r="E55">
        <v>4.3310000000000004</v>
      </c>
      <c r="F55">
        <v>89164</v>
      </c>
      <c r="G55">
        <v>4.3310000000000004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0.26430517711171775</v>
      </c>
      <c r="Q55">
        <f t="shared" ref="Q55" si="251">F55*P55</f>
        <v>23566.506811989202</v>
      </c>
      <c r="R55">
        <f t="shared" ref="R55" si="252">R56+Q55</f>
        <v>-30579859.795575056</v>
      </c>
      <c r="S55">
        <f t="shared" ref="S55" si="253">R55/100000</f>
        <v>-305.79859795575055</v>
      </c>
      <c r="T55">
        <f t="shared" ref="T55" si="254">S55/1000</f>
        <v>-0.30579859795575054</v>
      </c>
    </row>
    <row r="56" spans="1:20" x14ac:dyDescent="0.25">
      <c r="A56" s="5">
        <v>44537</v>
      </c>
      <c r="B56">
        <v>4.375</v>
      </c>
      <c r="C56">
        <v>4.5419999999999998</v>
      </c>
      <c r="D56">
        <v>4.1660000000000004</v>
      </c>
      <c r="E56">
        <v>4.282</v>
      </c>
      <c r="F56">
        <v>310588.09999999998</v>
      </c>
      <c r="G56">
        <v>4.282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-0.3829787234042562</v>
      </c>
      <c r="Q56">
        <f t="shared" ref="Q56" si="256">F56*P56</f>
        <v>-118948.63404255346</v>
      </c>
      <c r="R56">
        <f t="shared" ref="R56" si="257">R57+Q56</f>
        <v>-30603426.302387044</v>
      </c>
      <c r="S56">
        <f t="shared" ref="S56" si="258">R56/100000</f>
        <v>-306.03426302387044</v>
      </c>
      <c r="T56">
        <f t="shared" ref="T56" si="259">S56/1000</f>
        <v>-0.30603426302387043</v>
      </c>
    </row>
    <row r="57" spans="1:20" x14ac:dyDescent="0.25">
      <c r="A57" s="5">
        <v>44536</v>
      </c>
      <c r="B57">
        <v>4.4050000000000002</v>
      </c>
      <c r="C57">
        <v>4.66</v>
      </c>
      <c r="D57">
        <v>3.984</v>
      </c>
      <c r="E57">
        <v>4.375</v>
      </c>
      <c r="F57">
        <v>501205.2</v>
      </c>
      <c r="G57">
        <v>4.375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0.15680473372781042</v>
      </c>
      <c r="Q57">
        <f t="shared" ref="Q57" si="261">F57*P57</f>
        <v>78591.347928993971</v>
      </c>
      <c r="R57">
        <f t="shared" ref="R57" si="262">R58+Q57</f>
        <v>-30484477.66834449</v>
      </c>
      <c r="S57">
        <f t="shared" ref="S57" si="263">R57/100000</f>
        <v>-304.84477668344488</v>
      </c>
      <c r="T57">
        <f t="shared" ref="T57" si="264">S57/1000</f>
        <v>-0.3048447766834449</v>
      </c>
    </row>
    <row r="58" spans="1:20" x14ac:dyDescent="0.25">
      <c r="A58" s="5">
        <v>44535</v>
      </c>
      <c r="B58">
        <v>4.18</v>
      </c>
      <c r="C58">
        <v>5.492</v>
      </c>
      <c r="D58">
        <v>4.0869999999999997</v>
      </c>
      <c r="E58">
        <v>4.4119999999999999</v>
      </c>
      <c r="F58">
        <v>1315241.6000000001</v>
      </c>
      <c r="G58">
        <v>4.4119999999999999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-0.53736654804270445</v>
      </c>
      <c r="Q58">
        <f t="shared" ref="Q58" si="266">F58*P58</f>
        <v>-706766.83843416348</v>
      </c>
      <c r="R58">
        <f t="shared" ref="R58" si="267">R59+Q58</f>
        <v>-30563069.016273484</v>
      </c>
      <c r="S58">
        <f t="shared" ref="S58" si="268">R58/100000</f>
        <v>-305.63069016273482</v>
      </c>
      <c r="T58">
        <f t="shared" ref="T58" si="269">S58/1000</f>
        <v>-0.30563069016273481</v>
      </c>
    </row>
    <row r="59" spans="1:20" x14ac:dyDescent="0.25">
      <c r="A59" s="5">
        <v>44534</v>
      </c>
      <c r="B59">
        <v>4.5289999999999999</v>
      </c>
      <c r="C59">
        <v>4.9000000000000004</v>
      </c>
      <c r="D59">
        <v>3.7850000000000001</v>
      </c>
      <c r="E59">
        <v>4.1399999999999997</v>
      </c>
      <c r="F59">
        <v>214616.791</v>
      </c>
      <c r="G59">
        <v>4.1399999999999997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-0.36322869955157044</v>
      </c>
      <c r="Q59">
        <f t="shared" ref="Q59" si="271">F59*P59</f>
        <v>-77954.977896861194</v>
      </c>
      <c r="R59">
        <f t="shared" ref="R59" si="272">R60+Q59</f>
        <v>-29856302.17783932</v>
      </c>
      <c r="S59">
        <f t="shared" ref="S59" si="273">R59/100000</f>
        <v>-298.56302177839319</v>
      </c>
      <c r="T59">
        <f t="shared" ref="T59" si="274">S59/1000</f>
        <v>-0.29856302177839317</v>
      </c>
    </row>
    <row r="60" spans="1:20" x14ac:dyDescent="0.25">
      <c r="A60" s="5">
        <v>44533</v>
      </c>
      <c r="B60">
        <v>4.6929999999999996</v>
      </c>
      <c r="C60">
        <v>4.8650000000000002</v>
      </c>
      <c r="D60">
        <v>4.5019999999999998</v>
      </c>
      <c r="E60">
        <v>4.5259999999999998</v>
      </c>
      <c r="F60">
        <v>139362.70000000001</v>
      </c>
      <c r="G60">
        <v>4.5259999999999998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-0.86776859504132231</v>
      </c>
      <c r="Q60">
        <f t="shared" ref="Q60" si="276">F60*P60</f>
        <v>-120934.5743801653</v>
      </c>
      <c r="R60">
        <f t="shared" ref="R60" si="277">R61+Q60</f>
        <v>-29778347.199942458</v>
      </c>
      <c r="S60">
        <f t="shared" ref="S60" si="278">R60/100000</f>
        <v>-297.78347199942459</v>
      </c>
      <c r="T60">
        <f t="shared" ref="T60" si="279">S60/1000</f>
        <v>-0.29778347199942456</v>
      </c>
    </row>
    <row r="61" spans="1:20" x14ac:dyDescent="0.25">
      <c r="A61" s="5">
        <v>44532</v>
      </c>
      <c r="B61">
        <v>4.8369999999999997</v>
      </c>
      <c r="C61">
        <v>4.8600000000000003</v>
      </c>
      <c r="D61">
        <v>4.6589999999999998</v>
      </c>
      <c r="E61">
        <v>4.6879999999999997</v>
      </c>
      <c r="F61">
        <v>106629.4</v>
      </c>
      <c r="G61">
        <v>4.6879999999999997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-0.71144278606965328</v>
      </c>
      <c r="Q61">
        <f t="shared" ref="Q61" si="281">F61*P61</f>
        <v>-75860.717412935483</v>
      </c>
      <c r="R61">
        <f t="shared" ref="R61" si="282">R62+Q61</f>
        <v>-29657412.625562292</v>
      </c>
      <c r="S61">
        <f t="shared" ref="S61" si="283">R61/100000</f>
        <v>-296.5741262556229</v>
      </c>
      <c r="T61">
        <f t="shared" ref="T61" si="284">S61/1000</f>
        <v>-0.29657412625562291</v>
      </c>
    </row>
    <row r="62" spans="1:20" x14ac:dyDescent="0.25">
      <c r="A62" s="5">
        <v>44531</v>
      </c>
      <c r="B62">
        <v>4.7990000000000004</v>
      </c>
      <c r="C62">
        <v>4.9850000000000003</v>
      </c>
      <c r="D62">
        <v>4.6710000000000003</v>
      </c>
      <c r="E62">
        <v>4.8479999999999999</v>
      </c>
      <c r="F62">
        <v>272700.79999999999</v>
      </c>
      <c r="G62">
        <v>4.8479999999999999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0.12738853503184439</v>
      </c>
      <c r="Q62">
        <f t="shared" ref="Q62" si="286">F62*P62</f>
        <v>34738.955414011987</v>
      </c>
      <c r="R62">
        <f t="shared" ref="R62" si="287">R63+Q62</f>
        <v>-29581551.908149358</v>
      </c>
      <c r="S62">
        <f t="shared" ref="S62" si="288">R62/100000</f>
        <v>-295.81551908149356</v>
      </c>
      <c r="T62">
        <f t="shared" ref="T62" si="289">S62/1000</f>
        <v>-0.29581551908149356</v>
      </c>
    </row>
    <row r="63" spans="1:20" x14ac:dyDescent="0.25">
      <c r="A63" s="5">
        <v>44530</v>
      </c>
      <c r="B63">
        <v>4.9459999999999997</v>
      </c>
      <c r="C63">
        <v>5.13</v>
      </c>
      <c r="D63">
        <v>4.7699999999999996</v>
      </c>
      <c r="E63">
        <v>4.806</v>
      </c>
      <c r="F63">
        <v>184680.5</v>
      </c>
      <c r="G63">
        <v>4.806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-0.79999999999999749</v>
      </c>
      <c r="Q63">
        <f t="shared" ref="Q63" si="291">F63*P63</f>
        <v>-147744.39999999953</v>
      </c>
      <c r="R63">
        <f t="shared" ref="R63" si="292">R64+Q63</f>
        <v>-29616290.86356337</v>
      </c>
      <c r="S63">
        <f t="shared" ref="S63" si="293">R63/100000</f>
        <v>-296.1629086356337</v>
      </c>
      <c r="T63">
        <f t="shared" ref="T63" si="294">S63/1000</f>
        <v>-0.29616290863563371</v>
      </c>
    </row>
    <row r="64" spans="1:20" x14ac:dyDescent="0.25">
      <c r="A64" s="5">
        <v>44529</v>
      </c>
      <c r="B64">
        <v>4.9240000000000004</v>
      </c>
      <c r="C64">
        <v>5.1710000000000003</v>
      </c>
      <c r="D64">
        <v>4.8120000000000003</v>
      </c>
      <c r="E64">
        <v>4.9409999999999998</v>
      </c>
      <c r="F64">
        <v>95913.600000000006</v>
      </c>
      <c r="G64">
        <v>4.9409999999999998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-0.28133704735376286</v>
      </c>
      <c r="Q64">
        <f t="shared" ref="Q64" si="296">F64*P64</f>
        <v>-26984.049025069871</v>
      </c>
      <c r="R64">
        <f t="shared" ref="R64" si="297">R65+Q64</f>
        <v>-29468546.463563371</v>
      </c>
      <c r="S64">
        <f t="shared" ref="S64" si="298">R64/100000</f>
        <v>-294.68546463563371</v>
      </c>
      <c r="T64">
        <f t="shared" ref="T64" si="299">S64/1000</f>
        <v>-0.29468546463563372</v>
      </c>
    </row>
    <row r="65" spans="1:20" x14ac:dyDescent="0.25">
      <c r="A65" s="5">
        <v>44528</v>
      </c>
      <c r="B65">
        <v>4.97</v>
      </c>
      <c r="C65">
        <v>5.05</v>
      </c>
      <c r="D65">
        <v>4.6449999999999996</v>
      </c>
      <c r="E65">
        <v>4.9249999999999998</v>
      </c>
      <c r="F65">
        <v>95677.096000000005</v>
      </c>
      <c r="G65">
        <v>4.9249999999999998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0.38271604938271642</v>
      </c>
      <c r="Q65">
        <f t="shared" ref="Q65" si="301">F65*P65</f>
        <v>36617.160197530902</v>
      </c>
      <c r="R65">
        <f t="shared" ref="R65" si="302">R66+Q65</f>
        <v>-29441562.414538302</v>
      </c>
      <c r="S65">
        <f t="shared" ref="S65" si="303">R65/100000</f>
        <v>-294.41562414538299</v>
      </c>
      <c r="T65">
        <f t="shared" ref="T65" si="304">S65/1000</f>
        <v>-0.29441562414538297</v>
      </c>
    </row>
    <row r="66" spans="1:20" x14ac:dyDescent="0.25">
      <c r="A66" s="5">
        <v>44527</v>
      </c>
      <c r="B66">
        <v>4.952</v>
      </c>
      <c r="C66">
        <v>5.0949999999999998</v>
      </c>
      <c r="D66">
        <v>4.8949999999999996</v>
      </c>
      <c r="E66">
        <v>4.9800000000000004</v>
      </c>
      <c r="F66">
        <v>57122</v>
      </c>
      <c r="G66">
        <v>4.9800000000000004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-0.14999999999999222</v>
      </c>
      <c r="Q66">
        <f t="shared" ref="Q66" si="306">F66*P66</f>
        <v>-8568.2999999995554</v>
      </c>
      <c r="R66">
        <f t="shared" ref="R66" si="307">R67+Q66</f>
        <v>-29478179.574735831</v>
      </c>
      <c r="S66">
        <f t="shared" ref="S66" si="308">R66/100000</f>
        <v>-294.78179574735833</v>
      </c>
      <c r="T66">
        <f t="shared" ref="T66" si="309">S66/1000</f>
        <v>-0.29478179574735835</v>
      </c>
    </row>
    <row r="67" spans="1:20" x14ac:dyDescent="0.25">
      <c r="A67" s="5">
        <v>44526</v>
      </c>
      <c r="B67">
        <v>5.3250000000000002</v>
      </c>
      <c r="C67">
        <v>5.34</v>
      </c>
      <c r="D67">
        <v>4.8079999999999998</v>
      </c>
      <c r="E67">
        <v>4.944</v>
      </c>
      <c r="F67">
        <v>129949.8</v>
      </c>
      <c r="G67">
        <v>4.944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-0.48872180451127778</v>
      </c>
      <c r="Q67">
        <f t="shared" ref="Q67" si="311">F67*P67</f>
        <v>-63509.300751879644</v>
      </c>
      <c r="R67">
        <f t="shared" ref="R67" si="312">R68+Q67</f>
        <v>-29469611.274735831</v>
      </c>
      <c r="S67">
        <f t="shared" ref="S67" si="313">R67/100000</f>
        <v>-294.69611274735831</v>
      </c>
      <c r="T67">
        <f t="shared" ref="T67" si="314">S67/1000</f>
        <v>-0.2946961127473583</v>
      </c>
    </row>
    <row r="68" spans="1:20" x14ac:dyDescent="0.25">
      <c r="A68" s="5">
        <v>44525</v>
      </c>
      <c r="B68">
        <v>5.1509999999999998</v>
      </c>
      <c r="C68">
        <v>5.3689999999999998</v>
      </c>
      <c r="D68">
        <v>5.109</v>
      </c>
      <c r="E68">
        <v>5.343</v>
      </c>
      <c r="F68">
        <v>110716.8</v>
      </c>
      <c r="G68">
        <v>5.343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0.80000000000000138</v>
      </c>
      <c r="Q68">
        <f t="shared" ref="Q68" si="316">F68*P68</f>
        <v>88573.440000000148</v>
      </c>
      <c r="R68">
        <f t="shared" ref="R68" si="317">R69+Q68</f>
        <v>-29406101.973983951</v>
      </c>
      <c r="S68">
        <f t="shared" ref="S68" si="318">R68/100000</f>
        <v>-294.06101973983954</v>
      </c>
      <c r="T68">
        <f t="shared" ref="T68" si="319">S68/1000</f>
        <v>-0.29406101973983956</v>
      </c>
    </row>
    <row r="69" spans="1:20" x14ac:dyDescent="0.25">
      <c r="A69" s="5">
        <v>44524</v>
      </c>
      <c r="B69">
        <v>5.1760000000000002</v>
      </c>
      <c r="C69">
        <v>5.2409999999999997</v>
      </c>
      <c r="D69">
        <v>5.1319999999999997</v>
      </c>
      <c r="E69">
        <v>5.1639999999999997</v>
      </c>
      <c r="F69">
        <v>48049.7</v>
      </c>
      <c r="G69">
        <v>5.1639999999999997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-0.41284403669724712</v>
      </c>
      <c r="Q69">
        <f t="shared" ref="Q69" si="321">F69*P69</f>
        <v>-19837.032110091714</v>
      </c>
      <c r="R69">
        <f t="shared" ref="R69" si="322">R70+Q69</f>
        <v>-29494675.413983952</v>
      </c>
      <c r="S69">
        <f t="shared" ref="S69" si="323">R69/100000</f>
        <v>-294.94675413983953</v>
      </c>
      <c r="T69">
        <f t="shared" ref="T69" si="324">S69/1000</f>
        <v>-0.29494675413983951</v>
      </c>
    </row>
    <row r="70" spans="1:20" x14ac:dyDescent="0.25">
      <c r="A70" s="5">
        <v>44523</v>
      </c>
      <c r="B70">
        <v>5.4710000000000001</v>
      </c>
      <c r="C70">
        <v>5.681</v>
      </c>
      <c r="D70">
        <v>5.1529999999999996</v>
      </c>
      <c r="E70">
        <v>5.1749999999999998</v>
      </c>
      <c r="F70">
        <v>134379.20000000001</v>
      </c>
      <c r="G70">
        <v>5.1749999999999998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-0.91666666666666585</v>
      </c>
      <c r="Q70">
        <f t="shared" ref="Q70" si="326">F70*P70</f>
        <v>-123180.93333333323</v>
      </c>
      <c r="R70">
        <f t="shared" ref="R70" si="327">R71+Q70</f>
        <v>-29474838.381873861</v>
      </c>
      <c r="S70">
        <f t="shared" ref="S70" si="328">R70/100000</f>
        <v>-294.7483838187386</v>
      </c>
      <c r="T70">
        <f t="shared" ref="T70" si="329">S70/1000</f>
        <v>-0.29474838381873858</v>
      </c>
    </row>
    <row r="71" spans="1:20" x14ac:dyDescent="0.25">
      <c r="A71" s="5">
        <v>44522</v>
      </c>
      <c r="B71">
        <v>5.4210000000000003</v>
      </c>
      <c r="C71">
        <v>5.6</v>
      </c>
      <c r="D71">
        <v>5.3120000000000003</v>
      </c>
      <c r="E71">
        <v>5.46</v>
      </c>
      <c r="F71">
        <v>107845.5</v>
      </c>
      <c r="G71">
        <v>5.46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2.7777777777777863E-2</v>
      </c>
      <c r="Q71">
        <f t="shared" ref="Q71" si="331">F71*P71</f>
        <v>2995.7083333333426</v>
      </c>
      <c r="R71">
        <f t="shared" ref="R71" si="332">R72+Q71</f>
        <v>-29351657.448540527</v>
      </c>
      <c r="S71">
        <f t="shared" ref="S71" si="333">R71/100000</f>
        <v>-293.51657448540527</v>
      </c>
      <c r="T71">
        <f t="shared" ref="T71" si="334">S71/1000</f>
        <v>-0.29351657448540525</v>
      </c>
    </row>
    <row r="72" spans="1:20" x14ac:dyDescent="0.25">
      <c r="A72" s="5">
        <v>44521</v>
      </c>
      <c r="B72">
        <v>5.5060000000000002</v>
      </c>
      <c r="C72">
        <v>5.5890000000000004</v>
      </c>
      <c r="D72">
        <v>5.3840000000000003</v>
      </c>
      <c r="E72">
        <v>5.4219999999999997</v>
      </c>
      <c r="F72">
        <v>119498.5</v>
      </c>
      <c r="G72">
        <v>5.4219999999999997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-0.62926829268293316</v>
      </c>
      <c r="Q72">
        <f t="shared" ref="Q72" si="336">F72*P72</f>
        <v>-75196.617073171496</v>
      </c>
      <c r="R72">
        <f t="shared" ref="R72" si="337">R73+Q72</f>
        <v>-29354653.156873859</v>
      </c>
      <c r="S72">
        <f t="shared" ref="S72" si="338">R72/100000</f>
        <v>-293.5465315687386</v>
      </c>
      <c r="T72">
        <f t="shared" ref="T72" si="339">S72/1000</f>
        <v>-0.29354653156873861</v>
      </c>
    </row>
    <row r="73" spans="1:20" x14ac:dyDescent="0.25">
      <c r="A73" s="5">
        <v>44520</v>
      </c>
      <c r="B73">
        <v>5.5620000000000003</v>
      </c>
      <c r="C73">
        <v>5.633</v>
      </c>
      <c r="D73">
        <v>5.375</v>
      </c>
      <c r="E73">
        <v>5.5060000000000002</v>
      </c>
      <c r="F73">
        <v>102461.7</v>
      </c>
      <c r="G73">
        <v>5.5060000000000002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1.5503875968993983E-2</v>
      </c>
      <c r="Q73">
        <f t="shared" ref="Q73" si="341">F73*P73</f>
        <v>1588.5534883722707</v>
      </c>
      <c r="R73">
        <f t="shared" ref="R73" si="342">R74+Q73</f>
        <v>-29279456.539800689</v>
      </c>
      <c r="S73">
        <f t="shared" ref="S73" si="343">R73/100000</f>
        <v>-292.79456539800691</v>
      </c>
      <c r="T73">
        <f t="shared" ref="T73" si="344">S73/1000</f>
        <v>-0.29279456539800691</v>
      </c>
    </row>
    <row r="74" spans="1:20" x14ac:dyDescent="0.25">
      <c r="A74" s="5">
        <v>44519</v>
      </c>
      <c r="B74">
        <v>5.3220000000000001</v>
      </c>
      <c r="C74">
        <v>5.7329999999999997</v>
      </c>
      <c r="D74">
        <v>5.2809999999999997</v>
      </c>
      <c r="E74">
        <v>5.5640000000000001</v>
      </c>
      <c r="F74">
        <v>118844.7</v>
      </c>
      <c r="G74">
        <v>5.5640000000000001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0.2522123893805327</v>
      </c>
      <c r="Q74">
        <f t="shared" ref="Q74" si="346">F74*P74</f>
        <v>29974.105752212592</v>
      </c>
      <c r="R74">
        <f t="shared" ref="R74" si="347">R75+Q74</f>
        <v>-29281045.093289062</v>
      </c>
      <c r="S74">
        <f t="shared" ref="S74" si="348">R74/100000</f>
        <v>-292.8104509328906</v>
      </c>
      <c r="T74">
        <f t="shared" ref="T74" si="349">S74/1000</f>
        <v>-0.2928104509328906</v>
      </c>
    </row>
    <row r="75" spans="1:20" x14ac:dyDescent="0.25">
      <c r="A75" s="5">
        <v>44518</v>
      </c>
      <c r="B75">
        <v>5.7370000000000001</v>
      </c>
      <c r="C75">
        <v>5.7990000000000004</v>
      </c>
      <c r="D75">
        <v>5.15</v>
      </c>
      <c r="E75">
        <v>5.31</v>
      </c>
      <c r="F75">
        <v>162512.1</v>
      </c>
      <c r="G75">
        <v>5.31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-0.50693374422188209</v>
      </c>
      <c r="Q75">
        <f t="shared" ref="Q75" si="351">F75*P75</f>
        <v>-82382.867334360926</v>
      </c>
      <c r="R75">
        <f t="shared" ref="R75" si="352">R76+Q75</f>
        <v>-29311019.199041273</v>
      </c>
      <c r="S75">
        <f t="shared" ref="S75" si="353">R75/100000</f>
        <v>-293.11019199041272</v>
      </c>
      <c r="T75">
        <f t="shared" ref="T75" si="354">S75/1000</f>
        <v>-0.29311019199041272</v>
      </c>
    </row>
    <row r="76" spans="1:20" x14ac:dyDescent="0.25">
      <c r="A76" s="5">
        <v>44517</v>
      </c>
      <c r="B76">
        <v>5.8230000000000004</v>
      </c>
      <c r="C76">
        <v>5.859</v>
      </c>
      <c r="D76">
        <v>5.6360000000000001</v>
      </c>
      <c r="E76">
        <v>5.7370000000000001</v>
      </c>
      <c r="F76">
        <v>78911.5</v>
      </c>
      <c r="G76">
        <v>5.7370000000000001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-9.4170403587443594E-2</v>
      </c>
      <c r="Q76">
        <f t="shared" ref="Q76" si="356">F76*P76</f>
        <v>-7431.1278026905547</v>
      </c>
      <c r="R76">
        <f t="shared" ref="R76" si="357">R77+Q76</f>
        <v>-29228636.331706911</v>
      </c>
      <c r="S76">
        <f t="shared" ref="S76" si="358">R76/100000</f>
        <v>-292.28636331706912</v>
      </c>
      <c r="T76">
        <f t="shared" ref="T76" si="359">S76/1000</f>
        <v>-0.29228636331706914</v>
      </c>
    </row>
    <row r="77" spans="1:20" x14ac:dyDescent="0.25">
      <c r="A77" s="5">
        <v>44516</v>
      </c>
      <c r="B77">
        <v>6.2220000000000004</v>
      </c>
      <c r="C77">
        <v>6.45</v>
      </c>
      <c r="D77">
        <v>5.55</v>
      </c>
      <c r="E77">
        <v>5.8360000000000003</v>
      </c>
      <c r="F77">
        <v>249623.5</v>
      </c>
      <c r="G77">
        <v>5.8360000000000003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-0.36444444444444363</v>
      </c>
      <c r="Q77">
        <f t="shared" ref="Q77" si="361">F77*P77</f>
        <v>-90973.897777777573</v>
      </c>
      <c r="R77">
        <f t="shared" ref="R77" si="362">R78+Q77</f>
        <v>-29221205.203904219</v>
      </c>
      <c r="S77">
        <f t="shared" ref="S77" si="363">R77/100000</f>
        <v>-292.21205203904219</v>
      </c>
      <c r="T77">
        <f t="shared" ref="T77" si="364">S77/1000</f>
        <v>-0.29221205203904221</v>
      </c>
    </row>
    <row r="78" spans="1:20" x14ac:dyDescent="0.25">
      <c r="A78" s="5">
        <v>44515</v>
      </c>
      <c r="B78">
        <v>6.1349999999999998</v>
      </c>
      <c r="C78">
        <v>6.45</v>
      </c>
      <c r="D78">
        <v>6.093</v>
      </c>
      <c r="E78">
        <v>6.2220000000000004</v>
      </c>
      <c r="F78">
        <v>155963.5</v>
      </c>
      <c r="G78">
        <v>6.2220000000000004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-0.2773109243697458</v>
      </c>
      <c r="Q78">
        <f t="shared" ref="Q78" si="366">F78*P78</f>
        <v>-43250.382352940847</v>
      </c>
      <c r="R78">
        <f t="shared" ref="R78" si="367">R79+Q78</f>
        <v>-29130231.306126442</v>
      </c>
      <c r="S78">
        <f t="shared" ref="S78" si="368">R78/100000</f>
        <v>-291.30231306126444</v>
      </c>
      <c r="T78">
        <f t="shared" ref="T78" si="369">S78/1000</f>
        <v>-0.29130231306126442</v>
      </c>
    </row>
    <row r="79" spans="1:20" x14ac:dyDescent="0.25">
      <c r="A79" s="5">
        <v>44514</v>
      </c>
      <c r="B79">
        <v>6.1239999999999997</v>
      </c>
      <c r="C79">
        <v>6.1669999999999998</v>
      </c>
      <c r="D79">
        <v>6.024</v>
      </c>
      <c r="E79">
        <v>6.133</v>
      </c>
      <c r="F79">
        <v>68845.8</v>
      </c>
      <c r="G79">
        <v>6.133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0.52447552447552648</v>
      </c>
      <c r="Q79">
        <f t="shared" ref="Q79" si="371">F79*P79</f>
        <v>36107.937062937199</v>
      </c>
      <c r="R79">
        <f t="shared" ref="R79" si="372">R80+Q79</f>
        <v>-29086980.923773501</v>
      </c>
      <c r="S79">
        <f t="shared" ref="S79" si="373">R79/100000</f>
        <v>-290.86980923773501</v>
      </c>
      <c r="T79">
        <f t="shared" ref="T79" si="374">S79/1000</f>
        <v>-0.29086980923773503</v>
      </c>
    </row>
    <row r="80" spans="1:20" x14ac:dyDescent="0.25">
      <c r="A80" s="5">
        <v>44513</v>
      </c>
      <c r="B80">
        <v>6.0949999999999998</v>
      </c>
      <c r="C80">
        <v>6.1790000000000003</v>
      </c>
      <c r="D80">
        <v>6.0469999999999997</v>
      </c>
      <c r="E80">
        <v>6.141</v>
      </c>
      <c r="F80">
        <v>49852.7</v>
      </c>
      <c r="G80">
        <v>6.141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0.42424242424242281</v>
      </c>
      <c r="Q80">
        <f t="shared" ref="Q80" si="376">F80*P80</f>
        <v>21149.63030303023</v>
      </c>
      <c r="R80">
        <f t="shared" ref="R80" si="377">R81+Q80</f>
        <v>-29123088.860836439</v>
      </c>
      <c r="S80">
        <f t="shared" ref="S80" si="378">R80/100000</f>
        <v>-291.23088860836441</v>
      </c>
      <c r="T80">
        <f t="shared" ref="T80" si="379">S80/1000</f>
        <v>-0.29123088860836444</v>
      </c>
    </row>
    <row r="81" spans="1:20" x14ac:dyDescent="0.25">
      <c r="A81" s="5">
        <v>44512</v>
      </c>
      <c r="B81">
        <v>6.1980000000000004</v>
      </c>
      <c r="C81">
        <v>6.2169999999999996</v>
      </c>
      <c r="D81">
        <v>6</v>
      </c>
      <c r="E81">
        <v>6.0960000000000001</v>
      </c>
      <c r="F81">
        <v>99108.6</v>
      </c>
      <c r="G81">
        <v>6.0960000000000001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-0.11520737327188714</v>
      </c>
      <c r="Q81">
        <f t="shared" ref="Q81" si="381">F81*P81</f>
        <v>-11418.041474654154</v>
      </c>
      <c r="R81">
        <f t="shared" ref="R81" si="382">R82+Q81</f>
        <v>-29144238.491139468</v>
      </c>
      <c r="S81">
        <f t="shared" ref="S81" si="383">R81/100000</f>
        <v>-291.4423849113947</v>
      </c>
      <c r="T81">
        <f t="shared" ref="T81" si="384">S81/1000</f>
        <v>-0.29144238491139468</v>
      </c>
    </row>
    <row r="82" spans="1:20" x14ac:dyDescent="0.25">
      <c r="A82" s="5">
        <v>44511</v>
      </c>
      <c r="B82">
        <v>6.093</v>
      </c>
      <c r="C82">
        <v>6.2889999999999997</v>
      </c>
      <c r="D82">
        <v>6.0330000000000004</v>
      </c>
      <c r="E82">
        <v>6.194</v>
      </c>
      <c r="F82">
        <v>100740</v>
      </c>
      <c r="G82">
        <v>6.194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0.2578125</v>
      </c>
      <c r="Q82">
        <f t="shared" ref="Q82" si="386">F82*P82</f>
        <v>25972.03125</v>
      </c>
      <c r="R82">
        <f t="shared" ref="R82" si="387">R83+Q82</f>
        <v>-29132820.449664813</v>
      </c>
      <c r="S82">
        <f t="shared" ref="S82" si="388">R82/100000</f>
        <v>-291.32820449664814</v>
      </c>
      <c r="T82">
        <f t="shared" ref="T82" si="389">S82/1000</f>
        <v>-0.29132820449664815</v>
      </c>
    </row>
    <row r="83" spans="1:20" x14ac:dyDescent="0.25">
      <c r="A83" s="5">
        <v>44510</v>
      </c>
      <c r="B83">
        <v>6.2069999999999999</v>
      </c>
      <c r="C83">
        <v>6.5</v>
      </c>
      <c r="D83">
        <v>6.0190000000000001</v>
      </c>
      <c r="E83">
        <v>6.093</v>
      </c>
      <c r="F83">
        <v>201085.36</v>
      </c>
      <c r="G83">
        <v>6.093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-0.69230769230769285</v>
      </c>
      <c r="Q83">
        <f t="shared" ref="Q83" si="391">F83*P83</f>
        <v>-139212.94153846163</v>
      </c>
      <c r="R83">
        <f t="shared" ref="R83" si="392">R84+Q83</f>
        <v>-29158792.480914813</v>
      </c>
      <c r="S83">
        <f t="shared" ref="S83" si="393">R83/100000</f>
        <v>-291.58792480914815</v>
      </c>
      <c r="T83">
        <f t="shared" ref="T83" si="394">S83/1000</f>
        <v>-0.29158792480914814</v>
      </c>
    </row>
    <row r="84" spans="1:20" x14ac:dyDescent="0.25">
      <c r="A84" s="5">
        <v>44509</v>
      </c>
      <c r="B84">
        <v>6.319</v>
      </c>
      <c r="C84">
        <v>6.3810000000000002</v>
      </c>
      <c r="D84">
        <v>6.1369999999999996</v>
      </c>
      <c r="E84">
        <v>6.1959999999999997</v>
      </c>
      <c r="F84">
        <v>116429.4</v>
      </c>
      <c r="G84">
        <v>6.1959999999999997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-0.51639344262295084</v>
      </c>
      <c r="Q84">
        <f t="shared" ref="Q84" si="396">F84*P84</f>
        <v>-60123.378688524586</v>
      </c>
      <c r="R84">
        <f t="shared" ref="R84" si="397">R85+Q84</f>
        <v>-29019579.539376352</v>
      </c>
      <c r="S84">
        <f t="shared" ref="S84" si="398">R84/100000</f>
        <v>-290.19579539376355</v>
      </c>
      <c r="T84">
        <f t="shared" ref="T84" si="399">S84/1000</f>
        <v>-0.29019579539376356</v>
      </c>
    </row>
    <row r="85" spans="1:20" x14ac:dyDescent="0.25">
      <c r="A85" s="5">
        <v>44508</v>
      </c>
      <c r="B85">
        <v>6.3890000000000002</v>
      </c>
      <c r="C85">
        <v>6.407</v>
      </c>
      <c r="D85">
        <v>6.24</v>
      </c>
      <c r="E85">
        <v>6.306</v>
      </c>
      <c r="F85">
        <v>123887.5</v>
      </c>
      <c r="G85">
        <v>6.306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-0.20958083832335436</v>
      </c>
      <c r="Q85">
        <f t="shared" ref="Q85" si="401">F85*P85</f>
        <v>-25964.446107784563</v>
      </c>
      <c r="R85">
        <f t="shared" ref="R85" si="402">R86+Q85</f>
        <v>-28959456.160687827</v>
      </c>
      <c r="S85">
        <f t="shared" ref="S85" si="403">R85/100000</f>
        <v>-289.59456160687824</v>
      </c>
      <c r="T85">
        <f t="shared" ref="T85" si="404">S85/1000</f>
        <v>-0.28959456160687824</v>
      </c>
    </row>
    <row r="86" spans="1:20" x14ac:dyDescent="0.25">
      <c r="A86" s="5">
        <v>44507</v>
      </c>
      <c r="B86">
        <v>6.2149999999999999</v>
      </c>
      <c r="C86">
        <v>6.99</v>
      </c>
      <c r="D86">
        <v>6.21</v>
      </c>
      <c r="E86">
        <v>6.3789999999999996</v>
      </c>
      <c r="F86">
        <v>377919</v>
      </c>
      <c r="G86">
        <v>6.3789999999999996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-0.56666666666666787</v>
      </c>
      <c r="Q86">
        <f t="shared" ref="Q86" si="406">F86*P86</f>
        <v>-214154.10000000044</v>
      </c>
      <c r="R86">
        <f t="shared" ref="R86" si="407">R87+Q86</f>
        <v>-28933491.71458004</v>
      </c>
      <c r="S86">
        <f t="shared" ref="S86" si="408">R86/100000</f>
        <v>-289.33491714580043</v>
      </c>
      <c r="T86">
        <f t="shared" ref="T86" si="409">S86/1000</f>
        <v>-0.28933491714580045</v>
      </c>
    </row>
    <row r="87" spans="1:20" x14ac:dyDescent="0.25">
      <c r="A87" s="5">
        <v>44506</v>
      </c>
      <c r="B87">
        <v>6.2249999999999996</v>
      </c>
      <c r="C87">
        <v>6.3</v>
      </c>
      <c r="D87">
        <v>6.117</v>
      </c>
      <c r="E87">
        <v>6.2229999999999999</v>
      </c>
      <c r="F87">
        <v>75448.100000000006</v>
      </c>
      <c r="G87">
        <v>6.2229999999999999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0.15846994535519093</v>
      </c>
      <c r="Q87">
        <f t="shared" ref="Q87" si="411">F87*P87</f>
        <v>11956.256284152982</v>
      </c>
      <c r="R87">
        <f t="shared" ref="R87" si="412">R88+Q87</f>
        <v>-28719337.614580039</v>
      </c>
      <c r="S87">
        <f t="shared" ref="S87" si="413">R87/100000</f>
        <v>-287.19337614580041</v>
      </c>
      <c r="T87">
        <f t="shared" ref="T87" si="414">S87/1000</f>
        <v>-0.28719337614580043</v>
      </c>
    </row>
    <row r="88" spans="1:20" x14ac:dyDescent="0.25">
      <c r="A88" s="5">
        <v>44505</v>
      </c>
      <c r="B88">
        <v>6.218</v>
      </c>
      <c r="C88">
        <v>6.383</v>
      </c>
      <c r="D88">
        <v>6.1550000000000002</v>
      </c>
      <c r="E88">
        <v>6.2169999999999996</v>
      </c>
      <c r="F88">
        <v>126582.9</v>
      </c>
      <c r="G88">
        <v>6.2169999999999996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-0.45614035087719779</v>
      </c>
      <c r="Q88">
        <f t="shared" ref="Q88" si="416">F88*P88</f>
        <v>-57739.568421053234</v>
      </c>
      <c r="R88">
        <f t="shared" ref="R88" si="417">R89+Q88</f>
        <v>-28731293.87086419</v>
      </c>
      <c r="S88">
        <f t="shared" ref="S88" si="418">R88/100000</f>
        <v>-287.31293870864192</v>
      </c>
      <c r="T88">
        <f t="shared" ref="T88" si="419">S88/1000</f>
        <v>-0.28731293870864194</v>
      </c>
    </row>
    <row r="89" spans="1:20" x14ac:dyDescent="0.25">
      <c r="A89" s="5">
        <v>44504</v>
      </c>
      <c r="B89">
        <v>6.2649999999999997</v>
      </c>
      <c r="C89">
        <v>6.3789999999999996</v>
      </c>
      <c r="D89">
        <v>6.1559999999999997</v>
      </c>
      <c r="E89">
        <v>6.2030000000000003</v>
      </c>
      <c r="F89">
        <v>104557.9</v>
      </c>
      <c r="G89">
        <v>6.2030000000000003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-0.5784753363228643</v>
      </c>
      <c r="Q89">
        <f t="shared" ref="Q89" si="421">F89*P89</f>
        <v>-60484.166367712409</v>
      </c>
      <c r="R89">
        <f t="shared" ref="R89" si="422">R90+Q89</f>
        <v>-28673554.302443136</v>
      </c>
      <c r="S89">
        <f t="shared" ref="S89" si="423">R89/100000</f>
        <v>-286.73554302443137</v>
      </c>
      <c r="T89">
        <f t="shared" ref="T89" si="424">S89/1000</f>
        <v>-0.28673554302443138</v>
      </c>
    </row>
    <row r="90" spans="1:20" x14ac:dyDescent="0.25">
      <c r="A90" s="5">
        <v>44503</v>
      </c>
      <c r="B90">
        <v>6.4009999999999998</v>
      </c>
      <c r="C90">
        <v>6.4130000000000003</v>
      </c>
      <c r="D90">
        <v>6.149</v>
      </c>
      <c r="E90">
        <v>6.2649999999999997</v>
      </c>
      <c r="F90">
        <v>120998.9</v>
      </c>
      <c r="G90">
        <v>6.2649999999999997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-0.12121212121212457</v>
      </c>
      <c r="Q90">
        <f t="shared" ref="Q90" si="426">F90*P90</f>
        <v>-14666.53333333374</v>
      </c>
      <c r="R90">
        <f t="shared" ref="R90" si="427">R91+Q90</f>
        <v>-28613070.136075422</v>
      </c>
      <c r="S90">
        <f t="shared" ref="S90" si="428">R90/100000</f>
        <v>-286.13070136075424</v>
      </c>
      <c r="T90">
        <f t="shared" ref="T90" si="429">S90/1000</f>
        <v>-0.28613070136075425</v>
      </c>
    </row>
    <row r="91" spans="1:20" x14ac:dyDescent="0.25">
      <c r="A91" s="5">
        <v>44502</v>
      </c>
      <c r="B91">
        <v>6.4950000000000001</v>
      </c>
      <c r="C91">
        <v>6.61</v>
      </c>
      <c r="D91">
        <v>6.3339999999999996</v>
      </c>
      <c r="E91">
        <v>6.3970000000000002</v>
      </c>
      <c r="F91">
        <v>154987.79999999999</v>
      </c>
      <c r="G91">
        <v>6.3970000000000002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-0.54347826086956197</v>
      </c>
      <c r="Q91">
        <f t="shared" ref="Q91" si="431">F91*P91</f>
        <v>-84232.499999999491</v>
      </c>
      <c r="R91">
        <f t="shared" ref="R91" si="432">R92+Q91</f>
        <v>-28598403.602742087</v>
      </c>
      <c r="S91">
        <f t="shared" ref="S91" si="433">R91/100000</f>
        <v>-285.98403602742087</v>
      </c>
      <c r="T91">
        <f t="shared" ref="T91" si="434">S91/1000</f>
        <v>-0.2859840360274209</v>
      </c>
    </row>
    <row r="92" spans="1:20" x14ac:dyDescent="0.25">
      <c r="A92" s="5">
        <v>44501</v>
      </c>
      <c r="B92">
        <v>6.4050000000000002</v>
      </c>
      <c r="C92">
        <v>6.4939999999999998</v>
      </c>
      <c r="D92">
        <v>6.149</v>
      </c>
      <c r="E92">
        <v>6.4939999999999998</v>
      </c>
      <c r="F92">
        <v>186962.1</v>
      </c>
      <c r="G92">
        <v>6.4939999999999998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1</v>
      </c>
      <c r="Q92">
        <f t="shared" ref="Q92" si="436">F92*P92</f>
        <v>186962.1</v>
      </c>
      <c r="R92">
        <f t="shared" ref="R92" si="437">R93+Q92</f>
        <v>-28514171.102742087</v>
      </c>
      <c r="S92">
        <f t="shared" ref="S92" si="438">R92/100000</f>
        <v>-285.14171102742085</v>
      </c>
      <c r="T92">
        <f t="shared" ref="T92" si="439">S92/1000</f>
        <v>-0.28514171102742086</v>
      </c>
    </row>
    <row r="93" spans="1:20" x14ac:dyDescent="0.25">
      <c r="A93" s="5">
        <v>44500</v>
      </c>
      <c r="B93">
        <v>6.5019999999999998</v>
      </c>
      <c r="C93">
        <v>7.55</v>
      </c>
      <c r="D93">
        <v>6.17</v>
      </c>
      <c r="E93">
        <v>6.4059999999999997</v>
      </c>
      <c r="F93">
        <v>755374.5</v>
      </c>
      <c r="G93">
        <v>6.4059999999999997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-0.65797101449275397</v>
      </c>
      <c r="Q93">
        <f t="shared" ref="Q93" si="441">F93*P93</f>
        <v>-497014.52608695679</v>
      </c>
      <c r="R93">
        <f t="shared" ref="R93" si="442">R94+Q93</f>
        <v>-28701133.202742089</v>
      </c>
      <c r="S93">
        <f t="shared" ref="S93" si="443">R93/100000</f>
        <v>-287.01133202742091</v>
      </c>
      <c r="T93">
        <f t="shared" ref="T93" si="444">S93/1000</f>
        <v>-0.28701133202742091</v>
      </c>
    </row>
    <row r="94" spans="1:20" x14ac:dyDescent="0.25">
      <c r="A94" s="5">
        <v>44499</v>
      </c>
      <c r="B94">
        <v>6.5629999999999997</v>
      </c>
      <c r="C94">
        <v>6.5819999999999999</v>
      </c>
      <c r="D94">
        <v>6.1989999999999998</v>
      </c>
      <c r="E94">
        <v>6.5</v>
      </c>
      <c r="F94">
        <v>131245.70000000001</v>
      </c>
      <c r="G94">
        <v>6.5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0.57180156657963521</v>
      </c>
      <c r="Q94">
        <f t="shared" ref="Q94" si="446">F94*P94</f>
        <v>75046.49686684084</v>
      </c>
      <c r="R94">
        <f t="shared" ref="R94" si="447">R95+Q94</f>
        <v>-28204118.676655132</v>
      </c>
      <c r="S94">
        <f t="shared" ref="S94" si="448">R94/100000</f>
        <v>-282.04118676655133</v>
      </c>
      <c r="T94">
        <f t="shared" ref="T94" si="449">S94/1000</f>
        <v>-0.28204118676655132</v>
      </c>
    </row>
    <row r="95" spans="1:20" x14ac:dyDescent="0.25">
      <c r="A95" s="5">
        <v>44498</v>
      </c>
      <c r="B95">
        <v>6.4370000000000003</v>
      </c>
      <c r="C95">
        <v>6.6760000000000002</v>
      </c>
      <c r="D95">
        <v>6.4</v>
      </c>
      <c r="E95">
        <v>6.56</v>
      </c>
      <c r="F95">
        <v>132304.6</v>
      </c>
      <c r="G95">
        <v>6.56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0.1594202898550679</v>
      </c>
      <c r="Q95">
        <f t="shared" ref="Q95" si="451">F95*P95</f>
        <v>21092.037681158818</v>
      </c>
      <c r="R95">
        <f t="shared" ref="R95" si="452">R96+Q95</f>
        <v>-28279165.173521973</v>
      </c>
      <c r="S95">
        <f t="shared" ref="S95" si="453">R95/100000</f>
        <v>-282.79165173521972</v>
      </c>
      <c r="T95">
        <f t="shared" ref="T95" si="454">S95/1000</f>
        <v>-0.2827916517352197</v>
      </c>
    </row>
    <row r="96" spans="1:20" x14ac:dyDescent="0.25">
      <c r="A96" s="5">
        <v>44497</v>
      </c>
      <c r="B96">
        <v>6.3179999999999996</v>
      </c>
      <c r="C96">
        <v>6.64</v>
      </c>
      <c r="D96">
        <v>6.2</v>
      </c>
      <c r="E96">
        <v>6.423</v>
      </c>
      <c r="F96">
        <v>129566</v>
      </c>
      <c r="G96">
        <v>6.423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1.3636363636364168E-2</v>
      </c>
      <c r="Q96">
        <f t="shared" ref="Q96" si="456">F96*P96</f>
        <v>1766.8090909091597</v>
      </c>
      <c r="R96">
        <f t="shared" ref="R96" si="457">R97+Q96</f>
        <v>-28300257.211203132</v>
      </c>
      <c r="S96">
        <f t="shared" ref="S96" si="458">R96/100000</f>
        <v>-283.00257211203132</v>
      </c>
      <c r="T96">
        <f t="shared" ref="T96" si="459">S96/1000</f>
        <v>-0.28300257211203134</v>
      </c>
    </row>
    <row r="97" spans="1:20" x14ac:dyDescent="0.25">
      <c r="A97" s="5">
        <v>44496</v>
      </c>
      <c r="B97">
        <v>6.9560000000000004</v>
      </c>
      <c r="C97">
        <v>6.9969999999999999</v>
      </c>
      <c r="D97">
        <v>6.2</v>
      </c>
      <c r="E97">
        <v>6.3289999999999997</v>
      </c>
      <c r="F97">
        <v>209445.117</v>
      </c>
      <c r="G97">
        <v>6.3289999999999997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-0.67628607277289932</v>
      </c>
      <c r="Q97">
        <f t="shared" ref="Q97" si="461">F97*P97</f>
        <v>-141644.81563739042</v>
      </c>
      <c r="R97">
        <f t="shared" ref="R97" si="462">R98+Q97</f>
        <v>-28302024.02029404</v>
      </c>
      <c r="S97">
        <f t="shared" ref="S97" si="463">R97/100000</f>
        <v>-283.02024020294039</v>
      </c>
      <c r="T97">
        <f t="shared" ref="T97" si="464">S97/1000</f>
        <v>-0.28302024020294037</v>
      </c>
    </row>
    <row r="98" spans="1:20" x14ac:dyDescent="0.25">
      <c r="A98" s="5">
        <v>44495</v>
      </c>
      <c r="B98">
        <v>7.1150000000000002</v>
      </c>
      <c r="C98">
        <v>7.15</v>
      </c>
      <c r="D98">
        <v>6.9</v>
      </c>
      <c r="E98">
        <v>6.9550000000000001</v>
      </c>
      <c r="F98">
        <v>118945.7</v>
      </c>
      <c r="G98">
        <v>6.9550000000000001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-0.56000000000000227</v>
      </c>
      <c r="Q98">
        <f t="shared" ref="Q98" si="466">F98*P98</f>
        <v>-66609.592000000266</v>
      </c>
      <c r="R98">
        <f t="shared" ref="R98" si="467">R99+Q98</f>
        <v>-28160379.204656649</v>
      </c>
      <c r="S98">
        <f t="shared" ref="S98" si="468">R98/100000</f>
        <v>-281.60379204656647</v>
      </c>
      <c r="T98">
        <f t="shared" ref="T98" si="469">S98/1000</f>
        <v>-0.28160379204656649</v>
      </c>
    </row>
    <row r="99" spans="1:20" x14ac:dyDescent="0.25">
      <c r="A99" s="5">
        <v>44494</v>
      </c>
      <c r="B99">
        <v>6.9370000000000003</v>
      </c>
      <c r="C99">
        <v>7.25</v>
      </c>
      <c r="D99">
        <v>6.9370000000000003</v>
      </c>
      <c r="E99">
        <v>7.1150000000000002</v>
      </c>
      <c r="F99">
        <v>118251</v>
      </c>
      <c r="G99">
        <v>7.1150000000000002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0.13738019169329133</v>
      </c>
      <c r="Q99">
        <f t="shared" ref="Q99" si="471">F99*P99</f>
        <v>16245.345047923392</v>
      </c>
      <c r="R99">
        <f t="shared" ref="R99" si="472">R100+Q99</f>
        <v>-28093769.612656649</v>
      </c>
      <c r="S99">
        <f t="shared" ref="S99" si="473">R99/100000</f>
        <v>-280.93769612656649</v>
      </c>
      <c r="T99">
        <f t="shared" ref="T99" si="474">S99/1000</f>
        <v>-0.28093769612656649</v>
      </c>
    </row>
    <row r="100" spans="1:20" x14ac:dyDescent="0.25">
      <c r="A100" s="5">
        <v>44493</v>
      </c>
      <c r="B100">
        <v>7.2009999999999996</v>
      </c>
      <c r="C100">
        <v>7.27</v>
      </c>
      <c r="D100">
        <v>6.93</v>
      </c>
      <c r="E100">
        <v>6.9480000000000004</v>
      </c>
      <c r="F100">
        <v>135709.70000000001</v>
      </c>
      <c r="G100">
        <v>6.9480000000000004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-0.89411764705881946</v>
      </c>
      <c r="Q100">
        <f t="shared" ref="Q100" si="476">F100*P100</f>
        <v>-121340.43764705828</v>
      </c>
      <c r="R100">
        <f t="shared" ref="R100" si="477">R101+Q100</f>
        <v>-28110014.957704574</v>
      </c>
      <c r="S100">
        <f t="shared" ref="S100" si="478">R100/100000</f>
        <v>-281.10014957704573</v>
      </c>
      <c r="T100">
        <f t="shared" ref="T100" si="479">S100/1000</f>
        <v>-0.28110014957704571</v>
      </c>
    </row>
    <row r="101" spans="1:20" x14ac:dyDescent="0.25">
      <c r="A101" s="5">
        <v>44492</v>
      </c>
      <c r="B101">
        <v>7.2370000000000001</v>
      </c>
      <c r="C101">
        <v>7.2489999999999997</v>
      </c>
      <c r="D101">
        <v>7</v>
      </c>
      <c r="E101">
        <v>7.2089999999999996</v>
      </c>
      <c r="F101">
        <v>73288.399999999994</v>
      </c>
      <c r="G101">
        <v>7.2089999999999996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0.67871485943775034</v>
      </c>
      <c r="Q101">
        <f t="shared" ref="Q101" si="481">F101*P101</f>
        <v>49741.926104417616</v>
      </c>
      <c r="R101">
        <f t="shared" ref="R101" si="482">R102+Q101</f>
        <v>-27988674.520057514</v>
      </c>
      <c r="S101">
        <f t="shared" ref="S101" si="483">R101/100000</f>
        <v>-279.88674520057515</v>
      </c>
      <c r="T101">
        <f t="shared" ref="T101" si="484">S101/1000</f>
        <v>-0.27988674520057516</v>
      </c>
    </row>
    <row r="102" spans="1:20" x14ac:dyDescent="0.25">
      <c r="A102" s="5">
        <v>44491</v>
      </c>
      <c r="B102">
        <v>7.1920000000000002</v>
      </c>
      <c r="C102">
        <v>7.3280000000000003</v>
      </c>
      <c r="D102">
        <v>7.04</v>
      </c>
      <c r="E102">
        <v>7.2190000000000003</v>
      </c>
      <c r="F102">
        <v>155130</v>
      </c>
      <c r="G102">
        <v>7.2190000000000003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0.24305555555555633</v>
      </c>
      <c r="Q102">
        <f t="shared" ref="Q102" si="486">F102*P102</f>
        <v>37705.208333333452</v>
      </c>
      <c r="R102">
        <f t="shared" ref="R102" si="487">R103+Q102</f>
        <v>-28038416.446161933</v>
      </c>
      <c r="S102">
        <f t="shared" ref="S102" si="488">R102/100000</f>
        <v>-280.38416446161932</v>
      </c>
      <c r="T102">
        <f t="shared" ref="T102" si="489">S102/1000</f>
        <v>-0.28038416446161935</v>
      </c>
    </row>
    <row r="103" spans="1:20" x14ac:dyDescent="0.25">
      <c r="A103" s="5">
        <v>44490</v>
      </c>
      <c r="B103">
        <v>7.5250000000000004</v>
      </c>
      <c r="C103">
        <v>7.7779999999999996</v>
      </c>
      <c r="D103">
        <v>7.16</v>
      </c>
      <c r="E103">
        <v>7.1920000000000002</v>
      </c>
      <c r="F103">
        <v>313317.90000000002</v>
      </c>
      <c r="G103">
        <v>7.1920000000000002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-0.89644012944983797</v>
      </c>
      <c r="Q103">
        <f t="shared" ref="Q103" si="491">F103*P103</f>
        <v>-280870.73883495142</v>
      </c>
      <c r="R103">
        <f t="shared" ref="R103" si="492">R104+Q103</f>
        <v>-28076121.654495265</v>
      </c>
      <c r="S103">
        <f t="shared" ref="S103" si="493">R103/100000</f>
        <v>-280.76121654495267</v>
      </c>
      <c r="T103">
        <f t="shared" ref="T103" si="494">S103/1000</f>
        <v>-0.28076121654495267</v>
      </c>
    </row>
    <row r="104" spans="1:20" x14ac:dyDescent="0.25">
      <c r="A104" s="5">
        <v>44489</v>
      </c>
      <c r="B104">
        <v>7.3159999999999998</v>
      </c>
      <c r="C104">
        <v>7.5640000000000001</v>
      </c>
      <c r="D104">
        <v>7.2350000000000003</v>
      </c>
      <c r="E104">
        <v>7.5250000000000004</v>
      </c>
      <c r="F104">
        <v>132690.29999999999</v>
      </c>
      <c r="G104">
        <v>7.5250000000000004</v>
      </c>
      <c r="L104" t="s">
        <v>7</v>
      </c>
      <c r="M104" t="s">
        <v>8</v>
      </c>
      <c r="N104" t="s">
        <v>7</v>
      </c>
      <c r="P104">
        <f t="shared" ref="P104" si="495">IF(C104=D104,0,((E104-D104)-(C104-E104))/(C104-D104))</f>
        <v>0.76291793313070067</v>
      </c>
      <c r="Q104">
        <f t="shared" ref="Q104" si="496">F104*P104</f>
        <v>101231.8094224926</v>
      </c>
      <c r="R104">
        <f t="shared" ref="R104" si="497">R105+Q104</f>
        <v>-27795250.915660314</v>
      </c>
      <c r="S104">
        <f t="shared" ref="S104" si="498">R104/100000</f>
        <v>-277.95250915660313</v>
      </c>
      <c r="T104">
        <f t="shared" ref="T104" si="499">S104/1000</f>
        <v>-0.27795250915660313</v>
      </c>
    </row>
    <row r="105" spans="1:20" x14ac:dyDescent="0.25">
      <c r="A105" s="5">
        <v>44488</v>
      </c>
      <c r="B105">
        <v>7.2889999999999997</v>
      </c>
      <c r="C105">
        <v>7.4619999999999997</v>
      </c>
      <c r="D105">
        <v>7.2489999999999997</v>
      </c>
      <c r="E105">
        <v>7.3159999999999998</v>
      </c>
      <c r="F105">
        <v>138421.1</v>
      </c>
      <c r="G105">
        <v>7.3159999999999998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-0.37089201877934136</v>
      </c>
      <c r="Q105">
        <f t="shared" ref="Q105" si="501">F105*P105</f>
        <v>-51339.281220657089</v>
      </c>
      <c r="R105">
        <f t="shared" ref="R105" si="502">R106+Q105</f>
        <v>-27896482.725082807</v>
      </c>
      <c r="S105">
        <f t="shared" ref="S105" si="503">R105/100000</f>
        <v>-278.96482725082808</v>
      </c>
      <c r="T105">
        <f t="shared" ref="T105" si="504">S105/1000</f>
        <v>-0.27896482725082811</v>
      </c>
    </row>
    <row r="106" spans="1:20" x14ac:dyDescent="0.25">
      <c r="A106" s="5">
        <v>44487</v>
      </c>
      <c r="B106">
        <v>7.3369999999999997</v>
      </c>
      <c r="C106">
        <v>7.7240000000000002</v>
      </c>
      <c r="D106">
        <v>7.1970000000000001</v>
      </c>
      <c r="E106">
        <v>7.3049999999999997</v>
      </c>
      <c r="F106">
        <v>162672.9</v>
      </c>
      <c r="G106">
        <v>7.3049999999999997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-0.59013282732447958</v>
      </c>
      <c r="Q106">
        <f t="shared" ref="Q106" si="506">F106*P106</f>
        <v>-95998.618406072332</v>
      </c>
      <c r="R106">
        <f t="shared" ref="R106" si="507">R107+Q106</f>
        <v>-27845143.443862151</v>
      </c>
      <c r="S106">
        <f t="shared" ref="S106" si="508">R106/100000</f>
        <v>-278.4514344386215</v>
      </c>
      <c r="T106">
        <f t="shared" ref="T106" si="509">S106/1000</f>
        <v>-0.27845143443862153</v>
      </c>
    </row>
    <row r="107" spans="1:20" x14ac:dyDescent="0.25">
      <c r="A107" s="5">
        <v>44486</v>
      </c>
      <c r="B107">
        <v>7.48</v>
      </c>
      <c r="C107">
        <v>7.6520000000000001</v>
      </c>
      <c r="D107">
        <v>7.2450000000000001</v>
      </c>
      <c r="E107">
        <v>7.3579999999999997</v>
      </c>
      <c r="F107">
        <v>126252.4</v>
      </c>
      <c r="G107">
        <v>7.3579999999999997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-0.44471744471744701</v>
      </c>
      <c r="Q107">
        <f t="shared" ref="Q107" si="511">F107*P107</f>
        <v>-56146.644717445</v>
      </c>
      <c r="R107">
        <f t="shared" ref="R107" si="512">R108+Q107</f>
        <v>-27749144.825456079</v>
      </c>
      <c r="S107">
        <f t="shared" ref="S107" si="513">R107/100000</f>
        <v>-277.49144825456079</v>
      </c>
      <c r="T107">
        <f t="shared" ref="T107" si="514">S107/1000</f>
        <v>-0.27749144825456079</v>
      </c>
    </row>
    <row r="108" spans="1:20" x14ac:dyDescent="0.25">
      <c r="A108" s="5">
        <v>44485</v>
      </c>
      <c r="B108">
        <v>7.4720000000000004</v>
      </c>
      <c r="C108">
        <v>7.6289999999999996</v>
      </c>
      <c r="D108">
        <v>7.35</v>
      </c>
      <c r="E108">
        <v>7.48</v>
      </c>
      <c r="F108">
        <v>111911.8</v>
      </c>
      <c r="G108">
        <v>7.48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-6.8100358422933174E-2</v>
      </c>
      <c r="Q108">
        <f t="shared" ref="Q108" si="516">F108*P108</f>
        <v>-7621.2336917556131</v>
      </c>
      <c r="R108">
        <f t="shared" ref="R108" si="517">R109+Q108</f>
        <v>-27692998.180738635</v>
      </c>
      <c r="S108">
        <f t="shared" ref="S108" si="518">R108/100000</f>
        <v>-276.92998180738635</v>
      </c>
      <c r="T108">
        <f t="shared" ref="T108" si="519">S108/1000</f>
        <v>-0.27692998180738637</v>
      </c>
    </row>
    <row r="109" spans="1:20" x14ac:dyDescent="0.25">
      <c r="A109" s="5">
        <v>44484</v>
      </c>
      <c r="B109">
        <v>7.9080000000000004</v>
      </c>
      <c r="C109">
        <v>7.9109999999999996</v>
      </c>
      <c r="D109">
        <v>7.3209999999999997</v>
      </c>
      <c r="E109">
        <v>7.4560000000000004</v>
      </c>
      <c r="F109">
        <v>207597.5</v>
      </c>
      <c r="G109">
        <v>7.4560000000000004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-0.54237288135592976</v>
      </c>
      <c r="Q109">
        <f t="shared" ref="Q109" si="521">F109*P109</f>
        <v>-112595.25423728763</v>
      </c>
      <c r="R109">
        <f t="shared" ref="R109" si="522">R110+Q109</f>
        <v>-27685376.94704688</v>
      </c>
      <c r="S109">
        <f t="shared" ref="S109" si="523">R109/100000</f>
        <v>-276.85376947046882</v>
      </c>
      <c r="T109">
        <f t="shared" ref="T109" si="524">S109/1000</f>
        <v>-0.2768537694704688</v>
      </c>
    </row>
    <row r="110" spans="1:20" x14ac:dyDescent="0.25">
      <c r="A110" s="5">
        <v>44483</v>
      </c>
      <c r="B110">
        <v>7.3630000000000004</v>
      </c>
      <c r="C110">
        <v>8.5</v>
      </c>
      <c r="D110">
        <v>7.3570000000000002</v>
      </c>
      <c r="E110">
        <v>7.9080000000000004</v>
      </c>
      <c r="F110">
        <v>405845.9</v>
      </c>
      <c r="G110">
        <v>7.9080000000000004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-3.5870516185476368E-2</v>
      </c>
      <c r="Q110">
        <f t="shared" ref="Q110" si="526">F110*P110</f>
        <v>-14557.901924759224</v>
      </c>
      <c r="R110">
        <f t="shared" ref="R110" si="527">R111+Q110</f>
        <v>-27572781.692809593</v>
      </c>
      <c r="S110">
        <f t="shared" ref="S110" si="528">R110/100000</f>
        <v>-275.72781692809593</v>
      </c>
      <c r="T110">
        <f t="shared" ref="T110" si="529">S110/1000</f>
        <v>-0.27572781692809595</v>
      </c>
    </row>
    <row r="111" spans="1:20" x14ac:dyDescent="0.25">
      <c r="A111" s="5">
        <v>44482</v>
      </c>
      <c r="B111">
        <v>7.3029999999999999</v>
      </c>
      <c r="C111">
        <v>7.49</v>
      </c>
      <c r="D111">
        <v>7.1230000000000002</v>
      </c>
      <c r="E111">
        <v>7.3559999999999999</v>
      </c>
      <c r="F111">
        <v>180848.5</v>
      </c>
      <c r="G111">
        <v>7.3559999999999999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0.26975476839236873</v>
      </c>
      <c r="Q111">
        <f t="shared" ref="Q111" si="531">F111*P111</f>
        <v>48784.745231607296</v>
      </c>
      <c r="R111">
        <f t="shared" ref="R111" si="532">R112+Q111</f>
        <v>-27558223.790884834</v>
      </c>
      <c r="S111">
        <f t="shared" ref="S111" si="533">R111/100000</f>
        <v>-275.58223790884836</v>
      </c>
      <c r="T111">
        <f t="shared" ref="T111" si="534">S111/1000</f>
        <v>-0.27558223790884834</v>
      </c>
    </row>
    <row r="112" spans="1:20" x14ac:dyDescent="0.25">
      <c r="A112" s="5">
        <v>44481</v>
      </c>
      <c r="B112">
        <v>7.2080000000000002</v>
      </c>
      <c r="C112">
        <v>7.48</v>
      </c>
      <c r="D112">
        <v>7.11</v>
      </c>
      <c r="E112">
        <v>7.3170000000000002</v>
      </c>
      <c r="F112">
        <v>526198.6</v>
      </c>
      <c r="G112">
        <v>7.3170000000000002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0.11891891891891779</v>
      </c>
      <c r="Q112">
        <f t="shared" ref="Q112" si="536">F112*P112</f>
        <v>62574.96864864805</v>
      </c>
      <c r="R112">
        <f t="shared" ref="R112" si="537">R113+Q112</f>
        <v>-27607008.53611644</v>
      </c>
      <c r="S112">
        <f t="shared" ref="S112" si="538">R112/100000</f>
        <v>-276.07008536116439</v>
      </c>
      <c r="T112">
        <f t="shared" ref="T112" si="539">S112/1000</f>
        <v>-0.2760700853611644</v>
      </c>
    </row>
    <row r="113" spans="1:20" x14ac:dyDescent="0.25">
      <c r="A113" s="5">
        <v>44480</v>
      </c>
      <c r="B113">
        <v>7.32</v>
      </c>
      <c r="C113">
        <v>7.4390000000000001</v>
      </c>
      <c r="D113">
        <v>7.11</v>
      </c>
      <c r="E113">
        <v>7.2249999999999996</v>
      </c>
      <c r="F113">
        <v>65296.800000000003</v>
      </c>
      <c r="G113">
        <v>7.2249999999999996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-0.30091185410334703</v>
      </c>
      <c r="Q113">
        <f t="shared" ref="Q113" si="541">F113*P113</f>
        <v>-19648.581155015432</v>
      </c>
      <c r="R113">
        <f t="shared" ref="R113" si="542">R114+Q113</f>
        <v>-27669583.50476509</v>
      </c>
      <c r="S113">
        <f t="shared" ref="S113" si="543">R113/100000</f>
        <v>-276.69583504765092</v>
      </c>
      <c r="T113">
        <f t="shared" ref="T113" si="544">S113/1000</f>
        <v>-0.27669583504765094</v>
      </c>
    </row>
    <row r="114" spans="1:20" x14ac:dyDescent="0.25">
      <c r="A114" s="5">
        <v>44479</v>
      </c>
      <c r="B114">
        <v>7.4669999999999996</v>
      </c>
      <c r="C114">
        <v>7.5940000000000003</v>
      </c>
      <c r="D114">
        <v>7.2569999999999997</v>
      </c>
      <c r="E114">
        <v>7.3310000000000004</v>
      </c>
      <c r="F114">
        <v>124329.4</v>
      </c>
      <c r="G114">
        <v>7.3310000000000004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-0.56083086053412112</v>
      </c>
      <c r="Q114">
        <f t="shared" ref="Q114" si="546">F114*P114</f>
        <v>-69727.764391690958</v>
      </c>
      <c r="R114">
        <f t="shared" ref="R114" si="547">R115+Q114</f>
        <v>-27649934.923610073</v>
      </c>
      <c r="S114">
        <f t="shared" ref="S114" si="548">R114/100000</f>
        <v>-276.49934923610073</v>
      </c>
      <c r="T114">
        <f t="shared" ref="T114" si="549">S114/1000</f>
        <v>-0.2764993492361007</v>
      </c>
    </row>
    <row r="115" spans="1:20" x14ac:dyDescent="0.25">
      <c r="A115" s="5">
        <v>44478</v>
      </c>
      <c r="B115">
        <v>7.4080000000000004</v>
      </c>
      <c r="C115">
        <v>7.5970000000000004</v>
      </c>
      <c r="D115">
        <v>7.36</v>
      </c>
      <c r="E115">
        <v>7.5</v>
      </c>
      <c r="F115">
        <v>82024.100000000006</v>
      </c>
      <c r="G115">
        <v>7.5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0.18143459915611496</v>
      </c>
      <c r="Q115">
        <f t="shared" ref="Q115" si="551">F115*P115</f>
        <v>14882.00970464109</v>
      </c>
      <c r="R115">
        <f t="shared" ref="R115" si="552">R116+Q115</f>
        <v>-27580207.159218382</v>
      </c>
      <c r="S115">
        <f t="shared" ref="S115" si="553">R115/100000</f>
        <v>-275.80207159218384</v>
      </c>
      <c r="T115">
        <f t="shared" ref="T115" si="554">S115/1000</f>
        <v>-0.27580207159218384</v>
      </c>
    </row>
    <row r="116" spans="1:20" x14ac:dyDescent="0.25">
      <c r="A116" s="5">
        <v>44477</v>
      </c>
      <c r="B116">
        <v>7.4459999999999997</v>
      </c>
      <c r="C116">
        <v>7.6429999999999998</v>
      </c>
      <c r="D116">
        <v>7.35</v>
      </c>
      <c r="E116">
        <v>7.38</v>
      </c>
      <c r="F116">
        <v>114502.6</v>
      </c>
      <c r="G116">
        <v>7.38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-0.79522184300341137</v>
      </c>
      <c r="Q116">
        <f t="shared" ref="Q116" si="556">F116*P116</f>
        <v>-91054.968600682419</v>
      </c>
      <c r="R116">
        <f t="shared" ref="R116" si="557">R117+Q116</f>
        <v>-27595089.168923024</v>
      </c>
      <c r="S116">
        <f t="shared" ref="S116" si="558">R116/100000</f>
        <v>-275.95089168923022</v>
      </c>
      <c r="T116">
        <f t="shared" ref="T116" si="559">S116/1000</f>
        <v>-0.2759508916892302</v>
      </c>
    </row>
    <row r="117" spans="1:20" x14ac:dyDescent="0.25">
      <c r="A117" s="5">
        <v>44476</v>
      </c>
      <c r="B117">
        <v>7.53</v>
      </c>
      <c r="C117">
        <v>7.9589999999999996</v>
      </c>
      <c r="D117">
        <v>7.3</v>
      </c>
      <c r="E117">
        <v>7.4459999999999997</v>
      </c>
      <c r="F117">
        <v>347454.6</v>
      </c>
      <c r="G117">
        <v>7.4459999999999997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-0.55690440060698043</v>
      </c>
      <c r="Q117">
        <f t="shared" ref="Q117" si="561">F117*P117</f>
        <v>-193498.99575113814</v>
      </c>
      <c r="R117">
        <f t="shared" ref="R117" si="562">R118+Q117</f>
        <v>-27504034.200322341</v>
      </c>
      <c r="S117">
        <f t="shared" ref="S117" si="563">R117/100000</f>
        <v>-275.04034200322343</v>
      </c>
      <c r="T117">
        <f t="shared" ref="T117" si="564">S117/1000</f>
        <v>-0.27504034200322341</v>
      </c>
    </row>
    <row r="118" spans="1:20" x14ac:dyDescent="0.25">
      <c r="A118" s="5">
        <v>44475</v>
      </c>
      <c r="B118">
        <v>7.2690000000000001</v>
      </c>
      <c r="C118">
        <v>7.9</v>
      </c>
      <c r="D118">
        <v>7.0060000000000002</v>
      </c>
      <c r="E118">
        <v>7.52</v>
      </c>
      <c r="F118">
        <v>376723.9</v>
      </c>
      <c r="G118">
        <v>7.52</v>
      </c>
      <c r="L118" t="s">
        <v>8</v>
      </c>
      <c r="M118" t="s">
        <v>7</v>
      </c>
      <c r="N118" t="s">
        <v>7</v>
      </c>
      <c r="P118">
        <f t="shared" ref="P118" si="565">IF(C118=D118,0,((E118-D118)-(C118-E118))/(C118-D118))</f>
        <v>0.14988814317673216</v>
      </c>
      <c r="Q118">
        <f t="shared" ref="Q118" si="566">F118*P118</f>
        <v>56466.445861296932</v>
      </c>
      <c r="R118">
        <f t="shared" ref="R118" si="567">R119+Q118</f>
        <v>-27310535.204571202</v>
      </c>
      <c r="S118">
        <f t="shared" ref="S118" si="568">R118/100000</f>
        <v>-273.10535204571204</v>
      </c>
      <c r="T118">
        <f t="shared" ref="T118" si="569">S118/1000</f>
        <v>-0.27310535204571201</v>
      </c>
    </row>
    <row r="119" spans="1:20" x14ac:dyDescent="0.25">
      <c r="A119" s="5">
        <v>44474</v>
      </c>
      <c r="B119">
        <v>7.2</v>
      </c>
      <c r="C119">
        <v>7.34</v>
      </c>
      <c r="D119">
        <v>7.1539999999999999</v>
      </c>
      <c r="E119">
        <v>7.2690000000000001</v>
      </c>
      <c r="F119">
        <v>80338.7</v>
      </c>
      <c r="G119">
        <v>7.2690000000000001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0.23655913978494891</v>
      </c>
      <c r="Q119">
        <f t="shared" ref="Q119" si="571">F119*P119</f>
        <v>19004.853763441075</v>
      </c>
      <c r="R119">
        <f t="shared" ref="R119" si="572">R120+Q119</f>
        <v>-27367001.650432501</v>
      </c>
      <c r="S119">
        <f t="shared" ref="S119" si="573">R119/100000</f>
        <v>-273.67001650432502</v>
      </c>
      <c r="T119">
        <f t="shared" ref="T119" si="574">S119/1000</f>
        <v>-0.27367001650432504</v>
      </c>
    </row>
    <row r="120" spans="1:20" x14ac:dyDescent="0.25">
      <c r="A120" s="5">
        <v>44473</v>
      </c>
      <c r="B120">
        <v>7.399</v>
      </c>
      <c r="C120">
        <v>7.4020000000000001</v>
      </c>
      <c r="D120">
        <v>7.1</v>
      </c>
      <c r="E120">
        <v>7.2290000000000001</v>
      </c>
      <c r="F120">
        <v>100841.1</v>
      </c>
      <c r="G120">
        <v>7.2290000000000001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-0.14569536423840901</v>
      </c>
      <c r="Q120">
        <f t="shared" ref="Q120" si="576">F120*P120</f>
        <v>-14692.080794701827</v>
      </c>
      <c r="R120">
        <f t="shared" ref="R120" si="577">R121+Q120</f>
        <v>-27386006.504195943</v>
      </c>
      <c r="S120">
        <f t="shared" ref="S120" si="578">R120/100000</f>
        <v>-273.86006504195944</v>
      </c>
      <c r="T120">
        <f t="shared" ref="T120" si="579">S120/1000</f>
        <v>-0.27386006504195942</v>
      </c>
    </row>
    <row r="121" spans="1:20" x14ac:dyDescent="0.25">
      <c r="A121" s="5">
        <v>44472</v>
      </c>
      <c r="B121">
        <v>7.41</v>
      </c>
      <c r="C121">
        <v>7.5839999999999996</v>
      </c>
      <c r="D121">
        <v>7.2720000000000002</v>
      </c>
      <c r="E121">
        <v>7.3719999999999999</v>
      </c>
      <c r="F121">
        <v>92921.4</v>
      </c>
      <c r="G121">
        <v>7.3719999999999999</v>
      </c>
      <c r="L121" t="s">
        <v>8</v>
      </c>
      <c r="M121" t="s">
        <v>7</v>
      </c>
      <c r="N121" t="s">
        <v>7</v>
      </c>
      <c r="P121">
        <f t="shared" ref="P121" si="580">IF(C121=D121,0,((E121-D121)-(C121-E121))/(C121-D121))</f>
        <v>-0.35897435897435997</v>
      </c>
      <c r="Q121">
        <f t="shared" ref="Q121" si="581">F121*P121</f>
        <v>-33356.400000000089</v>
      </c>
      <c r="R121">
        <f t="shared" ref="R121" si="582">R122+Q121</f>
        <v>-27371314.42340124</v>
      </c>
      <c r="S121">
        <f t="shared" ref="S121" si="583">R121/100000</f>
        <v>-273.71314423401242</v>
      </c>
      <c r="T121">
        <f t="shared" ref="T121" si="584">S121/1000</f>
        <v>-0.27371314423401244</v>
      </c>
    </row>
    <row r="122" spans="1:20" x14ac:dyDescent="0.25">
      <c r="A122" s="5">
        <v>44471</v>
      </c>
      <c r="B122">
        <v>7.343</v>
      </c>
      <c r="C122">
        <v>7.7</v>
      </c>
      <c r="D122">
        <v>7.2389999999999999</v>
      </c>
      <c r="E122">
        <v>7.4039999999999999</v>
      </c>
      <c r="F122">
        <v>201899</v>
      </c>
      <c r="G122">
        <v>7.4039999999999999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-0.28416485900216953</v>
      </c>
      <c r="Q122">
        <f t="shared" ref="Q122" si="586">F122*P122</f>
        <v>-57372.60086767903</v>
      </c>
      <c r="R122">
        <f t="shared" ref="R122" si="587">R123+Q122</f>
        <v>-27337958.023401242</v>
      </c>
      <c r="S122">
        <f t="shared" ref="S122" si="588">R122/100000</f>
        <v>-273.37958023401239</v>
      </c>
      <c r="T122">
        <f t="shared" ref="T122" si="589">S122/1000</f>
        <v>-0.27337958023401238</v>
      </c>
    </row>
    <row r="123" spans="1:20" x14ac:dyDescent="0.25">
      <c r="A123" s="5">
        <v>44470</v>
      </c>
      <c r="B123">
        <v>7.21</v>
      </c>
      <c r="C123">
        <v>7.5</v>
      </c>
      <c r="D123">
        <v>7.1310000000000002</v>
      </c>
      <c r="E123">
        <v>7.3650000000000002</v>
      </c>
      <c r="F123">
        <v>137559.5</v>
      </c>
      <c r="G123">
        <v>7.3650000000000002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0.26829268292682995</v>
      </c>
      <c r="Q123">
        <f t="shared" ref="Q123" si="591">F123*P123</f>
        <v>36906.207317073262</v>
      </c>
      <c r="R123">
        <f t="shared" ref="R123" si="592">R124+Q123</f>
        <v>-27280585.422533564</v>
      </c>
      <c r="S123">
        <f t="shared" ref="S123" si="593">R123/100000</f>
        <v>-272.80585422533562</v>
      </c>
      <c r="T123">
        <f t="shared" ref="T123" si="594">S123/1000</f>
        <v>-0.2728058542253356</v>
      </c>
    </row>
    <row r="124" spans="1:20" x14ac:dyDescent="0.25">
      <c r="A124" s="5">
        <v>44469</v>
      </c>
      <c r="B124">
        <v>7.0540000000000003</v>
      </c>
      <c r="C124">
        <v>7.35</v>
      </c>
      <c r="D124">
        <v>7.0540000000000003</v>
      </c>
      <c r="E124">
        <v>7.1970000000000001</v>
      </c>
      <c r="F124">
        <v>122786.6</v>
      </c>
      <c r="G124">
        <v>7.1970000000000001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-3.3783783783783133E-2</v>
      </c>
      <c r="Q124">
        <f t="shared" ref="Q124" si="596">F124*P124</f>
        <v>-4148.1959459458667</v>
      </c>
      <c r="R124">
        <f t="shared" ref="R124" si="597">R125+Q124</f>
        <v>-27317491.629850637</v>
      </c>
      <c r="S124">
        <f t="shared" ref="S124" si="598">R124/100000</f>
        <v>-273.17491629850639</v>
      </c>
      <c r="T124">
        <f t="shared" ref="T124" si="599">S124/1000</f>
        <v>-0.27317491629850638</v>
      </c>
    </row>
    <row r="125" spans="1:20" x14ac:dyDescent="0.25">
      <c r="A125" s="5">
        <v>44468</v>
      </c>
      <c r="B125">
        <v>7.11</v>
      </c>
      <c r="C125">
        <v>7.3869999999999996</v>
      </c>
      <c r="D125">
        <v>6.952</v>
      </c>
      <c r="E125">
        <v>7.0609999999999999</v>
      </c>
      <c r="F125">
        <v>105251.7</v>
      </c>
      <c r="G125">
        <v>7.0609999999999999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-0.49885057471264327</v>
      </c>
      <c r="Q125">
        <f t="shared" ref="Q125" si="601">F125*P125</f>
        <v>-52504.871034482712</v>
      </c>
      <c r="R125">
        <f t="shared" ref="R125" si="602">R126+Q125</f>
        <v>-27313343.433904693</v>
      </c>
      <c r="S125">
        <f t="shared" ref="S125" si="603">R125/100000</f>
        <v>-273.13343433904691</v>
      </c>
      <c r="T125">
        <f t="shared" ref="T125" si="604">S125/1000</f>
        <v>-0.27313343433904691</v>
      </c>
    </row>
    <row r="126" spans="1:20" x14ac:dyDescent="0.25">
      <c r="A126" s="5">
        <v>44467</v>
      </c>
      <c r="B126">
        <v>7.234</v>
      </c>
      <c r="C126">
        <v>7.5090000000000003</v>
      </c>
      <c r="D126">
        <v>7.0830000000000002</v>
      </c>
      <c r="E126">
        <v>7.15</v>
      </c>
      <c r="F126">
        <v>188771.7</v>
      </c>
      <c r="G126">
        <v>7.15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-0.68544600938967071</v>
      </c>
      <c r="Q126">
        <f t="shared" ref="Q126" si="606">F126*P126</f>
        <v>-129392.80845070411</v>
      </c>
      <c r="R126">
        <f t="shared" ref="R126" si="607">R127+Q126</f>
        <v>-27260838.562870208</v>
      </c>
      <c r="S126">
        <f t="shared" ref="S126" si="608">R126/100000</f>
        <v>-272.60838562870208</v>
      </c>
      <c r="T126">
        <f t="shared" ref="T126" si="609">S126/1000</f>
        <v>-0.2726083856287021</v>
      </c>
    </row>
    <row r="127" spans="1:20" x14ac:dyDescent="0.25">
      <c r="A127" s="5">
        <v>44466</v>
      </c>
      <c r="B127">
        <v>7.2210000000000001</v>
      </c>
      <c r="C127">
        <v>7.7530000000000001</v>
      </c>
      <c r="D127">
        <v>7.173</v>
      </c>
      <c r="E127">
        <v>7.2370000000000001</v>
      </c>
      <c r="F127">
        <v>272578.09999999998</v>
      </c>
      <c r="G127">
        <v>7.2370000000000001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-0.77931034482758599</v>
      </c>
      <c r="Q127">
        <f t="shared" ref="Q127" si="611">F127*P127</f>
        <v>-212422.93310344819</v>
      </c>
      <c r="R127">
        <f t="shared" ref="R127" si="612">R128+Q127</f>
        <v>-27131445.754419506</v>
      </c>
      <c r="S127">
        <f t="shared" ref="S127" si="613">R127/100000</f>
        <v>-271.31445754419508</v>
      </c>
      <c r="T127">
        <f t="shared" ref="T127" si="614">S127/1000</f>
        <v>-0.27131445754419509</v>
      </c>
    </row>
    <row r="128" spans="1:20" x14ac:dyDescent="0.25">
      <c r="A128" s="5">
        <v>44465</v>
      </c>
      <c r="B128">
        <v>7.2670000000000003</v>
      </c>
      <c r="C128">
        <v>7.5209999999999999</v>
      </c>
      <c r="D128">
        <v>6.9119999999999999</v>
      </c>
      <c r="E128">
        <v>7.2709999999999999</v>
      </c>
      <c r="F128">
        <v>160388.29999999999</v>
      </c>
      <c r="G128">
        <v>7.2709999999999999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0.17898193760262723</v>
      </c>
      <c r="Q128">
        <f t="shared" ref="Q128" si="616">F128*P128</f>
        <v>28706.608702791455</v>
      </c>
      <c r="R128">
        <f t="shared" ref="R128" si="617">R129+Q128</f>
        <v>-26919022.821316056</v>
      </c>
      <c r="S128">
        <f t="shared" ref="S128" si="618">R128/100000</f>
        <v>-269.19022821316054</v>
      </c>
      <c r="T128">
        <f t="shared" ref="T128" si="619">S128/1000</f>
        <v>-0.26919022821316052</v>
      </c>
    </row>
    <row r="129" spans="1:20" x14ac:dyDescent="0.25">
      <c r="A129" s="5">
        <v>44464</v>
      </c>
      <c r="B129">
        <v>7.3769999999999998</v>
      </c>
      <c r="C129">
        <v>7.5190000000000001</v>
      </c>
      <c r="D129">
        <v>7.1630000000000003</v>
      </c>
      <c r="E129">
        <v>7.2709999999999999</v>
      </c>
      <c r="F129">
        <v>62366</v>
      </c>
      <c r="G129">
        <v>7.2709999999999999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-0.39325842696629387</v>
      </c>
      <c r="Q129">
        <f t="shared" ref="Q129" si="621">F129*P129</f>
        <v>-24525.955056179882</v>
      </c>
      <c r="R129">
        <f t="shared" ref="R129" si="622">R130+Q129</f>
        <v>-26947729.430018846</v>
      </c>
      <c r="S129">
        <f t="shared" ref="S129" si="623">R129/100000</f>
        <v>-269.47729430018848</v>
      </c>
      <c r="T129">
        <f t="shared" ref="T129" si="624">S129/1000</f>
        <v>-0.26947729430018846</v>
      </c>
    </row>
    <row r="130" spans="1:20" x14ac:dyDescent="0.25">
      <c r="A130" s="5">
        <v>44463</v>
      </c>
      <c r="B130">
        <v>7.7089999999999996</v>
      </c>
      <c r="C130">
        <v>7.94</v>
      </c>
      <c r="D130">
        <v>7.069</v>
      </c>
      <c r="E130">
        <v>7.3780000000000001</v>
      </c>
      <c r="F130">
        <v>214129.7</v>
      </c>
      <c r="G130">
        <v>7.3780000000000001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-0.29047072330654417</v>
      </c>
      <c r="Q130">
        <f t="shared" ref="Q130" si="626">F130*P130</f>
        <v>-62198.408840413314</v>
      </c>
      <c r="R130">
        <f t="shared" ref="R130" si="627">R131+Q130</f>
        <v>-26923203.474962667</v>
      </c>
      <c r="S130">
        <f t="shared" ref="S130" si="628">R130/100000</f>
        <v>-269.23203474962668</v>
      </c>
      <c r="T130">
        <f t="shared" ref="T130" si="629">S130/1000</f>
        <v>-0.2692320347496267</v>
      </c>
    </row>
    <row r="131" spans="1:20" x14ac:dyDescent="0.25">
      <c r="A131" s="5">
        <v>44462</v>
      </c>
      <c r="B131">
        <v>7.5919999999999996</v>
      </c>
      <c r="C131">
        <v>8.74</v>
      </c>
      <c r="D131">
        <v>7.4809999999999999</v>
      </c>
      <c r="E131">
        <v>7.7220000000000004</v>
      </c>
      <c r="F131">
        <v>463873.8</v>
      </c>
      <c r="G131">
        <v>7.7220000000000004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-0.61715647339157986</v>
      </c>
      <c r="Q131">
        <f t="shared" ref="Q131" si="631">F131*P131</f>
        <v>-286282.71850675106</v>
      </c>
      <c r="R131">
        <f t="shared" ref="R131" si="632">R132+Q131</f>
        <v>-26861005.066122252</v>
      </c>
      <c r="S131">
        <f t="shared" ref="S131" si="633">R131/100000</f>
        <v>-268.61005066122254</v>
      </c>
      <c r="T131">
        <f t="shared" ref="T131" si="634">S131/1000</f>
        <v>-0.26861005066122257</v>
      </c>
    </row>
    <row r="132" spans="1:20" x14ac:dyDescent="0.25">
      <c r="A132" s="5">
        <v>44461</v>
      </c>
      <c r="B132">
        <v>7.25</v>
      </c>
      <c r="C132">
        <v>8</v>
      </c>
      <c r="D132">
        <v>7.109</v>
      </c>
      <c r="E132">
        <v>7.5919999999999996</v>
      </c>
      <c r="F132">
        <v>286607.2</v>
      </c>
      <c r="G132">
        <v>7.5919999999999996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8.4175084175083376E-2</v>
      </c>
      <c r="Q132">
        <f t="shared" ref="Q132" si="636">F132*P132</f>
        <v>24125.185185184957</v>
      </c>
      <c r="R132">
        <f t="shared" ref="R132" si="637">R133+Q132</f>
        <v>-26574722.347615503</v>
      </c>
      <c r="S132">
        <f t="shared" ref="S132" si="638">R132/100000</f>
        <v>-265.747223476155</v>
      </c>
      <c r="T132">
        <f t="shared" ref="T132" si="639">S132/1000</f>
        <v>-0.26574722347615498</v>
      </c>
    </row>
    <row r="133" spans="1:20" x14ac:dyDescent="0.25">
      <c r="A133" s="5">
        <v>44460</v>
      </c>
      <c r="B133">
        <v>6.8949999999999996</v>
      </c>
      <c r="C133">
        <v>8.2140000000000004</v>
      </c>
      <c r="D133">
        <v>6.65</v>
      </c>
      <c r="E133">
        <v>7.25</v>
      </c>
      <c r="F133">
        <v>1337907.774</v>
      </c>
      <c r="G133">
        <v>7.25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-0.23273657289002606</v>
      </c>
      <c r="Q133">
        <f t="shared" ref="Q133" si="641">F133*P133</f>
        <v>-311380.0701636835</v>
      </c>
      <c r="R133">
        <f t="shared" ref="R133" si="642">R134+Q133</f>
        <v>-26598847.532800689</v>
      </c>
      <c r="S133">
        <f t="shared" ref="S133" si="643">R133/100000</f>
        <v>-265.98847532800687</v>
      </c>
      <c r="T133">
        <f t="shared" ref="T133" si="644">S133/1000</f>
        <v>-0.26598847532800685</v>
      </c>
    </row>
    <row r="134" spans="1:20" x14ac:dyDescent="0.25">
      <c r="A134" s="5">
        <v>44459</v>
      </c>
      <c r="B134">
        <v>7.8209999999999997</v>
      </c>
      <c r="C134">
        <v>7.8209999999999997</v>
      </c>
      <c r="D134">
        <v>7.3739999999999997</v>
      </c>
      <c r="E134">
        <v>7.4359999999999999</v>
      </c>
      <c r="F134">
        <v>81777.7</v>
      </c>
      <c r="G134">
        <v>7.4359999999999999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-0.7225950782997751</v>
      </c>
      <c r="Q134">
        <f t="shared" ref="Q134" si="646">F134*P134</f>
        <v>-59092.163534675514</v>
      </c>
      <c r="R134">
        <f t="shared" ref="R134" si="647">R135+Q134</f>
        <v>-26287467.462637007</v>
      </c>
      <c r="S134">
        <f t="shared" ref="S134" si="648">R134/100000</f>
        <v>-262.87467462637005</v>
      </c>
      <c r="T134">
        <f t="shared" ref="T134" si="649">S134/1000</f>
        <v>-0.26287467462637004</v>
      </c>
    </row>
    <row r="135" spans="1:20" x14ac:dyDescent="0.25">
      <c r="A135" s="5">
        <v>44458</v>
      </c>
      <c r="B135">
        <v>8.2720000000000002</v>
      </c>
      <c r="C135">
        <v>8.4049999999999994</v>
      </c>
      <c r="D135">
        <v>7.726</v>
      </c>
      <c r="E135">
        <v>7.8209999999999997</v>
      </c>
      <c r="F135">
        <v>110774.6</v>
      </c>
      <c r="G135">
        <v>7.8209999999999997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-0.72017673048600928</v>
      </c>
      <c r="Q135">
        <f t="shared" ref="Q135" si="651">F135*P135</f>
        <v>-79777.289248895482</v>
      </c>
      <c r="R135">
        <f t="shared" ref="R135" si="652">R136+Q135</f>
        <v>-26228375.299102332</v>
      </c>
      <c r="S135">
        <f t="shared" ref="S135" si="653">R135/100000</f>
        <v>-262.28375299102333</v>
      </c>
      <c r="T135">
        <f t="shared" ref="T135" si="654">S135/1000</f>
        <v>-0.26228375299102336</v>
      </c>
    </row>
    <row r="136" spans="1:20" x14ac:dyDescent="0.25">
      <c r="A136" s="5">
        <v>44457</v>
      </c>
      <c r="B136">
        <v>8.3559999999999999</v>
      </c>
      <c r="C136">
        <v>8.74</v>
      </c>
      <c r="D136">
        <v>8.1829999999999998</v>
      </c>
      <c r="E136">
        <v>8.2870000000000008</v>
      </c>
      <c r="F136">
        <v>238249.5</v>
      </c>
      <c r="G136">
        <v>8.2870000000000008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-0.62657091561938627</v>
      </c>
      <c r="Q136">
        <f t="shared" ref="Q136" si="656">F136*P136</f>
        <v>-149280.20736086098</v>
      </c>
      <c r="R136">
        <f t="shared" ref="R136" si="657">R137+Q136</f>
        <v>-26148598.009853438</v>
      </c>
      <c r="S136">
        <f t="shared" ref="S136" si="658">R136/100000</f>
        <v>-261.48598009853436</v>
      </c>
      <c r="T136">
        <f t="shared" ref="T136" si="659">S136/1000</f>
        <v>-0.26148598009853435</v>
      </c>
    </row>
    <row r="137" spans="1:20" x14ac:dyDescent="0.25">
      <c r="A137" s="5">
        <v>44456</v>
      </c>
      <c r="B137">
        <v>8.6370000000000005</v>
      </c>
      <c r="C137">
        <v>8.7850000000000001</v>
      </c>
      <c r="D137">
        <v>8.3000000000000007</v>
      </c>
      <c r="E137">
        <v>8.3260000000000005</v>
      </c>
      <c r="F137">
        <v>343554.7</v>
      </c>
      <c r="G137">
        <v>8.3260000000000005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-0.89278350515463989</v>
      </c>
      <c r="Q137">
        <f t="shared" ref="Q137" si="661">F137*P137</f>
        <v>-306719.96927835076</v>
      </c>
      <c r="R137">
        <f t="shared" ref="R137" si="662">R138+Q137</f>
        <v>-25999317.802492578</v>
      </c>
      <c r="S137">
        <f t="shared" ref="S137" si="663">R137/100000</f>
        <v>-259.99317802492578</v>
      </c>
      <c r="T137">
        <f t="shared" ref="T137" si="664">S137/1000</f>
        <v>-0.25999317802492578</v>
      </c>
    </row>
    <row r="138" spans="1:20" x14ac:dyDescent="0.25">
      <c r="A138" s="5">
        <v>44455</v>
      </c>
      <c r="B138">
        <v>9.4280000000000008</v>
      </c>
      <c r="C138">
        <v>11.1</v>
      </c>
      <c r="D138">
        <v>8.4600000000000009</v>
      </c>
      <c r="E138">
        <v>8.6379999999999999</v>
      </c>
      <c r="F138">
        <v>1041337.5</v>
      </c>
      <c r="G138">
        <v>8.6379999999999999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-0.86515151515151578</v>
      </c>
      <c r="Q138">
        <f t="shared" ref="Q138" si="666">F138*P138</f>
        <v>-900914.71590909152</v>
      </c>
      <c r="R138">
        <f t="shared" ref="R138" si="667">R139+Q138</f>
        <v>-25692597.833214227</v>
      </c>
      <c r="S138">
        <f t="shared" ref="S138" si="668">R138/100000</f>
        <v>-256.92597833214228</v>
      </c>
      <c r="T138">
        <f t="shared" ref="T138" si="669">S138/1000</f>
        <v>-0.25692597833214226</v>
      </c>
    </row>
    <row r="139" spans="1:20" x14ac:dyDescent="0.25">
      <c r="A139" s="5">
        <v>44454</v>
      </c>
      <c r="B139">
        <v>7.7169999999999996</v>
      </c>
      <c r="C139">
        <v>11.653</v>
      </c>
      <c r="D139">
        <v>7.5460000000000003</v>
      </c>
      <c r="E139">
        <v>9.4529999999999994</v>
      </c>
      <c r="F139">
        <v>2640962.6839999999</v>
      </c>
      <c r="G139">
        <v>9.4529999999999994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-7.1341611882152892E-2</v>
      </c>
      <c r="Q139">
        <f t="shared" ref="Q139" si="671">F139*P139</f>
        <v>-188410.53479717678</v>
      </c>
      <c r="R139">
        <f t="shared" ref="R139" si="672">R140+Q139</f>
        <v>-24791683.117305137</v>
      </c>
      <c r="S139">
        <f t="shared" ref="S139" si="673">R139/100000</f>
        <v>-247.91683117305138</v>
      </c>
      <c r="T139">
        <f t="shared" ref="T139" si="674">S139/1000</f>
        <v>-0.24791683117305138</v>
      </c>
    </row>
    <row r="140" spans="1:20" x14ac:dyDescent="0.25">
      <c r="A140" s="5">
        <v>44453</v>
      </c>
      <c r="B140">
        <v>7.1790000000000003</v>
      </c>
      <c r="C140">
        <v>8.1470000000000002</v>
      </c>
      <c r="D140">
        <v>7.0629999999999997</v>
      </c>
      <c r="E140">
        <v>7.718</v>
      </c>
      <c r="F140">
        <v>533426.6</v>
      </c>
      <c r="G140">
        <v>7.718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0.20848708487084858</v>
      </c>
      <c r="Q140">
        <f t="shared" ref="Q140" si="676">F140*P140</f>
        <v>111212.55682656819</v>
      </c>
      <c r="R140">
        <f t="shared" ref="R140" si="677">R141+Q140</f>
        <v>-24603272.58250796</v>
      </c>
      <c r="S140">
        <f t="shared" ref="S140" si="678">R140/100000</f>
        <v>-246.03272582507961</v>
      </c>
      <c r="T140">
        <f t="shared" ref="T140" si="679">S140/1000</f>
        <v>-0.2460327258250796</v>
      </c>
    </row>
    <row r="141" spans="1:20" x14ac:dyDescent="0.25">
      <c r="A141" s="5">
        <v>44452</v>
      </c>
      <c r="B141">
        <v>7.4320000000000004</v>
      </c>
      <c r="C141">
        <v>7.5469999999999997</v>
      </c>
      <c r="D141">
        <v>6.9790000000000001</v>
      </c>
      <c r="E141">
        <v>7.1529999999999996</v>
      </c>
      <c r="F141">
        <v>280954</v>
      </c>
      <c r="G141">
        <v>7.1529999999999996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-0.3873239436619732</v>
      </c>
      <c r="Q141">
        <f t="shared" ref="Q141" si="681">F141*P141</f>
        <v>-108820.21126760602</v>
      </c>
      <c r="R141">
        <f t="shared" ref="R141" si="682">R142+Q141</f>
        <v>-24714485.13933453</v>
      </c>
      <c r="S141">
        <f t="shared" ref="S141" si="683">R141/100000</f>
        <v>-247.14485139334531</v>
      </c>
      <c r="T141">
        <f t="shared" ref="T141" si="684">S141/1000</f>
        <v>-0.2471448513933453</v>
      </c>
    </row>
    <row r="142" spans="1:20" x14ac:dyDescent="0.25">
      <c r="A142" s="5">
        <v>44451</v>
      </c>
      <c r="B142">
        <v>7.1980000000000004</v>
      </c>
      <c r="C142">
        <v>7.5739999999999998</v>
      </c>
      <c r="D142">
        <v>7.165</v>
      </c>
      <c r="E142">
        <v>7.4320000000000004</v>
      </c>
      <c r="F142">
        <v>271831.3</v>
      </c>
      <c r="G142">
        <v>7.4320000000000004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0.30562347188264288</v>
      </c>
      <c r="Q142">
        <f t="shared" ref="Q142" si="686">F142*P142</f>
        <v>83078.025672372256</v>
      </c>
      <c r="R142">
        <f t="shared" ref="R142" si="687">R143+Q142</f>
        <v>-24605664.928066924</v>
      </c>
      <c r="S142">
        <f t="shared" ref="S142" si="688">R142/100000</f>
        <v>-246.05664928066923</v>
      </c>
      <c r="T142">
        <f t="shared" ref="T142" si="689">S142/1000</f>
        <v>-0.24605664928066923</v>
      </c>
    </row>
    <row r="143" spans="1:20" x14ac:dyDescent="0.25">
      <c r="A143" s="5">
        <v>44450</v>
      </c>
      <c r="B143">
        <v>7.32</v>
      </c>
      <c r="C143">
        <v>7.7839999999999998</v>
      </c>
      <c r="D143">
        <v>7.1589999999999998</v>
      </c>
      <c r="E143">
        <v>7.194</v>
      </c>
      <c r="F143">
        <v>169079.5</v>
      </c>
      <c r="G143">
        <v>7.194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-0.88799999999999957</v>
      </c>
      <c r="Q143">
        <f t="shared" ref="Q143" si="691">F143*P143</f>
        <v>-150142.59599999993</v>
      </c>
      <c r="R143">
        <f t="shared" ref="R143" si="692">R144+Q143</f>
        <v>-24688742.953739297</v>
      </c>
      <c r="S143">
        <f t="shared" ref="S143" si="693">R143/100000</f>
        <v>-246.88742953739296</v>
      </c>
      <c r="T143">
        <f t="shared" ref="T143" si="694">S143/1000</f>
        <v>-0.24688742953739296</v>
      </c>
    </row>
    <row r="144" spans="1:20" x14ac:dyDescent="0.25">
      <c r="A144" s="5">
        <v>44449</v>
      </c>
      <c r="B144">
        <v>7.12</v>
      </c>
      <c r="C144">
        <v>8.1319999999999997</v>
      </c>
      <c r="D144">
        <v>7.101</v>
      </c>
      <c r="E144">
        <v>7.282</v>
      </c>
      <c r="F144">
        <v>471282.1</v>
      </c>
      <c r="G144">
        <v>7.282</v>
      </c>
      <c r="L144" t="s">
        <v>8</v>
      </c>
      <c r="M144" t="s">
        <v>7</v>
      </c>
      <c r="N144" t="s">
        <v>7</v>
      </c>
      <c r="P144">
        <f t="shared" ref="P144" si="695">IF(C144=D144,0,((E144-D144)-(C144-E144))/(C144-D144))</f>
        <v>-0.64888457807953426</v>
      </c>
      <c r="Q144">
        <f t="shared" ref="Q144" si="696">F144*P144</f>
        <v>-305807.68661493686</v>
      </c>
      <c r="R144">
        <f t="shared" ref="R144" si="697">R145+Q144</f>
        <v>-24538600.357739296</v>
      </c>
      <c r="S144">
        <f t="shared" ref="S144" si="698">R144/100000</f>
        <v>-245.38600357739296</v>
      </c>
      <c r="T144">
        <f t="shared" ref="T144" si="699">S144/1000</f>
        <v>-0.24538600357739296</v>
      </c>
    </row>
    <row r="145" spans="1:20" x14ac:dyDescent="0.25">
      <c r="A145" s="5">
        <v>44448</v>
      </c>
      <c r="B145">
        <v>7.133</v>
      </c>
      <c r="C145">
        <v>7.4550000000000001</v>
      </c>
      <c r="D145">
        <v>6.8659999999999997</v>
      </c>
      <c r="E145">
        <v>7.1130000000000004</v>
      </c>
      <c r="F145">
        <v>209318</v>
      </c>
      <c r="G145">
        <v>7.1130000000000004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-0.16129032258064313</v>
      </c>
      <c r="Q145">
        <f t="shared" ref="Q145" si="701">F145*P145</f>
        <v>-33760.967741935056</v>
      </c>
      <c r="R145">
        <f t="shared" ref="R145" si="702">R146+Q145</f>
        <v>-24232792.671124358</v>
      </c>
      <c r="S145">
        <f t="shared" ref="S145" si="703">R145/100000</f>
        <v>-242.32792671124358</v>
      </c>
      <c r="T145">
        <f t="shared" ref="T145" si="704">S145/1000</f>
        <v>-0.24232792671124359</v>
      </c>
    </row>
    <row r="146" spans="1:20" x14ac:dyDescent="0.25">
      <c r="A146" s="5">
        <v>44447</v>
      </c>
      <c r="B146">
        <v>7.2560000000000002</v>
      </c>
      <c r="C146">
        <v>7.335</v>
      </c>
      <c r="D146">
        <v>6.7759999999999998</v>
      </c>
      <c r="E146">
        <v>7.1319999999999997</v>
      </c>
      <c r="F146">
        <v>121249.739</v>
      </c>
      <c r="G146">
        <v>7.1319999999999997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0.27370304114490079</v>
      </c>
      <c r="Q146">
        <f t="shared" ref="Q146" si="706">F146*P146</f>
        <v>33186.422302325482</v>
      </c>
      <c r="R146">
        <f t="shared" ref="R146" si="707">R147+Q146</f>
        <v>-24199031.703382421</v>
      </c>
      <c r="S146">
        <f t="shared" ref="S146" si="708">R146/100000</f>
        <v>-241.99031703382423</v>
      </c>
      <c r="T146">
        <f t="shared" ref="T146" si="709">S146/1000</f>
        <v>-0.24199031703382423</v>
      </c>
    </row>
    <row r="147" spans="1:20" x14ac:dyDescent="0.25">
      <c r="A147" s="5">
        <v>44446</v>
      </c>
      <c r="B147">
        <v>8.3239999999999998</v>
      </c>
      <c r="C147">
        <v>8.5809999999999995</v>
      </c>
      <c r="D147">
        <v>6.9530000000000003</v>
      </c>
      <c r="E147">
        <v>7.2720000000000002</v>
      </c>
      <c r="F147">
        <v>349182.652</v>
      </c>
      <c r="G147">
        <v>7.2720000000000002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-0.608108108108108</v>
      </c>
      <c r="Q147">
        <f t="shared" ref="Q147" si="711">F147*P147</f>
        <v>-212340.80189189187</v>
      </c>
      <c r="R147">
        <f t="shared" ref="R147" si="712">R148+Q147</f>
        <v>-24232218.125684746</v>
      </c>
      <c r="S147">
        <f t="shared" ref="S147" si="713">R147/100000</f>
        <v>-242.32218125684744</v>
      </c>
      <c r="T147">
        <f t="shared" ref="T147" si="714">S147/1000</f>
        <v>-0.24232218125684743</v>
      </c>
    </row>
    <row r="148" spans="1:20" x14ac:dyDescent="0.25">
      <c r="A148" s="5">
        <v>44445</v>
      </c>
      <c r="B148">
        <v>8.1969999999999992</v>
      </c>
      <c r="C148">
        <v>8.7370000000000001</v>
      </c>
      <c r="D148">
        <v>7.7469999999999999</v>
      </c>
      <c r="E148">
        <v>8.3239999999999998</v>
      </c>
      <c r="F148">
        <v>392891.8</v>
      </c>
      <c r="G148">
        <v>8.3239999999999998</v>
      </c>
      <c r="L148" t="s">
        <v>7</v>
      </c>
      <c r="M148" t="s">
        <v>8</v>
      </c>
      <c r="N148" t="s">
        <v>7</v>
      </c>
      <c r="P148">
        <f t="shared" ref="P148" si="715">IF(C148=D148,0,((E148-D148)-(C148-E148))/(C148-D148))</f>
        <v>0.16565656565656531</v>
      </c>
      <c r="Q148">
        <f t="shared" ref="Q148" si="716">F148*P148</f>
        <v>65085.106262626126</v>
      </c>
      <c r="R148">
        <f t="shared" ref="R148" si="717">R149+Q148</f>
        <v>-24019877.323792852</v>
      </c>
      <c r="S148">
        <f t="shared" ref="S148" si="718">R148/100000</f>
        <v>-240.19877323792852</v>
      </c>
      <c r="T148">
        <f t="shared" ref="T148" si="719">S148/1000</f>
        <v>-0.24019877323792851</v>
      </c>
    </row>
    <row r="149" spans="1:20" x14ac:dyDescent="0.25">
      <c r="A149" s="5">
        <v>44444</v>
      </c>
      <c r="B149">
        <v>7.6509999999999998</v>
      </c>
      <c r="C149">
        <v>8.8879999999999999</v>
      </c>
      <c r="D149">
        <v>7.6020000000000003</v>
      </c>
      <c r="E149">
        <v>8.1929999999999996</v>
      </c>
      <c r="F149">
        <v>610564.69299999997</v>
      </c>
      <c r="G149">
        <v>8.1929999999999996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-8.0870917573873255E-2</v>
      </c>
      <c r="Q149">
        <f t="shared" ref="Q149" si="721">F149*P149</f>
        <v>-49376.926961120225</v>
      </c>
      <c r="R149">
        <f t="shared" ref="R149" si="722">R150+Q149</f>
        <v>-24084962.430055477</v>
      </c>
      <c r="S149">
        <f t="shared" ref="S149" si="723">R149/100000</f>
        <v>-240.84962430055478</v>
      </c>
      <c r="T149">
        <f t="shared" ref="T149" si="724">S149/1000</f>
        <v>-0.24084962430055479</v>
      </c>
    </row>
    <row r="150" spans="1:20" x14ac:dyDescent="0.25">
      <c r="A150" s="5">
        <v>44443</v>
      </c>
      <c r="B150">
        <v>7.726</v>
      </c>
      <c r="C150">
        <v>7.7880000000000003</v>
      </c>
      <c r="D150">
        <v>7.51</v>
      </c>
      <c r="E150">
        <v>7.6470000000000002</v>
      </c>
      <c r="F150">
        <v>94100.4</v>
      </c>
      <c r="G150">
        <v>7.6470000000000002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-1.4388489208631484E-2</v>
      </c>
      <c r="Q150">
        <f t="shared" ref="Q150" si="726">F150*P150</f>
        <v>-1353.962589927906</v>
      </c>
      <c r="R150">
        <f t="shared" ref="R150" si="727">R151+Q150</f>
        <v>-24035585.503094357</v>
      </c>
      <c r="S150">
        <f t="shared" ref="S150" si="728">R150/100000</f>
        <v>-240.35585503094356</v>
      </c>
      <c r="T150">
        <f t="shared" ref="T150" si="729">S150/1000</f>
        <v>-0.24035585503094356</v>
      </c>
    </row>
    <row r="151" spans="1:20" x14ac:dyDescent="0.25">
      <c r="A151" s="5">
        <v>44442</v>
      </c>
      <c r="B151">
        <v>7.5419999999999998</v>
      </c>
      <c r="C151">
        <v>8.0399999999999991</v>
      </c>
      <c r="D151">
        <v>7.44</v>
      </c>
      <c r="E151">
        <v>7.7060000000000004</v>
      </c>
      <c r="F151">
        <v>201415.7</v>
      </c>
      <c r="G151">
        <v>7.7060000000000004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-0.11333333333333145</v>
      </c>
      <c r="Q151">
        <f t="shared" ref="Q151" si="731">F151*P151</f>
        <v>-22827.112666666289</v>
      </c>
      <c r="R151">
        <f t="shared" ref="R151" si="732">R152+Q151</f>
        <v>-24034231.540504429</v>
      </c>
      <c r="S151">
        <f t="shared" ref="S151" si="733">R151/100000</f>
        <v>-240.3423154050443</v>
      </c>
      <c r="T151">
        <f t="shared" ref="T151" si="734">S151/1000</f>
        <v>-0.2403423154050443</v>
      </c>
    </row>
    <row r="152" spans="1:20" x14ac:dyDescent="0.25">
      <c r="A152" s="5">
        <v>44441</v>
      </c>
      <c r="B152">
        <v>7.5519999999999996</v>
      </c>
      <c r="C152">
        <v>7.6509999999999998</v>
      </c>
      <c r="D152">
        <v>7.3840000000000003</v>
      </c>
      <c r="E152">
        <v>7.5430000000000001</v>
      </c>
      <c r="F152">
        <v>121381.9</v>
      </c>
      <c r="G152">
        <v>7.5430000000000001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0.19101123595505715</v>
      </c>
      <c r="Q152">
        <f t="shared" ref="Q152" si="736">F152*P152</f>
        <v>23185.306741573149</v>
      </c>
      <c r="R152">
        <f t="shared" ref="R152" si="737">R153+Q152</f>
        <v>-24011404.427837763</v>
      </c>
      <c r="S152">
        <f t="shared" ref="S152" si="738">R152/100000</f>
        <v>-240.11404427837763</v>
      </c>
      <c r="T152">
        <f t="shared" ref="T152" si="739">S152/1000</f>
        <v>-0.24011404427837763</v>
      </c>
    </row>
    <row r="153" spans="1:20" x14ac:dyDescent="0.25">
      <c r="A153" s="5">
        <v>44440</v>
      </c>
      <c r="B153">
        <v>7.2110000000000003</v>
      </c>
      <c r="C153">
        <v>7.7</v>
      </c>
      <c r="D153">
        <v>7.15</v>
      </c>
      <c r="E153">
        <v>7.5579999999999998</v>
      </c>
      <c r="F153">
        <v>143949.70000000001</v>
      </c>
      <c r="G153">
        <v>7.5579999999999998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0.4836363636363622</v>
      </c>
      <c r="Q153">
        <f t="shared" ref="Q153" si="741">F153*P153</f>
        <v>69619.309454545248</v>
      </c>
      <c r="R153">
        <f t="shared" ref="R153" si="742">R154+Q153</f>
        <v>-24034589.734579336</v>
      </c>
      <c r="S153">
        <f t="shared" ref="S153" si="743">R153/100000</f>
        <v>-240.34589734579336</v>
      </c>
      <c r="T153">
        <f t="shared" ref="T153" si="744">S153/1000</f>
        <v>-0.24034589734579337</v>
      </c>
    </row>
    <row r="154" spans="1:20" x14ac:dyDescent="0.25">
      <c r="A154" s="5">
        <v>44439</v>
      </c>
      <c r="B154">
        <v>7.29</v>
      </c>
      <c r="C154">
        <v>7.4470000000000001</v>
      </c>
      <c r="D154">
        <v>7.1779999999999999</v>
      </c>
      <c r="E154">
        <v>7.2110000000000003</v>
      </c>
      <c r="F154">
        <v>91602.9</v>
      </c>
      <c r="G154">
        <v>7.2110000000000003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-0.75464684014869632</v>
      </c>
      <c r="Q154">
        <f t="shared" ref="Q154" si="746">F154*P154</f>
        <v>-69127.839033457014</v>
      </c>
      <c r="R154">
        <f t="shared" ref="R154" si="747">R155+Q154</f>
        <v>-24104209.044033881</v>
      </c>
      <c r="S154">
        <f t="shared" ref="S154" si="748">R154/100000</f>
        <v>-241.04209044033882</v>
      </c>
      <c r="T154">
        <f t="shared" ref="T154" si="749">S154/1000</f>
        <v>-0.24104209044033884</v>
      </c>
    </row>
    <row r="155" spans="1:20" x14ac:dyDescent="0.25">
      <c r="A155" s="5">
        <v>44438</v>
      </c>
      <c r="B155">
        <v>7.4489999999999998</v>
      </c>
      <c r="C155">
        <v>7.6219999999999999</v>
      </c>
      <c r="D155">
        <v>7.1470000000000002</v>
      </c>
      <c r="E155">
        <v>7.2830000000000004</v>
      </c>
      <c r="F155">
        <v>118639.583</v>
      </c>
      <c r="G155">
        <v>7.2830000000000004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-0.42736842105263062</v>
      </c>
      <c r="Q155">
        <f t="shared" ref="Q155" si="751">F155*P155</f>
        <v>-50702.81126105252</v>
      </c>
      <c r="R155">
        <f t="shared" ref="R155" si="752">R156+Q155</f>
        <v>-24035081.205000423</v>
      </c>
      <c r="S155">
        <f t="shared" ref="S155" si="753">R155/100000</f>
        <v>-240.35081205000424</v>
      </c>
      <c r="T155">
        <f t="shared" ref="T155" si="754">S155/1000</f>
        <v>-0.24035081205000425</v>
      </c>
    </row>
    <row r="156" spans="1:20" x14ac:dyDescent="0.25">
      <c r="A156" s="5">
        <v>44437</v>
      </c>
      <c r="B156">
        <v>7.5309999999999997</v>
      </c>
      <c r="C156">
        <v>7.7</v>
      </c>
      <c r="D156">
        <v>7.367</v>
      </c>
      <c r="E156">
        <v>7.4260000000000002</v>
      </c>
      <c r="F156">
        <v>99715.199999999997</v>
      </c>
      <c r="G156">
        <v>7.4260000000000002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-0.64564564564564486</v>
      </c>
      <c r="Q156">
        <f t="shared" ref="Q156" si="756">F156*P156</f>
        <v>-64380.684684684602</v>
      </c>
      <c r="R156">
        <f t="shared" ref="R156" si="757">R157+Q156</f>
        <v>-23984378.393739369</v>
      </c>
      <c r="S156">
        <f t="shared" ref="S156" si="758">R156/100000</f>
        <v>-239.84378393739368</v>
      </c>
      <c r="T156">
        <f t="shared" ref="T156" si="759">S156/1000</f>
        <v>-0.23984378393739367</v>
      </c>
    </row>
    <row r="157" spans="1:20" x14ac:dyDescent="0.25">
      <c r="A157" s="5">
        <v>44436</v>
      </c>
      <c r="B157">
        <v>7.6829999999999998</v>
      </c>
      <c r="C157">
        <v>7.7</v>
      </c>
      <c r="D157">
        <v>7.4809999999999999</v>
      </c>
      <c r="E157">
        <v>7.548</v>
      </c>
      <c r="F157">
        <v>89004.4</v>
      </c>
      <c r="G157">
        <v>7.548</v>
      </c>
      <c r="L157" t="s">
        <v>7</v>
      </c>
      <c r="M157" t="s">
        <v>7</v>
      </c>
      <c r="N157" t="s">
        <v>7</v>
      </c>
      <c r="P157">
        <f t="shared" ref="P157" si="760">IF(C157=D157,0,((E157-D157)-(C157-E157))/(C157-D157))</f>
        <v>-0.38812785388127785</v>
      </c>
      <c r="Q157">
        <f t="shared" ref="Q157" si="761">F157*P157</f>
        <v>-34545.086757990801</v>
      </c>
      <c r="R157">
        <f t="shared" ref="R157" si="762">R158+Q157</f>
        <v>-23919997.709054682</v>
      </c>
      <c r="S157">
        <f t="shared" ref="S157" si="763">R157/100000</f>
        <v>-239.19997709054684</v>
      </c>
      <c r="T157">
        <f t="shared" ref="T157" si="764">S157/1000</f>
        <v>-0.23919997709054683</v>
      </c>
    </row>
    <row r="158" spans="1:20" x14ac:dyDescent="0.25">
      <c r="A158" s="5">
        <v>44435</v>
      </c>
      <c r="B158">
        <v>7.54</v>
      </c>
      <c r="C158">
        <v>7.7</v>
      </c>
      <c r="D158">
        <v>7.375</v>
      </c>
      <c r="E158">
        <v>7.6829999999999998</v>
      </c>
      <c r="F158">
        <v>134224.70300000001</v>
      </c>
      <c r="G158">
        <v>7.6829999999999998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0.89538461538461334</v>
      </c>
      <c r="Q158">
        <f t="shared" ref="Q158" si="766">F158*P158</f>
        <v>120182.73407076896</v>
      </c>
      <c r="R158">
        <f t="shared" ref="R158" si="767">R159+Q158</f>
        <v>-23885452.622296691</v>
      </c>
      <c r="S158">
        <f t="shared" ref="S158" si="768">R158/100000</f>
        <v>-238.85452622296691</v>
      </c>
      <c r="T158">
        <f t="shared" ref="T158" si="769">S158/1000</f>
        <v>-0.23885452622296691</v>
      </c>
    </row>
    <row r="159" spans="1:20" x14ac:dyDescent="0.25">
      <c r="A159" s="5">
        <v>44434</v>
      </c>
      <c r="B159">
        <v>8.0660000000000007</v>
      </c>
      <c r="C159">
        <v>8.2200000000000006</v>
      </c>
      <c r="D159">
        <v>7.5389999999999997</v>
      </c>
      <c r="E159">
        <v>7.5490000000000004</v>
      </c>
      <c r="F159">
        <v>149690.69699999999</v>
      </c>
      <c r="G159">
        <v>7.5490000000000004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-0.97063142437591587</v>
      </c>
      <c r="Q159">
        <f t="shared" ref="Q159" si="771">F159*P159</f>
        <v>-145294.49444493363</v>
      </c>
      <c r="R159">
        <f t="shared" ref="R159" si="772">R160+Q159</f>
        <v>-24005635.356367461</v>
      </c>
      <c r="S159">
        <f t="shared" ref="S159" si="773">R159/100000</f>
        <v>-240.05635356367461</v>
      </c>
      <c r="T159">
        <f t="shared" ref="T159" si="774">S159/1000</f>
        <v>-0.24005635356367461</v>
      </c>
    </row>
    <row r="160" spans="1:20" x14ac:dyDescent="0.25">
      <c r="A160" s="5">
        <v>44433</v>
      </c>
      <c r="B160">
        <v>8.0229999999999997</v>
      </c>
      <c r="C160">
        <v>8.2479999999999993</v>
      </c>
      <c r="D160">
        <v>7.9089999999999998</v>
      </c>
      <c r="E160">
        <v>8.0660000000000007</v>
      </c>
      <c r="F160">
        <v>100602.95600000001</v>
      </c>
      <c r="G160">
        <v>8.0660000000000007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-7.3746312684359078E-2</v>
      </c>
      <c r="Q160">
        <f t="shared" ref="Q160" si="776">F160*P160</f>
        <v>-7419.0970501468182</v>
      </c>
      <c r="R160">
        <f t="shared" ref="R160" si="777">R161+Q160</f>
        <v>-23860340.861922529</v>
      </c>
      <c r="S160">
        <f t="shared" ref="S160" si="778">R160/100000</f>
        <v>-238.60340861922529</v>
      </c>
      <c r="T160">
        <f t="shared" ref="T160" si="779">S160/1000</f>
        <v>-0.2386034086192253</v>
      </c>
    </row>
    <row r="161" spans="1:20" x14ac:dyDescent="0.25">
      <c r="A161" s="5">
        <v>44432</v>
      </c>
      <c r="B161">
        <v>8.3079999999999998</v>
      </c>
      <c r="C161">
        <v>8.4079999999999995</v>
      </c>
      <c r="D161">
        <v>8</v>
      </c>
      <c r="E161">
        <v>8.0289999999999999</v>
      </c>
      <c r="F161">
        <v>182995.59099999999</v>
      </c>
      <c r="G161">
        <v>8.0289999999999999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-0.85784313725490224</v>
      </c>
      <c r="Q161">
        <f t="shared" ref="Q161" si="781">F161*P161</f>
        <v>-156981.51188725495</v>
      </c>
      <c r="R161">
        <f t="shared" ref="R161" si="782">R162+Q161</f>
        <v>-23852921.764872383</v>
      </c>
      <c r="S161">
        <f t="shared" ref="S161" si="783">R161/100000</f>
        <v>-238.52921764872383</v>
      </c>
      <c r="T161">
        <f t="shared" ref="T161" si="784">S161/1000</f>
        <v>-0.23852921764872384</v>
      </c>
    </row>
    <row r="162" spans="1:20" x14ac:dyDescent="0.25">
      <c r="A162" s="5">
        <v>44431</v>
      </c>
      <c r="B162">
        <v>8.0190000000000001</v>
      </c>
      <c r="C162">
        <v>8.43</v>
      </c>
      <c r="D162">
        <v>7.9829999999999997</v>
      </c>
      <c r="E162">
        <v>8.3079999999999998</v>
      </c>
      <c r="F162">
        <v>261486.85</v>
      </c>
      <c r="G162">
        <v>8.3079999999999998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0.4541387024608507</v>
      </c>
      <c r="Q162">
        <f t="shared" ref="Q162" si="786">F162*P162</f>
        <v>118751.29876957509</v>
      </c>
      <c r="R162">
        <f t="shared" ref="R162" si="787">R163+Q162</f>
        <v>-23695940.252985127</v>
      </c>
      <c r="S162">
        <f t="shared" ref="S162" si="788">R162/100000</f>
        <v>-236.95940252985127</v>
      </c>
      <c r="T162">
        <f t="shared" ref="T162" si="789">S162/1000</f>
        <v>-0.23695940252985129</v>
      </c>
    </row>
    <row r="163" spans="1:20" x14ac:dyDescent="0.25">
      <c r="A163" s="5">
        <v>44430</v>
      </c>
      <c r="B163">
        <v>8.1430000000000007</v>
      </c>
      <c r="C163">
        <v>8.2989999999999995</v>
      </c>
      <c r="D163">
        <v>8.1300000000000008</v>
      </c>
      <c r="E163">
        <v>8.2739999999999991</v>
      </c>
      <c r="F163">
        <v>29644.175999999999</v>
      </c>
      <c r="G163">
        <v>8.2739999999999991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0.70414201183431302</v>
      </c>
      <c r="Q163">
        <f t="shared" ref="Q163" si="791">F163*P163</f>
        <v>20873.709727810459</v>
      </c>
      <c r="R163">
        <f t="shared" ref="R163" si="792">R164+Q163</f>
        <v>-23814691.551754702</v>
      </c>
      <c r="S163">
        <f t="shared" ref="S163" si="793">R163/100000</f>
        <v>-238.14691551754703</v>
      </c>
      <c r="T163">
        <f t="shared" ref="T163" si="794">S163/1000</f>
        <v>-0.23814691551754702</v>
      </c>
    </row>
    <row r="164" spans="1:20" x14ac:dyDescent="0.25">
      <c r="A164" s="5">
        <v>44429</v>
      </c>
      <c r="B164">
        <v>8.407</v>
      </c>
      <c r="C164">
        <v>8.4909999999999997</v>
      </c>
      <c r="D164">
        <v>8.1300000000000008</v>
      </c>
      <c r="E164">
        <v>8.1430000000000007</v>
      </c>
      <c r="F164">
        <v>143562.761</v>
      </c>
      <c r="G164">
        <v>8.1430000000000007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-0.92797783933518041</v>
      </c>
      <c r="Q164">
        <f t="shared" ref="Q164" si="796">F164*P164</f>
        <v>-133223.06076177291</v>
      </c>
      <c r="R164">
        <f t="shared" ref="R164" si="797">R165+Q164</f>
        <v>-23835565.261482511</v>
      </c>
      <c r="S164">
        <f t="shared" ref="S164" si="798">R164/100000</f>
        <v>-238.35565261482512</v>
      </c>
      <c r="T164">
        <f t="shared" ref="T164" si="799">S164/1000</f>
        <v>-0.23835565261482511</v>
      </c>
    </row>
    <row r="165" spans="1:20" x14ac:dyDescent="0.25">
      <c r="A165" s="5">
        <v>44428</v>
      </c>
      <c r="B165">
        <v>8.4030000000000005</v>
      </c>
      <c r="C165">
        <v>8.9179999999999993</v>
      </c>
      <c r="D165">
        <v>8.27</v>
      </c>
      <c r="E165">
        <v>8.4220000000000006</v>
      </c>
      <c r="F165">
        <v>339755.56</v>
      </c>
      <c r="G165">
        <v>8.4220000000000006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-0.53086419753086078</v>
      </c>
      <c r="Q165">
        <f t="shared" ref="Q165" si="801">F165*P165</f>
        <v>-180364.06271604821</v>
      </c>
      <c r="R165">
        <f t="shared" ref="R165" si="802">R166+Q165</f>
        <v>-23702342.200720739</v>
      </c>
      <c r="S165">
        <f t="shared" ref="S165" si="803">R165/100000</f>
        <v>-237.02342200720739</v>
      </c>
      <c r="T165">
        <f t="shared" ref="T165" si="804">S165/1000</f>
        <v>-0.23702342200720738</v>
      </c>
    </row>
    <row r="166" spans="1:20" x14ac:dyDescent="0.25">
      <c r="A166" s="5">
        <v>44427</v>
      </c>
      <c r="B166">
        <v>8.3539999999999992</v>
      </c>
      <c r="C166">
        <v>8.59</v>
      </c>
      <c r="D166">
        <v>8.1679999999999993</v>
      </c>
      <c r="E166">
        <v>8.4190000000000005</v>
      </c>
      <c r="F166">
        <v>157808.158</v>
      </c>
      <c r="G166">
        <v>8.4190000000000005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0.18957345971564393</v>
      </c>
      <c r="Q166">
        <f t="shared" ref="Q166" si="806">F166*P166</f>
        <v>29916.238483412973</v>
      </c>
      <c r="R166">
        <f t="shared" ref="R166" si="807">R167+Q166</f>
        <v>-23521978.13800469</v>
      </c>
      <c r="S166">
        <f t="shared" ref="S166" si="808">R166/100000</f>
        <v>-235.2197813800469</v>
      </c>
      <c r="T166">
        <f t="shared" ref="T166" si="809">S166/1000</f>
        <v>-0.2352197813800469</v>
      </c>
    </row>
    <row r="167" spans="1:20" x14ac:dyDescent="0.25">
      <c r="A167" s="5">
        <v>44426</v>
      </c>
      <c r="B167">
        <v>8.4779999999999998</v>
      </c>
      <c r="C167">
        <v>8.8490000000000002</v>
      </c>
      <c r="D167">
        <v>8.2100000000000009</v>
      </c>
      <c r="E167">
        <v>8.3689999999999998</v>
      </c>
      <c r="F167">
        <v>173075.679</v>
      </c>
      <c r="G167">
        <v>8.3689999999999998</v>
      </c>
      <c r="L167" t="s">
        <v>8</v>
      </c>
      <c r="M167" t="s">
        <v>7</v>
      </c>
      <c r="N167" t="s">
        <v>8</v>
      </c>
      <c r="P167">
        <f t="shared" ref="P167" si="810">IF(C167=D167,0,((E167-D167)-(C167-E167))/(C167-D167))</f>
        <v>-0.50234741784037851</v>
      </c>
      <c r="Q167">
        <f t="shared" ref="Q167" si="811">F167*P167</f>
        <v>-86944.120436620229</v>
      </c>
      <c r="R167">
        <f t="shared" ref="R167" si="812">R168+Q167</f>
        <v>-23551894.376488104</v>
      </c>
      <c r="S167">
        <f t="shared" ref="S167" si="813">R167/100000</f>
        <v>-235.51894376488104</v>
      </c>
      <c r="T167">
        <f t="shared" ref="T167" si="814">S167/1000</f>
        <v>-0.23551894376488106</v>
      </c>
    </row>
    <row r="168" spans="1:20" x14ac:dyDescent="0.25">
      <c r="A168" s="5">
        <v>44425</v>
      </c>
      <c r="B168">
        <v>8.5709999999999997</v>
      </c>
      <c r="C168">
        <v>8.9369999999999994</v>
      </c>
      <c r="D168">
        <v>8.2029999999999994</v>
      </c>
      <c r="E168">
        <v>8.4819999999999993</v>
      </c>
      <c r="F168">
        <v>181187.573</v>
      </c>
      <c r="G168">
        <v>8.4819999999999993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-0.23978201634877405</v>
      </c>
      <c r="Q168">
        <f t="shared" ref="Q168" si="816">F168*P168</f>
        <v>-43445.521591280696</v>
      </c>
      <c r="R168">
        <f t="shared" ref="R168" si="817">R169+Q168</f>
        <v>-23464950.256051484</v>
      </c>
      <c r="S168">
        <f t="shared" ref="S168" si="818">R168/100000</f>
        <v>-234.64950256051483</v>
      </c>
      <c r="T168">
        <f t="shared" ref="T168" si="819">S168/1000</f>
        <v>-0.23464950256051484</v>
      </c>
    </row>
    <row r="169" spans="1:20" x14ac:dyDescent="0.25">
      <c r="A169" s="5">
        <v>44424</v>
      </c>
      <c r="B169">
        <v>8.8219999999999992</v>
      </c>
      <c r="C169">
        <v>9.1809999999999992</v>
      </c>
      <c r="D169">
        <v>8.44</v>
      </c>
      <c r="E169">
        <v>8.5730000000000004</v>
      </c>
      <c r="F169">
        <v>222873.774</v>
      </c>
      <c r="G169">
        <v>8.5730000000000004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-0.64102564102563842</v>
      </c>
      <c r="Q169">
        <f t="shared" ref="Q169" si="821">F169*P169</f>
        <v>-142867.80384615326</v>
      </c>
      <c r="R169">
        <f t="shared" ref="R169" si="822">R170+Q169</f>
        <v>-23421504.734460205</v>
      </c>
      <c r="S169">
        <f t="shared" ref="S169" si="823">R169/100000</f>
        <v>-234.21504734460206</v>
      </c>
      <c r="T169">
        <f t="shared" ref="T169" si="824">S169/1000</f>
        <v>-0.23421504734460205</v>
      </c>
    </row>
    <row r="170" spans="1:20" x14ac:dyDescent="0.25">
      <c r="A170" s="5">
        <v>44423</v>
      </c>
      <c r="B170">
        <v>8.5350000000000001</v>
      </c>
      <c r="C170">
        <v>10.218</v>
      </c>
      <c r="D170">
        <v>8.4830000000000005</v>
      </c>
      <c r="E170">
        <v>8.8010000000000002</v>
      </c>
      <c r="F170">
        <v>639828.40599999996</v>
      </c>
      <c r="G170">
        <v>8.8010000000000002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-0.63342939481268046</v>
      </c>
      <c r="Q170">
        <f t="shared" ref="Q170" si="826">F170*P170</f>
        <v>-405286.11999654199</v>
      </c>
      <c r="R170">
        <f t="shared" ref="R170" si="827">R171+Q170</f>
        <v>-23278636.93061405</v>
      </c>
      <c r="S170">
        <f t="shared" ref="S170" si="828">R170/100000</f>
        <v>-232.7863693061405</v>
      </c>
      <c r="T170">
        <f t="shared" ref="T170" si="829">S170/1000</f>
        <v>-0.23278636930614049</v>
      </c>
    </row>
    <row r="171" spans="1:20" x14ac:dyDescent="0.25">
      <c r="A171" s="5">
        <v>44422</v>
      </c>
      <c r="B171">
        <v>8.3699999999999992</v>
      </c>
      <c r="C171">
        <v>8.7799999999999994</v>
      </c>
      <c r="D171">
        <v>8.0350000000000001</v>
      </c>
      <c r="E171">
        <v>8.5259999999999998</v>
      </c>
      <c r="F171">
        <v>319048.71600000001</v>
      </c>
      <c r="G171">
        <v>8.5259999999999998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0.31812080536912796</v>
      </c>
      <c r="Q171">
        <f t="shared" ref="Q171" si="831">F171*P171</f>
        <v>101496.03448590619</v>
      </c>
      <c r="R171">
        <f t="shared" ref="R171" si="832">R172+Q171</f>
        <v>-22873350.81061751</v>
      </c>
      <c r="S171">
        <f t="shared" ref="S171" si="833">R171/100000</f>
        <v>-228.73350810617509</v>
      </c>
      <c r="T171">
        <f t="shared" ref="T171" si="834">S171/1000</f>
        <v>-0.2287335081061751</v>
      </c>
    </row>
    <row r="172" spans="1:20" x14ac:dyDescent="0.25">
      <c r="A172" s="5">
        <v>44421</v>
      </c>
      <c r="B172">
        <v>8.1270000000000007</v>
      </c>
      <c r="C172">
        <v>9.1709999999999994</v>
      </c>
      <c r="D172">
        <v>7.9770000000000003</v>
      </c>
      <c r="E172">
        <v>8.3889999999999993</v>
      </c>
      <c r="F172">
        <v>442455.89600000001</v>
      </c>
      <c r="G172">
        <v>8.3889999999999993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-0.3098827470686778</v>
      </c>
      <c r="Q172">
        <f t="shared" ref="Q172" si="836">F172*P172</f>
        <v>-137109.44850921322</v>
      </c>
      <c r="R172">
        <f t="shared" ref="R172" si="837">R173+Q172</f>
        <v>-22974846.845103417</v>
      </c>
      <c r="S172">
        <f t="shared" ref="S172" si="838">R172/100000</f>
        <v>-229.74846845103417</v>
      </c>
      <c r="T172">
        <f t="shared" ref="T172" si="839">S172/1000</f>
        <v>-0.22974846845103417</v>
      </c>
    </row>
    <row r="173" spans="1:20" x14ac:dyDescent="0.25">
      <c r="A173" s="5">
        <v>44420</v>
      </c>
      <c r="B173">
        <v>7.86</v>
      </c>
      <c r="C173">
        <v>8.4260000000000002</v>
      </c>
      <c r="D173">
        <v>7.8040000000000003</v>
      </c>
      <c r="E173">
        <v>8.1270000000000007</v>
      </c>
      <c r="F173">
        <v>363310.84499999997</v>
      </c>
      <c r="G173">
        <v>8.1270000000000007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3.8585209003216901E-2</v>
      </c>
      <c r="Q173">
        <f t="shared" ref="Q173" si="841">F173*P173</f>
        <v>14018.424887460338</v>
      </c>
      <c r="R173">
        <f t="shared" ref="R173" si="842">R174+Q173</f>
        <v>-22837737.396594204</v>
      </c>
      <c r="S173">
        <f t="shared" ref="S173" si="843">R173/100000</f>
        <v>-228.37737396594204</v>
      </c>
      <c r="T173">
        <f t="shared" ref="T173" si="844">S173/1000</f>
        <v>-0.22837737396594204</v>
      </c>
    </row>
    <row r="174" spans="1:20" x14ac:dyDescent="0.25">
      <c r="A174" s="5">
        <v>44419</v>
      </c>
      <c r="B174">
        <v>8.016</v>
      </c>
      <c r="C174">
        <v>8.1959999999999997</v>
      </c>
      <c r="D174">
        <v>7.8019999999999996</v>
      </c>
      <c r="E174">
        <v>7.8730000000000002</v>
      </c>
      <c r="F174">
        <v>208048.22500000001</v>
      </c>
      <c r="G174">
        <v>7.8730000000000002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-0.63959390862943866</v>
      </c>
      <c r="Q174">
        <f t="shared" ref="Q174" si="846">F174*P174</f>
        <v>-133066.3774111669</v>
      </c>
      <c r="R174">
        <f t="shared" ref="R174" si="847">R175+Q174</f>
        <v>-22851755.821481664</v>
      </c>
      <c r="S174">
        <f t="shared" ref="S174" si="848">R174/100000</f>
        <v>-228.51755821481663</v>
      </c>
      <c r="T174">
        <f t="shared" ref="T174" si="849">S174/1000</f>
        <v>-0.22851755821481662</v>
      </c>
    </row>
    <row r="175" spans="1:20" x14ac:dyDescent="0.25">
      <c r="A175" s="5">
        <v>44418</v>
      </c>
      <c r="B175">
        <v>8.327</v>
      </c>
      <c r="C175">
        <v>8.4600000000000009</v>
      </c>
      <c r="D175">
        <v>7.9589999999999996</v>
      </c>
      <c r="E175">
        <v>8.016</v>
      </c>
      <c r="F175">
        <v>407582.56199999998</v>
      </c>
      <c r="G175">
        <v>8.016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-0.77245508982035826</v>
      </c>
      <c r="Q175">
        <f t="shared" ref="Q175" si="851">F175*P175</f>
        <v>-314839.22453892173</v>
      </c>
      <c r="R175">
        <f t="shared" ref="R175" si="852">R176+Q175</f>
        <v>-22718689.444070496</v>
      </c>
      <c r="S175">
        <f t="shared" ref="S175" si="853">R175/100000</f>
        <v>-227.18689444070495</v>
      </c>
      <c r="T175">
        <f t="shared" ref="T175" si="854">S175/1000</f>
        <v>-0.22718689444070495</v>
      </c>
    </row>
    <row r="176" spans="1:20" x14ac:dyDescent="0.25">
      <c r="A176" s="5">
        <v>44417</v>
      </c>
      <c r="B176">
        <v>7.2720000000000002</v>
      </c>
      <c r="C176">
        <v>8.86</v>
      </c>
      <c r="D176">
        <v>7.2009999999999996</v>
      </c>
      <c r="E176">
        <v>8.3249999999999993</v>
      </c>
      <c r="F176">
        <v>1168608.2450000001</v>
      </c>
      <c r="G176">
        <v>8.3249999999999993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0.35503315250150669</v>
      </c>
      <c r="Q176">
        <f t="shared" ref="Q176" si="856">F176*P176</f>
        <v>414894.66926160315</v>
      </c>
      <c r="R176">
        <f t="shared" ref="R176" si="857">R177+Q176</f>
        <v>-22403850.219531573</v>
      </c>
      <c r="S176">
        <f t="shared" ref="S176" si="858">R176/100000</f>
        <v>-224.03850219531574</v>
      </c>
      <c r="T176">
        <f t="shared" ref="T176" si="859">S176/1000</f>
        <v>-0.22403850219531574</v>
      </c>
    </row>
    <row r="177" spans="1:20" x14ac:dyDescent="0.25">
      <c r="A177" s="5">
        <v>44416</v>
      </c>
      <c r="B177">
        <v>7.4409999999999998</v>
      </c>
      <c r="C177">
        <v>7.8390000000000004</v>
      </c>
      <c r="D177">
        <v>7.2279999999999998</v>
      </c>
      <c r="E177">
        <v>7.2489999999999997</v>
      </c>
      <c r="F177">
        <v>263565.80800000002</v>
      </c>
      <c r="G177">
        <v>7.2489999999999997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-0.93126022913256989</v>
      </c>
      <c r="Q177">
        <f t="shared" ref="Q177" si="861">F177*P177</f>
        <v>-245448.35474959094</v>
      </c>
      <c r="R177">
        <f t="shared" ref="R177" si="862">R178+Q177</f>
        <v>-22818744.888793178</v>
      </c>
      <c r="S177">
        <f t="shared" ref="S177" si="863">R177/100000</f>
        <v>-228.18744888793177</v>
      </c>
      <c r="T177">
        <f t="shared" ref="T177" si="864">S177/1000</f>
        <v>-0.22818744888793177</v>
      </c>
    </row>
    <row r="178" spans="1:20" x14ac:dyDescent="0.25">
      <c r="A178" s="5">
        <v>44415</v>
      </c>
      <c r="B178">
        <v>7.3159999999999998</v>
      </c>
      <c r="C178">
        <v>7.6680000000000001</v>
      </c>
      <c r="D178">
        <v>7.1180000000000003</v>
      </c>
      <c r="E178">
        <v>7.46</v>
      </c>
      <c r="F178">
        <v>239420.57199999999</v>
      </c>
      <c r="G178">
        <v>7.46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0.24363636363636271</v>
      </c>
      <c r="Q178">
        <f t="shared" ref="Q178" si="866">F178*P178</f>
        <v>58331.557541817958</v>
      </c>
      <c r="R178">
        <f t="shared" ref="R178" si="867">R179+Q178</f>
        <v>-22573296.534043588</v>
      </c>
      <c r="S178">
        <f t="shared" ref="S178" si="868">R178/100000</f>
        <v>-225.73296534043587</v>
      </c>
      <c r="T178">
        <f t="shared" ref="T178" si="869">S178/1000</f>
        <v>-0.22573296534043588</v>
      </c>
    </row>
    <row r="179" spans="1:20" x14ac:dyDescent="0.25">
      <c r="A179" s="5">
        <v>44414</v>
      </c>
      <c r="B179">
        <v>7.23</v>
      </c>
      <c r="C179">
        <v>7.6879999999999997</v>
      </c>
      <c r="D179">
        <v>6.9980000000000002</v>
      </c>
      <c r="E179">
        <v>7.3159999999999998</v>
      </c>
      <c r="F179">
        <v>275810.19400000002</v>
      </c>
      <c r="G179">
        <v>7.3159999999999998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-7.8260869565217842E-2</v>
      </c>
      <c r="Q179">
        <f t="shared" ref="Q179" si="871">F179*P179</f>
        <v>-21585.14561739143</v>
      </c>
      <c r="R179">
        <f t="shared" ref="R179" si="872">R180+Q179</f>
        <v>-22631628.091585405</v>
      </c>
      <c r="S179">
        <f t="shared" ref="S179" si="873">R179/100000</f>
        <v>-226.31628091585407</v>
      </c>
      <c r="T179">
        <f t="shared" ref="T179" si="874">S179/1000</f>
        <v>-0.22631628091585407</v>
      </c>
    </row>
    <row r="180" spans="1:20" x14ac:dyDescent="0.25">
      <c r="A180" s="5">
        <v>44413</v>
      </c>
      <c r="B180">
        <v>7.2080000000000002</v>
      </c>
      <c r="C180">
        <v>7.3230000000000004</v>
      </c>
      <c r="D180">
        <v>7</v>
      </c>
      <c r="E180">
        <v>7.23</v>
      </c>
      <c r="F180">
        <v>113430.178</v>
      </c>
      <c r="G180">
        <v>7.23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0.42414860681114641</v>
      </c>
      <c r="Q180">
        <f t="shared" ref="Q180" si="876">F180*P180</f>
        <v>48111.25196904035</v>
      </c>
      <c r="R180">
        <f t="shared" ref="R180" si="877">R181+Q180</f>
        <v>-22610042.945968013</v>
      </c>
      <c r="S180">
        <f t="shared" ref="S180" si="878">R180/100000</f>
        <v>-226.10042945968013</v>
      </c>
      <c r="T180">
        <f t="shared" ref="T180" si="879">S180/1000</f>
        <v>-0.22610042945968012</v>
      </c>
    </row>
    <row r="181" spans="1:20" x14ac:dyDescent="0.25">
      <c r="A181" s="5">
        <v>44412</v>
      </c>
      <c r="B181">
        <v>7.0940000000000003</v>
      </c>
      <c r="C181">
        <v>7.4980000000000002</v>
      </c>
      <c r="D181">
        <v>7.04</v>
      </c>
      <c r="E181">
        <v>7.2240000000000002</v>
      </c>
      <c r="F181">
        <v>120541.982</v>
      </c>
      <c r="G181">
        <v>7.2240000000000002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-0.19650655021834021</v>
      </c>
      <c r="Q181">
        <f t="shared" ref="Q181" si="881">F181*P181</f>
        <v>-23687.289039301264</v>
      </c>
      <c r="R181">
        <f t="shared" ref="R181" si="882">R182+Q181</f>
        <v>-22658154.197937053</v>
      </c>
      <c r="S181">
        <f t="shared" ref="S181" si="883">R181/100000</f>
        <v>-226.58154197937051</v>
      </c>
      <c r="T181">
        <f t="shared" ref="T181" si="884">S181/1000</f>
        <v>-0.22658154197937053</v>
      </c>
    </row>
    <row r="182" spans="1:20" x14ac:dyDescent="0.25">
      <c r="A182" s="5">
        <v>44411</v>
      </c>
      <c r="B182">
        <v>7.3360000000000003</v>
      </c>
      <c r="C182">
        <v>7.6260000000000003</v>
      </c>
      <c r="D182">
        <v>7.0170000000000003</v>
      </c>
      <c r="E182">
        <v>7.0780000000000003</v>
      </c>
      <c r="F182">
        <v>183731.91699999999</v>
      </c>
      <c r="G182">
        <v>7.0780000000000003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-0.79967159277504118</v>
      </c>
      <c r="Q182">
        <f t="shared" ref="Q182" si="886">F182*P182</f>
        <v>-146925.19471100165</v>
      </c>
      <c r="R182">
        <f t="shared" ref="R182" si="887">R183+Q182</f>
        <v>-22634466.90889775</v>
      </c>
      <c r="S182">
        <f t="shared" ref="S182" si="888">R182/100000</f>
        <v>-226.3446690889775</v>
      </c>
      <c r="T182">
        <f t="shared" ref="T182" si="889">S182/1000</f>
        <v>-0.22634466908897749</v>
      </c>
    </row>
    <row r="183" spans="1:20" x14ac:dyDescent="0.25">
      <c r="A183" s="5">
        <v>44410</v>
      </c>
      <c r="B183">
        <v>6.7809999999999997</v>
      </c>
      <c r="C183">
        <v>7.9509999999999996</v>
      </c>
      <c r="D183">
        <v>6.75</v>
      </c>
      <c r="E183">
        <v>7.3339999999999996</v>
      </c>
      <c r="F183">
        <v>330807.761</v>
      </c>
      <c r="G183">
        <v>7.3339999999999996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-2.7477102414654765E-2</v>
      </c>
      <c r="Q183">
        <f t="shared" ref="Q183" si="891">F183*P183</f>
        <v>-9089.6387285596356</v>
      </c>
      <c r="R183">
        <f t="shared" ref="R183" si="892">R184+Q183</f>
        <v>-22487541.714186747</v>
      </c>
      <c r="S183">
        <f t="shared" ref="S183" si="893">R183/100000</f>
        <v>-224.87541714186747</v>
      </c>
      <c r="T183">
        <f t="shared" ref="T183" si="894">S183/1000</f>
        <v>-0.22487541714186748</v>
      </c>
    </row>
    <row r="184" spans="1:20" x14ac:dyDescent="0.25">
      <c r="A184" s="5">
        <v>44409</v>
      </c>
      <c r="B184">
        <v>7.0119999999999996</v>
      </c>
      <c r="C184">
        <v>7.1040000000000001</v>
      </c>
      <c r="D184">
        <v>6.78</v>
      </c>
      <c r="E184">
        <v>6.7949999999999999</v>
      </c>
      <c r="F184">
        <v>111480.17200000001</v>
      </c>
      <c r="G184">
        <v>6.7949999999999999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-0.90740740740740933</v>
      </c>
      <c r="Q184">
        <f t="shared" ref="Q184" si="896">F184*P184</f>
        <v>-101157.93385185207</v>
      </c>
      <c r="R184">
        <f t="shared" ref="R184" si="897">R185+Q184</f>
        <v>-22478452.075458188</v>
      </c>
      <c r="S184">
        <f t="shared" ref="S184" si="898">R184/100000</f>
        <v>-224.78452075458188</v>
      </c>
      <c r="T184">
        <f t="shared" ref="T184" si="899">S184/1000</f>
        <v>-0.22478452075458188</v>
      </c>
    </row>
    <row r="185" spans="1:20" x14ac:dyDescent="0.25">
      <c r="A185" s="5">
        <v>44408</v>
      </c>
      <c r="B185">
        <v>6.9050000000000002</v>
      </c>
      <c r="C185">
        <v>7.2</v>
      </c>
      <c r="D185">
        <v>6.7789999999999999</v>
      </c>
      <c r="E185">
        <v>7.0010000000000003</v>
      </c>
      <c r="F185">
        <v>142207.28099999999</v>
      </c>
      <c r="G185">
        <v>7.0010000000000003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5.4631828978623662E-2</v>
      </c>
      <c r="Q185">
        <f t="shared" ref="Q185" si="901">F185*P185</f>
        <v>7769.0438551070774</v>
      </c>
      <c r="R185">
        <f t="shared" ref="R185" si="902">R186+Q185</f>
        <v>-22377294.141606335</v>
      </c>
      <c r="S185">
        <f t="shared" ref="S185" si="903">R185/100000</f>
        <v>-223.77294141606333</v>
      </c>
      <c r="T185">
        <f t="shared" ref="T185" si="904">S185/1000</f>
        <v>-0.22377294141606333</v>
      </c>
    </row>
    <row r="186" spans="1:20" x14ac:dyDescent="0.25">
      <c r="A186" s="5">
        <v>44407</v>
      </c>
      <c r="B186">
        <v>6.7530000000000001</v>
      </c>
      <c r="C186">
        <v>7.18</v>
      </c>
      <c r="D186">
        <v>6.71</v>
      </c>
      <c r="E186">
        <v>6.9050000000000002</v>
      </c>
      <c r="F186">
        <v>182791.633</v>
      </c>
      <c r="G186">
        <v>6.9050000000000002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-0.17021276595744517</v>
      </c>
      <c r="Q186">
        <f t="shared" ref="Q186" si="906">F186*P186</f>
        <v>-31113.469446808213</v>
      </c>
      <c r="R186">
        <f t="shared" ref="R186" si="907">R187+Q186</f>
        <v>-22385063.185461443</v>
      </c>
      <c r="S186">
        <f t="shared" ref="S186" si="908">R186/100000</f>
        <v>-223.85063185461442</v>
      </c>
      <c r="T186">
        <f t="shared" ref="T186" si="909">S186/1000</f>
        <v>-0.22385063185461443</v>
      </c>
    </row>
    <row r="187" spans="1:20" x14ac:dyDescent="0.25">
      <c r="A187" s="5">
        <v>44406</v>
      </c>
      <c r="B187">
        <v>6.4039999999999999</v>
      </c>
      <c r="C187">
        <v>7.1989999999999998</v>
      </c>
      <c r="D187">
        <v>6.3659999999999997</v>
      </c>
      <c r="E187">
        <v>6.7389999999999999</v>
      </c>
      <c r="F187">
        <v>258145.95199999999</v>
      </c>
      <c r="G187">
        <v>6.7389999999999999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-0.10444177671068394</v>
      </c>
      <c r="Q187">
        <f t="shared" ref="Q187" si="911">F187*P187</f>
        <v>-26961.221877550935</v>
      </c>
      <c r="R187">
        <f t="shared" ref="R187" si="912">R188+Q187</f>
        <v>-22353949.716014635</v>
      </c>
      <c r="S187">
        <f t="shared" ref="S187" si="913">R187/100000</f>
        <v>-223.53949716014634</v>
      </c>
      <c r="T187">
        <f t="shared" ref="T187" si="914">S187/1000</f>
        <v>-0.22353949716014634</v>
      </c>
    </row>
    <row r="188" spans="1:20" x14ac:dyDescent="0.25">
      <c r="A188" s="5">
        <v>44405</v>
      </c>
      <c r="B188">
        <v>6.4619999999999997</v>
      </c>
      <c r="C188">
        <v>6.5</v>
      </c>
      <c r="D188">
        <v>6.2279999999999998</v>
      </c>
      <c r="E188">
        <v>6.39</v>
      </c>
      <c r="F188">
        <v>115749.791</v>
      </c>
      <c r="G188">
        <v>6.39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0.19117647058823367</v>
      </c>
      <c r="Q188">
        <f t="shared" ref="Q188" si="916">F188*P188</f>
        <v>22128.636514705693</v>
      </c>
      <c r="R188">
        <f t="shared" ref="R188" si="917">R189+Q188</f>
        <v>-22326988.494137082</v>
      </c>
      <c r="S188">
        <f t="shared" ref="S188" si="918">R188/100000</f>
        <v>-223.26988494137083</v>
      </c>
      <c r="T188">
        <f t="shared" ref="T188" si="919">S188/1000</f>
        <v>-0.22326988494137084</v>
      </c>
    </row>
    <row r="189" spans="1:20" x14ac:dyDescent="0.25">
      <c r="A189" s="5">
        <v>44404</v>
      </c>
      <c r="B189">
        <v>6.3319999999999999</v>
      </c>
      <c r="C189">
        <v>6.6989999999999998</v>
      </c>
      <c r="D189">
        <v>6.2229999999999999</v>
      </c>
      <c r="E189">
        <v>6.4589999999999996</v>
      </c>
      <c r="F189">
        <v>178575.98699999999</v>
      </c>
      <c r="G189">
        <v>6.4589999999999996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-8.4033613445387567E-3</v>
      </c>
      <c r="Q189">
        <f t="shared" ref="Q189" si="921">F189*P189</f>
        <v>-1500.6385462186554</v>
      </c>
      <c r="R189">
        <f t="shared" ref="R189" si="922">R190+Q189</f>
        <v>-22349117.130651787</v>
      </c>
      <c r="S189">
        <f t="shared" ref="S189" si="923">R189/100000</f>
        <v>-223.49117130651786</v>
      </c>
      <c r="T189">
        <f t="shared" ref="T189" si="924">S189/1000</f>
        <v>-0.22349117130651786</v>
      </c>
    </row>
    <row r="190" spans="1:20" x14ac:dyDescent="0.25">
      <c r="A190" s="5">
        <v>44403</v>
      </c>
      <c r="B190">
        <v>6.6230000000000002</v>
      </c>
      <c r="C190">
        <v>6.8</v>
      </c>
      <c r="D190">
        <v>6.24</v>
      </c>
      <c r="E190">
        <v>6.3559999999999999</v>
      </c>
      <c r="F190">
        <v>203903.69200000001</v>
      </c>
      <c r="G190">
        <v>6.3559999999999999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-0.58571428571428663</v>
      </c>
      <c r="Q190">
        <f t="shared" ref="Q190" si="926">F190*P190</f>
        <v>-119429.30531428591</v>
      </c>
      <c r="R190">
        <f t="shared" ref="R190" si="927">R191+Q190</f>
        <v>-22347616.49210557</v>
      </c>
      <c r="S190">
        <f t="shared" ref="S190" si="928">R190/100000</f>
        <v>-223.4761649210557</v>
      </c>
      <c r="T190">
        <f t="shared" ref="T190" si="929">S190/1000</f>
        <v>-0.22347616492105571</v>
      </c>
    </row>
    <row r="191" spans="1:20" x14ac:dyDescent="0.25">
      <c r="A191" s="5">
        <v>44402</v>
      </c>
      <c r="B191">
        <v>6.4809999999999999</v>
      </c>
      <c r="C191">
        <v>6.7030000000000003</v>
      </c>
      <c r="D191">
        <v>6.2859999999999996</v>
      </c>
      <c r="E191">
        <v>6.6269999999999998</v>
      </c>
      <c r="F191">
        <v>200206.913</v>
      </c>
      <c r="G191">
        <v>6.6269999999999998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0.63549160671462646</v>
      </c>
      <c r="Q191">
        <f t="shared" ref="Q191" si="931">F191*P191</f>
        <v>127229.81281774543</v>
      </c>
      <c r="R191">
        <f t="shared" ref="R191" si="932">R192+Q191</f>
        <v>-22228187.186791282</v>
      </c>
      <c r="S191">
        <f t="shared" ref="S191" si="933">R191/100000</f>
        <v>-222.28187186791283</v>
      </c>
      <c r="T191">
        <f t="shared" ref="T191:T197" si="934">S191/1000</f>
        <v>-0.22228187186791282</v>
      </c>
    </row>
    <row r="192" spans="1:20" x14ac:dyDescent="0.25">
      <c r="A192" s="5">
        <v>44401</v>
      </c>
      <c r="B192">
        <v>6.8559999999999999</v>
      </c>
      <c r="C192">
        <v>6.9889999999999999</v>
      </c>
      <c r="D192">
        <v>6.367</v>
      </c>
      <c r="E192">
        <v>6.4809999999999999</v>
      </c>
      <c r="F192">
        <v>223095.81299999999</v>
      </c>
      <c r="G192">
        <v>6.4809999999999999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-0.63344051446945371</v>
      </c>
      <c r="Q192">
        <f t="shared" ref="Q192" si="936">F192*P192</f>
        <v>-141317.92656270103</v>
      </c>
      <c r="R192">
        <f t="shared" ref="R192" si="937">R193+Q192</f>
        <v>-22355416.999609027</v>
      </c>
      <c r="S192">
        <f t="shared" ref="S192" si="938">R192/100000</f>
        <v>-223.55416999609028</v>
      </c>
      <c r="T192">
        <f t="shared" si="934"/>
        <v>-0.22355416999609029</v>
      </c>
    </row>
    <row r="193" spans="1:20" x14ac:dyDescent="0.25">
      <c r="A193" s="5">
        <v>44400</v>
      </c>
      <c r="B193">
        <v>6.2910000000000004</v>
      </c>
      <c r="C193">
        <v>7.27</v>
      </c>
      <c r="D193">
        <v>6.056</v>
      </c>
      <c r="E193">
        <v>6.8579999999999997</v>
      </c>
      <c r="F193">
        <v>442894.02</v>
      </c>
      <c r="G193">
        <v>6.8579999999999997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0.32125205930807232</v>
      </c>
      <c r="Q193">
        <f t="shared" ref="Q193" si="940">F193*P193</f>
        <v>142280.61598023056</v>
      </c>
      <c r="R193">
        <f t="shared" ref="R193" si="941">R194+Q193</f>
        <v>-22214099.073046327</v>
      </c>
      <c r="S193">
        <f t="shared" ref="S193" si="942">R193/100000</f>
        <v>-222.14099073046327</v>
      </c>
      <c r="T193">
        <f t="shared" si="934"/>
        <v>-0.22214099073046328</v>
      </c>
    </row>
    <row r="194" spans="1:20" x14ac:dyDescent="0.25">
      <c r="A194" s="5">
        <v>44399</v>
      </c>
      <c r="B194">
        <v>5.7359999999999998</v>
      </c>
      <c r="C194">
        <v>6.3739999999999997</v>
      </c>
      <c r="D194">
        <v>5.6429999999999998</v>
      </c>
      <c r="E194">
        <v>6.2910000000000004</v>
      </c>
      <c r="F194">
        <v>405140.54800000001</v>
      </c>
      <c r="G194">
        <v>6.2910000000000004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0.77291381668946835</v>
      </c>
      <c r="Q194">
        <f t="shared" ref="Q194" si="944">F194*P194</f>
        <v>313138.72725034278</v>
      </c>
      <c r="R194">
        <f t="shared" ref="R194" si="945">R195+Q194</f>
        <v>-22356379.689026557</v>
      </c>
      <c r="S194">
        <f t="shared" ref="S194" si="946">R194/100000</f>
        <v>-223.56379689026556</v>
      </c>
      <c r="T194">
        <f t="shared" si="934"/>
        <v>-0.22356379689026556</v>
      </c>
    </row>
    <row r="195" spans="1:20" x14ac:dyDescent="0.25">
      <c r="A195" s="5">
        <v>44398</v>
      </c>
      <c r="B195">
        <v>5.3360000000000003</v>
      </c>
      <c r="C195">
        <v>5.899</v>
      </c>
      <c r="D195">
        <v>5.29</v>
      </c>
      <c r="E195">
        <v>5.75</v>
      </c>
      <c r="F195">
        <v>261718.451</v>
      </c>
      <c r="G195">
        <v>5.75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0.51067323481116578</v>
      </c>
      <c r="Q195">
        <f t="shared" ref="Q195" si="948">F195*P195</f>
        <v>133652.60798193759</v>
      </c>
      <c r="R195">
        <f t="shared" ref="R195" si="949">R196+Q195</f>
        <v>-22669518.416276898</v>
      </c>
      <c r="S195">
        <f t="shared" ref="S195" si="950">R195/100000</f>
        <v>-226.69518416276898</v>
      </c>
      <c r="T195">
        <f t="shared" si="934"/>
        <v>-0.22669518416276899</v>
      </c>
    </row>
    <row r="196" spans="1:20" x14ac:dyDescent="0.25">
      <c r="A196" s="5">
        <v>44397</v>
      </c>
      <c r="B196">
        <v>5.57</v>
      </c>
      <c r="C196">
        <v>5.7489999999999997</v>
      </c>
      <c r="D196">
        <v>5.173</v>
      </c>
      <c r="E196">
        <v>5.3360000000000003</v>
      </c>
      <c r="F196">
        <v>223491.55100000001</v>
      </c>
      <c r="G196">
        <v>5.3360000000000003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-0.43402777777777651</v>
      </c>
      <c r="Q196">
        <f t="shared" ref="Q196" si="952">F196*P196</f>
        <v>-97001.541232638614</v>
      </c>
      <c r="R196">
        <f t="shared" ref="R196" si="953">R197+Q196</f>
        <v>-22803171.024258837</v>
      </c>
      <c r="S196">
        <f t="shared" ref="S196" si="954">R196/100000</f>
        <v>-228.03171024258836</v>
      </c>
      <c r="T196">
        <f t="shared" si="934"/>
        <v>-0.22803171024258836</v>
      </c>
    </row>
    <row r="197" spans="1:20" x14ac:dyDescent="0.25">
      <c r="A197" s="5">
        <v>44396</v>
      </c>
      <c r="B197">
        <v>5.3849999999999998</v>
      </c>
      <c r="C197">
        <v>5.8010000000000002</v>
      </c>
      <c r="D197">
        <v>5.2939999999999996</v>
      </c>
      <c r="E197">
        <v>5.569</v>
      </c>
      <c r="F197">
        <v>226362.99400000001</v>
      </c>
      <c r="G197">
        <v>3.42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8.4812623274161933E-2</v>
      </c>
      <c r="Q197">
        <f t="shared" ref="Q197" si="956">F197*P197</f>
        <v>19198.439333333379</v>
      </c>
      <c r="R197">
        <f t="shared" ref="R197" si="957">R198+Q197</f>
        <v>-22706169.483026199</v>
      </c>
      <c r="S197">
        <f t="shared" ref="S197" si="958">R197/100000</f>
        <v>-227.06169483026198</v>
      </c>
      <c r="T197">
        <f t="shared" si="934"/>
        <v>-0.22706169483026198</v>
      </c>
    </row>
    <row r="198" spans="1:20" x14ac:dyDescent="0.25">
      <c r="A198" s="5">
        <v>44395</v>
      </c>
      <c r="B198">
        <v>5.3620000000000001</v>
      </c>
      <c r="C198">
        <v>5.5750000000000002</v>
      </c>
      <c r="D198">
        <v>5.2690000000000001</v>
      </c>
      <c r="E198">
        <v>5.4</v>
      </c>
      <c r="F198">
        <v>57328.684999999998</v>
      </c>
      <c r="G198">
        <v>0.71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-0.14379084967320127</v>
      </c>
      <c r="Q198">
        <f t="shared" ref="Q198:Q261" si="960">F198*P198</f>
        <v>-8243.3403267973081</v>
      </c>
      <c r="R198">
        <f t="shared" ref="R198:R261" si="961">R199+Q198</f>
        <v>-22725367.922359534</v>
      </c>
      <c r="S198">
        <f t="shared" ref="S198:S261" si="962">R198/100000</f>
        <v>-227.25367922359533</v>
      </c>
      <c r="T198">
        <f t="shared" ref="T198:T261" si="963">S198/1000</f>
        <v>-0.22725367922359532</v>
      </c>
    </row>
    <row r="199" spans="1:20" x14ac:dyDescent="0.25">
      <c r="A199" s="5">
        <v>44394</v>
      </c>
      <c r="B199">
        <v>5.226</v>
      </c>
      <c r="C199">
        <v>5.5309999999999997</v>
      </c>
      <c r="D199">
        <v>5.17</v>
      </c>
      <c r="E199">
        <v>5.3520000000000003</v>
      </c>
      <c r="F199">
        <v>80057.986999999994</v>
      </c>
      <c r="G199">
        <v>2.41</v>
      </c>
      <c r="L199" t="s">
        <v>8</v>
      </c>
      <c r="M199" t="s">
        <v>7</v>
      </c>
      <c r="N199" t="s">
        <v>7</v>
      </c>
      <c r="P199">
        <f t="shared" si="959"/>
        <v>8.3102493074820056E-3</v>
      </c>
      <c r="Q199">
        <f t="shared" si="960"/>
        <v>665.30183102515332</v>
      </c>
      <c r="R199">
        <f t="shared" si="961"/>
        <v>-22717124.582032736</v>
      </c>
      <c r="S199">
        <f t="shared" si="962"/>
        <v>-227.17124582032736</v>
      </c>
      <c r="T199">
        <f t="shared" si="963"/>
        <v>-0.22717124582032736</v>
      </c>
    </row>
    <row r="200" spans="1:20" x14ac:dyDescent="0.25">
      <c r="A200" s="5">
        <v>44393</v>
      </c>
      <c r="B200">
        <v>5.4790000000000001</v>
      </c>
      <c r="C200">
        <v>5.6909999999999998</v>
      </c>
      <c r="D200">
        <v>5.1669999999999998</v>
      </c>
      <c r="E200">
        <v>5.226</v>
      </c>
      <c r="F200">
        <v>138313.66699999999</v>
      </c>
      <c r="G200">
        <v>-4.62</v>
      </c>
      <c r="L200" t="s">
        <v>7</v>
      </c>
      <c r="M200" t="s">
        <v>7</v>
      </c>
      <c r="N200" t="s">
        <v>7</v>
      </c>
      <c r="P200">
        <f t="shared" si="959"/>
        <v>-0.77480916030534286</v>
      </c>
      <c r="Q200">
        <f t="shared" si="960"/>
        <v>-107166.6961870228</v>
      </c>
      <c r="R200">
        <f t="shared" si="961"/>
        <v>-22717789.883863762</v>
      </c>
      <c r="S200">
        <f t="shared" si="962"/>
        <v>-227.17789883863762</v>
      </c>
      <c r="T200">
        <f t="shared" si="963"/>
        <v>-0.22717789883863762</v>
      </c>
    </row>
    <row r="201" spans="1:20" x14ac:dyDescent="0.25">
      <c r="A201" s="5">
        <v>44392</v>
      </c>
      <c r="B201">
        <v>5.8380000000000001</v>
      </c>
      <c r="C201">
        <v>6.0490000000000004</v>
      </c>
      <c r="D201">
        <v>5.415</v>
      </c>
      <c r="E201">
        <v>5.48</v>
      </c>
      <c r="F201">
        <v>193370.60800000001</v>
      </c>
      <c r="G201">
        <v>-6.13</v>
      </c>
      <c r="L201" t="s">
        <v>7</v>
      </c>
      <c r="M201" t="s">
        <v>7</v>
      </c>
      <c r="N201" t="s">
        <v>7</v>
      </c>
      <c r="P201">
        <f t="shared" si="959"/>
        <v>-0.79495268138801145</v>
      </c>
      <c r="Q201">
        <f t="shared" si="960"/>
        <v>-153720.48333123006</v>
      </c>
      <c r="R201">
        <f t="shared" si="961"/>
        <v>-22610623.187676739</v>
      </c>
      <c r="S201">
        <f t="shared" si="962"/>
        <v>-226.1062318767674</v>
      </c>
      <c r="T201">
        <f t="shared" si="963"/>
        <v>-0.2261062318767674</v>
      </c>
    </row>
    <row r="202" spans="1:20" x14ac:dyDescent="0.25">
      <c r="A202" s="5">
        <v>44391</v>
      </c>
      <c r="B202">
        <v>5.8</v>
      </c>
      <c r="C202">
        <v>6.1</v>
      </c>
      <c r="D202">
        <v>5.41</v>
      </c>
      <c r="E202">
        <v>5.84</v>
      </c>
      <c r="F202">
        <v>234071.4</v>
      </c>
      <c r="G202">
        <v>0.69</v>
      </c>
      <c r="L202" t="s">
        <v>8</v>
      </c>
      <c r="M202" t="s">
        <v>7</v>
      </c>
      <c r="N202" t="s">
        <v>7</v>
      </c>
      <c r="P202">
        <f t="shared" si="959"/>
        <v>0.24637681159420297</v>
      </c>
      <c r="Q202">
        <f t="shared" si="960"/>
        <v>57669.765217391316</v>
      </c>
      <c r="R202">
        <f t="shared" si="961"/>
        <v>-22456902.704345509</v>
      </c>
      <c r="S202">
        <f t="shared" si="962"/>
        <v>-224.56902704345509</v>
      </c>
      <c r="T202">
        <f t="shared" si="963"/>
        <v>-0.22456902704345511</v>
      </c>
    </row>
    <row r="203" spans="1:20" x14ac:dyDescent="0.25">
      <c r="A203" s="5">
        <v>44390</v>
      </c>
      <c r="B203">
        <v>5.6769999999999996</v>
      </c>
      <c r="C203">
        <v>5.9880000000000004</v>
      </c>
      <c r="D203">
        <v>5.4009999999999998</v>
      </c>
      <c r="E203">
        <v>5.8</v>
      </c>
      <c r="F203">
        <v>259350.49100000001</v>
      </c>
      <c r="G203">
        <v>2.17</v>
      </c>
      <c r="L203" t="s">
        <v>7</v>
      </c>
      <c r="M203" t="s">
        <v>7</v>
      </c>
      <c r="N203" t="s">
        <v>7</v>
      </c>
      <c r="P203">
        <f t="shared" si="959"/>
        <v>0.35945485519591003</v>
      </c>
      <c r="Q203">
        <f t="shared" si="960"/>
        <v>93224.793187393167</v>
      </c>
      <c r="R203">
        <f t="shared" si="961"/>
        <v>-22514572.469562899</v>
      </c>
      <c r="S203">
        <f t="shared" si="962"/>
        <v>-225.14572469562899</v>
      </c>
      <c r="T203">
        <f t="shared" si="963"/>
        <v>-0.22514572469562899</v>
      </c>
    </row>
    <row r="204" spans="1:20" x14ac:dyDescent="0.25">
      <c r="A204" s="5">
        <v>44389</v>
      </c>
      <c r="B204">
        <v>5.0949999999999998</v>
      </c>
      <c r="C204">
        <v>6.4130000000000003</v>
      </c>
      <c r="D204">
        <v>5.016</v>
      </c>
      <c r="E204">
        <v>5.6769999999999996</v>
      </c>
      <c r="F204">
        <v>659968.93500000006</v>
      </c>
      <c r="G204">
        <v>11.42</v>
      </c>
      <c r="L204" t="s">
        <v>8</v>
      </c>
      <c r="M204" t="s">
        <v>8</v>
      </c>
      <c r="N204" t="s">
        <v>7</v>
      </c>
      <c r="P204">
        <f t="shared" si="959"/>
        <v>-5.3686471009306409E-2</v>
      </c>
      <c r="Q204">
        <f t="shared" si="960"/>
        <v>-35431.40309592033</v>
      </c>
      <c r="R204">
        <f t="shared" si="961"/>
        <v>-22607797.262750294</v>
      </c>
      <c r="S204">
        <f t="shared" si="962"/>
        <v>-226.07797262750293</v>
      </c>
      <c r="T204">
        <f t="shared" si="963"/>
        <v>-0.22607797262750293</v>
      </c>
    </row>
    <row r="205" spans="1:20" x14ac:dyDescent="0.25">
      <c r="A205" s="5">
        <v>44388</v>
      </c>
      <c r="B205">
        <v>5.0759999999999996</v>
      </c>
      <c r="C205">
        <v>5.49</v>
      </c>
      <c r="D205">
        <v>5.0330000000000004</v>
      </c>
      <c r="E205">
        <v>5.0940000000000003</v>
      </c>
      <c r="F205">
        <v>337301.37099999998</v>
      </c>
      <c r="G205">
        <v>0.35</v>
      </c>
      <c r="L205" t="s">
        <v>8</v>
      </c>
      <c r="M205" t="s">
        <v>7</v>
      </c>
      <c r="N205" t="s">
        <v>7</v>
      </c>
      <c r="P205">
        <f t="shared" si="959"/>
        <v>-0.7330415754923415</v>
      </c>
      <c r="Q205">
        <f t="shared" si="960"/>
        <v>-247255.92841356678</v>
      </c>
      <c r="R205">
        <f t="shared" si="961"/>
        <v>-22572365.859654374</v>
      </c>
      <c r="S205">
        <f t="shared" si="962"/>
        <v>-225.72365859654374</v>
      </c>
      <c r="T205">
        <f t="shared" si="963"/>
        <v>-0.22572365859654375</v>
      </c>
    </row>
    <row r="206" spans="1:20" x14ac:dyDescent="0.25">
      <c r="A206" s="5">
        <v>44387</v>
      </c>
      <c r="B206">
        <v>4.9379999999999997</v>
      </c>
      <c r="C206">
        <v>5.2</v>
      </c>
      <c r="D206">
        <v>4.88</v>
      </c>
      <c r="E206">
        <v>5.0759999999999996</v>
      </c>
      <c r="F206">
        <v>121558.647</v>
      </c>
      <c r="G206">
        <v>2.79</v>
      </c>
      <c r="L206" t="s">
        <v>8</v>
      </c>
      <c r="M206" t="s">
        <v>7</v>
      </c>
      <c r="N206" t="s">
        <v>7</v>
      </c>
      <c r="P206">
        <f t="shared" si="959"/>
        <v>0.22499999999999723</v>
      </c>
      <c r="Q206">
        <f t="shared" si="960"/>
        <v>27350.695574999663</v>
      </c>
      <c r="R206">
        <f t="shared" si="961"/>
        <v>-22325109.931240808</v>
      </c>
      <c r="S206">
        <f t="shared" si="962"/>
        <v>-223.25109931240809</v>
      </c>
      <c r="T206">
        <f t="shared" si="963"/>
        <v>-0.22325109931240808</v>
      </c>
    </row>
    <row r="207" spans="1:20" x14ac:dyDescent="0.25">
      <c r="A207" s="5">
        <v>44386</v>
      </c>
      <c r="B207">
        <v>4.8849999999999998</v>
      </c>
      <c r="C207">
        <v>4.99</v>
      </c>
      <c r="D207">
        <v>4.7039999999999997</v>
      </c>
      <c r="E207">
        <v>4.9509999999999996</v>
      </c>
      <c r="F207">
        <v>105893.75999999999</v>
      </c>
      <c r="G207">
        <v>1.35</v>
      </c>
      <c r="L207" t="s">
        <v>7</v>
      </c>
      <c r="M207" t="s">
        <v>7</v>
      </c>
      <c r="N207" t="s">
        <v>7</v>
      </c>
      <c r="P207">
        <f t="shared" si="959"/>
        <v>0.72727272727272363</v>
      </c>
      <c r="Q207">
        <f t="shared" si="960"/>
        <v>77013.643636363253</v>
      </c>
      <c r="R207">
        <f t="shared" si="961"/>
        <v>-22352460.626815807</v>
      </c>
      <c r="S207">
        <f t="shared" si="962"/>
        <v>-223.52460626815807</v>
      </c>
      <c r="T207">
        <f t="shared" si="963"/>
        <v>-0.22352460626815807</v>
      </c>
    </row>
    <row r="208" spans="1:20" x14ac:dyDescent="0.25">
      <c r="A208" s="5">
        <v>44385</v>
      </c>
      <c r="B208">
        <v>5.05</v>
      </c>
      <c r="C208">
        <v>5.07</v>
      </c>
      <c r="D208">
        <v>4.87</v>
      </c>
      <c r="E208">
        <v>4.9009999999999998</v>
      </c>
      <c r="F208">
        <v>152870.17199999999</v>
      </c>
      <c r="G208">
        <v>-2.95</v>
      </c>
      <c r="L208" t="s">
        <v>7</v>
      </c>
      <c r="M208" t="s">
        <v>7</v>
      </c>
      <c r="N208" t="s">
        <v>7</v>
      </c>
      <c r="P208">
        <f t="shared" si="959"/>
        <v>-0.69000000000000328</v>
      </c>
      <c r="Q208">
        <f t="shared" si="960"/>
        <v>-105480.4186800005</v>
      </c>
      <c r="R208">
        <f t="shared" si="961"/>
        <v>-22429474.270452172</v>
      </c>
      <c r="S208">
        <f t="shared" si="962"/>
        <v>-224.29474270452172</v>
      </c>
      <c r="T208">
        <f t="shared" si="963"/>
        <v>-0.22429474270452171</v>
      </c>
    </row>
    <row r="209" spans="1:20" x14ac:dyDescent="0.25">
      <c r="A209" s="5">
        <v>44384</v>
      </c>
      <c r="B209">
        <v>5.0410000000000004</v>
      </c>
      <c r="C209">
        <v>5.1820000000000004</v>
      </c>
      <c r="D209">
        <v>4.931</v>
      </c>
      <c r="E209">
        <v>5.05</v>
      </c>
      <c r="F209">
        <v>256866.698</v>
      </c>
      <c r="G209">
        <v>0.18</v>
      </c>
      <c r="L209" t="s">
        <v>7</v>
      </c>
      <c r="M209" t="s">
        <v>7</v>
      </c>
      <c r="N209" t="s">
        <v>7</v>
      </c>
      <c r="P209">
        <f t="shared" si="959"/>
        <v>-5.1792828685262041E-2</v>
      </c>
      <c r="Q209">
        <f t="shared" si="960"/>
        <v>-13303.852884462942</v>
      </c>
      <c r="R209">
        <f t="shared" si="961"/>
        <v>-22323993.851772171</v>
      </c>
      <c r="S209">
        <f t="shared" si="962"/>
        <v>-223.2399385177217</v>
      </c>
      <c r="T209">
        <f t="shared" si="963"/>
        <v>-0.2232399385177217</v>
      </c>
    </row>
    <row r="210" spans="1:20" x14ac:dyDescent="0.25">
      <c r="A210" s="5">
        <v>44383</v>
      </c>
      <c r="B210">
        <v>4.9950000000000001</v>
      </c>
      <c r="C210">
        <v>5.1849999999999996</v>
      </c>
      <c r="D210">
        <v>4.9480000000000004</v>
      </c>
      <c r="E210">
        <v>5.0209999999999999</v>
      </c>
      <c r="F210">
        <v>225593.97099999999</v>
      </c>
      <c r="G210">
        <v>0.52</v>
      </c>
      <c r="L210" t="s">
        <v>7</v>
      </c>
      <c r="M210" t="s">
        <v>7</v>
      </c>
      <c r="N210" t="s">
        <v>7</v>
      </c>
      <c r="P210">
        <f t="shared" si="959"/>
        <v>-0.38396624472574048</v>
      </c>
      <c r="Q210">
        <f t="shared" si="960"/>
        <v>-86620.469877637603</v>
      </c>
      <c r="R210">
        <f t="shared" si="961"/>
        <v>-22310689.998887707</v>
      </c>
      <c r="S210">
        <f t="shared" si="962"/>
        <v>-223.10689998887707</v>
      </c>
      <c r="T210">
        <f t="shared" si="963"/>
        <v>-0.22310689998887706</v>
      </c>
    </row>
    <row r="211" spans="1:20" x14ac:dyDescent="0.25">
      <c r="A211" s="5">
        <v>44382</v>
      </c>
      <c r="B211">
        <v>5.032</v>
      </c>
      <c r="C211">
        <v>5.3639999999999999</v>
      </c>
      <c r="D211">
        <v>4.9269999999999996</v>
      </c>
      <c r="E211">
        <v>5.0030000000000001</v>
      </c>
      <c r="F211">
        <v>255865.01</v>
      </c>
      <c r="G211">
        <v>-0.57999999999999996</v>
      </c>
      <c r="L211" t="s">
        <v>7</v>
      </c>
      <c r="M211" t="s">
        <v>7</v>
      </c>
      <c r="N211" t="s">
        <v>7</v>
      </c>
      <c r="P211">
        <f t="shared" si="959"/>
        <v>-0.65217391304347616</v>
      </c>
      <c r="Q211">
        <f t="shared" si="960"/>
        <v>-166868.48478260817</v>
      </c>
      <c r="R211">
        <f t="shared" si="961"/>
        <v>-22224069.529010069</v>
      </c>
      <c r="S211">
        <f t="shared" si="962"/>
        <v>-222.24069529010069</v>
      </c>
      <c r="T211">
        <f t="shared" si="963"/>
        <v>-0.22224069529010068</v>
      </c>
    </row>
    <row r="212" spans="1:20" x14ac:dyDescent="0.25">
      <c r="A212" s="5">
        <v>44381</v>
      </c>
      <c r="B212">
        <v>4.9939999999999998</v>
      </c>
      <c r="C212">
        <v>5.4429999999999996</v>
      </c>
      <c r="D212">
        <v>4.9089999999999998</v>
      </c>
      <c r="E212">
        <v>5.032</v>
      </c>
      <c r="F212">
        <v>240305.35699999999</v>
      </c>
      <c r="G212">
        <v>0.76</v>
      </c>
      <c r="L212" t="s">
        <v>8</v>
      </c>
      <c r="M212" t="s">
        <v>7</v>
      </c>
      <c r="N212" t="s">
        <v>7</v>
      </c>
      <c r="P212">
        <f t="shared" si="959"/>
        <v>-0.5393258426966282</v>
      </c>
      <c r="Q212">
        <f t="shared" si="960"/>
        <v>-129602.88916853907</v>
      </c>
      <c r="R212">
        <f t="shared" si="961"/>
        <v>-22057201.044227462</v>
      </c>
      <c r="S212">
        <f t="shared" si="962"/>
        <v>-220.57201044227463</v>
      </c>
      <c r="T212">
        <f t="shared" si="963"/>
        <v>-0.22057201044227462</v>
      </c>
    </row>
    <row r="213" spans="1:20" x14ac:dyDescent="0.25">
      <c r="A213" s="5">
        <v>44380</v>
      </c>
      <c r="B213">
        <v>4.9859999999999998</v>
      </c>
      <c r="C213">
        <v>5.0549999999999997</v>
      </c>
      <c r="D213">
        <v>4.8929999999999998</v>
      </c>
      <c r="E213">
        <v>4.9939999999999998</v>
      </c>
      <c r="F213">
        <v>123629.13099999999</v>
      </c>
      <c r="G213">
        <v>0.16</v>
      </c>
      <c r="L213" t="s">
        <v>7</v>
      </c>
      <c r="M213" t="s">
        <v>7</v>
      </c>
      <c r="N213" t="s">
        <v>7</v>
      </c>
      <c r="P213">
        <f t="shared" si="959"/>
        <v>0.24691358024691393</v>
      </c>
      <c r="Q213">
        <f t="shared" si="960"/>
        <v>30525.711358024731</v>
      </c>
      <c r="R213">
        <f t="shared" si="961"/>
        <v>-21927598.155058924</v>
      </c>
      <c r="S213">
        <f t="shared" si="962"/>
        <v>-219.27598155058925</v>
      </c>
      <c r="T213">
        <f t="shared" si="963"/>
        <v>-0.21927598155058925</v>
      </c>
    </row>
    <row r="214" spans="1:20" x14ac:dyDescent="0.25">
      <c r="A214" s="5">
        <v>44379</v>
      </c>
      <c r="B214">
        <v>5.0640000000000001</v>
      </c>
      <c r="C214">
        <v>5.1029999999999998</v>
      </c>
      <c r="D214">
        <v>4.8739999999999997</v>
      </c>
      <c r="E214">
        <v>4.9749999999999996</v>
      </c>
      <c r="F214">
        <v>209515.84</v>
      </c>
      <c r="G214">
        <v>-1.76</v>
      </c>
      <c r="L214" t="s">
        <v>7</v>
      </c>
      <c r="M214" t="s">
        <v>7</v>
      </c>
      <c r="N214" t="s">
        <v>7</v>
      </c>
      <c r="P214">
        <f t="shared" si="959"/>
        <v>-0.11790393013100491</v>
      </c>
      <c r="Q214">
        <f t="shared" si="960"/>
        <v>-24702.740960698804</v>
      </c>
      <c r="R214">
        <f t="shared" si="961"/>
        <v>-21958123.86641695</v>
      </c>
      <c r="S214">
        <f t="shared" si="962"/>
        <v>-219.58123866416949</v>
      </c>
      <c r="T214">
        <f t="shared" si="963"/>
        <v>-0.21958123866416948</v>
      </c>
    </row>
    <row r="215" spans="1:20" x14ac:dyDescent="0.25">
      <c r="A215" s="5">
        <v>44378</v>
      </c>
      <c r="B215">
        <v>5.0590000000000002</v>
      </c>
      <c r="C215">
        <v>5.4210000000000003</v>
      </c>
      <c r="D215">
        <v>4.8330000000000002</v>
      </c>
      <c r="E215">
        <v>5.0750000000000002</v>
      </c>
      <c r="F215">
        <v>447437.391</v>
      </c>
      <c r="G215">
        <v>0.32</v>
      </c>
      <c r="L215" t="s">
        <v>8</v>
      </c>
      <c r="M215" t="s">
        <v>7</v>
      </c>
      <c r="N215" t="s">
        <v>7</v>
      </c>
      <c r="P215">
        <f t="shared" si="959"/>
        <v>-0.17687074829931987</v>
      </c>
      <c r="Q215">
        <f t="shared" si="960"/>
        <v>-79138.586163265369</v>
      </c>
      <c r="R215">
        <f t="shared" si="961"/>
        <v>-21933421.125456251</v>
      </c>
      <c r="S215">
        <f t="shared" si="962"/>
        <v>-219.33421125456252</v>
      </c>
      <c r="T215">
        <f t="shared" si="963"/>
        <v>-0.21933421125456251</v>
      </c>
    </row>
    <row r="216" spans="1:20" x14ac:dyDescent="0.25">
      <c r="A216" s="5">
        <v>44377</v>
      </c>
      <c r="B216">
        <v>5.1120000000000001</v>
      </c>
      <c r="C216">
        <v>5.226</v>
      </c>
      <c r="D216">
        <v>4.8659999999999997</v>
      </c>
      <c r="E216">
        <v>5.0529999999999999</v>
      </c>
      <c r="F216">
        <v>183106.652</v>
      </c>
      <c r="G216">
        <v>-1.1499999999999999</v>
      </c>
      <c r="L216" t="s">
        <v>7</v>
      </c>
      <c r="M216" t="s">
        <v>7</v>
      </c>
      <c r="N216" t="s">
        <v>7</v>
      </c>
      <c r="P216">
        <f t="shared" si="959"/>
        <v>3.8888888888889507E-2</v>
      </c>
      <c r="Q216">
        <f t="shared" si="960"/>
        <v>7120.8142444445575</v>
      </c>
      <c r="R216">
        <f t="shared" si="961"/>
        <v>-21854282.539292987</v>
      </c>
      <c r="S216">
        <f t="shared" si="962"/>
        <v>-218.54282539292987</v>
      </c>
      <c r="T216">
        <f t="shared" si="963"/>
        <v>-0.21854282539292988</v>
      </c>
    </row>
    <row r="217" spans="1:20" x14ac:dyDescent="0.25">
      <c r="A217" s="5">
        <v>44376</v>
      </c>
      <c r="B217">
        <v>5.04</v>
      </c>
      <c r="C217">
        <v>5.3</v>
      </c>
      <c r="D217">
        <v>5.0140000000000002</v>
      </c>
      <c r="E217">
        <v>5.1130000000000004</v>
      </c>
      <c r="F217">
        <v>278855.348</v>
      </c>
      <c r="G217">
        <v>1.45</v>
      </c>
      <c r="L217" t="s">
        <v>8</v>
      </c>
      <c r="M217" t="s">
        <v>7</v>
      </c>
      <c r="N217" t="s">
        <v>7</v>
      </c>
      <c r="P217">
        <f t="shared" si="959"/>
        <v>-0.30769230769230532</v>
      </c>
      <c r="Q217">
        <f t="shared" si="960"/>
        <v>-85801.645538460871</v>
      </c>
      <c r="R217">
        <f t="shared" si="961"/>
        <v>-21861403.353537433</v>
      </c>
      <c r="S217">
        <f t="shared" si="962"/>
        <v>-218.61403353537432</v>
      </c>
      <c r="T217">
        <f t="shared" si="963"/>
        <v>-0.21861403353537431</v>
      </c>
    </row>
    <row r="218" spans="1:20" x14ac:dyDescent="0.25">
      <c r="A218" s="5">
        <v>44375</v>
      </c>
      <c r="B218">
        <v>5.0350000000000001</v>
      </c>
      <c r="C218">
        <v>5.1289999999999996</v>
      </c>
      <c r="D218">
        <v>4.88</v>
      </c>
      <c r="E218">
        <v>5.0389999999999997</v>
      </c>
      <c r="F218">
        <v>141447.33300000001</v>
      </c>
      <c r="G218">
        <v>0.08</v>
      </c>
      <c r="L218" t="s">
        <v>8</v>
      </c>
      <c r="M218" t="s">
        <v>7</v>
      </c>
      <c r="N218" t="s">
        <v>7</v>
      </c>
      <c r="P218">
        <f t="shared" si="959"/>
        <v>0.27710843373493993</v>
      </c>
      <c r="Q218">
        <f t="shared" si="960"/>
        <v>39196.248903614483</v>
      </c>
      <c r="R218">
        <f t="shared" si="961"/>
        <v>-21775601.707998972</v>
      </c>
      <c r="S218">
        <f t="shared" si="962"/>
        <v>-217.75601707998973</v>
      </c>
      <c r="T218">
        <f t="shared" si="963"/>
        <v>-0.21775601707998973</v>
      </c>
    </row>
    <row r="219" spans="1:20" x14ac:dyDescent="0.25">
      <c r="A219" s="5">
        <v>44374</v>
      </c>
      <c r="B219">
        <v>5.03</v>
      </c>
      <c r="C219">
        <v>5.0990000000000002</v>
      </c>
      <c r="D219">
        <v>4.7839999999999998</v>
      </c>
      <c r="E219">
        <v>5.0199999999999996</v>
      </c>
      <c r="F219">
        <v>160221.13200000001</v>
      </c>
      <c r="G219">
        <v>-0.2</v>
      </c>
      <c r="L219" t="s">
        <v>8</v>
      </c>
      <c r="M219" t="s">
        <v>7</v>
      </c>
      <c r="N219" t="s">
        <v>7</v>
      </c>
      <c r="P219">
        <f t="shared" si="959"/>
        <v>0.49841269841269509</v>
      </c>
      <c r="Q219">
        <f t="shared" si="960"/>
        <v>79856.246742856616</v>
      </c>
      <c r="R219">
        <f t="shared" si="961"/>
        <v>-21814797.956902586</v>
      </c>
      <c r="S219">
        <f t="shared" si="962"/>
        <v>-218.14797956902586</v>
      </c>
      <c r="T219">
        <f t="shared" si="963"/>
        <v>-0.21814797956902587</v>
      </c>
    </row>
    <row r="220" spans="1:20" x14ac:dyDescent="0.25">
      <c r="A220" s="5">
        <v>44373</v>
      </c>
      <c r="B220">
        <v>4.8760000000000003</v>
      </c>
      <c r="C220">
        <v>5.343</v>
      </c>
      <c r="D220">
        <v>4.6630000000000003</v>
      </c>
      <c r="E220">
        <v>5.0490000000000004</v>
      </c>
      <c r="F220">
        <v>259427.39199999999</v>
      </c>
      <c r="G220">
        <v>3.55</v>
      </c>
      <c r="L220" t="s">
        <v>7</v>
      </c>
      <c r="M220" t="s">
        <v>7</v>
      </c>
      <c r="N220" t="s">
        <v>7</v>
      </c>
      <c r="P220">
        <f t="shared" si="959"/>
        <v>0.13529411764705965</v>
      </c>
      <c r="Q220">
        <f t="shared" si="960"/>
        <v>35099.000094117859</v>
      </c>
      <c r="R220">
        <f t="shared" si="961"/>
        <v>-21894654.203645442</v>
      </c>
      <c r="S220">
        <f t="shared" si="962"/>
        <v>-218.94654203645442</v>
      </c>
      <c r="T220">
        <f t="shared" si="963"/>
        <v>-0.21894654203645442</v>
      </c>
    </row>
    <row r="221" spans="1:20" x14ac:dyDescent="0.25">
      <c r="A221" s="5">
        <v>44372</v>
      </c>
      <c r="B221">
        <v>5.2850000000000001</v>
      </c>
      <c r="C221">
        <v>5.45</v>
      </c>
      <c r="D221">
        <v>4.76</v>
      </c>
      <c r="E221">
        <v>4.899</v>
      </c>
      <c r="F221">
        <v>313789.52100000001</v>
      </c>
      <c r="G221">
        <v>-7.3</v>
      </c>
      <c r="L221" t="s">
        <v>7</v>
      </c>
      <c r="M221" t="s">
        <v>7</v>
      </c>
      <c r="N221" t="s">
        <v>7</v>
      </c>
      <c r="P221">
        <f t="shared" si="959"/>
        <v>-0.59710144927536191</v>
      </c>
      <c r="Q221">
        <f t="shared" si="960"/>
        <v>-187364.17775652162</v>
      </c>
      <c r="R221">
        <f t="shared" si="961"/>
        <v>-21929753.203739561</v>
      </c>
      <c r="S221">
        <f t="shared" si="962"/>
        <v>-219.2975320373956</v>
      </c>
      <c r="T221">
        <f t="shared" si="963"/>
        <v>-0.2192975320373956</v>
      </c>
    </row>
    <row r="222" spans="1:20" x14ac:dyDescent="0.25">
      <c r="A222" s="5">
        <v>44371</v>
      </c>
      <c r="B222">
        <v>5.202</v>
      </c>
      <c r="C222">
        <v>5.5</v>
      </c>
      <c r="D222">
        <v>5.0060000000000002</v>
      </c>
      <c r="E222">
        <v>5.2809999999999997</v>
      </c>
      <c r="F222">
        <v>651598.38699999999</v>
      </c>
      <c r="G222">
        <v>1.52</v>
      </c>
      <c r="L222" t="s">
        <v>7</v>
      </c>
      <c r="M222" t="s">
        <v>7</v>
      </c>
      <c r="N222" t="s">
        <v>7</v>
      </c>
      <c r="P222">
        <f t="shared" si="959"/>
        <v>0.11336032388663803</v>
      </c>
      <c r="Q222">
        <f t="shared" si="960"/>
        <v>73865.404194330913</v>
      </c>
      <c r="R222">
        <f t="shared" si="961"/>
        <v>-21742389.025983039</v>
      </c>
      <c r="S222">
        <f t="shared" si="962"/>
        <v>-217.42389025983039</v>
      </c>
      <c r="T222">
        <f t="shared" si="963"/>
        <v>-0.21742389025983039</v>
      </c>
    </row>
    <row r="223" spans="1:20" x14ac:dyDescent="0.25">
      <c r="A223" s="5">
        <v>44370</v>
      </c>
      <c r="B223">
        <v>4.9820000000000002</v>
      </c>
      <c r="C223">
        <v>5.4960000000000004</v>
      </c>
      <c r="D223">
        <v>4.8579999999999997</v>
      </c>
      <c r="E223">
        <v>5.2</v>
      </c>
      <c r="F223">
        <v>128836.40300000001</v>
      </c>
      <c r="G223">
        <v>4.38</v>
      </c>
      <c r="L223" t="s">
        <v>8</v>
      </c>
      <c r="M223" t="s">
        <v>7</v>
      </c>
      <c r="N223" t="s">
        <v>7</v>
      </c>
      <c r="P223">
        <f t="shared" si="959"/>
        <v>7.2100313479624145E-2</v>
      </c>
      <c r="Q223">
        <f t="shared" si="960"/>
        <v>9289.1450438871889</v>
      </c>
      <c r="R223">
        <f t="shared" si="961"/>
        <v>-21816254.430177372</v>
      </c>
      <c r="S223">
        <f t="shared" si="962"/>
        <v>-218.16254430177372</v>
      </c>
      <c r="T223">
        <f t="shared" si="963"/>
        <v>-0.21816254430177373</v>
      </c>
    </row>
    <row r="224" spans="1:20" x14ac:dyDescent="0.25">
      <c r="A224" s="5">
        <v>44369</v>
      </c>
      <c r="B224">
        <v>4.8970000000000002</v>
      </c>
      <c r="C224">
        <v>5.2409999999999997</v>
      </c>
      <c r="D224">
        <v>4.6260000000000003</v>
      </c>
      <c r="E224">
        <v>4.9770000000000003</v>
      </c>
      <c r="F224">
        <v>306091.06099999999</v>
      </c>
      <c r="G224">
        <v>1.63</v>
      </c>
      <c r="L224" t="s">
        <v>7</v>
      </c>
      <c r="M224" t="s">
        <v>7</v>
      </c>
      <c r="N224" t="s">
        <v>7</v>
      </c>
      <c r="P224">
        <f t="shared" si="959"/>
        <v>0.14146341463414752</v>
      </c>
      <c r="Q224">
        <f t="shared" si="960"/>
        <v>43300.68667804914</v>
      </c>
      <c r="R224">
        <f t="shared" si="961"/>
        <v>-21825543.575221259</v>
      </c>
      <c r="S224">
        <f t="shared" si="962"/>
        <v>-218.25543575221261</v>
      </c>
      <c r="T224">
        <f t="shared" si="963"/>
        <v>-0.2182554357522126</v>
      </c>
    </row>
    <row r="225" spans="1:20" x14ac:dyDescent="0.25">
      <c r="A225" s="5">
        <v>44368</v>
      </c>
      <c r="B225">
        <v>6.1189999999999998</v>
      </c>
      <c r="C225">
        <v>6.1379999999999999</v>
      </c>
      <c r="D225">
        <v>4.8579999999999997</v>
      </c>
      <c r="E225">
        <v>4.9210000000000003</v>
      </c>
      <c r="F225">
        <v>243557.43599999999</v>
      </c>
      <c r="G225">
        <v>-19.579999999999998</v>
      </c>
      <c r="L225" t="s">
        <v>7</v>
      </c>
      <c r="M225" t="s">
        <v>7</v>
      </c>
      <c r="N225" t="s">
        <v>7</v>
      </c>
      <c r="P225">
        <f t="shared" si="959"/>
        <v>-0.90156249999999905</v>
      </c>
      <c r="Q225">
        <f t="shared" si="960"/>
        <v>-219582.25089374976</v>
      </c>
      <c r="R225">
        <f t="shared" si="961"/>
        <v>-21868844.261899307</v>
      </c>
      <c r="S225">
        <f t="shared" si="962"/>
        <v>-218.68844261899307</v>
      </c>
      <c r="T225">
        <f t="shared" si="963"/>
        <v>-0.21868844261899306</v>
      </c>
    </row>
    <row r="226" spans="1:20" x14ac:dyDescent="0.25">
      <c r="A226" s="5">
        <v>44367</v>
      </c>
      <c r="B226">
        <v>6.3620000000000001</v>
      </c>
      <c r="C226">
        <v>6.55</v>
      </c>
      <c r="D226">
        <v>5.7489999999999997</v>
      </c>
      <c r="E226">
        <v>6.1189999999999998</v>
      </c>
      <c r="F226">
        <v>247184.50399999999</v>
      </c>
      <c r="G226">
        <v>-3.82</v>
      </c>
      <c r="L226" t="s">
        <v>7</v>
      </c>
      <c r="M226" t="s">
        <v>7</v>
      </c>
      <c r="N226" t="s">
        <v>7</v>
      </c>
      <c r="P226">
        <f t="shared" si="959"/>
        <v>-7.6154806491885052E-2</v>
      </c>
      <c r="Q226">
        <f t="shared" si="960"/>
        <v>-18824.288069912585</v>
      </c>
      <c r="R226">
        <f t="shared" si="961"/>
        <v>-21649262.011005558</v>
      </c>
      <c r="S226">
        <f t="shared" si="962"/>
        <v>-216.49262011005558</v>
      </c>
      <c r="T226">
        <f t="shared" si="963"/>
        <v>-0.21649262011005557</v>
      </c>
    </row>
    <row r="227" spans="1:20" x14ac:dyDescent="0.25">
      <c r="A227" s="5">
        <v>44366</v>
      </c>
      <c r="B227">
        <v>6.2409999999999997</v>
      </c>
      <c r="C227">
        <v>6.7939999999999996</v>
      </c>
      <c r="D227">
        <v>6.0880000000000001</v>
      </c>
      <c r="E227">
        <v>6.3479999999999999</v>
      </c>
      <c r="F227">
        <v>297423.94099999999</v>
      </c>
      <c r="G227">
        <v>1.71</v>
      </c>
      <c r="L227" t="s">
        <v>8</v>
      </c>
      <c r="M227" t="s">
        <v>8</v>
      </c>
      <c r="N227" t="s">
        <v>7</v>
      </c>
      <c r="P227">
        <f t="shared" si="959"/>
        <v>-0.26345609065155817</v>
      </c>
      <c r="Q227">
        <f t="shared" si="960"/>
        <v>-78358.14876203968</v>
      </c>
      <c r="R227">
        <f t="shared" si="961"/>
        <v>-21630437.722935647</v>
      </c>
      <c r="S227">
        <f t="shared" si="962"/>
        <v>-216.30437722935648</v>
      </c>
      <c r="T227">
        <f t="shared" si="963"/>
        <v>-0.21630437722935647</v>
      </c>
    </row>
    <row r="228" spans="1:20" x14ac:dyDescent="0.25">
      <c r="A228" s="5">
        <v>44365</v>
      </c>
      <c r="B228">
        <v>6.4059999999999997</v>
      </c>
      <c r="C228">
        <v>6.82</v>
      </c>
      <c r="D228">
        <v>5.9560000000000004</v>
      </c>
      <c r="E228">
        <v>6.2629999999999999</v>
      </c>
      <c r="F228">
        <v>325173.83299999998</v>
      </c>
      <c r="G228">
        <v>-2.23</v>
      </c>
      <c r="L228" t="s">
        <v>7</v>
      </c>
      <c r="M228" t="s">
        <v>8</v>
      </c>
      <c r="N228" t="s">
        <v>7</v>
      </c>
      <c r="P228">
        <f t="shared" si="959"/>
        <v>-0.28935185185185291</v>
      </c>
      <c r="Q228">
        <f t="shared" si="960"/>
        <v>-94089.650752315152</v>
      </c>
      <c r="R228">
        <f t="shared" si="961"/>
        <v>-21552079.574173607</v>
      </c>
      <c r="S228">
        <f t="shared" si="962"/>
        <v>-215.52079574173607</v>
      </c>
      <c r="T228">
        <f t="shared" si="963"/>
        <v>-0.21552079574173608</v>
      </c>
    </row>
    <row r="229" spans="1:20" x14ac:dyDescent="0.25">
      <c r="A229" s="5">
        <v>44364</v>
      </c>
      <c r="B229">
        <v>6.0170000000000003</v>
      </c>
      <c r="C229">
        <v>6.95</v>
      </c>
      <c r="D229">
        <v>6.0170000000000003</v>
      </c>
      <c r="E229">
        <v>6.4009999999999998</v>
      </c>
      <c r="F229">
        <v>417931.40600000002</v>
      </c>
      <c r="G229">
        <v>6.38</v>
      </c>
      <c r="L229" t="s">
        <v>8</v>
      </c>
      <c r="M229" t="s">
        <v>8</v>
      </c>
      <c r="N229" t="s">
        <v>7</v>
      </c>
      <c r="P229">
        <f t="shared" si="959"/>
        <v>-0.17684887459807175</v>
      </c>
      <c r="Q229">
        <f t="shared" si="960"/>
        <v>-73910.698810289818</v>
      </c>
      <c r="R229">
        <f t="shared" si="961"/>
        <v>-21457989.923421293</v>
      </c>
      <c r="S229">
        <f t="shared" si="962"/>
        <v>-214.57989923421295</v>
      </c>
      <c r="T229">
        <f t="shared" si="963"/>
        <v>-0.21457989923421295</v>
      </c>
    </row>
    <row r="230" spans="1:20" x14ac:dyDescent="0.25">
      <c r="A230" s="5">
        <v>44363</v>
      </c>
      <c r="B230">
        <v>6.36</v>
      </c>
      <c r="C230">
        <v>6.65</v>
      </c>
      <c r="D230">
        <v>5.968</v>
      </c>
      <c r="E230">
        <v>6.0190000000000001</v>
      </c>
      <c r="F230">
        <v>245758.071</v>
      </c>
      <c r="G230">
        <v>-5.36</v>
      </c>
      <c r="L230" t="s">
        <v>7</v>
      </c>
      <c r="M230" t="s">
        <v>8</v>
      </c>
      <c r="N230" t="s">
        <v>7</v>
      </c>
      <c r="P230">
        <f t="shared" si="959"/>
        <v>-0.85043988269794679</v>
      </c>
      <c r="Q230">
        <f t="shared" si="960"/>
        <v>-209002.46507331368</v>
      </c>
      <c r="R230">
        <f t="shared" si="961"/>
        <v>-21384079.224611003</v>
      </c>
      <c r="S230">
        <f t="shared" si="962"/>
        <v>-213.84079224611003</v>
      </c>
      <c r="T230">
        <f t="shared" si="963"/>
        <v>-0.21384079224611002</v>
      </c>
    </row>
    <row r="231" spans="1:20" x14ac:dyDescent="0.25">
      <c r="A231" s="5">
        <v>44362</v>
      </c>
      <c r="B231">
        <v>6.1230000000000002</v>
      </c>
      <c r="C231">
        <v>6.75</v>
      </c>
      <c r="D231">
        <v>5.9210000000000003</v>
      </c>
      <c r="E231">
        <v>6.3579999999999997</v>
      </c>
      <c r="F231">
        <v>389983.93699999998</v>
      </c>
      <c r="G231">
        <v>3.84</v>
      </c>
      <c r="L231" t="s">
        <v>8</v>
      </c>
      <c r="M231" t="s">
        <v>8</v>
      </c>
      <c r="N231" t="s">
        <v>7</v>
      </c>
      <c r="P231">
        <f t="shared" si="959"/>
        <v>5.4282267792519968E-2</v>
      </c>
      <c r="Q231">
        <f t="shared" si="960"/>
        <v>21169.212503015235</v>
      </c>
      <c r="R231">
        <f t="shared" si="961"/>
        <v>-21175076.759537689</v>
      </c>
      <c r="S231">
        <f t="shared" si="962"/>
        <v>-211.75076759537689</v>
      </c>
      <c r="T231">
        <f t="shared" si="963"/>
        <v>-0.21175076759537689</v>
      </c>
    </row>
    <row r="232" spans="1:20" x14ac:dyDescent="0.25">
      <c r="A232" s="5">
        <v>44361</v>
      </c>
      <c r="B232">
        <v>6.02</v>
      </c>
      <c r="C232">
        <v>6.3760000000000003</v>
      </c>
      <c r="D232">
        <v>5.9039999999999999</v>
      </c>
      <c r="E232">
        <v>6.1230000000000002</v>
      </c>
      <c r="F232">
        <v>702115.47100000002</v>
      </c>
      <c r="G232">
        <v>1.71</v>
      </c>
      <c r="L232" t="s">
        <v>8</v>
      </c>
      <c r="M232" t="s">
        <v>7</v>
      </c>
      <c r="N232" t="s">
        <v>7</v>
      </c>
      <c r="P232">
        <f t="shared" si="959"/>
        <v>-7.2033898305084276E-2</v>
      </c>
      <c r="Q232">
        <f t="shared" si="960"/>
        <v>-50576.114436440352</v>
      </c>
      <c r="R232">
        <f t="shared" si="961"/>
        <v>-21196245.972040705</v>
      </c>
      <c r="S232">
        <f t="shared" si="962"/>
        <v>-211.96245972040705</v>
      </c>
      <c r="T232">
        <f t="shared" si="963"/>
        <v>-0.21196245972040706</v>
      </c>
    </row>
    <row r="233" spans="1:20" x14ac:dyDescent="0.25">
      <c r="A233" s="5">
        <v>44360</v>
      </c>
      <c r="B233">
        <v>5.8680000000000003</v>
      </c>
      <c r="C233">
        <v>6.2510000000000003</v>
      </c>
      <c r="D233">
        <v>5.5650000000000004</v>
      </c>
      <c r="E233">
        <v>6.02</v>
      </c>
      <c r="F233">
        <v>390760.19</v>
      </c>
      <c r="G233">
        <v>2.59</v>
      </c>
      <c r="L233" t="s">
        <v>7</v>
      </c>
      <c r="M233" t="s">
        <v>7</v>
      </c>
      <c r="N233" t="s">
        <v>7</v>
      </c>
      <c r="P233">
        <f t="shared" si="959"/>
        <v>0.32653061224489571</v>
      </c>
      <c r="Q233">
        <f t="shared" si="960"/>
        <v>127595.16408163178</v>
      </c>
      <c r="R233">
        <f t="shared" si="961"/>
        <v>-21145669.857604265</v>
      </c>
      <c r="S233">
        <f t="shared" si="962"/>
        <v>-211.45669857604264</v>
      </c>
      <c r="T233">
        <f t="shared" si="963"/>
        <v>-0.21145669857604263</v>
      </c>
    </row>
    <row r="234" spans="1:20" x14ac:dyDescent="0.25">
      <c r="A234" s="5">
        <v>44359</v>
      </c>
      <c r="B234">
        <v>6.4790000000000001</v>
      </c>
      <c r="C234">
        <v>6.5030000000000001</v>
      </c>
      <c r="D234">
        <v>5.7</v>
      </c>
      <c r="E234">
        <v>5.8680000000000003</v>
      </c>
      <c r="F234">
        <v>688034.46799999999</v>
      </c>
      <c r="G234">
        <v>-9.43</v>
      </c>
      <c r="L234" t="s">
        <v>7</v>
      </c>
      <c r="M234" t="s">
        <v>7</v>
      </c>
      <c r="N234" t="s">
        <v>7</v>
      </c>
      <c r="P234">
        <f t="shared" si="959"/>
        <v>-0.58156911581569071</v>
      </c>
      <c r="Q234">
        <f t="shared" si="960"/>
        <v>-400139.59720547916</v>
      </c>
      <c r="R234">
        <f t="shared" si="961"/>
        <v>-21273265.021685898</v>
      </c>
      <c r="S234">
        <f t="shared" si="962"/>
        <v>-212.73265021685899</v>
      </c>
      <c r="T234">
        <f t="shared" si="963"/>
        <v>-0.212732650216859</v>
      </c>
    </row>
    <row r="235" spans="1:20" x14ac:dyDescent="0.25">
      <c r="A235" s="5">
        <v>44358</v>
      </c>
      <c r="B235">
        <v>6.1</v>
      </c>
      <c r="C235">
        <v>9.9030000000000005</v>
      </c>
      <c r="D235">
        <v>5.7160000000000002</v>
      </c>
      <c r="E235">
        <v>6.5</v>
      </c>
      <c r="F235">
        <v>6192416.1150000002</v>
      </c>
      <c r="G235">
        <v>6.56</v>
      </c>
      <c r="L235" t="s">
        <v>8</v>
      </c>
      <c r="M235" t="s">
        <v>8</v>
      </c>
      <c r="N235" t="s">
        <v>8</v>
      </c>
      <c r="P235">
        <f t="shared" si="959"/>
        <v>-0.62550752328636272</v>
      </c>
      <c r="Q235">
        <f t="shared" si="960"/>
        <v>-3873402.8672522106</v>
      </c>
      <c r="R235">
        <f t="shared" si="961"/>
        <v>-20873125.42448042</v>
      </c>
      <c r="S235">
        <f t="shared" si="962"/>
        <v>-208.73125424480421</v>
      </c>
      <c r="T235">
        <f t="shared" si="963"/>
        <v>-0.20873125424480421</v>
      </c>
    </row>
    <row r="236" spans="1:20" x14ac:dyDescent="0.25">
      <c r="A236" s="5">
        <v>44357</v>
      </c>
      <c r="B236">
        <v>5.4249999999999998</v>
      </c>
      <c r="C236">
        <v>6.38</v>
      </c>
      <c r="D236">
        <v>5.1180000000000003</v>
      </c>
      <c r="E236">
        <v>6.1280000000000001</v>
      </c>
      <c r="F236">
        <v>618418.99300000002</v>
      </c>
      <c r="G236">
        <v>12.96</v>
      </c>
      <c r="L236" t="s">
        <v>8</v>
      </c>
      <c r="M236" t="s">
        <v>8</v>
      </c>
      <c r="N236" t="s">
        <v>8</v>
      </c>
      <c r="P236">
        <f t="shared" si="959"/>
        <v>0.60063391442155334</v>
      </c>
      <c r="Q236">
        <f t="shared" si="960"/>
        <v>371443.42051822518</v>
      </c>
      <c r="R236">
        <f t="shared" si="961"/>
        <v>-16999722.557228208</v>
      </c>
      <c r="S236">
        <f t="shared" si="962"/>
        <v>-169.99722557228208</v>
      </c>
      <c r="T236">
        <f t="shared" si="963"/>
        <v>-0.16999722557228208</v>
      </c>
    </row>
    <row r="237" spans="1:20" x14ac:dyDescent="0.25">
      <c r="A237" s="5">
        <v>44356</v>
      </c>
      <c r="B237">
        <v>5.1479999999999997</v>
      </c>
      <c r="C237">
        <v>5.4630000000000001</v>
      </c>
      <c r="D237">
        <v>4.9119999999999999</v>
      </c>
      <c r="E237">
        <v>5.45</v>
      </c>
      <c r="F237">
        <v>176554.56099999999</v>
      </c>
      <c r="G237">
        <v>5.87</v>
      </c>
      <c r="L237" t="s">
        <v>8</v>
      </c>
      <c r="M237" t="s">
        <v>7</v>
      </c>
      <c r="N237" t="s">
        <v>7</v>
      </c>
      <c r="P237">
        <f t="shared" si="959"/>
        <v>0.95281306715063563</v>
      </c>
      <c r="Q237">
        <f t="shared" si="960"/>
        <v>168223.49278584399</v>
      </c>
      <c r="R237">
        <f t="shared" si="961"/>
        <v>-17371165.977746435</v>
      </c>
      <c r="S237">
        <f t="shared" si="962"/>
        <v>-173.71165977746435</v>
      </c>
      <c r="T237">
        <f t="shared" si="963"/>
        <v>-0.17371165977746436</v>
      </c>
    </row>
    <row r="238" spans="1:20" x14ac:dyDescent="0.25">
      <c r="A238" s="5">
        <v>44355</v>
      </c>
      <c r="B238">
        <v>5.4089999999999998</v>
      </c>
      <c r="C238">
        <v>5.5430000000000001</v>
      </c>
      <c r="D238">
        <v>4.5819999999999999</v>
      </c>
      <c r="E238">
        <v>5.1479999999999997</v>
      </c>
      <c r="F238">
        <v>250376.16800000001</v>
      </c>
      <c r="G238">
        <v>-4.83</v>
      </c>
      <c r="L238" t="s">
        <v>7</v>
      </c>
      <c r="M238" t="s">
        <v>7</v>
      </c>
      <c r="N238" t="s">
        <v>7</v>
      </c>
      <c r="P238">
        <f t="shared" si="959"/>
        <v>0.17793964620187233</v>
      </c>
      <c r="Q238">
        <f t="shared" si="960"/>
        <v>44551.846751300553</v>
      </c>
      <c r="R238">
        <f t="shared" si="961"/>
        <v>-17539389.470532279</v>
      </c>
      <c r="S238">
        <f t="shared" si="962"/>
        <v>-175.39389470532279</v>
      </c>
      <c r="T238">
        <f t="shared" si="963"/>
        <v>-0.17539389470532279</v>
      </c>
    </row>
    <row r="239" spans="1:20" x14ac:dyDescent="0.25">
      <c r="A239" s="5">
        <v>44354</v>
      </c>
      <c r="B239">
        <v>5.7389999999999999</v>
      </c>
      <c r="C239">
        <v>6.2690000000000001</v>
      </c>
      <c r="D239">
        <v>5.4</v>
      </c>
      <c r="E239">
        <v>5.4089999999999998</v>
      </c>
      <c r="F239">
        <v>359085.734</v>
      </c>
      <c r="G239">
        <v>-5.75</v>
      </c>
      <c r="L239" t="s">
        <v>8</v>
      </c>
      <c r="M239" t="s">
        <v>7</v>
      </c>
      <c r="N239" t="s">
        <v>7</v>
      </c>
      <c r="P239">
        <f t="shared" si="959"/>
        <v>-0.97928653624856277</v>
      </c>
      <c r="Q239">
        <f t="shared" si="960"/>
        <v>-351647.82466513274</v>
      </c>
      <c r="R239">
        <f t="shared" si="961"/>
        <v>-17583941.317283578</v>
      </c>
      <c r="S239">
        <f t="shared" si="962"/>
        <v>-175.83941317283578</v>
      </c>
      <c r="T239">
        <f t="shared" si="963"/>
        <v>-0.17583941317283577</v>
      </c>
    </row>
    <row r="240" spans="1:20" x14ac:dyDescent="0.25">
      <c r="A240" s="5">
        <v>44353</v>
      </c>
      <c r="B240">
        <v>5.91</v>
      </c>
      <c r="C240">
        <v>5.98</v>
      </c>
      <c r="D240">
        <v>5.5</v>
      </c>
      <c r="E240">
        <v>5.7329999999999997</v>
      </c>
      <c r="F240">
        <v>247248.24299999999</v>
      </c>
      <c r="G240">
        <v>-2.99</v>
      </c>
      <c r="L240" t="s">
        <v>8</v>
      </c>
      <c r="M240" t="s">
        <v>7</v>
      </c>
      <c r="N240" t="s">
        <v>7</v>
      </c>
      <c r="P240">
        <f t="shared" si="959"/>
        <v>-2.9166666666668981E-2</v>
      </c>
      <c r="Q240">
        <f t="shared" si="960"/>
        <v>-7211.4070875005718</v>
      </c>
      <c r="R240">
        <f t="shared" si="961"/>
        <v>-17232293.492618445</v>
      </c>
      <c r="S240">
        <f t="shared" si="962"/>
        <v>-172.32293492618444</v>
      </c>
      <c r="T240">
        <f t="shared" si="963"/>
        <v>-0.17232293492618445</v>
      </c>
    </row>
    <row r="241" spans="1:20" x14ac:dyDescent="0.25">
      <c r="A241" s="5">
        <v>44352</v>
      </c>
      <c r="B241">
        <v>5.8380000000000001</v>
      </c>
      <c r="C241">
        <v>6.06</v>
      </c>
      <c r="D241">
        <v>5.5739999999999998</v>
      </c>
      <c r="E241">
        <v>5.9290000000000003</v>
      </c>
      <c r="F241">
        <v>149685.981</v>
      </c>
      <c r="G241">
        <v>1.56</v>
      </c>
      <c r="L241" t="s">
        <v>7</v>
      </c>
      <c r="M241" t="s">
        <v>8</v>
      </c>
      <c r="N241" t="s">
        <v>7</v>
      </c>
      <c r="P241">
        <f t="shared" si="959"/>
        <v>0.46090534979424114</v>
      </c>
      <c r="Q241">
        <f t="shared" si="960"/>
        <v>68991.069432099132</v>
      </c>
      <c r="R241">
        <f t="shared" si="961"/>
        <v>-17225082.085530944</v>
      </c>
      <c r="S241">
        <f t="shared" si="962"/>
        <v>-172.25082085530943</v>
      </c>
      <c r="T241">
        <f t="shared" si="963"/>
        <v>-0.17225082085530943</v>
      </c>
    </row>
    <row r="242" spans="1:20" x14ac:dyDescent="0.25">
      <c r="A242" s="5">
        <v>44351</v>
      </c>
      <c r="B242">
        <v>6.3449999999999998</v>
      </c>
      <c r="C242">
        <v>6.3639999999999999</v>
      </c>
      <c r="D242">
        <v>5.665</v>
      </c>
      <c r="E242">
        <v>5.86</v>
      </c>
      <c r="F242">
        <v>151349.26699999999</v>
      </c>
      <c r="G242">
        <v>-7.64</v>
      </c>
      <c r="L242" t="s">
        <v>7</v>
      </c>
      <c r="M242" t="s">
        <v>8</v>
      </c>
      <c r="N242" t="s">
        <v>7</v>
      </c>
      <c r="P242">
        <f t="shared" si="959"/>
        <v>-0.44206008583690892</v>
      </c>
      <c r="Q242">
        <f t="shared" si="960"/>
        <v>-66905.469961373237</v>
      </c>
      <c r="R242">
        <f t="shared" si="961"/>
        <v>-17294073.154963043</v>
      </c>
      <c r="S242">
        <f t="shared" si="962"/>
        <v>-172.94073154963041</v>
      </c>
      <c r="T242">
        <f t="shared" si="963"/>
        <v>-0.17294073154963041</v>
      </c>
    </row>
    <row r="243" spans="1:20" x14ac:dyDescent="0.25">
      <c r="A243" s="5">
        <v>44350</v>
      </c>
      <c r="B243">
        <v>5.9779999999999998</v>
      </c>
      <c r="C243">
        <v>6.6280000000000001</v>
      </c>
      <c r="D243">
        <v>5.9119999999999999</v>
      </c>
      <c r="E243">
        <v>6.3209999999999997</v>
      </c>
      <c r="F243">
        <v>169456.36799999999</v>
      </c>
      <c r="G243">
        <v>5.74</v>
      </c>
      <c r="L243" t="s">
        <v>7</v>
      </c>
      <c r="M243" t="s">
        <v>8</v>
      </c>
      <c r="N243" t="s">
        <v>7</v>
      </c>
      <c r="P243">
        <f t="shared" si="959"/>
        <v>0.14245810055865837</v>
      </c>
      <c r="Q243">
        <f t="shared" si="960"/>
        <v>24140.432312849018</v>
      </c>
      <c r="R243">
        <f t="shared" si="961"/>
        <v>-17227167.685001668</v>
      </c>
      <c r="S243">
        <f t="shared" si="962"/>
        <v>-172.27167685001669</v>
      </c>
      <c r="T243">
        <f t="shared" si="963"/>
        <v>-0.17227167685001668</v>
      </c>
    </row>
    <row r="244" spans="1:20" x14ac:dyDescent="0.25">
      <c r="A244" s="5">
        <v>44349</v>
      </c>
      <c r="B244">
        <v>5.7069999999999999</v>
      </c>
      <c r="C244">
        <v>6.5839999999999996</v>
      </c>
      <c r="D244">
        <v>5.5629999999999997</v>
      </c>
      <c r="E244">
        <v>5.9690000000000003</v>
      </c>
      <c r="F244">
        <v>352959.58199999999</v>
      </c>
      <c r="G244">
        <v>4.59</v>
      </c>
      <c r="L244" t="s">
        <v>8</v>
      </c>
      <c r="M244" t="s">
        <v>8</v>
      </c>
      <c r="N244" t="s">
        <v>7</v>
      </c>
      <c r="P244">
        <f t="shared" si="959"/>
        <v>-0.20470127326150711</v>
      </c>
      <c r="Q244">
        <f t="shared" si="960"/>
        <v>-72251.275845249329</v>
      </c>
      <c r="R244">
        <f t="shared" si="961"/>
        <v>-17251308.117314517</v>
      </c>
      <c r="S244">
        <f t="shared" si="962"/>
        <v>-172.51308117314517</v>
      </c>
      <c r="T244">
        <f t="shared" si="963"/>
        <v>-0.17251308117314518</v>
      </c>
    </row>
    <row r="245" spans="1:20" x14ac:dyDescent="0.25">
      <c r="A245" s="5">
        <v>44348</v>
      </c>
      <c r="B245">
        <v>6.1059999999999999</v>
      </c>
      <c r="C245">
        <v>6.22</v>
      </c>
      <c r="D245">
        <v>5.6580000000000004</v>
      </c>
      <c r="E245">
        <v>5.7309999999999999</v>
      </c>
      <c r="F245">
        <v>143855.851</v>
      </c>
      <c r="G245">
        <v>-6.14</v>
      </c>
      <c r="L245" t="s">
        <v>8</v>
      </c>
      <c r="M245" t="s">
        <v>7</v>
      </c>
      <c r="N245" t="s">
        <v>7</v>
      </c>
      <c r="P245">
        <f t="shared" si="959"/>
        <v>-0.7402135231316741</v>
      </c>
      <c r="Q245">
        <f t="shared" si="960"/>
        <v>-106484.04629181516</v>
      </c>
      <c r="R245">
        <f t="shared" si="961"/>
        <v>-17179056.841469269</v>
      </c>
      <c r="S245">
        <f t="shared" si="962"/>
        <v>-171.7905684146927</v>
      </c>
      <c r="T245">
        <f t="shared" si="963"/>
        <v>-0.1717905684146927</v>
      </c>
    </row>
    <row r="246" spans="1:20" x14ac:dyDescent="0.25">
      <c r="A246" s="5">
        <v>44347</v>
      </c>
      <c r="B246">
        <v>5.8879999999999999</v>
      </c>
      <c r="C246">
        <v>6.27</v>
      </c>
      <c r="D246">
        <v>5.5620000000000003</v>
      </c>
      <c r="E246">
        <v>6.1050000000000004</v>
      </c>
      <c r="F246">
        <v>175469.329</v>
      </c>
      <c r="G246">
        <v>3.69</v>
      </c>
      <c r="L246" t="s">
        <v>7</v>
      </c>
      <c r="M246" t="s">
        <v>7</v>
      </c>
      <c r="N246" t="s">
        <v>7</v>
      </c>
      <c r="P246">
        <f t="shared" si="959"/>
        <v>0.53389830508474767</v>
      </c>
      <c r="Q246">
        <f t="shared" si="960"/>
        <v>93682.777347457959</v>
      </c>
      <c r="R246">
        <f t="shared" si="961"/>
        <v>-17072572.795177452</v>
      </c>
      <c r="S246">
        <f t="shared" si="962"/>
        <v>-170.72572795177453</v>
      </c>
      <c r="T246">
        <f t="shared" si="963"/>
        <v>-0.17072572795177454</v>
      </c>
    </row>
    <row r="247" spans="1:20" x14ac:dyDescent="0.25">
      <c r="A247" s="5">
        <v>44346</v>
      </c>
      <c r="B247">
        <v>5.875</v>
      </c>
      <c r="C247">
        <v>6.2</v>
      </c>
      <c r="D247">
        <v>5.5869999999999997</v>
      </c>
      <c r="E247">
        <v>5.9189999999999996</v>
      </c>
      <c r="F247">
        <v>162079.61600000001</v>
      </c>
      <c r="G247">
        <v>0.75</v>
      </c>
      <c r="L247" t="s">
        <v>8</v>
      </c>
      <c r="M247" t="s">
        <v>7</v>
      </c>
      <c r="N247" t="s">
        <v>7</v>
      </c>
      <c r="P247">
        <f t="shared" si="959"/>
        <v>8.3197389885806258E-2</v>
      </c>
      <c r="Q247">
        <f t="shared" si="960"/>
        <v>13484.601004893762</v>
      </c>
      <c r="R247">
        <f t="shared" si="961"/>
        <v>-17166255.572524909</v>
      </c>
      <c r="S247">
        <f t="shared" si="962"/>
        <v>-171.66255572524909</v>
      </c>
      <c r="T247">
        <f t="shared" si="963"/>
        <v>-0.17166255572524911</v>
      </c>
    </row>
    <row r="248" spans="1:20" x14ac:dyDescent="0.25">
      <c r="A248" s="5">
        <v>44345</v>
      </c>
      <c r="B248">
        <v>6.1349999999999998</v>
      </c>
      <c r="C248">
        <v>6.3630000000000004</v>
      </c>
      <c r="D248">
        <v>5.3360000000000003</v>
      </c>
      <c r="E248">
        <v>5.9349999999999996</v>
      </c>
      <c r="F248">
        <v>275805.34000000003</v>
      </c>
      <c r="G248">
        <v>-3.26</v>
      </c>
      <c r="L248" t="s">
        <v>7</v>
      </c>
      <c r="M248" t="s">
        <v>7</v>
      </c>
      <c r="N248" t="s">
        <v>7</v>
      </c>
      <c r="P248">
        <f t="shared" si="959"/>
        <v>0.16650438169425361</v>
      </c>
      <c r="Q248">
        <f t="shared" si="960"/>
        <v>45922.797604673397</v>
      </c>
      <c r="R248">
        <f t="shared" si="961"/>
        <v>-17179740.173529804</v>
      </c>
      <c r="S248">
        <f t="shared" si="962"/>
        <v>-171.79740173529802</v>
      </c>
      <c r="T248">
        <f t="shared" si="963"/>
        <v>-0.17179740173529803</v>
      </c>
    </row>
    <row r="249" spans="1:20" x14ac:dyDescent="0.25">
      <c r="A249" s="5">
        <v>44344</v>
      </c>
      <c r="B249">
        <v>6.7809999999999997</v>
      </c>
      <c r="C249">
        <v>7.95</v>
      </c>
      <c r="D249">
        <v>5.8259999999999996</v>
      </c>
      <c r="E249">
        <v>6.1349999999999998</v>
      </c>
      <c r="F249">
        <v>770842.321</v>
      </c>
      <c r="G249">
        <v>-9.5299999999999994</v>
      </c>
      <c r="L249" t="s">
        <v>8</v>
      </c>
      <c r="M249" t="s">
        <v>8</v>
      </c>
      <c r="N249" t="s">
        <v>8</v>
      </c>
      <c r="P249">
        <f t="shared" si="959"/>
        <v>-0.70903954802259883</v>
      </c>
      <c r="Q249">
        <f t="shared" si="960"/>
        <v>-546557.69087853108</v>
      </c>
      <c r="R249">
        <f t="shared" si="961"/>
        <v>-17225662.971134476</v>
      </c>
      <c r="S249">
        <f t="shared" si="962"/>
        <v>-172.25662971134477</v>
      </c>
      <c r="T249">
        <f t="shared" si="963"/>
        <v>-0.17225662971134478</v>
      </c>
    </row>
    <row r="250" spans="1:20" x14ac:dyDescent="0.25">
      <c r="A250" s="5">
        <v>44343</v>
      </c>
      <c r="B250">
        <v>6.2290000000000001</v>
      </c>
      <c r="C250">
        <v>7.3559999999999999</v>
      </c>
      <c r="D250">
        <v>5.6280000000000001</v>
      </c>
      <c r="E250">
        <v>6.7679999999999998</v>
      </c>
      <c r="F250">
        <v>793889.755</v>
      </c>
      <c r="G250">
        <v>8.65</v>
      </c>
      <c r="L250" t="s">
        <v>8</v>
      </c>
      <c r="M250" t="s">
        <v>8</v>
      </c>
      <c r="N250" t="s">
        <v>8</v>
      </c>
      <c r="P250">
        <f t="shared" si="959"/>
        <v>0.31944444444444425</v>
      </c>
      <c r="Q250">
        <f t="shared" si="960"/>
        <v>253603.67173611096</v>
      </c>
      <c r="R250">
        <f t="shared" si="961"/>
        <v>-16679105.280255945</v>
      </c>
      <c r="S250">
        <f t="shared" si="962"/>
        <v>-166.79105280255945</v>
      </c>
      <c r="T250">
        <f t="shared" si="963"/>
        <v>-0.16679105280255946</v>
      </c>
    </row>
    <row r="251" spans="1:20" x14ac:dyDescent="0.25">
      <c r="A251" s="5">
        <v>44342</v>
      </c>
      <c r="B251">
        <v>5.835</v>
      </c>
      <c r="C251">
        <v>6.39</v>
      </c>
      <c r="D251">
        <v>5.7</v>
      </c>
      <c r="E251">
        <v>6.1980000000000004</v>
      </c>
      <c r="F251">
        <v>327437.84299999999</v>
      </c>
      <c r="G251">
        <v>6.22</v>
      </c>
      <c r="L251" t="s">
        <v>8</v>
      </c>
      <c r="M251" t="s">
        <v>8</v>
      </c>
      <c r="N251" t="s">
        <v>7</v>
      </c>
      <c r="P251">
        <f t="shared" si="959"/>
        <v>0.44347826086956688</v>
      </c>
      <c r="Q251">
        <f t="shared" si="960"/>
        <v>145211.56515652227</v>
      </c>
      <c r="R251">
        <f t="shared" si="961"/>
        <v>-16932708.951992057</v>
      </c>
      <c r="S251">
        <f t="shared" si="962"/>
        <v>-169.32708951992058</v>
      </c>
      <c r="T251">
        <f t="shared" si="963"/>
        <v>-0.16932708951992057</v>
      </c>
    </row>
    <row r="252" spans="1:20" x14ac:dyDescent="0.25">
      <c r="A252" s="5">
        <v>44341</v>
      </c>
      <c r="B252">
        <v>6.26</v>
      </c>
      <c r="C252">
        <v>6.5490000000000004</v>
      </c>
      <c r="D252">
        <v>5.3120000000000003</v>
      </c>
      <c r="E252">
        <v>5.8</v>
      </c>
      <c r="F252">
        <v>312027.38699999999</v>
      </c>
      <c r="G252">
        <v>-7.35</v>
      </c>
      <c r="L252" t="s">
        <v>7</v>
      </c>
      <c r="M252" t="s">
        <v>7</v>
      </c>
      <c r="N252" t="s">
        <v>7</v>
      </c>
      <c r="P252">
        <f t="shared" si="959"/>
        <v>-0.21099434114793936</v>
      </c>
      <c r="Q252">
        <f t="shared" si="960"/>
        <v>-65836.012940178101</v>
      </c>
      <c r="R252">
        <f t="shared" si="961"/>
        <v>-17077920.51714858</v>
      </c>
      <c r="S252">
        <f t="shared" si="962"/>
        <v>-170.77920517148581</v>
      </c>
      <c r="T252">
        <f t="shared" si="963"/>
        <v>-0.17077920517148582</v>
      </c>
    </row>
    <row r="253" spans="1:20" x14ac:dyDescent="0.25">
      <c r="A253" s="5">
        <v>44340</v>
      </c>
      <c r="B253">
        <v>5.8520000000000003</v>
      </c>
      <c r="C253">
        <v>6.524</v>
      </c>
      <c r="D253">
        <v>5.2779999999999996</v>
      </c>
      <c r="E253">
        <v>6.2409999999999997</v>
      </c>
      <c r="F253">
        <v>292379.81400000001</v>
      </c>
      <c r="G253">
        <v>6.65</v>
      </c>
      <c r="L253" t="s">
        <v>8</v>
      </c>
      <c r="M253" t="s">
        <v>8</v>
      </c>
      <c r="N253" t="s">
        <v>7</v>
      </c>
      <c r="P253">
        <f t="shared" si="959"/>
        <v>0.54574638844301726</v>
      </c>
      <c r="Q253">
        <f t="shared" si="960"/>
        <v>159565.22754414115</v>
      </c>
      <c r="R253">
        <f t="shared" si="961"/>
        <v>-17012084.504208401</v>
      </c>
      <c r="S253">
        <f t="shared" si="962"/>
        <v>-170.120845042084</v>
      </c>
      <c r="T253">
        <f t="shared" si="963"/>
        <v>-0.170120845042084</v>
      </c>
    </row>
    <row r="254" spans="1:20" x14ac:dyDescent="0.25">
      <c r="A254" s="5">
        <v>44339</v>
      </c>
      <c r="B254">
        <v>7.9349999999999996</v>
      </c>
      <c r="C254">
        <v>8.2469999999999999</v>
      </c>
      <c r="D254">
        <v>4.8570000000000002</v>
      </c>
      <c r="E254">
        <v>5.7939999999999996</v>
      </c>
      <c r="F254">
        <v>478504.78600000002</v>
      </c>
      <c r="G254">
        <v>-26.98</v>
      </c>
      <c r="L254" t="s">
        <v>7</v>
      </c>
      <c r="M254" t="s">
        <v>7</v>
      </c>
      <c r="N254" t="s">
        <v>7</v>
      </c>
      <c r="P254">
        <f t="shared" si="959"/>
        <v>-0.4471976401179944</v>
      </c>
      <c r="Q254">
        <f t="shared" si="960"/>
        <v>-213986.21108436593</v>
      </c>
      <c r="R254">
        <f t="shared" si="961"/>
        <v>-17171649.731752541</v>
      </c>
      <c r="S254">
        <f t="shared" si="962"/>
        <v>-171.71649731752541</v>
      </c>
      <c r="T254">
        <f t="shared" si="963"/>
        <v>-0.17171649731752542</v>
      </c>
    </row>
    <row r="255" spans="1:20" x14ac:dyDescent="0.25">
      <c r="A255" s="5">
        <v>44338</v>
      </c>
      <c r="B255">
        <v>9.8140000000000001</v>
      </c>
      <c r="C255">
        <v>9.9979999999999993</v>
      </c>
      <c r="D255">
        <v>7.8550000000000004</v>
      </c>
      <c r="E255">
        <v>7.931</v>
      </c>
      <c r="F255">
        <v>422982.80699999997</v>
      </c>
      <c r="G255">
        <v>-19.190000000000001</v>
      </c>
      <c r="L255" t="s">
        <v>7</v>
      </c>
      <c r="M255" t="s">
        <v>7</v>
      </c>
      <c r="N255" t="s">
        <v>7</v>
      </c>
      <c r="P255">
        <f t="shared" si="959"/>
        <v>-0.92907139524031768</v>
      </c>
      <c r="Q255">
        <f t="shared" si="960"/>
        <v>-392981.226662156</v>
      </c>
      <c r="R255">
        <f t="shared" si="961"/>
        <v>-16957663.520668175</v>
      </c>
      <c r="S255">
        <f t="shared" si="962"/>
        <v>-169.57663520668174</v>
      </c>
      <c r="T255">
        <f t="shared" si="963"/>
        <v>-0.16957663520668173</v>
      </c>
    </row>
    <row r="256" spans="1:20" x14ac:dyDescent="0.25">
      <c r="A256" s="5">
        <v>44337</v>
      </c>
      <c r="B256">
        <v>8.6850000000000005</v>
      </c>
      <c r="C256">
        <v>11.441000000000001</v>
      </c>
      <c r="D256">
        <v>7.9</v>
      </c>
      <c r="E256">
        <v>9.8219999999999992</v>
      </c>
      <c r="F256">
        <v>1072143.601</v>
      </c>
      <c r="G256">
        <v>13.09</v>
      </c>
      <c r="L256" t="s">
        <v>8</v>
      </c>
      <c r="M256" t="s">
        <v>8</v>
      </c>
      <c r="N256" t="s">
        <v>8</v>
      </c>
      <c r="P256">
        <f t="shared" si="959"/>
        <v>8.556904829144231E-2</v>
      </c>
      <c r="Q256">
        <f t="shared" si="960"/>
        <v>91742.30756932986</v>
      </c>
      <c r="R256">
        <f t="shared" si="961"/>
        <v>-16564682.29400602</v>
      </c>
      <c r="S256">
        <f t="shared" si="962"/>
        <v>-165.64682294006019</v>
      </c>
      <c r="T256">
        <f t="shared" si="963"/>
        <v>-0.1656468229400602</v>
      </c>
    </row>
    <row r="257" spans="1:20" x14ac:dyDescent="0.25">
      <c r="A257" s="5">
        <v>44336</v>
      </c>
      <c r="B257">
        <v>7.7</v>
      </c>
      <c r="C257">
        <v>9.2799999999999994</v>
      </c>
      <c r="D257">
        <v>6.96</v>
      </c>
      <c r="E257">
        <v>8.6839999999999993</v>
      </c>
      <c r="F257">
        <v>568814.04399999999</v>
      </c>
      <c r="G257">
        <v>12.78</v>
      </c>
      <c r="L257" t="s">
        <v>7</v>
      </c>
      <c r="M257" t="s">
        <v>7</v>
      </c>
      <c r="N257" t="s">
        <v>7</v>
      </c>
      <c r="P257">
        <f t="shared" si="959"/>
        <v>0.48620689655172394</v>
      </c>
      <c r="Q257">
        <f t="shared" si="960"/>
        <v>276561.31104827573</v>
      </c>
      <c r="R257">
        <f t="shared" si="961"/>
        <v>-16656424.60157535</v>
      </c>
      <c r="S257">
        <f t="shared" si="962"/>
        <v>-166.5642460157535</v>
      </c>
      <c r="T257">
        <f t="shared" si="963"/>
        <v>-0.16656424601575351</v>
      </c>
    </row>
    <row r="258" spans="1:20" x14ac:dyDescent="0.25">
      <c r="A258" s="5">
        <v>44335</v>
      </c>
      <c r="B258">
        <v>12.881</v>
      </c>
      <c r="C258">
        <v>13.183999999999999</v>
      </c>
      <c r="D258">
        <v>7.35</v>
      </c>
      <c r="E258">
        <v>7.6920000000000002</v>
      </c>
      <c r="F258">
        <v>1207296.9410000001</v>
      </c>
      <c r="G258">
        <v>-40.28</v>
      </c>
      <c r="L258" t="s">
        <v>7</v>
      </c>
      <c r="M258" t="s">
        <v>7</v>
      </c>
      <c r="N258" t="s">
        <v>7</v>
      </c>
      <c r="P258">
        <f t="shared" si="959"/>
        <v>-0.88275625642783662</v>
      </c>
      <c r="Q258">
        <f t="shared" si="960"/>
        <v>-1065748.9280339389</v>
      </c>
      <c r="R258">
        <f t="shared" si="961"/>
        <v>-16932985.912623625</v>
      </c>
      <c r="S258">
        <f t="shared" si="962"/>
        <v>-169.32985912623624</v>
      </c>
      <c r="T258">
        <f t="shared" si="963"/>
        <v>-0.16932985912623624</v>
      </c>
    </row>
    <row r="259" spans="1:20" x14ac:dyDescent="0.25">
      <c r="A259" s="5">
        <v>44334</v>
      </c>
      <c r="B259">
        <v>10.191000000000001</v>
      </c>
      <c r="C259">
        <v>14.25</v>
      </c>
      <c r="D259">
        <v>10.173</v>
      </c>
      <c r="E259">
        <v>12.885</v>
      </c>
      <c r="F259">
        <v>1664554.4180000001</v>
      </c>
      <c r="G259">
        <v>26.44</v>
      </c>
      <c r="L259" t="s">
        <v>8</v>
      </c>
      <c r="M259" t="s">
        <v>8</v>
      </c>
      <c r="N259" t="s">
        <v>8</v>
      </c>
      <c r="P259">
        <f t="shared" si="959"/>
        <v>0.33038999264164814</v>
      </c>
      <c r="Q259">
        <f t="shared" si="960"/>
        <v>549952.12191464298</v>
      </c>
      <c r="R259">
        <f t="shared" si="961"/>
        <v>-15867236.984589687</v>
      </c>
      <c r="S259">
        <f t="shared" si="962"/>
        <v>-158.67236984589687</v>
      </c>
      <c r="T259">
        <f t="shared" si="963"/>
        <v>-0.15867236984589686</v>
      </c>
    </row>
    <row r="260" spans="1:20" x14ac:dyDescent="0.25">
      <c r="A260" s="5">
        <v>44333</v>
      </c>
      <c r="B260">
        <v>11.167</v>
      </c>
      <c r="C260">
        <v>11.301</v>
      </c>
      <c r="D260">
        <v>9.6639999999999997</v>
      </c>
      <c r="E260">
        <v>10.188000000000001</v>
      </c>
      <c r="F260">
        <v>562098.40300000005</v>
      </c>
      <c r="G260">
        <v>-8.77</v>
      </c>
      <c r="L260" t="s">
        <v>7</v>
      </c>
      <c r="M260" t="s">
        <v>7</v>
      </c>
      <c r="N260" t="s">
        <v>7</v>
      </c>
      <c r="P260">
        <f t="shared" si="959"/>
        <v>-0.35980452046426298</v>
      </c>
      <c r="Q260">
        <f t="shared" si="960"/>
        <v>-202245.54634514306</v>
      </c>
      <c r="R260">
        <f t="shared" si="961"/>
        <v>-16417189.10650433</v>
      </c>
      <c r="S260">
        <f t="shared" si="962"/>
        <v>-164.1718910650433</v>
      </c>
      <c r="T260">
        <f t="shared" si="963"/>
        <v>-0.16417189106504329</v>
      </c>
    </row>
    <row r="261" spans="1:20" x14ac:dyDescent="0.25">
      <c r="A261" s="5">
        <v>44332</v>
      </c>
      <c r="B261">
        <v>12.15</v>
      </c>
      <c r="C261">
        <v>15</v>
      </c>
      <c r="D261">
        <v>10.7</v>
      </c>
      <c r="E261">
        <v>11.167</v>
      </c>
      <c r="F261">
        <v>2248959.1030000001</v>
      </c>
      <c r="G261">
        <v>-8.09</v>
      </c>
      <c r="L261" t="s">
        <v>7</v>
      </c>
      <c r="M261" t="s">
        <v>7</v>
      </c>
      <c r="N261" t="s">
        <v>7</v>
      </c>
      <c r="P261">
        <f t="shared" si="959"/>
        <v>-0.78279069767441845</v>
      </c>
      <c r="Q261">
        <f t="shared" si="960"/>
        <v>-1760464.2652786043</v>
      </c>
      <c r="R261">
        <f t="shared" si="961"/>
        <v>-16214943.560159188</v>
      </c>
      <c r="S261">
        <f t="shared" si="962"/>
        <v>-162.14943560159188</v>
      </c>
      <c r="T261">
        <f t="shared" si="963"/>
        <v>-0.16214943560159187</v>
      </c>
    </row>
    <row r="262" spans="1:20" x14ac:dyDescent="0.25">
      <c r="A262" s="5">
        <v>44331</v>
      </c>
      <c r="B262">
        <v>9.7639999999999993</v>
      </c>
      <c r="C262">
        <v>16.773</v>
      </c>
      <c r="D262">
        <v>9.5060000000000002</v>
      </c>
      <c r="E262">
        <v>12.15</v>
      </c>
      <c r="F262">
        <v>4312075.7439999999</v>
      </c>
      <c r="G262">
        <v>24.44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-0.27232695747901464</v>
      </c>
      <c r="Q262">
        <f t="shared" ref="Q262:Q325" si="965">F262*P262</f>
        <v>-1174294.4677825784</v>
      </c>
      <c r="R262">
        <f t="shared" ref="R262:R325" si="966">R263+Q262</f>
        <v>-14454479.294880584</v>
      </c>
      <c r="S262">
        <f t="shared" ref="S262:S325" si="967">R262/100000</f>
        <v>-144.54479294880585</v>
      </c>
      <c r="T262">
        <f t="shared" ref="T262:T325" si="968">S262/1000</f>
        <v>-0.14454479294880584</v>
      </c>
    </row>
    <row r="263" spans="1:20" x14ac:dyDescent="0.25">
      <c r="A263" s="5">
        <v>44330</v>
      </c>
      <c r="B263">
        <v>8.5540000000000003</v>
      </c>
      <c r="C263">
        <v>10.5</v>
      </c>
      <c r="D263">
        <v>8.2309999999999999</v>
      </c>
      <c r="E263">
        <v>9.8079999999999998</v>
      </c>
      <c r="F263">
        <v>521098.10100000002</v>
      </c>
      <c r="G263">
        <v>14.66</v>
      </c>
      <c r="L263" t="s">
        <v>8</v>
      </c>
      <c r="M263" t="s">
        <v>8</v>
      </c>
      <c r="N263" t="s">
        <v>7</v>
      </c>
      <c r="P263">
        <f t="shared" si="964"/>
        <v>0.39003966505068299</v>
      </c>
      <c r="Q263">
        <f t="shared" si="965"/>
        <v>203248.92877258698</v>
      </c>
      <c r="R263">
        <f t="shared" si="966"/>
        <v>-13280184.827098005</v>
      </c>
      <c r="S263">
        <f t="shared" si="967"/>
        <v>-132.80184827098006</v>
      </c>
      <c r="T263">
        <f t="shared" si="968"/>
        <v>-0.13280184827098007</v>
      </c>
    </row>
    <row r="264" spans="1:20" x14ac:dyDescent="0.25">
      <c r="A264" s="5">
        <v>44329</v>
      </c>
      <c r="B264">
        <v>8.0589999999999993</v>
      </c>
      <c r="C264">
        <v>11.97</v>
      </c>
      <c r="D264">
        <v>7.6710000000000003</v>
      </c>
      <c r="E264">
        <v>8.5389999999999997</v>
      </c>
      <c r="F264">
        <v>1466255.871</v>
      </c>
      <c r="G264">
        <v>5.96</v>
      </c>
      <c r="L264" t="s">
        <v>7</v>
      </c>
      <c r="M264" t="s">
        <v>7</v>
      </c>
      <c r="N264" t="s">
        <v>7</v>
      </c>
      <c r="P264">
        <f t="shared" si="964"/>
        <v>-0.59618515933938154</v>
      </c>
      <c r="Q264">
        <f t="shared" si="965"/>
        <v>-874159.9900844387</v>
      </c>
      <c r="R264">
        <f t="shared" si="966"/>
        <v>-13483433.755870592</v>
      </c>
      <c r="S264">
        <f t="shared" si="967"/>
        <v>-134.83433755870593</v>
      </c>
      <c r="T264">
        <f t="shared" si="968"/>
        <v>-0.13483433755870591</v>
      </c>
    </row>
    <row r="265" spans="1:20" x14ac:dyDescent="0.25">
      <c r="A265" s="5">
        <v>44328</v>
      </c>
      <c r="B265">
        <v>8.3089999999999993</v>
      </c>
      <c r="C265">
        <v>12.57</v>
      </c>
      <c r="D265">
        <v>8.0060000000000002</v>
      </c>
      <c r="E265">
        <v>8.0589999999999993</v>
      </c>
      <c r="F265">
        <v>1641905.3219999999</v>
      </c>
      <c r="G265">
        <v>-3.01</v>
      </c>
      <c r="L265" t="s">
        <v>8</v>
      </c>
      <c r="M265" t="s">
        <v>8</v>
      </c>
      <c r="N265" t="s">
        <v>8</v>
      </c>
      <c r="P265">
        <f t="shared" si="964"/>
        <v>-0.97677475898334831</v>
      </c>
      <c r="Q265">
        <f t="shared" si="965"/>
        <v>-1603771.6751700267</v>
      </c>
      <c r="R265">
        <f t="shared" si="966"/>
        <v>-12609273.765786152</v>
      </c>
      <c r="S265">
        <f t="shared" si="967"/>
        <v>-126.09273765786152</v>
      </c>
      <c r="T265">
        <f t="shared" si="968"/>
        <v>-0.12609273765786153</v>
      </c>
    </row>
    <row r="266" spans="1:20" x14ac:dyDescent="0.25">
      <c r="A266" s="5">
        <v>44327</v>
      </c>
      <c r="B266">
        <v>8.0779999999999994</v>
      </c>
      <c r="C266">
        <v>8.516</v>
      </c>
      <c r="D266">
        <v>7.78</v>
      </c>
      <c r="E266">
        <v>8.2859999999999996</v>
      </c>
      <c r="F266">
        <v>59519.385999999999</v>
      </c>
      <c r="G266">
        <v>2.57</v>
      </c>
      <c r="L266" t="s">
        <v>7</v>
      </c>
      <c r="M266" t="s">
        <v>7</v>
      </c>
      <c r="N266" t="s">
        <v>7</v>
      </c>
      <c r="P266">
        <f t="shared" si="964"/>
        <v>0.37499999999999867</v>
      </c>
      <c r="Q266">
        <f t="shared" si="965"/>
        <v>22319.769749999919</v>
      </c>
      <c r="R266">
        <f t="shared" si="966"/>
        <v>-11005502.090616126</v>
      </c>
      <c r="S266">
        <f t="shared" si="967"/>
        <v>-110.05502090616126</v>
      </c>
      <c r="T266">
        <f t="shared" si="968"/>
        <v>-0.11005502090616126</v>
      </c>
    </row>
    <row r="267" spans="1:20" x14ac:dyDescent="0.25">
      <c r="A267" s="5">
        <v>44326</v>
      </c>
      <c r="B267">
        <v>8.8030000000000008</v>
      </c>
      <c r="C267">
        <v>8.9529999999999994</v>
      </c>
      <c r="D267">
        <v>7.86</v>
      </c>
      <c r="E267">
        <v>8.0939999999999994</v>
      </c>
      <c r="F267">
        <v>103083.167</v>
      </c>
      <c r="G267">
        <v>-8.0500000000000007</v>
      </c>
      <c r="L267" t="s">
        <v>7</v>
      </c>
      <c r="M267" t="s">
        <v>7</v>
      </c>
      <c r="N267" t="s">
        <v>7</v>
      </c>
      <c r="P267">
        <f t="shared" si="964"/>
        <v>-0.57182067703568296</v>
      </c>
      <c r="Q267">
        <f t="shared" si="965"/>
        <v>-58945.086344922369</v>
      </c>
      <c r="R267">
        <f t="shared" si="966"/>
        <v>-11027821.860366125</v>
      </c>
      <c r="S267">
        <f t="shared" si="967"/>
        <v>-110.27821860366124</v>
      </c>
      <c r="T267">
        <f t="shared" si="968"/>
        <v>-0.11027821860366124</v>
      </c>
    </row>
    <row r="268" spans="1:20" x14ac:dyDescent="0.25">
      <c r="A268" s="5">
        <v>44325</v>
      </c>
      <c r="B268">
        <v>9.0289999999999999</v>
      </c>
      <c r="C268">
        <v>9.1319999999999997</v>
      </c>
      <c r="D268">
        <v>8.4079999999999995</v>
      </c>
      <c r="E268">
        <v>8.7799999999999994</v>
      </c>
      <c r="F268">
        <v>86080.356</v>
      </c>
      <c r="G268">
        <v>-2.76</v>
      </c>
      <c r="L268" t="s">
        <v>7</v>
      </c>
      <c r="M268" t="s">
        <v>7</v>
      </c>
      <c r="N268" t="s">
        <v>7</v>
      </c>
      <c r="P268">
        <f t="shared" si="964"/>
        <v>2.7624309392264595E-2</v>
      </c>
      <c r="Q268">
        <f t="shared" si="965"/>
        <v>2377.91038674028</v>
      </c>
      <c r="R268">
        <f t="shared" si="966"/>
        <v>-10968876.774021203</v>
      </c>
      <c r="S268">
        <f t="shared" si="967"/>
        <v>-109.68876774021203</v>
      </c>
      <c r="T268">
        <f t="shared" si="968"/>
        <v>-0.10968876774021202</v>
      </c>
    </row>
    <row r="269" spans="1:20" x14ac:dyDescent="0.25">
      <c r="A269" s="5">
        <v>44324</v>
      </c>
      <c r="B269">
        <v>9.0879999999999992</v>
      </c>
      <c r="C269">
        <v>9.4600000000000009</v>
      </c>
      <c r="D269">
        <v>8.9529999999999994</v>
      </c>
      <c r="E269">
        <v>9.0470000000000006</v>
      </c>
      <c r="F269">
        <v>90790.466</v>
      </c>
      <c r="G269">
        <v>-0.45</v>
      </c>
      <c r="L269" t="s">
        <v>8</v>
      </c>
      <c r="M269" t="s">
        <v>7</v>
      </c>
      <c r="N269" t="s">
        <v>7</v>
      </c>
      <c r="P269">
        <f t="shared" si="964"/>
        <v>-0.62919132149901014</v>
      </c>
      <c r="Q269">
        <f t="shared" si="965"/>
        <v>-57124.573282050951</v>
      </c>
      <c r="R269">
        <f t="shared" si="966"/>
        <v>-10971254.684407944</v>
      </c>
      <c r="S269">
        <f t="shared" si="967"/>
        <v>-109.71254684407944</v>
      </c>
      <c r="T269">
        <f t="shared" si="968"/>
        <v>-0.10971254684407944</v>
      </c>
    </row>
    <row r="270" spans="1:20" x14ac:dyDescent="0.25">
      <c r="A270" s="5">
        <v>44323</v>
      </c>
      <c r="B270">
        <v>8.9789999999999992</v>
      </c>
      <c r="C270">
        <v>9.4670000000000005</v>
      </c>
      <c r="D270">
        <v>8.7650000000000006</v>
      </c>
      <c r="E270">
        <v>9.0939999999999994</v>
      </c>
      <c r="F270">
        <v>112984.565</v>
      </c>
      <c r="G270">
        <v>1.28</v>
      </c>
      <c r="L270" t="s">
        <v>7</v>
      </c>
      <c r="M270" t="s">
        <v>7</v>
      </c>
      <c r="N270" t="s">
        <v>7</v>
      </c>
      <c r="P270">
        <f t="shared" si="964"/>
        <v>-6.2678062678065902E-2</v>
      </c>
      <c r="Q270">
        <f t="shared" si="965"/>
        <v>-7081.6536467240112</v>
      </c>
      <c r="R270">
        <f t="shared" si="966"/>
        <v>-10914130.111125892</v>
      </c>
      <c r="S270">
        <f t="shared" si="967"/>
        <v>-109.14130111125893</v>
      </c>
      <c r="T270">
        <f t="shared" si="968"/>
        <v>-0.10914130111125893</v>
      </c>
    </row>
    <row r="271" spans="1:20" x14ac:dyDescent="0.25">
      <c r="A271" s="5">
        <v>44322</v>
      </c>
      <c r="B271">
        <v>9.3049999999999997</v>
      </c>
      <c r="C271">
        <v>9.625</v>
      </c>
      <c r="D271">
        <v>8.7279999999999998</v>
      </c>
      <c r="E271">
        <v>8.9960000000000004</v>
      </c>
      <c r="F271">
        <v>174092.125</v>
      </c>
      <c r="G271">
        <v>-3.32</v>
      </c>
      <c r="L271" t="s">
        <v>8</v>
      </c>
      <c r="M271" t="s">
        <v>7</v>
      </c>
      <c r="N271" t="s">
        <v>7</v>
      </c>
      <c r="P271">
        <f t="shared" si="964"/>
        <v>-0.40245261984392283</v>
      </c>
      <c r="Q271">
        <f t="shared" si="965"/>
        <v>-70063.831800445696</v>
      </c>
      <c r="R271">
        <f t="shared" si="966"/>
        <v>-10907048.457479168</v>
      </c>
      <c r="S271">
        <f t="shared" si="967"/>
        <v>-109.07048457479168</v>
      </c>
      <c r="T271">
        <f t="shared" si="968"/>
        <v>-0.10907048457479168</v>
      </c>
    </row>
    <row r="272" spans="1:20" x14ac:dyDescent="0.25">
      <c r="A272" s="5">
        <v>44321</v>
      </c>
      <c r="B272">
        <v>8.9860000000000007</v>
      </c>
      <c r="C272">
        <v>9.5</v>
      </c>
      <c r="D272">
        <v>8.7050000000000001</v>
      </c>
      <c r="E272">
        <v>9.3379999999999992</v>
      </c>
      <c r="F272">
        <v>149156.96900000001</v>
      </c>
      <c r="G272">
        <v>3.92</v>
      </c>
      <c r="L272" t="s">
        <v>8</v>
      </c>
      <c r="M272" t="s">
        <v>7</v>
      </c>
      <c r="N272" t="s">
        <v>7</v>
      </c>
      <c r="P272">
        <f t="shared" si="964"/>
        <v>0.59245283018867723</v>
      </c>
      <c r="Q272">
        <f t="shared" si="965"/>
        <v>88368.468426414795</v>
      </c>
      <c r="R272">
        <f t="shared" si="966"/>
        <v>-10836984.625678722</v>
      </c>
      <c r="S272">
        <f t="shared" si="967"/>
        <v>-108.36984625678721</v>
      </c>
      <c r="T272">
        <f t="shared" si="968"/>
        <v>-0.10836984625678721</v>
      </c>
    </row>
    <row r="273" spans="1:20" x14ac:dyDescent="0.25">
      <c r="A273" s="5">
        <v>44320</v>
      </c>
      <c r="B273">
        <v>9.9890000000000008</v>
      </c>
      <c r="C273">
        <v>10.401</v>
      </c>
      <c r="D273">
        <v>8.8059999999999992</v>
      </c>
      <c r="E273">
        <v>8.9489999999999998</v>
      </c>
      <c r="F273">
        <v>247041.478</v>
      </c>
      <c r="G273">
        <v>-10.41</v>
      </c>
      <c r="L273" t="s">
        <v>7</v>
      </c>
      <c r="M273" t="s">
        <v>7</v>
      </c>
      <c r="N273" t="s">
        <v>7</v>
      </c>
      <c r="P273">
        <f t="shared" si="964"/>
        <v>-0.82068965517241299</v>
      </c>
      <c r="Q273">
        <f t="shared" si="965"/>
        <v>-202744.38539310326</v>
      </c>
      <c r="R273">
        <f t="shared" si="966"/>
        <v>-10925353.094105138</v>
      </c>
      <c r="S273">
        <f t="shared" si="967"/>
        <v>-109.25353094105138</v>
      </c>
      <c r="T273">
        <f t="shared" si="968"/>
        <v>-0.10925353094105138</v>
      </c>
    </row>
    <row r="274" spans="1:20" x14ac:dyDescent="0.25">
      <c r="A274" s="5">
        <v>44319</v>
      </c>
      <c r="B274">
        <v>9.8620000000000001</v>
      </c>
      <c r="C274">
        <v>10.488</v>
      </c>
      <c r="D274">
        <v>9.7509999999999994</v>
      </c>
      <c r="E274">
        <v>9.9990000000000006</v>
      </c>
      <c r="F274">
        <v>234411.13099999999</v>
      </c>
      <c r="G274">
        <v>1.39</v>
      </c>
      <c r="L274" t="s">
        <v>8</v>
      </c>
      <c r="M274" t="s">
        <v>8</v>
      </c>
      <c r="N274" t="s">
        <v>7</v>
      </c>
      <c r="P274">
        <f t="shared" si="964"/>
        <v>-0.32700135685210019</v>
      </c>
      <c r="Q274">
        <f t="shared" si="965"/>
        <v>-76652.757898235403</v>
      </c>
      <c r="R274">
        <f t="shared" si="966"/>
        <v>-10722608.708712034</v>
      </c>
      <c r="S274">
        <f t="shared" si="967"/>
        <v>-107.22608708712033</v>
      </c>
      <c r="T274">
        <f t="shared" si="968"/>
        <v>-0.10722608708712034</v>
      </c>
    </row>
    <row r="275" spans="1:20" x14ac:dyDescent="0.25">
      <c r="A275" s="5">
        <v>44318</v>
      </c>
      <c r="B275">
        <v>9.7309999999999999</v>
      </c>
      <c r="C275">
        <v>10.077</v>
      </c>
      <c r="D275">
        <v>9.2129999999999992</v>
      </c>
      <c r="E275">
        <v>9.8719999999999999</v>
      </c>
      <c r="F275">
        <v>114717.304</v>
      </c>
      <c r="G275">
        <v>1.45</v>
      </c>
      <c r="L275" t="s">
        <v>7</v>
      </c>
      <c r="M275" t="s">
        <v>8</v>
      </c>
      <c r="N275" t="s">
        <v>7</v>
      </c>
      <c r="P275">
        <f t="shared" si="964"/>
        <v>0.52546296296296324</v>
      </c>
      <c r="Q275">
        <f t="shared" si="965"/>
        <v>60279.694462962994</v>
      </c>
      <c r="R275">
        <f t="shared" si="966"/>
        <v>-10645955.950813798</v>
      </c>
      <c r="S275">
        <f t="shared" si="967"/>
        <v>-106.45955950813799</v>
      </c>
      <c r="T275">
        <f t="shared" si="968"/>
        <v>-0.10645955950813799</v>
      </c>
    </row>
    <row r="276" spans="1:20" x14ac:dyDescent="0.25">
      <c r="A276" s="5">
        <v>44317</v>
      </c>
      <c r="B276">
        <v>9.7789999999999999</v>
      </c>
      <c r="C276">
        <v>10.29</v>
      </c>
      <c r="D276">
        <v>9.6110000000000007</v>
      </c>
      <c r="E276">
        <v>9.7270000000000003</v>
      </c>
      <c r="F276">
        <v>123958.257</v>
      </c>
      <c r="G276">
        <v>-0.53</v>
      </c>
      <c r="L276" t="s">
        <v>8</v>
      </c>
      <c r="M276" t="s">
        <v>8</v>
      </c>
      <c r="N276" t="s">
        <v>7</v>
      </c>
      <c r="P276">
        <f t="shared" si="964"/>
        <v>-0.65832106038291627</v>
      </c>
      <c r="Q276">
        <f t="shared" si="965"/>
        <v>-81604.331191458055</v>
      </c>
      <c r="R276">
        <f t="shared" si="966"/>
        <v>-10706235.645276761</v>
      </c>
      <c r="S276">
        <f t="shared" si="967"/>
        <v>-107.0623564527676</v>
      </c>
      <c r="T276">
        <f t="shared" si="968"/>
        <v>-0.1070623564527676</v>
      </c>
    </row>
    <row r="277" spans="1:20" x14ac:dyDescent="0.25">
      <c r="A277" s="5">
        <v>44316</v>
      </c>
      <c r="B277">
        <v>9.6549999999999994</v>
      </c>
      <c r="C277">
        <v>10.122999999999999</v>
      </c>
      <c r="D277">
        <v>9.3629999999999995</v>
      </c>
      <c r="E277">
        <v>9.7789999999999999</v>
      </c>
      <c r="F277">
        <v>201329.94399999999</v>
      </c>
      <c r="G277">
        <v>1.28</v>
      </c>
      <c r="L277" t="s">
        <v>7</v>
      </c>
      <c r="M277" t="s">
        <v>8</v>
      </c>
      <c r="N277" t="s">
        <v>7</v>
      </c>
      <c r="P277">
        <f t="shared" si="964"/>
        <v>9.4736842105264438E-2</v>
      </c>
      <c r="Q277">
        <f t="shared" si="965"/>
        <v>19073.363115789729</v>
      </c>
      <c r="R277">
        <f t="shared" si="966"/>
        <v>-10624631.314085303</v>
      </c>
      <c r="S277">
        <f t="shared" si="967"/>
        <v>-106.24631314085303</v>
      </c>
      <c r="T277">
        <f t="shared" si="968"/>
        <v>-0.10624631314085303</v>
      </c>
    </row>
    <row r="278" spans="1:20" x14ac:dyDescent="0.25">
      <c r="A278" s="5">
        <v>44315</v>
      </c>
      <c r="B278">
        <v>9.3640000000000008</v>
      </c>
      <c r="C278">
        <v>10.423999999999999</v>
      </c>
      <c r="D278">
        <v>8.9890000000000008</v>
      </c>
      <c r="E278">
        <v>9.6579999999999995</v>
      </c>
      <c r="F278">
        <v>669304.82200000004</v>
      </c>
      <c r="G278">
        <v>3.14</v>
      </c>
      <c r="L278" t="s">
        <v>8</v>
      </c>
      <c r="M278" t="s">
        <v>8</v>
      </c>
      <c r="N278" t="s">
        <v>7</v>
      </c>
      <c r="P278">
        <f t="shared" si="964"/>
        <v>-6.7595818815331984E-2</v>
      </c>
      <c r="Q278">
        <f t="shared" si="965"/>
        <v>-45242.20748014003</v>
      </c>
      <c r="R278">
        <f t="shared" si="966"/>
        <v>-10643704.677201092</v>
      </c>
      <c r="S278">
        <f t="shared" si="967"/>
        <v>-106.43704677201092</v>
      </c>
      <c r="T278">
        <f t="shared" si="968"/>
        <v>-0.10643704677201092</v>
      </c>
    </row>
    <row r="279" spans="1:20" x14ac:dyDescent="0.25">
      <c r="A279" s="5">
        <v>44314</v>
      </c>
      <c r="B279">
        <v>9.5500000000000007</v>
      </c>
      <c r="C279">
        <v>9.6780000000000008</v>
      </c>
      <c r="D279">
        <v>8.76</v>
      </c>
      <c r="E279">
        <v>9.3640000000000008</v>
      </c>
      <c r="F279">
        <v>193852.228</v>
      </c>
      <c r="G279">
        <v>-1.95</v>
      </c>
      <c r="L279" t="s">
        <v>7</v>
      </c>
      <c r="M279" t="s">
        <v>8</v>
      </c>
      <c r="N279" t="s">
        <v>7</v>
      </c>
      <c r="P279">
        <f t="shared" si="964"/>
        <v>0.31590413943355183</v>
      </c>
      <c r="Q279">
        <f t="shared" si="965"/>
        <v>61238.721263616681</v>
      </c>
      <c r="R279">
        <f t="shared" si="966"/>
        <v>-10598462.469720952</v>
      </c>
      <c r="S279">
        <f t="shared" si="967"/>
        <v>-105.98462469720953</v>
      </c>
      <c r="T279">
        <f t="shared" si="968"/>
        <v>-0.10598462469720953</v>
      </c>
    </row>
    <row r="280" spans="1:20" x14ac:dyDescent="0.25">
      <c r="A280" s="5">
        <v>44313</v>
      </c>
      <c r="B280">
        <v>9.3870000000000005</v>
      </c>
      <c r="C280">
        <v>9.6270000000000007</v>
      </c>
      <c r="D280">
        <v>9.17</v>
      </c>
      <c r="E280">
        <v>9.5500000000000007</v>
      </c>
      <c r="F280">
        <v>116267.47500000001</v>
      </c>
      <c r="G280">
        <v>1.74</v>
      </c>
      <c r="L280" t="s">
        <v>7</v>
      </c>
      <c r="M280" t="s">
        <v>8</v>
      </c>
      <c r="N280" t="s">
        <v>7</v>
      </c>
      <c r="P280">
        <f t="shared" si="964"/>
        <v>0.66301969365426772</v>
      </c>
      <c r="Q280">
        <f t="shared" si="965"/>
        <v>77087.625656455231</v>
      </c>
      <c r="R280">
        <f t="shared" si="966"/>
        <v>-10659701.190984569</v>
      </c>
      <c r="S280">
        <f t="shared" si="967"/>
        <v>-106.59701190984569</v>
      </c>
      <c r="T280">
        <f t="shared" si="968"/>
        <v>-0.10659701190984569</v>
      </c>
    </row>
    <row r="281" spans="1:20" x14ac:dyDescent="0.25">
      <c r="A281" s="5">
        <v>44312</v>
      </c>
      <c r="B281">
        <v>8.0050000000000008</v>
      </c>
      <c r="C281">
        <v>9.7710000000000008</v>
      </c>
      <c r="D281">
        <v>7.992</v>
      </c>
      <c r="E281">
        <v>9.39</v>
      </c>
      <c r="F281">
        <v>273487.49900000001</v>
      </c>
      <c r="G281">
        <v>17.3</v>
      </c>
      <c r="L281" t="s">
        <v>8</v>
      </c>
      <c r="M281" t="s">
        <v>8</v>
      </c>
      <c r="N281" t="s">
        <v>7</v>
      </c>
      <c r="P281">
        <f t="shared" si="964"/>
        <v>0.57166947723440131</v>
      </c>
      <c r="Q281">
        <f t="shared" si="965"/>
        <v>156344.45558347387</v>
      </c>
      <c r="R281">
        <f t="shared" si="966"/>
        <v>-10736788.816641025</v>
      </c>
      <c r="S281">
        <f t="shared" si="967"/>
        <v>-107.36788816641025</v>
      </c>
      <c r="T281">
        <f t="shared" si="968"/>
        <v>-0.10736788816641026</v>
      </c>
    </row>
    <row r="282" spans="1:20" x14ac:dyDescent="0.25">
      <c r="A282" s="5">
        <v>44311</v>
      </c>
      <c r="B282">
        <v>7.9779999999999998</v>
      </c>
      <c r="C282">
        <v>8.923</v>
      </c>
      <c r="D282">
        <v>7.5339999999999998</v>
      </c>
      <c r="E282">
        <v>8.0050000000000008</v>
      </c>
      <c r="F282">
        <v>234705.899</v>
      </c>
      <c r="G282">
        <v>0.34</v>
      </c>
      <c r="L282" t="s">
        <v>8</v>
      </c>
      <c r="M282" t="s">
        <v>7</v>
      </c>
      <c r="N282" t="s">
        <v>7</v>
      </c>
      <c r="P282">
        <f t="shared" si="964"/>
        <v>-0.32181425485960996</v>
      </c>
      <c r="Q282">
        <f t="shared" si="965"/>
        <v>-75531.703997839883</v>
      </c>
      <c r="R282">
        <f t="shared" si="966"/>
        <v>-10893133.272224499</v>
      </c>
      <c r="S282">
        <f t="shared" si="967"/>
        <v>-108.93133272224499</v>
      </c>
      <c r="T282">
        <f t="shared" si="968"/>
        <v>-0.10893133272224499</v>
      </c>
    </row>
    <row r="283" spans="1:20" x14ac:dyDescent="0.25">
      <c r="A283" s="5">
        <v>44310</v>
      </c>
      <c r="B283">
        <v>8.1980000000000004</v>
      </c>
      <c r="C283">
        <v>8.3529999999999998</v>
      </c>
      <c r="D283">
        <v>7.8140000000000001</v>
      </c>
      <c r="E283">
        <v>7.9630000000000001</v>
      </c>
      <c r="F283">
        <v>105948.36</v>
      </c>
      <c r="G283">
        <v>-2.87</v>
      </c>
      <c r="L283" t="s">
        <v>8</v>
      </c>
      <c r="M283" t="s">
        <v>7</v>
      </c>
      <c r="N283" t="s">
        <v>7</v>
      </c>
      <c r="P283">
        <f t="shared" si="964"/>
        <v>-0.44712430426716104</v>
      </c>
      <c r="Q283">
        <f t="shared" si="965"/>
        <v>-47372.086753246716</v>
      </c>
      <c r="R283">
        <f t="shared" si="966"/>
        <v>-10817601.56822666</v>
      </c>
      <c r="S283">
        <f t="shared" si="967"/>
        <v>-108.17601568226659</v>
      </c>
      <c r="T283">
        <f t="shared" si="968"/>
        <v>-0.10817601568226659</v>
      </c>
    </row>
    <row r="284" spans="1:20" x14ac:dyDescent="0.25">
      <c r="A284" s="5">
        <v>44309</v>
      </c>
      <c r="B284">
        <v>8.8960000000000008</v>
      </c>
      <c r="C284">
        <v>9.5</v>
      </c>
      <c r="D284">
        <v>7.7</v>
      </c>
      <c r="E284">
        <v>8.1989999999999998</v>
      </c>
      <c r="F284">
        <v>354990.96100000001</v>
      </c>
      <c r="G284">
        <v>-7.83</v>
      </c>
      <c r="L284" t="s">
        <v>7</v>
      </c>
      <c r="M284" t="s">
        <v>7</v>
      </c>
      <c r="N284" t="s">
        <v>7</v>
      </c>
      <c r="P284">
        <f t="shared" si="964"/>
        <v>-0.44555555555555587</v>
      </c>
      <c r="Q284">
        <f t="shared" si="965"/>
        <v>-158168.19484555567</v>
      </c>
      <c r="R284">
        <f t="shared" si="966"/>
        <v>-10770229.481473412</v>
      </c>
      <c r="S284">
        <f t="shared" si="967"/>
        <v>-107.70229481473412</v>
      </c>
      <c r="T284">
        <f t="shared" si="968"/>
        <v>-0.10770229481473412</v>
      </c>
    </row>
    <row r="285" spans="1:20" x14ac:dyDescent="0.25">
      <c r="A285" s="5">
        <v>44308</v>
      </c>
      <c r="B285">
        <v>8.9700000000000006</v>
      </c>
      <c r="C285">
        <v>10</v>
      </c>
      <c r="D285">
        <v>8.5519999999999996</v>
      </c>
      <c r="E285">
        <v>8.9179999999999993</v>
      </c>
      <c r="F285">
        <v>332531.38500000001</v>
      </c>
      <c r="G285">
        <v>-0.57999999999999996</v>
      </c>
      <c r="L285" t="s">
        <v>8</v>
      </c>
      <c r="M285" t="s">
        <v>8</v>
      </c>
      <c r="N285" t="s">
        <v>7</v>
      </c>
      <c r="P285">
        <f t="shared" si="964"/>
        <v>-0.49447513812154759</v>
      </c>
      <c r="Q285">
        <f t="shared" si="965"/>
        <v>-164428.50252762451</v>
      </c>
      <c r="R285">
        <f t="shared" si="966"/>
        <v>-10612061.286627857</v>
      </c>
      <c r="S285">
        <f t="shared" si="967"/>
        <v>-106.12061286627856</v>
      </c>
      <c r="T285">
        <f t="shared" si="968"/>
        <v>-0.10612061286627857</v>
      </c>
    </row>
    <row r="286" spans="1:20" x14ac:dyDescent="0.25">
      <c r="A286" s="5">
        <v>44307</v>
      </c>
      <c r="B286">
        <v>9.1050000000000004</v>
      </c>
      <c r="C286">
        <v>9.8230000000000004</v>
      </c>
      <c r="D286">
        <v>8.83</v>
      </c>
      <c r="E286">
        <v>8.9529999999999994</v>
      </c>
      <c r="F286">
        <v>202651.59899999999</v>
      </c>
      <c r="G286">
        <v>-1.67</v>
      </c>
      <c r="L286" t="s">
        <v>8</v>
      </c>
      <c r="M286" t="s">
        <v>8</v>
      </c>
      <c r="N286" t="s">
        <v>7</v>
      </c>
      <c r="P286">
        <f t="shared" si="964"/>
        <v>-0.75226586102719173</v>
      </c>
      <c r="Q286">
        <f t="shared" si="965"/>
        <v>-152447.87961027218</v>
      </c>
      <c r="R286">
        <f t="shared" si="966"/>
        <v>-10447632.784100233</v>
      </c>
      <c r="S286">
        <f t="shared" si="967"/>
        <v>-104.47632784100233</v>
      </c>
      <c r="T286">
        <f t="shared" si="968"/>
        <v>-0.10447632784100233</v>
      </c>
    </row>
    <row r="287" spans="1:20" x14ac:dyDescent="0.25">
      <c r="A287" s="5">
        <v>44306</v>
      </c>
      <c r="B287">
        <v>8.7889999999999997</v>
      </c>
      <c r="C287">
        <v>9.4700000000000006</v>
      </c>
      <c r="D287">
        <v>8.016</v>
      </c>
      <c r="E287">
        <v>9.1050000000000004</v>
      </c>
      <c r="F287">
        <v>171127.212</v>
      </c>
      <c r="G287">
        <v>3.6</v>
      </c>
      <c r="L287" t="s">
        <v>7</v>
      </c>
      <c r="M287" t="s">
        <v>7</v>
      </c>
      <c r="N287" t="s">
        <v>7</v>
      </c>
      <c r="P287">
        <f t="shared" si="964"/>
        <v>0.49793672627235208</v>
      </c>
      <c r="Q287">
        <f t="shared" si="965"/>
        <v>85210.523719394769</v>
      </c>
      <c r="R287">
        <f t="shared" si="966"/>
        <v>-10295184.904489961</v>
      </c>
      <c r="S287">
        <f t="shared" si="967"/>
        <v>-102.9518490448996</v>
      </c>
      <c r="T287">
        <f t="shared" si="968"/>
        <v>-0.10295184904489961</v>
      </c>
    </row>
    <row r="288" spans="1:20" x14ac:dyDescent="0.25">
      <c r="A288" s="5">
        <v>44305</v>
      </c>
      <c r="B288">
        <v>9.2720000000000002</v>
      </c>
      <c r="C288">
        <v>9.8759999999999994</v>
      </c>
      <c r="D288">
        <v>8.7289999999999992</v>
      </c>
      <c r="E288">
        <v>8.7870000000000008</v>
      </c>
      <c r="F288">
        <v>157562.51999999999</v>
      </c>
      <c r="G288">
        <v>-5.23</v>
      </c>
      <c r="L288" t="s">
        <v>7</v>
      </c>
      <c r="M288" t="s">
        <v>7</v>
      </c>
      <c r="N288" t="s">
        <v>7</v>
      </c>
      <c r="P288">
        <f t="shared" si="964"/>
        <v>-0.89886660854402511</v>
      </c>
      <c r="Q288">
        <f t="shared" si="965"/>
        <v>-141627.68798605012</v>
      </c>
      <c r="R288">
        <f t="shared" si="966"/>
        <v>-10380395.428209355</v>
      </c>
      <c r="S288">
        <f t="shared" si="967"/>
        <v>-103.80395428209356</v>
      </c>
      <c r="T288">
        <f t="shared" si="968"/>
        <v>-0.10380395428209356</v>
      </c>
    </row>
    <row r="289" spans="1:20" x14ac:dyDescent="0.25">
      <c r="A289" s="5">
        <v>44304</v>
      </c>
      <c r="B289">
        <v>10.512</v>
      </c>
      <c r="C289">
        <v>10.571</v>
      </c>
      <c r="D289">
        <v>9.09</v>
      </c>
      <c r="E289">
        <v>9.2520000000000007</v>
      </c>
      <c r="F289">
        <v>259459.639</v>
      </c>
      <c r="G289">
        <v>-11.99</v>
      </c>
      <c r="L289" t="s">
        <v>7</v>
      </c>
      <c r="M289" t="s">
        <v>7</v>
      </c>
      <c r="N289" t="s">
        <v>7</v>
      </c>
      <c r="P289">
        <f t="shared" si="964"/>
        <v>-0.78122889939230133</v>
      </c>
      <c r="Q289">
        <f t="shared" si="965"/>
        <v>-202697.36821269381</v>
      </c>
      <c r="R289">
        <f t="shared" si="966"/>
        <v>-10238767.740223305</v>
      </c>
      <c r="S289">
        <f t="shared" si="967"/>
        <v>-102.38767740223305</v>
      </c>
      <c r="T289">
        <f t="shared" si="968"/>
        <v>-0.10238767740223305</v>
      </c>
    </row>
    <row r="290" spans="1:20" x14ac:dyDescent="0.25">
      <c r="A290" s="5">
        <v>44303</v>
      </c>
      <c r="B290">
        <v>10.414999999999999</v>
      </c>
      <c r="C290">
        <v>10.692</v>
      </c>
      <c r="D290">
        <v>10.106</v>
      </c>
      <c r="E290">
        <v>10.471</v>
      </c>
      <c r="F290">
        <v>211263.666</v>
      </c>
      <c r="G290">
        <v>0.54</v>
      </c>
      <c r="L290" t="s">
        <v>7</v>
      </c>
      <c r="M290" t="s">
        <v>7</v>
      </c>
      <c r="N290" t="s">
        <v>7</v>
      </c>
      <c r="P290">
        <f t="shared" si="964"/>
        <v>0.24573378839590454</v>
      </c>
      <c r="Q290">
        <f t="shared" si="965"/>
        <v>51914.620996587051</v>
      </c>
      <c r="R290">
        <f t="shared" si="966"/>
        <v>-10036070.372010611</v>
      </c>
      <c r="S290">
        <f t="shared" si="967"/>
        <v>-100.36070372010612</v>
      </c>
      <c r="T290">
        <f t="shared" si="968"/>
        <v>-0.10036070372010611</v>
      </c>
    </row>
    <row r="291" spans="1:20" x14ac:dyDescent="0.25">
      <c r="A291" s="5">
        <v>44302</v>
      </c>
      <c r="B291">
        <v>11.026999999999999</v>
      </c>
      <c r="C291">
        <v>11.076000000000001</v>
      </c>
      <c r="D291">
        <v>10.125999999999999</v>
      </c>
      <c r="E291">
        <v>10.417</v>
      </c>
      <c r="F291">
        <v>244294.446</v>
      </c>
      <c r="G291">
        <v>-5.53</v>
      </c>
      <c r="L291" t="s">
        <v>7</v>
      </c>
      <c r="M291" t="s">
        <v>7</v>
      </c>
      <c r="N291" t="s">
        <v>7</v>
      </c>
      <c r="P291">
        <f t="shared" si="964"/>
        <v>-0.38736842105263147</v>
      </c>
      <c r="Q291">
        <f t="shared" si="965"/>
        <v>-94631.953818947339</v>
      </c>
      <c r="R291">
        <f t="shared" si="966"/>
        <v>-10087984.993007198</v>
      </c>
      <c r="S291">
        <f t="shared" si="967"/>
        <v>-100.87984993007198</v>
      </c>
      <c r="T291">
        <f t="shared" si="968"/>
        <v>-0.10087984993007199</v>
      </c>
    </row>
    <row r="292" spans="1:20" x14ac:dyDescent="0.25">
      <c r="A292" s="5">
        <v>44301</v>
      </c>
      <c r="B292">
        <v>11.211</v>
      </c>
      <c r="C292">
        <v>12.298999999999999</v>
      </c>
      <c r="D292">
        <v>10.893000000000001</v>
      </c>
      <c r="E292">
        <v>11.026</v>
      </c>
      <c r="F292">
        <v>390482.90399999998</v>
      </c>
      <c r="G292">
        <v>-1.65</v>
      </c>
      <c r="L292" t="s">
        <v>8</v>
      </c>
      <c r="M292" t="s">
        <v>8</v>
      </c>
      <c r="N292" t="s">
        <v>7</v>
      </c>
      <c r="P292">
        <f t="shared" si="964"/>
        <v>-0.81081081081081186</v>
      </c>
      <c r="Q292">
        <f t="shared" si="965"/>
        <v>-316607.76000000042</v>
      </c>
      <c r="R292">
        <f t="shared" si="966"/>
        <v>-9993353.0391882509</v>
      </c>
      <c r="S292">
        <f t="shared" si="967"/>
        <v>-99.933530391882513</v>
      </c>
      <c r="T292">
        <f t="shared" si="968"/>
        <v>-9.9933530391882519E-2</v>
      </c>
    </row>
    <row r="293" spans="1:20" x14ac:dyDescent="0.25">
      <c r="A293" s="5">
        <v>44300</v>
      </c>
      <c r="B293">
        <v>11.164</v>
      </c>
      <c r="C293">
        <v>11.65</v>
      </c>
      <c r="D293">
        <v>10.57</v>
      </c>
      <c r="E293">
        <v>11.2</v>
      </c>
      <c r="F293">
        <v>259613.144</v>
      </c>
      <c r="G293">
        <v>0.32</v>
      </c>
      <c r="L293" t="s">
        <v>8</v>
      </c>
      <c r="M293" t="s">
        <v>8</v>
      </c>
      <c r="N293" t="s">
        <v>7</v>
      </c>
      <c r="P293">
        <f t="shared" si="964"/>
        <v>0.16666666666666474</v>
      </c>
      <c r="Q293">
        <f t="shared" si="965"/>
        <v>43268.857333332831</v>
      </c>
      <c r="R293">
        <f t="shared" si="966"/>
        <v>-9676745.2791882511</v>
      </c>
      <c r="S293">
        <f t="shared" si="967"/>
        <v>-96.767452791882505</v>
      </c>
      <c r="T293">
        <f t="shared" si="968"/>
        <v>-9.6767452791882508E-2</v>
      </c>
    </row>
    <row r="294" spans="1:20" x14ac:dyDescent="0.25">
      <c r="A294" s="5">
        <v>44299</v>
      </c>
      <c r="B294">
        <v>10.638</v>
      </c>
      <c r="C294">
        <v>11.814</v>
      </c>
      <c r="D294">
        <v>10.36</v>
      </c>
      <c r="E294">
        <v>11.167</v>
      </c>
      <c r="F294">
        <v>392809.609</v>
      </c>
      <c r="G294">
        <v>4.97</v>
      </c>
      <c r="L294" t="s">
        <v>7</v>
      </c>
      <c r="M294" t="s">
        <v>8</v>
      </c>
      <c r="N294" t="s">
        <v>7</v>
      </c>
      <c r="P294">
        <f t="shared" si="964"/>
        <v>0.11004126547455301</v>
      </c>
      <c r="Q294">
        <f t="shared" si="965"/>
        <v>43225.266464924367</v>
      </c>
      <c r="R294">
        <f t="shared" si="966"/>
        <v>-9720014.1365215834</v>
      </c>
      <c r="S294">
        <f t="shared" si="967"/>
        <v>-97.200141365215828</v>
      </c>
      <c r="T294">
        <f t="shared" si="968"/>
        <v>-9.7200141365215834E-2</v>
      </c>
    </row>
    <row r="295" spans="1:20" x14ac:dyDescent="0.25">
      <c r="A295" s="5">
        <v>44298</v>
      </c>
      <c r="B295">
        <v>10.266999999999999</v>
      </c>
      <c r="C295">
        <v>11.683</v>
      </c>
      <c r="D295">
        <v>10.077</v>
      </c>
      <c r="E295">
        <v>10.686999999999999</v>
      </c>
      <c r="F295">
        <v>625755.576</v>
      </c>
      <c r="G295">
        <v>4.09</v>
      </c>
      <c r="L295" t="s">
        <v>8</v>
      </c>
      <c r="M295" t="s">
        <v>8</v>
      </c>
      <c r="N295" t="s">
        <v>7</v>
      </c>
      <c r="P295">
        <f t="shared" si="964"/>
        <v>-0.24034869240348758</v>
      </c>
      <c r="Q295">
        <f t="shared" si="965"/>
        <v>-150399.5344557912</v>
      </c>
      <c r="R295">
        <f t="shared" si="966"/>
        <v>-9763239.4029865079</v>
      </c>
      <c r="S295">
        <f t="shared" si="967"/>
        <v>-97.632394029865083</v>
      </c>
      <c r="T295">
        <f t="shared" si="968"/>
        <v>-9.763239402986508E-2</v>
      </c>
    </row>
    <row r="296" spans="1:20" x14ac:dyDescent="0.25">
      <c r="A296" s="5">
        <v>44297</v>
      </c>
      <c r="B296">
        <v>9.7219999999999995</v>
      </c>
      <c r="C296">
        <v>10.792</v>
      </c>
      <c r="D296">
        <v>9.6</v>
      </c>
      <c r="E296">
        <v>10.275</v>
      </c>
      <c r="F296">
        <v>466299.40100000001</v>
      </c>
      <c r="G296">
        <v>5.69</v>
      </c>
      <c r="L296" t="s">
        <v>8</v>
      </c>
      <c r="M296" t="s">
        <v>7</v>
      </c>
      <c r="N296" t="s">
        <v>7</v>
      </c>
      <c r="P296">
        <f t="shared" si="964"/>
        <v>0.13255033557047083</v>
      </c>
      <c r="Q296">
        <f t="shared" si="965"/>
        <v>61808.142078859542</v>
      </c>
      <c r="R296">
        <f t="shared" si="966"/>
        <v>-9612839.8685307167</v>
      </c>
      <c r="S296">
        <f t="shared" si="967"/>
        <v>-96.128398685307161</v>
      </c>
      <c r="T296">
        <f t="shared" si="968"/>
        <v>-9.6128398685307162E-2</v>
      </c>
    </row>
    <row r="297" spans="1:20" x14ac:dyDescent="0.25">
      <c r="A297" s="5">
        <v>44296</v>
      </c>
      <c r="B297">
        <v>10.045</v>
      </c>
      <c r="C297">
        <v>10.24</v>
      </c>
      <c r="D297">
        <v>9.5950000000000006</v>
      </c>
      <c r="E297">
        <v>9.7360000000000007</v>
      </c>
      <c r="F297">
        <v>210223.73199999999</v>
      </c>
      <c r="G297">
        <v>-3.08</v>
      </c>
      <c r="L297" t="s">
        <v>7</v>
      </c>
      <c r="M297" t="s">
        <v>7</v>
      </c>
      <c r="N297" t="s">
        <v>7</v>
      </c>
      <c r="P297">
        <f t="shared" si="964"/>
        <v>-0.56279069767441825</v>
      </c>
      <c r="Q297">
        <f t="shared" si="965"/>
        <v>-118311.96079999991</v>
      </c>
      <c r="R297">
        <f t="shared" si="966"/>
        <v>-9674648.0106095765</v>
      </c>
      <c r="S297">
        <f t="shared" si="967"/>
        <v>-96.74648010609576</v>
      </c>
      <c r="T297">
        <f t="shared" si="968"/>
        <v>-9.6746480106095753E-2</v>
      </c>
    </row>
    <row r="298" spans="1:20" x14ac:dyDescent="0.25">
      <c r="A298" s="5">
        <v>44295</v>
      </c>
      <c r="B298">
        <v>10.456</v>
      </c>
      <c r="C298">
        <v>10.486000000000001</v>
      </c>
      <c r="D298">
        <v>9.9109999999999996</v>
      </c>
      <c r="E298">
        <v>10.063000000000001</v>
      </c>
      <c r="F298">
        <v>255744.867</v>
      </c>
      <c r="G298">
        <v>-3.76</v>
      </c>
      <c r="L298" t="s">
        <v>7</v>
      </c>
      <c r="M298" t="s">
        <v>7</v>
      </c>
      <c r="N298" t="s">
        <v>8</v>
      </c>
      <c r="P298">
        <f t="shared" si="964"/>
        <v>-0.47130434782608438</v>
      </c>
      <c r="Q298">
        <f t="shared" si="965"/>
        <v>-120533.66775130368</v>
      </c>
      <c r="R298">
        <f t="shared" si="966"/>
        <v>-9556336.0498095769</v>
      </c>
      <c r="S298">
        <f t="shared" si="967"/>
        <v>-95.563360498095776</v>
      </c>
      <c r="T298">
        <f t="shared" si="968"/>
        <v>-9.5563360498095773E-2</v>
      </c>
    </row>
    <row r="299" spans="1:20" x14ac:dyDescent="0.25">
      <c r="A299" s="5">
        <v>44294</v>
      </c>
      <c r="B299">
        <v>11.688000000000001</v>
      </c>
      <c r="C299">
        <v>11.688000000000001</v>
      </c>
      <c r="D299">
        <v>10.023999999999999</v>
      </c>
      <c r="E299">
        <v>10.459</v>
      </c>
      <c r="F299">
        <v>1009214.372</v>
      </c>
      <c r="G299">
        <v>-10.52</v>
      </c>
      <c r="L299" t="s">
        <v>7</v>
      </c>
      <c r="M299" t="s">
        <v>7</v>
      </c>
      <c r="N299" t="s">
        <v>8</v>
      </c>
      <c r="P299">
        <f t="shared" si="964"/>
        <v>-0.4771634615384614</v>
      </c>
      <c r="Q299">
        <f t="shared" si="965"/>
        <v>-481560.22317788447</v>
      </c>
      <c r="R299">
        <f t="shared" si="966"/>
        <v>-9435802.382058274</v>
      </c>
      <c r="S299">
        <f t="shared" si="967"/>
        <v>-94.358023820582744</v>
      </c>
      <c r="T299">
        <f t="shared" si="968"/>
        <v>-9.435802382058274E-2</v>
      </c>
    </row>
    <row r="300" spans="1:20" x14ac:dyDescent="0.25">
      <c r="A300" s="5">
        <v>44293</v>
      </c>
      <c r="B300">
        <v>10.616</v>
      </c>
      <c r="C300">
        <v>13.4</v>
      </c>
      <c r="D300">
        <v>9.8000000000000007</v>
      </c>
      <c r="E300">
        <v>11.616</v>
      </c>
      <c r="F300">
        <v>1058266.797</v>
      </c>
      <c r="G300">
        <v>9.42</v>
      </c>
      <c r="L300" t="s">
        <v>8</v>
      </c>
      <c r="M300" t="s">
        <v>8</v>
      </c>
      <c r="N300" t="s">
        <v>8</v>
      </c>
      <c r="P300">
        <f t="shared" si="964"/>
        <v>8.8888888888884049E-3</v>
      </c>
      <c r="Q300">
        <f t="shared" si="965"/>
        <v>9406.8159733328212</v>
      </c>
      <c r="R300">
        <f t="shared" si="966"/>
        <v>-8954242.1588803902</v>
      </c>
      <c r="S300">
        <f t="shared" si="967"/>
        <v>-89.542421588803904</v>
      </c>
      <c r="T300">
        <f t="shared" si="968"/>
        <v>-8.9542421588803905E-2</v>
      </c>
    </row>
    <row r="301" spans="1:20" x14ac:dyDescent="0.25">
      <c r="A301" s="5">
        <v>44292</v>
      </c>
      <c r="B301">
        <v>10.15</v>
      </c>
      <c r="C301">
        <v>11.5</v>
      </c>
      <c r="D301">
        <v>9.7620000000000005</v>
      </c>
      <c r="E301">
        <v>10.654</v>
      </c>
      <c r="F301">
        <v>263923.53100000002</v>
      </c>
      <c r="G301">
        <v>4.97</v>
      </c>
      <c r="L301" t="s">
        <v>8</v>
      </c>
      <c r="M301" t="s">
        <v>8</v>
      </c>
      <c r="N301" t="s">
        <v>8</v>
      </c>
      <c r="P301">
        <f t="shared" si="964"/>
        <v>2.6467203682393203E-2</v>
      </c>
      <c r="Q301">
        <f t="shared" si="965"/>
        <v>6985.3178515534173</v>
      </c>
      <c r="R301">
        <f t="shared" si="966"/>
        <v>-8963648.9748537224</v>
      </c>
      <c r="S301">
        <f t="shared" si="967"/>
        <v>-89.63648974853723</v>
      </c>
      <c r="T301">
        <f t="shared" si="968"/>
        <v>-8.9636489748537232E-2</v>
      </c>
    </row>
    <row r="302" spans="1:20" x14ac:dyDescent="0.25">
      <c r="A302" s="5">
        <v>44291</v>
      </c>
      <c r="B302">
        <v>9.7289999999999992</v>
      </c>
      <c r="C302">
        <v>10.558</v>
      </c>
      <c r="D302">
        <v>9.3770000000000007</v>
      </c>
      <c r="E302">
        <v>10.117000000000001</v>
      </c>
      <c r="F302">
        <v>181400.2</v>
      </c>
      <c r="G302">
        <v>3.99</v>
      </c>
      <c r="L302" t="s">
        <v>8</v>
      </c>
      <c r="M302" t="s">
        <v>7</v>
      </c>
      <c r="N302" t="s">
        <v>8</v>
      </c>
      <c r="P302">
        <f t="shared" si="964"/>
        <v>0.25317527519051775</v>
      </c>
      <c r="Q302">
        <f t="shared" si="965"/>
        <v>45926.045554614961</v>
      </c>
      <c r="R302">
        <f t="shared" si="966"/>
        <v>-8970634.2927052751</v>
      </c>
      <c r="S302">
        <f t="shared" si="967"/>
        <v>-89.706342927052745</v>
      </c>
      <c r="T302">
        <f t="shared" si="968"/>
        <v>-8.9706342927052748E-2</v>
      </c>
    </row>
    <row r="303" spans="1:20" x14ac:dyDescent="0.25">
      <c r="A303" s="5">
        <v>44290</v>
      </c>
      <c r="B303">
        <v>9.27</v>
      </c>
      <c r="C303">
        <v>9.9220000000000006</v>
      </c>
      <c r="D303">
        <v>9.0760000000000005</v>
      </c>
      <c r="E303">
        <v>9.7289999999999992</v>
      </c>
      <c r="F303">
        <v>101742.162</v>
      </c>
      <c r="G303">
        <v>4.95</v>
      </c>
      <c r="L303" t="s">
        <v>7</v>
      </c>
      <c r="M303" t="s">
        <v>7</v>
      </c>
      <c r="N303" t="s">
        <v>8</v>
      </c>
      <c r="P303">
        <f t="shared" si="964"/>
        <v>0.5437352245862852</v>
      </c>
      <c r="Q303">
        <f t="shared" si="965"/>
        <v>55320.79730496421</v>
      </c>
      <c r="R303">
        <f t="shared" si="966"/>
        <v>-9016560.3382598907</v>
      </c>
      <c r="S303">
        <f t="shared" si="967"/>
        <v>-90.165603382598903</v>
      </c>
      <c r="T303">
        <f t="shared" si="968"/>
        <v>-9.0165603382598908E-2</v>
      </c>
    </row>
    <row r="304" spans="1:20" x14ac:dyDescent="0.25">
      <c r="A304" s="5">
        <v>44289</v>
      </c>
      <c r="B304">
        <v>10.221</v>
      </c>
      <c r="C304">
        <v>10.281000000000001</v>
      </c>
      <c r="D304">
        <v>9.1999999999999993</v>
      </c>
      <c r="E304">
        <v>9.27</v>
      </c>
      <c r="F304">
        <v>191466.70300000001</v>
      </c>
      <c r="G304">
        <v>-9.3000000000000007</v>
      </c>
      <c r="L304" t="s">
        <v>7</v>
      </c>
      <c r="M304" t="s">
        <v>7</v>
      </c>
      <c r="N304" t="s">
        <v>8</v>
      </c>
      <c r="P304">
        <f t="shared" si="964"/>
        <v>-0.87049028677150753</v>
      </c>
      <c r="Q304">
        <f t="shared" si="965"/>
        <v>-166669.90520166507</v>
      </c>
      <c r="R304">
        <f t="shared" si="966"/>
        <v>-9071881.1355648544</v>
      </c>
      <c r="S304">
        <f t="shared" si="967"/>
        <v>-90.71881135564854</v>
      </c>
      <c r="T304">
        <f t="shared" si="968"/>
        <v>-9.0718811355648535E-2</v>
      </c>
    </row>
    <row r="305" spans="1:20" x14ac:dyDescent="0.25">
      <c r="A305" s="5">
        <v>44288</v>
      </c>
      <c r="B305">
        <v>10.204000000000001</v>
      </c>
      <c r="C305">
        <v>10.509</v>
      </c>
      <c r="D305">
        <v>10.074</v>
      </c>
      <c r="E305">
        <v>10.282</v>
      </c>
      <c r="F305">
        <v>68898.404999999999</v>
      </c>
      <c r="G305">
        <v>0.76</v>
      </c>
      <c r="L305" t="s">
        <v>7</v>
      </c>
      <c r="M305" t="s">
        <v>8</v>
      </c>
      <c r="N305" t="s">
        <v>8</v>
      </c>
      <c r="P305">
        <f t="shared" si="964"/>
        <v>-4.3678160919540472E-2</v>
      </c>
      <c r="Q305">
        <f t="shared" si="965"/>
        <v>-3009.3556206896719</v>
      </c>
      <c r="R305">
        <f t="shared" si="966"/>
        <v>-8905211.2303631902</v>
      </c>
      <c r="S305">
        <f t="shared" si="967"/>
        <v>-89.052112303631901</v>
      </c>
      <c r="T305">
        <f t="shared" si="968"/>
        <v>-8.90521123036319E-2</v>
      </c>
    </row>
    <row r="306" spans="1:20" x14ac:dyDescent="0.25">
      <c r="A306" s="5">
        <v>44287</v>
      </c>
      <c r="B306">
        <v>10.398999999999999</v>
      </c>
      <c r="C306">
        <v>10.733000000000001</v>
      </c>
      <c r="D306">
        <v>10.103999999999999</v>
      </c>
      <c r="E306">
        <v>10.201000000000001</v>
      </c>
      <c r="F306">
        <v>81027.331000000006</v>
      </c>
      <c r="G306">
        <v>-1.9</v>
      </c>
      <c r="L306" t="s">
        <v>7</v>
      </c>
      <c r="M306" t="s">
        <v>8</v>
      </c>
      <c r="N306" t="s">
        <v>8</v>
      </c>
      <c r="P306">
        <f t="shared" si="964"/>
        <v>-0.69157392686804098</v>
      </c>
      <c r="Q306">
        <f t="shared" si="965"/>
        <v>-56036.389483306557</v>
      </c>
      <c r="R306">
        <f t="shared" si="966"/>
        <v>-8902201.8747425005</v>
      </c>
      <c r="S306">
        <f t="shared" si="967"/>
        <v>-89.022018747425008</v>
      </c>
      <c r="T306">
        <f t="shared" si="968"/>
        <v>-8.9022018747425005E-2</v>
      </c>
    </row>
    <row r="307" spans="1:20" x14ac:dyDescent="0.25">
      <c r="A307" s="5">
        <v>44286</v>
      </c>
      <c r="B307">
        <v>10.387</v>
      </c>
      <c r="C307">
        <v>11.467000000000001</v>
      </c>
      <c r="D307">
        <v>9.9969999999999999</v>
      </c>
      <c r="E307">
        <v>10.38</v>
      </c>
      <c r="F307">
        <v>231193.71400000001</v>
      </c>
      <c r="G307">
        <v>-7.0000000000000007E-2</v>
      </c>
      <c r="L307" t="s">
        <v>8</v>
      </c>
      <c r="M307" t="s">
        <v>8</v>
      </c>
      <c r="N307" t="s">
        <v>8</v>
      </c>
      <c r="P307">
        <f t="shared" si="964"/>
        <v>-0.47891156462584933</v>
      </c>
      <c r="Q307">
        <f t="shared" si="965"/>
        <v>-110721.34330340113</v>
      </c>
      <c r="R307">
        <f t="shared" si="966"/>
        <v>-8846165.4852591939</v>
      </c>
      <c r="S307">
        <f t="shared" si="967"/>
        <v>-88.461654852591934</v>
      </c>
      <c r="T307">
        <f t="shared" si="968"/>
        <v>-8.8461654852591928E-2</v>
      </c>
    </row>
    <row r="308" spans="1:20" x14ac:dyDescent="0.25">
      <c r="A308" s="5">
        <v>44285</v>
      </c>
      <c r="B308">
        <v>10.324</v>
      </c>
      <c r="C308">
        <v>10.598000000000001</v>
      </c>
      <c r="D308">
        <v>9.9589999999999996</v>
      </c>
      <c r="E308">
        <v>10.374000000000001</v>
      </c>
      <c r="F308">
        <v>144681.95600000001</v>
      </c>
      <c r="G308">
        <v>0.48</v>
      </c>
      <c r="L308" t="s">
        <v>8</v>
      </c>
      <c r="M308" t="s">
        <v>8</v>
      </c>
      <c r="N308" t="s">
        <v>7</v>
      </c>
      <c r="P308">
        <f t="shared" si="964"/>
        <v>0.29890453834115865</v>
      </c>
      <c r="Q308">
        <f t="shared" si="965"/>
        <v>43246.093264475829</v>
      </c>
      <c r="R308">
        <f t="shared" si="966"/>
        <v>-8735444.1419557929</v>
      </c>
      <c r="S308">
        <f t="shared" si="967"/>
        <v>-87.354441419557929</v>
      </c>
      <c r="T308">
        <f t="shared" si="968"/>
        <v>-8.7354441419557935E-2</v>
      </c>
    </row>
    <row r="309" spans="1:20" x14ac:dyDescent="0.25">
      <c r="A309" s="5">
        <v>44284</v>
      </c>
      <c r="B309">
        <v>9.6189999999999998</v>
      </c>
      <c r="C309">
        <v>10.558</v>
      </c>
      <c r="D309">
        <v>9.5030000000000001</v>
      </c>
      <c r="E309">
        <v>10.308</v>
      </c>
      <c r="F309">
        <v>165626.21299999999</v>
      </c>
      <c r="G309">
        <v>7.16</v>
      </c>
      <c r="L309" t="s">
        <v>8</v>
      </c>
      <c r="M309" t="s">
        <v>8</v>
      </c>
      <c r="N309" t="s">
        <v>7</v>
      </c>
      <c r="P309">
        <f t="shared" si="964"/>
        <v>0.52606635071090035</v>
      </c>
      <c r="Q309">
        <f t="shared" si="965"/>
        <v>87130.377454976275</v>
      </c>
      <c r="R309">
        <f t="shared" si="966"/>
        <v>-8778690.2352202684</v>
      </c>
      <c r="S309">
        <f t="shared" si="967"/>
        <v>-87.786902352202688</v>
      </c>
      <c r="T309">
        <f t="shared" si="968"/>
        <v>-8.7786902352202684E-2</v>
      </c>
    </row>
    <row r="310" spans="1:20" x14ac:dyDescent="0.25">
      <c r="A310" s="5">
        <v>44283</v>
      </c>
      <c r="B310">
        <v>9.73</v>
      </c>
      <c r="C310">
        <v>10.4</v>
      </c>
      <c r="D310">
        <v>9.57</v>
      </c>
      <c r="E310">
        <v>9.6</v>
      </c>
      <c r="F310">
        <v>128836.24099999999</v>
      </c>
      <c r="G310">
        <v>-1.34</v>
      </c>
      <c r="L310" t="s">
        <v>8</v>
      </c>
      <c r="M310" t="s">
        <v>8</v>
      </c>
      <c r="N310" t="s">
        <v>7</v>
      </c>
      <c r="P310">
        <f t="shared" si="964"/>
        <v>-0.92771084337349552</v>
      </c>
      <c r="Q310">
        <f t="shared" si="965"/>
        <v>-119522.77779518091</v>
      </c>
      <c r="R310">
        <f t="shared" si="966"/>
        <v>-8865820.612675244</v>
      </c>
      <c r="S310">
        <f t="shared" si="967"/>
        <v>-88.658206126752447</v>
      </c>
      <c r="T310">
        <f t="shared" si="968"/>
        <v>-8.8658206126752445E-2</v>
      </c>
    </row>
    <row r="311" spans="1:20" x14ac:dyDescent="0.25">
      <c r="A311" s="5">
        <v>44282</v>
      </c>
      <c r="B311">
        <v>9.7370000000000001</v>
      </c>
      <c r="C311">
        <v>10.401</v>
      </c>
      <c r="D311">
        <v>9.3870000000000005</v>
      </c>
      <c r="E311">
        <v>9.7330000000000005</v>
      </c>
      <c r="F311">
        <v>154238.478</v>
      </c>
      <c r="G311">
        <v>-0.04</v>
      </c>
      <c r="L311" t="s">
        <v>7</v>
      </c>
      <c r="M311" t="s">
        <v>8</v>
      </c>
      <c r="N311" t="s">
        <v>7</v>
      </c>
      <c r="P311">
        <f t="shared" si="964"/>
        <v>-0.31755424063116311</v>
      </c>
      <c r="Q311">
        <f t="shared" si="965"/>
        <v>-48979.082757396362</v>
      </c>
      <c r="R311">
        <f t="shared" si="966"/>
        <v>-8746297.8348800633</v>
      </c>
      <c r="S311">
        <f t="shared" si="967"/>
        <v>-87.462978348800632</v>
      </c>
      <c r="T311">
        <f t="shared" si="968"/>
        <v>-8.7462978348800638E-2</v>
      </c>
    </row>
    <row r="312" spans="1:20" x14ac:dyDescent="0.25">
      <c r="A312" s="5">
        <v>44281</v>
      </c>
      <c r="B312">
        <v>9.1920000000000002</v>
      </c>
      <c r="C312">
        <v>10.803000000000001</v>
      </c>
      <c r="D312">
        <v>9.1920000000000002</v>
      </c>
      <c r="E312">
        <v>9.7360000000000007</v>
      </c>
      <c r="F312">
        <v>483822.07500000001</v>
      </c>
      <c r="G312">
        <v>5.92</v>
      </c>
      <c r="L312" t="s">
        <v>8</v>
      </c>
      <c r="M312" t="s">
        <v>8</v>
      </c>
      <c r="N312" t="s">
        <v>7</v>
      </c>
      <c r="P312">
        <f t="shared" si="964"/>
        <v>-0.32464307883302262</v>
      </c>
      <c r="Q312">
        <f t="shared" si="965"/>
        <v>-157069.4880353816</v>
      </c>
      <c r="R312">
        <f t="shared" si="966"/>
        <v>-8697318.7521226667</v>
      </c>
      <c r="S312">
        <f t="shared" si="967"/>
        <v>-86.973187521226663</v>
      </c>
      <c r="T312">
        <f t="shared" si="968"/>
        <v>-8.6973187521226666E-2</v>
      </c>
    </row>
    <row r="313" spans="1:20" x14ac:dyDescent="0.25">
      <c r="A313" s="5">
        <v>44280</v>
      </c>
      <c r="B313">
        <v>8.6300000000000008</v>
      </c>
      <c r="C313">
        <v>10.997999999999999</v>
      </c>
      <c r="D313">
        <v>7.5449999999999999</v>
      </c>
      <c r="E313">
        <v>9.1920000000000002</v>
      </c>
      <c r="F313">
        <v>1249293.1410000001</v>
      </c>
      <c r="G313">
        <v>6.51</v>
      </c>
      <c r="L313" t="s">
        <v>7</v>
      </c>
      <c r="M313" t="s">
        <v>7</v>
      </c>
      <c r="N313" t="s">
        <v>7</v>
      </c>
      <c r="P313">
        <f t="shared" si="964"/>
        <v>-4.6046915725455821E-2</v>
      </c>
      <c r="Q313">
        <f t="shared" si="965"/>
        <v>-57526.095980017002</v>
      </c>
      <c r="R313">
        <f t="shared" si="966"/>
        <v>-8540249.2640872858</v>
      </c>
      <c r="S313">
        <f t="shared" si="967"/>
        <v>-85.402492640872865</v>
      </c>
      <c r="T313">
        <f t="shared" si="968"/>
        <v>-8.5402492640872865E-2</v>
      </c>
    </row>
    <row r="314" spans="1:20" x14ac:dyDescent="0.25">
      <c r="A314" s="5">
        <v>44279</v>
      </c>
      <c r="B314">
        <v>8.9499999999999993</v>
      </c>
      <c r="C314">
        <v>9.6539999999999999</v>
      </c>
      <c r="D314">
        <v>8.4290000000000003</v>
      </c>
      <c r="E314">
        <v>8.6319999999999997</v>
      </c>
      <c r="F314">
        <v>120884.848</v>
      </c>
      <c r="G314">
        <v>-3.55</v>
      </c>
      <c r="L314" t="s">
        <v>7</v>
      </c>
      <c r="M314" t="s">
        <v>7</v>
      </c>
      <c r="N314" t="s">
        <v>7</v>
      </c>
      <c r="P314">
        <f t="shared" si="964"/>
        <v>-0.66857142857142948</v>
      </c>
      <c r="Q314">
        <f t="shared" si="965"/>
        <v>-80820.155520000102</v>
      </c>
      <c r="R314">
        <f t="shared" si="966"/>
        <v>-8482723.1681072693</v>
      </c>
      <c r="S314">
        <f t="shared" si="967"/>
        <v>-84.827231681072689</v>
      </c>
      <c r="T314">
        <f t="shared" si="968"/>
        <v>-8.4827231681072687E-2</v>
      </c>
    </row>
    <row r="315" spans="1:20" x14ac:dyDescent="0.25">
      <c r="A315" s="5">
        <v>44278</v>
      </c>
      <c r="B315">
        <v>9.3460000000000001</v>
      </c>
      <c r="C315">
        <v>9.67</v>
      </c>
      <c r="D315">
        <v>8.8000000000000007</v>
      </c>
      <c r="E315">
        <v>8.952</v>
      </c>
      <c r="F315">
        <v>137180.83900000001</v>
      </c>
      <c r="G315">
        <v>-4.22</v>
      </c>
      <c r="L315" t="s">
        <v>7</v>
      </c>
      <c r="M315" t="s">
        <v>7</v>
      </c>
      <c r="N315" t="s">
        <v>7</v>
      </c>
      <c r="P315">
        <f t="shared" si="964"/>
        <v>-0.65057471264367961</v>
      </c>
      <c r="Q315">
        <f t="shared" si="965"/>
        <v>-89246.384912643887</v>
      </c>
      <c r="R315">
        <f t="shared" si="966"/>
        <v>-8401903.0125872698</v>
      </c>
      <c r="S315">
        <f t="shared" si="967"/>
        <v>-84.019030125872703</v>
      </c>
      <c r="T315">
        <f t="shared" si="968"/>
        <v>-8.401903012587271E-2</v>
      </c>
    </row>
    <row r="316" spans="1:20" x14ac:dyDescent="0.25">
      <c r="A316" s="5">
        <v>44277</v>
      </c>
      <c r="B316">
        <v>9.5909999999999993</v>
      </c>
      <c r="C316">
        <v>10.459</v>
      </c>
      <c r="D316">
        <v>9.01</v>
      </c>
      <c r="E316">
        <v>9.3870000000000005</v>
      </c>
      <c r="F316">
        <v>236640.90400000001</v>
      </c>
      <c r="G316">
        <v>-2.13</v>
      </c>
      <c r="L316" t="s">
        <v>7</v>
      </c>
      <c r="M316" t="s">
        <v>7</v>
      </c>
      <c r="N316" t="s">
        <v>7</v>
      </c>
      <c r="P316">
        <f t="shared" si="964"/>
        <v>-0.47964113181504386</v>
      </c>
      <c r="Q316">
        <f t="shared" si="965"/>
        <v>-113502.71102829515</v>
      </c>
      <c r="R316">
        <f t="shared" si="966"/>
        <v>-8312656.6276746262</v>
      </c>
      <c r="S316">
        <f t="shared" si="967"/>
        <v>-83.12656627674626</v>
      </c>
      <c r="T316">
        <f t="shared" si="968"/>
        <v>-8.3126566276746264E-2</v>
      </c>
    </row>
    <row r="317" spans="1:20" x14ac:dyDescent="0.25">
      <c r="A317" s="5">
        <v>44276</v>
      </c>
      <c r="B317">
        <v>10.173999999999999</v>
      </c>
      <c r="C317">
        <v>10.755000000000001</v>
      </c>
      <c r="D317">
        <v>9.5690000000000008</v>
      </c>
      <c r="E317">
        <v>9.59</v>
      </c>
      <c r="F317">
        <v>214947.10399999999</v>
      </c>
      <c r="G317">
        <v>-5.74</v>
      </c>
      <c r="L317" t="s">
        <v>7</v>
      </c>
      <c r="M317" t="s">
        <v>7</v>
      </c>
      <c r="N317" t="s">
        <v>7</v>
      </c>
      <c r="P317">
        <f t="shared" si="964"/>
        <v>-0.96458684654300331</v>
      </c>
      <c r="Q317">
        <f t="shared" si="965"/>
        <v>-207335.14922091097</v>
      </c>
      <c r="R317">
        <f t="shared" si="966"/>
        <v>-8199153.9166463306</v>
      </c>
      <c r="S317">
        <f t="shared" si="967"/>
        <v>-81.991539166463312</v>
      </c>
      <c r="T317">
        <f t="shared" si="968"/>
        <v>-8.1991539166463318E-2</v>
      </c>
    </row>
    <row r="318" spans="1:20" x14ac:dyDescent="0.25">
      <c r="A318" s="5">
        <v>44275</v>
      </c>
      <c r="B318">
        <v>10.704000000000001</v>
      </c>
      <c r="C318">
        <v>10.794</v>
      </c>
      <c r="D318">
        <v>10.146000000000001</v>
      </c>
      <c r="E318">
        <v>10.194000000000001</v>
      </c>
      <c r="F318">
        <v>166309.655</v>
      </c>
      <c r="G318">
        <v>-4.76</v>
      </c>
      <c r="L318" t="s">
        <v>7</v>
      </c>
      <c r="M318" t="s">
        <v>8</v>
      </c>
      <c r="N318" t="s">
        <v>7</v>
      </c>
      <c r="P318">
        <f t="shared" si="964"/>
        <v>-0.85185185185185164</v>
      </c>
      <c r="Q318">
        <f t="shared" si="965"/>
        <v>-141671.18759259256</v>
      </c>
      <c r="R318">
        <f t="shared" si="966"/>
        <v>-7991818.7674254198</v>
      </c>
      <c r="S318">
        <f t="shared" si="967"/>
        <v>-79.918187674254199</v>
      </c>
      <c r="T318">
        <f t="shared" si="968"/>
        <v>-7.9918187674254196E-2</v>
      </c>
    </row>
    <row r="319" spans="1:20" x14ac:dyDescent="0.25">
      <c r="A319" s="5">
        <v>44274</v>
      </c>
      <c r="B319">
        <v>11.010999999999999</v>
      </c>
      <c r="C319">
        <v>11.215999999999999</v>
      </c>
      <c r="D319">
        <v>10.676</v>
      </c>
      <c r="E319">
        <v>10.753</v>
      </c>
      <c r="F319">
        <v>132922.72200000001</v>
      </c>
      <c r="G319">
        <v>-2.34</v>
      </c>
      <c r="L319" t="s">
        <v>8</v>
      </c>
      <c r="M319" t="s">
        <v>8</v>
      </c>
      <c r="N319" t="s">
        <v>7</v>
      </c>
      <c r="P319">
        <f t="shared" si="964"/>
        <v>-0.71481481481481457</v>
      </c>
      <c r="Q319">
        <f t="shared" si="965"/>
        <v>-95015.13091111109</v>
      </c>
      <c r="R319">
        <f t="shared" si="966"/>
        <v>-7850147.5798328277</v>
      </c>
      <c r="S319">
        <f t="shared" si="967"/>
        <v>-78.501475798328272</v>
      </c>
      <c r="T319">
        <f t="shared" si="968"/>
        <v>-7.8501475798328266E-2</v>
      </c>
    </row>
    <row r="320" spans="1:20" x14ac:dyDescent="0.25">
      <c r="A320" s="5">
        <v>44273</v>
      </c>
      <c r="B320">
        <v>10.807</v>
      </c>
      <c r="C320">
        <v>11.79</v>
      </c>
      <c r="D320">
        <v>10.324999999999999</v>
      </c>
      <c r="E320">
        <v>11.029</v>
      </c>
      <c r="F320">
        <v>249052.606</v>
      </c>
      <c r="G320">
        <v>2.0499999999999998</v>
      </c>
      <c r="L320" t="s">
        <v>7</v>
      </c>
      <c r="M320" t="s">
        <v>8</v>
      </c>
      <c r="N320" t="s">
        <v>7</v>
      </c>
      <c r="P320">
        <f t="shared" si="964"/>
        <v>-3.8907849829350589E-2</v>
      </c>
      <c r="Q320">
        <f t="shared" si="965"/>
        <v>-9690.1013938564192</v>
      </c>
      <c r="R320">
        <f t="shared" si="966"/>
        <v>-7755132.4489217168</v>
      </c>
      <c r="S320">
        <f t="shared" si="967"/>
        <v>-77.551324489217166</v>
      </c>
      <c r="T320">
        <f t="shared" si="968"/>
        <v>-7.7551324489217172E-2</v>
      </c>
    </row>
    <row r="321" spans="1:20" x14ac:dyDescent="0.25">
      <c r="A321" s="5">
        <v>44272</v>
      </c>
      <c r="B321">
        <v>10.537000000000001</v>
      </c>
      <c r="C321">
        <v>11.794</v>
      </c>
      <c r="D321">
        <v>10.079000000000001</v>
      </c>
      <c r="E321">
        <v>10.798</v>
      </c>
      <c r="F321">
        <v>376205.31099999999</v>
      </c>
      <c r="G321">
        <v>2.48</v>
      </c>
      <c r="L321" t="s">
        <v>8</v>
      </c>
      <c r="M321" t="s">
        <v>8</v>
      </c>
      <c r="N321" t="s">
        <v>7</v>
      </c>
      <c r="P321">
        <f t="shared" si="964"/>
        <v>-0.16151603498542336</v>
      </c>
      <c r="Q321">
        <f t="shared" si="965"/>
        <v>-60763.190173178074</v>
      </c>
      <c r="R321">
        <f t="shared" si="966"/>
        <v>-7745442.3475278607</v>
      </c>
      <c r="S321">
        <f t="shared" si="967"/>
        <v>-77.454423475278602</v>
      </c>
      <c r="T321">
        <f t="shared" si="968"/>
        <v>-7.7454423475278603E-2</v>
      </c>
    </row>
    <row r="322" spans="1:20" x14ac:dyDescent="0.25">
      <c r="A322" s="5">
        <v>44271</v>
      </c>
      <c r="B322">
        <v>10.57</v>
      </c>
      <c r="C322">
        <v>11.5</v>
      </c>
      <c r="D322">
        <v>9.6010000000000009</v>
      </c>
      <c r="E322">
        <v>10.538</v>
      </c>
      <c r="F322">
        <v>342619.98100000003</v>
      </c>
      <c r="G322">
        <v>-0.3</v>
      </c>
      <c r="L322" t="s">
        <v>7</v>
      </c>
      <c r="M322" t="s">
        <v>7</v>
      </c>
      <c r="N322" t="s">
        <v>7</v>
      </c>
      <c r="P322">
        <f t="shared" si="964"/>
        <v>-1.316482359136407E-2</v>
      </c>
      <c r="Q322">
        <f t="shared" si="965"/>
        <v>-4510.5316087415094</v>
      </c>
      <c r="R322">
        <f t="shared" si="966"/>
        <v>-7684679.1573546827</v>
      </c>
      <c r="S322">
        <f t="shared" si="967"/>
        <v>-76.846791573546824</v>
      </c>
      <c r="T322">
        <f t="shared" si="968"/>
        <v>-7.6846791573546819E-2</v>
      </c>
    </row>
    <row r="323" spans="1:20" x14ac:dyDescent="0.25">
      <c r="A323" s="5">
        <v>44270</v>
      </c>
      <c r="B323">
        <v>11.121</v>
      </c>
      <c r="C323">
        <v>12.208</v>
      </c>
      <c r="D323">
        <v>10</v>
      </c>
      <c r="E323">
        <v>10.532</v>
      </c>
      <c r="F323">
        <v>503861.28200000001</v>
      </c>
      <c r="G323">
        <v>-5.3</v>
      </c>
      <c r="L323" t="s">
        <v>7</v>
      </c>
      <c r="M323" t="s">
        <v>7</v>
      </c>
      <c r="N323" t="s">
        <v>7</v>
      </c>
      <c r="P323">
        <f t="shared" si="964"/>
        <v>-0.51811594202898548</v>
      </c>
      <c r="Q323">
        <f t="shared" si="965"/>
        <v>-261058.56277536231</v>
      </c>
      <c r="R323">
        <f t="shared" si="966"/>
        <v>-7680168.625745941</v>
      </c>
      <c r="S323">
        <f t="shared" si="967"/>
        <v>-76.801686257459409</v>
      </c>
      <c r="T323">
        <f t="shared" si="968"/>
        <v>-7.6801686257459409E-2</v>
      </c>
    </row>
    <row r="324" spans="1:20" x14ac:dyDescent="0.25">
      <c r="A324" s="5">
        <v>44269</v>
      </c>
      <c r="B324">
        <v>12.231999999999999</v>
      </c>
      <c r="C324">
        <v>14.786</v>
      </c>
      <c r="D324">
        <v>11.085000000000001</v>
      </c>
      <c r="E324">
        <v>11.119</v>
      </c>
      <c r="F324">
        <v>1172214.399</v>
      </c>
      <c r="G324">
        <v>-9.1</v>
      </c>
      <c r="L324" t="s">
        <v>7</v>
      </c>
      <c r="M324" t="s">
        <v>7</v>
      </c>
      <c r="N324" t="s">
        <v>7</v>
      </c>
      <c r="P324">
        <f t="shared" si="964"/>
        <v>-0.98162658740880904</v>
      </c>
      <c r="Q324">
        <f t="shared" si="965"/>
        <v>-1150676.8202018379</v>
      </c>
      <c r="R324">
        <f t="shared" si="966"/>
        <v>-7419110.0629705787</v>
      </c>
      <c r="S324">
        <f t="shared" si="967"/>
        <v>-74.191100629705787</v>
      </c>
      <c r="T324">
        <f t="shared" si="968"/>
        <v>-7.4191100629705783E-2</v>
      </c>
    </row>
    <row r="325" spans="1:20" x14ac:dyDescent="0.25">
      <c r="A325" s="5">
        <v>44268</v>
      </c>
      <c r="B325">
        <v>8.9659999999999993</v>
      </c>
      <c r="C325">
        <v>17.8</v>
      </c>
      <c r="D325">
        <v>8.5990000000000002</v>
      </c>
      <c r="E325">
        <v>12.23</v>
      </c>
      <c r="F325">
        <v>2272047.8829999999</v>
      </c>
      <c r="G325">
        <v>36.4</v>
      </c>
      <c r="L325" t="s">
        <v>8</v>
      </c>
      <c r="M325" t="s">
        <v>8</v>
      </c>
      <c r="N325" t="s">
        <v>8</v>
      </c>
      <c r="P325">
        <f t="shared" si="964"/>
        <v>-0.21073796326486252</v>
      </c>
      <c r="Q325">
        <f t="shared" si="965"/>
        <v>-478806.74330366263</v>
      </c>
      <c r="R325">
        <f t="shared" si="966"/>
        <v>-6268433.2427687403</v>
      </c>
      <c r="S325">
        <f t="shared" si="967"/>
        <v>-62.684332427687401</v>
      </c>
      <c r="T325">
        <f t="shared" si="968"/>
        <v>-6.2684332427687395E-2</v>
      </c>
    </row>
    <row r="326" spans="1:20" x14ac:dyDescent="0.25">
      <c r="A326" s="5">
        <v>44267</v>
      </c>
      <c r="B326">
        <v>9.4890000000000008</v>
      </c>
      <c r="C326">
        <v>9.99</v>
      </c>
      <c r="D326">
        <v>8.32</v>
      </c>
      <c r="E326">
        <v>8.99</v>
      </c>
      <c r="F326">
        <v>568810.64800000004</v>
      </c>
      <c r="G326">
        <v>-5.26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-0.19760479041916174</v>
      </c>
      <c r="Q326">
        <f t="shared" ref="Q326:Q389" si="970">F326*P326</f>
        <v>-112399.70888622759</v>
      </c>
      <c r="R326">
        <f t="shared" ref="R326:R389" si="971">R327+Q326</f>
        <v>-5789626.4994650781</v>
      </c>
      <c r="S326">
        <f t="shared" ref="S326:S389" si="972">R326/100000</f>
        <v>-57.896264994650778</v>
      </c>
      <c r="T326">
        <f t="shared" ref="T326:T389" si="973">S326/1000</f>
        <v>-5.7896264994650781E-2</v>
      </c>
    </row>
    <row r="327" spans="1:20" x14ac:dyDescent="0.25">
      <c r="A327" s="5">
        <v>44266</v>
      </c>
      <c r="B327">
        <v>7.4649999999999999</v>
      </c>
      <c r="C327">
        <v>10.89</v>
      </c>
      <c r="D327">
        <v>6.8540000000000001</v>
      </c>
      <c r="E327">
        <v>9.4890000000000008</v>
      </c>
      <c r="F327">
        <v>1609177.865</v>
      </c>
      <c r="G327">
        <v>27.11</v>
      </c>
      <c r="L327" t="s">
        <v>7</v>
      </c>
      <c r="M327" t="s">
        <v>7</v>
      </c>
      <c r="N327" t="s">
        <v>7</v>
      </c>
      <c r="P327">
        <f t="shared" si="969"/>
        <v>0.30574826560951457</v>
      </c>
      <c r="Q327">
        <f t="shared" si="970"/>
        <v>492003.3412809716</v>
      </c>
      <c r="R327">
        <f t="shared" si="971"/>
        <v>-5677226.7905788505</v>
      </c>
      <c r="S327">
        <f t="shared" si="972"/>
        <v>-56.772267905788503</v>
      </c>
      <c r="T327">
        <f t="shared" si="973"/>
        <v>-5.6772267905788501E-2</v>
      </c>
    </row>
    <row r="328" spans="1:20" x14ac:dyDescent="0.25">
      <c r="A328" s="5">
        <v>44265</v>
      </c>
      <c r="B328">
        <v>7.3719999999999999</v>
      </c>
      <c r="C328">
        <v>11.208</v>
      </c>
      <c r="D328">
        <v>7.0019999999999998</v>
      </c>
      <c r="E328">
        <v>7.4649999999999999</v>
      </c>
      <c r="F328">
        <v>1517104.16</v>
      </c>
      <c r="G328">
        <v>1.26</v>
      </c>
      <c r="L328" t="s">
        <v>8</v>
      </c>
      <c r="M328" t="s">
        <v>8</v>
      </c>
      <c r="N328" t="s">
        <v>8</v>
      </c>
      <c r="P328">
        <f t="shared" si="969"/>
        <v>-0.77983832620066573</v>
      </c>
      <c r="Q328">
        <f t="shared" si="970"/>
        <v>-1183095.968806467</v>
      </c>
      <c r="R328">
        <f t="shared" si="971"/>
        <v>-6169230.1318598222</v>
      </c>
      <c r="S328">
        <f t="shared" si="972"/>
        <v>-61.692301318598219</v>
      </c>
      <c r="T328">
        <f t="shared" si="973"/>
        <v>-6.1692301318598215E-2</v>
      </c>
    </row>
    <row r="329" spans="1:20" x14ac:dyDescent="0.25">
      <c r="A329" s="5">
        <v>44264</v>
      </c>
      <c r="B329">
        <v>7.0140000000000002</v>
      </c>
      <c r="C329">
        <v>7.399</v>
      </c>
      <c r="D329">
        <v>6.9710000000000001</v>
      </c>
      <c r="E329">
        <v>7.39</v>
      </c>
      <c r="F329">
        <v>210666.09899999999</v>
      </c>
      <c r="G329">
        <v>5.36</v>
      </c>
      <c r="L329" t="s">
        <v>8</v>
      </c>
      <c r="M329" t="s">
        <v>8</v>
      </c>
      <c r="N329" t="s">
        <v>7</v>
      </c>
      <c r="P329">
        <f t="shared" si="969"/>
        <v>0.95794392523364325</v>
      </c>
      <c r="Q329">
        <f t="shared" si="970"/>
        <v>201806.30978971926</v>
      </c>
      <c r="R329">
        <f t="shared" si="971"/>
        <v>-4986134.1630533552</v>
      </c>
      <c r="S329">
        <f t="shared" si="972"/>
        <v>-49.861341630533552</v>
      </c>
      <c r="T329">
        <f t="shared" si="973"/>
        <v>-4.9861341630533552E-2</v>
      </c>
    </row>
    <row r="330" spans="1:20" x14ac:dyDescent="0.25">
      <c r="A330" s="5">
        <v>44263</v>
      </c>
      <c r="B330">
        <v>6.8710000000000004</v>
      </c>
      <c r="C330">
        <v>7.141</v>
      </c>
      <c r="D330">
        <v>6.6829999999999998</v>
      </c>
      <c r="E330">
        <v>7</v>
      </c>
      <c r="F330">
        <v>104746.573</v>
      </c>
      <c r="G330">
        <v>1.88</v>
      </c>
      <c r="L330" t="s">
        <v>7</v>
      </c>
      <c r="M330" t="s">
        <v>8</v>
      </c>
      <c r="N330" t="s">
        <v>7</v>
      </c>
      <c r="P330">
        <f t="shared" si="969"/>
        <v>0.38427947598253293</v>
      </c>
      <c r="Q330">
        <f t="shared" si="970"/>
        <v>40251.958183406132</v>
      </c>
      <c r="R330">
        <f t="shared" si="971"/>
        <v>-5187940.4728430742</v>
      </c>
      <c r="S330">
        <f t="shared" si="972"/>
        <v>-51.879404728430742</v>
      </c>
      <c r="T330">
        <f t="shared" si="973"/>
        <v>-5.1879404728430743E-2</v>
      </c>
    </row>
    <row r="331" spans="1:20" x14ac:dyDescent="0.25">
      <c r="A331" s="5">
        <v>44262</v>
      </c>
      <c r="B331">
        <v>6.7859999999999996</v>
      </c>
      <c r="C331">
        <v>7.52</v>
      </c>
      <c r="D331">
        <v>6.694</v>
      </c>
      <c r="E331">
        <v>6.8710000000000004</v>
      </c>
      <c r="F331">
        <v>210130.75899999999</v>
      </c>
      <c r="G331">
        <v>1.25</v>
      </c>
      <c r="L331" t="s">
        <v>7</v>
      </c>
      <c r="M331" t="s">
        <v>8</v>
      </c>
      <c r="N331" t="s">
        <v>7</v>
      </c>
      <c r="P331">
        <f t="shared" si="969"/>
        <v>-0.57142857142857006</v>
      </c>
      <c r="Q331">
        <f t="shared" si="970"/>
        <v>-120074.71942857113</v>
      </c>
      <c r="R331">
        <f t="shared" si="971"/>
        <v>-5228192.4310264802</v>
      </c>
      <c r="S331">
        <f t="shared" si="972"/>
        <v>-52.281924310264799</v>
      </c>
      <c r="T331">
        <f t="shared" si="973"/>
        <v>-5.22819243102648E-2</v>
      </c>
    </row>
    <row r="332" spans="1:20" x14ac:dyDescent="0.25">
      <c r="A332" s="5">
        <v>44261</v>
      </c>
      <c r="B332">
        <v>6.49</v>
      </c>
      <c r="C332">
        <v>7.6</v>
      </c>
      <c r="D332">
        <v>6.1719999999999997</v>
      </c>
      <c r="E332">
        <v>6.7750000000000004</v>
      </c>
      <c r="F332">
        <v>160869.929</v>
      </c>
      <c r="G332">
        <v>4.3899999999999997</v>
      </c>
      <c r="L332" t="s">
        <v>8</v>
      </c>
      <c r="M332" t="s">
        <v>8</v>
      </c>
      <c r="N332" t="s">
        <v>7</v>
      </c>
      <c r="P332">
        <f t="shared" si="969"/>
        <v>-0.15546218487394864</v>
      </c>
      <c r="Q332">
        <f t="shared" si="970"/>
        <v>-25009.190642856993</v>
      </c>
      <c r="R332">
        <f t="shared" si="971"/>
        <v>-5108117.7115979092</v>
      </c>
      <c r="S332">
        <f t="shared" si="972"/>
        <v>-51.081177115979095</v>
      </c>
      <c r="T332">
        <f t="shared" si="973"/>
        <v>-5.1081177115979093E-2</v>
      </c>
    </row>
    <row r="333" spans="1:20" x14ac:dyDescent="0.25">
      <c r="A333" s="5">
        <v>44260</v>
      </c>
      <c r="B333">
        <v>6.4139999999999997</v>
      </c>
      <c r="C333">
        <v>6.61</v>
      </c>
      <c r="D333">
        <v>6.0330000000000004</v>
      </c>
      <c r="E333">
        <v>6.4939999999999998</v>
      </c>
      <c r="F333">
        <v>113625.28200000001</v>
      </c>
      <c r="G333">
        <v>1.25</v>
      </c>
      <c r="L333" t="s">
        <v>7</v>
      </c>
      <c r="M333" t="s">
        <v>7</v>
      </c>
      <c r="N333" t="s">
        <v>7</v>
      </c>
      <c r="P333">
        <f t="shared" si="969"/>
        <v>0.59792027729635855</v>
      </c>
      <c r="Q333">
        <f t="shared" si="970"/>
        <v>67938.860121316946</v>
      </c>
      <c r="R333">
        <f t="shared" si="971"/>
        <v>-5083108.5209550522</v>
      </c>
      <c r="S333">
        <f t="shared" si="972"/>
        <v>-50.831085209550523</v>
      </c>
      <c r="T333">
        <f t="shared" si="973"/>
        <v>-5.0831085209550521E-2</v>
      </c>
    </row>
    <row r="334" spans="1:20" x14ac:dyDescent="0.25">
      <c r="A334" s="5">
        <v>44259</v>
      </c>
      <c r="B334">
        <v>6.8959999999999999</v>
      </c>
      <c r="C334">
        <v>7.069</v>
      </c>
      <c r="D334">
        <v>6.2409999999999997</v>
      </c>
      <c r="E334">
        <v>6.4530000000000003</v>
      </c>
      <c r="F334">
        <v>156735.829</v>
      </c>
      <c r="G334">
        <v>-6.42</v>
      </c>
      <c r="L334" t="s">
        <v>7</v>
      </c>
      <c r="M334" t="s">
        <v>7</v>
      </c>
      <c r="N334" t="s">
        <v>7</v>
      </c>
      <c r="P334">
        <f t="shared" si="969"/>
        <v>-0.48792270531400833</v>
      </c>
      <c r="Q334">
        <f t="shared" si="970"/>
        <v>-76474.969705313793</v>
      </c>
      <c r="R334">
        <f t="shared" si="971"/>
        <v>-5151047.3810763694</v>
      </c>
      <c r="S334">
        <f t="shared" si="972"/>
        <v>-51.510473810763692</v>
      </c>
      <c r="T334">
        <f t="shared" si="973"/>
        <v>-5.1510473810763693E-2</v>
      </c>
    </row>
    <row r="335" spans="1:20" x14ac:dyDescent="0.25">
      <c r="A335" s="5">
        <v>44258</v>
      </c>
      <c r="B335">
        <v>6.4669999999999996</v>
      </c>
      <c r="C335">
        <v>7.9</v>
      </c>
      <c r="D335">
        <v>6.3220000000000001</v>
      </c>
      <c r="E335">
        <v>6.8959999999999999</v>
      </c>
      <c r="F335">
        <v>336210.45899999997</v>
      </c>
      <c r="G335">
        <v>6.63</v>
      </c>
      <c r="L335" t="s">
        <v>8</v>
      </c>
      <c r="M335" t="s">
        <v>8</v>
      </c>
      <c r="N335" t="s">
        <v>7</v>
      </c>
      <c r="P335">
        <f t="shared" si="969"/>
        <v>-0.272496831432193</v>
      </c>
      <c r="Q335">
        <f t="shared" si="970"/>
        <v>-91616.284771863226</v>
      </c>
      <c r="R335">
        <f t="shared" si="971"/>
        <v>-5074572.411371056</v>
      </c>
      <c r="S335">
        <f t="shared" si="972"/>
        <v>-50.745724113710558</v>
      </c>
      <c r="T335">
        <f t="shared" si="973"/>
        <v>-5.0745724113710561E-2</v>
      </c>
    </row>
    <row r="336" spans="1:20" x14ac:dyDescent="0.25">
      <c r="A336" s="5">
        <v>44257</v>
      </c>
      <c r="B336">
        <v>6.7930000000000001</v>
      </c>
      <c r="C336">
        <v>6.9939999999999998</v>
      </c>
      <c r="D336">
        <v>6.24</v>
      </c>
      <c r="E336">
        <v>6.4379999999999997</v>
      </c>
      <c r="F336">
        <v>136125.663</v>
      </c>
      <c r="G336">
        <v>-5.23</v>
      </c>
      <c r="L336" t="s">
        <v>8</v>
      </c>
      <c r="M336" t="s">
        <v>7</v>
      </c>
      <c r="N336" t="s">
        <v>7</v>
      </c>
      <c r="P336">
        <f t="shared" si="969"/>
        <v>-0.47480106100795855</v>
      </c>
      <c r="Q336">
        <f t="shared" si="970"/>
        <v>-64632.609222811807</v>
      </c>
      <c r="R336">
        <f t="shared" si="971"/>
        <v>-4982956.1265991926</v>
      </c>
      <c r="S336">
        <f t="shared" si="972"/>
        <v>-49.829561265991927</v>
      </c>
      <c r="T336">
        <f t="shared" si="973"/>
        <v>-4.9829561265991924E-2</v>
      </c>
    </row>
    <row r="337" spans="1:20" x14ac:dyDescent="0.25">
      <c r="A337" s="5">
        <v>44256</v>
      </c>
      <c r="B337">
        <v>6.4470000000000001</v>
      </c>
      <c r="C337">
        <v>7.1980000000000004</v>
      </c>
      <c r="D337">
        <v>6.1840000000000002</v>
      </c>
      <c r="E337">
        <v>6.7939999999999996</v>
      </c>
      <c r="F337">
        <v>395700.80800000002</v>
      </c>
      <c r="G337">
        <v>5.38</v>
      </c>
      <c r="L337" t="s">
        <v>7</v>
      </c>
      <c r="M337" t="s">
        <v>7</v>
      </c>
      <c r="N337" t="s">
        <v>7</v>
      </c>
      <c r="P337">
        <f t="shared" si="969"/>
        <v>0.20315581854043252</v>
      </c>
      <c r="Q337">
        <f t="shared" si="970"/>
        <v>80388.921546350539</v>
      </c>
      <c r="R337">
        <f t="shared" si="971"/>
        <v>-4918323.517376381</v>
      </c>
      <c r="S337">
        <f t="shared" si="972"/>
        <v>-49.183235173763812</v>
      </c>
      <c r="T337">
        <f t="shared" si="973"/>
        <v>-4.9183235173763815E-2</v>
      </c>
    </row>
    <row r="338" spans="1:20" x14ac:dyDescent="0.25">
      <c r="A338" s="5">
        <v>44255</v>
      </c>
      <c r="B338">
        <v>5.9320000000000004</v>
      </c>
      <c r="C338">
        <v>9.1920000000000002</v>
      </c>
      <c r="D338">
        <v>5.42</v>
      </c>
      <c r="E338">
        <v>6.4470000000000001</v>
      </c>
      <c r="F338">
        <v>1722607.939</v>
      </c>
      <c r="G338">
        <v>8.68</v>
      </c>
      <c r="L338" t="s">
        <v>8</v>
      </c>
      <c r="M338" t="s">
        <v>8</v>
      </c>
      <c r="N338" t="s">
        <v>8</v>
      </c>
      <c r="P338">
        <f t="shared" si="969"/>
        <v>-0.45546129374337219</v>
      </c>
      <c r="Q338">
        <f t="shared" si="970"/>
        <v>-784581.24050954392</v>
      </c>
      <c r="R338">
        <f t="shared" si="971"/>
        <v>-4998712.4389227312</v>
      </c>
      <c r="S338">
        <f t="shared" si="972"/>
        <v>-49.987124389227311</v>
      </c>
      <c r="T338">
        <f t="shared" si="973"/>
        <v>-4.9987124389227311E-2</v>
      </c>
    </row>
    <row r="339" spans="1:20" x14ac:dyDescent="0.25">
      <c r="A339" s="5">
        <v>44254</v>
      </c>
      <c r="B339">
        <v>5.7119999999999997</v>
      </c>
      <c r="C339">
        <v>8.5280000000000005</v>
      </c>
      <c r="D339">
        <v>5.7110000000000003</v>
      </c>
      <c r="E339">
        <v>5.9340000000000002</v>
      </c>
      <c r="F339">
        <v>400465.13199999998</v>
      </c>
      <c r="G339">
        <v>3.89</v>
      </c>
      <c r="L339" t="s">
        <v>8</v>
      </c>
      <c r="M339" t="s">
        <v>8</v>
      </c>
      <c r="N339" t="s">
        <v>8</v>
      </c>
      <c r="P339">
        <f t="shared" si="969"/>
        <v>-0.8416755413560526</v>
      </c>
      <c r="Q339">
        <f t="shared" si="970"/>
        <v>-337061.70677032304</v>
      </c>
      <c r="R339">
        <f t="shared" si="971"/>
        <v>-4214131.1984131876</v>
      </c>
      <c r="S339">
        <f t="shared" si="972"/>
        <v>-42.141311984131875</v>
      </c>
      <c r="T339">
        <f t="shared" si="973"/>
        <v>-4.2141311984131874E-2</v>
      </c>
    </row>
    <row r="340" spans="1:20" x14ac:dyDescent="0.25">
      <c r="A340" s="5">
        <v>44253</v>
      </c>
      <c r="B340">
        <v>6.2039999999999997</v>
      </c>
      <c r="C340">
        <v>6.2709999999999999</v>
      </c>
      <c r="D340">
        <v>5.5659999999999998</v>
      </c>
      <c r="E340">
        <v>5.7539999999999996</v>
      </c>
      <c r="F340">
        <v>72127.278000000006</v>
      </c>
      <c r="G340">
        <v>-7.25</v>
      </c>
      <c r="L340" t="s">
        <v>7</v>
      </c>
      <c r="M340" t="s">
        <v>7</v>
      </c>
      <c r="N340" t="s">
        <v>8</v>
      </c>
      <c r="P340">
        <f t="shared" si="969"/>
        <v>-0.46666666666666751</v>
      </c>
      <c r="Q340">
        <f t="shared" si="970"/>
        <v>-33659.396400000063</v>
      </c>
      <c r="R340">
        <f t="shared" si="971"/>
        <v>-3877069.4916428649</v>
      </c>
      <c r="S340">
        <f t="shared" si="972"/>
        <v>-38.770694916428646</v>
      </c>
      <c r="T340">
        <f t="shared" si="973"/>
        <v>-3.8770694916428643E-2</v>
      </c>
    </row>
    <row r="341" spans="1:20" x14ac:dyDescent="0.25">
      <c r="A341" s="5">
        <v>44252</v>
      </c>
      <c r="B341">
        <v>6.5940000000000003</v>
      </c>
      <c r="C341">
        <v>6.9740000000000002</v>
      </c>
      <c r="D341">
        <v>5.8879999999999999</v>
      </c>
      <c r="E341">
        <v>6.2069999999999999</v>
      </c>
      <c r="F341">
        <v>126034.613</v>
      </c>
      <c r="G341">
        <v>-5.87</v>
      </c>
      <c r="L341" t="s">
        <v>7</v>
      </c>
      <c r="M341" t="s">
        <v>7</v>
      </c>
      <c r="N341" t="s">
        <v>8</v>
      </c>
      <c r="P341">
        <f t="shared" si="969"/>
        <v>-0.41252302025782717</v>
      </c>
      <c r="Q341">
        <f t="shared" si="970"/>
        <v>-51992.17921178641</v>
      </c>
      <c r="R341">
        <f t="shared" si="971"/>
        <v>-3843410.0952428649</v>
      </c>
      <c r="S341">
        <f t="shared" si="972"/>
        <v>-38.434100952428651</v>
      </c>
      <c r="T341">
        <f t="shared" si="973"/>
        <v>-3.8434100952428649E-2</v>
      </c>
    </row>
    <row r="342" spans="1:20" x14ac:dyDescent="0.25">
      <c r="A342" s="5">
        <v>44251</v>
      </c>
      <c r="B342">
        <v>6.3769999999999998</v>
      </c>
      <c r="C342">
        <v>7.4480000000000004</v>
      </c>
      <c r="D342">
        <v>6.0380000000000003</v>
      </c>
      <c r="E342">
        <v>6.548</v>
      </c>
      <c r="F342">
        <v>148472.30499999999</v>
      </c>
      <c r="G342">
        <v>2.68</v>
      </c>
      <c r="L342" t="s">
        <v>8</v>
      </c>
      <c r="M342" t="s">
        <v>8</v>
      </c>
      <c r="N342" t="s">
        <v>8</v>
      </c>
      <c r="P342">
        <f t="shared" si="969"/>
        <v>-0.27659574468085146</v>
      </c>
      <c r="Q342">
        <f t="shared" si="970"/>
        <v>-41066.807765957506</v>
      </c>
      <c r="R342">
        <f t="shared" si="971"/>
        <v>-3791417.9160310784</v>
      </c>
      <c r="S342">
        <f t="shared" si="972"/>
        <v>-37.914179160310788</v>
      </c>
      <c r="T342">
        <f t="shared" si="973"/>
        <v>-3.7914179160310785E-2</v>
      </c>
    </row>
    <row r="343" spans="1:20" x14ac:dyDescent="0.25">
      <c r="A343" s="5">
        <v>44250</v>
      </c>
      <c r="B343">
        <v>7.0949999999999998</v>
      </c>
      <c r="C343">
        <v>7.2279999999999998</v>
      </c>
      <c r="D343">
        <v>5.3390000000000004</v>
      </c>
      <c r="E343">
        <v>6.3769999999999998</v>
      </c>
      <c r="F343">
        <v>111050.29300000001</v>
      </c>
      <c r="G343">
        <v>-10.119999999999999</v>
      </c>
      <c r="L343" t="s">
        <v>7</v>
      </c>
      <c r="M343" t="s">
        <v>7</v>
      </c>
      <c r="N343" t="s">
        <v>7</v>
      </c>
      <c r="P343">
        <f t="shared" si="969"/>
        <v>9.8994176813128346E-2</v>
      </c>
      <c r="Q343">
        <f t="shared" si="970"/>
        <v>10993.332340391709</v>
      </c>
      <c r="R343">
        <f t="shared" si="971"/>
        <v>-3750351.108265121</v>
      </c>
      <c r="S343">
        <f t="shared" si="972"/>
        <v>-37.503511082651208</v>
      </c>
      <c r="T343">
        <f t="shared" si="973"/>
        <v>-3.7503511082651209E-2</v>
      </c>
    </row>
    <row r="344" spans="1:20" x14ac:dyDescent="0.25">
      <c r="A344" s="5">
        <v>44249</v>
      </c>
      <c r="B344">
        <v>7.9509999999999996</v>
      </c>
      <c r="C344">
        <v>8.6999999999999993</v>
      </c>
      <c r="D344">
        <v>6.1120000000000001</v>
      </c>
      <c r="E344">
        <v>7.0979999999999999</v>
      </c>
      <c r="F344">
        <v>196330.155</v>
      </c>
      <c r="G344">
        <v>-10.73</v>
      </c>
      <c r="L344" t="s">
        <v>8</v>
      </c>
      <c r="M344" t="s">
        <v>7</v>
      </c>
      <c r="N344" t="s">
        <v>7</v>
      </c>
      <c r="P344">
        <f t="shared" si="969"/>
        <v>-0.23802163833075729</v>
      </c>
      <c r="Q344">
        <f t="shared" si="970"/>
        <v>-46730.825146831521</v>
      </c>
      <c r="R344">
        <f t="shared" si="971"/>
        <v>-3761344.4406055128</v>
      </c>
      <c r="S344">
        <f t="shared" si="972"/>
        <v>-37.61344440605513</v>
      </c>
      <c r="T344">
        <f t="shared" si="973"/>
        <v>-3.761344440605513E-2</v>
      </c>
    </row>
    <row r="345" spans="1:20" x14ac:dyDescent="0.25">
      <c r="A345" s="5">
        <v>44248</v>
      </c>
      <c r="B345">
        <v>7.8620000000000001</v>
      </c>
      <c r="C345">
        <v>8.6579999999999995</v>
      </c>
      <c r="D345">
        <v>7.6</v>
      </c>
      <c r="E345">
        <v>7.9870000000000001</v>
      </c>
      <c r="F345">
        <v>154157.41</v>
      </c>
      <c r="G345">
        <v>1.59</v>
      </c>
      <c r="L345" t="s">
        <v>8</v>
      </c>
      <c r="M345" t="s">
        <v>7</v>
      </c>
      <c r="N345" t="s">
        <v>8</v>
      </c>
      <c r="P345">
        <f t="shared" si="969"/>
        <v>-0.26843100189035818</v>
      </c>
      <c r="Q345">
        <f t="shared" si="970"/>
        <v>-41380.628015122718</v>
      </c>
      <c r="R345">
        <f t="shared" si="971"/>
        <v>-3714613.6154586812</v>
      </c>
      <c r="S345">
        <f t="shared" si="972"/>
        <v>-37.146136154586813</v>
      </c>
      <c r="T345">
        <f t="shared" si="973"/>
        <v>-3.7146136154586812E-2</v>
      </c>
    </row>
    <row r="346" spans="1:20" x14ac:dyDescent="0.25">
      <c r="A346" s="5">
        <v>44247</v>
      </c>
      <c r="B346">
        <v>8.43</v>
      </c>
      <c r="C346">
        <v>8.8219999999999992</v>
      </c>
      <c r="D346">
        <v>7.43</v>
      </c>
      <c r="E346">
        <v>7.7850000000000001</v>
      </c>
      <c r="F346">
        <v>153740.12400000001</v>
      </c>
      <c r="G346">
        <v>-7.65</v>
      </c>
      <c r="L346" t="s">
        <v>7</v>
      </c>
      <c r="M346" t="s">
        <v>7</v>
      </c>
      <c r="N346" t="s">
        <v>8</v>
      </c>
      <c r="P346">
        <f t="shared" si="969"/>
        <v>-0.48994252873563138</v>
      </c>
      <c r="Q346">
        <f t="shared" si="970"/>
        <v>-75323.825120689537</v>
      </c>
      <c r="R346">
        <f t="shared" si="971"/>
        <v>-3673232.9874435584</v>
      </c>
      <c r="S346">
        <f t="shared" si="972"/>
        <v>-36.732329874435585</v>
      </c>
      <c r="T346">
        <f t="shared" si="973"/>
        <v>-3.6732329874435588E-2</v>
      </c>
    </row>
    <row r="347" spans="1:20" x14ac:dyDescent="0.25">
      <c r="A347" s="5">
        <v>44246</v>
      </c>
      <c r="B347">
        <v>8.6370000000000005</v>
      </c>
      <c r="C347">
        <v>9.1959999999999997</v>
      </c>
      <c r="D347">
        <v>8.2550000000000008</v>
      </c>
      <c r="E347">
        <v>8.4090000000000007</v>
      </c>
      <c r="F347">
        <v>205066.79300000001</v>
      </c>
      <c r="G347">
        <v>-2.64</v>
      </c>
      <c r="L347" t="s">
        <v>7</v>
      </c>
      <c r="M347" t="s">
        <v>7</v>
      </c>
      <c r="N347" t="s">
        <v>8</v>
      </c>
      <c r="P347">
        <f t="shared" si="969"/>
        <v>-0.67268862911795946</v>
      </c>
      <c r="Q347">
        <f t="shared" si="970"/>
        <v>-137946.09986078637</v>
      </c>
      <c r="R347">
        <f t="shared" si="971"/>
        <v>-3597909.1623228691</v>
      </c>
      <c r="S347">
        <f t="shared" si="972"/>
        <v>-35.97909162322869</v>
      </c>
      <c r="T347">
        <f t="shared" si="973"/>
        <v>-3.5979091623228689E-2</v>
      </c>
    </row>
    <row r="348" spans="1:20" x14ac:dyDescent="0.25">
      <c r="A348" s="5">
        <v>44245</v>
      </c>
      <c r="B348">
        <v>6.54</v>
      </c>
      <c r="C348">
        <v>10.667999999999999</v>
      </c>
      <c r="D348">
        <v>6.54</v>
      </c>
      <c r="E348">
        <v>8.6620000000000008</v>
      </c>
      <c r="F348">
        <v>1419582.622</v>
      </c>
      <c r="G348">
        <v>32.450000000000003</v>
      </c>
      <c r="L348" t="s">
        <v>8</v>
      </c>
      <c r="M348" t="s">
        <v>8</v>
      </c>
      <c r="N348" t="s">
        <v>8</v>
      </c>
      <c r="P348">
        <f t="shared" si="969"/>
        <v>2.8100775193799016E-2</v>
      </c>
      <c r="Q348">
        <f t="shared" si="970"/>
        <v>39891.372129845768</v>
      </c>
      <c r="R348">
        <f t="shared" si="971"/>
        <v>-3459963.0624620826</v>
      </c>
      <c r="S348">
        <f t="shared" si="972"/>
        <v>-34.599630624620829</v>
      </c>
      <c r="T348">
        <f t="shared" si="973"/>
        <v>-3.4599630624620827E-2</v>
      </c>
    </row>
    <row r="349" spans="1:20" x14ac:dyDescent="0.25">
      <c r="A349" s="5">
        <v>44244</v>
      </c>
      <c r="B349">
        <v>6.4509999999999996</v>
      </c>
      <c r="C349">
        <v>6.85</v>
      </c>
      <c r="D349">
        <v>5.7969999999999997</v>
      </c>
      <c r="E349">
        <v>6.5129999999999999</v>
      </c>
      <c r="F349">
        <v>185765.166</v>
      </c>
      <c r="G349">
        <v>0.96</v>
      </c>
      <c r="L349" t="s">
        <v>7</v>
      </c>
      <c r="M349" t="s">
        <v>8</v>
      </c>
      <c r="N349" t="s">
        <v>7</v>
      </c>
      <c r="P349">
        <f t="shared" si="969"/>
        <v>0.35992402659069372</v>
      </c>
      <c r="Q349">
        <f t="shared" si="970"/>
        <v>66861.346547008638</v>
      </c>
      <c r="R349">
        <f t="shared" si="971"/>
        <v>-3499854.4345919285</v>
      </c>
      <c r="S349">
        <f t="shared" si="972"/>
        <v>-34.998544345919285</v>
      </c>
      <c r="T349">
        <f t="shared" si="973"/>
        <v>-3.4998544345919286E-2</v>
      </c>
    </row>
    <row r="350" spans="1:20" x14ac:dyDescent="0.25">
      <c r="A350" s="5">
        <v>44243</v>
      </c>
      <c r="B350">
        <v>6.0629999999999997</v>
      </c>
      <c r="C350">
        <v>6.899</v>
      </c>
      <c r="D350">
        <v>5.7409999999999997</v>
      </c>
      <c r="E350">
        <v>6.49</v>
      </c>
      <c r="F350">
        <v>224959.7</v>
      </c>
      <c r="G350">
        <v>7.04</v>
      </c>
      <c r="L350" t="s">
        <v>8</v>
      </c>
      <c r="M350" t="s">
        <v>8</v>
      </c>
      <c r="N350" t="s">
        <v>7</v>
      </c>
      <c r="P350">
        <f t="shared" si="969"/>
        <v>0.29360967184801434</v>
      </c>
      <c r="Q350">
        <f t="shared" si="970"/>
        <v>66050.343696027761</v>
      </c>
      <c r="R350">
        <f t="shared" si="971"/>
        <v>-3566715.781138937</v>
      </c>
      <c r="S350">
        <f t="shared" si="972"/>
        <v>-35.667157811389373</v>
      </c>
      <c r="T350">
        <f t="shared" si="973"/>
        <v>-3.566715781138937E-2</v>
      </c>
    </row>
    <row r="351" spans="1:20" x14ac:dyDescent="0.25">
      <c r="A351" s="5">
        <v>44242</v>
      </c>
      <c r="B351">
        <v>6.3369999999999997</v>
      </c>
      <c r="C351">
        <v>6.601</v>
      </c>
      <c r="D351">
        <v>5.29</v>
      </c>
      <c r="E351">
        <v>6.0629999999999997</v>
      </c>
      <c r="F351">
        <v>219515.54699999999</v>
      </c>
      <c r="G351">
        <v>-4.32</v>
      </c>
      <c r="L351" t="s">
        <v>7</v>
      </c>
      <c r="M351" t="s">
        <v>7</v>
      </c>
      <c r="N351" t="s">
        <v>7</v>
      </c>
      <c r="P351">
        <f t="shared" si="969"/>
        <v>0.17925247902364563</v>
      </c>
      <c r="Q351">
        <f t="shared" si="970"/>
        <v>39348.705983981592</v>
      </c>
      <c r="R351">
        <f t="shared" si="971"/>
        <v>-3632766.124834965</v>
      </c>
      <c r="S351">
        <f t="shared" si="972"/>
        <v>-36.327661248349649</v>
      </c>
      <c r="T351">
        <f t="shared" si="973"/>
        <v>-3.6327661248349651E-2</v>
      </c>
    </row>
    <row r="352" spans="1:20" x14ac:dyDescent="0.25">
      <c r="A352" s="5">
        <v>44241</v>
      </c>
      <c r="B352">
        <v>7.2629999999999999</v>
      </c>
      <c r="C352">
        <v>7.556</v>
      </c>
      <c r="D352">
        <v>6.1</v>
      </c>
      <c r="E352">
        <v>6.3369999999999997</v>
      </c>
      <c r="F352">
        <v>302195.32199999999</v>
      </c>
      <c r="G352">
        <v>-12.75</v>
      </c>
      <c r="L352" t="s">
        <v>7</v>
      </c>
      <c r="M352" t="s">
        <v>7</v>
      </c>
      <c r="N352" t="s">
        <v>8</v>
      </c>
      <c r="P352">
        <f t="shared" si="969"/>
        <v>-0.67445054945054939</v>
      </c>
      <c r="Q352">
        <f t="shared" si="970"/>
        <v>-203815.80096428568</v>
      </c>
      <c r="R352">
        <f t="shared" si="971"/>
        <v>-3672114.8308189465</v>
      </c>
      <c r="S352">
        <f t="shared" si="972"/>
        <v>-36.721148308189463</v>
      </c>
      <c r="T352">
        <f t="shared" si="973"/>
        <v>-3.6721148308189462E-2</v>
      </c>
    </row>
    <row r="353" spans="1:20" x14ac:dyDescent="0.25">
      <c r="A353" s="5">
        <v>44240</v>
      </c>
      <c r="B353">
        <v>6.5549999999999997</v>
      </c>
      <c r="C353">
        <v>8.1129999999999995</v>
      </c>
      <c r="D353">
        <v>6.5359999999999996</v>
      </c>
      <c r="E353">
        <v>7.2629999999999999</v>
      </c>
      <c r="F353">
        <v>451266.43</v>
      </c>
      <c r="G353">
        <v>10.8</v>
      </c>
      <c r="L353" t="s">
        <v>8</v>
      </c>
      <c r="M353" t="s">
        <v>8</v>
      </c>
      <c r="N353" t="s">
        <v>8</v>
      </c>
      <c r="P353">
        <f t="shared" si="969"/>
        <v>-7.7996195307545549E-2</v>
      </c>
      <c r="Q353">
        <f t="shared" si="970"/>
        <v>-35197.064610018831</v>
      </c>
      <c r="R353">
        <f t="shared" si="971"/>
        <v>-3468299.0298546609</v>
      </c>
      <c r="S353">
        <f t="shared" si="972"/>
        <v>-34.682990298546606</v>
      </c>
      <c r="T353">
        <f t="shared" si="973"/>
        <v>-3.4682990298546608E-2</v>
      </c>
    </row>
    <row r="354" spans="1:20" x14ac:dyDescent="0.25">
      <c r="A354" s="5">
        <v>44239</v>
      </c>
      <c r="B354">
        <v>6.3869999999999996</v>
      </c>
      <c r="C354">
        <v>6.944</v>
      </c>
      <c r="D354">
        <v>5.8840000000000003</v>
      </c>
      <c r="E354">
        <v>6.556</v>
      </c>
      <c r="F354">
        <v>381185.09700000001</v>
      </c>
      <c r="G354">
        <v>2.65</v>
      </c>
      <c r="L354" t="s">
        <v>8</v>
      </c>
      <c r="M354" t="s">
        <v>8</v>
      </c>
      <c r="N354" t="s">
        <v>8</v>
      </c>
      <c r="P354">
        <f t="shared" si="969"/>
        <v>0.26792452830188673</v>
      </c>
      <c r="Q354">
        <f t="shared" si="970"/>
        <v>102128.83730943395</v>
      </c>
      <c r="R354">
        <f t="shared" si="971"/>
        <v>-3433101.965244642</v>
      </c>
      <c r="S354">
        <f t="shared" si="972"/>
        <v>-34.331019652446422</v>
      </c>
      <c r="T354">
        <f t="shared" si="973"/>
        <v>-3.4331019652446421E-2</v>
      </c>
    </row>
    <row r="355" spans="1:20" x14ac:dyDescent="0.25">
      <c r="A355" s="5">
        <v>44238</v>
      </c>
      <c r="B355">
        <v>5.476</v>
      </c>
      <c r="C355">
        <v>6.45</v>
      </c>
      <c r="D355">
        <v>5.27</v>
      </c>
      <c r="E355">
        <v>6.3869999999999996</v>
      </c>
      <c r="F355">
        <v>243948.98800000001</v>
      </c>
      <c r="G355">
        <v>16.64</v>
      </c>
      <c r="L355" t="s">
        <v>8</v>
      </c>
      <c r="M355" t="s">
        <v>8</v>
      </c>
      <c r="N355" t="s">
        <v>8</v>
      </c>
      <c r="P355">
        <f t="shared" si="969"/>
        <v>0.89322033898304987</v>
      </c>
      <c r="Q355">
        <f t="shared" si="970"/>
        <v>217900.19775593196</v>
      </c>
      <c r="R355">
        <f t="shared" si="971"/>
        <v>-3535230.8025540761</v>
      </c>
      <c r="S355">
        <f t="shared" si="972"/>
        <v>-35.352308025540758</v>
      </c>
      <c r="T355">
        <f t="shared" si="973"/>
        <v>-3.5352308025540756E-2</v>
      </c>
    </row>
    <row r="356" spans="1:20" x14ac:dyDescent="0.25">
      <c r="A356" s="5">
        <v>44237</v>
      </c>
      <c r="B356">
        <v>4.8129999999999997</v>
      </c>
      <c r="C356">
        <v>5.9009999999999998</v>
      </c>
      <c r="D356">
        <v>4.8129999999999997</v>
      </c>
      <c r="E356">
        <v>5.444</v>
      </c>
      <c r="F356">
        <v>367820.70400000003</v>
      </c>
      <c r="G356">
        <v>13.11</v>
      </c>
      <c r="L356" t="s">
        <v>8</v>
      </c>
      <c r="M356" t="s">
        <v>8</v>
      </c>
      <c r="N356" t="s">
        <v>8</v>
      </c>
      <c r="P356">
        <f t="shared" si="969"/>
        <v>0.15992647058823564</v>
      </c>
      <c r="Q356">
        <f t="shared" si="970"/>
        <v>58824.267000000131</v>
      </c>
      <c r="R356">
        <f t="shared" si="971"/>
        <v>-3753131.0003100079</v>
      </c>
      <c r="S356">
        <f t="shared" si="972"/>
        <v>-37.531310003100081</v>
      </c>
      <c r="T356">
        <f t="shared" si="973"/>
        <v>-3.7531310003100081E-2</v>
      </c>
    </row>
    <row r="357" spans="1:20" x14ac:dyDescent="0.25">
      <c r="A357" s="5">
        <v>44236</v>
      </c>
      <c r="B357">
        <v>4.88</v>
      </c>
      <c r="C357">
        <v>4.9989999999999997</v>
      </c>
      <c r="D357">
        <v>4.5970000000000004</v>
      </c>
      <c r="E357">
        <v>4.8129999999999997</v>
      </c>
      <c r="F357">
        <v>324566.86099999998</v>
      </c>
      <c r="G357">
        <v>-1.37</v>
      </c>
      <c r="L357" t="s">
        <v>8</v>
      </c>
      <c r="M357" t="s">
        <v>8</v>
      </c>
      <c r="N357" t="s">
        <v>8</v>
      </c>
      <c r="P357">
        <f t="shared" si="969"/>
        <v>7.4626865671640341E-2</v>
      </c>
      <c r="Q357">
        <f t="shared" si="970"/>
        <v>24221.40753731296</v>
      </c>
      <c r="R357">
        <f t="shared" si="971"/>
        <v>-3811955.2673100079</v>
      </c>
      <c r="S357">
        <f t="shared" si="972"/>
        <v>-38.119552673100081</v>
      </c>
      <c r="T357">
        <f t="shared" si="973"/>
        <v>-3.8119552673100084E-2</v>
      </c>
    </row>
    <row r="358" spans="1:20" x14ac:dyDescent="0.25">
      <c r="A358" s="5">
        <v>44235</v>
      </c>
      <c r="B358">
        <v>4.2140000000000004</v>
      </c>
      <c r="C358">
        <v>4.9169999999999998</v>
      </c>
      <c r="D358">
        <v>4.2130000000000001</v>
      </c>
      <c r="E358">
        <v>4.8789999999999996</v>
      </c>
      <c r="F358">
        <v>270630.19099999999</v>
      </c>
      <c r="G358">
        <v>15.78</v>
      </c>
      <c r="L358" t="s">
        <v>8</v>
      </c>
      <c r="M358" t="s">
        <v>8</v>
      </c>
      <c r="N358" t="s">
        <v>8</v>
      </c>
      <c r="P358">
        <f t="shared" si="969"/>
        <v>0.89204545454545381</v>
      </c>
      <c r="Q358">
        <f t="shared" si="970"/>
        <v>241414.43174431796</v>
      </c>
      <c r="R358">
        <f t="shared" si="971"/>
        <v>-3836176.6748473211</v>
      </c>
      <c r="S358">
        <f t="shared" si="972"/>
        <v>-38.361766748473208</v>
      </c>
      <c r="T358">
        <f t="shared" si="973"/>
        <v>-3.8361766748473206E-2</v>
      </c>
    </row>
    <row r="359" spans="1:20" x14ac:dyDescent="0.25">
      <c r="A359" s="5">
        <v>44234</v>
      </c>
      <c r="B359">
        <v>4.1520000000000001</v>
      </c>
      <c r="C359">
        <v>4.4950000000000001</v>
      </c>
      <c r="D359">
        <v>3.9359999999999999</v>
      </c>
      <c r="E359">
        <v>4.21</v>
      </c>
      <c r="F359">
        <v>166103.91399999999</v>
      </c>
      <c r="G359">
        <v>1.4</v>
      </c>
      <c r="L359" t="s">
        <v>7</v>
      </c>
      <c r="M359" t="s">
        <v>8</v>
      </c>
      <c r="N359" t="s">
        <v>7</v>
      </c>
      <c r="P359">
        <f t="shared" si="969"/>
        <v>-1.9677996422182677E-2</v>
      </c>
      <c r="Q359">
        <f t="shared" si="970"/>
        <v>-3268.592225402539</v>
      </c>
      <c r="R359">
        <f t="shared" si="971"/>
        <v>-4077591.1065916391</v>
      </c>
      <c r="S359">
        <f t="shared" si="972"/>
        <v>-40.775911065916389</v>
      </c>
      <c r="T359">
        <f t="shared" si="973"/>
        <v>-4.0775911065916388E-2</v>
      </c>
    </row>
    <row r="360" spans="1:20" x14ac:dyDescent="0.25">
      <c r="A360" s="5">
        <v>44233</v>
      </c>
      <c r="B360">
        <v>3.9750000000000001</v>
      </c>
      <c r="C360">
        <v>4.5549999999999997</v>
      </c>
      <c r="D360">
        <v>3.8809999999999998</v>
      </c>
      <c r="E360">
        <v>4.1619999999999999</v>
      </c>
      <c r="F360">
        <v>287646.70299999998</v>
      </c>
      <c r="G360">
        <v>4.7</v>
      </c>
      <c r="L360" t="s">
        <v>8</v>
      </c>
      <c r="M360" t="s">
        <v>8</v>
      </c>
      <c r="N360" t="s">
        <v>7</v>
      </c>
      <c r="P360">
        <f t="shared" si="969"/>
        <v>-0.16617210682492531</v>
      </c>
      <c r="Q360">
        <f t="shared" si="970"/>
        <v>-47798.858658753561</v>
      </c>
      <c r="R360">
        <f t="shared" si="971"/>
        <v>-4074322.5143662365</v>
      </c>
      <c r="S360">
        <f t="shared" si="972"/>
        <v>-40.743225143662364</v>
      </c>
      <c r="T360">
        <f t="shared" si="973"/>
        <v>-4.0743225143662368E-2</v>
      </c>
    </row>
    <row r="361" spans="1:20" x14ac:dyDescent="0.25">
      <c r="A361" s="5">
        <v>44232</v>
      </c>
      <c r="B361">
        <v>3.806</v>
      </c>
      <c r="C361">
        <v>4.0919999999999996</v>
      </c>
      <c r="D361">
        <v>3.71</v>
      </c>
      <c r="E361">
        <v>3.9750000000000001</v>
      </c>
      <c r="F361">
        <v>138299.14499999999</v>
      </c>
      <c r="G361">
        <v>4.4400000000000004</v>
      </c>
      <c r="L361" t="s">
        <v>8</v>
      </c>
      <c r="M361" t="s">
        <v>8</v>
      </c>
      <c r="N361" t="s">
        <v>7</v>
      </c>
      <c r="P361">
        <f t="shared" si="969"/>
        <v>0.38743455497382384</v>
      </c>
      <c r="Q361">
        <f t="shared" si="970"/>
        <v>53581.867696335328</v>
      </c>
      <c r="R361">
        <f t="shared" si="971"/>
        <v>-4026523.6557074832</v>
      </c>
      <c r="S361">
        <f t="shared" si="972"/>
        <v>-40.265236557074829</v>
      </c>
      <c r="T361">
        <f t="shared" si="973"/>
        <v>-4.0265236557074827E-2</v>
      </c>
    </row>
    <row r="362" spans="1:20" x14ac:dyDescent="0.25">
      <c r="A362" s="5">
        <v>44231</v>
      </c>
      <c r="B362">
        <v>3.9769999999999999</v>
      </c>
      <c r="C362">
        <v>3.99</v>
      </c>
      <c r="D362">
        <v>3.6110000000000002</v>
      </c>
      <c r="E362">
        <v>3.7919999999999998</v>
      </c>
      <c r="F362">
        <v>186773.38</v>
      </c>
      <c r="G362">
        <v>-4.6500000000000004</v>
      </c>
      <c r="L362" t="s">
        <v>7</v>
      </c>
      <c r="M362" t="s">
        <v>8</v>
      </c>
      <c r="N362" t="s">
        <v>7</v>
      </c>
      <c r="P362">
        <f t="shared" si="969"/>
        <v>-4.4854881266492855E-2</v>
      </c>
      <c r="Q362">
        <f t="shared" si="970"/>
        <v>-8377.6977836415517</v>
      </c>
      <c r="R362">
        <f t="shared" si="971"/>
        <v>-4080105.5234038187</v>
      </c>
      <c r="S362">
        <f t="shared" si="972"/>
        <v>-40.801055234038188</v>
      </c>
      <c r="T362">
        <f t="shared" si="973"/>
        <v>-4.0801055234038187E-2</v>
      </c>
    </row>
    <row r="363" spans="1:20" x14ac:dyDescent="0.25">
      <c r="A363" s="5">
        <v>44230</v>
      </c>
      <c r="B363">
        <v>3.7989999999999999</v>
      </c>
      <c r="C363">
        <v>4.3</v>
      </c>
      <c r="D363">
        <v>3.6019999999999999</v>
      </c>
      <c r="E363">
        <v>3.9769999999999999</v>
      </c>
      <c r="F363">
        <v>168934.891</v>
      </c>
      <c r="G363">
        <v>4.6900000000000004</v>
      </c>
      <c r="L363" t="s">
        <v>8</v>
      </c>
      <c r="M363" t="s">
        <v>8</v>
      </c>
      <c r="N363" t="s">
        <v>7</v>
      </c>
      <c r="P363">
        <f t="shared" si="969"/>
        <v>7.4498567335243626E-2</v>
      </c>
      <c r="Q363">
        <f t="shared" si="970"/>
        <v>12585.407352435543</v>
      </c>
      <c r="R363">
        <f t="shared" si="971"/>
        <v>-4071727.8256201772</v>
      </c>
      <c r="S363">
        <f t="shared" si="972"/>
        <v>-40.717278256201773</v>
      </c>
      <c r="T363">
        <f t="shared" si="973"/>
        <v>-4.0717278256201771E-2</v>
      </c>
    </row>
    <row r="364" spans="1:20" x14ac:dyDescent="0.25">
      <c r="A364" s="5">
        <v>44229</v>
      </c>
      <c r="B364">
        <v>3.7469999999999999</v>
      </c>
      <c r="C364">
        <v>3.8380000000000001</v>
      </c>
      <c r="D364">
        <v>3.641</v>
      </c>
      <c r="E364">
        <v>3.7930000000000001</v>
      </c>
      <c r="F364">
        <v>83958.945999999996</v>
      </c>
      <c r="G364">
        <v>1.23</v>
      </c>
      <c r="L364" t="s">
        <v>8</v>
      </c>
      <c r="M364" t="s">
        <v>7</v>
      </c>
      <c r="N364" t="s">
        <v>7</v>
      </c>
      <c r="P364">
        <f t="shared" si="969"/>
        <v>0.54314720812182826</v>
      </c>
      <c r="Q364">
        <f t="shared" si="970"/>
        <v>45602.067116751336</v>
      </c>
      <c r="R364">
        <f t="shared" si="971"/>
        <v>-4084313.2329726126</v>
      </c>
      <c r="S364">
        <f t="shared" si="972"/>
        <v>-40.843132329726124</v>
      </c>
      <c r="T364">
        <f t="shared" si="973"/>
        <v>-4.0843132329726126E-2</v>
      </c>
    </row>
    <row r="365" spans="1:20" x14ac:dyDescent="0.25">
      <c r="A365" s="5">
        <v>44228</v>
      </c>
      <c r="B365">
        <v>3.6320000000000001</v>
      </c>
      <c r="C365">
        <v>3.86</v>
      </c>
      <c r="D365">
        <v>3.415</v>
      </c>
      <c r="E365">
        <v>3.7429999999999999</v>
      </c>
      <c r="F365">
        <v>152389.67300000001</v>
      </c>
      <c r="G365">
        <v>3.06</v>
      </c>
      <c r="L365" t="s">
        <v>7</v>
      </c>
      <c r="M365" t="s">
        <v>7</v>
      </c>
      <c r="N365" t="s">
        <v>7</v>
      </c>
      <c r="P365">
        <f t="shared" si="969"/>
        <v>0.47415730337078638</v>
      </c>
      <c r="Q365">
        <f t="shared" si="970"/>
        <v>72256.676411235938</v>
      </c>
      <c r="R365">
        <f t="shared" si="971"/>
        <v>-4129915.3000893639</v>
      </c>
      <c r="S365">
        <f t="shared" si="972"/>
        <v>-41.299153000893639</v>
      </c>
      <c r="T365">
        <f t="shared" si="973"/>
        <v>-4.1299153000893637E-2</v>
      </c>
    </row>
    <row r="366" spans="1:20" x14ac:dyDescent="0.25">
      <c r="A366" s="5">
        <v>44227</v>
      </c>
      <c r="B366">
        <v>3.7269999999999999</v>
      </c>
      <c r="C366">
        <v>3.89</v>
      </c>
      <c r="D366">
        <v>3.569</v>
      </c>
      <c r="E366">
        <v>3.6269999999999998</v>
      </c>
      <c r="F366">
        <v>84321.688999999998</v>
      </c>
      <c r="G366">
        <v>-2.68</v>
      </c>
      <c r="L366" t="s">
        <v>7</v>
      </c>
      <c r="M366" t="s">
        <v>7</v>
      </c>
      <c r="N366" t="s">
        <v>7</v>
      </c>
      <c r="P366">
        <f t="shared" si="969"/>
        <v>-0.63862928348909787</v>
      </c>
      <c r="Q366">
        <f t="shared" si="970"/>
        <v>-53850.299828660543</v>
      </c>
      <c r="R366">
        <f t="shared" si="971"/>
        <v>-4202171.9765005996</v>
      </c>
      <c r="S366">
        <f t="shared" si="972"/>
        <v>-42.021719765005997</v>
      </c>
      <c r="T366">
        <f t="shared" si="973"/>
        <v>-4.2021719765005995E-2</v>
      </c>
    </row>
    <row r="367" spans="1:20" x14ac:dyDescent="0.25">
      <c r="A367" s="5">
        <v>44226</v>
      </c>
      <c r="B367">
        <v>3.7749999999999999</v>
      </c>
      <c r="C367">
        <v>3.855</v>
      </c>
      <c r="D367">
        <v>3.5819999999999999</v>
      </c>
      <c r="E367">
        <v>3.7360000000000002</v>
      </c>
      <c r="F367">
        <v>123119.41800000001</v>
      </c>
      <c r="G367">
        <v>-1.03</v>
      </c>
      <c r="L367" t="s">
        <v>8</v>
      </c>
      <c r="M367" t="s">
        <v>7</v>
      </c>
      <c r="N367" t="s">
        <v>7</v>
      </c>
      <c r="P367">
        <f t="shared" si="969"/>
        <v>0.1282051282051303</v>
      </c>
      <c r="Q367">
        <f t="shared" si="970"/>
        <v>15784.540769231027</v>
      </c>
      <c r="R367">
        <f t="shared" si="971"/>
        <v>-4148321.6766719394</v>
      </c>
      <c r="S367">
        <f t="shared" si="972"/>
        <v>-41.483216766719394</v>
      </c>
      <c r="T367">
        <f t="shared" si="973"/>
        <v>-4.1483216766719393E-2</v>
      </c>
    </row>
    <row r="368" spans="1:20" x14ac:dyDescent="0.25">
      <c r="A368" s="5">
        <v>44225</v>
      </c>
      <c r="B368">
        <v>3.7989999999999999</v>
      </c>
      <c r="C368">
        <v>4.57</v>
      </c>
      <c r="D368">
        <v>3.5550000000000002</v>
      </c>
      <c r="E368">
        <v>3.7490000000000001</v>
      </c>
      <c r="F368">
        <v>439761.505</v>
      </c>
      <c r="G368">
        <v>-1.32</v>
      </c>
      <c r="L368" t="s">
        <v>7</v>
      </c>
      <c r="M368" t="s">
        <v>7</v>
      </c>
      <c r="N368" t="s">
        <v>7</v>
      </c>
      <c r="P368">
        <f t="shared" si="969"/>
        <v>-0.61773399014778341</v>
      </c>
      <c r="Q368">
        <f t="shared" si="970"/>
        <v>-271655.62919704441</v>
      </c>
      <c r="R368">
        <f t="shared" si="971"/>
        <v>-4164106.2174411705</v>
      </c>
      <c r="S368">
        <f t="shared" si="972"/>
        <v>-41.641062174411708</v>
      </c>
      <c r="T368">
        <f t="shared" si="973"/>
        <v>-4.1641062174411707E-2</v>
      </c>
    </row>
    <row r="369" spans="1:20" x14ac:dyDescent="0.25">
      <c r="A369" s="5">
        <v>44224</v>
      </c>
      <c r="B369">
        <v>4.18</v>
      </c>
      <c r="C369">
        <v>6.6</v>
      </c>
      <c r="D369">
        <v>3.75</v>
      </c>
      <c r="E369">
        <v>3.7650000000000001</v>
      </c>
      <c r="F369">
        <v>1400689.297</v>
      </c>
      <c r="G369">
        <v>-9.93</v>
      </c>
      <c r="L369" t="s">
        <v>8</v>
      </c>
      <c r="M369" t="s">
        <v>8</v>
      </c>
      <c r="N369" t="s">
        <v>8</v>
      </c>
      <c r="P369">
        <f t="shared" si="969"/>
        <v>-0.98947368421052617</v>
      </c>
      <c r="Q369">
        <f t="shared" si="970"/>
        <v>-1385945.1991368418</v>
      </c>
      <c r="R369">
        <f t="shared" si="971"/>
        <v>-3892450.5882441262</v>
      </c>
      <c r="S369">
        <f t="shared" si="972"/>
        <v>-38.92450588244126</v>
      </c>
      <c r="T369">
        <f t="shared" si="973"/>
        <v>-3.8924505882441257E-2</v>
      </c>
    </row>
    <row r="370" spans="1:20" x14ac:dyDescent="0.25">
      <c r="A370" s="5">
        <v>44223</v>
      </c>
      <c r="B370">
        <v>4.1139999999999999</v>
      </c>
      <c r="C370">
        <v>4.46</v>
      </c>
      <c r="D370">
        <v>3.73</v>
      </c>
      <c r="E370">
        <v>4.1449999999999996</v>
      </c>
      <c r="F370">
        <v>232060.02499999999</v>
      </c>
      <c r="G370">
        <v>0.75</v>
      </c>
      <c r="L370" t="s">
        <v>8</v>
      </c>
      <c r="M370" t="s">
        <v>8</v>
      </c>
      <c r="N370" t="s">
        <v>7</v>
      </c>
      <c r="P370">
        <f t="shared" si="969"/>
        <v>0.13698630136986192</v>
      </c>
      <c r="Q370">
        <f t="shared" si="970"/>
        <v>31789.04452054769</v>
      </c>
      <c r="R370">
        <f t="shared" si="971"/>
        <v>-2506505.3891072841</v>
      </c>
      <c r="S370">
        <f t="shared" si="972"/>
        <v>-25.065053891072843</v>
      </c>
      <c r="T370">
        <f t="shared" si="973"/>
        <v>-2.5065053891072844E-2</v>
      </c>
    </row>
    <row r="371" spans="1:20" x14ac:dyDescent="0.25">
      <c r="A371" s="5">
        <v>44222</v>
      </c>
      <c r="B371">
        <v>3.68</v>
      </c>
      <c r="C371">
        <v>4.1900000000000004</v>
      </c>
      <c r="D371">
        <v>3.4780000000000002</v>
      </c>
      <c r="E371">
        <v>4.0670000000000002</v>
      </c>
      <c r="F371">
        <v>79694.578999999998</v>
      </c>
      <c r="G371">
        <v>10.52</v>
      </c>
      <c r="L371" t="s">
        <v>7</v>
      </c>
      <c r="M371" t="s">
        <v>7</v>
      </c>
      <c r="N371" t="s">
        <v>7</v>
      </c>
      <c r="P371">
        <f t="shared" si="969"/>
        <v>0.65449438202247134</v>
      </c>
      <c r="Q371">
        <f t="shared" si="970"/>
        <v>52159.654233146022</v>
      </c>
      <c r="R371">
        <f t="shared" si="971"/>
        <v>-2538294.4336278317</v>
      </c>
      <c r="S371">
        <f t="shared" si="972"/>
        <v>-25.382944336278317</v>
      </c>
      <c r="T371">
        <f t="shared" si="973"/>
        <v>-2.5382944336278319E-2</v>
      </c>
    </row>
    <row r="372" spans="1:20" x14ac:dyDescent="0.25">
      <c r="A372" s="5">
        <v>44221</v>
      </c>
      <c r="B372">
        <v>3.7869999999999999</v>
      </c>
      <c r="C372">
        <v>3.91</v>
      </c>
      <c r="D372">
        <v>3.6419999999999999</v>
      </c>
      <c r="E372">
        <v>3.68</v>
      </c>
      <c r="F372">
        <v>41635.608999999997</v>
      </c>
      <c r="G372">
        <v>-2.83</v>
      </c>
      <c r="L372" t="s">
        <v>7</v>
      </c>
      <c r="M372" t="s">
        <v>7</v>
      </c>
      <c r="N372" t="s">
        <v>7</v>
      </c>
      <c r="P372">
        <f t="shared" si="969"/>
        <v>-0.71641791044775949</v>
      </c>
      <c r="Q372">
        <f t="shared" si="970"/>
        <v>-29828.495999999926</v>
      </c>
      <c r="R372">
        <f t="shared" si="971"/>
        <v>-2590454.0878609777</v>
      </c>
      <c r="S372">
        <f t="shared" si="972"/>
        <v>-25.904540878609776</v>
      </c>
      <c r="T372">
        <f t="shared" si="973"/>
        <v>-2.5904540878609775E-2</v>
      </c>
    </row>
    <row r="373" spans="1:20" x14ac:dyDescent="0.25">
      <c r="A373" s="5">
        <v>44220</v>
      </c>
      <c r="B373">
        <v>3.8090000000000002</v>
      </c>
      <c r="C373">
        <v>3.9260000000000002</v>
      </c>
      <c r="D373">
        <v>3.714</v>
      </c>
      <c r="E373">
        <v>3.786</v>
      </c>
      <c r="F373">
        <v>37222.553</v>
      </c>
      <c r="G373">
        <v>-0.6</v>
      </c>
      <c r="L373" t="s">
        <v>7</v>
      </c>
      <c r="M373" t="s">
        <v>7</v>
      </c>
      <c r="N373" t="s">
        <v>7</v>
      </c>
      <c r="P373">
        <f t="shared" si="969"/>
        <v>-0.32075471698113206</v>
      </c>
      <c r="Q373">
        <f t="shared" si="970"/>
        <v>-11939.309452830188</v>
      </c>
      <c r="R373">
        <f t="shared" si="971"/>
        <v>-2560625.5918609779</v>
      </c>
      <c r="S373">
        <f t="shared" si="972"/>
        <v>-25.606255918609779</v>
      </c>
      <c r="T373">
        <f t="shared" si="973"/>
        <v>-2.560625591860978E-2</v>
      </c>
    </row>
    <row r="374" spans="1:20" x14ac:dyDescent="0.25">
      <c r="A374" s="5">
        <v>44219</v>
      </c>
      <c r="B374">
        <v>3.9740000000000002</v>
      </c>
      <c r="C374">
        <v>4.0369999999999999</v>
      </c>
      <c r="D374">
        <v>3.7069999999999999</v>
      </c>
      <c r="E374">
        <v>3.806</v>
      </c>
      <c r="F374">
        <v>43272.786999999997</v>
      </c>
      <c r="G374">
        <v>-4.2300000000000004</v>
      </c>
      <c r="L374" t="s">
        <v>8</v>
      </c>
      <c r="M374" t="s">
        <v>7</v>
      </c>
      <c r="N374" t="s">
        <v>7</v>
      </c>
      <c r="P374">
        <f t="shared" si="969"/>
        <v>-0.39999999999999891</v>
      </c>
      <c r="Q374">
        <f t="shared" si="970"/>
        <v>-17309.114799999952</v>
      </c>
      <c r="R374">
        <f t="shared" si="971"/>
        <v>-2548686.2824081476</v>
      </c>
      <c r="S374">
        <f t="shared" si="972"/>
        <v>-25.486862824081477</v>
      </c>
      <c r="T374">
        <f t="shared" si="973"/>
        <v>-2.5486862824081476E-2</v>
      </c>
    </row>
    <row r="375" spans="1:20" x14ac:dyDescent="0.25">
      <c r="A375" s="5">
        <v>44218</v>
      </c>
      <c r="B375">
        <v>3.8969999999999998</v>
      </c>
      <c r="C375">
        <v>4.1589999999999998</v>
      </c>
      <c r="D375">
        <v>3.5739999999999998</v>
      </c>
      <c r="E375">
        <v>3.9750000000000001</v>
      </c>
      <c r="F375">
        <v>42536.743999999999</v>
      </c>
      <c r="G375">
        <v>2</v>
      </c>
      <c r="L375" t="s">
        <v>7</v>
      </c>
      <c r="M375" t="s">
        <v>7</v>
      </c>
      <c r="N375" t="s">
        <v>7</v>
      </c>
      <c r="P375">
        <f t="shared" si="969"/>
        <v>0.37094017094017184</v>
      </c>
      <c r="Q375">
        <f t="shared" si="970"/>
        <v>15778.587090598328</v>
      </c>
      <c r="R375">
        <f t="shared" si="971"/>
        <v>-2531377.1676081475</v>
      </c>
      <c r="S375">
        <f t="shared" si="972"/>
        <v>-25.313771676081476</v>
      </c>
      <c r="T375">
        <f t="shared" si="973"/>
        <v>-2.5313771676081478E-2</v>
      </c>
    </row>
    <row r="376" spans="1:20" x14ac:dyDescent="0.25">
      <c r="A376" s="5">
        <v>44217</v>
      </c>
      <c r="B376">
        <v>4.3840000000000003</v>
      </c>
      <c r="C376">
        <v>4.5469999999999997</v>
      </c>
      <c r="D376">
        <v>3.798</v>
      </c>
      <c r="E376">
        <v>3.8980000000000001</v>
      </c>
      <c r="F376">
        <v>89575.997000000003</v>
      </c>
      <c r="G376">
        <v>-11.09</v>
      </c>
      <c r="L376" t="s">
        <v>7</v>
      </c>
      <c r="M376" t="s">
        <v>7</v>
      </c>
      <c r="N376" t="s">
        <v>7</v>
      </c>
      <c r="P376">
        <f t="shared" si="969"/>
        <v>-0.7329773030707607</v>
      </c>
      <c r="Q376">
        <f t="shared" si="970"/>
        <v>-65657.172700934549</v>
      </c>
      <c r="R376">
        <f t="shared" si="971"/>
        <v>-2547155.7546987459</v>
      </c>
      <c r="S376">
        <f t="shared" si="972"/>
        <v>-25.471557546987459</v>
      </c>
      <c r="T376">
        <f t="shared" si="973"/>
        <v>-2.5471557546987458E-2</v>
      </c>
    </row>
    <row r="377" spans="1:20" x14ac:dyDescent="0.25">
      <c r="A377" s="5">
        <v>44216</v>
      </c>
      <c r="B377">
        <v>4.0819999999999999</v>
      </c>
      <c r="C377">
        <v>4.5999999999999996</v>
      </c>
      <c r="D377">
        <v>3.9510000000000001</v>
      </c>
      <c r="E377">
        <v>4.3869999999999996</v>
      </c>
      <c r="F377">
        <v>168361.31899999999</v>
      </c>
      <c r="G377">
        <v>7.47</v>
      </c>
      <c r="L377" t="s">
        <v>7</v>
      </c>
      <c r="M377" t="s">
        <v>7</v>
      </c>
      <c r="N377" t="s">
        <v>7</v>
      </c>
      <c r="P377">
        <f t="shared" si="969"/>
        <v>0.34360554699537682</v>
      </c>
      <c r="Q377">
        <f t="shared" si="970"/>
        <v>57849.883107858128</v>
      </c>
      <c r="R377">
        <f t="shared" si="971"/>
        <v>-2481498.5819978113</v>
      </c>
      <c r="S377">
        <f t="shared" si="972"/>
        <v>-24.814985819978112</v>
      </c>
      <c r="T377">
        <f t="shared" si="973"/>
        <v>-2.4814985819978111E-2</v>
      </c>
    </row>
    <row r="378" spans="1:20" x14ac:dyDescent="0.25">
      <c r="A378" s="5">
        <v>44215</v>
      </c>
      <c r="B378">
        <v>4.28</v>
      </c>
      <c r="C378">
        <v>4.2960000000000003</v>
      </c>
      <c r="D378">
        <v>4.0490000000000004</v>
      </c>
      <c r="E378">
        <v>4.0780000000000003</v>
      </c>
      <c r="F378">
        <v>689445.23800000001</v>
      </c>
      <c r="G378">
        <v>-4.72</v>
      </c>
      <c r="L378" t="s">
        <v>7</v>
      </c>
      <c r="M378" t="s">
        <v>7</v>
      </c>
      <c r="N378" t="s">
        <v>7</v>
      </c>
      <c r="P378">
        <f t="shared" si="969"/>
        <v>-0.76518218623481837</v>
      </c>
      <c r="Q378">
        <f t="shared" si="970"/>
        <v>-527551.2145020247</v>
      </c>
      <c r="R378">
        <f t="shared" si="971"/>
        <v>-2539348.4651056696</v>
      </c>
      <c r="S378">
        <f t="shared" si="972"/>
        <v>-25.393484651056696</v>
      </c>
      <c r="T378">
        <f t="shared" si="973"/>
        <v>-2.5393484651056696E-2</v>
      </c>
    </row>
    <row r="379" spans="1:20" x14ac:dyDescent="0.25">
      <c r="A379" s="5">
        <v>44214</v>
      </c>
      <c r="B379">
        <v>4.2889999999999997</v>
      </c>
      <c r="C379">
        <v>4.3840000000000003</v>
      </c>
      <c r="D379">
        <v>4.0339999999999998</v>
      </c>
      <c r="E379">
        <v>4.2709999999999999</v>
      </c>
      <c r="F379">
        <v>473236.32799999998</v>
      </c>
      <c r="G379">
        <v>-0.42</v>
      </c>
      <c r="L379" t="s">
        <v>7</v>
      </c>
      <c r="M379" t="s">
        <v>7</v>
      </c>
      <c r="N379" t="s">
        <v>7</v>
      </c>
      <c r="P379">
        <f t="shared" si="969"/>
        <v>0.35428571428571282</v>
      </c>
      <c r="Q379">
        <f t="shared" si="970"/>
        <v>167660.87049142786</v>
      </c>
      <c r="R379">
        <f t="shared" si="971"/>
        <v>-2011797.2506036451</v>
      </c>
      <c r="S379">
        <f t="shared" si="972"/>
        <v>-20.117972506036452</v>
      </c>
      <c r="T379">
        <f t="shared" si="973"/>
        <v>-2.011797250603645E-2</v>
      </c>
    </row>
    <row r="380" spans="1:20" x14ac:dyDescent="0.25">
      <c r="A380" s="5">
        <v>44213</v>
      </c>
      <c r="B380">
        <v>4.4450000000000003</v>
      </c>
      <c r="C380">
        <v>4.5999999999999996</v>
      </c>
      <c r="D380">
        <v>4.24</v>
      </c>
      <c r="E380">
        <v>4.2709999999999999</v>
      </c>
      <c r="F380">
        <v>177446.44500000001</v>
      </c>
      <c r="G380">
        <v>-3.91</v>
      </c>
      <c r="L380" t="s">
        <v>8</v>
      </c>
      <c r="M380" t="s">
        <v>7</v>
      </c>
      <c r="N380" t="s">
        <v>8</v>
      </c>
      <c r="P380">
        <f t="shared" si="969"/>
        <v>-0.82777777777777917</v>
      </c>
      <c r="Q380">
        <f t="shared" si="970"/>
        <v>-146886.22391666693</v>
      </c>
      <c r="R380">
        <f t="shared" si="971"/>
        <v>-2179458.1210950729</v>
      </c>
      <c r="S380">
        <f t="shared" si="972"/>
        <v>-21.794581210950728</v>
      </c>
      <c r="T380">
        <f t="shared" si="973"/>
        <v>-2.1794581210950729E-2</v>
      </c>
    </row>
    <row r="381" spans="1:20" x14ac:dyDescent="0.25">
      <c r="A381" s="5">
        <v>44212</v>
      </c>
      <c r="B381">
        <v>4.4089999999999998</v>
      </c>
      <c r="C381">
        <v>4.9000000000000004</v>
      </c>
      <c r="D381">
        <v>4.234</v>
      </c>
      <c r="E381">
        <v>4.4809999999999999</v>
      </c>
      <c r="F381">
        <v>329031.36599999998</v>
      </c>
      <c r="G381">
        <v>1.63</v>
      </c>
      <c r="L381" t="s">
        <v>7</v>
      </c>
      <c r="M381" t="s">
        <v>7</v>
      </c>
      <c r="N381" t="s">
        <v>8</v>
      </c>
      <c r="P381">
        <f t="shared" si="969"/>
        <v>-0.25825825825825899</v>
      </c>
      <c r="Q381">
        <f t="shared" si="970"/>
        <v>-84975.067495495736</v>
      </c>
      <c r="R381">
        <f t="shared" si="971"/>
        <v>-2032571.8971784059</v>
      </c>
      <c r="S381">
        <f t="shared" si="972"/>
        <v>-20.32571897178406</v>
      </c>
      <c r="T381">
        <f t="shared" si="973"/>
        <v>-2.0325718971784059E-2</v>
      </c>
    </row>
    <row r="382" spans="1:20" x14ac:dyDescent="0.25">
      <c r="A382" s="5">
        <v>44211</v>
      </c>
      <c r="B382">
        <v>4.5</v>
      </c>
      <c r="C382">
        <v>4.8929999999999998</v>
      </c>
      <c r="D382">
        <v>4.2880000000000003</v>
      </c>
      <c r="E382">
        <v>4.4240000000000004</v>
      </c>
      <c r="F382">
        <v>390151.21600000001</v>
      </c>
      <c r="G382">
        <v>-1.69</v>
      </c>
      <c r="L382" t="s">
        <v>8</v>
      </c>
      <c r="M382" t="s">
        <v>7</v>
      </c>
      <c r="N382" t="s">
        <v>8</v>
      </c>
      <c r="P382">
        <f t="shared" si="969"/>
        <v>-0.55041322314049512</v>
      </c>
      <c r="Q382">
        <f t="shared" si="970"/>
        <v>-214744.38831074352</v>
      </c>
      <c r="R382">
        <f t="shared" si="971"/>
        <v>-1947596.8296829101</v>
      </c>
      <c r="S382">
        <f t="shared" si="972"/>
        <v>-19.475968296829102</v>
      </c>
      <c r="T382">
        <f t="shared" si="973"/>
        <v>-1.9475968296829103E-2</v>
      </c>
    </row>
    <row r="383" spans="1:20" x14ac:dyDescent="0.25">
      <c r="A383" s="5">
        <v>44210</v>
      </c>
      <c r="B383">
        <v>5.2030000000000003</v>
      </c>
      <c r="C383">
        <v>5.81</v>
      </c>
      <c r="D383">
        <v>4.2569999999999997</v>
      </c>
      <c r="E383">
        <v>4.4720000000000004</v>
      </c>
      <c r="F383">
        <v>691903.30700000003</v>
      </c>
      <c r="G383">
        <v>-14.05</v>
      </c>
      <c r="L383" t="s">
        <v>7</v>
      </c>
      <c r="M383" t="s">
        <v>7</v>
      </c>
      <c r="N383" t="s">
        <v>8</v>
      </c>
      <c r="P383">
        <f t="shared" si="969"/>
        <v>-0.72311654861558172</v>
      </c>
      <c r="Q383">
        <f t="shared" si="970"/>
        <v>-500326.73133354727</v>
      </c>
      <c r="R383">
        <f t="shared" si="971"/>
        <v>-1732852.4413721666</v>
      </c>
      <c r="S383">
        <f t="shared" si="972"/>
        <v>-17.328524413721667</v>
      </c>
      <c r="T383">
        <f t="shared" si="973"/>
        <v>-1.7328524413721666E-2</v>
      </c>
    </row>
    <row r="384" spans="1:20" x14ac:dyDescent="0.25">
      <c r="A384" s="5">
        <v>44209</v>
      </c>
      <c r="B384">
        <v>2.9990000000000001</v>
      </c>
      <c r="C384">
        <v>5.9619999999999997</v>
      </c>
      <c r="D384">
        <v>2.7759999999999998</v>
      </c>
      <c r="E384">
        <v>5.2039999999999997</v>
      </c>
      <c r="F384">
        <v>563043.49</v>
      </c>
      <c r="G384">
        <v>73.52</v>
      </c>
      <c r="L384" t="s">
        <v>8</v>
      </c>
      <c r="M384" t="s">
        <v>8</v>
      </c>
      <c r="N384" t="s">
        <v>8</v>
      </c>
      <c r="P384">
        <f t="shared" si="969"/>
        <v>0.52416823603264284</v>
      </c>
      <c r="Q384">
        <f t="shared" si="970"/>
        <v>295129.51296296297</v>
      </c>
      <c r="R384">
        <f t="shared" si="971"/>
        <v>-1232525.7100386193</v>
      </c>
      <c r="S384">
        <f t="shared" si="972"/>
        <v>-12.325257100386194</v>
      </c>
      <c r="T384">
        <f t="shared" si="973"/>
        <v>-1.2325257100386193E-2</v>
      </c>
    </row>
    <row r="385" spans="1:20" x14ac:dyDescent="0.25">
      <c r="A385" s="5">
        <v>44208</v>
      </c>
      <c r="B385">
        <v>3.0680000000000001</v>
      </c>
      <c r="C385">
        <v>3.1760000000000002</v>
      </c>
      <c r="D385">
        <v>2.85</v>
      </c>
      <c r="E385">
        <v>2.9990000000000001</v>
      </c>
      <c r="F385">
        <v>27598.705000000002</v>
      </c>
      <c r="G385">
        <v>-2.25</v>
      </c>
      <c r="L385" t="s">
        <v>8</v>
      </c>
      <c r="M385" t="s">
        <v>7</v>
      </c>
      <c r="N385" t="s">
        <v>7</v>
      </c>
      <c r="P385">
        <f t="shared" si="969"/>
        <v>-8.5889570552147299E-2</v>
      </c>
      <c r="Q385">
        <f t="shared" si="970"/>
        <v>-2370.4409202454008</v>
      </c>
      <c r="R385">
        <f t="shared" si="971"/>
        <v>-1527655.2230015823</v>
      </c>
      <c r="S385">
        <f t="shared" si="972"/>
        <v>-15.276552230015824</v>
      </c>
      <c r="T385">
        <f t="shared" si="973"/>
        <v>-1.5276552230015825E-2</v>
      </c>
    </row>
    <row r="386" spans="1:20" x14ac:dyDescent="0.25">
      <c r="A386" s="5">
        <v>44207</v>
      </c>
      <c r="B386">
        <v>3.4860000000000002</v>
      </c>
      <c r="C386">
        <v>3.4860000000000002</v>
      </c>
      <c r="D386">
        <v>2.7759999999999998</v>
      </c>
      <c r="E386">
        <v>3.1309999999999998</v>
      </c>
      <c r="F386">
        <v>97101.331999999995</v>
      </c>
      <c r="G386">
        <v>-10.18</v>
      </c>
      <c r="L386" t="s">
        <v>7</v>
      </c>
      <c r="M386" t="s">
        <v>7</v>
      </c>
      <c r="N386" t="s">
        <v>7</v>
      </c>
      <c r="P386">
        <f t="shared" si="969"/>
        <v>-6.2547776035220053E-16</v>
      </c>
      <c r="Q386">
        <f t="shared" si="970"/>
        <v>-6.0734723666575457E-11</v>
      </c>
      <c r="R386">
        <f t="shared" si="971"/>
        <v>-1525284.7820813369</v>
      </c>
      <c r="S386">
        <f t="shared" si="972"/>
        <v>-15.25284782081337</v>
      </c>
      <c r="T386">
        <f t="shared" si="973"/>
        <v>-1.525284782081337E-2</v>
      </c>
    </row>
    <row r="387" spans="1:20" x14ac:dyDescent="0.25">
      <c r="A387" s="5">
        <v>44206</v>
      </c>
      <c r="B387">
        <v>3.7509999999999999</v>
      </c>
      <c r="C387">
        <v>3.85</v>
      </c>
      <c r="D387">
        <v>3.2149999999999999</v>
      </c>
      <c r="E387">
        <v>3.5179999999999998</v>
      </c>
      <c r="F387">
        <v>64450.945</v>
      </c>
      <c r="G387">
        <v>-6.21</v>
      </c>
      <c r="L387" t="s">
        <v>7</v>
      </c>
      <c r="M387" t="s">
        <v>7</v>
      </c>
      <c r="N387" t="s">
        <v>7</v>
      </c>
      <c r="P387">
        <f t="shared" si="969"/>
        <v>-4.5669291338583225E-2</v>
      </c>
      <c r="Q387">
        <f t="shared" si="970"/>
        <v>-2943.4289842520038</v>
      </c>
      <c r="R387">
        <f t="shared" si="971"/>
        <v>-1525284.7820813369</v>
      </c>
      <c r="S387">
        <f t="shared" si="972"/>
        <v>-15.25284782081337</v>
      </c>
      <c r="T387">
        <f t="shared" si="973"/>
        <v>-1.525284782081337E-2</v>
      </c>
    </row>
    <row r="388" spans="1:20" x14ac:dyDescent="0.25">
      <c r="A388" s="5">
        <v>44205</v>
      </c>
      <c r="B388">
        <v>4.0490000000000004</v>
      </c>
      <c r="C388">
        <v>4.0490000000000004</v>
      </c>
      <c r="D388">
        <v>3.6480000000000001</v>
      </c>
      <c r="E388">
        <v>3.7509999999999999</v>
      </c>
      <c r="F388">
        <v>64809.133999999998</v>
      </c>
      <c r="G388">
        <v>-7.36</v>
      </c>
      <c r="L388" t="s">
        <v>7</v>
      </c>
      <c r="M388" t="s">
        <v>7</v>
      </c>
      <c r="N388" t="s">
        <v>7</v>
      </c>
      <c r="P388">
        <f t="shared" si="969"/>
        <v>-0.4862842892768095</v>
      </c>
      <c r="Q388">
        <f t="shared" si="970"/>
        <v>-31515.663665835509</v>
      </c>
      <c r="R388">
        <f t="shared" si="971"/>
        <v>-1522341.3530970849</v>
      </c>
      <c r="S388">
        <f t="shared" si="972"/>
        <v>-15.223413530970848</v>
      </c>
      <c r="T388">
        <f t="shared" si="973"/>
        <v>-1.5223413530970849E-2</v>
      </c>
    </row>
    <row r="389" spans="1:20" x14ac:dyDescent="0.25">
      <c r="A389" s="5">
        <v>44204</v>
      </c>
      <c r="B389">
        <v>3.8450000000000002</v>
      </c>
      <c r="C389">
        <v>4.5999999999999996</v>
      </c>
      <c r="D389">
        <v>3.74</v>
      </c>
      <c r="E389">
        <v>3.9550000000000001</v>
      </c>
      <c r="F389">
        <v>126254.25</v>
      </c>
      <c r="G389">
        <v>2.86</v>
      </c>
      <c r="L389" t="s">
        <v>7</v>
      </c>
      <c r="M389" t="s">
        <v>8</v>
      </c>
      <c r="N389" t="s">
        <v>7</v>
      </c>
      <c r="P389">
        <f t="shared" si="969"/>
        <v>-0.5</v>
      </c>
      <c r="Q389">
        <f t="shared" si="970"/>
        <v>-63127.125</v>
      </c>
      <c r="R389">
        <f t="shared" si="971"/>
        <v>-1490825.6894312494</v>
      </c>
      <c r="S389">
        <f t="shared" si="972"/>
        <v>-14.908256894312494</v>
      </c>
      <c r="T389">
        <f t="shared" si="973"/>
        <v>-1.4908256894312494E-2</v>
      </c>
    </row>
    <row r="390" spans="1:20" x14ac:dyDescent="0.25">
      <c r="A390" s="5">
        <v>44203</v>
      </c>
      <c r="B390">
        <v>4.1509999999999998</v>
      </c>
      <c r="C390">
        <v>4.33</v>
      </c>
      <c r="D390">
        <v>3.8410000000000002</v>
      </c>
      <c r="E390">
        <v>3.8450000000000002</v>
      </c>
      <c r="F390">
        <v>130754.724</v>
      </c>
      <c r="G390">
        <v>-7.37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-0.98364008179959095</v>
      </c>
      <c r="Q390">
        <f t="shared" ref="Q390:Q453" si="975">F390*P390</f>
        <v>-128615.58741104294</v>
      </c>
      <c r="R390">
        <f t="shared" ref="R390:R453" si="976">R391+Q390</f>
        <v>-1427698.5644312494</v>
      </c>
      <c r="S390">
        <f t="shared" ref="S390:S453" si="977">R390/100000</f>
        <v>-14.276985644312495</v>
      </c>
      <c r="T390">
        <f t="shared" ref="T390:T453" si="978">S390/1000</f>
        <v>-1.4276985644312495E-2</v>
      </c>
    </row>
    <row r="391" spans="1:20" x14ac:dyDescent="0.25">
      <c r="A391" s="5">
        <v>44202</v>
      </c>
      <c r="B391">
        <v>4.3630000000000004</v>
      </c>
      <c r="C391">
        <v>4.6219999999999999</v>
      </c>
      <c r="D391">
        <v>4.1440000000000001</v>
      </c>
      <c r="E391">
        <v>4.2</v>
      </c>
      <c r="F391">
        <v>134363.66</v>
      </c>
      <c r="G391">
        <v>-3.74</v>
      </c>
      <c r="L391" t="s">
        <v>7</v>
      </c>
      <c r="M391" t="s">
        <v>7</v>
      </c>
      <c r="N391" t="s">
        <v>7</v>
      </c>
      <c r="P391">
        <f t="shared" si="974"/>
        <v>-0.76569037656903738</v>
      </c>
      <c r="Q391">
        <f t="shared" si="975"/>
        <v>-102880.9614225941</v>
      </c>
      <c r="R391">
        <f t="shared" si="976"/>
        <v>-1299082.9770202064</v>
      </c>
      <c r="S391">
        <f t="shared" si="977"/>
        <v>-12.990829770202064</v>
      </c>
      <c r="T391">
        <f t="shared" si="978"/>
        <v>-1.2990829770202064E-2</v>
      </c>
    </row>
    <row r="392" spans="1:20" x14ac:dyDescent="0.25">
      <c r="A392" s="5">
        <v>44201</v>
      </c>
      <c r="B392">
        <v>4.84</v>
      </c>
      <c r="C392">
        <v>4.8890000000000002</v>
      </c>
      <c r="D392">
        <v>4.194</v>
      </c>
      <c r="E392">
        <v>4.3630000000000004</v>
      </c>
      <c r="F392">
        <v>114901.68399999999</v>
      </c>
      <c r="G392">
        <v>-9.86</v>
      </c>
      <c r="L392" t="s">
        <v>8</v>
      </c>
      <c r="M392" t="s">
        <v>7</v>
      </c>
      <c r="N392" t="s">
        <v>7</v>
      </c>
      <c r="P392">
        <f t="shared" si="974"/>
        <v>-0.51366906474820029</v>
      </c>
      <c r="Q392">
        <f t="shared" si="975"/>
        <v>-59021.440558273243</v>
      </c>
      <c r="R392">
        <f t="shared" si="976"/>
        <v>-1196202.0155976124</v>
      </c>
      <c r="S392">
        <f t="shared" si="977"/>
        <v>-11.962020155976123</v>
      </c>
      <c r="T392">
        <f t="shared" si="978"/>
        <v>-1.1962020155976123E-2</v>
      </c>
    </row>
    <row r="393" spans="1:20" x14ac:dyDescent="0.25">
      <c r="A393" s="5">
        <v>44200</v>
      </c>
      <c r="B393">
        <v>5.0880000000000001</v>
      </c>
      <c r="C393">
        <v>5.2039999999999997</v>
      </c>
      <c r="D393">
        <v>4.2210000000000001</v>
      </c>
      <c r="E393">
        <v>4.8609999999999998</v>
      </c>
      <c r="F393">
        <v>152279.12400000001</v>
      </c>
      <c r="G393">
        <v>-4.46</v>
      </c>
      <c r="L393" t="s">
        <v>7</v>
      </c>
      <c r="M393" t="s">
        <v>7</v>
      </c>
      <c r="N393" t="s">
        <v>7</v>
      </c>
      <c r="P393">
        <f t="shared" si="974"/>
        <v>0.30213631739572716</v>
      </c>
      <c r="Q393">
        <f t="shared" si="975"/>
        <v>46009.053741607298</v>
      </c>
      <c r="R393">
        <f t="shared" si="976"/>
        <v>-1137180.575039339</v>
      </c>
      <c r="S393">
        <f t="shared" si="977"/>
        <v>-11.37180575039339</v>
      </c>
      <c r="T393">
        <f t="shared" si="978"/>
        <v>-1.137180575039339E-2</v>
      </c>
    </row>
    <row r="394" spans="1:20" x14ac:dyDescent="0.25">
      <c r="A394" s="5">
        <v>44199</v>
      </c>
      <c r="B394">
        <v>5.8579999999999997</v>
      </c>
      <c r="C394">
        <v>6.27</v>
      </c>
      <c r="D394">
        <v>5.0149999999999997</v>
      </c>
      <c r="E394">
        <v>5.0910000000000002</v>
      </c>
      <c r="F394">
        <v>143080.56599999999</v>
      </c>
      <c r="G394">
        <v>-13.09</v>
      </c>
      <c r="L394" t="s">
        <v>7</v>
      </c>
      <c r="M394" t="s">
        <v>7</v>
      </c>
      <c r="N394" t="s">
        <v>7</v>
      </c>
      <c r="P394">
        <f t="shared" si="974"/>
        <v>-0.8788844621513936</v>
      </c>
      <c r="Q394">
        <f t="shared" si="975"/>
        <v>-125751.28629322696</v>
      </c>
      <c r="R394">
        <f t="shared" si="976"/>
        <v>-1183189.6287809464</v>
      </c>
      <c r="S394">
        <f t="shared" si="977"/>
        <v>-11.831896287809464</v>
      </c>
      <c r="T394">
        <f t="shared" si="978"/>
        <v>-1.1831896287809463E-2</v>
      </c>
    </row>
    <row r="395" spans="1:20" x14ac:dyDescent="0.25">
      <c r="A395" s="5">
        <v>44198</v>
      </c>
      <c r="B395">
        <v>7.1109999999999998</v>
      </c>
      <c r="C395">
        <v>7.9580000000000002</v>
      </c>
      <c r="D395">
        <v>5.6829999999999998</v>
      </c>
      <c r="E395">
        <v>5.8259999999999996</v>
      </c>
      <c r="F395">
        <v>252007.57800000001</v>
      </c>
      <c r="G395">
        <v>-18.07</v>
      </c>
      <c r="L395" t="s">
        <v>8</v>
      </c>
      <c r="M395" t="s">
        <v>8</v>
      </c>
      <c r="N395" t="s">
        <v>7</v>
      </c>
      <c r="P395">
        <f t="shared" si="974"/>
        <v>-0.87428571428571444</v>
      </c>
      <c r="Q395">
        <f t="shared" si="975"/>
        <v>-220326.6253371429</v>
      </c>
      <c r="R395">
        <f t="shared" si="976"/>
        <v>-1057438.3424877194</v>
      </c>
      <c r="S395">
        <f t="shared" si="977"/>
        <v>-10.574383424877194</v>
      </c>
      <c r="T395">
        <f t="shared" si="978"/>
        <v>-1.0574383424877194E-2</v>
      </c>
    </row>
    <row r="396" spans="1:20" x14ac:dyDescent="0.25">
      <c r="A396" s="5">
        <v>44197</v>
      </c>
      <c r="B396">
        <v>6.9269999999999996</v>
      </c>
      <c r="C396">
        <v>7.5030000000000001</v>
      </c>
      <c r="D396">
        <v>5.6310000000000002</v>
      </c>
      <c r="E396">
        <v>7.1109999999999998</v>
      </c>
      <c r="F396">
        <v>334914.13799999998</v>
      </c>
      <c r="G396">
        <v>2.66</v>
      </c>
      <c r="L396" t="s">
        <v>7</v>
      </c>
      <c r="M396" t="s">
        <v>7</v>
      </c>
      <c r="N396" t="s">
        <v>7</v>
      </c>
      <c r="P396">
        <f t="shared" si="974"/>
        <v>0.5811965811965808</v>
      </c>
      <c r="Q396">
        <f t="shared" si="975"/>
        <v>194650.95199999984</v>
      </c>
      <c r="R396">
        <f t="shared" si="976"/>
        <v>-837111.71715057653</v>
      </c>
      <c r="S396">
        <f t="shared" si="977"/>
        <v>-8.371117171505766</v>
      </c>
      <c r="T396">
        <f t="shared" si="978"/>
        <v>-8.3711171715057653E-3</v>
      </c>
    </row>
    <row r="397" spans="1:20" x14ac:dyDescent="0.25">
      <c r="A397" s="5">
        <v>44196</v>
      </c>
      <c r="B397">
        <v>9.5990000000000002</v>
      </c>
      <c r="C397">
        <v>10.321999999999999</v>
      </c>
      <c r="D397">
        <v>6.86</v>
      </c>
      <c r="E397">
        <v>6.97</v>
      </c>
      <c r="F397">
        <v>214314.46100000001</v>
      </c>
      <c r="G397">
        <v>-27.39</v>
      </c>
      <c r="L397" t="s">
        <v>8</v>
      </c>
      <c r="M397" t="s">
        <v>8</v>
      </c>
      <c r="N397" t="s">
        <v>8</v>
      </c>
      <c r="P397">
        <f t="shared" si="974"/>
        <v>-0.93645291738879288</v>
      </c>
      <c r="Q397">
        <f t="shared" si="975"/>
        <v>-200695.40224205668</v>
      </c>
      <c r="R397">
        <f t="shared" si="976"/>
        <v>-1031762.6691505763</v>
      </c>
      <c r="S397">
        <f t="shared" si="977"/>
        <v>-10.317626691505764</v>
      </c>
      <c r="T397">
        <f t="shared" si="978"/>
        <v>-1.0317626691505764E-2</v>
      </c>
    </row>
    <row r="398" spans="1:20" x14ac:dyDescent="0.25">
      <c r="A398" s="5">
        <v>44195</v>
      </c>
      <c r="B398">
        <v>20.18</v>
      </c>
      <c r="C398">
        <v>29.88</v>
      </c>
      <c r="D398">
        <v>7.6020000000000003</v>
      </c>
      <c r="E398">
        <v>9.5990000000000002</v>
      </c>
      <c r="F398">
        <v>1012607.557</v>
      </c>
      <c r="G398">
        <v>-52.43</v>
      </c>
      <c r="P398">
        <f t="shared" si="974"/>
        <v>-0.82071999281802677</v>
      </c>
      <c r="Q398">
        <f t="shared" si="975"/>
        <v>-831067.26690851967</v>
      </c>
      <c r="R398">
        <f t="shared" si="976"/>
        <v>-831067.26690851967</v>
      </c>
      <c r="S398">
        <f t="shared" si="977"/>
        <v>-8.3106726690851964</v>
      </c>
      <c r="T398">
        <f t="shared" si="978"/>
        <v>-8.3106726690851968E-3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F534" sqref="GF53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$A$533</v>
      </c>
      <c r="D111" s="1" t="str">
        <f>ADDRESS(C121-1,D121,1,1)</f>
        <v>$GF$533</v>
      </c>
      <c r="E111"/>
    </row>
    <row r="112" spans="1:5" x14ac:dyDescent="0.25">
      <c r="A112" s="7">
        <v>12164.144957890772</v>
      </c>
      <c r="C112" s="1" t="str">
        <f>ADDRESS(C121,1,1,1)</f>
        <v>$A$534</v>
      </c>
      <c r="D112" s="1" t="str">
        <f>ADDRESS(C121,D121-1,1,1)</f>
        <v>$GE$534</v>
      </c>
      <c r="E112"/>
    </row>
    <row r="113" spans="1:5" x14ac:dyDescent="0.25">
      <c r="A113" s="7">
        <v>11925.63231165762</v>
      </c>
      <c r="C113" s="1" t="str">
        <f>ADDRESS(C121+1,1,1,1)</f>
        <v>$A$535</v>
      </c>
      <c r="D113" s="1" t="str">
        <f>ADDRESS(C121-1,D121+1,1,1)</f>
        <v>$GG$533</v>
      </c>
    </row>
    <row r="114" spans="1:5" x14ac:dyDescent="0.25">
      <c r="A114" s="7">
        <v>11691.796383978059</v>
      </c>
      <c r="C114" s="1" t="str">
        <f>ADDRESS(C121,D121,1,1)</f>
        <v>$GF$534</v>
      </c>
      <c r="D114" s="1" t="str">
        <f>ADDRESS(C121+1,D121+1,1,1)</f>
        <v>$GG$535</v>
      </c>
    </row>
    <row r="115" spans="1:5" x14ac:dyDescent="0.25">
      <c r="A115" s="7">
        <v>11462.545474488292</v>
      </c>
      <c r="C115" s="1" t="str">
        <f>ADDRESS(C121+1,D121,1,1)</f>
        <v>$GF$535</v>
      </c>
    </row>
    <row r="116" spans="1:5" x14ac:dyDescent="0.25">
      <c r="A116" s="7">
        <v>11237.789680870874</v>
      </c>
      <c r="C116" s="1">
        <f>C117-1</f>
        <v>533</v>
      </c>
    </row>
    <row r="117" spans="1:5" x14ac:dyDescent="0.25">
      <c r="A117" s="7">
        <v>11017.440863598895</v>
      </c>
      <c r="C117" s="1">
        <f>C121</f>
        <v>534</v>
      </c>
      <c r="D117" s="1">
        <f>D121</f>
        <v>188</v>
      </c>
    </row>
    <row r="118" spans="1:5" x14ac:dyDescent="0.25">
      <c r="A118" s="7">
        <v>10801.412611371465</v>
      </c>
      <c r="C118" s="1">
        <f>C117+1</f>
        <v>535</v>
      </c>
      <c r="D118" s="1">
        <f>D117+1</f>
        <v>189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534</v>
      </c>
      <c r="D121" s="19">
        <v>188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R534</v>
      </c>
      <c r="D123" s="1" t="str">
        <f>"C"&amp;D121</f>
        <v>C188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2.8563347491571447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78" x14ac:dyDescent="0.25">
      <c r="A433" s="7">
        <v>21.106997141968804</v>
      </c>
      <c r="B433"/>
      <c r="C433"/>
      <c r="D433"/>
      <c r="E433"/>
    </row>
    <row r="434" spans="1:78" x14ac:dyDescent="0.25">
      <c r="A434" s="7">
        <v>20.693134452910591</v>
      </c>
      <c r="B434"/>
      <c r="C434"/>
      <c r="D434"/>
      <c r="E434"/>
    </row>
    <row r="435" spans="1:78" x14ac:dyDescent="0.25">
      <c r="A435" s="7">
        <v>20.287386718539796</v>
      </c>
      <c r="B435"/>
      <c r="C435"/>
      <c r="D435"/>
      <c r="E435"/>
    </row>
    <row r="436" spans="1:78" x14ac:dyDescent="0.25">
      <c r="A436" s="7">
        <v>19.889594822097838</v>
      </c>
      <c r="B436"/>
      <c r="C436"/>
      <c r="D436"/>
      <c r="E436"/>
    </row>
    <row r="437" spans="1:78" x14ac:dyDescent="0.25">
      <c r="A437" s="7">
        <v>19.499602766762585</v>
      </c>
      <c r="B437"/>
      <c r="C437"/>
      <c r="D437"/>
      <c r="E437"/>
    </row>
    <row r="438" spans="1:78" x14ac:dyDescent="0.25">
      <c r="A438" s="7">
        <v>19.117257614473122</v>
      </c>
      <c r="B438"/>
      <c r="C438"/>
      <c r="D438"/>
      <c r="E438"/>
    </row>
    <row r="439" spans="1:78" x14ac:dyDescent="0.25">
      <c r="A439" s="7">
        <v>18.74240942595404</v>
      </c>
      <c r="B439"/>
      <c r="C439"/>
      <c r="D439"/>
      <c r="E439"/>
    </row>
    <row r="440" spans="1:78" x14ac:dyDescent="0.25">
      <c r="A440" s="7">
        <v>18.374911201915726</v>
      </c>
      <c r="B440"/>
      <c r="C440"/>
      <c r="D440"/>
      <c r="E440"/>
    </row>
    <row r="441" spans="1:78" x14ac:dyDescent="0.25">
      <c r="A441" s="7">
        <v>18.014618825407574</v>
      </c>
      <c r="B441"/>
      <c r="C441"/>
      <c r="D441"/>
      <c r="E441"/>
    </row>
    <row r="442" spans="1:78" x14ac:dyDescent="0.25">
      <c r="A442" s="7">
        <v>17.661391005301542</v>
      </c>
      <c r="B442"/>
      <c r="C442"/>
      <c r="D442"/>
      <c r="E442"/>
      <c r="AS442" s="27" t="s">
        <v>8</v>
      </c>
    </row>
    <row r="443" spans="1:78" x14ac:dyDescent="0.25">
      <c r="A443" s="7">
        <v>17.315089220883866</v>
      </c>
      <c r="B443"/>
      <c r="C443"/>
      <c r="D443"/>
      <c r="E443"/>
      <c r="AS443" s="27" t="s">
        <v>8</v>
      </c>
      <c r="AT443" s="27" t="s">
        <v>7</v>
      </c>
    </row>
    <row r="444" spans="1:78" x14ac:dyDescent="0.25">
      <c r="A444" s="7">
        <v>16.975577667533202</v>
      </c>
      <c r="B444"/>
      <c r="C444"/>
      <c r="D444"/>
      <c r="E444"/>
      <c r="AS444" s="27" t="s">
        <v>8</v>
      </c>
      <c r="AT444" s="27" t="s">
        <v>7</v>
      </c>
    </row>
    <row r="445" spans="1:78" x14ac:dyDescent="0.25">
      <c r="A445" s="7">
        <v>16.642723203463923</v>
      </c>
      <c r="B445"/>
      <c r="C445"/>
      <c r="D445"/>
      <c r="E445"/>
      <c r="AS445" s="27" t="s">
        <v>8</v>
      </c>
      <c r="AT445" s="27" t="s">
        <v>7</v>
      </c>
      <c r="BY445" s="27" t="s">
        <v>8</v>
      </c>
    </row>
    <row r="446" spans="1:78" x14ac:dyDescent="0.25">
      <c r="A446" s="7">
        <v>16.316395297513651</v>
      </c>
      <c r="B446"/>
      <c r="C446"/>
      <c r="D446"/>
      <c r="E446"/>
      <c r="AS446" s="27" t="s">
        <v>8</v>
      </c>
      <c r="AT446" s="27" t="s">
        <v>7</v>
      </c>
      <c r="BY446" s="27" t="s">
        <v>8</v>
      </c>
      <c r="BZ446" s="27" t="s">
        <v>7</v>
      </c>
    </row>
    <row r="447" spans="1:78" x14ac:dyDescent="0.25">
      <c r="A447" s="7">
        <v>15.996465977954561</v>
      </c>
      <c r="B447"/>
      <c r="C447"/>
      <c r="D447"/>
      <c r="E447"/>
      <c r="AS447" s="27" t="s">
        <v>8</v>
      </c>
      <c r="AT447" s="27" t="s">
        <v>7</v>
      </c>
      <c r="BY447" s="27" t="s">
        <v>8</v>
      </c>
      <c r="BZ447" s="27" t="s">
        <v>7</v>
      </c>
    </row>
    <row r="448" spans="1:78" x14ac:dyDescent="0.25">
      <c r="A448" s="7">
        <v>15.682809782308393</v>
      </c>
      <c r="B448"/>
      <c r="C448"/>
      <c r="D448"/>
      <c r="E448"/>
      <c r="AS448" s="27" t="s">
        <v>8</v>
      </c>
      <c r="AT448" s="27" t="s">
        <v>7</v>
      </c>
      <c r="BY448" s="27" t="s">
        <v>8</v>
      </c>
      <c r="BZ448" s="27" t="s">
        <v>7</v>
      </c>
    </row>
    <row r="449" spans="1:138" x14ac:dyDescent="0.25">
      <c r="A449" s="7">
        <v>15.375303708145482</v>
      </c>
      <c r="B449"/>
      <c r="C449"/>
      <c r="D449"/>
      <c r="E449"/>
      <c r="AS449" s="27" t="s">
        <v>8</v>
      </c>
      <c r="AT449" s="27" t="s">
        <v>7</v>
      </c>
      <c r="BY449" s="27" t="s">
        <v>8</v>
      </c>
      <c r="BZ449" s="27" t="s">
        <v>7</v>
      </c>
    </row>
    <row r="450" spans="1:138" x14ac:dyDescent="0.25">
      <c r="A450" s="7">
        <v>15.073827164848511</v>
      </c>
      <c r="B450"/>
      <c r="C450"/>
      <c r="D450"/>
      <c r="E450"/>
      <c r="AS450" s="27" t="s">
        <v>8</v>
      </c>
      <c r="AT450" s="27" t="s">
        <v>7</v>
      </c>
      <c r="BY450" s="27" t="s">
        <v>8</v>
      </c>
      <c r="BZ450" s="27" t="s">
        <v>7</v>
      </c>
    </row>
    <row r="451" spans="1:138" x14ac:dyDescent="0.25">
      <c r="A451" s="7">
        <v>14.77826192632207</v>
      </c>
      <c r="B451"/>
      <c r="C451"/>
      <c r="D451"/>
      <c r="E451"/>
      <c r="AS451" s="27" t="s">
        <v>8</v>
      </c>
      <c r="AT451" s="27" t="s">
        <v>7</v>
      </c>
      <c r="BY451" s="27" t="s">
        <v>8</v>
      </c>
      <c r="BZ451" s="27" t="s">
        <v>7</v>
      </c>
    </row>
    <row r="452" spans="1:138" x14ac:dyDescent="0.25">
      <c r="A452" s="7">
        <v>14.488492084629481</v>
      </c>
      <c r="B452"/>
      <c r="C452"/>
      <c r="D452"/>
      <c r="E452"/>
      <c r="AS452" s="27" t="s">
        <v>8</v>
      </c>
      <c r="AT452" s="27" t="s">
        <v>7</v>
      </c>
      <c r="BY452" s="27" t="s">
        <v>8</v>
      </c>
      <c r="BZ452" s="27" t="s">
        <v>7</v>
      </c>
    </row>
    <row r="453" spans="1:138" x14ac:dyDescent="0.25">
      <c r="A453" s="7">
        <v>14.204404004538707</v>
      </c>
      <c r="B453"/>
      <c r="C453"/>
      <c r="D453"/>
      <c r="E453"/>
      <c r="AS453" s="27" t="s">
        <v>8</v>
      </c>
      <c r="AT453" s="27" t="s">
        <v>7</v>
      </c>
      <c r="BY453" s="27" t="s">
        <v>8</v>
      </c>
      <c r="BZ453" s="27" t="s">
        <v>7</v>
      </c>
      <c r="CA453" s="27" t="s">
        <v>8</v>
      </c>
    </row>
    <row r="454" spans="1:138" x14ac:dyDescent="0.25">
      <c r="A454" s="7">
        <v>13.925886278959517</v>
      </c>
      <c r="B454"/>
      <c r="C454"/>
      <c r="D454"/>
      <c r="E454"/>
      <c r="AS454" s="27" t="s">
        <v>8</v>
      </c>
      <c r="AT454" s="27" t="s">
        <v>7</v>
      </c>
      <c r="BY454" s="27" t="s">
        <v>8</v>
      </c>
      <c r="BZ454" s="27" t="s">
        <v>7</v>
      </c>
      <c r="CA454" s="27" t="s">
        <v>8</v>
      </c>
      <c r="CB454" s="27" t="s">
        <v>7</v>
      </c>
    </row>
    <row r="455" spans="1:138" x14ac:dyDescent="0.25">
      <c r="A455" s="7">
        <v>13.652829685254428</v>
      </c>
      <c r="B455"/>
      <c r="C455"/>
      <c r="D455"/>
      <c r="E455"/>
      <c r="AS455" s="27" t="s">
        <v>8</v>
      </c>
      <c r="AT455" s="27" t="s">
        <v>7</v>
      </c>
      <c r="BY455" s="27" t="s">
        <v>8</v>
      </c>
      <c r="BZ455" s="27" t="s">
        <v>7</v>
      </c>
      <c r="CA455" s="27" t="s">
        <v>8</v>
      </c>
      <c r="CB455" s="27" t="s">
        <v>7</v>
      </c>
    </row>
    <row r="456" spans="1:138" x14ac:dyDescent="0.25">
      <c r="A456" s="7">
        <v>13.385127142406303</v>
      </c>
      <c r="B456"/>
      <c r="C456"/>
      <c r="D456"/>
      <c r="E456"/>
      <c r="AS456" s="27" t="s">
        <v>8</v>
      </c>
      <c r="AT456" s="27" t="s">
        <v>7</v>
      </c>
      <c r="BC456" s="27" t="s">
        <v>8</v>
      </c>
      <c r="BY456" s="27" t="s">
        <v>8</v>
      </c>
      <c r="BZ456" s="27" t="s">
        <v>7</v>
      </c>
      <c r="CA456" s="27" t="s">
        <v>8</v>
      </c>
      <c r="CB456" s="27" t="s">
        <v>7</v>
      </c>
    </row>
    <row r="457" spans="1:138" x14ac:dyDescent="0.25">
      <c r="A457" s="7">
        <v>13.122673669025787</v>
      </c>
      <c r="B457"/>
      <c r="C457"/>
      <c r="D457"/>
      <c r="E457"/>
      <c r="AS457" s="27" t="s">
        <v>8</v>
      </c>
      <c r="AT457" s="27" t="s">
        <v>7</v>
      </c>
      <c r="BC457" s="27" t="s">
        <v>8</v>
      </c>
      <c r="BD457" s="27" t="s">
        <v>7</v>
      </c>
      <c r="BY457" s="27" t="s">
        <v>8</v>
      </c>
      <c r="BZ457" s="27" t="s">
        <v>7</v>
      </c>
      <c r="CA457" s="27" t="s">
        <v>8</v>
      </c>
      <c r="CB457" s="27" t="s">
        <v>7</v>
      </c>
    </row>
    <row r="458" spans="1:138" x14ac:dyDescent="0.25">
      <c r="A458" s="7">
        <v>12.865366342182144</v>
      </c>
      <c r="B458"/>
      <c r="C458"/>
      <c r="D458"/>
      <c r="E458"/>
      <c r="AS458" s="27" t="s">
        <v>8</v>
      </c>
      <c r="AT458" s="27" t="s">
        <v>7</v>
      </c>
      <c r="BC458" s="27" t="s">
        <v>8</v>
      </c>
      <c r="BD458" s="27" t="s">
        <v>7</v>
      </c>
      <c r="BY458" s="27" t="s">
        <v>8</v>
      </c>
      <c r="BZ458" s="27" t="s">
        <v>7</v>
      </c>
      <c r="CA458" s="27" t="s">
        <v>8</v>
      </c>
      <c r="CB458" s="27" t="s">
        <v>7</v>
      </c>
    </row>
    <row r="459" spans="1:138" x14ac:dyDescent="0.25">
      <c r="A459" s="7">
        <v>12.613104257041318</v>
      </c>
      <c r="B459"/>
      <c r="C459"/>
      <c r="D459"/>
      <c r="E459"/>
      <c r="AS459" s="27" t="s">
        <v>8</v>
      </c>
      <c r="AT459" s="27" t="s">
        <v>7</v>
      </c>
      <c r="BC459" s="27" t="s">
        <v>8</v>
      </c>
      <c r="BD459" s="27" t="s">
        <v>7</v>
      </c>
      <c r="BY459" s="27" t="s">
        <v>8</v>
      </c>
      <c r="BZ459" s="27" t="s">
        <v>7</v>
      </c>
      <c r="CA459" s="27" t="s">
        <v>8</v>
      </c>
      <c r="CB459" s="27" t="s">
        <v>7</v>
      </c>
    </row>
    <row r="460" spans="1:138" x14ac:dyDescent="0.25">
      <c r="A460" s="7">
        <v>12.36578848729541</v>
      </c>
      <c r="B460"/>
      <c r="C460"/>
      <c r="D460"/>
      <c r="E460"/>
      <c r="AS460" s="27" t="s">
        <v>8</v>
      </c>
      <c r="AT460" s="27" t="s">
        <v>7</v>
      </c>
      <c r="BC460" s="27" t="s">
        <v>8</v>
      </c>
      <c r="BD460" s="27" t="s">
        <v>7</v>
      </c>
      <c r="BW460" s="27" t="s">
        <v>8</v>
      </c>
      <c r="BY460" s="27" t="s">
        <v>8</v>
      </c>
      <c r="BZ460" s="27" t="s">
        <v>7</v>
      </c>
      <c r="CA460" s="27" t="s">
        <v>8</v>
      </c>
      <c r="CB460" s="27" t="s">
        <v>7</v>
      </c>
    </row>
    <row r="461" spans="1:138" x14ac:dyDescent="0.25">
      <c r="A461" s="7">
        <v>12.123322046368049</v>
      </c>
      <c r="B461"/>
      <c r="C461"/>
      <c r="D461"/>
      <c r="E461"/>
      <c r="AS461" s="27" t="s">
        <v>8</v>
      </c>
      <c r="AT461" s="27" t="s">
        <v>7</v>
      </c>
      <c r="BC461" s="27" t="s">
        <v>8</v>
      </c>
      <c r="BD461" s="27" t="s">
        <v>7</v>
      </c>
      <c r="BG461" s="27" t="s">
        <v>8</v>
      </c>
      <c r="BW461" s="27" t="s">
        <v>8</v>
      </c>
      <c r="BX461" s="27" t="s">
        <v>7</v>
      </c>
      <c r="BY461" s="27" t="s">
        <v>8</v>
      </c>
      <c r="BZ461" s="27" t="s">
        <v>7</v>
      </c>
      <c r="CA461" s="27" t="s">
        <v>8</v>
      </c>
      <c r="CB461" s="27" t="s">
        <v>7</v>
      </c>
    </row>
    <row r="462" spans="1:138" x14ac:dyDescent="0.25">
      <c r="A462" s="7">
        <v>11.88560984938044</v>
      </c>
      <c r="B462"/>
      <c r="C462"/>
      <c r="D462"/>
      <c r="E462"/>
      <c r="AS462" s="27" t="s">
        <v>8</v>
      </c>
      <c r="AT462" s="27" t="s">
        <v>7</v>
      </c>
      <c r="BC462" s="27" t="s">
        <v>8</v>
      </c>
      <c r="BD462" s="27" t="s">
        <v>7</v>
      </c>
      <c r="BG462" s="27" t="s">
        <v>8</v>
      </c>
      <c r="BH462" s="27" t="s">
        <v>7</v>
      </c>
      <c r="BW462" s="27" t="s">
        <v>8</v>
      </c>
      <c r="BX462" s="27" t="s">
        <v>7</v>
      </c>
      <c r="BY462" s="27" t="s">
        <v>8</v>
      </c>
      <c r="BZ462" s="27" t="s">
        <v>7</v>
      </c>
      <c r="CA462" s="27" t="s">
        <v>8</v>
      </c>
      <c r="CB462" s="27" t="s">
        <v>7</v>
      </c>
    </row>
    <row r="463" spans="1:138" x14ac:dyDescent="0.25">
      <c r="A463" s="7">
        <v>11.652558675863176</v>
      </c>
      <c r="B463"/>
      <c r="C463"/>
      <c r="D463"/>
      <c r="E463"/>
      <c r="AS463" s="27" t="s">
        <v>8</v>
      </c>
      <c r="AT463" s="27" t="s">
        <v>7</v>
      </c>
      <c r="AU463" s="27" t="s">
        <v>8</v>
      </c>
      <c r="BC463" s="27" t="s">
        <v>8</v>
      </c>
      <c r="BD463" s="27" t="s">
        <v>7</v>
      </c>
      <c r="BE463" s="27" t="s">
        <v>8</v>
      </c>
      <c r="BG463" s="27" t="s">
        <v>8</v>
      </c>
      <c r="BH463" s="27" t="s">
        <v>7</v>
      </c>
      <c r="BW463" s="27" t="s">
        <v>8</v>
      </c>
      <c r="BX463" s="27" t="s">
        <v>7</v>
      </c>
      <c r="BY463" s="27" t="s">
        <v>8</v>
      </c>
      <c r="BZ463" s="27" t="s">
        <v>7</v>
      </c>
      <c r="CA463" s="27" t="s">
        <v>8</v>
      </c>
      <c r="CB463" s="27" t="s">
        <v>7</v>
      </c>
      <c r="EG463" s="27" t="s">
        <v>8</v>
      </c>
    </row>
    <row r="464" spans="1:138" x14ac:dyDescent="0.25">
      <c r="A464" s="7">
        <v>11.424077133199193</v>
      </c>
      <c r="B464"/>
      <c r="C464"/>
      <c r="D464"/>
      <c r="E464"/>
      <c r="AS464" s="27" t="s">
        <v>8</v>
      </c>
      <c r="AT464" s="27" t="s">
        <v>7</v>
      </c>
      <c r="AU464" s="27" t="s">
        <v>8</v>
      </c>
      <c r="AV464" s="27" t="s">
        <v>7</v>
      </c>
      <c r="BA464" s="27" t="s">
        <v>8</v>
      </c>
      <c r="BC464" s="27" t="s">
        <v>8</v>
      </c>
      <c r="BD464" s="27" t="s">
        <v>7</v>
      </c>
      <c r="BE464" s="27" t="s">
        <v>8</v>
      </c>
      <c r="BF464" s="27" t="s">
        <v>7</v>
      </c>
      <c r="BG464" s="27" t="s">
        <v>8</v>
      </c>
      <c r="BH464" s="27" t="s">
        <v>7</v>
      </c>
      <c r="BW464" s="27" t="s">
        <v>8</v>
      </c>
      <c r="BX464" s="27" t="s">
        <v>7</v>
      </c>
      <c r="BY464" s="27" t="s">
        <v>8</v>
      </c>
      <c r="BZ464" s="27" t="s">
        <v>7</v>
      </c>
      <c r="CA464" s="27" t="s">
        <v>8</v>
      </c>
      <c r="CB464" s="27" t="s">
        <v>7</v>
      </c>
      <c r="CC464" s="27" t="s">
        <v>8</v>
      </c>
      <c r="EG464" s="27" t="s">
        <v>8</v>
      </c>
      <c r="EH464" s="27" t="s">
        <v>7</v>
      </c>
    </row>
    <row r="465" spans="1:148" x14ac:dyDescent="0.25">
      <c r="A465" s="7">
        <v>11.200075620783522</v>
      </c>
      <c r="B465"/>
      <c r="C465"/>
      <c r="D465"/>
      <c r="E465"/>
      <c r="AQ465" s="27" t="s">
        <v>8</v>
      </c>
      <c r="AS465" s="27" t="s">
        <v>8</v>
      </c>
      <c r="AT465" s="27" t="s">
        <v>7</v>
      </c>
      <c r="AU465" s="27" t="s">
        <v>8</v>
      </c>
      <c r="AV465" s="27" t="s">
        <v>7</v>
      </c>
      <c r="AW465" s="27" t="s">
        <v>8</v>
      </c>
      <c r="BA465" s="27" t="s">
        <v>8</v>
      </c>
      <c r="BB465" s="27" t="s">
        <v>7</v>
      </c>
      <c r="BC465" s="27" t="s">
        <v>8</v>
      </c>
      <c r="BD465" s="27" t="s">
        <v>7</v>
      </c>
      <c r="BE465" s="27" t="s">
        <v>8</v>
      </c>
      <c r="BF465" s="27" t="s">
        <v>7</v>
      </c>
      <c r="BG465" s="27" t="s">
        <v>8</v>
      </c>
      <c r="BH465" s="27" t="s">
        <v>7</v>
      </c>
      <c r="BW465" s="27" t="s">
        <v>8</v>
      </c>
      <c r="BX465" s="27" t="s">
        <v>7</v>
      </c>
      <c r="BY465" s="27" t="s">
        <v>8</v>
      </c>
      <c r="BZ465" s="27" t="s">
        <v>7</v>
      </c>
      <c r="CA465" s="27" t="s">
        <v>8</v>
      </c>
      <c r="CB465" s="27" t="s">
        <v>7</v>
      </c>
      <c r="CC465" s="27" t="s">
        <v>8</v>
      </c>
      <c r="CD465" s="27" t="s">
        <v>7</v>
      </c>
      <c r="EG465" s="27" t="s">
        <v>8</v>
      </c>
      <c r="EH465" s="27" t="s">
        <v>7</v>
      </c>
    </row>
    <row r="466" spans="1:148" x14ac:dyDescent="0.25">
      <c r="A466" s="7">
        <v>10.980466294885806</v>
      </c>
      <c r="B466"/>
      <c r="C466"/>
      <c r="D466"/>
      <c r="E466"/>
      <c r="AQ466" s="27" t="s">
        <v>8</v>
      </c>
      <c r="AR466" s="27" t="s">
        <v>7</v>
      </c>
      <c r="AS466" s="27" t="s">
        <v>8</v>
      </c>
      <c r="AT466" s="27" t="s">
        <v>7</v>
      </c>
      <c r="AU466" s="27" t="s">
        <v>8</v>
      </c>
      <c r="AV466" s="27" t="s">
        <v>7</v>
      </c>
      <c r="AW466" s="27" t="s">
        <v>8</v>
      </c>
      <c r="AX466" s="27" t="s">
        <v>7</v>
      </c>
      <c r="BA466" s="27" t="s">
        <v>8</v>
      </c>
      <c r="BB466" s="27" t="s">
        <v>7</v>
      </c>
      <c r="BC466" s="27" t="s">
        <v>8</v>
      </c>
      <c r="BD466" s="27" t="s">
        <v>7</v>
      </c>
      <c r="BE466" s="27" t="s">
        <v>8</v>
      </c>
      <c r="BF466" s="27" t="s">
        <v>7</v>
      </c>
      <c r="BG466" s="27" t="s">
        <v>8</v>
      </c>
      <c r="BH466" s="27" t="s">
        <v>7</v>
      </c>
      <c r="BW466" s="27" t="s">
        <v>8</v>
      </c>
      <c r="BX466" s="27" t="s">
        <v>7</v>
      </c>
      <c r="BY466" s="27" t="s">
        <v>8</v>
      </c>
      <c r="BZ466" s="27" t="s">
        <v>7</v>
      </c>
      <c r="CA466" s="27" t="s">
        <v>8</v>
      </c>
      <c r="CB466" s="27" t="s">
        <v>7</v>
      </c>
      <c r="CC466" s="27" t="s">
        <v>8</v>
      </c>
      <c r="CD466" s="27" t="s">
        <v>7</v>
      </c>
      <c r="EG466" s="27" t="s">
        <v>8</v>
      </c>
      <c r="EH466" s="27" t="s">
        <v>7</v>
      </c>
    </row>
    <row r="467" spans="1:148" x14ac:dyDescent="0.25">
      <c r="A467" s="7">
        <v>10.765163034201771</v>
      </c>
      <c r="B467"/>
      <c r="C467"/>
      <c r="D467"/>
      <c r="E467"/>
      <c r="AQ467" s="27" t="s">
        <v>8</v>
      </c>
      <c r="AR467" s="27" t="s">
        <v>7</v>
      </c>
      <c r="AS467" s="27" t="s">
        <v>8</v>
      </c>
      <c r="AT467" s="27" t="s">
        <v>7</v>
      </c>
      <c r="AU467" s="27" t="s">
        <v>8</v>
      </c>
      <c r="AV467" s="27" t="s">
        <v>7</v>
      </c>
      <c r="AW467" s="27" t="s">
        <v>8</v>
      </c>
      <c r="AX467" s="27" t="s">
        <v>7</v>
      </c>
      <c r="AY467" s="27" t="s">
        <v>8</v>
      </c>
      <c r="BA467" s="27" t="s">
        <v>8</v>
      </c>
      <c r="BB467" s="27" t="s">
        <v>7</v>
      </c>
      <c r="BC467" s="27" t="s">
        <v>8</v>
      </c>
      <c r="BD467" s="27" t="s">
        <v>7</v>
      </c>
      <c r="BE467" s="27" t="s">
        <v>8</v>
      </c>
      <c r="BF467" s="27" t="s">
        <v>7</v>
      </c>
      <c r="BG467" s="27" t="s">
        <v>8</v>
      </c>
      <c r="BH467" s="27" t="s">
        <v>7</v>
      </c>
      <c r="BW467" s="27" t="s">
        <v>8</v>
      </c>
      <c r="BX467" s="27" t="s">
        <v>7</v>
      </c>
      <c r="BY467" s="27" t="s">
        <v>8</v>
      </c>
      <c r="BZ467" s="27" t="s">
        <v>7</v>
      </c>
      <c r="CA467" s="27" t="s">
        <v>8</v>
      </c>
      <c r="CB467" s="27" t="s">
        <v>7</v>
      </c>
      <c r="CC467" s="27" t="s">
        <v>8</v>
      </c>
      <c r="CD467" s="27" t="s">
        <v>7</v>
      </c>
      <c r="EG467" s="27" t="s">
        <v>8</v>
      </c>
      <c r="EH467" s="27" t="s">
        <v>7</v>
      </c>
    </row>
    <row r="468" spans="1:148" x14ac:dyDescent="0.25">
      <c r="A468" s="7">
        <v>10.554081406080169</v>
      </c>
      <c r="B468"/>
      <c r="C468"/>
      <c r="D468"/>
      <c r="E468"/>
      <c r="AE468" s="27" t="s">
        <v>8</v>
      </c>
      <c r="AQ468" s="27" t="s">
        <v>8</v>
      </c>
      <c r="AR468" s="27" t="s">
        <v>7</v>
      </c>
      <c r="AS468" s="27" t="s">
        <v>8</v>
      </c>
      <c r="AT468" s="27" t="s">
        <v>7</v>
      </c>
      <c r="AU468" s="27" t="s">
        <v>8</v>
      </c>
      <c r="AV468" s="27" t="s">
        <v>7</v>
      </c>
      <c r="AW468" s="27" t="s">
        <v>8</v>
      </c>
      <c r="AX468" s="27" t="s">
        <v>7</v>
      </c>
      <c r="AY468" s="27" t="s">
        <v>8</v>
      </c>
      <c r="AZ468" s="27" t="s">
        <v>7</v>
      </c>
      <c r="BA468" s="27" t="s">
        <v>8</v>
      </c>
      <c r="BB468" s="27" t="s">
        <v>7</v>
      </c>
      <c r="BC468" s="27" t="s">
        <v>8</v>
      </c>
      <c r="BD468" s="27" t="s">
        <v>7</v>
      </c>
      <c r="BE468" s="27" t="s">
        <v>8</v>
      </c>
      <c r="BF468" s="27" t="s">
        <v>7</v>
      </c>
      <c r="BH468" s="27" t="s">
        <v>7</v>
      </c>
      <c r="BW468" s="27" t="s">
        <v>8</v>
      </c>
      <c r="BX468" s="27" t="s">
        <v>7</v>
      </c>
      <c r="BY468" s="27" t="s">
        <v>8</v>
      </c>
      <c r="BZ468" s="27" t="s">
        <v>7</v>
      </c>
      <c r="CA468" s="27" t="s">
        <v>8</v>
      </c>
      <c r="CB468" s="27" t="s">
        <v>7</v>
      </c>
      <c r="CC468" s="27" t="s">
        <v>8</v>
      </c>
      <c r="CD468" s="27" t="s">
        <v>7</v>
      </c>
      <c r="EG468" s="27" t="s">
        <v>8</v>
      </c>
      <c r="EH468" s="27" t="s">
        <v>7</v>
      </c>
    </row>
    <row r="469" spans="1:148" x14ac:dyDescent="0.25">
      <c r="A469" s="7">
        <v>10.34713863341193</v>
      </c>
      <c r="B469"/>
      <c r="C469"/>
      <c r="D469"/>
      <c r="E469"/>
      <c r="AE469" s="27" t="s">
        <v>8</v>
      </c>
      <c r="AF469" s="27" t="s">
        <v>7</v>
      </c>
      <c r="AQ469" s="27" t="s">
        <v>8</v>
      </c>
      <c r="AR469" s="27" t="s">
        <v>7</v>
      </c>
      <c r="AS469" s="27" t="s">
        <v>8</v>
      </c>
      <c r="AT469" s="27" t="s">
        <v>7</v>
      </c>
      <c r="AU469" s="27" t="s">
        <v>8</v>
      </c>
      <c r="AV469" s="27" t="s">
        <v>7</v>
      </c>
      <c r="AX469" s="27" t="s">
        <v>7</v>
      </c>
      <c r="AY469" s="27" t="s">
        <v>8</v>
      </c>
      <c r="AZ469" s="27" t="s">
        <v>7</v>
      </c>
      <c r="BA469" s="27" t="s">
        <v>8</v>
      </c>
      <c r="BB469" s="27" t="s">
        <v>7</v>
      </c>
      <c r="BC469" s="27" t="s">
        <v>8</v>
      </c>
      <c r="BD469" s="27" t="s">
        <v>7</v>
      </c>
      <c r="BE469" s="27" t="s">
        <v>8</v>
      </c>
      <c r="BH469" s="27" t="s">
        <v>7</v>
      </c>
      <c r="BM469" s="27" t="s">
        <v>8</v>
      </c>
      <c r="BQ469" s="27" t="s">
        <v>8</v>
      </c>
      <c r="BW469" s="27" t="s">
        <v>8</v>
      </c>
      <c r="BX469" s="27" t="s">
        <v>7</v>
      </c>
      <c r="BY469" s="27" t="s">
        <v>8</v>
      </c>
      <c r="BZ469" s="27" t="s">
        <v>7</v>
      </c>
      <c r="CA469" s="27" t="s">
        <v>8</v>
      </c>
      <c r="CB469" s="27" t="s">
        <v>7</v>
      </c>
      <c r="CC469" s="27" t="s">
        <v>8</v>
      </c>
      <c r="CD469" s="27" t="s">
        <v>7</v>
      </c>
      <c r="EG469" s="27" t="s">
        <v>8</v>
      </c>
      <c r="EH469" s="27" t="s">
        <v>7</v>
      </c>
    </row>
    <row r="470" spans="1:148" x14ac:dyDescent="0.25">
      <c r="A470" s="7">
        <v>10.14425356216856</v>
      </c>
      <c r="B470"/>
      <c r="C470"/>
      <c r="D470"/>
      <c r="E470" t="s">
        <v>8</v>
      </c>
      <c r="AE470" s="27" t="s">
        <v>8</v>
      </c>
      <c r="AF470" s="27" t="s">
        <v>7</v>
      </c>
      <c r="AQ470" s="27" t="s">
        <v>8</v>
      </c>
      <c r="AR470" s="27" t="s">
        <v>7</v>
      </c>
      <c r="AS470" s="27" t="s">
        <v>8</v>
      </c>
      <c r="AT470" s="27" t="s">
        <v>7</v>
      </c>
      <c r="AU470" s="27" t="s">
        <v>8</v>
      </c>
      <c r="AX470" s="27" t="s">
        <v>7</v>
      </c>
      <c r="AY470" s="27" t="s">
        <v>8</v>
      </c>
      <c r="AZ470" s="27" t="s">
        <v>7</v>
      </c>
      <c r="BA470" s="27" t="s">
        <v>8</v>
      </c>
      <c r="BB470" s="27" t="s">
        <v>7</v>
      </c>
      <c r="BC470" s="27" t="s">
        <v>8</v>
      </c>
      <c r="BD470" s="27" t="s">
        <v>7</v>
      </c>
      <c r="BE470" s="27" t="s">
        <v>8</v>
      </c>
      <c r="BH470" s="27" t="s">
        <v>7</v>
      </c>
      <c r="BM470" s="27" t="s">
        <v>8</v>
      </c>
      <c r="BN470" s="27" t="s">
        <v>7</v>
      </c>
      <c r="BO470" s="27" t="s">
        <v>8</v>
      </c>
      <c r="BQ470" s="27" t="s">
        <v>8</v>
      </c>
      <c r="BR470" s="27" t="s">
        <v>7</v>
      </c>
      <c r="BW470" s="27" t="s">
        <v>8</v>
      </c>
      <c r="BX470" s="27" t="s">
        <v>7</v>
      </c>
      <c r="BY470" s="27" t="s">
        <v>8</v>
      </c>
      <c r="BZ470" s="27" t="s">
        <v>7</v>
      </c>
      <c r="CA470" s="27" t="s">
        <v>8</v>
      </c>
      <c r="CB470" s="27" t="s">
        <v>7</v>
      </c>
      <c r="CC470" s="27" t="s">
        <v>8</v>
      </c>
      <c r="CD470" s="27" t="s">
        <v>7</v>
      </c>
      <c r="DU470" s="27" t="s">
        <v>8</v>
      </c>
      <c r="EG470" s="27" t="s">
        <v>8</v>
      </c>
      <c r="EH470" s="27" t="s">
        <v>7</v>
      </c>
    </row>
    <row r="471" spans="1:148" x14ac:dyDescent="0.25">
      <c r="A471" s="7">
        <v>9.9453466295770188</v>
      </c>
      <c r="B471"/>
      <c r="C471"/>
      <c r="D471"/>
      <c r="E471" t="s">
        <v>8</v>
      </c>
      <c r="F471" s="27" t="s">
        <v>7</v>
      </c>
      <c r="AE471" s="27" t="s">
        <v>8</v>
      </c>
      <c r="AF471" s="27" t="s">
        <v>7</v>
      </c>
      <c r="AQ471" s="27" t="s">
        <v>8</v>
      </c>
      <c r="AR471" s="27" t="s">
        <v>7</v>
      </c>
      <c r="AS471" s="27" t="s">
        <v>8</v>
      </c>
      <c r="AT471" s="27" t="s">
        <v>7</v>
      </c>
      <c r="AU471" s="27" t="s">
        <v>8</v>
      </c>
      <c r="AX471" s="27" t="s">
        <v>7</v>
      </c>
      <c r="AY471" s="27" t="s">
        <v>8</v>
      </c>
      <c r="AZ471" s="27" t="s">
        <v>7</v>
      </c>
      <c r="BA471" s="27" t="s">
        <v>8</v>
      </c>
      <c r="BB471" s="27" t="s">
        <v>7</v>
      </c>
      <c r="BC471" s="27" t="s">
        <v>8</v>
      </c>
      <c r="BD471" s="27" t="s">
        <v>7</v>
      </c>
      <c r="BE471" s="27" t="s">
        <v>8</v>
      </c>
      <c r="BH471" s="27" t="s">
        <v>7</v>
      </c>
      <c r="BI471" s="27" t="s">
        <v>8</v>
      </c>
      <c r="BM471" s="27" t="s">
        <v>8</v>
      </c>
      <c r="BN471" s="27" t="s">
        <v>7</v>
      </c>
      <c r="BO471" s="27" t="s">
        <v>8</v>
      </c>
      <c r="BP471" s="27" t="s">
        <v>7</v>
      </c>
      <c r="BQ471" s="27" t="s">
        <v>8</v>
      </c>
      <c r="BR471" s="27" t="s">
        <v>7</v>
      </c>
      <c r="BW471" s="27" t="s">
        <v>8</v>
      </c>
      <c r="BX471" s="27" t="s">
        <v>7</v>
      </c>
      <c r="BY471" s="27" t="s">
        <v>8</v>
      </c>
      <c r="BZ471" s="27" t="s">
        <v>7</v>
      </c>
      <c r="CA471" s="27" t="s">
        <v>8</v>
      </c>
      <c r="CB471" s="27" t="s">
        <v>7</v>
      </c>
      <c r="CC471" s="27" t="s">
        <v>8</v>
      </c>
      <c r="CD471" s="27" t="s">
        <v>7</v>
      </c>
      <c r="DU471" s="27" t="s">
        <v>8</v>
      </c>
      <c r="DV471" s="27" t="s">
        <v>7</v>
      </c>
      <c r="EG471" s="27" t="s">
        <v>8</v>
      </c>
      <c r="EH471" s="27" t="s">
        <v>7</v>
      </c>
    </row>
    <row r="472" spans="1:148" x14ac:dyDescent="0.25">
      <c r="A472" s="7">
        <v>9.7503398329186464</v>
      </c>
      <c r="B472"/>
      <c r="C472"/>
      <c r="D472"/>
      <c r="E472" t="s">
        <v>8</v>
      </c>
      <c r="F472" s="27" t="s">
        <v>7</v>
      </c>
      <c r="AE472" s="27" t="s">
        <v>8</v>
      </c>
      <c r="AF472" s="27" t="s">
        <v>7</v>
      </c>
      <c r="AQ472" s="27" t="s">
        <v>8</v>
      </c>
      <c r="AR472" s="27" t="s">
        <v>7</v>
      </c>
      <c r="AS472" s="27" t="s">
        <v>8</v>
      </c>
      <c r="AT472" s="27" t="s">
        <v>7</v>
      </c>
      <c r="AX472" s="27" t="s">
        <v>7</v>
      </c>
      <c r="AY472" s="27" t="s">
        <v>8</v>
      </c>
      <c r="AZ472" s="27" t="s">
        <v>7</v>
      </c>
      <c r="BA472" s="27" t="s">
        <v>8</v>
      </c>
      <c r="BB472" s="27" t="s">
        <v>7</v>
      </c>
      <c r="BC472" s="27" t="s">
        <v>8</v>
      </c>
      <c r="BD472" s="27" t="s">
        <v>7</v>
      </c>
      <c r="BH472" s="27" t="s">
        <v>7</v>
      </c>
      <c r="BI472" s="27" t="s">
        <v>8</v>
      </c>
      <c r="BJ472" s="27" t="s">
        <v>7</v>
      </c>
      <c r="BK472" s="27" t="s">
        <v>8</v>
      </c>
      <c r="BM472" s="27" t="s">
        <v>8</v>
      </c>
      <c r="BN472" s="27" t="s">
        <v>7</v>
      </c>
      <c r="BO472" s="27" t="s">
        <v>8</v>
      </c>
      <c r="BP472" s="27" t="s">
        <v>7</v>
      </c>
      <c r="BQ472" s="27" t="s">
        <v>8</v>
      </c>
      <c r="BR472" s="27" t="s">
        <v>7</v>
      </c>
      <c r="BW472" s="27" t="s">
        <v>8</v>
      </c>
      <c r="BX472" s="27" t="s">
        <v>7</v>
      </c>
      <c r="BY472" s="27" t="s">
        <v>8</v>
      </c>
      <c r="BZ472" s="27" t="s">
        <v>7</v>
      </c>
      <c r="CB472" s="27" t="s">
        <v>7</v>
      </c>
      <c r="CC472" s="27" t="s">
        <v>8</v>
      </c>
      <c r="CD472" s="27" t="s">
        <v>7</v>
      </c>
      <c r="CO472" s="27" t="s">
        <v>8</v>
      </c>
      <c r="DU472" s="27" t="s">
        <v>8</v>
      </c>
      <c r="DV472" s="27" t="s">
        <v>7</v>
      </c>
      <c r="EG472" s="27" t="s">
        <v>8</v>
      </c>
      <c r="EH472" s="27" t="s">
        <v>7</v>
      </c>
    </row>
    <row r="473" spans="1:148" x14ac:dyDescent="0.25">
      <c r="A473" s="7">
        <v>9.5591566989398498</v>
      </c>
      <c r="B473"/>
      <c r="C473"/>
      <c r="D473"/>
      <c r="E473" t="s">
        <v>8</v>
      </c>
      <c r="F473" s="27" t="s">
        <v>7</v>
      </c>
      <c r="AE473" s="27" t="s">
        <v>8</v>
      </c>
      <c r="AF473" s="27" t="s">
        <v>7</v>
      </c>
      <c r="AQ473" s="27" t="s">
        <v>8</v>
      </c>
      <c r="AR473" s="27" t="s">
        <v>7</v>
      </c>
      <c r="AS473" s="27" t="s">
        <v>8</v>
      </c>
      <c r="AX473" s="27" t="s">
        <v>7</v>
      </c>
      <c r="AY473" s="27" t="s">
        <v>8</v>
      </c>
      <c r="AZ473" s="27" t="s">
        <v>7</v>
      </c>
      <c r="BB473" s="27" t="s">
        <v>7</v>
      </c>
      <c r="BC473" s="27" t="s">
        <v>8</v>
      </c>
      <c r="BH473" s="27" t="s">
        <v>7</v>
      </c>
      <c r="BI473" s="27" t="s">
        <v>8</v>
      </c>
      <c r="BJ473" s="27" t="s">
        <v>7</v>
      </c>
      <c r="BK473" s="27" t="s">
        <v>8</v>
      </c>
      <c r="BL473" s="27" t="s">
        <v>7</v>
      </c>
      <c r="BM473" s="27" t="s">
        <v>8</v>
      </c>
      <c r="BN473" s="27" t="s">
        <v>7</v>
      </c>
      <c r="BO473" s="27" t="s">
        <v>8</v>
      </c>
      <c r="BP473" s="27" t="s">
        <v>7</v>
      </c>
      <c r="BQ473" s="27" t="s">
        <v>8</v>
      </c>
      <c r="BR473" s="27" t="s">
        <v>7</v>
      </c>
      <c r="BS473" s="27" t="s">
        <v>8</v>
      </c>
      <c r="BW473" s="27" t="s">
        <v>8</v>
      </c>
      <c r="BX473" s="27" t="s">
        <v>7</v>
      </c>
      <c r="BY473" s="27" t="s">
        <v>8</v>
      </c>
      <c r="CB473" s="27" t="s">
        <v>7</v>
      </c>
      <c r="CC473" s="27" t="s">
        <v>8</v>
      </c>
      <c r="CD473" s="27" t="s">
        <v>7</v>
      </c>
      <c r="CO473" s="27" t="s">
        <v>8</v>
      </c>
      <c r="CP473" s="27" t="s">
        <v>7</v>
      </c>
      <c r="DU473" s="27" t="s">
        <v>8</v>
      </c>
      <c r="DV473" s="27" t="s">
        <v>7</v>
      </c>
      <c r="EG473" s="27" t="s">
        <v>8</v>
      </c>
      <c r="EH473" s="27" t="s">
        <v>7</v>
      </c>
    </row>
    <row r="474" spans="1:148" x14ac:dyDescent="0.25">
      <c r="A474" s="7">
        <v>9.3717222538625968</v>
      </c>
      <c r="B474"/>
      <c r="C474"/>
      <c r="D474"/>
      <c r="E474" t="s">
        <v>8</v>
      </c>
      <c r="F474" s="27" t="s">
        <v>7</v>
      </c>
      <c r="AE474" s="27" t="s">
        <v>8</v>
      </c>
      <c r="AF474" s="27" t="s">
        <v>7</v>
      </c>
      <c r="AQ474" s="27" t="s">
        <v>8</v>
      </c>
      <c r="AR474" s="27" t="s">
        <v>7</v>
      </c>
      <c r="AS474" s="27" t="s">
        <v>8</v>
      </c>
      <c r="AX474" s="27" t="s">
        <v>7</v>
      </c>
      <c r="AY474" s="27" t="s">
        <v>8</v>
      </c>
      <c r="BB474" s="27" t="s">
        <v>7</v>
      </c>
      <c r="BC474" s="27" t="s">
        <v>8</v>
      </c>
      <c r="BH474" s="27" t="s">
        <v>7</v>
      </c>
      <c r="BI474" s="27" t="s">
        <v>8</v>
      </c>
      <c r="BJ474" s="27" t="s">
        <v>7</v>
      </c>
      <c r="BK474" s="27" t="s">
        <v>8</v>
      </c>
      <c r="BL474" s="27" t="s">
        <v>7</v>
      </c>
      <c r="BM474" s="27" t="s">
        <v>8</v>
      </c>
      <c r="BN474" s="27" t="s">
        <v>7</v>
      </c>
      <c r="BP474" s="27" t="s">
        <v>7</v>
      </c>
      <c r="BR474" s="27" t="s">
        <v>7</v>
      </c>
      <c r="BS474" s="27" t="s">
        <v>8</v>
      </c>
      <c r="BT474" s="27" t="s">
        <v>7</v>
      </c>
      <c r="BU474" s="27" t="s">
        <v>8</v>
      </c>
      <c r="BW474" s="27" t="s">
        <v>8</v>
      </c>
      <c r="BX474" s="27" t="s">
        <v>7</v>
      </c>
      <c r="BY474" s="27" t="s">
        <v>8</v>
      </c>
      <c r="CB474" s="27" t="s">
        <v>7</v>
      </c>
      <c r="CC474" s="27" t="s">
        <v>8</v>
      </c>
      <c r="CD474" s="27" t="s">
        <v>7</v>
      </c>
      <c r="CO474" s="27" t="s">
        <v>8</v>
      </c>
      <c r="CP474" s="27" t="s">
        <v>7</v>
      </c>
      <c r="DU474" s="27" t="s">
        <v>8</v>
      </c>
      <c r="DV474" s="27" t="s">
        <v>7</v>
      </c>
      <c r="EG474" s="27" t="s">
        <v>8</v>
      </c>
      <c r="EH474" s="27" t="s">
        <v>7</v>
      </c>
    </row>
    <row r="475" spans="1:148" x14ac:dyDescent="0.25">
      <c r="A475" s="7">
        <v>9.1879629939829375</v>
      </c>
      <c r="B475"/>
      <c r="C475"/>
      <c r="D475"/>
      <c r="E475" t="s">
        <v>8</v>
      </c>
      <c r="F475" s="27" t="s">
        <v>7</v>
      </c>
      <c r="AE475" s="27" t="s">
        <v>8</v>
      </c>
      <c r="AF475" s="27" t="s">
        <v>7</v>
      </c>
      <c r="AK475" s="27" t="s">
        <v>8</v>
      </c>
      <c r="AQ475" s="27" t="s">
        <v>8</v>
      </c>
      <c r="AR475" s="27" t="s">
        <v>7</v>
      </c>
      <c r="AS475" s="27" t="s">
        <v>8</v>
      </c>
      <c r="AX475" s="27" t="s">
        <v>7</v>
      </c>
      <c r="AY475" s="27" t="s">
        <v>8</v>
      </c>
      <c r="BB475" s="27" t="s">
        <v>7</v>
      </c>
      <c r="BH475" s="27" t="s">
        <v>7</v>
      </c>
      <c r="BI475" s="27" t="s">
        <v>8</v>
      </c>
      <c r="BJ475" s="27" t="s">
        <v>7</v>
      </c>
      <c r="BK475" s="27" t="s">
        <v>8</v>
      </c>
      <c r="BL475" s="27" t="s">
        <v>7</v>
      </c>
      <c r="BM475" s="27" t="s">
        <v>8</v>
      </c>
      <c r="BR475" s="27" t="s">
        <v>7</v>
      </c>
      <c r="BS475" s="27" t="s">
        <v>8</v>
      </c>
      <c r="BT475" s="27" t="s">
        <v>7</v>
      </c>
      <c r="BU475" s="27" t="s">
        <v>8</v>
      </c>
      <c r="BV475" s="27" t="s">
        <v>7</v>
      </c>
      <c r="BW475" s="27" t="s">
        <v>8</v>
      </c>
      <c r="BX475" s="27" t="s">
        <v>7</v>
      </c>
      <c r="BY475" s="27" t="s">
        <v>8</v>
      </c>
      <c r="CB475" s="27" t="s">
        <v>7</v>
      </c>
      <c r="CC475" s="27" t="s">
        <v>8</v>
      </c>
      <c r="CD475" s="27" t="s">
        <v>7</v>
      </c>
      <c r="CO475" s="27" t="s">
        <v>8</v>
      </c>
      <c r="CP475" s="27" t="s">
        <v>7</v>
      </c>
      <c r="DU475" s="27" t="s">
        <v>8</v>
      </c>
      <c r="DV475" s="27" t="s">
        <v>7</v>
      </c>
      <c r="EG475" s="27" t="s">
        <v>8</v>
      </c>
      <c r="EH475" s="27" t="s">
        <v>7</v>
      </c>
    </row>
    <row r="476" spans="1:148" x14ac:dyDescent="0.25">
      <c r="A476" s="7">
        <v>9.0078068568460168</v>
      </c>
      <c r="B476"/>
      <c r="C476"/>
      <c r="D476"/>
      <c r="E476" t="s">
        <v>8</v>
      </c>
      <c r="F476" s="27" t="s">
        <v>7</v>
      </c>
      <c r="AE476" s="27" t="s">
        <v>8</v>
      </c>
      <c r="AF476" s="27" t="s">
        <v>7</v>
      </c>
      <c r="AK476" s="27" t="s">
        <v>8</v>
      </c>
      <c r="AL476" s="27" t="s">
        <v>7</v>
      </c>
      <c r="AQ476" s="27" t="s">
        <v>8</v>
      </c>
      <c r="AR476" s="27" t="s">
        <v>7</v>
      </c>
      <c r="AS476" s="27" t="s">
        <v>8</v>
      </c>
      <c r="AX476" s="27" t="s">
        <v>7</v>
      </c>
      <c r="AY476" s="27" t="s">
        <v>8</v>
      </c>
      <c r="BH476" s="27" t="s">
        <v>7</v>
      </c>
      <c r="BI476" s="27" t="s">
        <v>8</v>
      </c>
      <c r="BJ476" s="27" t="s">
        <v>7</v>
      </c>
      <c r="BK476" s="27" t="s">
        <v>8</v>
      </c>
      <c r="BL476" s="27" t="s">
        <v>7</v>
      </c>
      <c r="BM476" s="27" t="s">
        <v>8</v>
      </c>
      <c r="BR476" s="27" t="s">
        <v>7</v>
      </c>
      <c r="BS476" s="27" t="s">
        <v>8</v>
      </c>
      <c r="BT476" s="27" t="s">
        <v>7</v>
      </c>
      <c r="BU476" s="27" t="s">
        <v>8</v>
      </c>
      <c r="BV476" s="27" t="s">
        <v>7</v>
      </c>
      <c r="BW476" s="27" t="s">
        <v>8</v>
      </c>
      <c r="BX476" s="27" t="s">
        <v>7</v>
      </c>
      <c r="BY476" s="27" t="s">
        <v>8</v>
      </c>
      <c r="CB476" s="27" t="s">
        <v>7</v>
      </c>
      <c r="CC476" s="27" t="s">
        <v>8</v>
      </c>
      <c r="CD476" s="27" t="s">
        <v>7</v>
      </c>
      <c r="CO476" s="27" t="s">
        <v>8</v>
      </c>
      <c r="CP476" s="27" t="s">
        <v>7</v>
      </c>
      <c r="DS476" s="27" t="s">
        <v>8</v>
      </c>
      <c r="DU476" s="27" t="s">
        <v>8</v>
      </c>
      <c r="DV476" s="27" t="s">
        <v>7</v>
      </c>
      <c r="EG476" s="27" t="s">
        <v>8</v>
      </c>
      <c r="EH476" s="27" t="s">
        <v>7</v>
      </c>
    </row>
    <row r="477" spans="1:148" x14ac:dyDescent="0.25">
      <c r="A477" s="7">
        <v>8.8311831929862912</v>
      </c>
      <c r="B477"/>
      <c r="C477"/>
      <c r="D477"/>
      <c r="E477" t="s">
        <v>8</v>
      </c>
      <c r="F477" s="27" t="s">
        <v>7</v>
      </c>
      <c r="AE477" s="27" t="s">
        <v>8</v>
      </c>
      <c r="AF477" s="27" t="s">
        <v>7</v>
      </c>
      <c r="AK477" s="27" t="s">
        <v>8</v>
      </c>
      <c r="AL477" s="27" t="s">
        <v>7</v>
      </c>
      <c r="AQ477" s="27" t="s">
        <v>8</v>
      </c>
      <c r="AR477" s="27" t="s">
        <v>7</v>
      </c>
      <c r="AS477" s="27" t="s">
        <v>8</v>
      </c>
      <c r="AX477" s="27" t="s">
        <v>7</v>
      </c>
      <c r="AY477" s="27" t="s">
        <v>8</v>
      </c>
      <c r="BH477" s="27" t="s">
        <v>7</v>
      </c>
      <c r="BI477" s="27" t="s">
        <v>8</v>
      </c>
      <c r="BJ477" s="27" t="s">
        <v>7</v>
      </c>
      <c r="BK477" s="27" t="s">
        <v>8</v>
      </c>
      <c r="BL477" s="27" t="s">
        <v>7</v>
      </c>
      <c r="BR477" s="27" t="s">
        <v>7</v>
      </c>
      <c r="BT477" s="27" t="s">
        <v>7</v>
      </c>
      <c r="BV477" s="27" t="s">
        <v>7</v>
      </c>
      <c r="BW477" s="27" t="s">
        <v>8</v>
      </c>
      <c r="BX477" s="27" t="s">
        <v>7</v>
      </c>
      <c r="BY477" s="27" t="s">
        <v>8</v>
      </c>
      <c r="CB477" s="27" t="s">
        <v>7</v>
      </c>
      <c r="CC477" s="27" t="s">
        <v>8</v>
      </c>
      <c r="CD477" s="27" t="s">
        <v>7</v>
      </c>
      <c r="CO477" s="27" t="s">
        <v>8</v>
      </c>
      <c r="CP477" s="27" t="s">
        <v>7</v>
      </c>
      <c r="DQ477" s="27" t="s">
        <v>8</v>
      </c>
      <c r="DS477" s="27" t="s">
        <v>8</v>
      </c>
      <c r="DT477" s="27" t="s">
        <v>7</v>
      </c>
      <c r="DU477" s="27" t="s">
        <v>8</v>
      </c>
      <c r="DV477" s="27" t="s">
        <v>7</v>
      </c>
      <c r="DW477" s="27" t="s">
        <v>8</v>
      </c>
      <c r="DY477" s="27" t="s">
        <v>8</v>
      </c>
      <c r="EC477" s="27" t="s">
        <v>8</v>
      </c>
      <c r="EG477" s="27" t="s">
        <v>8</v>
      </c>
      <c r="EH477" s="27" t="s">
        <v>7</v>
      </c>
    </row>
    <row r="478" spans="1:148" x14ac:dyDescent="0.25">
      <c r="A478" s="7">
        <v>8.6580227382218542</v>
      </c>
      <c r="B478"/>
      <c r="C478"/>
      <c r="D478"/>
      <c r="E478" t="s">
        <v>8</v>
      </c>
      <c r="F478" s="27" t="s">
        <v>7</v>
      </c>
      <c r="AE478" s="27" t="s">
        <v>8</v>
      </c>
      <c r="AF478" s="27" t="s">
        <v>7</v>
      </c>
      <c r="AG478" s="27" t="s">
        <v>8</v>
      </c>
      <c r="AK478" s="27" t="s">
        <v>8</v>
      </c>
      <c r="AL478" s="27" t="s">
        <v>7</v>
      </c>
      <c r="AQ478" s="27" t="s">
        <v>8</v>
      </c>
      <c r="AR478" s="27" t="s">
        <v>7</v>
      </c>
      <c r="AS478" s="27" t="s">
        <v>8</v>
      </c>
      <c r="AX478" s="27" t="s">
        <v>7</v>
      </c>
      <c r="AY478" s="27" t="s">
        <v>8</v>
      </c>
      <c r="BH478" s="27" t="s">
        <v>7</v>
      </c>
      <c r="BI478" s="27" t="s">
        <v>8</v>
      </c>
      <c r="BJ478" s="27" t="s">
        <v>7</v>
      </c>
      <c r="BK478" s="27" t="s">
        <v>8</v>
      </c>
      <c r="BV478" s="27" t="s">
        <v>7</v>
      </c>
      <c r="BW478" s="27" t="s">
        <v>8</v>
      </c>
      <c r="BX478" s="27" t="s">
        <v>7</v>
      </c>
      <c r="BY478" s="27" t="s">
        <v>8</v>
      </c>
      <c r="CB478" s="27" t="s">
        <v>7</v>
      </c>
      <c r="CC478" s="27" t="s">
        <v>8</v>
      </c>
      <c r="CD478" s="27" t="s">
        <v>7</v>
      </c>
      <c r="CO478" s="27" t="s">
        <v>8</v>
      </c>
      <c r="CP478" s="27" t="s">
        <v>7</v>
      </c>
      <c r="DQ478" s="27" t="s">
        <v>8</v>
      </c>
      <c r="DR478" s="27" t="s">
        <v>7</v>
      </c>
      <c r="DS478" s="27" t="s">
        <v>8</v>
      </c>
      <c r="DT478" s="27" t="s">
        <v>7</v>
      </c>
      <c r="DU478" s="27" t="s">
        <v>8</v>
      </c>
      <c r="DV478" s="27" t="s">
        <v>7</v>
      </c>
      <c r="DW478" s="27" t="s">
        <v>8</v>
      </c>
      <c r="DX478" s="27" t="s">
        <v>7</v>
      </c>
      <c r="DY478" s="27" t="s">
        <v>8</v>
      </c>
      <c r="DZ478" s="27" t="s">
        <v>7</v>
      </c>
      <c r="EC478" s="27" t="s">
        <v>8</v>
      </c>
      <c r="ED478" s="27" t="s">
        <v>7</v>
      </c>
      <c r="EG478" s="27" t="s">
        <v>8</v>
      </c>
      <c r="EH478" s="27" t="s">
        <v>7</v>
      </c>
      <c r="EI478" s="27" t="s">
        <v>8</v>
      </c>
    </row>
    <row r="479" spans="1:148" x14ac:dyDescent="0.25">
      <c r="A479" s="7">
        <v>8.4882575864920131</v>
      </c>
      <c r="B479"/>
      <c r="C479"/>
      <c r="D479"/>
      <c r="E479" t="s">
        <v>8</v>
      </c>
      <c r="F479" s="27" t="s">
        <v>7</v>
      </c>
      <c r="AE479" s="27" t="s">
        <v>8</v>
      </c>
      <c r="AF479" s="27" t="s">
        <v>7</v>
      </c>
      <c r="AG479" s="27" t="s">
        <v>8</v>
      </c>
      <c r="AH479" s="27" t="s">
        <v>7</v>
      </c>
      <c r="AK479" s="27" t="s">
        <v>8</v>
      </c>
      <c r="AL479" s="27" t="s">
        <v>7</v>
      </c>
      <c r="AQ479" s="27" t="s">
        <v>8</v>
      </c>
      <c r="AR479" s="27" t="s">
        <v>7</v>
      </c>
      <c r="AS479" s="27" t="s">
        <v>8</v>
      </c>
      <c r="AX479" s="27" t="s">
        <v>7</v>
      </c>
      <c r="AY479" s="27" t="s">
        <v>8</v>
      </c>
      <c r="BH479" s="27" t="s">
        <v>7</v>
      </c>
      <c r="BI479" s="27" t="s">
        <v>8</v>
      </c>
      <c r="BJ479" s="27" t="s">
        <v>7</v>
      </c>
      <c r="BK479" s="27" t="s">
        <v>8</v>
      </c>
      <c r="BV479" s="27" t="s">
        <v>7</v>
      </c>
      <c r="BW479" s="27" t="s">
        <v>8</v>
      </c>
      <c r="BX479" s="27" t="s">
        <v>7</v>
      </c>
      <c r="BY479" s="27" t="s">
        <v>8</v>
      </c>
      <c r="CB479" s="27" t="s">
        <v>7</v>
      </c>
      <c r="CC479" s="27" t="s">
        <v>8</v>
      </c>
      <c r="CD479" s="27" t="s">
        <v>7</v>
      </c>
      <c r="CO479" s="27" t="s">
        <v>8</v>
      </c>
      <c r="CP479" s="27" t="s">
        <v>7</v>
      </c>
      <c r="DQ479" s="27" t="s">
        <v>8</v>
      </c>
      <c r="DR479" s="27" t="s">
        <v>7</v>
      </c>
      <c r="DS479" s="27" t="s">
        <v>8</v>
      </c>
      <c r="DT479" s="27" t="s">
        <v>7</v>
      </c>
      <c r="DU479" s="27" t="s">
        <v>8</v>
      </c>
      <c r="DV479" s="27" t="s">
        <v>7</v>
      </c>
      <c r="DW479" s="27" t="s">
        <v>8</v>
      </c>
      <c r="DX479" s="27" t="s">
        <v>7</v>
      </c>
      <c r="DY479" s="27" t="s">
        <v>8</v>
      </c>
      <c r="DZ479" s="27" t="s">
        <v>7</v>
      </c>
      <c r="EC479" s="27" t="s">
        <v>8</v>
      </c>
      <c r="ED479" s="27" t="s">
        <v>7</v>
      </c>
      <c r="EG479" s="27" t="s">
        <v>8</v>
      </c>
      <c r="EH479" s="27" t="s">
        <v>7</v>
      </c>
      <c r="EI479" s="27" t="s">
        <v>8</v>
      </c>
      <c r="EJ479" s="27" t="s">
        <v>7</v>
      </c>
      <c r="EQ479" s="27" t="s">
        <v>8</v>
      </c>
    </row>
    <row r="480" spans="1:148" x14ac:dyDescent="0.25">
      <c r="A480" s="7">
        <v>8.3218211632274635</v>
      </c>
      <c r="B480"/>
      <c r="C480"/>
      <c r="D480"/>
      <c r="E480" t="s">
        <v>8</v>
      </c>
      <c r="F480" s="27" t="s">
        <v>7</v>
      </c>
      <c r="AE480" s="27" t="s">
        <v>8</v>
      </c>
      <c r="AF480" s="27" t="s">
        <v>7</v>
      </c>
      <c r="AG480" s="27" t="s">
        <v>8</v>
      </c>
      <c r="AH480" s="27" t="s">
        <v>7</v>
      </c>
      <c r="AK480" s="27" t="s">
        <v>8</v>
      </c>
      <c r="AL480" s="27" t="s">
        <v>7</v>
      </c>
      <c r="AQ480" s="27" t="s">
        <v>8</v>
      </c>
      <c r="AR480" s="27" t="s">
        <v>7</v>
      </c>
      <c r="AS480" s="27" t="s">
        <v>8</v>
      </c>
      <c r="AX480" s="27" t="s">
        <v>7</v>
      </c>
      <c r="AY480" s="27" t="s">
        <v>8</v>
      </c>
      <c r="BH480" s="27" t="s">
        <v>7</v>
      </c>
      <c r="BI480" s="27" t="s">
        <v>8</v>
      </c>
      <c r="BJ480" s="27" t="s">
        <v>7</v>
      </c>
      <c r="BK480" s="27" t="s">
        <v>8</v>
      </c>
      <c r="BV480" s="27" t="s">
        <v>7</v>
      </c>
      <c r="BW480" s="27" t="s">
        <v>8</v>
      </c>
      <c r="BX480" s="27" t="s">
        <v>7</v>
      </c>
      <c r="BY480" s="27" t="s">
        <v>8</v>
      </c>
      <c r="CB480" s="27" t="s">
        <v>7</v>
      </c>
      <c r="CC480" s="27" t="s">
        <v>8</v>
      </c>
      <c r="CD480" s="27" t="s">
        <v>7</v>
      </c>
      <c r="CO480" s="27" t="s">
        <v>8</v>
      </c>
      <c r="CP480" s="27" t="s">
        <v>7</v>
      </c>
      <c r="DQ480" s="27" t="s">
        <v>8</v>
      </c>
      <c r="DR480" s="27" t="s">
        <v>7</v>
      </c>
      <c r="DS480" s="27" t="s">
        <v>8</v>
      </c>
      <c r="DT480" s="27" t="s">
        <v>7</v>
      </c>
      <c r="DU480" s="27" t="s">
        <v>8</v>
      </c>
      <c r="DV480" s="27" t="s">
        <v>7</v>
      </c>
      <c r="DX480" s="27" t="s">
        <v>7</v>
      </c>
      <c r="DZ480" s="27" t="s">
        <v>7</v>
      </c>
      <c r="EC480" s="27" t="s">
        <v>8</v>
      </c>
      <c r="ED480" s="27" t="s">
        <v>7</v>
      </c>
      <c r="EG480" s="27" t="s">
        <v>8</v>
      </c>
      <c r="EH480" s="27" t="s">
        <v>7</v>
      </c>
      <c r="EI480" s="27" t="s">
        <v>8</v>
      </c>
      <c r="EJ480" s="27" t="s">
        <v>7</v>
      </c>
      <c r="EQ480" s="27" t="s">
        <v>8</v>
      </c>
      <c r="ER480" s="27" t="s">
        <v>7</v>
      </c>
    </row>
    <row r="481" spans="1:172" x14ac:dyDescent="0.25">
      <c r="A481" s="7">
        <v>8.1586481992426112</v>
      </c>
      <c r="B481"/>
      <c r="C481"/>
      <c r="D481"/>
      <c r="E481" t="s">
        <v>8</v>
      </c>
      <c r="F481" s="27" t="s">
        <v>7</v>
      </c>
      <c r="AE481" s="27" t="s">
        <v>8</v>
      </c>
      <c r="AF481" s="27" t="s">
        <v>7</v>
      </c>
      <c r="AG481" s="27" t="s">
        <v>8</v>
      </c>
      <c r="AH481" s="27" t="s">
        <v>7</v>
      </c>
      <c r="AK481" s="27" t="s">
        <v>8</v>
      </c>
      <c r="AL481" s="27" t="s">
        <v>7</v>
      </c>
      <c r="AQ481" s="27" t="s">
        <v>8</v>
      </c>
      <c r="AR481" s="27" t="s">
        <v>7</v>
      </c>
      <c r="AS481" s="27" t="s">
        <v>8</v>
      </c>
      <c r="AX481" s="27" t="s">
        <v>7</v>
      </c>
      <c r="AY481" s="27" t="s">
        <v>8</v>
      </c>
      <c r="BH481" s="27" t="s">
        <v>7</v>
      </c>
      <c r="BJ481" s="27" t="s">
        <v>7</v>
      </c>
      <c r="BK481" s="27" t="s">
        <v>8</v>
      </c>
      <c r="BV481" s="27" t="s">
        <v>7</v>
      </c>
      <c r="BW481" s="27" t="s">
        <v>8</v>
      </c>
      <c r="BX481" s="27" t="s">
        <v>7</v>
      </c>
      <c r="BY481" s="27" t="s">
        <v>8</v>
      </c>
      <c r="CB481" s="27" t="s">
        <v>7</v>
      </c>
      <c r="CC481" s="27" t="s">
        <v>8</v>
      </c>
      <c r="CD481" s="27" t="s">
        <v>7</v>
      </c>
      <c r="CO481" s="27" t="s">
        <v>8</v>
      </c>
      <c r="CP481" s="27" t="s">
        <v>7</v>
      </c>
      <c r="DQ481" s="27" t="s">
        <v>8</v>
      </c>
      <c r="DR481" s="27" t="s">
        <v>7</v>
      </c>
      <c r="DS481" s="27" t="s">
        <v>8</v>
      </c>
      <c r="DT481" s="27" t="s">
        <v>7</v>
      </c>
      <c r="DZ481" s="27" t="s">
        <v>7</v>
      </c>
      <c r="EC481" s="27" t="s">
        <v>8</v>
      </c>
      <c r="ED481" s="27" t="s">
        <v>7</v>
      </c>
      <c r="EG481" s="27" t="s">
        <v>8</v>
      </c>
      <c r="EH481" s="27" t="s">
        <v>7</v>
      </c>
      <c r="EI481" s="27" t="s">
        <v>8</v>
      </c>
      <c r="EJ481" s="27" t="s">
        <v>7</v>
      </c>
      <c r="EQ481" s="27" t="s">
        <v>8</v>
      </c>
      <c r="ER481" s="27" t="s">
        <v>7</v>
      </c>
    </row>
    <row r="482" spans="1:172" x14ac:dyDescent="0.25">
      <c r="A482" s="7">
        <v>7.9986747051398144</v>
      </c>
      <c r="B482"/>
      <c r="C482"/>
      <c r="D482"/>
      <c r="E482" t="s">
        <v>8</v>
      </c>
      <c r="F482" s="27" t="s">
        <v>7</v>
      </c>
      <c r="AA482" s="27" t="s">
        <v>8</v>
      </c>
      <c r="AE482" s="27" t="s">
        <v>8</v>
      </c>
      <c r="AF482" s="27" t="s">
        <v>7</v>
      </c>
      <c r="AG482" s="27" t="s">
        <v>8</v>
      </c>
      <c r="AH482" s="27" t="s">
        <v>7</v>
      </c>
      <c r="AK482" s="27" t="s">
        <v>8</v>
      </c>
      <c r="AL482" s="27" t="s">
        <v>7</v>
      </c>
      <c r="AQ482" s="27" t="s">
        <v>8</v>
      </c>
      <c r="AR482" s="27" t="s">
        <v>7</v>
      </c>
      <c r="AS482" s="27" t="s">
        <v>8</v>
      </c>
      <c r="AX482" s="27" t="s">
        <v>7</v>
      </c>
      <c r="AY482" s="27" t="s">
        <v>8</v>
      </c>
      <c r="BJ482" s="27" t="s">
        <v>7</v>
      </c>
      <c r="BK482" s="27" t="s">
        <v>8</v>
      </c>
      <c r="BV482" s="27" t="s">
        <v>7</v>
      </c>
      <c r="BW482" s="27" t="s">
        <v>8</v>
      </c>
      <c r="BX482" s="27" t="s">
        <v>7</v>
      </c>
      <c r="BY482" s="27" t="s">
        <v>8</v>
      </c>
      <c r="CB482" s="27" t="s">
        <v>7</v>
      </c>
      <c r="CC482" s="27" t="s">
        <v>8</v>
      </c>
      <c r="CD482" s="27" t="s">
        <v>7</v>
      </c>
      <c r="CO482" s="27" t="s">
        <v>8</v>
      </c>
      <c r="CP482" s="27" t="s">
        <v>7</v>
      </c>
      <c r="DQ482" s="27" t="s">
        <v>8</v>
      </c>
      <c r="DR482" s="27" t="s">
        <v>7</v>
      </c>
      <c r="DS482" s="27" t="s">
        <v>8</v>
      </c>
      <c r="DZ482" s="27" t="s">
        <v>7</v>
      </c>
      <c r="EA482" s="27" t="s">
        <v>8</v>
      </c>
      <c r="EC482" s="27" t="s">
        <v>8</v>
      </c>
      <c r="ED482" s="27" t="s">
        <v>7</v>
      </c>
      <c r="EE482" s="27" t="s">
        <v>8</v>
      </c>
      <c r="EG482" s="27" t="s">
        <v>8</v>
      </c>
      <c r="EH482" s="27" t="s">
        <v>7</v>
      </c>
      <c r="EI482" s="27" t="s">
        <v>8</v>
      </c>
      <c r="EJ482" s="27" t="s">
        <v>7</v>
      </c>
      <c r="EQ482" s="27" t="s">
        <v>8</v>
      </c>
      <c r="ER482" s="27" t="s">
        <v>7</v>
      </c>
    </row>
    <row r="483" spans="1:172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G483" s="27" t="s">
        <v>8</v>
      </c>
      <c r="AA483" s="27" t="s">
        <v>8</v>
      </c>
      <c r="AB483" s="27" t="s">
        <v>7</v>
      </c>
      <c r="AE483" s="27" t="s">
        <v>8</v>
      </c>
      <c r="AF483" s="27" t="s">
        <v>7</v>
      </c>
      <c r="AG483" s="27" t="s">
        <v>8</v>
      </c>
      <c r="AH483" s="27" t="s">
        <v>7</v>
      </c>
      <c r="AK483" s="27" t="s">
        <v>8</v>
      </c>
      <c r="AL483" s="27" t="s">
        <v>7</v>
      </c>
      <c r="AM483" s="27" t="s">
        <v>8</v>
      </c>
      <c r="AQ483" s="27" t="s">
        <v>8</v>
      </c>
      <c r="AR483" s="27" t="s">
        <v>7</v>
      </c>
      <c r="AS483" s="27" t="s">
        <v>8</v>
      </c>
      <c r="AX483" s="27" t="s">
        <v>7</v>
      </c>
      <c r="AY483" s="27" t="s">
        <v>8</v>
      </c>
      <c r="BJ483" s="27" t="s">
        <v>7</v>
      </c>
      <c r="BV483" s="27" t="s">
        <v>7</v>
      </c>
      <c r="BX483" s="27" t="s">
        <v>7</v>
      </c>
      <c r="BY483" s="27" t="s">
        <v>8</v>
      </c>
      <c r="CB483" s="27" t="s">
        <v>7</v>
      </c>
      <c r="CC483" s="27" t="s">
        <v>8</v>
      </c>
      <c r="CD483" s="27" t="s">
        <v>7</v>
      </c>
      <c r="CG483" s="27" t="s">
        <v>8</v>
      </c>
      <c r="CO483" s="27" t="s">
        <v>8</v>
      </c>
      <c r="CP483" s="27" t="s">
        <v>7</v>
      </c>
      <c r="DO483" s="27" t="s">
        <v>8</v>
      </c>
      <c r="DQ483" s="27" t="s">
        <v>8</v>
      </c>
      <c r="DR483" s="27" t="s">
        <v>7</v>
      </c>
      <c r="DZ483" s="27" t="s">
        <v>7</v>
      </c>
      <c r="EA483" s="27" t="s">
        <v>8</v>
      </c>
      <c r="EB483" s="27" t="s">
        <v>7</v>
      </c>
      <c r="EC483" s="27" t="s">
        <v>8</v>
      </c>
      <c r="ED483" s="27" t="s">
        <v>7</v>
      </c>
      <c r="EE483" s="27" t="s">
        <v>8</v>
      </c>
      <c r="EF483" s="27" t="s">
        <v>7</v>
      </c>
      <c r="EG483" s="27" t="s">
        <v>8</v>
      </c>
      <c r="EH483" s="27" t="s">
        <v>7</v>
      </c>
      <c r="EI483" s="27" t="s">
        <v>8</v>
      </c>
      <c r="EJ483" s="27" t="s">
        <v>7</v>
      </c>
      <c r="EO483" s="27" t="s">
        <v>8</v>
      </c>
      <c r="EQ483" s="27" t="s">
        <v>8</v>
      </c>
      <c r="ER483" s="27" t="s">
        <v>7</v>
      </c>
    </row>
    <row r="484" spans="1:172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G484" s="27" t="s">
        <v>8</v>
      </c>
      <c r="H484" s="27" t="s">
        <v>7</v>
      </c>
      <c r="AA484" s="27" t="s">
        <v>8</v>
      </c>
      <c r="AB484" s="27" t="s">
        <v>7</v>
      </c>
      <c r="AE484" s="27" t="s">
        <v>8</v>
      </c>
      <c r="AF484" s="27" t="s">
        <v>7</v>
      </c>
      <c r="AG484" s="27" t="s">
        <v>8</v>
      </c>
      <c r="AH484" s="27" t="s">
        <v>7</v>
      </c>
      <c r="AK484" s="27" t="s">
        <v>8</v>
      </c>
      <c r="AL484" s="27" t="s">
        <v>7</v>
      </c>
      <c r="AM484" s="27" t="s">
        <v>8</v>
      </c>
      <c r="AN484" s="27" t="s">
        <v>7</v>
      </c>
      <c r="AQ484" s="27" t="s">
        <v>8</v>
      </c>
      <c r="AR484" s="27" t="s">
        <v>7</v>
      </c>
      <c r="AS484" s="27" t="s">
        <v>8</v>
      </c>
      <c r="AX484" s="27" t="s">
        <v>7</v>
      </c>
      <c r="BX484" s="27" t="s">
        <v>7</v>
      </c>
      <c r="CB484" s="27" t="s">
        <v>7</v>
      </c>
      <c r="CC484" s="27" t="s">
        <v>8</v>
      </c>
      <c r="CD484" s="27" t="s">
        <v>7</v>
      </c>
      <c r="CG484" s="27" t="s">
        <v>8</v>
      </c>
      <c r="CH484" s="27" t="s">
        <v>7</v>
      </c>
      <c r="CO484" s="27" t="s">
        <v>8</v>
      </c>
      <c r="CP484" s="27" t="s">
        <v>7</v>
      </c>
      <c r="DO484" s="27" t="s">
        <v>8</v>
      </c>
      <c r="DP484" s="27" t="s">
        <v>7</v>
      </c>
      <c r="DQ484" s="27" t="s">
        <v>8</v>
      </c>
      <c r="DZ484" s="27" t="s">
        <v>7</v>
      </c>
      <c r="EA484" s="27" t="s">
        <v>8</v>
      </c>
      <c r="EB484" s="27" t="s">
        <v>7</v>
      </c>
      <c r="EC484" s="27" t="s">
        <v>8</v>
      </c>
      <c r="ED484" s="27" t="s">
        <v>7</v>
      </c>
      <c r="EE484" s="27" t="s">
        <v>8</v>
      </c>
      <c r="EF484" s="27" t="s">
        <v>7</v>
      </c>
      <c r="EG484" s="27" t="s">
        <v>8</v>
      </c>
      <c r="EH484" s="27" t="s">
        <v>7</v>
      </c>
      <c r="EI484" s="27" t="s">
        <v>8</v>
      </c>
      <c r="EJ484" s="27" t="s">
        <v>7</v>
      </c>
      <c r="EK484" s="27" t="s">
        <v>8</v>
      </c>
      <c r="EM484" s="27" t="s">
        <v>8</v>
      </c>
      <c r="EO484" s="27" t="s">
        <v>8</v>
      </c>
      <c r="EP484" s="27" t="s">
        <v>7</v>
      </c>
      <c r="EQ484" s="27" t="s">
        <v>8</v>
      </c>
      <c r="ER484" s="27" t="s">
        <v>7</v>
      </c>
      <c r="ES484" s="27" t="s">
        <v>8</v>
      </c>
    </row>
    <row r="485" spans="1:172" x14ac:dyDescent="0.25">
      <c r="A485" s="7">
        <v>7.5373298214297417</v>
      </c>
      <c r="B485"/>
      <c r="C485"/>
      <c r="D485"/>
      <c r="E485" t="s">
        <v>8</v>
      </c>
      <c r="F485" s="27" t="s">
        <v>7</v>
      </c>
      <c r="G485" s="27" t="s">
        <v>8</v>
      </c>
      <c r="H485" s="27" t="s">
        <v>7</v>
      </c>
      <c r="AA485" s="27" t="s">
        <v>8</v>
      </c>
      <c r="AB485" s="27" t="s">
        <v>7</v>
      </c>
      <c r="AE485" s="27" t="s">
        <v>8</v>
      </c>
      <c r="AF485" s="27" t="s">
        <v>7</v>
      </c>
      <c r="AH485" s="27" t="s">
        <v>7</v>
      </c>
      <c r="AK485" s="27" t="s">
        <v>8</v>
      </c>
      <c r="AL485" s="27" t="s">
        <v>7</v>
      </c>
      <c r="AM485" s="27" t="s">
        <v>8</v>
      </c>
      <c r="AN485" s="27" t="s">
        <v>7</v>
      </c>
      <c r="AO485" s="27" t="s">
        <v>8</v>
      </c>
      <c r="AQ485" s="27" t="s">
        <v>8</v>
      </c>
      <c r="AR485" s="27" t="s">
        <v>7</v>
      </c>
      <c r="AS485" s="27" t="s">
        <v>8</v>
      </c>
      <c r="CB485" s="27" t="s">
        <v>7</v>
      </c>
      <c r="CC485" s="27" t="s">
        <v>8</v>
      </c>
      <c r="CD485" s="27" t="s">
        <v>7</v>
      </c>
      <c r="CG485" s="27" t="s">
        <v>8</v>
      </c>
      <c r="CH485" s="27" t="s">
        <v>7</v>
      </c>
      <c r="CO485" s="27" t="s">
        <v>8</v>
      </c>
      <c r="CP485" s="27" t="s">
        <v>7</v>
      </c>
      <c r="DO485" s="27" t="s">
        <v>8</v>
      </c>
      <c r="DP485" s="27" t="s">
        <v>7</v>
      </c>
      <c r="DQ485" s="27" t="s">
        <v>8</v>
      </c>
      <c r="DZ485" s="27" t="s">
        <v>7</v>
      </c>
      <c r="EA485" s="27" t="s">
        <v>8</v>
      </c>
      <c r="EB485" s="27" t="s">
        <v>7</v>
      </c>
      <c r="ED485" s="27" t="s">
        <v>7</v>
      </c>
      <c r="EE485" s="27" t="s">
        <v>8</v>
      </c>
      <c r="EF485" s="27" t="s">
        <v>7</v>
      </c>
      <c r="EG485" s="27" t="s">
        <v>8</v>
      </c>
      <c r="EH485" s="27" t="s">
        <v>7</v>
      </c>
      <c r="EI485" s="27" t="s">
        <v>8</v>
      </c>
      <c r="EJ485" s="27" t="s">
        <v>7</v>
      </c>
      <c r="EK485" s="27" t="s">
        <v>8</v>
      </c>
      <c r="EL485" s="27" t="s">
        <v>7</v>
      </c>
      <c r="EM485" s="27" t="s">
        <v>8</v>
      </c>
      <c r="EN485" s="27" t="s">
        <v>7</v>
      </c>
      <c r="EO485" s="27" t="s">
        <v>8</v>
      </c>
      <c r="EP485" s="27" t="s">
        <v>7</v>
      </c>
      <c r="EQ485" s="27" t="s">
        <v>8</v>
      </c>
      <c r="ER485" s="27" t="s">
        <v>7</v>
      </c>
      <c r="ES485" s="27" t="s">
        <v>8</v>
      </c>
      <c r="ET485" s="27" t="s">
        <v>7</v>
      </c>
    </row>
    <row r="486" spans="1:172" x14ac:dyDescent="0.25">
      <c r="A486" s="7">
        <v>7.389539040617394</v>
      </c>
      <c r="B486"/>
      <c r="C486"/>
      <c r="D486"/>
      <c r="E486" t="s">
        <v>8</v>
      </c>
      <c r="F486" s="27" t="s">
        <v>7</v>
      </c>
      <c r="G486" s="27" t="s">
        <v>8</v>
      </c>
      <c r="H486" s="27" t="s">
        <v>7</v>
      </c>
      <c r="AA486" s="27" t="s">
        <v>8</v>
      </c>
      <c r="AB486" s="27" t="s">
        <v>7</v>
      </c>
      <c r="AE486" s="27" t="s">
        <v>8</v>
      </c>
      <c r="AH486" s="27" t="s">
        <v>7</v>
      </c>
      <c r="AI486" s="27" t="s">
        <v>8</v>
      </c>
      <c r="AK486" s="27" t="s">
        <v>8</v>
      </c>
      <c r="AL486" s="27" t="s">
        <v>7</v>
      </c>
      <c r="AM486" s="27" t="s">
        <v>8</v>
      </c>
      <c r="AN486" s="27" t="s">
        <v>7</v>
      </c>
      <c r="AO486" s="27" t="s">
        <v>8</v>
      </c>
      <c r="AP486" s="27" t="s">
        <v>7</v>
      </c>
      <c r="AQ486" s="27" t="s">
        <v>8</v>
      </c>
      <c r="AR486" s="27" t="s">
        <v>7</v>
      </c>
      <c r="AS486" s="27" t="s">
        <v>8</v>
      </c>
      <c r="CB486" s="27" t="s">
        <v>7</v>
      </c>
      <c r="CC486" s="27" t="s">
        <v>8</v>
      </c>
      <c r="CD486" s="27" t="s">
        <v>7</v>
      </c>
      <c r="CG486" s="27" t="s">
        <v>8</v>
      </c>
      <c r="CH486" s="27" t="s">
        <v>7</v>
      </c>
      <c r="CO486" s="27" t="s">
        <v>8</v>
      </c>
      <c r="CP486" s="27" t="s">
        <v>7</v>
      </c>
      <c r="DO486" s="27" t="s">
        <v>8</v>
      </c>
      <c r="DP486" s="27" t="s">
        <v>7</v>
      </c>
      <c r="DQ486" s="27" t="s">
        <v>8</v>
      </c>
      <c r="DZ486" s="27" t="s">
        <v>7</v>
      </c>
      <c r="EA486" s="27" t="s">
        <v>8</v>
      </c>
      <c r="ED486" s="27" t="s">
        <v>7</v>
      </c>
      <c r="EE486" s="27" t="s">
        <v>8</v>
      </c>
      <c r="EF486" s="27" t="s">
        <v>7</v>
      </c>
      <c r="EG486" s="27" t="s">
        <v>8</v>
      </c>
      <c r="EH486" s="27" t="s">
        <v>7</v>
      </c>
      <c r="EI486" s="27" t="s">
        <v>8</v>
      </c>
      <c r="EJ486" s="27" t="s">
        <v>7</v>
      </c>
      <c r="EK486" s="27" t="s">
        <v>8</v>
      </c>
      <c r="EL486" s="27" t="s">
        <v>7</v>
      </c>
      <c r="EM486" s="27" t="s">
        <v>8</v>
      </c>
      <c r="EN486" s="27" t="s">
        <v>7</v>
      </c>
      <c r="EO486" s="27" t="s">
        <v>8</v>
      </c>
      <c r="EP486" s="27" t="s">
        <v>7</v>
      </c>
      <c r="EQ486" s="27" t="s">
        <v>8</v>
      </c>
      <c r="ER486" s="27" t="s">
        <v>7</v>
      </c>
      <c r="ES486" s="27" t="s">
        <v>8</v>
      </c>
      <c r="ET486" s="27" t="s">
        <v>7</v>
      </c>
    </row>
    <row r="487" spans="1:172" x14ac:dyDescent="0.25">
      <c r="A487" s="7">
        <v>7.2446461182523469</v>
      </c>
      <c r="B487"/>
      <c r="C487"/>
      <c r="D487"/>
      <c r="E487" t="s">
        <v>8</v>
      </c>
      <c r="F487" s="27" t="s">
        <v>7</v>
      </c>
      <c r="G487" s="27" t="s">
        <v>8</v>
      </c>
      <c r="H487" s="27" t="s">
        <v>7</v>
      </c>
      <c r="AA487" s="27" t="s">
        <v>8</v>
      </c>
      <c r="AB487" s="27" t="s">
        <v>7</v>
      </c>
      <c r="AE487" s="27" t="s">
        <v>8</v>
      </c>
      <c r="AH487" s="27" t="s">
        <v>7</v>
      </c>
      <c r="AI487" s="27" t="s">
        <v>8</v>
      </c>
      <c r="AJ487" s="27" t="s">
        <v>7</v>
      </c>
      <c r="AK487" s="27" t="s">
        <v>8</v>
      </c>
      <c r="AL487" s="27" t="s">
        <v>7</v>
      </c>
      <c r="AM487" s="27" t="s">
        <v>8</v>
      </c>
      <c r="AN487" s="27" t="s">
        <v>7</v>
      </c>
      <c r="AO487" s="27" t="s">
        <v>8</v>
      </c>
      <c r="AP487" s="27" t="s">
        <v>7</v>
      </c>
      <c r="AQ487" s="27" t="s">
        <v>8</v>
      </c>
      <c r="AR487" s="27" t="s">
        <v>7</v>
      </c>
      <c r="AS487" s="27" t="s">
        <v>8</v>
      </c>
      <c r="CB487" s="27" t="s">
        <v>7</v>
      </c>
      <c r="CC487" s="27" t="s">
        <v>8</v>
      </c>
      <c r="CD487" s="27" t="s">
        <v>7</v>
      </c>
      <c r="CG487" s="27" t="s">
        <v>8</v>
      </c>
      <c r="CH487" s="27" t="s">
        <v>7</v>
      </c>
      <c r="CO487" s="27" t="s">
        <v>8</v>
      </c>
      <c r="CP487" s="27" t="s">
        <v>7</v>
      </c>
      <c r="DK487" s="27" t="s">
        <v>8</v>
      </c>
      <c r="DO487" s="27" t="s">
        <v>8</v>
      </c>
      <c r="DP487" s="27" t="s">
        <v>7</v>
      </c>
      <c r="DQ487" s="27" t="s">
        <v>8</v>
      </c>
      <c r="DZ487" s="27" t="s">
        <v>7</v>
      </c>
      <c r="ED487" s="27" t="s">
        <v>7</v>
      </c>
      <c r="EE487" s="27" t="s">
        <v>8</v>
      </c>
      <c r="EF487" s="27" t="s">
        <v>7</v>
      </c>
      <c r="EG487" s="27" t="s">
        <v>8</v>
      </c>
      <c r="EH487" s="27" t="s">
        <v>7</v>
      </c>
      <c r="EI487" s="27" t="s">
        <v>8</v>
      </c>
      <c r="EJ487" s="27" t="s">
        <v>7</v>
      </c>
      <c r="EK487" s="27" t="s">
        <v>8</v>
      </c>
      <c r="EL487" s="27" t="s">
        <v>7</v>
      </c>
      <c r="EM487" s="27" t="s">
        <v>8</v>
      </c>
      <c r="EN487" s="27" t="s">
        <v>7</v>
      </c>
      <c r="EO487" s="27" t="s">
        <v>8</v>
      </c>
      <c r="EP487" s="27" t="s">
        <v>7</v>
      </c>
      <c r="ER487" s="27" t="s">
        <v>7</v>
      </c>
      <c r="ET487" s="27" t="s">
        <v>7</v>
      </c>
    </row>
    <row r="488" spans="1:172" x14ac:dyDescent="0.25">
      <c r="A488" s="7">
        <v>7.1025942335807324</v>
      </c>
      <c r="B488"/>
      <c r="C488"/>
      <c r="D488"/>
      <c r="E488" t="s">
        <v>8</v>
      </c>
      <c r="F488" s="27" t="s">
        <v>7</v>
      </c>
      <c r="G488" s="27" t="s">
        <v>8</v>
      </c>
      <c r="H488" s="27" t="s">
        <v>7</v>
      </c>
      <c r="AA488" s="27" t="s">
        <v>8</v>
      </c>
      <c r="AB488" s="27" t="s">
        <v>7</v>
      </c>
      <c r="AE488" s="27" t="s">
        <v>8</v>
      </c>
      <c r="AH488" s="27" t="s">
        <v>7</v>
      </c>
      <c r="AI488" s="27" t="s">
        <v>8</v>
      </c>
      <c r="AJ488" s="27" t="s">
        <v>7</v>
      </c>
      <c r="AK488" s="27" t="s">
        <v>8</v>
      </c>
      <c r="AL488" s="27" t="s">
        <v>7</v>
      </c>
      <c r="AM488" s="27" t="s">
        <v>8</v>
      </c>
      <c r="AN488" s="27" t="s">
        <v>7</v>
      </c>
      <c r="AO488" s="27" t="s">
        <v>8</v>
      </c>
      <c r="AP488" s="27" t="s">
        <v>7</v>
      </c>
      <c r="AQ488" s="27" t="s">
        <v>8</v>
      </c>
      <c r="AR488" s="27" t="s">
        <v>7</v>
      </c>
      <c r="AS488" s="27" t="s">
        <v>8</v>
      </c>
      <c r="CB488" s="27" t="s">
        <v>7</v>
      </c>
      <c r="CC488" s="27" t="s">
        <v>8</v>
      </c>
      <c r="CD488" s="27" t="s">
        <v>7</v>
      </c>
      <c r="CG488" s="27" t="s">
        <v>8</v>
      </c>
      <c r="CH488" s="27" t="s">
        <v>7</v>
      </c>
      <c r="CO488" s="27" t="s">
        <v>8</v>
      </c>
      <c r="CP488" s="27" t="s">
        <v>7</v>
      </c>
      <c r="DK488" s="27" t="s">
        <v>8</v>
      </c>
      <c r="DL488" s="27" t="s">
        <v>7</v>
      </c>
      <c r="DO488" s="27" t="s">
        <v>8</v>
      </c>
      <c r="DP488" s="27" t="s">
        <v>7</v>
      </c>
      <c r="ED488" s="27" t="s">
        <v>7</v>
      </c>
      <c r="EE488" s="27" t="s">
        <v>8</v>
      </c>
      <c r="EF488" s="27" t="s">
        <v>7</v>
      </c>
      <c r="EH488" s="27" t="s">
        <v>7</v>
      </c>
      <c r="EI488" s="27" t="s">
        <v>8</v>
      </c>
      <c r="EJ488" s="27" t="s">
        <v>7</v>
      </c>
      <c r="EK488" s="27" t="s">
        <v>8</v>
      </c>
      <c r="EL488" s="27" t="s">
        <v>7</v>
      </c>
      <c r="EM488" s="27" t="s">
        <v>8</v>
      </c>
      <c r="EN488" s="27" t="s">
        <v>7</v>
      </c>
      <c r="ET488" s="27" t="s">
        <v>7</v>
      </c>
    </row>
    <row r="489" spans="1:172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G489" s="27" t="s">
        <v>8</v>
      </c>
      <c r="H489" s="27" t="s">
        <v>7</v>
      </c>
      <c r="AA489" s="27" t="s">
        <v>8</v>
      </c>
      <c r="AB489" s="27" t="s">
        <v>7</v>
      </c>
      <c r="AE489" s="27" t="s">
        <v>8</v>
      </c>
      <c r="AH489" s="27" t="s">
        <v>7</v>
      </c>
      <c r="AI489" s="27" t="s">
        <v>8</v>
      </c>
      <c r="AJ489" s="27" t="s">
        <v>7</v>
      </c>
      <c r="AK489" s="27" t="s">
        <v>8</v>
      </c>
      <c r="AL489" s="27" t="s">
        <v>7</v>
      </c>
      <c r="AM489" s="27" t="s">
        <v>8</v>
      </c>
      <c r="AN489" s="27" t="s">
        <v>7</v>
      </c>
      <c r="AO489" s="27" t="s">
        <v>8</v>
      </c>
      <c r="AP489" s="27" t="s">
        <v>7</v>
      </c>
      <c r="AQ489" s="27" t="s">
        <v>8</v>
      </c>
      <c r="AR489" s="27" t="s">
        <v>7</v>
      </c>
      <c r="CB489" s="27" t="s">
        <v>7</v>
      </c>
      <c r="CD489" s="27" t="s">
        <v>7</v>
      </c>
      <c r="CG489" s="27" t="s">
        <v>8</v>
      </c>
      <c r="CH489" s="27" t="s">
        <v>7</v>
      </c>
      <c r="CO489" s="27" t="s">
        <v>8</v>
      </c>
      <c r="CP489" s="27" t="s">
        <v>7</v>
      </c>
      <c r="DK489" s="27" t="s">
        <v>8</v>
      </c>
      <c r="DL489" s="27" t="s">
        <v>7</v>
      </c>
      <c r="DO489" s="27" t="s">
        <v>8</v>
      </c>
      <c r="ED489" s="27" t="s">
        <v>7</v>
      </c>
      <c r="EE489" s="27" t="s">
        <v>8</v>
      </c>
      <c r="EH489" s="27" t="s">
        <v>7</v>
      </c>
      <c r="EI489" s="27" t="s">
        <v>8</v>
      </c>
      <c r="EJ489" s="27" t="s">
        <v>7</v>
      </c>
      <c r="EL489" s="27" t="s">
        <v>7</v>
      </c>
      <c r="ET489" s="27" t="s">
        <v>7</v>
      </c>
      <c r="EW489" s="27" t="s">
        <v>8</v>
      </c>
    </row>
    <row r="490" spans="1:172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G490" s="27" t="s">
        <v>8</v>
      </c>
      <c r="H490" s="27" t="s">
        <v>7</v>
      </c>
      <c r="AA490" s="27" t="s">
        <v>8</v>
      </c>
      <c r="AB490" s="27" t="s">
        <v>7</v>
      </c>
      <c r="AC490" s="27" t="s">
        <v>8</v>
      </c>
      <c r="AE490" s="27" t="s">
        <v>8</v>
      </c>
      <c r="AH490" s="27" t="s">
        <v>7</v>
      </c>
      <c r="AI490" s="27" t="s">
        <v>8</v>
      </c>
      <c r="AJ490" s="27" t="s">
        <v>7</v>
      </c>
      <c r="AK490" s="27" t="s">
        <v>8</v>
      </c>
      <c r="AL490" s="27" t="s">
        <v>7</v>
      </c>
      <c r="AM490" s="27" t="s">
        <v>8</v>
      </c>
      <c r="AN490" s="27" t="s">
        <v>7</v>
      </c>
      <c r="AO490" s="27" t="s">
        <v>8</v>
      </c>
      <c r="AP490" s="27" t="s">
        <v>7</v>
      </c>
      <c r="AQ490" s="27" t="s">
        <v>8</v>
      </c>
      <c r="CD490" s="27" t="s">
        <v>7</v>
      </c>
      <c r="CG490" s="27" t="s">
        <v>8</v>
      </c>
      <c r="CH490" s="27" t="s">
        <v>7</v>
      </c>
      <c r="CO490" s="27" t="s">
        <v>8</v>
      </c>
      <c r="CP490" s="27" t="s">
        <v>7</v>
      </c>
      <c r="CS490" s="27" t="s">
        <v>8</v>
      </c>
      <c r="DK490" s="27" t="s">
        <v>8</v>
      </c>
      <c r="DL490" s="27" t="s">
        <v>7</v>
      </c>
      <c r="DO490" s="27" t="s">
        <v>8</v>
      </c>
      <c r="ED490" s="27" t="s">
        <v>7</v>
      </c>
      <c r="EH490" s="27" t="s">
        <v>7</v>
      </c>
      <c r="EI490" s="27" t="s">
        <v>8</v>
      </c>
      <c r="ET490" s="27" t="s">
        <v>7</v>
      </c>
      <c r="EW490" s="27" t="s">
        <v>8</v>
      </c>
      <c r="EX490" s="27" t="s">
        <v>7</v>
      </c>
    </row>
    <row r="491" spans="1:172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G491" s="27" t="s">
        <v>8</v>
      </c>
      <c r="H491" s="27" t="s">
        <v>7</v>
      </c>
      <c r="AA491" s="27" t="s">
        <v>8</v>
      </c>
      <c r="AB491" s="27" t="s">
        <v>7</v>
      </c>
      <c r="AC491" s="27" t="s">
        <v>8</v>
      </c>
      <c r="AD491" s="27" t="s">
        <v>7</v>
      </c>
      <c r="AE491" s="27" t="s">
        <v>8</v>
      </c>
      <c r="AH491" s="27" t="s">
        <v>7</v>
      </c>
      <c r="AI491" s="27" t="s">
        <v>8</v>
      </c>
      <c r="AJ491" s="27" t="s">
        <v>7</v>
      </c>
      <c r="AK491" s="27" t="s">
        <v>8</v>
      </c>
      <c r="AL491" s="27" t="s">
        <v>7</v>
      </c>
      <c r="AM491" s="27" t="s">
        <v>8</v>
      </c>
      <c r="AN491" s="27" t="s">
        <v>7</v>
      </c>
      <c r="AO491" s="27" t="s">
        <v>8</v>
      </c>
      <c r="AP491" s="27" t="s">
        <v>7</v>
      </c>
      <c r="CD491" s="27" t="s">
        <v>7</v>
      </c>
      <c r="CG491" s="27" t="s">
        <v>8</v>
      </c>
      <c r="CH491" s="27" t="s">
        <v>7</v>
      </c>
      <c r="CO491" s="27" t="s">
        <v>8</v>
      </c>
      <c r="CP491" s="27" t="s">
        <v>7</v>
      </c>
      <c r="CQ491" s="27" t="s">
        <v>8</v>
      </c>
      <c r="CS491" s="27" t="s">
        <v>8</v>
      </c>
      <c r="CT491" s="27" t="s">
        <v>7</v>
      </c>
      <c r="CU491" s="27" t="s">
        <v>8</v>
      </c>
      <c r="DK491" s="27" t="s">
        <v>8</v>
      </c>
      <c r="DL491" s="27" t="s">
        <v>7</v>
      </c>
      <c r="DM491" s="27" t="s">
        <v>8</v>
      </c>
      <c r="DO491" s="27" t="s">
        <v>8</v>
      </c>
      <c r="EH491" s="27" t="s">
        <v>7</v>
      </c>
      <c r="ET491" s="27" t="s">
        <v>7</v>
      </c>
      <c r="EW491" s="27" t="s">
        <v>8</v>
      </c>
      <c r="EX491" s="27" t="s">
        <v>7</v>
      </c>
    </row>
    <row r="492" spans="1:172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G492" s="27" t="s">
        <v>8</v>
      </c>
      <c r="H492" s="27" t="s">
        <v>7</v>
      </c>
      <c r="S492" s="27" t="s">
        <v>8</v>
      </c>
      <c r="AA492" s="27" t="s">
        <v>8</v>
      </c>
      <c r="AB492" s="27" t="s">
        <v>7</v>
      </c>
      <c r="AC492" s="27" t="s">
        <v>8</v>
      </c>
      <c r="AD492" s="27" t="s">
        <v>7</v>
      </c>
      <c r="AE492" s="27" t="s">
        <v>8</v>
      </c>
      <c r="AH492" s="27" t="s">
        <v>7</v>
      </c>
      <c r="AI492" s="27" t="s">
        <v>8</v>
      </c>
      <c r="AJ492" s="27" t="s">
        <v>7</v>
      </c>
      <c r="AK492" s="27" t="s">
        <v>8</v>
      </c>
      <c r="AL492" s="27" t="s">
        <v>7</v>
      </c>
      <c r="AM492" s="27" t="s">
        <v>8</v>
      </c>
      <c r="AN492" s="27" t="s">
        <v>7</v>
      </c>
      <c r="AO492" s="27" t="s">
        <v>8</v>
      </c>
      <c r="CD492" s="27" t="s">
        <v>7</v>
      </c>
      <c r="CG492" s="27" t="s">
        <v>8</v>
      </c>
      <c r="CH492" s="27" t="s">
        <v>7</v>
      </c>
      <c r="CK492" s="27" t="s">
        <v>8</v>
      </c>
      <c r="CO492" s="27" t="s">
        <v>8</v>
      </c>
      <c r="CP492" s="27" t="s">
        <v>7</v>
      </c>
      <c r="CQ492" s="27" t="s">
        <v>8</v>
      </c>
      <c r="CR492" s="27" t="s">
        <v>7</v>
      </c>
      <c r="CS492" s="27" t="s">
        <v>8</v>
      </c>
      <c r="CT492" s="27" t="s">
        <v>7</v>
      </c>
      <c r="CU492" s="27" t="s">
        <v>8</v>
      </c>
      <c r="CV492" s="27" t="s">
        <v>7</v>
      </c>
      <c r="DK492" s="27" t="s">
        <v>8</v>
      </c>
      <c r="DL492" s="27" t="s">
        <v>7</v>
      </c>
      <c r="DM492" s="27" t="s">
        <v>8</v>
      </c>
      <c r="DN492" s="27" t="s">
        <v>7</v>
      </c>
      <c r="DO492" s="27" t="s">
        <v>8</v>
      </c>
      <c r="ET492" s="27" t="s">
        <v>7</v>
      </c>
      <c r="EU492" s="27" t="s">
        <v>8</v>
      </c>
      <c r="EW492" s="27" t="s">
        <v>8</v>
      </c>
      <c r="EX492" s="27" t="s">
        <v>7</v>
      </c>
    </row>
    <row r="493" spans="1:172" x14ac:dyDescent="0.25">
      <c r="A493" s="7">
        <v>6.4330384270743668</v>
      </c>
      <c r="B493"/>
      <c r="C493"/>
      <c r="D493"/>
      <c r="E493" t="s">
        <v>8</v>
      </c>
      <c r="F493" s="27" t="s">
        <v>7</v>
      </c>
      <c r="G493" s="27" t="s">
        <v>8</v>
      </c>
      <c r="H493" s="27" t="s">
        <v>7</v>
      </c>
      <c r="S493" s="27" t="s">
        <v>8</v>
      </c>
      <c r="T493" s="27" t="s">
        <v>7</v>
      </c>
      <c r="AA493" s="27" t="s">
        <v>8</v>
      </c>
      <c r="AB493" s="27" t="s">
        <v>7</v>
      </c>
      <c r="AC493" s="27" t="s">
        <v>8</v>
      </c>
      <c r="AD493" s="27" t="s">
        <v>7</v>
      </c>
      <c r="AE493" s="27" t="s">
        <v>8</v>
      </c>
      <c r="AH493" s="27" t="s">
        <v>7</v>
      </c>
      <c r="AI493" s="27" t="s">
        <v>8</v>
      </c>
      <c r="AJ493" s="27" t="s">
        <v>7</v>
      </c>
      <c r="AK493" s="27" t="s">
        <v>8</v>
      </c>
      <c r="AL493" s="27" t="s">
        <v>7</v>
      </c>
      <c r="AM493" s="27" t="s">
        <v>8</v>
      </c>
      <c r="AN493" s="27" t="s">
        <v>7</v>
      </c>
      <c r="AO493" s="27" t="s">
        <v>8</v>
      </c>
      <c r="CD493" s="27" t="s">
        <v>7</v>
      </c>
      <c r="CE493" s="27" t="s">
        <v>8</v>
      </c>
      <c r="CG493" s="27" t="s">
        <v>8</v>
      </c>
      <c r="CH493" s="27" t="s">
        <v>7</v>
      </c>
      <c r="CK493" s="27" t="s">
        <v>8</v>
      </c>
      <c r="CL493" s="27" t="s">
        <v>7</v>
      </c>
      <c r="CO493" s="27" t="s">
        <v>8</v>
      </c>
      <c r="CP493" s="27" t="s">
        <v>7</v>
      </c>
      <c r="CQ493" s="27" t="s">
        <v>8</v>
      </c>
      <c r="CR493" s="27" t="s">
        <v>7</v>
      </c>
      <c r="CS493" s="27" t="s">
        <v>8</v>
      </c>
      <c r="CT493" s="27" t="s">
        <v>7</v>
      </c>
      <c r="CU493" s="27" t="s">
        <v>8</v>
      </c>
      <c r="CV493" s="27" t="s">
        <v>7</v>
      </c>
      <c r="DK493" s="27" t="s">
        <v>8</v>
      </c>
      <c r="DL493" s="27" t="s">
        <v>7</v>
      </c>
      <c r="DM493" s="27" t="s">
        <v>8</v>
      </c>
      <c r="DN493" s="27" t="s">
        <v>7</v>
      </c>
      <c r="DO493" s="27" t="s">
        <v>8</v>
      </c>
      <c r="ET493" s="27" t="s">
        <v>7</v>
      </c>
      <c r="EU493" s="27" t="s">
        <v>8</v>
      </c>
      <c r="EV493" s="27" t="s">
        <v>7</v>
      </c>
      <c r="EW493" s="27" t="s">
        <v>8</v>
      </c>
      <c r="EX493" s="27" t="s">
        <v>7</v>
      </c>
      <c r="EY493" s="27" t="s">
        <v>8</v>
      </c>
      <c r="FO493" s="27" t="s">
        <v>8</v>
      </c>
    </row>
    <row r="494" spans="1:172" x14ac:dyDescent="0.25">
      <c r="A494" s="7">
        <v>6.3069004187003594</v>
      </c>
      <c r="B494"/>
      <c r="C494"/>
      <c r="D494"/>
      <c r="E494" t="s">
        <v>8</v>
      </c>
      <c r="F494" s="27" t="s">
        <v>7</v>
      </c>
      <c r="G494" s="27" t="s">
        <v>8</v>
      </c>
      <c r="H494" s="27" t="s">
        <v>7</v>
      </c>
      <c r="S494" s="27" t="s">
        <v>8</v>
      </c>
      <c r="T494" s="27" t="s">
        <v>7</v>
      </c>
      <c r="AA494" s="27" t="s">
        <v>8</v>
      </c>
      <c r="AB494" s="27" t="s">
        <v>7</v>
      </c>
      <c r="AC494" s="27" t="s">
        <v>8</v>
      </c>
      <c r="AD494" s="27" t="s">
        <v>7</v>
      </c>
      <c r="AE494" s="27" t="s">
        <v>8</v>
      </c>
      <c r="AH494" s="27" t="s">
        <v>7</v>
      </c>
      <c r="AI494" s="27" t="s">
        <v>8</v>
      </c>
      <c r="AJ494" s="27" t="s">
        <v>7</v>
      </c>
      <c r="AK494" s="27" t="s">
        <v>8</v>
      </c>
      <c r="AL494" s="27" t="s">
        <v>7</v>
      </c>
      <c r="AN494" s="27" t="s">
        <v>7</v>
      </c>
      <c r="AO494" s="27" t="s">
        <v>8</v>
      </c>
      <c r="CD494" s="27" t="s">
        <v>7</v>
      </c>
      <c r="CE494" s="27" t="s">
        <v>8</v>
      </c>
      <c r="CF494" s="27" t="s">
        <v>7</v>
      </c>
      <c r="CG494" s="27" t="s">
        <v>8</v>
      </c>
      <c r="CH494" s="27" t="s">
        <v>7</v>
      </c>
      <c r="CK494" s="27" t="s">
        <v>8</v>
      </c>
      <c r="CL494" s="27" t="s">
        <v>7</v>
      </c>
      <c r="CO494" s="27" t="s">
        <v>8</v>
      </c>
      <c r="CP494" s="27" t="s">
        <v>7</v>
      </c>
      <c r="CQ494" s="27" t="s">
        <v>8</v>
      </c>
      <c r="CR494" s="27" t="s">
        <v>7</v>
      </c>
      <c r="CS494" s="27" t="s">
        <v>8</v>
      </c>
      <c r="CT494" s="27" t="s">
        <v>7</v>
      </c>
      <c r="CU494" s="27" t="s">
        <v>8</v>
      </c>
      <c r="CV494" s="27" t="s">
        <v>7</v>
      </c>
      <c r="DE494" s="27" t="s">
        <v>8</v>
      </c>
      <c r="DK494" s="27" t="s">
        <v>8</v>
      </c>
      <c r="DL494" s="27" t="s">
        <v>7</v>
      </c>
      <c r="DN494" s="27" t="s">
        <v>7</v>
      </c>
      <c r="ET494" s="27" t="s">
        <v>7</v>
      </c>
      <c r="EU494" s="27" t="s">
        <v>8</v>
      </c>
      <c r="EV494" s="27" t="s">
        <v>7</v>
      </c>
      <c r="EW494" s="27" t="s">
        <v>8</v>
      </c>
      <c r="EX494" s="27" t="s">
        <v>7</v>
      </c>
      <c r="EY494" s="27" t="s">
        <v>8</v>
      </c>
      <c r="EZ494" s="27" t="s">
        <v>7</v>
      </c>
      <c r="FO494" s="27" t="s">
        <v>8</v>
      </c>
      <c r="FP494" s="27" t="s">
        <v>7</v>
      </c>
    </row>
    <row r="495" spans="1:172" x14ac:dyDescent="0.25">
      <c r="A495" s="7">
        <v>6.1832357046081956</v>
      </c>
      <c r="B495"/>
      <c r="C495"/>
      <c r="D495"/>
      <c r="E495" t="s">
        <v>8</v>
      </c>
      <c r="F495" s="27" t="s">
        <v>7</v>
      </c>
      <c r="G495" s="27" t="s">
        <v>8</v>
      </c>
      <c r="H495" s="27" t="s">
        <v>7</v>
      </c>
      <c r="S495" s="27" t="s">
        <v>8</v>
      </c>
      <c r="T495" s="27" t="s">
        <v>7</v>
      </c>
      <c r="AA495" s="27" t="s">
        <v>8</v>
      </c>
      <c r="AB495" s="27" t="s">
        <v>7</v>
      </c>
      <c r="AC495" s="27" t="s">
        <v>8</v>
      </c>
      <c r="AD495" s="27" t="s">
        <v>7</v>
      </c>
      <c r="AE495" s="27" t="s">
        <v>8</v>
      </c>
      <c r="AH495" s="27" t="s">
        <v>7</v>
      </c>
      <c r="AI495" s="27" t="s">
        <v>8</v>
      </c>
      <c r="AJ495" s="27" t="s">
        <v>7</v>
      </c>
      <c r="AK495" s="27" t="s">
        <v>8</v>
      </c>
      <c r="AN495" s="27" t="s">
        <v>7</v>
      </c>
      <c r="AO495" s="27" t="s">
        <v>8</v>
      </c>
      <c r="CD495" s="27" t="s">
        <v>7</v>
      </c>
      <c r="CE495" s="27" t="s">
        <v>8</v>
      </c>
      <c r="CF495" s="27" t="s">
        <v>7</v>
      </c>
      <c r="CG495" s="27" t="s">
        <v>8</v>
      </c>
      <c r="CH495" s="27" t="s">
        <v>7</v>
      </c>
      <c r="CI495" s="27" t="s">
        <v>8</v>
      </c>
      <c r="CK495" s="27" t="s">
        <v>8</v>
      </c>
      <c r="CL495" s="27" t="s">
        <v>7</v>
      </c>
      <c r="CM495" s="27" t="s">
        <v>8</v>
      </c>
      <c r="CO495" s="27" t="s">
        <v>8</v>
      </c>
      <c r="CP495" s="27" t="s">
        <v>7</v>
      </c>
      <c r="CQ495" s="27" t="s">
        <v>8</v>
      </c>
      <c r="CR495" s="27" t="s">
        <v>7</v>
      </c>
      <c r="CS495" s="27" t="s">
        <v>8</v>
      </c>
      <c r="CT495" s="27" t="s">
        <v>7</v>
      </c>
      <c r="CU495" s="27" t="s">
        <v>8</v>
      </c>
      <c r="CV495" s="27" t="s">
        <v>7</v>
      </c>
      <c r="DE495" s="27" t="s">
        <v>8</v>
      </c>
      <c r="DF495" s="27" t="s">
        <v>7</v>
      </c>
      <c r="DK495" s="27" t="s">
        <v>8</v>
      </c>
      <c r="ET495" s="27" t="s">
        <v>7</v>
      </c>
      <c r="EV495" s="27" t="s">
        <v>7</v>
      </c>
      <c r="EX495" s="27" t="s">
        <v>7</v>
      </c>
      <c r="EY495" s="27" t="s">
        <v>8</v>
      </c>
      <c r="EZ495" s="27" t="s">
        <v>7</v>
      </c>
      <c r="FO495" s="27" t="s">
        <v>8</v>
      </c>
      <c r="FP495" s="27" t="s">
        <v>7</v>
      </c>
    </row>
    <row r="496" spans="1:172" x14ac:dyDescent="0.25">
      <c r="A496" s="7">
        <v>6.0619957888315641</v>
      </c>
      <c r="B496"/>
      <c r="C496"/>
      <c r="D496"/>
      <c r="E496" t="s">
        <v>8</v>
      </c>
      <c r="F496" s="27" t="s">
        <v>7</v>
      </c>
      <c r="G496" s="27" t="s">
        <v>8</v>
      </c>
      <c r="H496" s="27" t="s">
        <v>7</v>
      </c>
      <c r="S496" s="27" t="s">
        <v>8</v>
      </c>
      <c r="T496" s="27" t="s">
        <v>7</v>
      </c>
      <c r="AA496" s="27" t="s">
        <v>8</v>
      </c>
      <c r="AB496" s="27" t="s">
        <v>7</v>
      </c>
      <c r="AC496" s="27" t="s">
        <v>8</v>
      </c>
      <c r="AD496" s="27" t="s">
        <v>7</v>
      </c>
      <c r="AE496" s="27" t="s">
        <v>8</v>
      </c>
      <c r="AH496" s="27" t="s">
        <v>7</v>
      </c>
      <c r="AI496" s="27" t="s">
        <v>8</v>
      </c>
      <c r="AJ496" s="27" t="s">
        <v>7</v>
      </c>
      <c r="AK496" s="27" t="s">
        <v>8</v>
      </c>
      <c r="AN496" s="27" t="s">
        <v>7</v>
      </c>
      <c r="CD496" s="27" t="s">
        <v>7</v>
      </c>
      <c r="CE496" s="27" t="s">
        <v>8</v>
      </c>
      <c r="CF496" s="27" t="s">
        <v>7</v>
      </c>
      <c r="CG496" s="27" t="s">
        <v>8</v>
      </c>
      <c r="CH496" s="27" t="s">
        <v>7</v>
      </c>
      <c r="CI496" s="27" t="s">
        <v>8</v>
      </c>
      <c r="CJ496" s="27" t="s">
        <v>7</v>
      </c>
      <c r="CK496" s="27" t="s">
        <v>8</v>
      </c>
      <c r="CL496" s="27" t="s">
        <v>7</v>
      </c>
      <c r="CM496" s="27" t="s">
        <v>8</v>
      </c>
      <c r="CN496" s="27" t="s">
        <v>7</v>
      </c>
      <c r="CO496" s="27" t="s">
        <v>8</v>
      </c>
      <c r="CP496" s="27" t="s">
        <v>7</v>
      </c>
      <c r="CQ496" s="27" t="s">
        <v>8</v>
      </c>
      <c r="CR496" s="27" t="s">
        <v>7</v>
      </c>
      <c r="CT496" s="27" t="s">
        <v>7</v>
      </c>
      <c r="CV496" s="27" t="s">
        <v>7</v>
      </c>
      <c r="DE496" s="27" t="s">
        <v>8</v>
      </c>
      <c r="DF496" s="27" t="s">
        <v>7</v>
      </c>
      <c r="DG496" s="27" t="s">
        <v>8</v>
      </c>
      <c r="DK496" s="27" t="s">
        <v>8</v>
      </c>
      <c r="EX496" s="27" t="s">
        <v>7</v>
      </c>
      <c r="EZ496" s="27" t="s">
        <v>7</v>
      </c>
      <c r="FO496" s="27" t="s">
        <v>8</v>
      </c>
      <c r="FP496" s="27" t="s">
        <v>7</v>
      </c>
    </row>
    <row r="497" spans="1:183" x14ac:dyDescent="0.25">
      <c r="A497" s="7">
        <v>5.9431331263054545</v>
      </c>
      <c r="B497"/>
      <c r="C497"/>
      <c r="D497"/>
      <c r="E497" t="s">
        <v>8</v>
      </c>
      <c r="F497" s="27" t="s">
        <v>7</v>
      </c>
      <c r="G497" s="27" t="s">
        <v>8</v>
      </c>
      <c r="H497" s="27" t="s">
        <v>7</v>
      </c>
      <c r="K497" s="27" t="s">
        <v>8</v>
      </c>
      <c r="S497" s="27" t="s">
        <v>8</v>
      </c>
      <c r="T497" s="27" t="s">
        <v>7</v>
      </c>
      <c r="AA497" s="27" t="s">
        <v>8</v>
      </c>
      <c r="AB497" s="27" t="s">
        <v>7</v>
      </c>
      <c r="AC497" s="27" t="s">
        <v>8</v>
      </c>
      <c r="AD497" s="27" t="s">
        <v>7</v>
      </c>
      <c r="AE497" s="27" t="s">
        <v>8</v>
      </c>
      <c r="AH497" s="27" t="s">
        <v>7</v>
      </c>
      <c r="AI497" s="27" t="s">
        <v>8</v>
      </c>
      <c r="AJ497" s="27" t="s">
        <v>7</v>
      </c>
      <c r="AK497" s="27" t="s">
        <v>8</v>
      </c>
      <c r="CD497" s="27" t="s">
        <v>7</v>
      </c>
      <c r="CE497" s="27" t="s">
        <v>8</v>
      </c>
      <c r="CF497" s="27" t="s">
        <v>7</v>
      </c>
      <c r="CG497" s="27" t="s">
        <v>8</v>
      </c>
      <c r="CH497" s="27" t="s">
        <v>7</v>
      </c>
      <c r="CI497" s="27" t="s">
        <v>8</v>
      </c>
      <c r="CJ497" s="27" t="s">
        <v>7</v>
      </c>
      <c r="CK497" s="27" t="s">
        <v>8</v>
      </c>
      <c r="CL497" s="27" t="s">
        <v>7</v>
      </c>
      <c r="CM497" s="27" t="s">
        <v>8</v>
      </c>
      <c r="CN497" s="27" t="s">
        <v>7</v>
      </c>
      <c r="CO497" s="27" t="s">
        <v>8</v>
      </c>
      <c r="CP497" s="27" t="s">
        <v>7</v>
      </c>
      <c r="CQ497" s="27" t="s">
        <v>8</v>
      </c>
      <c r="CV497" s="27" t="s">
        <v>7</v>
      </c>
      <c r="DE497" s="27" t="s">
        <v>8</v>
      </c>
      <c r="DF497" s="27" t="s">
        <v>7</v>
      </c>
      <c r="DG497" s="27" t="s">
        <v>8</v>
      </c>
      <c r="DH497" s="27" t="s">
        <v>7</v>
      </c>
      <c r="DK497" s="27" t="s">
        <v>8</v>
      </c>
      <c r="EZ497" s="27" t="s">
        <v>7</v>
      </c>
      <c r="FO497" s="27" t="s">
        <v>8</v>
      </c>
      <c r="FP497" s="27" t="s">
        <v>7</v>
      </c>
    </row>
    <row r="498" spans="1:183" x14ac:dyDescent="0.25">
      <c r="A498" s="7">
        <v>5.8266011042210337</v>
      </c>
      <c r="B498"/>
      <c r="C498"/>
      <c r="D498"/>
      <c r="E498" t="s">
        <v>8</v>
      </c>
      <c r="F498" s="27" t="s">
        <v>7</v>
      </c>
      <c r="G498" s="27" t="s">
        <v>8</v>
      </c>
      <c r="H498" s="27" t="s">
        <v>7</v>
      </c>
      <c r="K498" s="27" t="s">
        <v>8</v>
      </c>
      <c r="L498" s="27" t="s">
        <v>7</v>
      </c>
      <c r="S498" s="27" t="s">
        <v>8</v>
      </c>
      <c r="T498" s="27" t="s">
        <v>7</v>
      </c>
      <c r="AA498" s="27" t="s">
        <v>8</v>
      </c>
      <c r="AB498" s="27" t="s">
        <v>7</v>
      </c>
      <c r="AC498" s="27" t="s">
        <v>8</v>
      </c>
      <c r="AD498" s="27" t="s">
        <v>7</v>
      </c>
      <c r="AH498" s="27" t="s">
        <v>7</v>
      </c>
      <c r="AI498" s="27" t="s">
        <v>8</v>
      </c>
      <c r="AJ498" s="27" t="s">
        <v>7</v>
      </c>
      <c r="AK498" s="27" t="s">
        <v>8</v>
      </c>
      <c r="CD498" s="27" t="s">
        <v>7</v>
      </c>
      <c r="CE498" s="27" t="s">
        <v>8</v>
      </c>
      <c r="CF498" s="27" t="s">
        <v>7</v>
      </c>
      <c r="CG498" s="27" t="s">
        <v>8</v>
      </c>
      <c r="CH498" s="27" t="s">
        <v>7</v>
      </c>
      <c r="CI498" s="27" t="s">
        <v>8</v>
      </c>
      <c r="CJ498" s="27" t="s">
        <v>7</v>
      </c>
      <c r="CK498" s="27" t="s">
        <v>8</v>
      </c>
      <c r="CL498" s="27" t="s">
        <v>7</v>
      </c>
      <c r="CM498" s="27" t="s">
        <v>8</v>
      </c>
      <c r="CN498" s="27" t="s">
        <v>7</v>
      </c>
      <c r="CO498" s="27" t="s">
        <v>8</v>
      </c>
      <c r="CP498" s="27" t="s">
        <v>7</v>
      </c>
      <c r="CQ498" s="27" t="s">
        <v>8</v>
      </c>
      <c r="CV498" s="27" t="s">
        <v>7</v>
      </c>
      <c r="DE498" s="27" t="s">
        <v>8</v>
      </c>
      <c r="DF498" s="27" t="s">
        <v>7</v>
      </c>
      <c r="DG498" s="27" t="s">
        <v>8</v>
      </c>
      <c r="DH498" s="27" t="s">
        <v>7</v>
      </c>
      <c r="DK498" s="27" t="s">
        <v>8</v>
      </c>
      <c r="EZ498" s="27" t="s">
        <v>7</v>
      </c>
      <c r="FO498" s="27" t="s">
        <v>8</v>
      </c>
      <c r="FP498" s="27" t="s">
        <v>7</v>
      </c>
    </row>
    <row r="499" spans="1:183" x14ac:dyDescent="0.25">
      <c r="A499" s="7">
        <v>5.7123540237461112</v>
      </c>
      <c r="B499"/>
      <c r="C499"/>
      <c r="D499"/>
      <c r="E499" t="s">
        <v>8</v>
      </c>
      <c r="F499" s="27" t="s">
        <v>7</v>
      </c>
      <c r="H499" s="27" t="s">
        <v>7</v>
      </c>
      <c r="K499" s="27" t="s">
        <v>8</v>
      </c>
      <c r="L499" s="27" t="s">
        <v>7</v>
      </c>
      <c r="S499" s="27" t="s">
        <v>8</v>
      </c>
      <c r="T499" s="27" t="s">
        <v>7</v>
      </c>
      <c r="AA499" s="27" t="s">
        <v>8</v>
      </c>
      <c r="AB499" s="27" t="s">
        <v>7</v>
      </c>
      <c r="AC499" s="27" t="s">
        <v>8</v>
      </c>
      <c r="AH499" s="27" t="s">
        <v>7</v>
      </c>
      <c r="AI499" s="27" t="s">
        <v>8</v>
      </c>
      <c r="AJ499" s="27" t="s">
        <v>7</v>
      </c>
      <c r="AK499" s="27" t="s">
        <v>8</v>
      </c>
      <c r="CD499" s="27" t="s">
        <v>7</v>
      </c>
      <c r="CE499" s="27" t="s">
        <v>8</v>
      </c>
      <c r="CF499" s="27" t="s">
        <v>7</v>
      </c>
      <c r="CG499" s="27" t="s">
        <v>8</v>
      </c>
      <c r="CH499" s="27" t="s">
        <v>7</v>
      </c>
      <c r="CI499" s="27" t="s">
        <v>8</v>
      </c>
      <c r="CJ499" s="27" t="s">
        <v>7</v>
      </c>
      <c r="CK499" s="27" t="s">
        <v>8</v>
      </c>
      <c r="CL499" s="27" t="s">
        <v>7</v>
      </c>
      <c r="CM499" s="27" t="s">
        <v>8</v>
      </c>
      <c r="CN499" s="27" t="s">
        <v>7</v>
      </c>
      <c r="CO499" s="27" t="s">
        <v>8</v>
      </c>
      <c r="CP499" s="27" t="s">
        <v>7</v>
      </c>
      <c r="CQ499" s="27" t="s">
        <v>8</v>
      </c>
      <c r="CV499" s="27" t="s">
        <v>7</v>
      </c>
      <c r="DE499" s="27" t="s">
        <v>8</v>
      </c>
      <c r="DF499" s="27" t="s">
        <v>7</v>
      </c>
      <c r="DG499" s="27" t="s">
        <v>8</v>
      </c>
      <c r="DH499" s="27" t="s">
        <v>7</v>
      </c>
      <c r="DI499" s="18" t="s">
        <v>8</v>
      </c>
      <c r="DK499" s="27" t="s">
        <v>8</v>
      </c>
      <c r="EZ499" s="27" t="s">
        <v>7</v>
      </c>
      <c r="FA499" s="27" t="s">
        <v>8</v>
      </c>
      <c r="FO499" s="27" t="s">
        <v>8</v>
      </c>
      <c r="FP499" s="27" t="s">
        <v>7</v>
      </c>
    </row>
    <row r="500" spans="1:183" x14ac:dyDescent="0.25">
      <c r="A500" s="7">
        <v>5.6003470821040304</v>
      </c>
      <c r="B500"/>
      <c r="C500"/>
      <c r="D500"/>
      <c r="E500" t="s">
        <v>8</v>
      </c>
      <c r="H500" s="27" t="s">
        <v>7</v>
      </c>
      <c r="K500" s="27" t="s">
        <v>8</v>
      </c>
      <c r="L500" s="27" t="s">
        <v>7</v>
      </c>
      <c r="S500" s="27" t="s">
        <v>8</v>
      </c>
      <c r="T500" s="27" t="s">
        <v>7</v>
      </c>
      <c r="AA500" s="27" t="s">
        <v>8</v>
      </c>
      <c r="AB500" s="27" t="s">
        <v>7</v>
      </c>
      <c r="AC500" s="27" t="s">
        <v>8</v>
      </c>
      <c r="AH500" s="27" t="s">
        <v>7</v>
      </c>
      <c r="AI500" s="27" t="s">
        <v>8</v>
      </c>
      <c r="AJ500" s="27" t="s">
        <v>7</v>
      </c>
      <c r="CD500" s="27" t="s">
        <v>7</v>
      </c>
      <c r="CE500" s="27" t="s">
        <v>8</v>
      </c>
      <c r="CF500" s="27" t="s">
        <v>7</v>
      </c>
      <c r="CG500" s="27" t="s">
        <v>8</v>
      </c>
      <c r="CH500" s="27" t="s">
        <v>7</v>
      </c>
      <c r="CI500" s="27" t="s">
        <v>8</v>
      </c>
      <c r="CJ500" s="27" t="s">
        <v>7</v>
      </c>
      <c r="CL500" s="27" t="s">
        <v>7</v>
      </c>
      <c r="CN500" s="27" t="s">
        <v>7</v>
      </c>
      <c r="CO500" s="27" t="s">
        <v>8</v>
      </c>
      <c r="CP500" s="27" t="s">
        <v>7</v>
      </c>
      <c r="CV500" s="27" t="s">
        <v>7</v>
      </c>
      <c r="DE500" s="27" t="s">
        <v>8</v>
      </c>
      <c r="DF500" s="27" t="s">
        <v>7</v>
      </c>
      <c r="DG500" s="27" t="s">
        <v>8</v>
      </c>
      <c r="DH500" s="27" t="s">
        <v>7</v>
      </c>
      <c r="DI500" s="27" t="s">
        <v>8</v>
      </c>
      <c r="DJ500" s="27" t="s">
        <v>7</v>
      </c>
      <c r="DK500" s="27" t="s">
        <v>8</v>
      </c>
      <c r="EZ500" s="27" t="s">
        <v>7</v>
      </c>
      <c r="FA500" s="27" t="s">
        <v>8</v>
      </c>
      <c r="FB500" s="27" t="s">
        <v>7</v>
      </c>
      <c r="FO500" s="27" t="s">
        <v>8</v>
      </c>
      <c r="FP500" s="27" t="s">
        <v>7</v>
      </c>
    </row>
    <row r="501" spans="1:183" x14ac:dyDescent="0.25">
      <c r="A501" s="7">
        <v>5.4905363550039512</v>
      </c>
      <c r="B501"/>
      <c r="C501"/>
      <c r="D501"/>
      <c r="E501" t="s">
        <v>8</v>
      </c>
      <c r="H501" s="27" t="s">
        <v>7</v>
      </c>
      <c r="K501" s="27" t="s">
        <v>8</v>
      </c>
      <c r="L501" s="27" t="s">
        <v>7</v>
      </c>
      <c r="S501" s="27" t="s">
        <v>8</v>
      </c>
      <c r="T501" s="27" t="s">
        <v>7</v>
      </c>
      <c r="AA501" s="27" t="s">
        <v>8</v>
      </c>
      <c r="AB501" s="27" t="s">
        <v>7</v>
      </c>
      <c r="AC501" s="27" t="s">
        <v>8</v>
      </c>
      <c r="AH501" s="27" t="s">
        <v>7</v>
      </c>
      <c r="AI501" s="27" t="s">
        <v>8</v>
      </c>
      <c r="CD501" s="27" t="s">
        <v>7</v>
      </c>
      <c r="CE501" s="27" t="s">
        <v>8</v>
      </c>
      <c r="CF501" s="27" t="s">
        <v>7</v>
      </c>
      <c r="CG501" s="27" t="s">
        <v>8</v>
      </c>
      <c r="CH501" s="27" t="s">
        <v>7</v>
      </c>
      <c r="CI501" s="27" t="s">
        <v>8</v>
      </c>
      <c r="CN501" s="27" t="s">
        <v>7</v>
      </c>
      <c r="CO501" s="27" t="s">
        <v>8</v>
      </c>
      <c r="CV501" s="27" t="s">
        <v>7</v>
      </c>
      <c r="CW501" s="27" t="s">
        <v>8</v>
      </c>
      <c r="DE501" s="27" t="s">
        <v>8</v>
      </c>
      <c r="DF501" s="27" t="s">
        <v>7</v>
      </c>
      <c r="DH501" s="27" t="s">
        <v>7</v>
      </c>
      <c r="DI501" s="27" t="s">
        <v>8</v>
      </c>
      <c r="DJ501" s="27" t="s">
        <v>7</v>
      </c>
      <c r="DK501" s="27" t="s">
        <v>8</v>
      </c>
      <c r="EZ501" s="27" t="s">
        <v>7</v>
      </c>
      <c r="FA501" s="27" t="s">
        <v>8</v>
      </c>
      <c r="FB501" s="27" t="s">
        <v>7</v>
      </c>
      <c r="FE501" s="27" t="s">
        <v>8</v>
      </c>
      <c r="FO501" s="27" t="s">
        <v>8</v>
      </c>
      <c r="FP501" s="27" t="s">
        <v>7</v>
      </c>
    </row>
    <row r="502" spans="1:183" x14ac:dyDescent="0.25">
      <c r="A502" s="7">
        <v>5.3828787794156385</v>
      </c>
      <c r="B502"/>
      <c r="C502"/>
      <c r="D502"/>
      <c r="E502" t="s">
        <v>8</v>
      </c>
      <c r="H502" s="27" t="s">
        <v>7</v>
      </c>
      <c r="K502" s="27" t="s">
        <v>8</v>
      </c>
      <c r="L502" s="27" t="s">
        <v>7</v>
      </c>
      <c r="S502" s="27" t="s">
        <v>8</v>
      </c>
      <c r="T502" s="27" t="s">
        <v>7</v>
      </c>
      <c r="AA502" s="27" t="s">
        <v>8</v>
      </c>
      <c r="AB502" s="27" t="s">
        <v>7</v>
      </c>
      <c r="AH502" s="27" t="s">
        <v>7</v>
      </c>
      <c r="CD502" s="27" t="s">
        <v>7</v>
      </c>
      <c r="CE502" s="27" t="s">
        <v>8</v>
      </c>
      <c r="CF502" s="27" t="s">
        <v>7</v>
      </c>
      <c r="CH502" s="27" t="s">
        <v>7</v>
      </c>
      <c r="CN502" s="27" t="s">
        <v>7</v>
      </c>
      <c r="CO502" s="27" t="s">
        <v>8</v>
      </c>
      <c r="CV502" s="27" t="s">
        <v>7</v>
      </c>
      <c r="CW502" s="27" t="s">
        <v>8</v>
      </c>
      <c r="CX502" s="27" t="s">
        <v>7</v>
      </c>
      <c r="DA502" s="27" t="s">
        <v>8</v>
      </c>
      <c r="DC502" s="27" t="s">
        <v>8</v>
      </c>
      <c r="DE502" s="27" t="s">
        <v>8</v>
      </c>
      <c r="DH502" s="27" t="s">
        <v>7</v>
      </c>
      <c r="DI502" s="27" t="s">
        <v>8</v>
      </c>
      <c r="DJ502" s="27" t="s">
        <v>7</v>
      </c>
      <c r="DK502" s="27" t="s">
        <v>8</v>
      </c>
      <c r="EZ502" s="27" t="s">
        <v>7</v>
      </c>
      <c r="FA502" s="27" t="s">
        <v>8</v>
      </c>
      <c r="FB502" s="27" t="s">
        <v>7</v>
      </c>
      <c r="FE502" s="27" t="s">
        <v>8</v>
      </c>
      <c r="FF502" s="27" t="s">
        <v>7</v>
      </c>
      <c r="FO502" s="27" t="s">
        <v>8</v>
      </c>
      <c r="FP502" s="27" t="s">
        <v>7</v>
      </c>
    </row>
    <row r="503" spans="1:183" x14ac:dyDescent="0.25">
      <c r="A503" s="7">
        <v>5.2773321366819985</v>
      </c>
      <c r="B503"/>
      <c r="C503"/>
      <c r="D503"/>
      <c r="E503" t="s">
        <v>8</v>
      </c>
      <c r="H503" s="27" t="s">
        <v>7</v>
      </c>
      <c r="K503" s="27" t="s">
        <v>8</v>
      </c>
      <c r="L503" s="27" t="s">
        <v>7</v>
      </c>
      <c r="S503" s="27" t="s">
        <v>8</v>
      </c>
      <c r="T503" s="27" t="s">
        <v>7</v>
      </c>
      <c r="AA503" s="27" t="s">
        <v>8</v>
      </c>
      <c r="CD503" s="27" t="s">
        <v>7</v>
      </c>
      <c r="CE503" s="27" t="s">
        <v>8</v>
      </c>
      <c r="CN503" s="27" t="s">
        <v>7</v>
      </c>
      <c r="CO503" s="27" t="s">
        <v>8</v>
      </c>
      <c r="CV503" s="27" t="s">
        <v>7</v>
      </c>
      <c r="CW503" s="27" t="s">
        <v>8</v>
      </c>
      <c r="CX503" s="27" t="s">
        <v>7</v>
      </c>
      <c r="CY503" s="27" t="s">
        <v>8</v>
      </c>
      <c r="DA503" s="27" t="s">
        <v>8</v>
      </c>
      <c r="DB503" s="27" t="s">
        <v>7</v>
      </c>
      <c r="DC503" s="27" t="s">
        <v>8</v>
      </c>
      <c r="DD503" s="27" t="s">
        <v>7</v>
      </c>
      <c r="DE503" s="27" t="s">
        <v>8</v>
      </c>
      <c r="DH503" s="27" t="s">
        <v>7</v>
      </c>
      <c r="DI503" s="27" t="s">
        <v>8</v>
      </c>
      <c r="DJ503" s="27" t="s">
        <v>7</v>
      </c>
      <c r="DK503" s="27" t="s">
        <v>8</v>
      </c>
      <c r="EZ503" s="27" t="s">
        <v>7</v>
      </c>
      <c r="FA503" s="27" t="s">
        <v>8</v>
      </c>
      <c r="FB503" s="27" t="s">
        <v>7</v>
      </c>
      <c r="FE503" s="27" t="s">
        <v>8</v>
      </c>
      <c r="FF503" s="27" t="s">
        <v>7</v>
      </c>
      <c r="FO503" s="27" t="s">
        <v>8</v>
      </c>
      <c r="FP503" s="27" t="s">
        <v>7</v>
      </c>
    </row>
    <row r="504" spans="1:183" x14ac:dyDescent="0.25">
      <c r="A504" s="7">
        <v>5.1738550359627435</v>
      </c>
      <c r="B504"/>
      <c r="C504"/>
      <c r="D504"/>
      <c r="E504" t="s">
        <v>8</v>
      </c>
      <c r="H504" s="27" t="s">
        <v>7</v>
      </c>
      <c r="K504" s="27" t="s">
        <v>8</v>
      </c>
      <c r="L504" s="27" t="s">
        <v>7</v>
      </c>
      <c r="S504" s="27" t="s">
        <v>8</v>
      </c>
      <c r="T504" s="27" t="s">
        <v>7</v>
      </c>
      <c r="AA504" s="27" t="s">
        <v>8</v>
      </c>
      <c r="CD504" s="27" t="s">
        <v>7</v>
      </c>
      <c r="CE504" s="27" t="s">
        <v>8</v>
      </c>
      <c r="CN504" s="27" t="s">
        <v>7</v>
      </c>
      <c r="CO504" s="27" t="s">
        <v>8</v>
      </c>
      <c r="CV504" s="27" t="s">
        <v>7</v>
      </c>
      <c r="CW504" s="27" t="s">
        <v>8</v>
      </c>
      <c r="CX504" s="27" t="s">
        <v>7</v>
      </c>
      <c r="CY504" s="27" t="s">
        <v>8</v>
      </c>
      <c r="CZ504" s="27" t="s">
        <v>7</v>
      </c>
      <c r="DA504" s="27" t="s">
        <v>8</v>
      </c>
      <c r="DB504" s="27" t="s">
        <v>7</v>
      </c>
      <c r="DC504" s="27" t="s">
        <v>8</v>
      </c>
      <c r="DD504" s="27" t="s">
        <v>7</v>
      </c>
      <c r="DE504" s="27" t="s">
        <v>8</v>
      </c>
      <c r="DH504" s="27" t="s">
        <v>7</v>
      </c>
      <c r="DJ504" s="27" t="s">
        <v>7</v>
      </c>
      <c r="EZ504" s="27" t="s">
        <v>7</v>
      </c>
      <c r="FB504" s="27" t="s">
        <v>7</v>
      </c>
      <c r="FE504" s="27" t="s">
        <v>8</v>
      </c>
      <c r="FF504" s="27" t="s">
        <v>7</v>
      </c>
      <c r="FO504" s="27" t="s">
        <v>8</v>
      </c>
      <c r="FP504" s="27" t="s">
        <v>7</v>
      </c>
    </row>
    <row r="505" spans="1:183" x14ac:dyDescent="0.25">
      <c r="A505" s="7">
        <v>5.07240689800269</v>
      </c>
      <c r="B505"/>
      <c r="C505"/>
      <c r="D505"/>
      <c r="E505" t="s">
        <v>8</v>
      </c>
      <c r="H505" s="27" t="s">
        <v>7</v>
      </c>
      <c r="K505" s="27" t="s">
        <v>8</v>
      </c>
      <c r="L505" s="27" t="s">
        <v>7</v>
      </c>
      <c r="S505" s="27" t="s">
        <v>8</v>
      </c>
      <c r="T505" s="27" t="s">
        <v>7</v>
      </c>
      <c r="AA505" s="27" t="s">
        <v>8</v>
      </c>
      <c r="CD505" s="27" t="s">
        <v>7</v>
      </c>
      <c r="CE505" s="27" t="s">
        <v>8</v>
      </c>
      <c r="CN505" s="27" t="s">
        <v>7</v>
      </c>
      <c r="CO505" s="27" t="s">
        <v>8</v>
      </c>
      <c r="CV505" s="27" t="s">
        <v>7</v>
      </c>
      <c r="CW505" s="27" t="s">
        <v>8</v>
      </c>
      <c r="CX505" s="27" t="s">
        <v>7</v>
      </c>
      <c r="CY505" s="27" t="s">
        <v>8</v>
      </c>
      <c r="CZ505" s="27" t="s">
        <v>7</v>
      </c>
      <c r="DA505" s="27" t="s">
        <v>8</v>
      </c>
      <c r="DB505" s="27" t="s">
        <v>7</v>
      </c>
      <c r="DC505" s="27" t="s">
        <v>8</v>
      </c>
      <c r="DD505" s="27" t="s">
        <v>7</v>
      </c>
      <c r="DE505" s="27" t="s">
        <v>8</v>
      </c>
      <c r="FB505" s="27" t="s">
        <v>7</v>
      </c>
      <c r="FC505" s="27" t="s">
        <v>8</v>
      </c>
      <c r="FE505" s="27" t="s">
        <v>8</v>
      </c>
      <c r="FF505" s="27" t="s">
        <v>7</v>
      </c>
      <c r="FO505" s="27" t="s">
        <v>8</v>
      </c>
      <c r="FP505" s="27" t="s">
        <v>7</v>
      </c>
    </row>
    <row r="506" spans="1:183" x14ac:dyDescent="0.25">
      <c r="A506" s="7">
        <v>4.9729479392183231</v>
      </c>
      <c r="B506"/>
      <c r="C506"/>
      <c r="D506"/>
      <c r="E506" t="s">
        <v>8</v>
      </c>
      <c r="H506" s="27" t="s">
        <v>7</v>
      </c>
      <c r="K506" s="27" t="s">
        <v>8</v>
      </c>
      <c r="L506" s="27" t="s">
        <v>7</v>
      </c>
      <c r="S506" s="27" t="s">
        <v>8</v>
      </c>
      <c r="T506" s="27" t="s">
        <v>7</v>
      </c>
      <c r="AA506" s="27" t="s">
        <v>8</v>
      </c>
      <c r="CD506" s="27" t="s">
        <v>7</v>
      </c>
      <c r="CE506" s="27" t="s">
        <v>8</v>
      </c>
      <c r="CN506" s="27" t="s">
        <v>7</v>
      </c>
      <c r="CO506" s="27" t="s">
        <v>8</v>
      </c>
      <c r="CV506" s="27" t="s">
        <v>7</v>
      </c>
      <c r="CW506" s="27" t="s">
        <v>8</v>
      </c>
      <c r="CX506" s="27" t="s">
        <v>7</v>
      </c>
      <c r="CY506" s="27" t="s">
        <v>8</v>
      </c>
      <c r="CZ506" s="27" t="s">
        <v>7</v>
      </c>
      <c r="DA506" s="27" t="s">
        <v>8</v>
      </c>
      <c r="DB506" s="27" t="s">
        <v>7</v>
      </c>
      <c r="DC506" s="27" t="s">
        <v>8</v>
      </c>
      <c r="DD506" s="27" t="s">
        <v>7</v>
      </c>
      <c r="DE506" s="27" t="s">
        <v>8</v>
      </c>
      <c r="FB506" s="27" t="s">
        <v>7</v>
      </c>
      <c r="FC506" s="27" t="s">
        <v>8</v>
      </c>
      <c r="FD506" s="27" t="s">
        <v>7</v>
      </c>
      <c r="FE506" s="27" t="s">
        <v>8</v>
      </c>
      <c r="FF506" s="27" t="s">
        <v>7</v>
      </c>
      <c r="FO506" s="27" t="s">
        <v>8</v>
      </c>
      <c r="FP506" s="27" t="s">
        <v>7</v>
      </c>
    </row>
    <row r="507" spans="1:183" x14ac:dyDescent="0.25">
      <c r="A507" s="7">
        <v>4.8754391560963954</v>
      </c>
      <c r="B507"/>
      <c r="C507"/>
      <c r="D507"/>
      <c r="E507" t="s">
        <v>8</v>
      </c>
      <c r="H507" s="27" t="s">
        <v>7</v>
      </c>
      <c r="I507" s="27" t="s">
        <v>8</v>
      </c>
      <c r="K507" s="27" t="s">
        <v>8</v>
      </c>
      <c r="L507" s="27" t="s">
        <v>7</v>
      </c>
      <c r="M507" s="27" t="s">
        <v>8</v>
      </c>
      <c r="S507" s="27" t="s">
        <v>8</v>
      </c>
      <c r="T507" s="27" t="s">
        <v>7</v>
      </c>
      <c r="AA507" s="27" t="s">
        <v>8</v>
      </c>
      <c r="CD507" s="27" t="s">
        <v>7</v>
      </c>
      <c r="CN507" s="27" t="s">
        <v>7</v>
      </c>
      <c r="CO507" s="27" t="s">
        <v>8</v>
      </c>
      <c r="CV507" s="27" t="s">
        <v>7</v>
      </c>
      <c r="CW507" s="27" t="s">
        <v>8</v>
      </c>
      <c r="CX507" s="27" t="s">
        <v>7</v>
      </c>
      <c r="CY507" s="27" t="s">
        <v>8</v>
      </c>
      <c r="CZ507" s="27" t="s">
        <v>7</v>
      </c>
      <c r="DB507" s="27" t="s">
        <v>7</v>
      </c>
      <c r="DD507" s="27" t="s">
        <v>7</v>
      </c>
      <c r="DE507" s="27" t="s">
        <v>8</v>
      </c>
      <c r="FB507" s="27" t="s">
        <v>7</v>
      </c>
      <c r="FC507" s="27" t="s">
        <v>8</v>
      </c>
      <c r="FD507" s="27" t="s">
        <v>7</v>
      </c>
      <c r="FE507" s="27" t="s">
        <v>8</v>
      </c>
      <c r="FF507" s="27" t="s">
        <v>7</v>
      </c>
      <c r="FM507" s="27" t="s">
        <v>8</v>
      </c>
      <c r="FO507" s="27" t="s">
        <v>8</v>
      </c>
      <c r="FP507" s="27" t="s">
        <v>7</v>
      </c>
    </row>
    <row r="508" spans="1:183" x14ac:dyDescent="0.25">
      <c r="A508" s="7">
        <v>4.7798423098984264</v>
      </c>
      <c r="B508"/>
      <c r="C508"/>
      <c r="D508"/>
      <c r="E508" t="s">
        <v>8</v>
      </c>
      <c r="H508" s="27" t="s">
        <v>7</v>
      </c>
      <c r="I508" s="27" t="s">
        <v>8</v>
      </c>
      <c r="J508" s="27" t="s">
        <v>7</v>
      </c>
      <c r="K508" s="27" t="s">
        <v>8</v>
      </c>
      <c r="L508" s="27" t="s">
        <v>7</v>
      </c>
      <c r="M508" s="27" t="s">
        <v>8</v>
      </c>
      <c r="N508" s="27" t="s">
        <v>7</v>
      </c>
      <c r="S508" s="27" t="s">
        <v>8</v>
      </c>
      <c r="T508" s="27" t="s">
        <v>7</v>
      </c>
      <c r="AA508" s="27" t="s">
        <v>8</v>
      </c>
      <c r="CN508" s="27" t="s">
        <v>7</v>
      </c>
      <c r="CO508" s="27" t="s">
        <v>8</v>
      </c>
      <c r="CV508" s="27" t="s">
        <v>7</v>
      </c>
      <c r="CW508" s="27" t="s">
        <v>8</v>
      </c>
      <c r="CX508" s="27" t="s">
        <v>7</v>
      </c>
      <c r="CY508" s="27" t="s">
        <v>8</v>
      </c>
      <c r="DD508" s="27" t="s">
        <v>7</v>
      </c>
      <c r="FB508" s="27" t="s">
        <v>7</v>
      </c>
      <c r="FC508" s="27" t="s">
        <v>8</v>
      </c>
      <c r="FD508" s="27" t="s">
        <v>7</v>
      </c>
      <c r="FE508" s="27" t="s">
        <v>8</v>
      </c>
      <c r="FF508" s="27" t="s">
        <v>7</v>
      </c>
      <c r="FM508" s="27" t="s">
        <v>8</v>
      </c>
      <c r="FN508" s="27" t="s">
        <v>7</v>
      </c>
      <c r="FO508" s="27" t="s">
        <v>8</v>
      </c>
      <c r="FP508" s="27" t="s">
        <v>7</v>
      </c>
    </row>
    <row r="509" spans="1:183" x14ac:dyDescent="0.25">
      <c r="A509" s="7">
        <v>4.6861199116651235</v>
      </c>
      <c r="B509"/>
      <c r="C509"/>
      <c r="D509"/>
      <c r="E509" t="s">
        <v>8</v>
      </c>
      <c r="H509" s="27" t="s">
        <v>7</v>
      </c>
      <c r="I509" s="27" t="s">
        <v>8</v>
      </c>
      <c r="J509" s="27" t="s">
        <v>7</v>
      </c>
      <c r="K509" s="27" t="s">
        <v>8</v>
      </c>
      <c r="L509" s="27" t="s">
        <v>7</v>
      </c>
      <c r="M509" s="27" t="s">
        <v>8</v>
      </c>
      <c r="N509" s="27" t="s">
        <v>7</v>
      </c>
      <c r="S509" s="27" t="s">
        <v>8</v>
      </c>
      <c r="T509" s="27" t="s">
        <v>7</v>
      </c>
      <c r="AA509" s="27" t="s">
        <v>8</v>
      </c>
      <c r="CN509" s="27" t="s">
        <v>7</v>
      </c>
      <c r="CO509" s="27" t="s">
        <v>8</v>
      </c>
      <c r="CV509" s="27" t="s">
        <v>7</v>
      </c>
      <c r="CX509" s="27" t="s">
        <v>7</v>
      </c>
      <c r="FB509" s="27" t="s">
        <v>7</v>
      </c>
      <c r="FD509" s="27" t="s">
        <v>7</v>
      </c>
      <c r="FE509" s="27" t="s">
        <v>8</v>
      </c>
      <c r="FF509" s="27" t="s">
        <v>7</v>
      </c>
      <c r="FM509" s="27" t="s">
        <v>8</v>
      </c>
      <c r="FN509" s="27" t="s">
        <v>7</v>
      </c>
      <c r="FO509" s="27" t="s">
        <v>8</v>
      </c>
      <c r="FP509" s="27" t="s">
        <v>7</v>
      </c>
    </row>
    <row r="510" spans="1:183" x14ac:dyDescent="0.25">
      <c r="A510" s="7">
        <v>4.5942352075148269</v>
      </c>
      <c r="B510"/>
      <c r="C510"/>
      <c r="D510"/>
      <c r="E510" t="s">
        <v>8</v>
      </c>
      <c r="H510" s="27" t="s">
        <v>7</v>
      </c>
      <c r="I510" s="27" t="s">
        <v>8</v>
      </c>
      <c r="J510" s="27" t="s">
        <v>7</v>
      </c>
      <c r="K510" s="27" t="s">
        <v>8</v>
      </c>
      <c r="L510" s="27" t="s">
        <v>7</v>
      </c>
      <c r="M510" s="27" t="s">
        <v>8</v>
      </c>
      <c r="N510" s="27" t="s">
        <v>7</v>
      </c>
      <c r="O510" s="27" t="s">
        <v>8</v>
      </c>
      <c r="S510" s="27" t="s">
        <v>8</v>
      </c>
      <c r="T510" s="27" t="s">
        <v>7</v>
      </c>
      <c r="AA510" s="27" t="s">
        <v>8</v>
      </c>
      <c r="CN510" s="27" t="s">
        <v>7</v>
      </c>
      <c r="FD510" s="27" t="s">
        <v>7</v>
      </c>
      <c r="FE510" s="27" t="s">
        <v>8</v>
      </c>
      <c r="FF510" s="27" t="s">
        <v>7</v>
      </c>
      <c r="FM510" s="27" t="s">
        <v>8</v>
      </c>
      <c r="FN510" s="27" t="s">
        <v>7</v>
      </c>
      <c r="FO510" s="27" t="s">
        <v>8</v>
      </c>
      <c r="FP510" s="27" t="s">
        <v>7</v>
      </c>
    </row>
    <row r="511" spans="1:183" x14ac:dyDescent="0.25">
      <c r="A511" s="7">
        <v>4.5041521642302227</v>
      </c>
      <c r="B511"/>
      <c r="C511"/>
      <c r="D511"/>
      <c r="E511" t="s">
        <v>8</v>
      </c>
      <c r="H511" s="27" t="s">
        <v>7</v>
      </c>
      <c r="I511" s="27" t="s">
        <v>8</v>
      </c>
      <c r="J511" s="27" t="s">
        <v>7</v>
      </c>
      <c r="K511" s="27" t="s">
        <v>8</v>
      </c>
      <c r="L511" s="27" t="s">
        <v>7</v>
      </c>
      <c r="M511" s="27" t="s">
        <v>8</v>
      </c>
      <c r="N511" s="27" t="s">
        <v>7</v>
      </c>
      <c r="O511" s="27" t="s">
        <v>8</v>
      </c>
      <c r="P511" s="27" t="s">
        <v>7</v>
      </c>
      <c r="S511" s="27" t="s">
        <v>8</v>
      </c>
      <c r="T511" s="27" t="s">
        <v>7</v>
      </c>
      <c r="Y511" s="27" t="s">
        <v>8</v>
      </c>
      <c r="AA511" s="27" t="s">
        <v>8</v>
      </c>
      <c r="FD511" s="27" t="s">
        <v>7</v>
      </c>
      <c r="FE511" s="27" t="s">
        <v>8</v>
      </c>
      <c r="FF511" s="27" t="s">
        <v>7</v>
      </c>
      <c r="FG511" s="27" t="s">
        <v>8</v>
      </c>
      <c r="FM511" s="27" t="s">
        <v>8</v>
      </c>
      <c r="FN511" s="27" t="s">
        <v>7</v>
      </c>
      <c r="FO511" s="27" t="s">
        <v>8</v>
      </c>
      <c r="FP511" s="27" t="s">
        <v>7</v>
      </c>
    </row>
    <row r="512" spans="1:183" x14ac:dyDescent="0.25">
      <c r="A512" s="7">
        <v>4.4158354551276693</v>
      </c>
      <c r="B512"/>
      <c r="C512"/>
      <c r="D512"/>
      <c r="E512" t="s">
        <v>8</v>
      </c>
      <c r="H512" s="27" t="s">
        <v>7</v>
      </c>
      <c r="I512" s="27" t="s">
        <v>8</v>
      </c>
      <c r="J512" s="27" t="s">
        <v>7</v>
      </c>
      <c r="K512" s="27" t="s">
        <v>8</v>
      </c>
      <c r="L512" s="27" t="s">
        <v>7</v>
      </c>
      <c r="M512" s="27" t="s">
        <v>8</v>
      </c>
      <c r="N512" s="27" t="s">
        <v>7</v>
      </c>
      <c r="O512" s="27" t="s">
        <v>8</v>
      </c>
      <c r="P512" s="27" t="s">
        <v>7</v>
      </c>
      <c r="S512" s="27" t="s">
        <v>8</v>
      </c>
      <c r="T512" s="27" t="s">
        <v>7</v>
      </c>
      <c r="Y512" s="27" t="s">
        <v>8</v>
      </c>
      <c r="Z512" s="27" t="s">
        <v>7</v>
      </c>
      <c r="AA512" s="27" t="s">
        <v>8</v>
      </c>
      <c r="FD512" s="27" t="s">
        <v>7</v>
      </c>
      <c r="FE512" s="27" t="s">
        <v>8</v>
      </c>
      <c r="FF512" s="27" t="s">
        <v>7</v>
      </c>
      <c r="FG512" s="27" t="s">
        <v>8</v>
      </c>
      <c r="FH512" s="27" t="s">
        <v>7</v>
      </c>
      <c r="FI512" s="27" t="s">
        <v>8</v>
      </c>
      <c r="FM512" s="27" t="s">
        <v>8</v>
      </c>
      <c r="FN512" s="27" t="s">
        <v>7</v>
      </c>
      <c r="FO512" s="27" t="s">
        <v>8</v>
      </c>
      <c r="FP512" s="27" t="s">
        <v>7</v>
      </c>
      <c r="FQ512" s="27" t="s">
        <v>8</v>
      </c>
      <c r="GA512" s="27" t="s">
        <v>8</v>
      </c>
    </row>
    <row r="513" spans="1:184" x14ac:dyDescent="0.25">
      <c r="A513" s="7">
        <v>4.3292504462035977</v>
      </c>
      <c r="B513"/>
      <c r="C513"/>
      <c r="D513"/>
      <c r="E513" t="s">
        <v>8</v>
      </c>
      <c r="H513" s="27" t="s">
        <v>7</v>
      </c>
      <c r="I513" s="27" t="s">
        <v>8</v>
      </c>
      <c r="J513" s="27" t="s">
        <v>7</v>
      </c>
      <c r="K513" s="27" t="s">
        <v>8</v>
      </c>
      <c r="L513" s="27" t="s">
        <v>7</v>
      </c>
      <c r="N513" s="27" t="s">
        <v>7</v>
      </c>
      <c r="O513" s="27" t="s">
        <v>8</v>
      </c>
      <c r="P513" s="27" t="s">
        <v>7</v>
      </c>
      <c r="S513" s="27" t="s">
        <v>8</v>
      </c>
      <c r="T513" s="27" t="s">
        <v>7</v>
      </c>
      <c r="Y513" s="27" t="s">
        <v>8</v>
      </c>
      <c r="Z513" s="27" t="s">
        <v>7</v>
      </c>
      <c r="AA513" s="27" t="s">
        <v>8</v>
      </c>
      <c r="FD513" s="27" t="s">
        <v>7</v>
      </c>
      <c r="FE513" s="27" t="s">
        <v>8</v>
      </c>
      <c r="FF513" s="27" t="s">
        <v>7</v>
      </c>
      <c r="FG513" s="27" t="s">
        <v>8</v>
      </c>
      <c r="FH513" s="27" t="s">
        <v>7</v>
      </c>
      <c r="FI513" s="27" t="s">
        <v>8</v>
      </c>
      <c r="FJ513" s="27" t="s">
        <v>7</v>
      </c>
      <c r="FM513" s="27" t="s">
        <v>8</v>
      </c>
      <c r="FN513" s="27" t="s">
        <v>7</v>
      </c>
      <c r="FO513" s="27" t="s">
        <v>8</v>
      </c>
      <c r="FP513" s="27" t="s">
        <v>7</v>
      </c>
      <c r="FQ513" s="27" t="s">
        <v>8</v>
      </c>
      <c r="FR513" s="27" t="s">
        <v>7</v>
      </c>
      <c r="GA513" s="27" t="s">
        <v>8</v>
      </c>
      <c r="GB513" s="27" t="s">
        <v>7</v>
      </c>
    </row>
    <row r="514" spans="1:184" x14ac:dyDescent="0.25">
      <c r="A514" s="7">
        <v>4.2443631825525463</v>
      </c>
      <c r="B514"/>
      <c r="C514"/>
      <c r="D514"/>
      <c r="E514" t="s">
        <v>8</v>
      </c>
      <c r="H514" s="27" t="s">
        <v>7</v>
      </c>
      <c r="J514" s="27" t="s">
        <v>7</v>
      </c>
      <c r="K514" s="27" t="s">
        <v>8</v>
      </c>
      <c r="N514" s="27" t="s">
        <v>7</v>
      </c>
      <c r="P514" s="27" t="s">
        <v>7</v>
      </c>
      <c r="S514" s="27" t="s">
        <v>8</v>
      </c>
      <c r="T514" s="27" t="s">
        <v>7</v>
      </c>
      <c r="W514" s="27" t="s">
        <v>8</v>
      </c>
      <c r="Y514" s="27" t="s">
        <v>8</v>
      </c>
      <c r="Z514" s="27" t="s">
        <v>7</v>
      </c>
      <c r="AA514" s="27" t="s">
        <v>8</v>
      </c>
      <c r="FD514" s="27" t="s">
        <v>7</v>
      </c>
      <c r="FE514" s="27" t="s">
        <v>8</v>
      </c>
      <c r="FF514" s="27" t="s">
        <v>7</v>
      </c>
      <c r="FG514" s="27" t="s">
        <v>8</v>
      </c>
      <c r="FH514" s="27" t="s">
        <v>7</v>
      </c>
      <c r="FI514" s="27" t="s">
        <v>8</v>
      </c>
      <c r="FJ514" s="27" t="s">
        <v>7</v>
      </c>
      <c r="FM514" s="27" t="s">
        <v>8</v>
      </c>
      <c r="FN514" s="27" t="s">
        <v>7</v>
      </c>
      <c r="FO514" s="27" t="s">
        <v>8</v>
      </c>
      <c r="FP514" s="27" t="s">
        <v>7</v>
      </c>
      <c r="FQ514" s="27" t="s">
        <v>8</v>
      </c>
      <c r="FR514" s="27" t="s">
        <v>7</v>
      </c>
      <c r="GA514" s="27" t="s">
        <v>8</v>
      </c>
      <c r="GB514" s="27" t="s">
        <v>7</v>
      </c>
    </row>
    <row r="515" spans="1:184" x14ac:dyDescent="0.25">
      <c r="A515" s="7">
        <v>4.1611403750515157</v>
      </c>
      <c r="B515"/>
      <c r="C515"/>
      <c r="D515"/>
      <c r="E515" t="s">
        <v>8</v>
      </c>
      <c r="J515" s="27" t="s">
        <v>7</v>
      </c>
      <c r="K515" s="27" t="s">
        <v>8</v>
      </c>
      <c r="P515" s="27" t="s">
        <v>7</v>
      </c>
      <c r="S515" s="27" t="s">
        <v>8</v>
      </c>
      <c r="T515" s="27" t="s">
        <v>7</v>
      </c>
      <c r="W515" s="27" t="s">
        <v>8</v>
      </c>
      <c r="X515" s="27" t="s">
        <v>7</v>
      </c>
      <c r="Y515" s="27" t="s">
        <v>8</v>
      </c>
      <c r="Z515" s="27" t="s">
        <v>7</v>
      </c>
      <c r="AA515" s="27" t="s">
        <v>8</v>
      </c>
      <c r="FD515" s="27" t="s">
        <v>7</v>
      </c>
      <c r="FE515" s="27" t="s">
        <v>8</v>
      </c>
      <c r="FF515" s="27" t="s">
        <v>7</v>
      </c>
      <c r="FG515" s="27" t="s">
        <v>8</v>
      </c>
      <c r="FH515" s="27" t="s">
        <v>7</v>
      </c>
      <c r="FJ515" s="27" t="s">
        <v>7</v>
      </c>
      <c r="FK515" s="27" t="s">
        <v>8</v>
      </c>
      <c r="FM515" s="27" t="s">
        <v>8</v>
      </c>
      <c r="FN515" s="27" t="s">
        <v>7</v>
      </c>
      <c r="FO515" s="27" t="s">
        <v>8</v>
      </c>
      <c r="FP515" s="27" t="s">
        <v>7</v>
      </c>
      <c r="FQ515" s="27" t="s">
        <v>8</v>
      </c>
      <c r="FR515" s="27" t="s">
        <v>7</v>
      </c>
      <c r="GA515" s="27" t="s">
        <v>8</v>
      </c>
      <c r="GB515" s="27" t="s">
        <v>7</v>
      </c>
    </row>
    <row r="516" spans="1:184" x14ac:dyDescent="0.25">
      <c r="A516" s="7">
        <v>4.0795493873054074</v>
      </c>
      <c r="B516"/>
      <c r="C516"/>
      <c r="D516"/>
      <c r="E516" t="s">
        <v>8</v>
      </c>
      <c r="J516" s="27" t="s">
        <v>7</v>
      </c>
      <c r="K516" s="27" t="s">
        <v>8</v>
      </c>
      <c r="P516" s="27" t="s">
        <v>7</v>
      </c>
      <c r="S516" s="27" t="s">
        <v>8</v>
      </c>
      <c r="T516" s="27" t="s">
        <v>7</v>
      </c>
      <c r="W516" s="27" t="s">
        <v>8</v>
      </c>
      <c r="X516" s="27" t="s">
        <v>7</v>
      </c>
      <c r="Y516" s="27" t="s">
        <v>8</v>
      </c>
      <c r="Z516" s="27" t="s">
        <v>7</v>
      </c>
      <c r="AA516" s="27" t="s">
        <v>8</v>
      </c>
      <c r="FD516" s="27" t="s">
        <v>7</v>
      </c>
      <c r="FE516" s="27" t="s">
        <v>8</v>
      </c>
      <c r="FF516" s="27" t="s">
        <v>7</v>
      </c>
      <c r="FG516" s="27" t="s">
        <v>8</v>
      </c>
      <c r="FJ516" s="27" t="s">
        <v>7</v>
      </c>
      <c r="FK516" s="27" t="s">
        <v>8</v>
      </c>
      <c r="FL516" s="27" t="s">
        <v>7</v>
      </c>
      <c r="FM516" s="27" t="s">
        <v>8</v>
      </c>
      <c r="FN516" s="27" t="s">
        <v>7</v>
      </c>
      <c r="FO516" s="27" t="s">
        <v>8</v>
      </c>
      <c r="FP516" s="27" t="s">
        <v>7</v>
      </c>
      <c r="FQ516" s="27" t="s">
        <v>8</v>
      </c>
      <c r="FR516" s="27" t="s">
        <v>7</v>
      </c>
      <c r="GA516" s="27" t="s">
        <v>8</v>
      </c>
      <c r="GB516" s="27" t="s">
        <v>7</v>
      </c>
    </row>
    <row r="517" spans="1:184" x14ac:dyDescent="0.25">
      <c r="A517" s="7">
        <v>3.9995582228484383</v>
      </c>
      <c r="B517"/>
      <c r="C517"/>
      <c r="D517"/>
      <c r="E517" t="s">
        <v>8</v>
      </c>
      <c r="J517" s="27" t="s">
        <v>7</v>
      </c>
      <c r="K517" s="27" t="s">
        <v>8</v>
      </c>
      <c r="P517" s="27" t="s">
        <v>7</v>
      </c>
      <c r="Q517" s="27" t="s">
        <v>8</v>
      </c>
      <c r="S517" s="27" t="s">
        <v>8</v>
      </c>
      <c r="T517" s="27" t="s">
        <v>7</v>
      </c>
      <c r="W517" s="27" t="s">
        <v>8</v>
      </c>
      <c r="X517" s="27" t="s">
        <v>7</v>
      </c>
      <c r="Y517" s="27" t="s">
        <v>8</v>
      </c>
      <c r="Z517" s="27" t="s">
        <v>7</v>
      </c>
      <c r="FD517" s="27" t="s">
        <v>7</v>
      </c>
      <c r="FE517" s="27" t="s">
        <v>8</v>
      </c>
      <c r="FF517" s="27" t="s">
        <v>7</v>
      </c>
      <c r="FJ517" s="27" t="s">
        <v>7</v>
      </c>
      <c r="FK517" s="27" t="s">
        <v>8</v>
      </c>
      <c r="FL517" s="27" t="s">
        <v>7</v>
      </c>
      <c r="FM517" s="27" t="s">
        <v>8</v>
      </c>
      <c r="FN517" s="27" t="s">
        <v>7</v>
      </c>
      <c r="FP517" s="27" t="s">
        <v>7</v>
      </c>
      <c r="FQ517" s="27" t="s">
        <v>8</v>
      </c>
      <c r="FR517" s="27" t="s">
        <v>7</v>
      </c>
      <c r="FS517" s="27" t="s">
        <v>8</v>
      </c>
      <c r="FW517" s="27" t="s">
        <v>8</v>
      </c>
      <c r="FY517" s="27" t="s">
        <v>8</v>
      </c>
      <c r="GA517" s="27" t="s">
        <v>8</v>
      </c>
      <c r="GB517" s="27" t="s">
        <v>7</v>
      </c>
    </row>
    <row r="518" spans="1:184" x14ac:dyDescent="0.25">
      <c r="A518" s="7">
        <v>3.9211355125965079</v>
      </c>
      <c r="B518"/>
      <c r="C518"/>
      <c r="D518"/>
      <c r="E518" t="s">
        <v>8</v>
      </c>
      <c r="J518" s="27" t="s">
        <v>7</v>
      </c>
      <c r="K518" s="27" t="s">
        <v>8</v>
      </c>
      <c r="P518" s="27" t="s">
        <v>7</v>
      </c>
      <c r="Q518" s="27" t="s">
        <v>8</v>
      </c>
      <c r="R518" s="27" t="s">
        <v>7</v>
      </c>
      <c r="S518" s="27" t="s">
        <v>8</v>
      </c>
      <c r="T518" s="27" t="s">
        <v>7</v>
      </c>
      <c r="W518" s="27" t="s">
        <v>8</v>
      </c>
      <c r="X518" s="27" t="s">
        <v>7</v>
      </c>
      <c r="Y518" s="27" t="s">
        <v>8</v>
      </c>
      <c r="FD518" s="27" t="s">
        <v>7</v>
      </c>
      <c r="FE518" s="27" t="s">
        <v>8</v>
      </c>
      <c r="FJ518" s="27" t="s">
        <v>7</v>
      </c>
      <c r="FK518" s="27" t="s">
        <v>8</v>
      </c>
      <c r="FL518" s="27" t="s">
        <v>7</v>
      </c>
      <c r="FM518" s="27" t="s">
        <v>8</v>
      </c>
      <c r="FP518" s="27" t="s">
        <v>7</v>
      </c>
      <c r="FR518" s="27" t="s">
        <v>7</v>
      </c>
      <c r="FS518" s="27" t="s">
        <v>8</v>
      </c>
      <c r="FT518" s="27" t="s">
        <v>7</v>
      </c>
      <c r="FU518" s="27" t="s">
        <v>8</v>
      </c>
      <c r="FW518" s="27" t="s">
        <v>8</v>
      </c>
      <c r="FX518" s="27" t="s">
        <v>7</v>
      </c>
      <c r="FY518" s="27" t="s">
        <v>8</v>
      </c>
      <c r="FZ518" s="27" t="s">
        <v>7</v>
      </c>
      <c r="GA518" s="27" t="s">
        <v>8</v>
      </c>
      <c r="GB518" s="27" t="s">
        <v>7</v>
      </c>
    </row>
    <row r="519" spans="1:184" x14ac:dyDescent="0.25">
      <c r="A519" s="7">
        <v>3.844250502545596</v>
      </c>
      <c r="B519"/>
      <c r="C519"/>
      <c r="D519"/>
      <c r="E519" t="s">
        <v>8</v>
      </c>
      <c r="J519" s="27" t="s">
        <v>7</v>
      </c>
      <c r="K519" s="27" t="s">
        <v>8</v>
      </c>
      <c r="P519" s="27" t="s">
        <v>7</v>
      </c>
      <c r="Q519" s="27" t="s">
        <v>8</v>
      </c>
      <c r="R519" s="27" t="s">
        <v>7</v>
      </c>
      <c r="S519" s="27" t="s">
        <v>8</v>
      </c>
      <c r="T519" s="27" t="s">
        <v>7</v>
      </c>
      <c r="U519" s="27" t="s">
        <v>8</v>
      </c>
      <c r="W519" s="27" t="s">
        <v>8</v>
      </c>
      <c r="X519" s="27" t="s">
        <v>7</v>
      </c>
      <c r="Y519" s="27" t="s">
        <v>8</v>
      </c>
      <c r="FD519" s="27" t="s">
        <v>7</v>
      </c>
      <c r="FJ519" s="27" t="s">
        <v>7</v>
      </c>
      <c r="FK519" s="27" t="s">
        <v>8</v>
      </c>
      <c r="FL519" s="27" t="s">
        <v>7</v>
      </c>
      <c r="FM519" s="27" t="s">
        <v>8</v>
      </c>
      <c r="FR519" s="27" t="s">
        <v>7</v>
      </c>
      <c r="FS519" s="27" t="s">
        <v>8</v>
      </c>
      <c r="FT519" s="27" t="s">
        <v>7</v>
      </c>
      <c r="FU519" s="27" t="s">
        <v>8</v>
      </c>
      <c r="FV519" s="27" t="s">
        <v>7</v>
      </c>
      <c r="FW519" s="27" t="s">
        <v>8</v>
      </c>
      <c r="FX519" s="27" t="s">
        <v>7</v>
      </c>
      <c r="FY519" s="27" t="s">
        <v>8</v>
      </c>
      <c r="FZ519" s="27" t="s">
        <v>7</v>
      </c>
      <c r="GA519" s="27" t="s">
        <v>8</v>
      </c>
      <c r="GB519" s="27" t="s">
        <v>7</v>
      </c>
    </row>
    <row r="520" spans="1:184" x14ac:dyDescent="0.25">
      <c r="A520" s="7">
        <v>3.7688730417113687</v>
      </c>
      <c r="B520"/>
      <c r="C520"/>
      <c r="D520"/>
      <c r="E520" t="s">
        <v>8</v>
      </c>
      <c r="J520" s="27" t="s">
        <v>7</v>
      </c>
      <c r="K520" s="27" t="s">
        <v>8</v>
      </c>
      <c r="P520" s="27" t="s">
        <v>7</v>
      </c>
      <c r="Q520" s="27" t="s">
        <v>8</v>
      </c>
      <c r="R520" s="27" t="s">
        <v>7</v>
      </c>
      <c r="S520" s="27" t="s">
        <v>8</v>
      </c>
      <c r="T520" s="27" t="s">
        <v>7</v>
      </c>
      <c r="U520" s="27" t="s">
        <v>8</v>
      </c>
      <c r="V520" s="27" t="s">
        <v>7</v>
      </c>
      <c r="W520" s="27" t="s">
        <v>8</v>
      </c>
      <c r="X520" s="27" t="s">
        <v>7</v>
      </c>
      <c r="Y520" s="27" t="s">
        <v>8</v>
      </c>
      <c r="FJ520" s="27" t="s">
        <v>7</v>
      </c>
      <c r="FK520" s="27" t="s">
        <v>8</v>
      </c>
      <c r="FL520" s="27" t="s">
        <v>7</v>
      </c>
      <c r="FR520" s="27" t="s">
        <v>7</v>
      </c>
      <c r="FS520" s="27" t="s">
        <v>8</v>
      </c>
      <c r="FT520" s="27" t="s">
        <v>7</v>
      </c>
      <c r="FU520" s="27" t="s">
        <v>8</v>
      </c>
      <c r="FV520" s="27" t="s">
        <v>7</v>
      </c>
      <c r="FW520" s="27" t="s">
        <v>8</v>
      </c>
      <c r="FX520" s="27" t="s">
        <v>7</v>
      </c>
      <c r="FZ520" s="27" t="s">
        <v>7</v>
      </c>
      <c r="GA520" s="27" t="s">
        <v>8</v>
      </c>
      <c r="GB520" s="27" t="s">
        <v>7</v>
      </c>
    </row>
    <row r="521" spans="1:184" x14ac:dyDescent="0.25">
      <c r="A521" s="7">
        <v>3.6949735703052635</v>
      </c>
      <c r="B521"/>
      <c r="C521"/>
      <c r="D521"/>
      <c r="E521" t="s">
        <v>8</v>
      </c>
      <c r="J521" s="27" t="s">
        <v>7</v>
      </c>
      <c r="K521" s="27" t="s">
        <v>8</v>
      </c>
      <c r="P521" s="27" t="s">
        <v>7</v>
      </c>
      <c r="Q521" s="27" t="s">
        <v>8</v>
      </c>
      <c r="R521" s="27" t="s">
        <v>7</v>
      </c>
      <c r="S521" s="27" t="s">
        <v>8</v>
      </c>
      <c r="T521" s="27" t="s">
        <v>7</v>
      </c>
      <c r="U521" s="27" t="s">
        <v>8</v>
      </c>
      <c r="V521" s="27" t="s">
        <v>7</v>
      </c>
      <c r="W521" s="27" t="s">
        <v>8</v>
      </c>
      <c r="X521" s="27" t="s">
        <v>7</v>
      </c>
      <c r="Y521" s="27" t="s">
        <v>8</v>
      </c>
      <c r="FJ521" s="27" t="s">
        <v>7</v>
      </c>
      <c r="FK521" s="27" t="s">
        <v>8</v>
      </c>
      <c r="FR521" s="27" t="s">
        <v>7</v>
      </c>
      <c r="FT521" s="27" t="s">
        <v>7</v>
      </c>
      <c r="FU521" s="27" t="s">
        <v>8</v>
      </c>
      <c r="FV521" s="27" t="s">
        <v>7</v>
      </c>
      <c r="FW521" s="27" t="s">
        <v>8</v>
      </c>
      <c r="FZ521" s="27" t="s">
        <v>7</v>
      </c>
      <c r="GA521" s="27" t="s">
        <v>8</v>
      </c>
      <c r="GB521" s="27" t="s">
        <v>7</v>
      </c>
    </row>
    <row r="522" spans="1:184" x14ac:dyDescent="0.25">
      <c r="A522" s="7">
        <v>3.6225231081424152</v>
      </c>
      <c r="B522"/>
      <c r="C522"/>
      <c r="D522"/>
      <c r="E522" t="s">
        <v>8</v>
      </c>
      <c r="J522" s="27" t="s">
        <v>7</v>
      </c>
      <c r="K522" s="27" t="s">
        <v>8</v>
      </c>
      <c r="P522" s="27" t="s">
        <v>7</v>
      </c>
      <c r="R522" s="27" t="s">
        <v>7</v>
      </c>
      <c r="S522" s="27" t="s">
        <v>8</v>
      </c>
      <c r="T522" s="27" t="s">
        <v>7</v>
      </c>
      <c r="V522" s="27" t="s">
        <v>7</v>
      </c>
      <c r="W522" s="27" t="s">
        <v>8</v>
      </c>
      <c r="X522" s="27" t="s">
        <v>7</v>
      </c>
      <c r="FJ522" s="27" t="s">
        <v>7</v>
      </c>
      <c r="FK522" s="27" t="s">
        <v>8</v>
      </c>
      <c r="FT522" s="27" t="s">
        <v>7</v>
      </c>
      <c r="FV522" s="27" t="s">
        <v>7</v>
      </c>
      <c r="FW522" s="27" t="s">
        <v>8</v>
      </c>
      <c r="FZ522" s="27" t="s">
        <v>7</v>
      </c>
      <c r="GB522" s="27" t="s">
        <v>7</v>
      </c>
    </row>
    <row r="523" spans="1:184" x14ac:dyDescent="0.25">
      <c r="A523" s="7">
        <v>3.5514932432768775</v>
      </c>
      <c r="B523"/>
      <c r="C523"/>
      <c r="D523"/>
      <c r="E523" t="s">
        <v>8</v>
      </c>
      <c r="J523" s="27" t="s">
        <v>7</v>
      </c>
      <c r="K523" s="27" t="s">
        <v>8</v>
      </c>
      <c r="R523" s="27" t="s">
        <v>7</v>
      </c>
      <c r="S523" s="27" t="s">
        <v>8</v>
      </c>
      <c r="V523" s="27" t="s">
        <v>7</v>
      </c>
      <c r="W523" s="27" t="s">
        <v>8</v>
      </c>
      <c r="FJ523" s="27" t="s">
        <v>7</v>
      </c>
      <c r="FV523" s="27" t="s">
        <v>7</v>
      </c>
      <c r="FW523" s="27" t="s">
        <v>8</v>
      </c>
      <c r="GB523" s="27" t="s">
        <v>7</v>
      </c>
    </row>
    <row r="524" spans="1:184" x14ac:dyDescent="0.25">
      <c r="A524" s="7">
        <v>3.4818561208596837</v>
      </c>
      <c r="B524"/>
      <c r="C524"/>
      <c r="D524"/>
      <c r="E524" t="s">
        <v>8</v>
      </c>
      <c r="J524" s="27" t="s">
        <v>7</v>
      </c>
      <c r="K524" s="27" t="s">
        <v>8</v>
      </c>
      <c r="R524" s="27" t="s">
        <v>7</v>
      </c>
      <c r="V524" s="27" t="s">
        <v>7</v>
      </c>
      <c r="FV524" s="27" t="s">
        <v>7</v>
      </c>
      <c r="GB524" s="27" t="s">
        <v>7</v>
      </c>
    </row>
    <row r="525" spans="1:184" x14ac:dyDescent="0.25">
      <c r="A525" s="7">
        <v>3.4135844322153761</v>
      </c>
      <c r="B525"/>
      <c r="C525"/>
      <c r="D525"/>
      <c r="E525" t="s">
        <v>8</v>
      </c>
      <c r="J525" s="27" t="s">
        <v>7</v>
      </c>
      <c r="K525" s="27" t="s">
        <v>8</v>
      </c>
      <c r="GB525" s="27" t="s">
        <v>7</v>
      </c>
    </row>
    <row r="526" spans="1:184" x14ac:dyDescent="0.25">
      <c r="A526" s="7">
        <v>3.3466514041327216</v>
      </c>
      <c r="B526"/>
      <c r="C526"/>
      <c r="D526"/>
      <c r="E526" t="s">
        <v>8</v>
      </c>
      <c r="J526" s="27" t="s">
        <v>7</v>
      </c>
      <c r="K526" s="27" t="s">
        <v>8</v>
      </c>
      <c r="GB526" s="27" t="s">
        <v>7</v>
      </c>
    </row>
    <row r="527" spans="1:184" x14ac:dyDescent="0.25">
      <c r="A527" s="7">
        <v>3.2810307883654133</v>
      </c>
      <c r="B527"/>
      <c r="C527"/>
      <c r="D527"/>
      <c r="E527" t="s">
        <v>8</v>
      </c>
      <c r="J527" s="27" t="s">
        <v>7</v>
      </c>
      <c r="K527" s="27" t="s">
        <v>8</v>
      </c>
      <c r="GB527" s="27" t="s">
        <v>7</v>
      </c>
    </row>
    <row r="528" spans="1:184" x14ac:dyDescent="0.25">
      <c r="A528" s="7">
        <v>3.2166968513386403</v>
      </c>
      <c r="B528"/>
      <c r="C528"/>
      <c r="D528"/>
      <c r="E528" t="s">
        <v>8</v>
      </c>
      <c r="J528" s="27" t="s">
        <v>7</v>
      </c>
      <c r="K528" s="27" t="s">
        <v>8</v>
      </c>
      <c r="GB528" s="27" t="s">
        <v>7</v>
      </c>
    </row>
    <row r="529" spans="1:188" x14ac:dyDescent="0.25">
      <c r="A529" s="7">
        <v>3.1536243640574906</v>
      </c>
      <c r="B529"/>
      <c r="C529"/>
      <c r="D529"/>
      <c r="E529" t="s">
        <v>8</v>
      </c>
      <c r="J529" s="27" t="s">
        <v>7</v>
      </c>
      <c r="K529" s="27" t="s">
        <v>8</v>
      </c>
      <c r="GB529" s="27" t="s">
        <v>7</v>
      </c>
    </row>
    <row r="530" spans="1:188" x14ac:dyDescent="0.25">
      <c r="A530" s="7">
        <v>3.0917885922132262</v>
      </c>
      <c r="B530"/>
      <c r="C530"/>
      <c r="D530"/>
      <c r="E530" t="s">
        <v>8</v>
      </c>
      <c r="J530" s="27" t="s">
        <v>7</v>
      </c>
      <c r="K530" s="27" t="s">
        <v>8</v>
      </c>
      <c r="GB530" s="27" t="s">
        <v>7</v>
      </c>
    </row>
    <row r="531" spans="1:188" x14ac:dyDescent="0.25">
      <c r="A531" s="7">
        <v>3.0311652864835552</v>
      </c>
      <c r="B531"/>
      <c r="C531"/>
      <c r="D531"/>
      <c r="E531" t="s">
        <v>8</v>
      </c>
      <c r="J531" s="27" t="s">
        <v>7</v>
      </c>
      <c r="K531" s="27" t="s">
        <v>8</v>
      </c>
      <c r="GB531" s="27" t="s">
        <v>7</v>
      </c>
      <c r="GE531" s="27" t="s">
        <v>8</v>
      </c>
    </row>
    <row r="532" spans="1:188" x14ac:dyDescent="0.25">
      <c r="A532" s="7">
        <v>2.9717306730230932</v>
      </c>
      <c r="B532"/>
      <c r="C532"/>
      <c r="D532"/>
      <c r="E532" t="s">
        <v>8</v>
      </c>
      <c r="J532" s="27" t="s">
        <v>7</v>
      </c>
      <c r="K532" s="27" t="s">
        <v>8</v>
      </c>
      <c r="GB532" s="27" t="s">
        <v>7</v>
      </c>
      <c r="GC532" s="27" t="s">
        <v>8</v>
      </c>
      <c r="GE532" s="27" t="s">
        <v>8</v>
      </c>
      <c r="GF532" s="27" t="s">
        <v>7</v>
      </c>
    </row>
    <row r="533" spans="1:188" x14ac:dyDescent="0.25">
      <c r="A533" s="7">
        <v>2.9134614441402875</v>
      </c>
      <c r="B533"/>
      <c r="C533"/>
      <c r="D533"/>
      <c r="E533" t="s">
        <v>8</v>
      </c>
      <c r="J533" s="27" t="s">
        <v>7</v>
      </c>
      <c r="K533" s="27" t="s">
        <v>8</v>
      </c>
      <c r="GB533" s="27" t="s">
        <v>7</v>
      </c>
      <c r="GC533" s="27" t="s">
        <v>8</v>
      </c>
      <c r="GD533" s="27" t="s">
        <v>7</v>
      </c>
      <c r="GE533" s="27" t="s">
        <v>8</v>
      </c>
      <c r="GF533" s="27" t="s">
        <v>7</v>
      </c>
    </row>
    <row r="534" spans="1:188" x14ac:dyDescent="0.25">
      <c r="A534" s="7">
        <v>2.8563347491571447</v>
      </c>
      <c r="B534"/>
      <c r="C534"/>
      <c r="D534"/>
      <c r="E534" t="s">
        <v>8</v>
      </c>
      <c r="J534" s="27" t="s">
        <v>7</v>
      </c>
      <c r="K534" s="27" t="s">
        <v>8</v>
      </c>
      <c r="GB534" s="27" t="s">
        <v>7</v>
      </c>
      <c r="GC534" s="27" t="s">
        <v>8</v>
      </c>
      <c r="GD534" s="27" t="s">
        <v>7</v>
      </c>
      <c r="GE534" s="27" t="s">
        <v>8</v>
      </c>
      <c r="GF534" s="27" t="s">
        <v>7</v>
      </c>
    </row>
    <row r="535" spans="1:188" x14ac:dyDescent="0.25">
      <c r="A535" s="7">
        <v>2.8003281854481812</v>
      </c>
      <c r="B535"/>
      <c r="C535"/>
      <c r="D535"/>
      <c r="E535" t="s">
        <v>8</v>
      </c>
      <c r="J535" s="27" t="s">
        <v>7</v>
      </c>
      <c r="GB535" s="27" t="s">
        <v>7</v>
      </c>
      <c r="GC535" s="27" t="s">
        <v>8</v>
      </c>
      <c r="GD535" s="27" t="s">
        <v>7</v>
      </c>
      <c r="GE535" s="27" t="s">
        <v>8</v>
      </c>
    </row>
    <row r="536" spans="1:188" x14ac:dyDescent="0.25">
      <c r="A536" s="7">
        <v>2.7454197896550796</v>
      </c>
      <c r="B536"/>
      <c r="C536"/>
      <c r="D536"/>
      <c r="E536" t="s">
        <v>8</v>
      </c>
      <c r="GB536" s="27" t="s">
        <v>7</v>
      </c>
      <c r="GC536" s="27" t="s">
        <v>8</v>
      </c>
      <c r="GD536" s="27" t="s">
        <v>7</v>
      </c>
      <c r="GE536" s="27" t="s">
        <v>8</v>
      </c>
    </row>
    <row r="537" spans="1:188" x14ac:dyDescent="0.25">
      <c r="A537" s="7">
        <v>2.6915880290736074</v>
      </c>
      <c r="B537"/>
      <c r="C537"/>
      <c r="D537"/>
      <c r="E537" t="s">
        <v>8</v>
      </c>
      <c r="GB537" s="27" t="s">
        <v>7</v>
      </c>
      <c r="GC537" s="27" t="s">
        <v>8</v>
      </c>
      <c r="GD537" s="27" t="s">
        <v>7</v>
      </c>
      <c r="GE537" s="27" t="s">
        <v>8</v>
      </c>
    </row>
    <row r="538" spans="1:188" x14ac:dyDescent="0.25">
      <c r="A538" s="7">
        <v>2.6388117932094191</v>
      </c>
      <c r="B538"/>
      <c r="C538"/>
      <c r="D538"/>
      <c r="E538" t="s">
        <v>8</v>
      </c>
      <c r="GB538" s="27" t="s">
        <v>7</v>
      </c>
      <c r="GC538" s="27" t="s">
        <v>8</v>
      </c>
      <c r="GD538" s="27" t="s">
        <v>7</v>
      </c>
    </row>
    <row r="539" spans="1:188" x14ac:dyDescent="0.25">
      <c r="A539" s="7">
        <v>2.5870703854994304</v>
      </c>
      <c r="B539"/>
      <c r="C539"/>
      <c r="D539"/>
      <c r="E539" t="s">
        <v>8</v>
      </c>
      <c r="GB539" s="27" t="s">
        <v>7</v>
      </c>
    </row>
    <row r="540" spans="1:188" x14ac:dyDescent="0.25">
      <c r="A540" s="7">
        <v>2.53634351519552</v>
      </c>
      <c r="B540"/>
      <c r="C540"/>
      <c r="D540"/>
      <c r="E540" t="s">
        <v>8</v>
      </c>
    </row>
    <row r="541" spans="1:188" x14ac:dyDescent="0.25">
      <c r="A541" s="7">
        <v>2.4866112894073726</v>
      </c>
      <c r="B541"/>
      <c r="C541"/>
      <c r="D541"/>
      <c r="E541" t="s">
        <v>8</v>
      </c>
    </row>
    <row r="542" spans="1:188" x14ac:dyDescent="0.25">
      <c r="A542" s="7">
        <v>2.4378542053013459</v>
      </c>
      <c r="B542"/>
      <c r="C542"/>
      <c r="D542"/>
      <c r="E542" t="s">
        <v>8</v>
      </c>
    </row>
    <row r="543" spans="1:188" x14ac:dyDescent="0.25">
      <c r="A543" s="7">
        <v>2.3900531424522997</v>
      </c>
      <c r="B543"/>
      <c r="C543"/>
      <c r="D543"/>
      <c r="E543" t="s">
        <v>8</v>
      </c>
    </row>
    <row r="544" spans="1:188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99" operator="equal">
      <formula>$U$1</formula>
    </cfRule>
    <cfRule type="cellIs" dxfId="89" priority="800" operator="equal">
      <formula>$S$1</formula>
    </cfRule>
  </conditionalFormatting>
  <conditionalFormatting sqref="D27">
    <cfRule type="cellIs" dxfId="88" priority="797" operator="equal">
      <formula>$S$1</formula>
    </cfRule>
    <cfRule type="cellIs" dxfId="87" priority="798" operator="equal">
      <formula>$U$1</formula>
    </cfRule>
  </conditionalFormatting>
  <conditionalFormatting sqref="C164">
    <cfRule type="cellIs" dxfId="86" priority="795" operator="equal">
      <formula>$U$1</formula>
    </cfRule>
    <cfRule type="cellIs" dxfId="85" priority="796" operator="equal">
      <formula>$S$1</formula>
    </cfRule>
  </conditionalFormatting>
  <conditionalFormatting sqref="D164">
    <cfRule type="cellIs" dxfId="84" priority="793" operator="equal">
      <formula>$S$1</formula>
    </cfRule>
    <cfRule type="cellIs" dxfId="83" priority="794" operator="equal">
      <formula>$U$1</formula>
    </cfRule>
  </conditionalFormatting>
  <conditionalFormatting sqref="C55">
    <cfRule type="cellIs" dxfId="82" priority="791" operator="equal">
      <formula>$U$1</formula>
    </cfRule>
    <cfRule type="cellIs" dxfId="81" priority="792" operator="equal">
      <formula>$S$1</formula>
    </cfRule>
  </conditionalFormatting>
  <conditionalFormatting sqref="D55">
    <cfRule type="cellIs" dxfId="80" priority="789" operator="equal">
      <formula>$S$1</formula>
    </cfRule>
    <cfRule type="cellIs" dxfId="79" priority="790" operator="equal">
      <formula>$U$1</formula>
    </cfRule>
  </conditionalFormatting>
  <conditionalFormatting sqref="C89">
    <cfRule type="cellIs" dxfId="78" priority="787" operator="equal">
      <formula>$U$1</formula>
    </cfRule>
    <cfRule type="cellIs" dxfId="77" priority="788" operator="equal">
      <formula>$S$1</formula>
    </cfRule>
  </conditionalFormatting>
  <conditionalFormatting sqref="D89">
    <cfRule type="cellIs" dxfId="76" priority="785" operator="equal">
      <formula>$S$1</formula>
    </cfRule>
    <cfRule type="cellIs" dxfId="75" priority="786" operator="equal">
      <formula>$U$1</formula>
    </cfRule>
  </conditionalFormatting>
  <conditionalFormatting sqref="C136">
    <cfRule type="cellIs" dxfId="74" priority="783" operator="equal">
      <formula>$U$1</formula>
    </cfRule>
    <cfRule type="cellIs" dxfId="73" priority="784" operator="equal">
      <formula>$S$1</formula>
    </cfRule>
  </conditionalFormatting>
  <conditionalFormatting sqref="D136">
    <cfRule type="cellIs" dxfId="72" priority="781" operator="equal">
      <formula>$S$1</formula>
    </cfRule>
    <cfRule type="cellIs" dxfId="71" priority="782" operator="equal">
      <formula>$U$1</formula>
    </cfRule>
  </conditionalFormatting>
  <conditionalFormatting sqref="C1">
    <cfRule type="cellIs" dxfId="70" priority="78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89" zoomScale="90" zoomScaleNormal="90" workbookViewId="0">
      <pane xSplit="4" topLeftCell="G1" activePane="topRight" state="frozen"/>
      <selection activeCell="A109" sqref="A109"/>
      <selection pane="topRight" activeCell="CB220" sqref="CB22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$A$219</v>
      </c>
      <c r="D111" s="1" t="str">
        <f>ADDRESS(C121-1,D121,1,1)</f>
        <v>$CB$219</v>
      </c>
      <c r="E111"/>
    </row>
    <row r="112" spans="1:5" x14ac:dyDescent="0.25">
      <c r="A112" s="30">
        <v>515.50191262726139</v>
      </c>
      <c r="C112" s="1" t="str">
        <f>ADDRESS(C121,1,1,1)</f>
        <v>$A$220</v>
      </c>
      <c r="D112" s="1" t="str">
        <f>ADDRESS(C121,D121-1,1,1)</f>
        <v>$CA$220</v>
      </c>
      <c r="E112"/>
    </row>
    <row r="113" spans="1:5" x14ac:dyDescent="0.25">
      <c r="A113" s="30">
        <v>490.95420250215363</v>
      </c>
      <c r="C113" s="1" t="str">
        <f>ADDRESS(C121+1,1,1,1)</f>
        <v>$A$221</v>
      </c>
      <c r="D113" s="1" t="str">
        <f>ADDRESS(C121-1,D121+1,1,1)</f>
        <v>$CC$219</v>
      </c>
    </row>
    <row r="114" spans="1:5" x14ac:dyDescent="0.25">
      <c r="A114" s="30">
        <v>467.57543095443202</v>
      </c>
      <c r="C114" s="1" t="str">
        <f>ADDRESS(C121,D121,1,1)</f>
        <v>$CB$220</v>
      </c>
      <c r="D114" s="1" t="str">
        <f>ADDRESS(C121+1,D121+1,1,1)</f>
        <v>$CC$221</v>
      </c>
    </row>
    <row r="115" spans="1:5" x14ac:dyDescent="0.25">
      <c r="A115" s="30">
        <v>445.30993424231622</v>
      </c>
      <c r="C115" s="1" t="str">
        <f>ADDRESS(C121+1,D121,1,1)</f>
        <v>$CB$221</v>
      </c>
    </row>
    <row r="116" spans="1:5" x14ac:dyDescent="0.25">
      <c r="A116" s="30">
        <v>424.10469927839637</v>
      </c>
      <c r="C116" s="1">
        <f>C117-1</f>
        <v>219</v>
      </c>
    </row>
    <row r="117" spans="1:5" x14ac:dyDescent="0.25">
      <c r="A117" s="30">
        <v>403.9092374079965</v>
      </c>
      <c r="C117" s="1">
        <f>C121</f>
        <v>220</v>
      </c>
      <c r="D117" s="1">
        <f>D121</f>
        <v>80</v>
      </c>
    </row>
    <row r="118" spans="1:5" x14ac:dyDescent="0.25">
      <c r="A118" s="30">
        <v>384.6754641980919</v>
      </c>
      <c r="C118" s="1">
        <f>C117+1</f>
        <v>221</v>
      </c>
      <c r="D118" s="1">
        <f>D117+1</f>
        <v>81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220</v>
      </c>
      <c r="D121" s="19">
        <v>80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R220</v>
      </c>
      <c r="D123" s="1" t="str">
        <f>"C"&amp;D121</f>
        <v>C80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2.6532977051444226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66" x14ac:dyDescent="0.25">
      <c r="A177" s="30">
        <v>21.623492570684135</v>
      </c>
      <c r="E177"/>
    </row>
    <row r="178" spans="1:66" x14ac:dyDescent="0.25">
      <c r="A178" s="30">
        <v>20.593802448270605</v>
      </c>
      <c r="C178" s="7"/>
      <c r="D178"/>
      <c r="E178"/>
    </row>
    <row r="179" spans="1:66" x14ac:dyDescent="0.25">
      <c r="A179" s="30">
        <v>19.613145188829147</v>
      </c>
      <c r="E179"/>
    </row>
    <row r="180" spans="1:66" x14ac:dyDescent="0.25">
      <c r="A180" s="30">
        <v>18.679185894122998</v>
      </c>
      <c r="E180"/>
    </row>
    <row r="181" spans="1:66" x14ac:dyDescent="0.25">
      <c r="A181" s="30">
        <v>17.78970085154571</v>
      </c>
      <c r="C181"/>
      <c r="D181"/>
      <c r="E181"/>
      <c r="AA181" s="27" t="s">
        <v>8</v>
      </c>
    </row>
    <row r="182" spans="1:66" x14ac:dyDescent="0.25">
      <c r="A182" s="30">
        <v>16.942572239567344</v>
      </c>
      <c r="E182"/>
      <c r="AA182" s="27" t="s">
        <v>8</v>
      </c>
      <c r="AB182" s="27" t="s">
        <v>7</v>
      </c>
    </row>
    <row r="183" spans="1:66" x14ac:dyDescent="0.25">
      <c r="A183" s="30">
        <v>16.135783085302233</v>
      </c>
      <c r="E183"/>
      <c r="AA183" s="27" t="s">
        <v>8</v>
      </c>
      <c r="AB183" s="27" t="s">
        <v>7</v>
      </c>
      <c r="AQ183" s="31" t="s">
        <v>8</v>
      </c>
    </row>
    <row r="184" spans="1:66" x14ac:dyDescent="0.25">
      <c r="A184" s="30">
        <v>15.367412462192602</v>
      </c>
      <c r="E184"/>
      <c r="AA184" s="27" t="s">
        <v>8</v>
      </c>
      <c r="AB184" s="27" t="s">
        <v>7</v>
      </c>
      <c r="AQ184" s="27" t="s">
        <v>8</v>
      </c>
      <c r="AR184" s="31" t="s">
        <v>7</v>
      </c>
    </row>
    <row r="185" spans="1:66" x14ac:dyDescent="0.25">
      <c r="A185" s="30">
        <v>14.635630916373906</v>
      </c>
      <c r="C185"/>
      <c r="E185"/>
      <c r="AA185" s="27" t="s">
        <v>8</v>
      </c>
      <c r="AB185" s="27" t="s">
        <v>7</v>
      </c>
      <c r="AQ185" s="27" t="s">
        <v>8</v>
      </c>
      <c r="AR185" s="27" t="s">
        <v>7</v>
      </c>
      <c r="AS185" s="31"/>
    </row>
    <row r="186" spans="1:66" x14ac:dyDescent="0.25">
      <c r="A186" s="30">
        <v>13.938696110832291</v>
      </c>
      <c r="E186"/>
      <c r="AA186" s="27" t="s">
        <v>8</v>
      </c>
      <c r="AB186" s="27" t="s">
        <v>7</v>
      </c>
      <c r="AQ186" s="27" t="s">
        <v>8</v>
      </c>
      <c r="AR186" s="27" t="s">
        <v>7</v>
      </c>
      <c r="AS186" s="27" t="s">
        <v>8</v>
      </c>
      <c r="AT186" s="31"/>
    </row>
    <row r="187" spans="1:66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A187" s="27" t="s">
        <v>8</v>
      </c>
      <c r="AB187" s="27" t="s">
        <v>7</v>
      </c>
      <c r="AG187" s="27" t="s">
        <v>8</v>
      </c>
      <c r="AQ187" s="27" t="s">
        <v>8</v>
      </c>
      <c r="AR187" s="27" t="s">
        <v>7</v>
      </c>
      <c r="AS187" s="27" t="s">
        <v>8</v>
      </c>
      <c r="AT187" s="27" t="s">
        <v>7</v>
      </c>
      <c r="AU187" s="31"/>
    </row>
    <row r="188" spans="1:66" x14ac:dyDescent="0.25">
      <c r="A188" s="30">
        <v>12.64280826379346</v>
      </c>
      <c r="E188"/>
      <c r="AA188" s="27" t="s">
        <v>8</v>
      </c>
      <c r="AB188" s="27" t="s">
        <v>7</v>
      </c>
      <c r="AG188" s="27" t="s">
        <v>8</v>
      </c>
      <c r="AH188" s="27" t="s">
        <v>7</v>
      </c>
      <c r="AQ188" s="32" t="s">
        <v>8</v>
      </c>
      <c r="AR188" s="27" t="s">
        <v>7</v>
      </c>
      <c r="AS188" s="27" t="s">
        <v>8</v>
      </c>
      <c r="AT188" s="27" t="s">
        <v>7</v>
      </c>
      <c r="AV188" s="31"/>
    </row>
    <row r="189" spans="1:66" x14ac:dyDescent="0.25">
      <c r="A189" s="30">
        <v>12.04076977504139</v>
      </c>
      <c r="E189"/>
      <c r="AA189" s="27" t="s">
        <v>8</v>
      </c>
      <c r="AB189" s="27" t="s">
        <v>7</v>
      </c>
      <c r="AG189" s="27" t="s">
        <v>8</v>
      </c>
      <c r="AH189" s="27" t="s">
        <v>7</v>
      </c>
      <c r="AI189" s="27" t="s">
        <v>8</v>
      </c>
      <c r="AO189" s="27" t="s">
        <v>8</v>
      </c>
      <c r="AQ189" s="27" t="s">
        <v>8</v>
      </c>
      <c r="AR189" s="27" t="s">
        <v>7</v>
      </c>
      <c r="AS189" s="27" t="s">
        <v>8</v>
      </c>
      <c r="AT189" s="27" t="s">
        <v>7</v>
      </c>
      <c r="AW189" s="31"/>
    </row>
    <row r="190" spans="1:66" x14ac:dyDescent="0.25">
      <c r="A190" s="30">
        <v>11.467399785753704</v>
      </c>
      <c r="E190"/>
      <c r="AA190" s="27" t="s">
        <v>8</v>
      </c>
      <c r="AB190" s="27" t="s">
        <v>7</v>
      </c>
      <c r="AC190" s="27" t="s">
        <v>8</v>
      </c>
      <c r="AG190" s="32" t="s">
        <v>8</v>
      </c>
      <c r="AH190" s="27" t="s">
        <v>7</v>
      </c>
      <c r="AI190" s="27" t="s">
        <v>8</v>
      </c>
      <c r="AJ190" s="27" t="s">
        <v>7</v>
      </c>
      <c r="AO190" s="27" t="s">
        <v>8</v>
      </c>
      <c r="AP190" s="27" t="s">
        <v>7</v>
      </c>
      <c r="AQ190" s="27" t="s">
        <v>8</v>
      </c>
      <c r="AR190" s="27" t="s">
        <v>7</v>
      </c>
      <c r="AS190" s="27" t="s">
        <v>8</v>
      </c>
      <c r="AT190" s="27" t="s">
        <v>7</v>
      </c>
      <c r="AX190" s="31"/>
      <c r="BM190" s="27" t="s">
        <v>8</v>
      </c>
    </row>
    <row r="191" spans="1:66" x14ac:dyDescent="0.25">
      <c r="A191" s="30">
        <v>10.921333129289241</v>
      </c>
      <c r="E191"/>
      <c r="Y191" s="27" t="s">
        <v>8</v>
      </c>
      <c r="AA191" s="27" t="s">
        <v>8</v>
      </c>
      <c r="AB191" s="27" t="s">
        <v>7</v>
      </c>
      <c r="AC191" s="27" t="s">
        <v>8</v>
      </c>
      <c r="AD191" s="27" t="s">
        <v>7</v>
      </c>
      <c r="AE191" s="27" t="s">
        <v>8</v>
      </c>
      <c r="AG191" s="27" t="s">
        <v>8</v>
      </c>
      <c r="AH191" s="27" t="s">
        <v>7</v>
      </c>
      <c r="AI191" s="27" t="s">
        <v>8</v>
      </c>
      <c r="AJ191" s="27" t="s">
        <v>7</v>
      </c>
      <c r="AO191" s="27" t="s">
        <v>8</v>
      </c>
      <c r="AP191" s="27" t="s">
        <v>7</v>
      </c>
      <c r="AQ191" s="27" t="s">
        <v>8</v>
      </c>
      <c r="AR191" s="27" t="s">
        <v>7</v>
      </c>
      <c r="AS191" s="27" t="s">
        <v>8</v>
      </c>
      <c r="AT191" s="27" t="s">
        <v>7</v>
      </c>
      <c r="AU191" s="27" t="s">
        <v>8</v>
      </c>
      <c r="AY191" s="31"/>
      <c r="BM191" s="27" t="s">
        <v>8</v>
      </c>
      <c r="BN191" s="27" t="s">
        <v>7</v>
      </c>
    </row>
    <row r="192" spans="1:66" x14ac:dyDescent="0.25">
      <c r="A192" s="30">
        <v>10.401269646942135</v>
      </c>
      <c r="E192"/>
      <c r="Q192" s="27" t="s">
        <v>8</v>
      </c>
      <c r="Y192" s="27" t="s">
        <v>8</v>
      </c>
      <c r="Z192" s="27" t="s">
        <v>7</v>
      </c>
      <c r="AA192" s="27" t="s">
        <v>8</v>
      </c>
      <c r="AB192" s="27" t="s">
        <v>7</v>
      </c>
      <c r="AC192" s="27" t="s">
        <v>8</v>
      </c>
      <c r="AD192" s="27" t="s">
        <v>7</v>
      </c>
      <c r="AE192" s="27" t="s">
        <v>8</v>
      </c>
      <c r="AF192" s="27" t="s">
        <v>7</v>
      </c>
      <c r="AG192" s="27" t="s">
        <v>8</v>
      </c>
      <c r="AH192" s="27" t="s">
        <v>7</v>
      </c>
      <c r="AI192" s="27" t="s">
        <v>8</v>
      </c>
      <c r="AJ192" s="27" t="s">
        <v>7</v>
      </c>
      <c r="AM192" s="32" t="s">
        <v>8</v>
      </c>
      <c r="AO192" s="27" t="s">
        <v>8</v>
      </c>
      <c r="AP192" s="27" t="s">
        <v>7</v>
      </c>
      <c r="AQ192" s="27" t="s">
        <v>8</v>
      </c>
      <c r="AR192" s="27" t="s">
        <v>7</v>
      </c>
      <c r="AS192" s="27" t="s">
        <v>8</v>
      </c>
      <c r="AT192" s="27" t="s">
        <v>7</v>
      </c>
      <c r="AU192" s="27" t="s">
        <v>8</v>
      </c>
      <c r="AV192" s="27" t="s">
        <v>7</v>
      </c>
      <c r="AZ192" s="31"/>
      <c r="BM192" s="27" t="s">
        <v>8</v>
      </c>
      <c r="BN192" s="27" t="s">
        <v>7</v>
      </c>
    </row>
    <row r="193" spans="1:78" x14ac:dyDescent="0.25">
      <c r="A193" s="30">
        <v>9.9059710923258422</v>
      </c>
      <c r="E193" t="s">
        <v>8</v>
      </c>
      <c r="Q193" s="27" t="s">
        <v>8</v>
      </c>
      <c r="R193" s="27" t="s">
        <v>7</v>
      </c>
      <c r="Y193" s="27" t="s">
        <v>8</v>
      </c>
      <c r="Z193" s="27" t="s">
        <v>7</v>
      </c>
      <c r="AA193" s="27" t="s">
        <v>8</v>
      </c>
      <c r="AB193" s="27" t="s">
        <v>7</v>
      </c>
      <c r="AD193" s="27" t="s">
        <v>7</v>
      </c>
      <c r="AE193" s="27" t="s">
        <v>8</v>
      </c>
      <c r="AF193" s="27" t="s">
        <v>7</v>
      </c>
      <c r="AG193" s="27" t="s">
        <v>8</v>
      </c>
      <c r="AH193" s="27" t="s">
        <v>7</v>
      </c>
      <c r="AJ193" s="31" t="s">
        <v>7</v>
      </c>
      <c r="AK193" s="27" t="s">
        <v>8</v>
      </c>
      <c r="AM193" s="27" t="s">
        <v>8</v>
      </c>
      <c r="AN193" s="27" t="s">
        <v>7</v>
      </c>
      <c r="AO193" s="27" t="s">
        <v>8</v>
      </c>
      <c r="AP193" s="27" t="s">
        <v>7</v>
      </c>
      <c r="AQ193" s="27" t="s">
        <v>8</v>
      </c>
      <c r="AR193" s="27" t="s">
        <v>7</v>
      </c>
      <c r="AT193" s="27" t="s">
        <v>7</v>
      </c>
      <c r="AU193" s="27" t="s">
        <v>8</v>
      </c>
      <c r="AV193" s="27" t="s">
        <v>7</v>
      </c>
      <c r="BA193" s="31"/>
      <c r="BI193" s="27" t="s">
        <v>8</v>
      </c>
      <c r="BM193" s="27" t="s">
        <v>8</v>
      </c>
      <c r="BN193" s="27" t="s">
        <v>7</v>
      </c>
    </row>
    <row r="194" spans="1:78" x14ac:dyDescent="0.25">
      <c r="A194" s="30">
        <v>9.4342581831674686</v>
      </c>
      <c r="E194" t="s">
        <v>8</v>
      </c>
      <c r="F194" s="27" t="s">
        <v>7</v>
      </c>
      <c r="Q194" s="27" t="s">
        <v>8</v>
      </c>
      <c r="R194" s="27" t="s">
        <v>7</v>
      </c>
      <c r="Y194" s="27" t="s">
        <v>8</v>
      </c>
      <c r="Z194" s="27" t="s">
        <v>7</v>
      </c>
      <c r="AA194" s="27" t="s">
        <v>8</v>
      </c>
      <c r="AD194" s="34" t="s">
        <v>7</v>
      </c>
      <c r="AE194" s="27" t="s">
        <v>8</v>
      </c>
      <c r="AF194" s="27" t="s">
        <v>7</v>
      </c>
      <c r="AI194" s="31"/>
      <c r="AJ194" s="34" t="s">
        <v>7</v>
      </c>
      <c r="AK194" s="27" t="s">
        <v>8</v>
      </c>
      <c r="AL194" s="27" t="s">
        <v>7</v>
      </c>
      <c r="AM194" s="27" t="s">
        <v>8</v>
      </c>
      <c r="AN194" s="27" t="s">
        <v>7</v>
      </c>
      <c r="AO194" s="27" t="s">
        <v>8</v>
      </c>
      <c r="AP194" s="27" t="s">
        <v>7</v>
      </c>
      <c r="AQ194" s="27" t="s">
        <v>8</v>
      </c>
      <c r="AT194" s="34" t="s">
        <v>7</v>
      </c>
      <c r="AU194" s="27" t="s">
        <v>8</v>
      </c>
      <c r="AV194" s="27" t="s">
        <v>7</v>
      </c>
      <c r="BB194" s="31"/>
      <c r="BC194" s="27" t="s">
        <v>8</v>
      </c>
      <c r="BI194" s="27" t="s">
        <v>8</v>
      </c>
      <c r="BJ194" s="27" t="s">
        <v>7</v>
      </c>
      <c r="BM194" s="27" t="s">
        <v>8</v>
      </c>
      <c r="BN194" s="27" t="s">
        <v>7</v>
      </c>
    </row>
    <row r="195" spans="1:78" x14ac:dyDescent="0.25">
      <c r="A195" s="30">
        <v>8.9850077934928265</v>
      </c>
      <c r="E195" t="s">
        <v>8</v>
      </c>
      <c r="F195" s="27" t="s">
        <v>7</v>
      </c>
      <c r="Q195" s="27" t="s">
        <v>8</v>
      </c>
      <c r="R195" s="27" t="s">
        <v>7</v>
      </c>
      <c r="U195" s="27" t="s">
        <v>8</v>
      </c>
      <c r="Y195" s="27" t="s">
        <v>8</v>
      </c>
      <c r="Z195" s="27" t="s">
        <v>7</v>
      </c>
      <c r="AA195" s="27" t="s">
        <v>8</v>
      </c>
      <c r="AD195" s="27" t="s">
        <v>7</v>
      </c>
      <c r="AE195" s="27" t="s">
        <v>8</v>
      </c>
      <c r="AH195" s="31"/>
      <c r="AJ195" s="27" t="s">
        <v>7</v>
      </c>
      <c r="AK195" s="27" t="s">
        <v>8</v>
      </c>
      <c r="AL195" s="27" t="s">
        <v>7</v>
      </c>
      <c r="AM195" s="27" t="s">
        <v>8</v>
      </c>
      <c r="AN195" s="27" t="s">
        <v>7</v>
      </c>
      <c r="AO195" s="27" t="s">
        <v>8</v>
      </c>
      <c r="AP195" s="27" t="s">
        <v>7</v>
      </c>
      <c r="AQ195" s="27" t="s">
        <v>8</v>
      </c>
      <c r="AT195" s="27" t="s">
        <v>7</v>
      </c>
      <c r="AU195" s="27" t="s">
        <v>8</v>
      </c>
      <c r="AV195" s="27" t="s">
        <v>7</v>
      </c>
      <c r="BC195" s="31" t="s">
        <v>8</v>
      </c>
      <c r="BD195" s="31" t="s">
        <v>7</v>
      </c>
      <c r="BI195" s="27" t="s">
        <v>8</v>
      </c>
      <c r="BJ195" s="27" t="s">
        <v>7</v>
      </c>
      <c r="BM195" s="27" t="s">
        <v>8</v>
      </c>
      <c r="BN195" s="27" t="s">
        <v>7</v>
      </c>
    </row>
    <row r="196" spans="1:78" x14ac:dyDescent="0.25">
      <c r="A196" s="30">
        <v>8.5571502795169767</v>
      </c>
      <c r="E196" t="s">
        <v>8</v>
      </c>
      <c r="F196" s="27" t="s">
        <v>7</v>
      </c>
      <c r="Q196" s="27" t="s">
        <v>8</v>
      </c>
      <c r="R196" s="27" t="s">
        <v>7</v>
      </c>
      <c r="U196" s="27" t="s">
        <v>8</v>
      </c>
      <c r="V196" s="27" t="s">
        <v>7</v>
      </c>
      <c r="Y196" s="27" t="s">
        <v>8</v>
      </c>
      <c r="Z196" s="27" t="s">
        <v>7</v>
      </c>
      <c r="AA196" s="27" t="s">
        <v>8</v>
      </c>
      <c r="AD196" s="27" t="s">
        <v>7</v>
      </c>
      <c r="AE196" s="27" t="s">
        <v>8</v>
      </c>
      <c r="AG196" s="31"/>
      <c r="AJ196" s="27" t="s">
        <v>7</v>
      </c>
      <c r="AK196" s="27" t="s">
        <v>8</v>
      </c>
      <c r="AL196" s="27" t="s">
        <v>7</v>
      </c>
      <c r="AM196" s="27" t="s">
        <v>8</v>
      </c>
      <c r="AN196" s="27" t="s">
        <v>7</v>
      </c>
      <c r="AO196" s="27" t="s">
        <v>8</v>
      </c>
      <c r="AP196" s="27" t="s">
        <v>7</v>
      </c>
      <c r="AQ196" s="27" t="s">
        <v>8</v>
      </c>
      <c r="AT196" s="27" t="s">
        <v>7</v>
      </c>
      <c r="AU196" s="27" t="s">
        <v>8</v>
      </c>
      <c r="AV196" s="27" t="s">
        <v>7</v>
      </c>
      <c r="BC196" s="27" t="s">
        <v>8</v>
      </c>
      <c r="BD196" s="27" t="s">
        <v>7</v>
      </c>
      <c r="BE196" s="31"/>
      <c r="BI196" s="27" t="s">
        <v>8</v>
      </c>
      <c r="BJ196" s="27" t="s">
        <v>7</v>
      </c>
      <c r="BK196" s="27" t="s">
        <v>8</v>
      </c>
      <c r="BM196" s="27" t="s">
        <v>8</v>
      </c>
      <c r="BN196" s="27" t="s">
        <v>7</v>
      </c>
      <c r="BO196" s="27" t="s">
        <v>8</v>
      </c>
    </row>
    <row r="197" spans="1:78" x14ac:dyDescent="0.25">
      <c r="A197" s="30">
        <v>8.1496669328733109</v>
      </c>
      <c r="E197" t="s">
        <v>8</v>
      </c>
      <c r="F197" s="27" t="s">
        <v>7</v>
      </c>
      <c r="Q197" s="27" t="s">
        <v>8</v>
      </c>
      <c r="R197" s="27" t="s">
        <v>7</v>
      </c>
      <c r="U197" s="27" t="s">
        <v>8</v>
      </c>
      <c r="V197" s="27" t="s">
        <v>7</v>
      </c>
      <c r="Y197" s="32" t="s">
        <v>8</v>
      </c>
      <c r="Z197" s="27" t="s">
        <v>7</v>
      </c>
      <c r="AA197" s="27" t="s">
        <v>8</v>
      </c>
      <c r="AD197" s="27" t="s">
        <v>7</v>
      </c>
      <c r="AE197" s="27" t="s">
        <v>8</v>
      </c>
      <c r="AF197" s="31"/>
      <c r="AJ197" s="27" t="s">
        <v>7</v>
      </c>
      <c r="AL197" s="27" t="s">
        <v>7</v>
      </c>
      <c r="AM197" s="27" t="s">
        <v>8</v>
      </c>
      <c r="AN197" s="27" t="s">
        <v>7</v>
      </c>
      <c r="AP197" s="27" t="s">
        <v>7</v>
      </c>
      <c r="AQ197" s="27" t="s">
        <v>8</v>
      </c>
      <c r="AT197" s="27" t="s">
        <v>7</v>
      </c>
      <c r="AU197" s="27" t="s">
        <v>8</v>
      </c>
      <c r="AV197" s="27" t="s">
        <v>7</v>
      </c>
      <c r="BC197" s="27" t="s">
        <v>8</v>
      </c>
      <c r="BD197" s="27" t="s">
        <v>7</v>
      </c>
      <c r="BF197" s="31"/>
      <c r="BI197" s="27" t="s">
        <v>8</v>
      </c>
      <c r="BJ197" s="27" t="s">
        <v>7</v>
      </c>
      <c r="BK197" s="27" t="s">
        <v>8</v>
      </c>
      <c r="BL197" s="27" t="s">
        <v>7</v>
      </c>
      <c r="BM197" s="27" t="s">
        <v>8</v>
      </c>
      <c r="BN197" s="27" t="s">
        <v>7</v>
      </c>
      <c r="BO197" s="27" t="s">
        <v>8</v>
      </c>
      <c r="BP197" s="27" t="s">
        <v>7</v>
      </c>
      <c r="BQ197" s="27" t="s">
        <v>8</v>
      </c>
    </row>
    <row r="198" spans="1:78" x14ac:dyDescent="0.25">
      <c r="A198" s="30">
        <v>7.7615875551174378</v>
      </c>
      <c r="E198" t="s">
        <v>8</v>
      </c>
      <c r="F198" s="27" t="s">
        <v>7</v>
      </c>
      <c r="G198" s="27" t="s">
        <v>8</v>
      </c>
      <c r="O198" s="27" t="s">
        <v>8</v>
      </c>
      <c r="Q198" s="27" t="s">
        <v>8</v>
      </c>
      <c r="R198" s="27" t="s">
        <v>7</v>
      </c>
      <c r="U198" s="27" t="s">
        <v>8</v>
      </c>
      <c r="V198" s="27" t="s">
        <v>7</v>
      </c>
      <c r="W198" s="27" t="s">
        <v>8</v>
      </c>
      <c r="Y198" s="27" t="s">
        <v>8</v>
      </c>
      <c r="Z198" s="27" t="s">
        <v>7</v>
      </c>
      <c r="AA198" s="27" t="s">
        <v>8</v>
      </c>
      <c r="AD198" s="27" t="s">
        <v>7</v>
      </c>
      <c r="AE198" s="31"/>
      <c r="AL198" s="27" t="s">
        <v>7</v>
      </c>
      <c r="AP198" s="34" t="s">
        <v>7</v>
      </c>
      <c r="AT198" s="27" t="s">
        <v>7</v>
      </c>
      <c r="AU198" s="27" t="s">
        <v>8</v>
      </c>
      <c r="AV198" s="27" t="s">
        <v>7</v>
      </c>
      <c r="AY198" s="27" t="s">
        <v>8</v>
      </c>
      <c r="BC198" s="27" t="s">
        <v>8</v>
      </c>
      <c r="BD198" s="27" t="s">
        <v>7</v>
      </c>
      <c r="BG198" s="31"/>
      <c r="BI198" s="27" t="s">
        <v>8</v>
      </c>
      <c r="BJ198" s="27" t="s">
        <v>7</v>
      </c>
      <c r="BK198" s="27" t="s">
        <v>8</v>
      </c>
      <c r="BL198" s="27" t="s">
        <v>7</v>
      </c>
      <c r="BM198" s="27" t="s">
        <v>8</v>
      </c>
      <c r="BN198" s="27" t="s">
        <v>7</v>
      </c>
      <c r="BO198" s="27" t="s">
        <v>8</v>
      </c>
      <c r="BP198" s="27" t="s">
        <v>7</v>
      </c>
      <c r="BQ198" s="27" t="s">
        <v>8</v>
      </c>
      <c r="BR198" s="27" t="s">
        <v>7</v>
      </c>
    </row>
    <row r="199" spans="1:78" x14ac:dyDescent="0.25">
      <c r="A199" s="30">
        <v>7.3919881477308929</v>
      </c>
      <c r="E199" t="s">
        <v>8</v>
      </c>
      <c r="F199" s="27" t="s">
        <v>7</v>
      </c>
      <c r="G199" s="27" t="s">
        <v>8</v>
      </c>
      <c r="H199" s="27" t="s">
        <v>7</v>
      </c>
      <c r="O199" s="27" t="s">
        <v>8</v>
      </c>
      <c r="P199" s="27" t="s">
        <v>7</v>
      </c>
      <c r="Q199" s="27" t="s">
        <v>8</v>
      </c>
      <c r="R199" s="27" t="s">
        <v>7</v>
      </c>
      <c r="S199" s="27" t="s">
        <v>8</v>
      </c>
      <c r="U199" s="27" t="s">
        <v>8</v>
      </c>
      <c r="V199" s="27" t="s">
        <v>7</v>
      </c>
      <c r="W199" s="27" t="s">
        <v>8</v>
      </c>
      <c r="X199" s="27" t="s">
        <v>7</v>
      </c>
      <c r="Y199" s="27" t="s">
        <v>8</v>
      </c>
      <c r="Z199" s="27" t="s">
        <v>7</v>
      </c>
      <c r="AA199" s="27" t="s">
        <v>8</v>
      </c>
      <c r="AD199" s="31"/>
      <c r="AT199" s="27" t="s">
        <v>7</v>
      </c>
      <c r="AU199" s="27" t="s">
        <v>8</v>
      </c>
      <c r="AV199" s="27" t="s">
        <v>7</v>
      </c>
      <c r="AY199" s="27" t="s">
        <v>8</v>
      </c>
      <c r="AZ199" s="27" t="s">
        <v>7</v>
      </c>
      <c r="BC199" s="27" t="s">
        <v>8</v>
      </c>
      <c r="BD199" s="27" t="s">
        <v>7</v>
      </c>
      <c r="BH199" s="31"/>
      <c r="BI199" s="27" t="s">
        <v>8</v>
      </c>
      <c r="BJ199" s="27" t="s">
        <v>7</v>
      </c>
      <c r="BL199" s="27" t="s">
        <v>7</v>
      </c>
      <c r="BM199" s="27" t="s">
        <v>8</v>
      </c>
      <c r="BN199" s="27" t="s">
        <v>7</v>
      </c>
      <c r="BO199" s="27" t="s">
        <v>8</v>
      </c>
      <c r="BP199" s="27" t="s">
        <v>7</v>
      </c>
      <c r="BQ199" s="27" t="s">
        <v>8</v>
      </c>
      <c r="BR199" s="27" t="s">
        <v>7</v>
      </c>
      <c r="BS199" s="27" t="s">
        <v>8</v>
      </c>
    </row>
    <row r="200" spans="1:78" x14ac:dyDescent="0.25">
      <c r="A200" s="30">
        <v>7.0399887121246598</v>
      </c>
      <c r="E200" t="s">
        <v>8</v>
      </c>
      <c r="F200" s="27" t="s">
        <v>7</v>
      </c>
      <c r="G200" s="27" t="s">
        <v>8</v>
      </c>
      <c r="H200" s="27" t="s">
        <v>7</v>
      </c>
      <c r="O200" s="27" t="s">
        <v>8</v>
      </c>
      <c r="P200" s="27" t="s">
        <v>7</v>
      </c>
      <c r="Q200" s="27" t="s">
        <v>8</v>
      </c>
      <c r="R200" s="27" t="s">
        <v>7</v>
      </c>
      <c r="S200" s="27" t="s">
        <v>8</v>
      </c>
      <c r="T200" s="27" t="s">
        <v>7</v>
      </c>
      <c r="U200" s="27" t="s">
        <v>8</v>
      </c>
      <c r="V200" s="27" t="s">
        <v>7</v>
      </c>
      <c r="W200" s="27" t="s">
        <v>8</v>
      </c>
      <c r="X200" s="27" t="s">
        <v>7</v>
      </c>
      <c r="Y200" s="27" t="s">
        <v>8</v>
      </c>
      <c r="Z200" s="27" t="s">
        <v>7</v>
      </c>
      <c r="AC200" s="31"/>
      <c r="AT200" s="27" t="s">
        <v>7</v>
      </c>
      <c r="AV200" s="27" t="s">
        <v>7</v>
      </c>
      <c r="AY200" s="27" t="s">
        <v>8</v>
      </c>
      <c r="AZ200" s="27" t="s">
        <v>7</v>
      </c>
      <c r="BC200" s="27" t="s">
        <v>8</v>
      </c>
      <c r="BD200" s="27" t="s">
        <v>7</v>
      </c>
      <c r="BI200" s="31" t="s">
        <v>8</v>
      </c>
      <c r="BL200" s="27" t="s">
        <v>7</v>
      </c>
      <c r="BN200" s="27" t="s">
        <v>7</v>
      </c>
      <c r="BO200" s="27" t="s">
        <v>8</v>
      </c>
      <c r="BP200" s="27" t="s">
        <v>7</v>
      </c>
      <c r="BR200" s="27" t="s">
        <v>7</v>
      </c>
      <c r="BS200" s="27" t="s">
        <v>8</v>
      </c>
      <c r="BT200" s="27" t="s">
        <v>7</v>
      </c>
    </row>
    <row r="201" spans="1:78" x14ac:dyDescent="0.25">
      <c r="A201" s="30">
        <v>6.7047511544044376</v>
      </c>
      <c r="E201" t="s">
        <v>8</v>
      </c>
      <c r="F201" s="27" t="s">
        <v>7</v>
      </c>
      <c r="G201" s="27" t="s">
        <v>8</v>
      </c>
      <c r="H201" s="27" t="s">
        <v>7</v>
      </c>
      <c r="O201" s="27" t="s">
        <v>8</v>
      </c>
      <c r="P201" s="27" t="s">
        <v>7</v>
      </c>
      <c r="Q201" s="27" t="s">
        <v>8</v>
      </c>
      <c r="R201" s="27" t="s">
        <v>7</v>
      </c>
      <c r="S201" s="27" t="s">
        <v>8</v>
      </c>
      <c r="T201" s="27" t="s">
        <v>7</v>
      </c>
      <c r="U201" s="27" t="s">
        <v>8</v>
      </c>
      <c r="V201" s="27" t="s">
        <v>7</v>
      </c>
      <c r="W201" s="27" t="s">
        <v>8</v>
      </c>
      <c r="X201" s="27" t="s">
        <v>7</v>
      </c>
      <c r="Y201" s="27" t="s">
        <v>8</v>
      </c>
      <c r="AB201" s="31"/>
      <c r="AV201" s="27" t="s">
        <v>7</v>
      </c>
      <c r="AY201" s="32" t="s">
        <v>8</v>
      </c>
      <c r="AZ201" s="27" t="s">
        <v>7</v>
      </c>
      <c r="BC201" s="32" t="s">
        <v>8</v>
      </c>
      <c r="BD201" s="27" t="s">
        <v>7</v>
      </c>
      <c r="BE201" s="27" t="s">
        <v>8</v>
      </c>
      <c r="BI201" s="32" t="s">
        <v>8</v>
      </c>
      <c r="BN201" s="27" t="s">
        <v>7</v>
      </c>
      <c r="BR201" s="27" t="s">
        <v>7</v>
      </c>
      <c r="BS201" s="27" t="s">
        <v>8</v>
      </c>
      <c r="BT201" s="27" t="s">
        <v>7</v>
      </c>
    </row>
    <row r="202" spans="1:78" x14ac:dyDescent="0.25">
      <c r="A202" s="30">
        <v>6.3854772899089882</v>
      </c>
      <c r="E202" t="s">
        <v>8</v>
      </c>
      <c r="F202" s="27" t="s">
        <v>7</v>
      </c>
      <c r="G202" s="27" t="s">
        <v>8</v>
      </c>
      <c r="H202" s="27" t="s">
        <v>7</v>
      </c>
      <c r="M202" s="27" t="s">
        <v>8</v>
      </c>
      <c r="O202" s="27" t="s">
        <v>8</v>
      </c>
      <c r="P202" s="27" t="s">
        <v>7</v>
      </c>
      <c r="Q202" s="27" t="s">
        <v>8</v>
      </c>
      <c r="R202" s="27" t="s">
        <v>7</v>
      </c>
      <c r="S202" s="27" t="s">
        <v>8</v>
      </c>
      <c r="T202" s="27" t="s">
        <v>7</v>
      </c>
      <c r="U202" s="27" t="s">
        <v>8</v>
      </c>
      <c r="V202" s="27" t="s">
        <v>7</v>
      </c>
      <c r="X202" s="27" t="s">
        <v>7</v>
      </c>
      <c r="Y202" s="27" t="s">
        <v>8</v>
      </c>
      <c r="AA202" s="31"/>
      <c r="AV202" s="27" t="s">
        <v>7</v>
      </c>
      <c r="AW202" s="27" t="s">
        <v>8</v>
      </c>
      <c r="AY202" s="27" t="s">
        <v>8</v>
      </c>
      <c r="AZ202" s="27" t="s">
        <v>7</v>
      </c>
      <c r="BA202" s="27" t="s">
        <v>8</v>
      </c>
      <c r="BC202" s="27" t="s">
        <v>8</v>
      </c>
      <c r="BD202" s="27" t="s">
        <v>7</v>
      </c>
      <c r="BE202" s="27" t="s">
        <v>8</v>
      </c>
      <c r="BF202" s="27" t="s">
        <v>7</v>
      </c>
      <c r="BG202" s="27" t="s">
        <v>8</v>
      </c>
      <c r="BI202" s="27" t="s">
        <v>8</v>
      </c>
      <c r="BL202" s="31"/>
      <c r="BR202" s="27" t="s">
        <v>7</v>
      </c>
      <c r="BT202" s="27" t="s">
        <v>7</v>
      </c>
      <c r="BY202" s="27" t="s">
        <v>8</v>
      </c>
    </row>
    <row r="203" spans="1:78" x14ac:dyDescent="0.25">
      <c r="A203" s="30">
        <v>6.0814069427704647</v>
      </c>
      <c r="C203" s="7"/>
      <c r="D203"/>
      <c r="E203" t="s">
        <v>8</v>
      </c>
      <c r="F203" s="27" t="s">
        <v>7</v>
      </c>
      <c r="G203" s="27" t="s">
        <v>8</v>
      </c>
      <c r="H203" s="27" t="s">
        <v>7</v>
      </c>
      <c r="M203" s="27" t="s">
        <v>8</v>
      </c>
      <c r="N203" s="27" t="s">
        <v>7</v>
      </c>
      <c r="O203" s="27" t="s">
        <v>8</v>
      </c>
      <c r="P203" s="27" t="s">
        <v>7</v>
      </c>
      <c r="Q203" s="27" t="s">
        <v>8</v>
      </c>
      <c r="R203" s="27" t="s">
        <v>7</v>
      </c>
      <c r="S203" s="27" t="s">
        <v>8</v>
      </c>
      <c r="T203" s="27" t="s">
        <v>7</v>
      </c>
      <c r="U203" s="27" t="s">
        <v>8</v>
      </c>
      <c r="X203" s="34" t="s">
        <v>7</v>
      </c>
      <c r="Z203" s="31"/>
      <c r="AV203" s="27" t="s">
        <v>7</v>
      </c>
      <c r="AW203" s="27" t="s">
        <v>8</v>
      </c>
      <c r="AX203" s="27" t="s">
        <v>7</v>
      </c>
      <c r="AY203" s="27" t="s">
        <v>8</v>
      </c>
      <c r="AZ203" s="27" t="s">
        <v>7</v>
      </c>
      <c r="BA203" s="27" t="s">
        <v>8</v>
      </c>
      <c r="BB203" s="27" t="s">
        <v>7</v>
      </c>
      <c r="BC203" s="27" t="s">
        <v>8</v>
      </c>
      <c r="BD203" s="27" t="s">
        <v>7</v>
      </c>
      <c r="BE203" s="27" t="s">
        <v>8</v>
      </c>
      <c r="BF203" s="27" t="s">
        <v>7</v>
      </c>
      <c r="BG203" s="27" t="s">
        <v>8</v>
      </c>
      <c r="BH203" s="27" t="s">
        <v>7</v>
      </c>
      <c r="BI203" s="27" t="s">
        <v>8</v>
      </c>
      <c r="BK203" s="31"/>
      <c r="BT203" s="27" t="s">
        <v>7</v>
      </c>
      <c r="BY203" s="27" t="s">
        <v>8</v>
      </c>
      <c r="BZ203" s="27" t="s">
        <v>7</v>
      </c>
    </row>
    <row r="204" spans="1:78" x14ac:dyDescent="0.25">
      <c r="A204" s="30">
        <v>5.7918161359718709</v>
      </c>
      <c r="E204" t="s">
        <v>8</v>
      </c>
      <c r="F204" s="27" t="s">
        <v>7</v>
      </c>
      <c r="H204" s="27" t="s">
        <v>7</v>
      </c>
      <c r="K204" s="27" t="s">
        <v>8</v>
      </c>
      <c r="M204" s="27" t="s">
        <v>8</v>
      </c>
      <c r="N204" s="27" t="s">
        <v>7</v>
      </c>
      <c r="O204" s="27" t="s">
        <v>8</v>
      </c>
      <c r="P204" s="27" t="s">
        <v>7</v>
      </c>
      <c r="Q204" s="27" t="s">
        <v>8</v>
      </c>
      <c r="R204" s="27" t="s">
        <v>7</v>
      </c>
      <c r="S204" s="27" t="s">
        <v>8</v>
      </c>
      <c r="T204" s="27" t="s">
        <v>7</v>
      </c>
      <c r="Y204" s="31"/>
      <c r="AV204" s="27" t="s">
        <v>7</v>
      </c>
      <c r="AW204" s="27" t="s">
        <v>8</v>
      </c>
      <c r="AX204" s="27" t="s">
        <v>7</v>
      </c>
      <c r="AY204" s="27" t="s">
        <v>8</v>
      </c>
      <c r="AZ204" s="27" t="s">
        <v>7</v>
      </c>
      <c r="BA204" s="27" t="s">
        <v>8</v>
      </c>
      <c r="BB204" s="27" t="s">
        <v>7</v>
      </c>
      <c r="BC204" s="27" t="s">
        <v>8</v>
      </c>
      <c r="BD204" s="27" t="s">
        <v>7</v>
      </c>
      <c r="BF204" s="27" t="s">
        <v>7</v>
      </c>
      <c r="BG204" s="27" t="s">
        <v>8</v>
      </c>
      <c r="BH204" s="27" t="s">
        <v>7</v>
      </c>
      <c r="BI204" s="27" t="s">
        <v>8</v>
      </c>
      <c r="BJ204" s="31"/>
      <c r="BT204" s="27" t="s">
        <v>7</v>
      </c>
      <c r="BY204" s="27" t="s">
        <v>8</v>
      </c>
      <c r="BZ204" s="27" t="s">
        <v>7</v>
      </c>
    </row>
    <row r="205" spans="1:78" x14ac:dyDescent="0.25">
      <c r="A205" s="30">
        <v>5.5160153675922574</v>
      </c>
      <c r="E205" t="s">
        <v>8</v>
      </c>
      <c r="H205" s="27" t="s">
        <v>7</v>
      </c>
      <c r="K205" s="27" t="s">
        <v>8</v>
      </c>
      <c r="L205" s="27" t="s">
        <v>7</v>
      </c>
      <c r="M205" s="27" t="s">
        <v>8</v>
      </c>
      <c r="N205" s="27" t="s">
        <v>7</v>
      </c>
      <c r="O205" s="27" t="s">
        <v>8</v>
      </c>
      <c r="P205" s="33" t="s">
        <v>7</v>
      </c>
      <c r="R205" s="33" t="s">
        <v>7</v>
      </c>
      <c r="X205" s="31"/>
      <c r="AV205" s="27" t="s">
        <v>7</v>
      </c>
      <c r="AW205" s="27" t="s">
        <v>8</v>
      </c>
      <c r="AX205" s="33" t="s">
        <v>7</v>
      </c>
      <c r="AZ205" s="33" t="s">
        <v>7</v>
      </c>
      <c r="BB205" s="27" t="s">
        <v>7</v>
      </c>
      <c r="BC205" s="27" t="s">
        <v>8</v>
      </c>
      <c r="BF205" s="34" t="s">
        <v>7</v>
      </c>
      <c r="BG205" s="27" t="s">
        <v>8</v>
      </c>
      <c r="BH205" s="27" t="s">
        <v>7</v>
      </c>
      <c r="BI205" s="31" t="s">
        <v>8</v>
      </c>
      <c r="BT205" s="27" t="s">
        <v>7</v>
      </c>
      <c r="BY205" s="27" t="s">
        <v>8</v>
      </c>
      <c r="BZ205" s="27" t="s">
        <v>7</v>
      </c>
    </row>
    <row r="206" spans="1:78" x14ac:dyDescent="0.25">
      <c r="A206" s="30">
        <v>5.2533479691354827</v>
      </c>
      <c r="C206"/>
      <c r="D206"/>
      <c r="E206" t="s">
        <v>8</v>
      </c>
      <c r="H206" s="27" t="s">
        <v>7</v>
      </c>
      <c r="K206" s="27" t="s">
        <v>8</v>
      </c>
      <c r="L206" s="27" t="s">
        <v>7</v>
      </c>
      <c r="M206" s="27" t="s">
        <v>8</v>
      </c>
      <c r="N206" s="27" t="s">
        <v>7</v>
      </c>
      <c r="O206" s="27" t="s">
        <v>8</v>
      </c>
      <c r="W206" s="31"/>
      <c r="AV206" s="27" t="s">
        <v>7</v>
      </c>
      <c r="AW206" s="27" t="s">
        <v>8</v>
      </c>
      <c r="BB206" s="34" t="s">
        <v>7</v>
      </c>
      <c r="BC206" s="27" t="s">
        <v>8</v>
      </c>
      <c r="BF206" s="27" t="s">
        <v>7</v>
      </c>
      <c r="BG206" s="27" t="s">
        <v>8</v>
      </c>
      <c r="BH206" s="31" t="s">
        <v>7</v>
      </c>
      <c r="BT206" s="27" t="s">
        <v>7</v>
      </c>
      <c r="BU206" s="27" t="s">
        <v>8</v>
      </c>
      <c r="BY206" s="27" t="s">
        <v>8</v>
      </c>
      <c r="BZ206" s="27" t="s">
        <v>7</v>
      </c>
    </row>
    <row r="207" spans="1:78" x14ac:dyDescent="0.25">
      <c r="A207" s="30">
        <v>5.0031885420337927</v>
      </c>
      <c r="E207" t="s">
        <v>8</v>
      </c>
      <c r="H207" s="27" t="s">
        <v>7</v>
      </c>
      <c r="K207" s="27" t="s">
        <v>8</v>
      </c>
      <c r="L207" s="27" t="s">
        <v>7</v>
      </c>
      <c r="M207" s="27" t="s">
        <v>8</v>
      </c>
      <c r="N207" s="27" t="s">
        <v>7</v>
      </c>
      <c r="O207" s="27" t="s">
        <v>8</v>
      </c>
      <c r="V207" s="31"/>
      <c r="AV207" s="27" t="s">
        <v>7</v>
      </c>
      <c r="BB207" s="27" t="s">
        <v>7</v>
      </c>
      <c r="BC207" s="27" t="s">
        <v>8</v>
      </c>
      <c r="BF207" s="27" t="s">
        <v>7</v>
      </c>
      <c r="BG207" s="31" t="s">
        <v>8</v>
      </c>
      <c r="BT207" s="27" t="s">
        <v>7</v>
      </c>
      <c r="BU207" s="27" t="s">
        <v>8</v>
      </c>
      <c r="BV207" s="27" t="s">
        <v>7</v>
      </c>
      <c r="BY207" s="27" t="s">
        <v>8</v>
      </c>
      <c r="BZ207" s="27" t="s">
        <v>7</v>
      </c>
    </row>
    <row r="208" spans="1:78" x14ac:dyDescent="0.25">
      <c r="A208" s="30">
        <v>4.7649414686036122</v>
      </c>
      <c r="E208" t="s">
        <v>8</v>
      </c>
      <c r="H208" s="27" t="s">
        <v>7</v>
      </c>
      <c r="K208" s="32" t="s">
        <v>8</v>
      </c>
      <c r="L208" s="27" t="s">
        <v>7</v>
      </c>
      <c r="M208" s="27" t="s">
        <v>8</v>
      </c>
      <c r="N208" s="27" t="s">
        <v>7</v>
      </c>
      <c r="O208" s="27" t="s">
        <v>8</v>
      </c>
      <c r="U208" s="31"/>
      <c r="BB208" s="27" t="s">
        <v>7</v>
      </c>
      <c r="BF208" s="31" t="s">
        <v>7</v>
      </c>
      <c r="BT208" s="27" t="s">
        <v>7</v>
      </c>
      <c r="BU208" s="27" t="s">
        <v>8</v>
      </c>
      <c r="BV208" s="27" t="s">
        <v>7</v>
      </c>
      <c r="BW208" s="27" t="s">
        <v>8</v>
      </c>
      <c r="BY208" s="27" t="s">
        <v>8</v>
      </c>
      <c r="BZ208" s="27" t="s">
        <v>7</v>
      </c>
    </row>
    <row r="209" spans="1:80" x14ac:dyDescent="0.25">
      <c r="A209" s="30">
        <v>4.5380394939082018</v>
      </c>
      <c r="E209" t="s">
        <v>8</v>
      </c>
      <c r="H209" s="27" t="s">
        <v>7</v>
      </c>
      <c r="I209" s="27" t="s">
        <v>8</v>
      </c>
      <c r="K209" s="27" t="s">
        <v>8</v>
      </c>
      <c r="L209" s="27" t="s">
        <v>7</v>
      </c>
      <c r="M209" s="27" t="s">
        <v>8</v>
      </c>
      <c r="N209" s="27" t="s">
        <v>7</v>
      </c>
      <c r="O209" s="27" t="s">
        <v>8</v>
      </c>
      <c r="T209" s="31"/>
      <c r="BT209" s="27" t="s">
        <v>7</v>
      </c>
      <c r="BU209" s="27" t="s">
        <v>8</v>
      </c>
      <c r="BV209" s="27" t="s">
        <v>7</v>
      </c>
      <c r="BW209" s="27" t="s">
        <v>8</v>
      </c>
      <c r="BX209" s="27" t="s">
        <v>7</v>
      </c>
      <c r="BY209" s="27" t="s">
        <v>8</v>
      </c>
      <c r="BZ209" s="27" t="s">
        <v>7</v>
      </c>
    </row>
    <row r="210" spans="1:80" x14ac:dyDescent="0.25">
      <c r="A210" s="30">
        <v>4.3219423751506678</v>
      </c>
      <c r="C210"/>
      <c r="E210" t="s">
        <v>8</v>
      </c>
      <c r="H210" s="27" t="s">
        <v>7</v>
      </c>
      <c r="I210" s="27" t="s">
        <v>8</v>
      </c>
      <c r="J210" s="27" t="s">
        <v>7</v>
      </c>
      <c r="K210" s="27" t="s">
        <v>8</v>
      </c>
      <c r="L210" s="27" t="s">
        <v>7</v>
      </c>
      <c r="M210" s="27" t="s">
        <v>8</v>
      </c>
      <c r="N210" s="27" t="s">
        <v>7</v>
      </c>
      <c r="O210" s="27" t="s">
        <v>8</v>
      </c>
      <c r="S210" s="31"/>
      <c r="BT210" s="27" t="s">
        <v>7</v>
      </c>
      <c r="BU210" s="27" t="s">
        <v>8</v>
      </c>
      <c r="BV210" s="27" t="s">
        <v>7</v>
      </c>
      <c r="BW210" s="27" t="s">
        <v>8</v>
      </c>
      <c r="BX210" s="27" t="s">
        <v>7</v>
      </c>
      <c r="BY210" s="27" t="s">
        <v>8</v>
      </c>
      <c r="BZ210" s="27" t="s">
        <v>7</v>
      </c>
      <c r="CA210" s="27" t="s">
        <v>8</v>
      </c>
    </row>
    <row r="211" spans="1:80" x14ac:dyDescent="0.25">
      <c r="A211" s="30">
        <v>4.1161355953815884</v>
      </c>
      <c r="E211" t="s">
        <v>8</v>
      </c>
      <c r="H211" s="27" t="s">
        <v>7</v>
      </c>
      <c r="I211" s="27" t="s">
        <v>8</v>
      </c>
      <c r="J211" s="27" t="s">
        <v>7</v>
      </c>
      <c r="K211" s="27" t="s">
        <v>8</v>
      </c>
      <c r="L211" s="27" t="s">
        <v>7</v>
      </c>
      <c r="M211" s="27" t="s">
        <v>8</v>
      </c>
      <c r="N211" s="27" t="s">
        <v>7</v>
      </c>
      <c r="O211" s="27" t="s">
        <v>8</v>
      </c>
      <c r="R211" s="31"/>
      <c r="BT211" s="27" t="s">
        <v>7</v>
      </c>
      <c r="BU211" s="27" t="s">
        <v>8</v>
      </c>
      <c r="BV211" s="27" t="s">
        <v>7</v>
      </c>
      <c r="BW211" s="27" t="s">
        <v>8</v>
      </c>
      <c r="BX211" s="27" t="s">
        <v>7</v>
      </c>
      <c r="BZ211" s="27" t="s">
        <v>7</v>
      </c>
      <c r="CA211" s="27" t="s">
        <v>8</v>
      </c>
      <c r="CB211" s="27" t="s">
        <v>7</v>
      </c>
    </row>
    <row r="212" spans="1:80" x14ac:dyDescent="0.25">
      <c r="A212" s="30">
        <v>3.9201291384586554</v>
      </c>
      <c r="E212" t="s">
        <v>8</v>
      </c>
      <c r="H212" s="27" t="s">
        <v>7</v>
      </c>
      <c r="J212" s="27" t="s">
        <v>7</v>
      </c>
      <c r="K212" s="27" t="s">
        <v>8</v>
      </c>
      <c r="L212" s="27" t="s">
        <v>7</v>
      </c>
      <c r="M212" s="27" t="s">
        <v>8</v>
      </c>
      <c r="N212" s="27" t="s">
        <v>7</v>
      </c>
      <c r="O212" s="27" t="s">
        <v>8</v>
      </c>
      <c r="Q212" s="31"/>
      <c r="BT212" s="27" t="s">
        <v>7</v>
      </c>
      <c r="BV212" s="27" t="s">
        <v>7</v>
      </c>
      <c r="BW212" s="27" t="s">
        <v>8</v>
      </c>
      <c r="BZ212" s="27" t="s">
        <v>7</v>
      </c>
      <c r="CA212" s="27" t="s">
        <v>8</v>
      </c>
      <c r="CB212" s="27" t="s">
        <v>7</v>
      </c>
    </row>
    <row r="213" spans="1:80" x14ac:dyDescent="0.25">
      <c r="A213" s="30">
        <v>3.7334563223415764</v>
      </c>
      <c r="E213" t="s">
        <v>8</v>
      </c>
      <c r="J213" s="27" t="s">
        <v>7</v>
      </c>
      <c r="K213" s="27" t="s">
        <v>8</v>
      </c>
      <c r="L213" s="27" t="s">
        <v>7</v>
      </c>
      <c r="M213" s="27" t="s">
        <v>8</v>
      </c>
      <c r="N213" s="27" t="s">
        <v>7</v>
      </c>
      <c r="O213" s="27" t="s">
        <v>8</v>
      </c>
      <c r="P213" s="31"/>
      <c r="BV213" s="27" t="s">
        <v>7</v>
      </c>
      <c r="BW213" s="27" t="s">
        <v>8</v>
      </c>
      <c r="BZ213" s="27" t="s">
        <v>7</v>
      </c>
      <c r="CA213" s="27" t="s">
        <v>8</v>
      </c>
      <c r="CB213" s="27" t="s">
        <v>7</v>
      </c>
    </row>
    <row r="214" spans="1:80" x14ac:dyDescent="0.25">
      <c r="A214" s="30">
        <v>3.5556726879443583</v>
      </c>
      <c r="E214" t="s">
        <v>8</v>
      </c>
      <c r="J214" s="27" t="s">
        <v>7</v>
      </c>
      <c r="K214" s="27" t="s">
        <v>8</v>
      </c>
      <c r="L214" s="33" t="s">
        <v>7</v>
      </c>
      <c r="N214" s="33" t="s">
        <v>7</v>
      </c>
      <c r="O214" s="31"/>
      <c r="BV214" s="27" t="s">
        <v>7</v>
      </c>
      <c r="BW214" s="27" t="s">
        <v>8</v>
      </c>
      <c r="BZ214" s="27" t="s">
        <v>7</v>
      </c>
      <c r="CB214" s="27" t="s">
        <v>7</v>
      </c>
    </row>
    <row r="215" spans="1:80" x14ac:dyDescent="0.25">
      <c r="A215" s="30">
        <v>3.3863549408993889</v>
      </c>
      <c r="E215" t="s">
        <v>8</v>
      </c>
      <c r="J215" s="27" t="s">
        <v>7</v>
      </c>
      <c r="K215" s="27" t="s">
        <v>8</v>
      </c>
      <c r="N215" s="31"/>
      <c r="BV215" s="27" t="s">
        <v>7</v>
      </c>
      <c r="CB215" s="27" t="s">
        <v>7</v>
      </c>
    </row>
    <row r="216" spans="1:80" x14ac:dyDescent="0.25">
      <c r="A216" s="30">
        <v>3.2250999437137038</v>
      </c>
      <c r="E216" t="s">
        <v>8</v>
      </c>
      <c r="J216" s="27" t="s">
        <v>7</v>
      </c>
      <c r="K216" s="27" t="s">
        <v>8</v>
      </c>
      <c r="M216" s="31"/>
      <c r="CB216" s="27" t="s">
        <v>7</v>
      </c>
    </row>
    <row r="217" spans="1:80" x14ac:dyDescent="0.25">
      <c r="A217" s="30">
        <v>3.0715237559178128</v>
      </c>
      <c r="E217" t="s">
        <v>8</v>
      </c>
      <c r="J217" s="27" t="s">
        <v>7</v>
      </c>
      <c r="K217" s="27" t="s">
        <v>8</v>
      </c>
      <c r="L217" s="31"/>
      <c r="CB217" s="27" t="s">
        <v>7</v>
      </c>
    </row>
    <row r="218" spans="1:80" x14ac:dyDescent="0.25">
      <c r="A218" s="30">
        <v>2.9252607199217264</v>
      </c>
      <c r="E218" t="s">
        <v>8</v>
      </c>
      <c r="J218" s="27" t="s">
        <v>7</v>
      </c>
      <c r="K218" s="31" t="s">
        <v>8</v>
      </c>
      <c r="CB218" s="27" t="s">
        <v>7</v>
      </c>
    </row>
    <row r="219" spans="1:80" x14ac:dyDescent="0.25">
      <c r="A219" s="30">
        <v>2.7859625904016441</v>
      </c>
      <c r="E219" t="s">
        <v>8</v>
      </c>
      <c r="J219" s="31" t="s">
        <v>7</v>
      </c>
      <c r="CB219" s="27" t="s">
        <v>7</v>
      </c>
    </row>
    <row r="220" spans="1:80" x14ac:dyDescent="0.25">
      <c r="A220" s="30">
        <v>2.6532977051444226</v>
      </c>
      <c r="E220" t="s">
        <v>8</v>
      </c>
      <c r="CB220" s="27" t="s">
        <v>7</v>
      </c>
    </row>
    <row r="221" spans="1:80" x14ac:dyDescent="0.25">
      <c r="A221" s="30">
        <v>2.5269501953756404</v>
      </c>
      <c r="E221" t="s">
        <v>8</v>
      </c>
    </row>
    <row r="222" spans="1:80" x14ac:dyDescent="0.25">
      <c r="A222" s="30">
        <v>2.4066192336910861</v>
      </c>
      <c r="E222" t="s">
        <v>8</v>
      </c>
    </row>
    <row r="223" spans="1:80" x14ac:dyDescent="0.25">
      <c r="A223" s="30">
        <v>2.2920183178010345</v>
      </c>
      <c r="E223" t="s">
        <v>8</v>
      </c>
    </row>
    <row r="224" spans="1:80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14" operator="equal">
      <formula>$U$1</formula>
    </cfRule>
    <cfRule type="cellIs" dxfId="67" priority="815" operator="equal">
      <formula>$S$1</formula>
    </cfRule>
  </conditionalFormatting>
  <conditionalFormatting sqref="D136">
    <cfRule type="cellIs" dxfId="66" priority="812" operator="equal">
      <formula>$S$1</formula>
    </cfRule>
    <cfRule type="cellIs" dxfId="65" priority="813" operator="equal">
      <formula>$U$1</formula>
    </cfRule>
  </conditionalFormatting>
  <conditionalFormatting sqref="C162">
    <cfRule type="cellIs" dxfId="64" priority="810" operator="equal">
      <formula>$U$1</formula>
    </cfRule>
    <cfRule type="cellIs" dxfId="63" priority="811" operator="equal">
      <formula>$S$1</formula>
    </cfRule>
  </conditionalFormatting>
  <conditionalFormatting sqref="D162">
    <cfRule type="cellIs" dxfId="62" priority="808" operator="equal">
      <formula>$S$1</formula>
    </cfRule>
    <cfRule type="cellIs" dxfId="61" priority="809" operator="equal">
      <formula>$U$1</formula>
    </cfRule>
  </conditionalFormatting>
  <conditionalFormatting sqref="C187">
    <cfRule type="cellIs" dxfId="60" priority="806" operator="equal">
      <formula>$U$1</formula>
    </cfRule>
    <cfRule type="cellIs" dxfId="59" priority="807" operator="equal">
      <formula>$S$1</formula>
    </cfRule>
  </conditionalFormatting>
  <conditionalFormatting sqref="D187">
    <cfRule type="cellIs" dxfId="58" priority="804" operator="equal">
      <formula>$S$1</formula>
    </cfRule>
    <cfRule type="cellIs" dxfId="57" priority="805" operator="equal">
      <formula>$U$1</formula>
    </cfRule>
  </conditionalFormatting>
  <conditionalFormatting sqref="C212">
    <cfRule type="cellIs" dxfId="56" priority="802" operator="equal">
      <formula>$U$1</formula>
    </cfRule>
    <cfRule type="cellIs" dxfId="55" priority="803" operator="equal">
      <formula>$S$1</formula>
    </cfRule>
  </conditionalFormatting>
  <conditionalFormatting sqref="D212">
    <cfRule type="cellIs" dxfId="54" priority="800" operator="equal">
      <formula>$S$1</formula>
    </cfRule>
    <cfRule type="cellIs" dxfId="53" priority="801" operator="equal">
      <formula>$U$1</formula>
    </cfRule>
  </conditionalFormatting>
  <conditionalFormatting sqref="C237">
    <cfRule type="cellIs" dxfId="52" priority="798" operator="equal">
      <formula>$U$1</formula>
    </cfRule>
    <cfRule type="cellIs" dxfId="51" priority="799" operator="equal">
      <formula>$S$1</formula>
    </cfRule>
  </conditionalFormatting>
  <conditionalFormatting sqref="D237">
    <cfRule type="cellIs" dxfId="50" priority="796" operator="equal">
      <formula>$S$1</formula>
    </cfRule>
    <cfRule type="cellIs" dxfId="49" priority="797" operator="equal">
      <formula>$U$1</formula>
    </cfRule>
  </conditionalFormatting>
  <conditionalFormatting sqref="C106">
    <cfRule type="cellIs" dxfId="48" priority="794" operator="equal">
      <formula>$U$1</formula>
    </cfRule>
    <cfRule type="cellIs" dxfId="47" priority="795" operator="equal">
      <formula>$S$1</formula>
    </cfRule>
  </conditionalFormatting>
  <conditionalFormatting sqref="D106">
    <cfRule type="cellIs" dxfId="46" priority="792" operator="equal">
      <formula>$S$1</formula>
    </cfRule>
    <cfRule type="cellIs" dxfId="45" priority="793" operator="equal">
      <formula>$U$1</formula>
    </cfRule>
  </conditionalFormatting>
  <conditionalFormatting sqref="C81">
    <cfRule type="cellIs" dxfId="44" priority="790" operator="equal">
      <formula>$U$1</formula>
    </cfRule>
    <cfRule type="cellIs" dxfId="43" priority="791" operator="equal">
      <formula>$S$1</formula>
    </cfRule>
  </conditionalFormatting>
  <conditionalFormatting sqref="D81">
    <cfRule type="cellIs" dxfId="42" priority="788" operator="equal">
      <formula>$S$1</formula>
    </cfRule>
    <cfRule type="cellIs" dxfId="41" priority="789" operator="equal">
      <formula>$U$1</formula>
    </cfRule>
  </conditionalFormatting>
  <conditionalFormatting sqref="C56">
    <cfRule type="cellIs" dxfId="40" priority="786" operator="equal">
      <formula>$U$1</formula>
    </cfRule>
    <cfRule type="cellIs" dxfId="39" priority="787" operator="equal">
      <formula>$S$1</formula>
    </cfRule>
  </conditionalFormatting>
  <conditionalFormatting sqref="D56">
    <cfRule type="cellIs" dxfId="38" priority="784" operator="equal">
      <formula>$S$1</formula>
    </cfRule>
    <cfRule type="cellIs" dxfId="37" priority="785" operator="equal">
      <formula>$U$1</formula>
    </cfRule>
  </conditionalFormatting>
  <conditionalFormatting sqref="C31">
    <cfRule type="cellIs" dxfId="36" priority="782" operator="equal">
      <formula>$U$1</formula>
    </cfRule>
    <cfRule type="cellIs" dxfId="35" priority="783" operator="equal">
      <formula>$S$1</formula>
    </cfRule>
  </conditionalFormatting>
  <conditionalFormatting sqref="D31">
    <cfRule type="cellIs" dxfId="34" priority="780" operator="equal">
      <formula>$S$1</formula>
    </cfRule>
    <cfRule type="cellIs" dxfId="33" priority="78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6" zoomScale="90" zoomScaleNormal="90" workbookViewId="0">
      <pane xSplit="4" topLeftCell="G1" activePane="topRight" state="frozen"/>
      <selection activeCell="A109" sqref="A109"/>
      <selection pane="topRight" activeCell="AP111" sqref="AP11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37" x14ac:dyDescent="0.25">
      <c r="A81" s="30">
        <v>45.259255568176073</v>
      </c>
      <c r="E81"/>
    </row>
    <row r="82" spans="1:37" x14ac:dyDescent="0.25">
      <c r="A82" s="30">
        <v>41.144777789250973</v>
      </c>
      <c r="E82"/>
    </row>
    <row r="83" spans="1:37" x14ac:dyDescent="0.25">
      <c r="A83" s="30">
        <v>37.404343444773609</v>
      </c>
      <c r="E83"/>
    </row>
    <row r="84" spans="1:37" x14ac:dyDescent="0.25">
      <c r="A84" s="30">
        <v>34.003948586157826</v>
      </c>
      <c r="E84"/>
    </row>
    <row r="85" spans="1:37" x14ac:dyDescent="0.25">
      <c r="A85" s="30">
        <v>30.912680532870748</v>
      </c>
      <c r="E85"/>
    </row>
    <row r="86" spans="1:37" x14ac:dyDescent="0.25">
      <c r="A86" s="30">
        <v>28.102436848064315</v>
      </c>
      <c r="E86"/>
    </row>
    <row r="87" spans="1:37" x14ac:dyDescent="0.25">
      <c r="A87" s="30">
        <v>25.547669861876649</v>
      </c>
      <c r="E87"/>
    </row>
    <row r="88" spans="1:37" x14ac:dyDescent="0.25">
      <c r="A88" s="30">
        <v>23.225154419887861</v>
      </c>
      <c r="E88"/>
    </row>
    <row r="89" spans="1:37" x14ac:dyDescent="0.25">
      <c r="A89" s="30">
        <v>21.113776745352599</v>
      </c>
      <c r="E89"/>
    </row>
    <row r="90" spans="1:37" x14ac:dyDescent="0.25">
      <c r="A90" s="30">
        <v>19.194342495775089</v>
      </c>
      <c r="E90"/>
    </row>
    <row r="91" spans="1:37" x14ac:dyDescent="0.25">
      <c r="A91" s="30">
        <v>17.449402268886445</v>
      </c>
      <c r="E91"/>
      <c r="S91" s="27" t="s">
        <v>8</v>
      </c>
    </row>
    <row r="92" spans="1:37" x14ac:dyDescent="0.25">
      <c r="A92" s="30">
        <v>15.863092971714948</v>
      </c>
      <c r="C92" s="1" t="s">
        <v>15</v>
      </c>
      <c r="E92"/>
      <c r="S92" s="27" t="s">
        <v>8</v>
      </c>
      <c r="T92" s="27" t="s">
        <v>7</v>
      </c>
      <c r="Y92" s="31" t="s">
        <v>8</v>
      </c>
    </row>
    <row r="93" spans="1:37" x14ac:dyDescent="0.25">
      <c r="A93" s="30">
        <v>14.420993610649951</v>
      </c>
      <c r="C93" s="7">
        <v>0.11167815779424731</v>
      </c>
      <c r="D93"/>
      <c r="E93"/>
      <c r="S93" s="27" t="s">
        <v>8</v>
      </c>
      <c r="T93" s="27" t="s">
        <v>7</v>
      </c>
      <c r="Y93" s="27" t="s">
        <v>8</v>
      </c>
      <c r="Z93" s="31" t="s">
        <v>7</v>
      </c>
    </row>
    <row r="94" spans="1:37" x14ac:dyDescent="0.25">
      <c r="A94" s="30">
        <v>13.109994191499954</v>
      </c>
      <c r="E94"/>
      <c r="S94" s="27" t="s">
        <v>8</v>
      </c>
      <c r="T94" s="27" t="s">
        <v>7</v>
      </c>
      <c r="U94" s="27" t="s">
        <v>8</v>
      </c>
      <c r="Y94" s="27" t="s">
        <v>8</v>
      </c>
      <c r="Z94" s="27" t="s">
        <v>7</v>
      </c>
      <c r="AA94" s="31" t="s">
        <v>8</v>
      </c>
    </row>
    <row r="95" spans="1:37" x14ac:dyDescent="0.25">
      <c r="A95" s="30">
        <v>11.918176537727231</v>
      </c>
      <c r="C95" s="1" t="s">
        <v>11</v>
      </c>
      <c r="D95" s="1" t="s">
        <v>12</v>
      </c>
      <c r="E95"/>
      <c r="S95" s="27" t="s">
        <v>8</v>
      </c>
      <c r="T95" s="27" t="s">
        <v>7</v>
      </c>
      <c r="U95" s="27" t="s">
        <v>8</v>
      </c>
      <c r="V95" s="27" t="s">
        <v>7</v>
      </c>
      <c r="W95" s="27" t="s">
        <v>8</v>
      </c>
      <c r="Y95" s="27" t="s">
        <v>8</v>
      </c>
      <c r="Z95" s="27" t="s">
        <v>7</v>
      </c>
      <c r="AA95" s="27" t="s">
        <v>8</v>
      </c>
      <c r="AB95" s="31" t="s">
        <v>7</v>
      </c>
    </row>
    <row r="96" spans="1:37" x14ac:dyDescent="0.25">
      <c r="A96" s="30">
        <v>10.834705943388391</v>
      </c>
      <c r="C96"/>
      <c r="D96"/>
      <c r="E96"/>
      <c r="Q96" s="27" t="s">
        <v>8</v>
      </c>
      <c r="S96" s="27" t="s">
        <v>8</v>
      </c>
      <c r="T96" s="27" t="s">
        <v>7</v>
      </c>
      <c r="U96" s="27" t="s">
        <v>8</v>
      </c>
      <c r="V96" s="27" t="s">
        <v>7</v>
      </c>
      <c r="W96" s="27" t="s">
        <v>8</v>
      </c>
      <c r="X96" s="27" t="s">
        <v>7</v>
      </c>
      <c r="Y96" s="27" t="s">
        <v>8</v>
      </c>
      <c r="Z96" s="27" t="s">
        <v>7</v>
      </c>
      <c r="AA96" s="27" t="s">
        <v>8</v>
      </c>
      <c r="AB96" s="27" t="s">
        <v>7</v>
      </c>
      <c r="AC96" s="31" t="s">
        <v>8</v>
      </c>
      <c r="AK96" s="27" t="s">
        <v>8</v>
      </c>
    </row>
    <row r="97" spans="1:42" x14ac:dyDescent="0.25">
      <c r="A97" s="30">
        <v>9.849732675807628</v>
      </c>
      <c r="E97" t="s">
        <v>8</v>
      </c>
      <c r="M97" s="27" t="s">
        <v>8</v>
      </c>
      <c r="Q97" s="27" t="s">
        <v>8</v>
      </c>
      <c r="R97" s="27" t="s">
        <v>7</v>
      </c>
      <c r="S97" s="27" t="s">
        <v>8</v>
      </c>
      <c r="T97" s="27" t="s">
        <v>7</v>
      </c>
      <c r="U97" s="27" t="s">
        <v>8</v>
      </c>
      <c r="V97" s="27" t="s">
        <v>7</v>
      </c>
      <c r="W97" s="27" t="s">
        <v>8</v>
      </c>
      <c r="X97" s="27" t="s">
        <v>7</v>
      </c>
      <c r="Y97" s="27" t="s">
        <v>8</v>
      </c>
      <c r="Z97" s="27" t="s">
        <v>7</v>
      </c>
      <c r="AB97" s="27" t="s">
        <v>7</v>
      </c>
      <c r="AC97" s="27" t="s">
        <v>8</v>
      </c>
      <c r="AD97" s="31" t="s">
        <v>7</v>
      </c>
      <c r="AG97" s="27" t="s">
        <v>8</v>
      </c>
      <c r="AI97" s="27" t="s">
        <v>8</v>
      </c>
      <c r="AK97" s="27" t="s">
        <v>8</v>
      </c>
      <c r="AL97" s="27" t="s">
        <v>7</v>
      </c>
    </row>
    <row r="98" spans="1:42" x14ac:dyDescent="0.25">
      <c r="A98" s="30">
        <v>8.9543024325523888</v>
      </c>
      <c r="C98" s="1" t="s">
        <v>13</v>
      </c>
      <c r="E98" t="s">
        <v>8</v>
      </c>
      <c r="F98" s="27" t="s">
        <v>7</v>
      </c>
      <c r="M98" s="27" t="s">
        <v>8</v>
      </c>
      <c r="N98" s="27" t="s">
        <v>7</v>
      </c>
      <c r="O98" s="27" t="s">
        <v>8</v>
      </c>
      <c r="Q98" s="27" t="s">
        <v>8</v>
      </c>
      <c r="R98" s="27" t="s">
        <v>7</v>
      </c>
      <c r="S98" s="27" t="s">
        <v>8</v>
      </c>
      <c r="T98" s="27" t="s">
        <v>7</v>
      </c>
      <c r="U98" s="27" t="s">
        <v>8</v>
      </c>
      <c r="V98" s="27" t="s">
        <v>7</v>
      </c>
      <c r="W98" s="27" t="s">
        <v>8</v>
      </c>
      <c r="X98" s="27" t="s">
        <v>7</v>
      </c>
      <c r="Y98" s="27" t="s">
        <v>8</v>
      </c>
      <c r="AB98" s="34" t="s">
        <v>7</v>
      </c>
      <c r="AC98" s="27" t="s">
        <v>8</v>
      </c>
      <c r="AD98" s="27" t="s">
        <v>7</v>
      </c>
      <c r="AE98" s="31"/>
      <c r="AG98" s="27" t="s">
        <v>8</v>
      </c>
      <c r="AH98" s="27" t="s">
        <v>7</v>
      </c>
      <c r="AI98" s="27" t="s">
        <v>8</v>
      </c>
      <c r="AJ98" s="27" t="s">
        <v>7</v>
      </c>
      <c r="AK98" s="27" t="s">
        <v>8</v>
      </c>
      <c r="AL98" s="27" t="s">
        <v>7</v>
      </c>
    </row>
    <row r="99" spans="1:42" x14ac:dyDescent="0.25">
      <c r="A99" s="30">
        <v>8.140274938683989</v>
      </c>
      <c r="C99" s="1">
        <f>C88</f>
        <v>0</v>
      </c>
      <c r="E99" t="s">
        <v>8</v>
      </c>
      <c r="F99" s="27" t="s">
        <v>7</v>
      </c>
      <c r="M99" s="27" t="s">
        <v>8</v>
      </c>
      <c r="N99" s="27" t="s">
        <v>7</v>
      </c>
      <c r="O99" s="27" t="s">
        <v>8</v>
      </c>
      <c r="P99" s="27" t="s">
        <v>7</v>
      </c>
      <c r="Q99" s="27" t="s">
        <v>8</v>
      </c>
      <c r="R99" s="27" t="s">
        <v>7</v>
      </c>
      <c r="S99" s="35" t="s">
        <v>8</v>
      </c>
      <c r="T99" s="33" t="s">
        <v>7</v>
      </c>
      <c r="V99" s="33" t="s">
        <v>7</v>
      </c>
      <c r="X99" s="33" t="s">
        <v>7</v>
      </c>
      <c r="AB99" s="27" t="s">
        <v>7</v>
      </c>
      <c r="AC99" s="27" t="s">
        <v>8</v>
      </c>
      <c r="AD99" s="27" t="s">
        <v>7</v>
      </c>
      <c r="AF99" s="31"/>
      <c r="AG99" s="32" t="s">
        <v>8</v>
      </c>
      <c r="AH99" s="27" t="s">
        <v>7</v>
      </c>
      <c r="AI99" s="27" t="s">
        <v>8</v>
      </c>
      <c r="AJ99" s="27" t="s">
        <v>7</v>
      </c>
      <c r="AK99" s="27" t="s">
        <v>8</v>
      </c>
      <c r="AL99" s="27" t="s">
        <v>7</v>
      </c>
    </row>
    <row r="100" spans="1:42" x14ac:dyDescent="0.25">
      <c r="A100" s="30">
        <v>7.4002499442581717</v>
      </c>
      <c r="C100"/>
      <c r="D100"/>
      <c r="E100" t="s">
        <v>8</v>
      </c>
      <c r="F100" s="27" t="s">
        <v>7</v>
      </c>
      <c r="K100" s="27" t="s">
        <v>8</v>
      </c>
      <c r="M100" s="27" t="s">
        <v>8</v>
      </c>
      <c r="N100" s="27" t="s">
        <v>7</v>
      </c>
      <c r="O100" s="27" t="s">
        <v>8</v>
      </c>
      <c r="P100" s="27" t="s">
        <v>7</v>
      </c>
      <c r="Q100" s="27" t="s">
        <v>8</v>
      </c>
      <c r="R100" s="35" t="s">
        <v>7</v>
      </c>
      <c r="AB100" s="27" t="s">
        <v>7</v>
      </c>
      <c r="AD100" s="27" t="s">
        <v>7</v>
      </c>
      <c r="AE100" s="27" t="s">
        <v>8</v>
      </c>
      <c r="AG100" s="31" t="s">
        <v>8</v>
      </c>
      <c r="AH100" s="27" t="s">
        <v>7</v>
      </c>
      <c r="AI100" s="27" t="s">
        <v>8</v>
      </c>
      <c r="AJ100" s="27" t="s">
        <v>7</v>
      </c>
      <c r="AL100" s="27" t="s">
        <v>7</v>
      </c>
    </row>
    <row r="101" spans="1:42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K101" s="27" t="s">
        <v>8</v>
      </c>
      <c r="L101" s="27" t="s">
        <v>7</v>
      </c>
      <c r="M101" s="27" t="s">
        <v>8</v>
      </c>
      <c r="N101" s="27" t="s">
        <v>7</v>
      </c>
      <c r="O101" s="27" t="s">
        <v>8</v>
      </c>
      <c r="P101" s="27" t="s">
        <v>7</v>
      </c>
      <c r="Q101" s="35" t="s">
        <v>8</v>
      </c>
      <c r="AD101" s="27" t="s">
        <v>7</v>
      </c>
      <c r="AE101" s="27" t="s">
        <v>8</v>
      </c>
      <c r="AF101" s="27" t="s">
        <v>7</v>
      </c>
      <c r="AG101" s="27" t="s">
        <v>8</v>
      </c>
      <c r="AH101" s="27" t="s">
        <v>7</v>
      </c>
      <c r="AI101" s="27" t="s">
        <v>8</v>
      </c>
      <c r="AK101" s="31"/>
      <c r="AL101" s="27" t="s">
        <v>7</v>
      </c>
    </row>
    <row r="102" spans="1:4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I102" s="27" t="s">
        <v>8</v>
      </c>
      <c r="K102" s="27" t="s">
        <v>8</v>
      </c>
      <c r="L102" s="27" t="s">
        <v>7</v>
      </c>
      <c r="M102" s="27" t="s">
        <v>8</v>
      </c>
      <c r="N102" s="27" t="s">
        <v>7</v>
      </c>
      <c r="O102" s="27" t="s">
        <v>8</v>
      </c>
      <c r="P102" s="35" t="s">
        <v>7</v>
      </c>
      <c r="AD102" s="27" t="s">
        <v>7</v>
      </c>
      <c r="AE102" s="27" t="s">
        <v>8</v>
      </c>
      <c r="AF102" s="27" t="s">
        <v>7</v>
      </c>
      <c r="AG102" s="27" t="s">
        <v>8</v>
      </c>
      <c r="AH102" s="27" t="s">
        <v>7</v>
      </c>
      <c r="AI102" s="27" t="s">
        <v>8</v>
      </c>
      <c r="AJ102" s="31"/>
      <c r="AL102" s="27" t="s">
        <v>7</v>
      </c>
      <c r="AO102" s="27" t="s">
        <v>8</v>
      </c>
    </row>
    <row r="103" spans="1:42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I103" s="27" t="s">
        <v>8</v>
      </c>
      <c r="J103" s="27" t="s">
        <v>7</v>
      </c>
      <c r="K103" s="27" t="s">
        <v>8</v>
      </c>
      <c r="L103" s="27" t="s">
        <v>7</v>
      </c>
      <c r="N103" s="27" t="s">
        <v>7</v>
      </c>
      <c r="O103" s="35"/>
      <c r="AD103" s="27" t="s">
        <v>7</v>
      </c>
      <c r="AE103" s="27" t="s">
        <v>8</v>
      </c>
      <c r="AF103" s="27" t="s">
        <v>7</v>
      </c>
      <c r="AG103" s="27" t="s">
        <v>8</v>
      </c>
      <c r="AH103" s="27" t="s">
        <v>7</v>
      </c>
      <c r="AI103" s="31" t="s">
        <v>8</v>
      </c>
      <c r="AL103" s="27" t="s">
        <v>7</v>
      </c>
      <c r="AO103" s="27" t="s">
        <v>8</v>
      </c>
      <c r="AP103" s="27" t="s">
        <v>7</v>
      </c>
    </row>
    <row r="104" spans="1:42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  <c r="I104" s="27" t="s">
        <v>8</v>
      </c>
      <c r="J104" s="27" t="s">
        <v>7</v>
      </c>
      <c r="K104" s="27" t="s">
        <v>8</v>
      </c>
      <c r="N104" s="35"/>
      <c r="AD104" s="27" t="s">
        <v>7</v>
      </c>
      <c r="AF104" s="27" t="s">
        <v>7</v>
      </c>
      <c r="AG104" s="27" t="s">
        <v>8</v>
      </c>
      <c r="AH104" s="31" t="s">
        <v>7</v>
      </c>
      <c r="AL104" s="27" t="s">
        <v>7</v>
      </c>
      <c r="AM104" s="27" t="s">
        <v>8</v>
      </c>
      <c r="AO104" s="27" t="s">
        <v>8</v>
      </c>
      <c r="AP104" s="27" t="s">
        <v>7</v>
      </c>
    </row>
    <row r="105" spans="1:42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  <c r="I105" s="27" t="s">
        <v>8</v>
      </c>
      <c r="J105" s="27" t="s">
        <v>7</v>
      </c>
      <c r="K105" s="27" t="s">
        <v>8</v>
      </c>
      <c r="M105" s="35"/>
      <c r="AF105" s="27" t="s">
        <v>7</v>
      </c>
      <c r="AL105" s="27" t="s">
        <v>7</v>
      </c>
      <c r="AM105" s="27" t="s">
        <v>8</v>
      </c>
      <c r="AN105" s="27" t="s">
        <v>7</v>
      </c>
      <c r="AO105" s="27" t="s">
        <v>8</v>
      </c>
      <c r="AP105" s="27" t="s">
        <v>7</v>
      </c>
    </row>
    <row r="106" spans="1:42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  <c r="I106" s="27" t="s">
        <v>8</v>
      </c>
      <c r="J106" s="27" t="s">
        <v>7</v>
      </c>
      <c r="K106" s="27" t="s">
        <v>8</v>
      </c>
      <c r="L106" s="35"/>
      <c r="AL106" s="27" t="s">
        <v>7</v>
      </c>
      <c r="AM106" s="27" t="s">
        <v>8</v>
      </c>
      <c r="AN106" s="27" t="s">
        <v>7</v>
      </c>
      <c r="AO106" s="27" t="s">
        <v>8</v>
      </c>
      <c r="AP106" s="27" t="s">
        <v>7</v>
      </c>
    </row>
    <row r="107" spans="1:42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  <c r="J107" s="27" t="s">
        <v>7</v>
      </c>
      <c r="K107" s="35" t="s">
        <v>8</v>
      </c>
      <c r="AL107" s="27" t="s">
        <v>7</v>
      </c>
      <c r="AN107" s="27" t="s">
        <v>7</v>
      </c>
      <c r="AO107" s="27" t="s">
        <v>8</v>
      </c>
      <c r="AP107" s="27" t="s">
        <v>7</v>
      </c>
    </row>
    <row r="108" spans="1:42" x14ac:dyDescent="0.25">
      <c r="A108" s="30">
        <v>3.4522712143931042</v>
      </c>
      <c r="E108" t="s">
        <v>8</v>
      </c>
      <c r="F108" s="27" t="s">
        <v>7</v>
      </c>
      <c r="G108" s="27" t="s">
        <v>8</v>
      </c>
      <c r="J108" s="35" t="s">
        <v>7</v>
      </c>
      <c r="AN108" s="27" t="s">
        <v>7</v>
      </c>
      <c r="AP108" s="27" t="s">
        <v>7</v>
      </c>
    </row>
    <row r="109" spans="1:42" x14ac:dyDescent="0.25">
      <c r="A109" s="30">
        <v>3.1384283767210035</v>
      </c>
      <c r="E109" t="s">
        <v>8</v>
      </c>
      <c r="F109" s="27" t="s">
        <v>7</v>
      </c>
      <c r="G109" s="27" t="s">
        <v>8</v>
      </c>
      <c r="AP109" s="27" t="s">
        <v>7</v>
      </c>
    </row>
    <row r="110" spans="1:42" x14ac:dyDescent="0.25">
      <c r="A110" s="30">
        <v>2.8531167061100029</v>
      </c>
      <c r="E110" t="s">
        <v>8</v>
      </c>
      <c r="F110" s="27" t="s">
        <v>7</v>
      </c>
      <c r="AP110" s="27" t="s">
        <v>7</v>
      </c>
    </row>
    <row r="111" spans="1:42" x14ac:dyDescent="0.25">
      <c r="A111" s="30">
        <v>2.5937424601000023</v>
      </c>
      <c r="C111" s="1" t="str">
        <f>ADDRESS(C121-1,1,1,1)</f>
        <v>$A$110</v>
      </c>
      <c r="D111" s="1" t="str">
        <f>ADDRESS(C121-1,D121,1,1)</f>
        <v>$AP$110</v>
      </c>
      <c r="E111" t="s">
        <v>8</v>
      </c>
      <c r="AP111" s="27" t="s">
        <v>7</v>
      </c>
    </row>
    <row r="112" spans="1:42" x14ac:dyDescent="0.25">
      <c r="A112" s="30">
        <v>2.3579476910000019</v>
      </c>
      <c r="C112" s="1" t="str">
        <f>ADDRESS(C121,1,1,1)</f>
        <v>$A$111</v>
      </c>
      <c r="D112" s="1" t="str">
        <f>ADDRESS(C121,D121-1,1,1)</f>
        <v>$AO$111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$A$112</v>
      </c>
      <c r="D113" s="1" t="str">
        <f>ADDRESS(C121-1,D121+1,1,1)</f>
        <v>$AQ$110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$AP$111</v>
      </c>
      <c r="D114" s="1" t="str">
        <f>ADDRESS(C121+1,D121+1,1,1)</f>
        <v>$AQ$112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$AP$112</v>
      </c>
      <c r="E115" s="1" t="s">
        <v>8</v>
      </c>
    </row>
    <row r="116" spans="1:5" x14ac:dyDescent="0.25">
      <c r="A116" s="30">
        <v>1.6105100000000008</v>
      </c>
      <c r="C116" s="1">
        <f>C117-1</f>
        <v>110</v>
      </c>
      <c r="E116" s="1" t="s">
        <v>8</v>
      </c>
    </row>
    <row r="117" spans="1:5" x14ac:dyDescent="0.25">
      <c r="A117" s="30">
        <v>1.4641000000000006</v>
      </c>
      <c r="C117" s="1">
        <f>C121</f>
        <v>111</v>
      </c>
      <c r="D117" s="1">
        <f>D121</f>
        <v>42</v>
      </c>
      <c r="E117" s="1" t="s">
        <v>8</v>
      </c>
    </row>
    <row r="118" spans="1:5" x14ac:dyDescent="0.25">
      <c r="A118" s="30">
        <v>1.3310000000000004</v>
      </c>
      <c r="C118" s="1">
        <f>C117+1</f>
        <v>112</v>
      </c>
      <c r="D118" s="1">
        <f>D117+1</f>
        <v>43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111</v>
      </c>
      <c r="D121" s="19">
        <v>42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R111</v>
      </c>
      <c r="D123" s="1" t="str">
        <f>"C"&amp;D121</f>
        <v>C42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2.5937424601000023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98" operator="equal">
      <formula>$U$1</formula>
    </cfRule>
    <cfRule type="cellIs" dxfId="30" priority="799" operator="equal">
      <formula>$S$1</formula>
    </cfRule>
  </conditionalFormatting>
  <conditionalFormatting sqref="D136">
    <cfRule type="cellIs" dxfId="29" priority="796" operator="equal">
      <formula>$S$1</formula>
    </cfRule>
    <cfRule type="cellIs" dxfId="28" priority="797" operator="equal">
      <formula>$U$1</formula>
    </cfRule>
  </conditionalFormatting>
  <conditionalFormatting sqref="C102">
    <cfRule type="cellIs" dxfId="27" priority="794" operator="equal">
      <formula>$U$1</formula>
    </cfRule>
    <cfRule type="cellIs" dxfId="26" priority="795" operator="equal">
      <formula>$S$1</formula>
    </cfRule>
  </conditionalFormatting>
  <conditionalFormatting sqref="D102">
    <cfRule type="cellIs" dxfId="25" priority="792" operator="equal">
      <formula>$S$1</formula>
    </cfRule>
    <cfRule type="cellIs" dxfId="24" priority="793" operator="equal">
      <formula>$U$1</formula>
    </cfRule>
  </conditionalFormatting>
  <conditionalFormatting sqref="C77">
    <cfRule type="cellIs" dxfId="23" priority="790" operator="equal">
      <formula>$U$1</formula>
    </cfRule>
    <cfRule type="cellIs" dxfId="22" priority="791" operator="equal">
      <formula>$S$1</formula>
    </cfRule>
  </conditionalFormatting>
  <conditionalFormatting sqref="D77">
    <cfRule type="cellIs" dxfId="21" priority="788" operator="equal">
      <formula>$S$1</formula>
    </cfRule>
    <cfRule type="cellIs" dxfId="20" priority="789" operator="equal">
      <formula>$U$1</formula>
    </cfRule>
  </conditionalFormatting>
  <conditionalFormatting sqref="C52">
    <cfRule type="cellIs" dxfId="19" priority="786" operator="equal">
      <formula>$U$1</formula>
    </cfRule>
    <cfRule type="cellIs" dxfId="18" priority="787" operator="equal">
      <formula>$S$1</formula>
    </cfRule>
  </conditionalFormatting>
  <conditionalFormatting sqref="D52">
    <cfRule type="cellIs" dxfId="17" priority="784" operator="equal">
      <formula>$S$1</formula>
    </cfRule>
    <cfRule type="cellIs" dxfId="16" priority="785" operator="equal">
      <formula>$U$1</formula>
    </cfRule>
  </conditionalFormatting>
  <conditionalFormatting sqref="C26">
    <cfRule type="cellIs" dxfId="15" priority="782" operator="equal">
      <formula>$U$1</formula>
    </cfRule>
    <cfRule type="cellIs" dxfId="14" priority="783" operator="equal">
      <formula>$S$1</formula>
    </cfRule>
  </conditionalFormatting>
  <conditionalFormatting sqref="D26">
    <cfRule type="cellIs" dxfId="13" priority="780" operator="equal">
      <formula>$S$1</formula>
    </cfRule>
    <cfRule type="cellIs" dxfId="12" priority="78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2022-01-28T01:13:46Z</dcterms:modified>
</cp:coreProperties>
</file>