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9AD682E-C87B-46C3-82AF-5A70ADC85C7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16" i="4"/>
  <c r="C122" i="4"/>
  <c r="C133" i="4" s="1"/>
  <c r="D136" i="4" s="1"/>
  <c r="R765" i="1"/>
  <c r="C122" i="3"/>
  <c r="C133" i="3" s="1"/>
  <c r="C136" i="3" s="1"/>
  <c r="C116" i="3"/>
  <c r="D136" i="5" l="1"/>
  <c r="C138" i="5" s="1"/>
  <c r="C136" i="4"/>
  <c r="C138" i="4" s="1"/>
  <c r="R764" i="1"/>
  <c r="S765" i="1"/>
  <c r="T765" i="1" s="1"/>
  <c r="D136" i="3"/>
  <c r="C138" i="3" s="1"/>
  <c r="S764" i="1" l="1"/>
  <c r="T764" i="1" s="1"/>
  <c r="R763" i="1"/>
  <c r="S763" i="1" l="1"/>
  <c r="T763" i="1" s="1"/>
  <c r="R762" i="1"/>
  <c r="R761" i="1" l="1"/>
  <c r="S762" i="1"/>
  <c r="T762" i="1" s="1"/>
  <c r="S761" i="1" l="1"/>
  <c r="T761" i="1" s="1"/>
  <c r="R760" i="1"/>
  <c r="R759" i="1" l="1"/>
  <c r="S760" i="1"/>
  <c r="T760" i="1" s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S755" i="1" l="1"/>
  <c r="T755" i="1" s="1"/>
  <c r="R754" i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S728" i="1" l="1"/>
  <c r="T728" i="1" s="1"/>
  <c r="R727" i="1"/>
  <c r="R726" i="1" l="1"/>
  <c r="S727" i="1"/>
  <c r="T727" i="1" s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S706" i="1" l="1"/>
  <c r="T706" i="1" s="1"/>
  <c r="R705" i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S670" i="1" l="1"/>
  <c r="T670" i="1" s="1"/>
  <c r="R669" i="1"/>
  <c r="S669" i="1" l="1"/>
  <c r="T669" i="1" s="1"/>
  <c r="R668" i="1"/>
  <c r="S668" i="1" l="1"/>
  <c r="T668" i="1" s="1"/>
  <c r="R667" i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S662" i="1" l="1"/>
  <c r="T662" i="1" s="1"/>
  <c r="R661" i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S654" i="1" l="1"/>
  <c r="T654" i="1" s="1"/>
  <c r="R653" i="1"/>
  <c r="S653" i="1" l="1"/>
  <c r="T653" i="1" s="1"/>
  <c r="R652" i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R631" i="1" l="1"/>
  <c r="S632" i="1"/>
  <c r="T632" i="1" s="1"/>
  <c r="R630" i="1" l="1"/>
  <c r="S631" i="1"/>
  <c r="T631" i="1" s="1"/>
  <c r="S630" i="1" l="1"/>
  <c r="T630" i="1" s="1"/>
  <c r="R629" i="1"/>
  <c r="S629" i="1" l="1"/>
  <c r="T629" i="1" s="1"/>
  <c r="R628" i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S609" i="1" l="1"/>
  <c r="T609" i="1" s="1"/>
  <c r="R608" i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S601" i="1" l="1"/>
  <c r="T601" i="1" s="1"/>
  <c r="R600" i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S591" i="1" l="1"/>
  <c r="T591" i="1" s="1"/>
  <c r="R590" i="1"/>
  <c r="S590" i="1" l="1"/>
  <c r="T590" i="1" s="1"/>
  <c r="R589" i="1"/>
  <c r="S589" i="1" l="1"/>
  <c r="T589" i="1" s="1"/>
  <c r="R588" i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S584" i="1" l="1"/>
  <c r="T584" i="1" s="1"/>
  <c r="R583" i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S566" i="1" l="1"/>
  <c r="T566" i="1" s="1"/>
  <c r="R565" i="1"/>
  <c r="R564" i="1" l="1"/>
  <c r="S565" i="1"/>
  <c r="T565" i="1" s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S553" i="1" l="1"/>
  <c r="T553" i="1" s="1"/>
  <c r="R552" i="1"/>
  <c r="S552" i="1" l="1"/>
  <c r="T552" i="1" s="1"/>
  <c r="R551" i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R502" i="1" l="1"/>
  <c r="S503" i="1"/>
  <c r="T503" i="1" s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S498" i="1" l="1"/>
  <c r="T498" i="1" s="1"/>
  <c r="R497" i="1"/>
  <c r="S497" i="1" l="1"/>
  <c r="T497" i="1" s="1"/>
  <c r="R496" i="1"/>
  <c r="R495" i="1" l="1"/>
  <c r="S496" i="1"/>
  <c r="T496" i="1" s="1"/>
  <c r="R494" i="1" l="1"/>
  <c r="S495" i="1"/>
  <c r="T495" i="1" s="1"/>
  <c r="S494" i="1" l="1"/>
  <c r="T494" i="1" s="1"/>
  <c r="R493" i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R479" i="1" l="1"/>
  <c r="S480" i="1"/>
  <c r="T480" i="1" s="1"/>
  <c r="S479" i="1" l="1"/>
  <c r="T479" i="1" s="1"/>
  <c r="R478" i="1"/>
  <c r="S478" i="1" l="1"/>
  <c r="T478" i="1" s="1"/>
  <c r="R477" i="1"/>
  <c r="R476" i="1" l="1"/>
  <c r="S477" i="1"/>
  <c r="T477" i="1" s="1"/>
  <c r="S476" i="1" l="1"/>
  <c r="T476" i="1" s="1"/>
  <c r="R475" i="1"/>
  <c r="R474" i="1" l="1"/>
  <c r="S475" i="1"/>
  <c r="T475" i="1" s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R458" i="1" l="1"/>
  <c r="S459" i="1"/>
  <c r="T459" i="1" s="1"/>
  <c r="S458" i="1" l="1"/>
  <c r="T458" i="1" s="1"/>
  <c r="R457" i="1"/>
  <c r="S457" i="1" l="1"/>
  <c r="T457" i="1" s="1"/>
  <c r="R456" i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S418" i="1" l="1"/>
  <c r="T418" i="1" s="1"/>
  <c r="R417" i="1"/>
  <c r="R416" i="1" l="1"/>
  <c r="S417" i="1"/>
  <c r="T417" i="1" s="1"/>
  <c r="S416" i="1" l="1"/>
  <c r="T416" i="1" s="1"/>
  <c r="R415" i="1"/>
  <c r="S415" i="1" l="1"/>
  <c r="T415" i="1" s="1"/>
  <c r="R414" i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R402" i="1" l="1"/>
  <c r="S403" i="1"/>
  <c r="T403" i="1" s="1"/>
  <c r="R401" i="1" l="1"/>
  <c r="S402" i="1"/>
  <c r="T402" i="1" s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R391" i="1" l="1"/>
  <c r="S392" i="1"/>
  <c r="T392" i="1" s="1"/>
  <c r="S391" i="1" l="1"/>
  <c r="T391" i="1" s="1"/>
  <c r="R390" i="1"/>
  <c r="R389" i="1" l="1"/>
  <c r="S390" i="1"/>
  <c r="T390" i="1" s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S367" i="1" l="1"/>
  <c r="T367" i="1" s="1"/>
  <c r="R366" i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S334" i="1" l="1"/>
  <c r="T334" i="1" s="1"/>
  <c r="R333" i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S324" i="1" l="1"/>
  <c r="T324" i="1" s="1"/>
  <c r="R323" i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S316" i="1" l="1"/>
  <c r="T316" i="1" s="1"/>
  <c r="R315" i="1"/>
  <c r="S315" i="1" l="1"/>
  <c r="T315" i="1" s="1"/>
  <c r="R314" i="1"/>
  <c r="S314" i="1" l="1"/>
  <c r="T314" i="1" s="1"/>
  <c r="R313" i="1"/>
  <c r="S313" i="1" l="1"/>
  <c r="T313" i="1" s="1"/>
  <c r="R312" i="1"/>
  <c r="S312" i="1" l="1"/>
  <c r="T312" i="1" s="1"/>
  <c r="R311" i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S306" i="1" l="1"/>
  <c r="T306" i="1" s="1"/>
  <c r="R305" i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S273" i="1" l="1"/>
  <c r="T273" i="1" s="1"/>
  <c r="R272" i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R256" i="1" l="1"/>
  <c r="S257" i="1"/>
  <c r="T257" i="1" s="1"/>
  <c r="R255" i="1" l="1"/>
  <c r="S256" i="1"/>
  <c r="T256" i="1" s="1"/>
  <c r="S255" i="1" l="1"/>
  <c r="T255" i="1" s="1"/>
  <c r="R254" i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S246" i="1" l="1"/>
  <c r="T246" i="1" s="1"/>
  <c r="R245" i="1"/>
  <c r="S245" i="1" l="1"/>
  <c r="T245" i="1" s="1"/>
  <c r="R244" i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R237" i="1" l="1"/>
  <c r="S238" i="1"/>
  <c r="T238" i="1" s="1"/>
  <c r="S237" i="1" l="1"/>
  <c r="T237" i="1" s="1"/>
  <c r="R236" i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S146" i="1" l="1"/>
  <c r="T146" i="1" s="1"/>
  <c r="R145" i="1"/>
  <c r="S145" i="1" l="1"/>
  <c r="T145" i="1" s="1"/>
  <c r="R144" i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S125" i="1" l="1"/>
  <c r="T125" i="1" s="1"/>
  <c r="R124" i="1"/>
  <c r="R123" i="1" l="1"/>
  <c r="S124" i="1"/>
  <c r="T124" i="1" s="1"/>
  <c r="S123" i="1" l="1"/>
  <c r="T123" i="1" s="1"/>
  <c r="R122" i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S83" i="1" l="1"/>
  <c r="T83" i="1" s="1"/>
  <c r="R82" i="1"/>
  <c r="R81" i="1" l="1"/>
  <c r="S82" i="1"/>
  <c r="T82" i="1" s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S50" i="1" l="1"/>
  <c r="T50" i="1" s="1"/>
  <c r="R49" i="1"/>
  <c r="S49" i="1" l="1"/>
  <c r="T49" i="1" s="1"/>
  <c r="R48" i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<sst xmlns="http://schemas.openxmlformats.org/spreadsheetml/2006/main" count="6935" uniqueCount="34">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</sst>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1.5649999999999999</c:v>
                </c:pt>
                <c:pt idx="1">
                  <c:v>1.579</c:v>
                </c:pt>
                <c:pt idx="2">
                  <c:v>1.5529999999999999</c:v>
                </c:pt>
                <c:pt idx="3">
                  <c:v>1.5109999999999999</c:v>
                </c:pt>
                <c:pt idx="4">
                  <c:v>1.635</c:v>
                </c:pt>
                <c:pt idx="5">
                  <c:v>1.5429999999999999</c:v>
                </c:pt>
                <c:pt idx="6">
                  <c:v>1.5680000000000001</c:v>
                </c:pt>
                <c:pt idx="7">
                  <c:v>1.8069999999999999</c:v>
                </c:pt>
                <c:pt idx="8">
                  <c:v>1.94</c:v>
                </c:pt>
                <c:pt idx="9">
                  <c:v>1.9550000000000001</c:v>
                </c:pt>
                <c:pt idx="10">
                  <c:v>1.9890000000000001</c:v>
                </c:pt>
                <c:pt idx="11">
                  <c:v>2.0670000000000002</c:v>
                </c:pt>
                <c:pt idx="12">
                  <c:v>2.085</c:v>
                </c:pt>
                <c:pt idx="13">
                  <c:v>2.0939999999999999</c:v>
                </c:pt>
                <c:pt idx="14">
                  <c:v>2.081</c:v>
                </c:pt>
                <c:pt idx="15">
                  <c:v>2.145</c:v>
                </c:pt>
                <c:pt idx="16">
                  <c:v>2.1019999999999999</c:v>
                </c:pt>
                <c:pt idx="17">
                  <c:v>2</c:v>
                </c:pt>
                <c:pt idx="18">
                  <c:v>2.052</c:v>
                </c:pt>
                <c:pt idx="19">
                  <c:v>2.0449999999999999</c:v>
                </c:pt>
                <c:pt idx="20">
                  <c:v>2.125</c:v>
                </c:pt>
                <c:pt idx="21">
                  <c:v>2.141</c:v>
                </c:pt>
                <c:pt idx="22">
                  <c:v>2.17</c:v>
                </c:pt>
                <c:pt idx="23">
                  <c:v>2.3330000000000002</c:v>
                </c:pt>
                <c:pt idx="24">
                  <c:v>2.3279999999999998</c:v>
                </c:pt>
                <c:pt idx="25">
                  <c:v>2.4060000000000001</c:v>
                </c:pt>
                <c:pt idx="26">
                  <c:v>2.35</c:v>
                </c:pt>
                <c:pt idx="27">
                  <c:v>2.3290000000000002</c:v>
                </c:pt>
                <c:pt idx="28">
                  <c:v>2.391</c:v>
                </c:pt>
                <c:pt idx="29">
                  <c:v>2.3260000000000001</c:v>
                </c:pt>
                <c:pt idx="30">
                  <c:v>2.4750000000000001</c:v>
                </c:pt>
                <c:pt idx="31">
                  <c:v>2.5390000000000001</c:v>
                </c:pt>
                <c:pt idx="32">
                  <c:v>2.4900000000000002</c:v>
                </c:pt>
                <c:pt idx="33">
                  <c:v>2.4660000000000002</c:v>
                </c:pt>
                <c:pt idx="34">
                  <c:v>2.4750000000000001</c:v>
                </c:pt>
                <c:pt idx="35">
                  <c:v>2.5190000000000001</c:v>
                </c:pt>
                <c:pt idx="36">
                  <c:v>2.4</c:v>
                </c:pt>
                <c:pt idx="37">
                  <c:v>2.4089999999999998</c:v>
                </c:pt>
                <c:pt idx="38">
                  <c:v>2.2309999999999999</c:v>
                </c:pt>
                <c:pt idx="39">
                  <c:v>2.278</c:v>
                </c:pt>
                <c:pt idx="40">
                  <c:v>2.31</c:v>
                </c:pt>
                <c:pt idx="41">
                  <c:v>2.2759999999999998</c:v>
                </c:pt>
                <c:pt idx="42">
                  <c:v>2.3679999999999999</c:v>
                </c:pt>
                <c:pt idx="43">
                  <c:v>2.403</c:v>
                </c:pt>
                <c:pt idx="44">
                  <c:v>2.3410000000000002</c:v>
                </c:pt>
                <c:pt idx="45">
                  <c:v>2.2629999999999999</c:v>
                </c:pt>
                <c:pt idx="46">
                  <c:v>2.4780000000000002</c:v>
                </c:pt>
                <c:pt idx="47">
                  <c:v>2.3980000000000001</c:v>
                </c:pt>
                <c:pt idx="48">
                  <c:v>2.38</c:v>
                </c:pt>
                <c:pt idx="49">
                  <c:v>2.577</c:v>
                </c:pt>
                <c:pt idx="50">
                  <c:v>2.847</c:v>
                </c:pt>
                <c:pt idx="51">
                  <c:v>2.7490000000000001</c:v>
                </c:pt>
                <c:pt idx="52">
                  <c:v>2.7530000000000001</c:v>
                </c:pt>
                <c:pt idx="53">
                  <c:v>2.6070000000000002</c:v>
                </c:pt>
                <c:pt idx="54">
                  <c:v>2.891</c:v>
                </c:pt>
                <c:pt idx="55">
                  <c:v>3.3759999999999999</c:v>
                </c:pt>
                <c:pt idx="56">
                  <c:v>3.5609999999999999</c:v>
                </c:pt>
                <c:pt idx="57">
                  <c:v>3.7</c:v>
                </c:pt>
                <c:pt idx="58">
                  <c:v>3.4910000000000001</c:v>
                </c:pt>
                <c:pt idx="59">
                  <c:v>3.5539999999999998</c:v>
                </c:pt>
                <c:pt idx="60">
                  <c:v>3.57</c:v>
                </c:pt>
                <c:pt idx="61">
                  <c:v>3.68</c:v>
                </c:pt>
                <c:pt idx="62">
                  <c:v>3.492</c:v>
                </c:pt>
                <c:pt idx="63">
                  <c:v>4.1109999999999998</c:v>
                </c:pt>
                <c:pt idx="64">
                  <c:v>3.3</c:v>
                </c:pt>
                <c:pt idx="65">
                  <c:v>3.4</c:v>
                </c:pt>
                <c:pt idx="66">
                  <c:v>3.4449999999999998</c:v>
                </c:pt>
                <c:pt idx="67">
                  <c:v>3.3610000000000002</c:v>
                </c:pt>
                <c:pt idx="68">
                  <c:v>3.44</c:v>
                </c:pt>
                <c:pt idx="69">
                  <c:v>3.1970000000000001</c:v>
                </c:pt>
                <c:pt idx="70">
                  <c:v>3.1389999999999998</c:v>
                </c:pt>
                <c:pt idx="71">
                  <c:v>3.4140000000000001</c:v>
                </c:pt>
                <c:pt idx="72">
                  <c:v>3.2509999999999999</c:v>
                </c:pt>
                <c:pt idx="73">
                  <c:v>3.3940000000000001</c:v>
                </c:pt>
                <c:pt idx="74">
                  <c:v>3.45</c:v>
                </c:pt>
                <c:pt idx="75">
                  <c:v>3.468</c:v>
                </c:pt>
                <c:pt idx="76">
                  <c:v>3.4430000000000001</c:v>
                </c:pt>
                <c:pt idx="77">
                  <c:v>3.4740000000000002</c:v>
                </c:pt>
                <c:pt idx="78">
                  <c:v>3.4279999999999999</c:v>
                </c:pt>
                <c:pt idx="79">
                  <c:v>3.7629999999999999</c:v>
                </c:pt>
                <c:pt idx="80">
                  <c:v>3.6349999999999998</c:v>
                </c:pt>
                <c:pt idx="81">
                  <c:v>3.5630000000000002</c:v>
                </c:pt>
                <c:pt idx="82">
                  <c:v>3.431</c:v>
                </c:pt>
                <c:pt idx="83">
                  <c:v>3.4849999999999999</c:v>
                </c:pt>
                <c:pt idx="84">
                  <c:v>3.5369999999999999</c:v>
                </c:pt>
                <c:pt idx="85">
                  <c:v>3.661</c:v>
                </c:pt>
                <c:pt idx="86">
                  <c:v>3.5419999999999998</c:v>
                </c:pt>
                <c:pt idx="87">
                  <c:v>3.4449999999999998</c:v>
                </c:pt>
                <c:pt idx="88">
                  <c:v>3.4740000000000002</c:v>
                </c:pt>
                <c:pt idx="89">
                  <c:v>3.3740000000000001</c:v>
                </c:pt>
                <c:pt idx="90">
                  <c:v>3.407</c:v>
                </c:pt>
                <c:pt idx="91">
                  <c:v>3.4289999999999998</c:v>
                </c:pt>
                <c:pt idx="92">
                  <c:v>3.3050000000000002</c:v>
                </c:pt>
                <c:pt idx="93">
                  <c:v>3.6779999999999999</c:v>
                </c:pt>
                <c:pt idx="94">
                  <c:v>3.8210000000000002</c:v>
                </c:pt>
                <c:pt idx="95">
                  <c:v>3.7709999999999999</c:v>
                </c:pt>
                <c:pt idx="96">
                  <c:v>3.7240000000000002</c:v>
                </c:pt>
                <c:pt idx="97">
                  <c:v>3.7309999999999999</c:v>
                </c:pt>
                <c:pt idx="98">
                  <c:v>3.6139999999999999</c:v>
                </c:pt>
                <c:pt idx="99">
                  <c:v>3.4729999999999999</c:v>
                </c:pt>
                <c:pt idx="100">
                  <c:v>3.355</c:v>
                </c:pt>
                <c:pt idx="101">
                  <c:v>3.4550000000000001</c:v>
                </c:pt>
                <c:pt idx="102">
                  <c:v>3.3559999999999999</c:v>
                </c:pt>
                <c:pt idx="103">
                  <c:v>3.4409999999999998</c:v>
                </c:pt>
                <c:pt idx="104">
                  <c:v>3.4460000000000002</c:v>
                </c:pt>
                <c:pt idx="105">
                  <c:v>3.2989999999999999</c:v>
                </c:pt>
                <c:pt idx="106">
                  <c:v>3.2440000000000002</c:v>
                </c:pt>
                <c:pt idx="107">
                  <c:v>3.1509999999999998</c:v>
                </c:pt>
                <c:pt idx="108">
                  <c:v>3.2229999999999999</c:v>
                </c:pt>
                <c:pt idx="109">
                  <c:v>3.1760000000000002</c:v>
                </c:pt>
                <c:pt idx="110">
                  <c:v>3.4340000000000002</c:v>
                </c:pt>
                <c:pt idx="111">
                  <c:v>3.327</c:v>
                </c:pt>
                <c:pt idx="112">
                  <c:v>3.4390000000000001</c:v>
                </c:pt>
                <c:pt idx="113">
                  <c:v>3.3450000000000002</c:v>
                </c:pt>
                <c:pt idx="114">
                  <c:v>3.4180000000000001</c:v>
                </c:pt>
                <c:pt idx="115">
                  <c:v>3.3410000000000002</c:v>
                </c:pt>
                <c:pt idx="116">
                  <c:v>3.2050000000000001</c:v>
                </c:pt>
                <c:pt idx="117">
                  <c:v>3.1259999999999999</c:v>
                </c:pt>
                <c:pt idx="118">
                  <c:v>3.1680000000000001</c:v>
                </c:pt>
                <c:pt idx="119">
                  <c:v>3.0110000000000001</c:v>
                </c:pt>
                <c:pt idx="120">
                  <c:v>2.6560000000000001</c:v>
                </c:pt>
                <c:pt idx="121">
                  <c:v>2.5670000000000002</c:v>
                </c:pt>
                <c:pt idx="122">
                  <c:v>2.6539999999999999</c:v>
                </c:pt>
                <c:pt idx="123">
                  <c:v>2.7949999999999999</c:v>
                </c:pt>
                <c:pt idx="124">
                  <c:v>2.9009999999999998</c:v>
                </c:pt>
                <c:pt idx="125">
                  <c:v>2.915</c:v>
                </c:pt>
                <c:pt idx="126">
                  <c:v>3.0979999999999999</c:v>
                </c:pt>
                <c:pt idx="127">
                  <c:v>3.077</c:v>
                </c:pt>
                <c:pt idx="128">
                  <c:v>2.7440000000000002</c:v>
                </c:pt>
                <c:pt idx="129">
                  <c:v>3.1960000000000002</c:v>
                </c:pt>
                <c:pt idx="130">
                  <c:v>3.5990000000000002</c:v>
                </c:pt>
                <c:pt idx="131">
                  <c:v>3.5760000000000001</c:v>
                </c:pt>
                <c:pt idx="132">
                  <c:v>3.5110000000000001</c:v>
                </c:pt>
                <c:pt idx="133">
                  <c:v>3.6110000000000002</c:v>
                </c:pt>
                <c:pt idx="134">
                  <c:v>3.7879999999999998</c:v>
                </c:pt>
                <c:pt idx="135">
                  <c:v>3.5760000000000001</c:v>
                </c:pt>
                <c:pt idx="136">
                  <c:v>3.4319999999999999</c:v>
                </c:pt>
                <c:pt idx="137">
                  <c:v>3.6389999999999998</c:v>
                </c:pt>
                <c:pt idx="138">
                  <c:v>3.55</c:v>
                </c:pt>
                <c:pt idx="139">
                  <c:v>3.3540000000000001</c:v>
                </c:pt>
                <c:pt idx="140">
                  <c:v>3.5720000000000001</c:v>
                </c:pt>
                <c:pt idx="141">
                  <c:v>3.552</c:v>
                </c:pt>
                <c:pt idx="142">
                  <c:v>3.5870000000000002</c:v>
                </c:pt>
                <c:pt idx="143">
                  <c:v>4.524</c:v>
                </c:pt>
                <c:pt idx="144">
                  <c:v>4.5789999999999997</c:v>
                </c:pt>
                <c:pt idx="145">
                  <c:v>4.1970000000000001</c:v>
                </c:pt>
                <c:pt idx="146">
                  <c:v>4.2649999999999997</c:v>
                </c:pt>
                <c:pt idx="147">
                  <c:v>4.0350000000000001</c:v>
                </c:pt>
                <c:pt idx="148">
                  <c:v>4.1980000000000004</c:v>
                </c:pt>
                <c:pt idx="149">
                  <c:v>3.8439999999999999</c:v>
                </c:pt>
                <c:pt idx="150">
                  <c:v>3.863</c:v>
                </c:pt>
                <c:pt idx="151">
                  <c:v>4.109</c:v>
                </c:pt>
                <c:pt idx="152">
                  <c:v>4.0860000000000003</c:v>
                </c:pt>
                <c:pt idx="153">
                  <c:v>4.2489999999999997</c:v>
                </c:pt>
                <c:pt idx="154">
                  <c:v>3.9630000000000001</c:v>
                </c:pt>
                <c:pt idx="155">
                  <c:v>4.4086999999999996</c:v>
                </c:pt>
                <c:pt idx="156">
                  <c:v>4.3182999999999998</c:v>
                </c:pt>
                <c:pt idx="157">
                  <c:v>4.8461999999999996</c:v>
                </c:pt>
                <c:pt idx="158">
                  <c:v>4.8513999999999999</c:v>
                </c:pt>
                <c:pt idx="159">
                  <c:v>4.8773</c:v>
                </c:pt>
                <c:pt idx="160">
                  <c:v>5.1093999999999999</c:v>
                </c:pt>
                <c:pt idx="161">
                  <c:v>4.8945999999999996</c:v>
                </c:pt>
                <c:pt idx="162">
                  <c:v>4.4112</c:v>
                </c:pt>
                <c:pt idx="163">
                  <c:v>4.3265000000000002</c:v>
                </c:pt>
                <c:pt idx="164">
                  <c:v>4.4238999999999997</c:v>
                </c:pt>
                <c:pt idx="165">
                  <c:v>4.3975999999999997</c:v>
                </c:pt>
                <c:pt idx="166">
                  <c:v>4.3650000000000002</c:v>
                </c:pt>
                <c:pt idx="167">
                  <c:v>4.2111000000000001</c:v>
                </c:pt>
                <c:pt idx="168">
                  <c:v>3.9567000000000001</c:v>
                </c:pt>
                <c:pt idx="169">
                  <c:v>4.0926999999999998</c:v>
                </c:pt>
                <c:pt idx="170">
                  <c:v>3.9106000000000001</c:v>
                </c:pt>
                <c:pt idx="171">
                  <c:v>3.9074</c:v>
                </c:pt>
                <c:pt idx="172">
                  <c:v>3.7835000000000001</c:v>
                </c:pt>
                <c:pt idx="173">
                  <c:v>3.9893000000000001</c:v>
                </c:pt>
                <c:pt idx="174">
                  <c:v>4.0473999999999997</c:v>
                </c:pt>
                <c:pt idx="175">
                  <c:v>3.55</c:v>
                </c:pt>
                <c:pt idx="176">
                  <c:v>3.3500999999999999</c:v>
                </c:pt>
                <c:pt idx="177">
                  <c:v>3.1787999999999998</c:v>
                </c:pt>
                <c:pt idx="178">
                  <c:v>3.3712</c:v>
                </c:pt>
                <c:pt idx="179">
                  <c:v>3.4359000000000002</c:v>
                </c:pt>
                <c:pt idx="180">
                  <c:v>3.1795</c:v>
                </c:pt>
                <c:pt idx="181">
                  <c:v>2.9735999999999998</c:v>
                </c:pt>
                <c:pt idx="182">
                  <c:v>2.8921000000000001</c:v>
                </c:pt>
                <c:pt idx="183">
                  <c:v>2.6837</c:v>
                </c:pt>
                <c:pt idx="184">
                  <c:v>2.7018</c:v>
                </c:pt>
                <c:pt idx="185">
                  <c:v>2.5669</c:v>
                </c:pt>
                <c:pt idx="186">
                  <c:v>2.5356999999999998</c:v>
                </c:pt>
                <c:pt idx="187">
                  <c:v>2.5398000000000001</c:v>
                </c:pt>
                <c:pt idx="188">
                  <c:v>2.3841000000000001</c:v>
                </c:pt>
                <c:pt idx="189">
                  <c:v>2.3071999999999999</c:v>
                </c:pt>
                <c:pt idx="190">
                  <c:v>2.2787999999999999</c:v>
                </c:pt>
                <c:pt idx="191">
                  <c:v>2.1400999999999999</c:v>
                </c:pt>
                <c:pt idx="192">
                  <c:v>2.2835999999999999</c:v>
                </c:pt>
                <c:pt idx="193">
                  <c:v>2.6516999999999999</c:v>
                </c:pt>
                <c:pt idx="194">
                  <c:v>2.2949999999999999</c:v>
                </c:pt>
                <c:pt idx="195">
                  <c:v>2.2254</c:v>
                </c:pt>
                <c:pt idx="196">
                  <c:v>2.3959999999999999</c:v>
                </c:pt>
                <c:pt idx="197">
                  <c:v>2.5501999999999998</c:v>
                </c:pt>
                <c:pt idx="198">
                  <c:v>2.5971000000000002</c:v>
                </c:pt>
                <c:pt idx="199">
                  <c:v>2.7206000000000001</c:v>
                </c:pt>
                <c:pt idx="200">
                  <c:v>2.5859000000000001</c:v>
                </c:pt>
                <c:pt idx="201">
                  <c:v>2.4508999999999999</c:v>
                </c:pt>
                <c:pt idx="202">
                  <c:v>2.5247000000000002</c:v>
                </c:pt>
                <c:pt idx="203">
                  <c:v>2.403</c:v>
                </c:pt>
                <c:pt idx="204">
                  <c:v>2.7355</c:v>
                </c:pt>
                <c:pt idx="205">
                  <c:v>2.6475</c:v>
                </c:pt>
                <c:pt idx="206">
                  <c:v>2.5912000000000002</c:v>
                </c:pt>
                <c:pt idx="207">
                  <c:v>2.7559999999999998</c:v>
                </c:pt>
                <c:pt idx="208">
                  <c:v>2.6379999999999999</c:v>
                </c:pt>
                <c:pt idx="209">
                  <c:v>2.5522</c:v>
                </c:pt>
                <c:pt idx="210">
                  <c:v>2.5407000000000002</c:v>
                </c:pt>
                <c:pt idx="211">
                  <c:v>2.6789000000000001</c:v>
                </c:pt>
                <c:pt idx="212">
                  <c:v>2.4813000000000001</c:v>
                </c:pt>
                <c:pt idx="213">
                  <c:v>2.2012999999999998</c:v>
                </c:pt>
                <c:pt idx="214">
                  <c:v>2.0093999999999999</c:v>
                </c:pt>
                <c:pt idx="215">
                  <c:v>1.9593</c:v>
                </c:pt>
                <c:pt idx="216">
                  <c:v>1.8798999999999999</c:v>
                </c:pt>
                <c:pt idx="217">
                  <c:v>2.1017999999999999</c:v>
                </c:pt>
                <c:pt idx="218">
                  <c:v>1.9811000000000001</c:v>
                </c:pt>
                <c:pt idx="219">
                  <c:v>1.8681000000000001</c:v>
                </c:pt>
                <c:pt idx="220">
                  <c:v>1.9564999999999999</c:v>
                </c:pt>
                <c:pt idx="221">
                  <c:v>2.4782000000000002</c:v>
                </c:pt>
                <c:pt idx="222">
                  <c:v>2.552</c:v>
                </c:pt>
                <c:pt idx="223">
                  <c:v>2.6187</c:v>
                </c:pt>
                <c:pt idx="224">
                  <c:v>2.8214000000000001</c:v>
                </c:pt>
                <c:pt idx="225">
                  <c:v>2.8557000000000001</c:v>
                </c:pt>
                <c:pt idx="226">
                  <c:v>3.0396000000000001</c:v>
                </c:pt>
                <c:pt idx="227">
                  <c:v>3.0855999999999999</c:v>
                </c:pt>
                <c:pt idx="228">
                  <c:v>2.9003999999999999</c:v>
                </c:pt>
                <c:pt idx="229">
                  <c:v>2.7050999999999998</c:v>
                </c:pt>
                <c:pt idx="230">
                  <c:v>2.8283999999999998</c:v>
                </c:pt>
                <c:pt idx="231">
                  <c:v>3.117</c:v>
                </c:pt>
                <c:pt idx="232">
                  <c:v>3.2597</c:v>
                </c:pt>
                <c:pt idx="233">
                  <c:v>3.1288999999999998</c:v>
                </c:pt>
                <c:pt idx="234">
                  <c:v>3.2282000000000002</c:v>
                </c:pt>
                <c:pt idx="235">
                  <c:v>3.52</c:v>
                </c:pt>
                <c:pt idx="236">
                  <c:v>3.3788</c:v>
                </c:pt>
                <c:pt idx="237">
                  <c:v>3.5495999999999999</c:v>
                </c:pt>
                <c:pt idx="238">
                  <c:v>3.9655999999999998</c:v>
                </c:pt>
                <c:pt idx="239">
                  <c:v>3.8582000000000001</c:v>
                </c:pt>
                <c:pt idx="240">
                  <c:v>3.6164999999999998</c:v>
                </c:pt>
                <c:pt idx="241">
                  <c:v>3.5790000000000002</c:v>
                </c:pt>
                <c:pt idx="242">
                  <c:v>3.37</c:v>
                </c:pt>
                <c:pt idx="243">
                  <c:v>3.2765</c:v>
                </c:pt>
                <c:pt idx="244">
                  <c:v>3.5356000000000001</c:v>
                </c:pt>
                <c:pt idx="245">
                  <c:v>4.2232000000000003</c:v>
                </c:pt>
                <c:pt idx="246">
                  <c:v>4.5477999999999996</c:v>
                </c:pt>
                <c:pt idx="247">
                  <c:v>4.3448000000000002</c:v>
                </c:pt>
                <c:pt idx="248">
                  <c:v>3.8650000000000002</c:v>
                </c:pt>
                <c:pt idx="249">
                  <c:v>3.1703999999999999</c:v>
                </c:pt>
                <c:pt idx="250">
                  <c:v>3.9885000000000002</c:v>
                </c:pt>
                <c:pt idx="251">
                  <c:v>4.3860000000000001</c:v>
                </c:pt>
                <c:pt idx="252">
                  <c:v>5.03</c:v>
                </c:pt>
                <c:pt idx="253">
                  <c:v>3.9603999999999999</c:v>
                </c:pt>
                <c:pt idx="254">
                  <c:v>6.2266000000000004</c:v>
                </c:pt>
                <c:pt idx="255">
                  <c:v>5.8196000000000003</c:v>
                </c:pt>
                <c:pt idx="256">
                  <c:v>6.319</c:v>
                </c:pt>
                <c:pt idx="257">
                  <c:v>6.5792999999999999</c:v>
                </c:pt>
                <c:pt idx="258">
                  <c:v>7.3979999999999997</c:v>
                </c:pt>
                <c:pt idx="259">
                  <c:v>7.1</c:v>
                </c:pt>
                <c:pt idx="260">
                  <c:v>6.9705000000000004</c:v>
                </c:pt>
                <c:pt idx="261">
                  <c:v>9.3104999999999993</c:v>
                </c:pt>
                <c:pt idx="262">
                  <c:v>8.6830999999999996</c:v>
                </c:pt>
                <c:pt idx="263">
                  <c:v>8.2552000000000003</c:v>
                </c:pt>
                <c:pt idx="264">
                  <c:v>8.4757999999999996</c:v>
                </c:pt>
                <c:pt idx="265">
                  <c:v>9.0463000000000005</c:v>
                </c:pt>
                <c:pt idx="266">
                  <c:v>6.9207999999999998</c:v>
                </c:pt>
                <c:pt idx="267">
                  <c:v>6.1902999999999997</c:v>
                </c:pt>
                <c:pt idx="268">
                  <c:v>5.2961</c:v>
                </c:pt>
                <c:pt idx="269">
                  <c:v>5.9230999999999998</c:v>
                </c:pt>
                <c:pt idx="270">
                  <c:v>5.6520000000000001</c:v>
                </c:pt>
                <c:pt idx="271">
                  <c:v>5.5117000000000003</c:v>
                </c:pt>
                <c:pt idx="272">
                  <c:v>5.4269999999999996</c:v>
                </c:pt>
                <c:pt idx="273">
                  <c:v>5.2994000000000003</c:v>
                </c:pt>
                <c:pt idx="274">
                  <c:v>5.6486999999999998</c:v>
                </c:pt>
                <c:pt idx="275">
                  <c:v>4.8810000000000002</c:v>
                </c:pt>
                <c:pt idx="276">
                  <c:v>4.5796999999999999</c:v>
                </c:pt>
                <c:pt idx="277">
                  <c:v>3.835</c:v>
                </c:pt>
                <c:pt idx="278">
                  <c:v>3.7187999999999999</c:v>
                </c:pt>
                <c:pt idx="279">
                  <c:v>4.12</c:v>
                </c:pt>
                <c:pt idx="280">
                  <c:v>4.3307000000000002</c:v>
                </c:pt>
                <c:pt idx="281">
                  <c:v>5.1485000000000003</c:v>
                </c:pt>
                <c:pt idx="282">
                  <c:v>5.4229000000000003</c:v>
                </c:pt>
                <c:pt idx="283">
                  <c:v>5.35</c:v>
                </c:pt>
                <c:pt idx="284">
                  <c:v>5.6982999999999997</c:v>
                </c:pt>
                <c:pt idx="285">
                  <c:v>6.48</c:v>
                </c:pt>
                <c:pt idx="286">
                  <c:v>6.9455999999999998</c:v>
                </c:pt>
                <c:pt idx="287">
                  <c:v>6.5201000000000002</c:v>
                </c:pt>
                <c:pt idx="288">
                  <c:v>6.1726000000000001</c:v>
                </c:pt>
                <c:pt idx="289">
                  <c:v>6.4511000000000003</c:v>
                </c:pt>
                <c:pt idx="290">
                  <c:v>6.4668000000000001</c:v>
                </c:pt>
                <c:pt idx="291">
                  <c:v>6.8186</c:v>
                </c:pt>
                <c:pt idx="292">
                  <c:v>7.2496999999999998</c:v>
                </c:pt>
                <c:pt idx="293">
                  <c:v>7.0853999999999999</c:v>
                </c:pt>
                <c:pt idx="294">
                  <c:v>6.8170000000000002</c:v>
                </c:pt>
                <c:pt idx="295">
                  <c:v>6.1779999999999999</c:v>
                </c:pt>
                <c:pt idx="296">
                  <c:v>6.1699000000000002</c:v>
                </c:pt>
                <c:pt idx="297">
                  <c:v>6.2641999999999998</c:v>
                </c:pt>
                <c:pt idx="298">
                  <c:v>6.319</c:v>
                </c:pt>
                <c:pt idx="299">
                  <c:v>5.7625000000000002</c:v>
                </c:pt>
                <c:pt idx="300">
                  <c:v>5.9870000000000001</c:v>
                </c:pt>
                <c:pt idx="301">
                  <c:v>5.9245000000000001</c:v>
                </c:pt>
                <c:pt idx="302">
                  <c:v>6.2626999999999997</c:v>
                </c:pt>
                <c:pt idx="303">
                  <c:v>5.9127000000000001</c:v>
                </c:pt>
                <c:pt idx="304">
                  <c:v>5.4550000000000001</c:v>
                </c:pt>
                <c:pt idx="305">
                  <c:v>4.8701999999999996</c:v>
                </c:pt>
                <c:pt idx="306">
                  <c:v>4.5194999999999999</c:v>
                </c:pt>
                <c:pt idx="307">
                  <c:v>4.4798</c:v>
                </c:pt>
                <c:pt idx="308">
                  <c:v>3.8992</c:v>
                </c:pt>
                <c:pt idx="309">
                  <c:v>4.2759999999999998</c:v>
                </c:pt>
                <c:pt idx="310">
                  <c:v>4.9702999999999999</c:v>
                </c:pt>
                <c:pt idx="311">
                  <c:v>4.0309999999999997</c:v>
                </c:pt>
                <c:pt idx="312">
                  <c:v>3.9009</c:v>
                </c:pt>
                <c:pt idx="313">
                  <c:v>3.9615999999999998</c:v>
                </c:pt>
                <c:pt idx="314">
                  <c:v>3.7863000000000002</c:v>
                </c:pt>
                <c:pt idx="315">
                  <c:v>3.7458</c:v>
                </c:pt>
                <c:pt idx="316">
                  <c:v>3.9140999999999999</c:v>
                </c:pt>
                <c:pt idx="317">
                  <c:v>3.36</c:v>
                </c:pt>
                <c:pt idx="318">
                  <c:v>3.2553999999999998</c:v>
                </c:pt>
                <c:pt idx="319">
                  <c:v>3.42</c:v>
                </c:pt>
                <c:pt idx="320">
                  <c:v>3.31</c:v>
                </c:pt>
                <c:pt idx="321">
                  <c:v>3.1501999999999999</c:v>
                </c:pt>
                <c:pt idx="322">
                  <c:v>3.2364000000000002</c:v>
                </c:pt>
                <c:pt idx="323">
                  <c:v>3.2360000000000002</c:v>
                </c:pt>
                <c:pt idx="324">
                  <c:v>3.3833000000000002</c:v>
                </c:pt>
                <c:pt idx="325">
                  <c:v>3.2461000000000002</c:v>
                </c:pt>
                <c:pt idx="326">
                  <c:v>3.2528000000000001</c:v>
                </c:pt>
                <c:pt idx="327">
                  <c:v>3.2084000000000001</c:v>
                </c:pt>
                <c:pt idx="328">
                  <c:v>3.0882000000000001</c:v>
                </c:pt>
                <c:pt idx="329">
                  <c:v>3.1179999999999999</c:v>
                </c:pt>
                <c:pt idx="330">
                  <c:v>3.2469999999999999</c:v>
                </c:pt>
                <c:pt idx="331">
                  <c:v>3.1678000000000002</c:v>
                </c:pt>
                <c:pt idx="332">
                  <c:v>3.0872000000000002</c:v>
                </c:pt>
                <c:pt idx="333">
                  <c:v>2.9051999999999998</c:v>
                </c:pt>
                <c:pt idx="334">
                  <c:v>3.0893999999999999</c:v>
                </c:pt>
                <c:pt idx="335">
                  <c:v>3.0221</c:v>
                </c:pt>
                <c:pt idx="336">
                  <c:v>3.0230000000000001</c:v>
                </c:pt>
                <c:pt idx="337">
                  <c:v>2.8264999999999998</c:v>
                </c:pt>
                <c:pt idx="338">
                  <c:v>2.6509999999999998</c:v>
                </c:pt>
                <c:pt idx="339">
                  <c:v>3.4</c:v>
                </c:pt>
                <c:pt idx="340">
                  <c:v>3.8489</c:v>
                </c:pt>
                <c:pt idx="341">
                  <c:v>3.6638000000000002</c:v>
                </c:pt>
                <c:pt idx="342">
                  <c:v>3.8719999999999999</c:v>
                </c:pt>
                <c:pt idx="343">
                  <c:v>3.7810000000000001</c:v>
                </c:pt>
                <c:pt idx="344">
                  <c:v>3.42</c:v>
                </c:pt>
                <c:pt idx="345">
                  <c:v>3.2523</c:v>
                </c:pt>
                <c:pt idx="346">
                  <c:v>3.3077999999999999</c:v>
                </c:pt>
                <c:pt idx="347">
                  <c:v>3.8250000000000002</c:v>
                </c:pt>
                <c:pt idx="348">
                  <c:v>3.3832</c:v>
                </c:pt>
                <c:pt idx="349">
                  <c:v>2.4363000000000001</c:v>
                </c:pt>
                <c:pt idx="350">
                  <c:v>2.4214000000000002</c:v>
                </c:pt>
                <c:pt idx="351">
                  <c:v>2.3054999999999999</c:v>
                </c:pt>
                <c:pt idx="352">
                  <c:v>1.8666</c:v>
                </c:pt>
                <c:pt idx="353">
                  <c:v>1.7434000000000001</c:v>
                </c:pt>
                <c:pt idx="354">
                  <c:v>1.5638000000000001</c:v>
                </c:pt>
                <c:pt idx="355">
                  <c:v>1.6271</c:v>
                </c:pt>
                <c:pt idx="356">
                  <c:v>1.7853000000000001</c:v>
                </c:pt>
                <c:pt idx="357">
                  <c:v>1.4158999999999999</c:v>
                </c:pt>
                <c:pt idx="358">
                  <c:v>1.5</c:v>
                </c:pt>
                <c:pt idx="359">
                  <c:v>1.4056</c:v>
                </c:pt>
                <c:pt idx="360">
                  <c:v>1.3875999999999999</c:v>
                </c:pt>
                <c:pt idx="361">
                  <c:v>1.3222</c:v>
                </c:pt>
                <c:pt idx="362">
                  <c:v>1.3189</c:v>
                </c:pt>
                <c:pt idx="363">
                  <c:v>1.3234999999999999</c:v>
                </c:pt>
                <c:pt idx="364">
                  <c:v>1.3186</c:v>
                </c:pt>
                <c:pt idx="365">
                  <c:v>1.2183999999999999</c:v>
                </c:pt>
                <c:pt idx="366">
                  <c:v>1.3026</c:v>
                </c:pt>
                <c:pt idx="367">
                  <c:v>1.3250999999999999</c:v>
                </c:pt>
                <c:pt idx="368">
                  <c:v>1.3575999999999999</c:v>
                </c:pt>
                <c:pt idx="369">
                  <c:v>1.3815</c:v>
                </c:pt>
                <c:pt idx="370">
                  <c:v>1.3464</c:v>
                </c:pt>
                <c:pt idx="371">
                  <c:v>1.2719</c:v>
                </c:pt>
                <c:pt idx="372">
                  <c:v>1.5034000000000001</c:v>
                </c:pt>
                <c:pt idx="373">
                  <c:v>1.3819999999999999</c:v>
                </c:pt>
                <c:pt idx="374">
                  <c:v>1.4357</c:v>
                </c:pt>
                <c:pt idx="375">
                  <c:v>1.3947000000000001</c:v>
                </c:pt>
                <c:pt idx="376">
                  <c:v>1.3704000000000001</c:v>
                </c:pt>
                <c:pt idx="377">
                  <c:v>1.3005</c:v>
                </c:pt>
                <c:pt idx="378">
                  <c:v>1.3694999999999999</c:v>
                </c:pt>
                <c:pt idx="379">
                  <c:v>1.3561000000000001</c:v>
                </c:pt>
                <c:pt idx="380">
                  <c:v>1.2617</c:v>
                </c:pt>
                <c:pt idx="381">
                  <c:v>1.2439</c:v>
                </c:pt>
                <c:pt idx="382">
                  <c:v>1.4305000000000001</c:v>
                </c:pt>
                <c:pt idx="383">
                  <c:v>1.4581999999999999</c:v>
                </c:pt>
                <c:pt idx="384">
                  <c:v>1.3317000000000001</c:v>
                </c:pt>
                <c:pt idx="385">
                  <c:v>1.3464</c:v>
                </c:pt>
                <c:pt idx="386">
                  <c:v>1.3705000000000001</c:v>
                </c:pt>
                <c:pt idx="387">
                  <c:v>1.2282</c:v>
                </c:pt>
                <c:pt idx="388">
                  <c:v>1.2041999999999999</c:v>
                </c:pt>
                <c:pt idx="389">
                  <c:v>1.244</c:v>
                </c:pt>
                <c:pt idx="390">
                  <c:v>1.1566000000000001</c:v>
                </c:pt>
                <c:pt idx="391">
                  <c:v>1.1439999999999999</c:v>
                </c:pt>
                <c:pt idx="392">
                  <c:v>1.1508</c:v>
                </c:pt>
                <c:pt idx="393">
                  <c:v>1.1571</c:v>
                </c:pt>
                <c:pt idx="394">
                  <c:v>1.1525000000000001</c:v>
                </c:pt>
                <c:pt idx="395">
                  <c:v>1.1994</c:v>
                </c:pt>
                <c:pt idx="396">
                  <c:v>1.1906000000000001</c:v>
                </c:pt>
                <c:pt idx="397">
                  <c:v>1.2</c:v>
                </c:pt>
                <c:pt idx="398">
                  <c:v>1.2128000000000001</c:v>
                </c:pt>
                <c:pt idx="399">
                  <c:v>1.21</c:v>
                </c:pt>
                <c:pt idx="400">
                  <c:v>1.1080000000000001</c:v>
                </c:pt>
                <c:pt idx="401">
                  <c:v>1.2875000000000001</c:v>
                </c:pt>
                <c:pt idx="402">
                  <c:v>1.2796000000000001</c:v>
                </c:pt>
                <c:pt idx="403">
                  <c:v>1.3534999999999999</c:v>
                </c:pt>
                <c:pt idx="404">
                  <c:v>1.4020999999999999</c:v>
                </c:pt>
                <c:pt idx="405">
                  <c:v>1.3644000000000001</c:v>
                </c:pt>
                <c:pt idx="406">
                  <c:v>1.3098000000000001</c:v>
                </c:pt>
                <c:pt idx="407">
                  <c:v>1.3137000000000001</c:v>
                </c:pt>
                <c:pt idx="408">
                  <c:v>1.2831999999999999</c:v>
                </c:pt>
                <c:pt idx="409">
                  <c:v>1.264</c:v>
                </c:pt>
                <c:pt idx="410">
                  <c:v>1.2666999999999999</c:v>
                </c:pt>
                <c:pt idx="411">
                  <c:v>1.2544</c:v>
                </c:pt>
                <c:pt idx="412">
                  <c:v>1.1923999999999999</c:v>
                </c:pt>
                <c:pt idx="413">
                  <c:v>1.2110000000000001</c:v>
                </c:pt>
                <c:pt idx="414">
                  <c:v>1.2347999999999999</c:v>
                </c:pt>
                <c:pt idx="415">
                  <c:v>1.2508999999999999</c:v>
                </c:pt>
                <c:pt idx="416">
                  <c:v>1.353</c:v>
                </c:pt>
                <c:pt idx="417">
                  <c:v>1.3398000000000001</c:v>
                </c:pt>
                <c:pt idx="418">
                  <c:v>1.3628</c:v>
                </c:pt>
                <c:pt idx="419">
                  <c:v>1.2956000000000001</c:v>
                </c:pt>
                <c:pt idx="420">
                  <c:v>1.4204000000000001</c:v>
                </c:pt>
                <c:pt idx="421">
                  <c:v>1.4158999999999999</c:v>
                </c:pt>
                <c:pt idx="422">
                  <c:v>1.3502000000000001</c:v>
                </c:pt>
                <c:pt idx="423">
                  <c:v>1.3304</c:v>
                </c:pt>
                <c:pt idx="424">
                  <c:v>1.2799</c:v>
                </c:pt>
                <c:pt idx="425">
                  <c:v>1.2775000000000001</c:v>
                </c:pt>
                <c:pt idx="426">
                  <c:v>1.2168000000000001</c:v>
                </c:pt>
                <c:pt idx="427">
                  <c:v>1.2269000000000001</c:v>
                </c:pt>
                <c:pt idx="428">
                  <c:v>1.4482999999999999</c:v>
                </c:pt>
                <c:pt idx="429">
                  <c:v>1.5327999999999999</c:v>
                </c:pt>
                <c:pt idx="430">
                  <c:v>1.339</c:v>
                </c:pt>
                <c:pt idx="431">
                  <c:v>1.2346999999999999</c:v>
                </c:pt>
                <c:pt idx="432">
                  <c:v>1.2881</c:v>
                </c:pt>
                <c:pt idx="433">
                  <c:v>1.19</c:v>
                </c:pt>
                <c:pt idx="434">
                  <c:v>1.1711</c:v>
                </c:pt>
                <c:pt idx="435">
                  <c:v>1.1880999999999999</c:v>
                </c:pt>
                <c:pt idx="436">
                  <c:v>1.1375</c:v>
                </c:pt>
                <c:pt idx="437">
                  <c:v>1.0938000000000001</c:v>
                </c:pt>
                <c:pt idx="438">
                  <c:v>1.0742</c:v>
                </c:pt>
                <c:pt idx="439">
                  <c:v>1.1020000000000001</c:v>
                </c:pt>
                <c:pt idx="440">
                  <c:v>1.1298999999999999</c:v>
                </c:pt>
                <c:pt idx="441">
                  <c:v>1.1019000000000001</c:v>
                </c:pt>
                <c:pt idx="442">
                  <c:v>1.1051</c:v>
                </c:pt>
                <c:pt idx="443">
                  <c:v>1.1343000000000001</c:v>
                </c:pt>
                <c:pt idx="444">
                  <c:v>1.1166</c:v>
                </c:pt>
                <c:pt idx="445">
                  <c:v>1.1129</c:v>
                </c:pt>
                <c:pt idx="446">
                  <c:v>1.075</c:v>
                </c:pt>
                <c:pt idx="447">
                  <c:v>1.151</c:v>
                </c:pt>
                <c:pt idx="448">
                  <c:v>1.0185999999999999</c:v>
                </c:pt>
                <c:pt idx="449">
                  <c:v>0.98699999999999999</c:v>
                </c:pt>
                <c:pt idx="450">
                  <c:v>1.0012000000000001</c:v>
                </c:pt>
                <c:pt idx="451">
                  <c:v>0.99350000000000005</c:v>
                </c:pt>
                <c:pt idx="452">
                  <c:v>1.0301</c:v>
                </c:pt>
                <c:pt idx="453">
                  <c:v>1.0289999999999999</c:v>
                </c:pt>
                <c:pt idx="454">
                  <c:v>1.038</c:v>
                </c:pt>
                <c:pt idx="455">
                  <c:v>1.0475000000000001</c:v>
                </c:pt>
                <c:pt idx="456">
                  <c:v>1.0636000000000001</c:v>
                </c:pt>
                <c:pt idx="457">
                  <c:v>1.091</c:v>
                </c:pt>
                <c:pt idx="458">
                  <c:v>1.0820000000000001</c:v>
                </c:pt>
                <c:pt idx="459">
                  <c:v>1.1316999999999999</c:v>
                </c:pt>
                <c:pt idx="460">
                  <c:v>1.1279999999999999</c:v>
                </c:pt>
                <c:pt idx="461">
                  <c:v>1.1200000000000001</c:v>
                </c:pt>
                <c:pt idx="462">
                  <c:v>1.1187</c:v>
                </c:pt>
                <c:pt idx="463">
                  <c:v>1.0958000000000001</c:v>
                </c:pt>
                <c:pt idx="464">
                  <c:v>1.0698000000000001</c:v>
                </c:pt>
                <c:pt idx="465">
                  <c:v>1.0972999999999999</c:v>
                </c:pt>
                <c:pt idx="466">
                  <c:v>1.1041000000000001</c:v>
                </c:pt>
                <c:pt idx="467">
                  <c:v>1.0693999999999999</c:v>
                </c:pt>
                <c:pt idx="468">
                  <c:v>1.0597000000000001</c:v>
                </c:pt>
                <c:pt idx="469">
                  <c:v>1.1066</c:v>
                </c:pt>
                <c:pt idx="470">
                  <c:v>1.1167</c:v>
                </c:pt>
                <c:pt idx="471">
                  <c:v>1.1465000000000001</c:v>
                </c:pt>
                <c:pt idx="472">
                  <c:v>1.159</c:v>
                </c:pt>
                <c:pt idx="473">
                  <c:v>1.1787000000000001</c:v>
                </c:pt>
                <c:pt idx="474">
                  <c:v>1.1680999999999999</c:v>
                </c:pt>
                <c:pt idx="475">
                  <c:v>1.1486000000000001</c:v>
                </c:pt>
                <c:pt idx="476">
                  <c:v>1.0958000000000001</c:v>
                </c:pt>
                <c:pt idx="477">
                  <c:v>1.0539000000000001</c:v>
                </c:pt>
                <c:pt idx="478">
                  <c:v>1.0689</c:v>
                </c:pt>
                <c:pt idx="479">
                  <c:v>1.1144000000000001</c:v>
                </c:pt>
                <c:pt idx="480">
                  <c:v>1.1294999999999999</c:v>
                </c:pt>
                <c:pt idx="481">
                  <c:v>1.1101000000000001</c:v>
                </c:pt>
                <c:pt idx="482">
                  <c:v>1.1037999999999999</c:v>
                </c:pt>
                <c:pt idx="483">
                  <c:v>1.1321000000000001</c:v>
                </c:pt>
                <c:pt idx="484">
                  <c:v>1.1767000000000001</c:v>
                </c:pt>
                <c:pt idx="485">
                  <c:v>1.1820999999999999</c:v>
                </c:pt>
                <c:pt idx="486">
                  <c:v>1.1944999999999999</c:v>
                </c:pt>
                <c:pt idx="487">
                  <c:v>1.2111000000000001</c:v>
                </c:pt>
                <c:pt idx="488">
                  <c:v>1.2217</c:v>
                </c:pt>
                <c:pt idx="489">
                  <c:v>1.2004999999999999</c:v>
                </c:pt>
                <c:pt idx="490">
                  <c:v>1.2097</c:v>
                </c:pt>
                <c:pt idx="491">
                  <c:v>1.1275999999999999</c:v>
                </c:pt>
                <c:pt idx="492">
                  <c:v>1.1941999999999999</c:v>
                </c:pt>
                <c:pt idx="493">
                  <c:v>1.2051000000000001</c:v>
                </c:pt>
                <c:pt idx="494">
                  <c:v>1.3407</c:v>
                </c:pt>
                <c:pt idx="495">
                  <c:v>1.3973</c:v>
                </c:pt>
                <c:pt idx="496">
                  <c:v>1.3672</c:v>
                </c:pt>
                <c:pt idx="497">
                  <c:v>1.3807</c:v>
                </c:pt>
                <c:pt idx="498">
                  <c:v>1.3649</c:v>
                </c:pt>
                <c:pt idx="499">
                  <c:v>1.3734999999999999</c:v>
                </c:pt>
                <c:pt idx="500">
                  <c:v>1.4602999999999999</c:v>
                </c:pt>
                <c:pt idx="501">
                  <c:v>1.4088000000000001</c:v>
                </c:pt>
                <c:pt idx="502">
                  <c:v>1.4911000000000001</c:v>
                </c:pt>
                <c:pt idx="503">
                  <c:v>1.4494</c:v>
                </c:pt>
                <c:pt idx="504">
                  <c:v>1.4541999999999999</c:v>
                </c:pt>
                <c:pt idx="505">
                  <c:v>1.4000999999999999</c:v>
                </c:pt>
                <c:pt idx="506">
                  <c:v>1.3407</c:v>
                </c:pt>
                <c:pt idx="507">
                  <c:v>1.4066000000000001</c:v>
                </c:pt>
                <c:pt idx="508">
                  <c:v>1.37</c:v>
                </c:pt>
                <c:pt idx="509">
                  <c:v>1.3599000000000001</c:v>
                </c:pt>
                <c:pt idx="510">
                  <c:v>1.5042</c:v>
                </c:pt>
                <c:pt idx="511">
                  <c:v>1.4108000000000001</c:v>
                </c:pt>
                <c:pt idx="512">
                  <c:v>1.75</c:v>
                </c:pt>
                <c:pt idx="513">
                  <c:v>1.8573999999999999</c:v>
                </c:pt>
                <c:pt idx="514">
                  <c:v>1.7822</c:v>
                </c:pt>
                <c:pt idx="515">
                  <c:v>1.7939000000000001</c:v>
                </c:pt>
                <c:pt idx="516">
                  <c:v>1.8512999999999999</c:v>
                </c:pt>
                <c:pt idx="517">
                  <c:v>1.7887</c:v>
                </c:pt>
                <c:pt idx="518">
                  <c:v>1.6419999999999999</c:v>
                </c:pt>
                <c:pt idx="519">
                  <c:v>1.7996000000000001</c:v>
                </c:pt>
                <c:pt idx="520">
                  <c:v>1.7145999999999999</c:v>
                </c:pt>
                <c:pt idx="521">
                  <c:v>1.9074</c:v>
                </c:pt>
                <c:pt idx="522">
                  <c:v>1.8683000000000001</c:v>
                </c:pt>
                <c:pt idx="523">
                  <c:v>1.9255</c:v>
                </c:pt>
                <c:pt idx="524">
                  <c:v>1.8389</c:v>
                </c:pt>
                <c:pt idx="525">
                  <c:v>1.7564</c:v>
                </c:pt>
                <c:pt idx="526">
                  <c:v>1.5788</c:v>
                </c:pt>
                <c:pt idx="527">
                  <c:v>1.7033</c:v>
                </c:pt>
                <c:pt idx="528">
                  <c:v>1.7895000000000001</c:v>
                </c:pt>
                <c:pt idx="529">
                  <c:v>1.8063</c:v>
                </c:pt>
                <c:pt idx="530">
                  <c:v>1.6816</c:v>
                </c:pt>
                <c:pt idx="531">
                  <c:v>1.7219</c:v>
                </c:pt>
                <c:pt idx="532">
                  <c:v>1.6687000000000001</c:v>
                </c:pt>
                <c:pt idx="533">
                  <c:v>1.4898</c:v>
                </c:pt>
                <c:pt idx="534">
                  <c:v>1.4403999999999999</c:v>
                </c:pt>
                <c:pt idx="535">
                  <c:v>1.5437000000000001</c:v>
                </c:pt>
                <c:pt idx="536">
                  <c:v>1.5298</c:v>
                </c:pt>
                <c:pt idx="537">
                  <c:v>1.5664</c:v>
                </c:pt>
                <c:pt idx="538">
                  <c:v>1.405</c:v>
                </c:pt>
                <c:pt idx="539">
                  <c:v>1.3880999999999999</c:v>
                </c:pt>
                <c:pt idx="540">
                  <c:v>1.3243</c:v>
                </c:pt>
                <c:pt idx="541">
                  <c:v>1.2783</c:v>
                </c:pt>
                <c:pt idx="542">
                  <c:v>1.2695000000000001</c:v>
                </c:pt>
                <c:pt idx="543">
                  <c:v>1.2446999999999999</c:v>
                </c:pt>
                <c:pt idx="544">
                  <c:v>1.3233999999999999</c:v>
                </c:pt>
                <c:pt idx="545">
                  <c:v>1.2688999999999999</c:v>
                </c:pt>
                <c:pt idx="546">
                  <c:v>1.2609999999999999</c:v>
                </c:pt>
                <c:pt idx="547">
                  <c:v>1.272</c:v>
                </c:pt>
                <c:pt idx="548">
                  <c:v>1.2593000000000001</c:v>
                </c:pt>
                <c:pt idx="549">
                  <c:v>1.2284999999999999</c:v>
                </c:pt>
                <c:pt idx="550">
                  <c:v>1.2673000000000001</c:v>
                </c:pt>
                <c:pt idx="551">
                  <c:v>1.2783</c:v>
                </c:pt>
                <c:pt idx="552">
                  <c:v>1.2471000000000001</c:v>
                </c:pt>
                <c:pt idx="553">
                  <c:v>1.2791999999999999</c:v>
                </c:pt>
                <c:pt idx="554">
                  <c:v>1.2768999999999999</c:v>
                </c:pt>
                <c:pt idx="555">
                  <c:v>1.2849999999999999</c:v>
                </c:pt>
                <c:pt idx="556">
                  <c:v>1.2627999999999999</c:v>
                </c:pt>
                <c:pt idx="557">
                  <c:v>1.2242</c:v>
                </c:pt>
                <c:pt idx="558">
                  <c:v>1.2321</c:v>
                </c:pt>
                <c:pt idx="559">
                  <c:v>1.1853</c:v>
                </c:pt>
                <c:pt idx="560">
                  <c:v>1.1794</c:v>
                </c:pt>
                <c:pt idx="561">
                  <c:v>1.2239</c:v>
                </c:pt>
                <c:pt idx="562">
                  <c:v>1.2338</c:v>
                </c:pt>
                <c:pt idx="563">
                  <c:v>1.2290000000000001</c:v>
                </c:pt>
                <c:pt idx="564">
                  <c:v>1.2504</c:v>
                </c:pt>
                <c:pt idx="565">
                  <c:v>1.2243999999999999</c:v>
                </c:pt>
                <c:pt idx="566">
                  <c:v>1.1918</c:v>
                </c:pt>
                <c:pt idx="567">
                  <c:v>1.1943999999999999</c:v>
                </c:pt>
                <c:pt idx="568">
                  <c:v>1.2378</c:v>
                </c:pt>
                <c:pt idx="569">
                  <c:v>1.1537999999999999</c:v>
                </c:pt>
                <c:pt idx="570">
                  <c:v>1.1505000000000001</c:v>
                </c:pt>
                <c:pt idx="571">
                  <c:v>1.1071</c:v>
                </c:pt>
                <c:pt idx="572">
                  <c:v>1.1385000000000001</c:v>
                </c:pt>
                <c:pt idx="573">
                  <c:v>1.1189</c:v>
                </c:pt>
                <c:pt idx="574">
                  <c:v>1.1419999999999999</c:v>
                </c:pt>
                <c:pt idx="575">
                  <c:v>1.155</c:v>
                </c:pt>
                <c:pt idx="576">
                  <c:v>1.1414</c:v>
                </c:pt>
                <c:pt idx="577">
                  <c:v>1.1307</c:v>
                </c:pt>
                <c:pt idx="578">
                  <c:v>1.1251</c:v>
                </c:pt>
                <c:pt idx="579">
                  <c:v>1.0891</c:v>
                </c:pt>
                <c:pt idx="580">
                  <c:v>1.1419999999999999</c:v>
                </c:pt>
                <c:pt idx="581">
                  <c:v>1.1779999999999999</c:v>
                </c:pt>
                <c:pt idx="582">
                  <c:v>1.1940999999999999</c:v>
                </c:pt>
                <c:pt idx="583">
                  <c:v>1.2474000000000001</c:v>
                </c:pt>
                <c:pt idx="584">
                  <c:v>1.2572000000000001</c:v>
                </c:pt>
                <c:pt idx="585">
                  <c:v>1.2188000000000001</c:v>
                </c:pt>
                <c:pt idx="586">
                  <c:v>1.2258</c:v>
                </c:pt>
                <c:pt idx="587">
                  <c:v>1.2196</c:v>
                </c:pt>
                <c:pt idx="588">
                  <c:v>1.2605</c:v>
                </c:pt>
                <c:pt idx="589">
                  <c:v>1.2303999999999999</c:v>
                </c:pt>
                <c:pt idx="590">
                  <c:v>1.2205999999999999</c:v>
                </c:pt>
                <c:pt idx="591">
                  <c:v>1.1941999999999999</c:v>
                </c:pt>
                <c:pt idx="592">
                  <c:v>1.2004999999999999</c:v>
                </c:pt>
                <c:pt idx="593">
                  <c:v>1.2351000000000001</c:v>
                </c:pt>
                <c:pt idx="594">
                  <c:v>1.2312000000000001</c:v>
                </c:pt>
                <c:pt idx="595">
                  <c:v>1.1846000000000001</c:v>
                </c:pt>
                <c:pt idx="596">
                  <c:v>1.3021</c:v>
                </c:pt>
                <c:pt idx="597">
                  <c:v>1.3045</c:v>
                </c:pt>
                <c:pt idx="598">
                  <c:v>1.3338000000000001</c:v>
                </c:pt>
                <c:pt idx="599">
                  <c:v>1.3105</c:v>
                </c:pt>
                <c:pt idx="600">
                  <c:v>1.3320000000000001</c:v>
                </c:pt>
                <c:pt idx="601">
                  <c:v>1.3568</c:v>
                </c:pt>
                <c:pt idx="602">
                  <c:v>1.2534000000000001</c:v>
                </c:pt>
                <c:pt idx="603">
                  <c:v>1.2435</c:v>
                </c:pt>
                <c:pt idx="604">
                  <c:v>1.2052</c:v>
                </c:pt>
                <c:pt idx="605">
                  <c:v>1.2384999999999999</c:v>
                </c:pt>
                <c:pt idx="606">
                  <c:v>1.2</c:v>
                </c:pt>
                <c:pt idx="607">
                  <c:v>1.2252000000000001</c:v>
                </c:pt>
                <c:pt idx="608">
                  <c:v>1.2143999999999999</c:v>
                </c:pt>
                <c:pt idx="609">
                  <c:v>1.2274</c:v>
                </c:pt>
                <c:pt idx="610">
                  <c:v>1.2158</c:v>
                </c:pt>
                <c:pt idx="611">
                  <c:v>1.2461</c:v>
                </c:pt>
                <c:pt idx="612">
                  <c:v>1.2055</c:v>
                </c:pt>
                <c:pt idx="613">
                  <c:v>1.1585000000000001</c:v>
                </c:pt>
                <c:pt idx="614">
                  <c:v>1.2361</c:v>
                </c:pt>
                <c:pt idx="615">
                  <c:v>1.1861999999999999</c:v>
                </c:pt>
                <c:pt idx="616">
                  <c:v>1.1126</c:v>
                </c:pt>
                <c:pt idx="617">
                  <c:v>1.1376999999999999</c:v>
                </c:pt>
                <c:pt idx="618">
                  <c:v>1.1529</c:v>
                </c:pt>
                <c:pt idx="619">
                  <c:v>1.1514</c:v>
                </c:pt>
                <c:pt idx="620">
                  <c:v>1.1318999999999999</c:v>
                </c:pt>
                <c:pt idx="621">
                  <c:v>1.1162000000000001</c:v>
                </c:pt>
                <c:pt idx="622">
                  <c:v>1.0995999999999999</c:v>
                </c:pt>
                <c:pt idx="623">
                  <c:v>1.1424000000000001</c:v>
                </c:pt>
                <c:pt idx="624">
                  <c:v>1.1551</c:v>
                </c:pt>
                <c:pt idx="625">
                  <c:v>1.0858000000000001</c:v>
                </c:pt>
                <c:pt idx="626">
                  <c:v>1.0450999999999999</c:v>
                </c:pt>
                <c:pt idx="627">
                  <c:v>1.0821000000000001</c:v>
                </c:pt>
                <c:pt idx="628">
                  <c:v>1.1999</c:v>
                </c:pt>
                <c:pt idx="629">
                  <c:v>1.2402</c:v>
                </c:pt>
                <c:pt idx="630">
                  <c:v>1.2078</c:v>
                </c:pt>
                <c:pt idx="631">
                  <c:v>1.2000999999999999</c:v>
                </c:pt>
                <c:pt idx="632">
                  <c:v>1.2181999999999999</c:v>
                </c:pt>
                <c:pt idx="633">
                  <c:v>1.2245999999999999</c:v>
                </c:pt>
                <c:pt idx="634">
                  <c:v>1.2344999999999999</c:v>
                </c:pt>
                <c:pt idx="635">
                  <c:v>1.2817000000000001</c:v>
                </c:pt>
                <c:pt idx="636">
                  <c:v>1.2292000000000001</c:v>
                </c:pt>
                <c:pt idx="637">
                  <c:v>1.2095</c:v>
                </c:pt>
                <c:pt idx="638">
                  <c:v>1.2925</c:v>
                </c:pt>
                <c:pt idx="639">
                  <c:v>1.2759</c:v>
                </c:pt>
                <c:pt idx="640">
                  <c:v>1.1709000000000001</c:v>
                </c:pt>
                <c:pt idx="641">
                  <c:v>1.0688</c:v>
                </c:pt>
                <c:pt idx="642">
                  <c:v>1.0537000000000001</c:v>
                </c:pt>
                <c:pt idx="643">
                  <c:v>1.0477000000000001</c:v>
                </c:pt>
                <c:pt idx="644">
                  <c:v>1.0313000000000001</c:v>
                </c:pt>
                <c:pt idx="645">
                  <c:v>1.0243</c:v>
                </c:pt>
                <c:pt idx="646">
                  <c:v>0.97889999999999999</c:v>
                </c:pt>
                <c:pt idx="647">
                  <c:v>0.99819999999999998</c:v>
                </c:pt>
                <c:pt idx="648">
                  <c:v>1.0388999999999999</c:v>
                </c:pt>
                <c:pt idx="649">
                  <c:v>1.0634999999999999</c:v>
                </c:pt>
                <c:pt idx="650">
                  <c:v>1.0461</c:v>
                </c:pt>
                <c:pt idx="651">
                  <c:v>1.0497000000000001</c:v>
                </c:pt>
                <c:pt idx="652">
                  <c:v>1.0190999999999999</c:v>
                </c:pt>
                <c:pt idx="653">
                  <c:v>1.0071000000000001</c:v>
                </c:pt>
                <c:pt idx="654">
                  <c:v>0.96860000000000002</c:v>
                </c:pt>
                <c:pt idx="655">
                  <c:v>0.98109999999999997</c:v>
                </c:pt>
                <c:pt idx="656">
                  <c:v>0.97099999999999997</c:v>
                </c:pt>
                <c:pt idx="657">
                  <c:v>0.97419999999999995</c:v>
                </c:pt>
                <c:pt idx="658">
                  <c:v>1.0431999999999999</c:v>
                </c:pt>
                <c:pt idx="659">
                  <c:v>1.05</c:v>
                </c:pt>
                <c:pt idx="660">
                  <c:v>1.0337000000000001</c:v>
                </c:pt>
                <c:pt idx="661">
                  <c:v>1.0407999999999999</c:v>
                </c:pt>
                <c:pt idx="662">
                  <c:v>0.97870000000000001</c:v>
                </c:pt>
                <c:pt idx="663">
                  <c:v>0.98450000000000004</c:v>
                </c:pt>
                <c:pt idx="664">
                  <c:v>0.97689999999999999</c:v>
                </c:pt>
                <c:pt idx="665">
                  <c:v>0.98609999999999998</c:v>
                </c:pt>
                <c:pt idx="666">
                  <c:v>0.97719999999999996</c:v>
                </c:pt>
                <c:pt idx="667">
                  <c:v>0.96309999999999996</c:v>
                </c:pt>
                <c:pt idx="668">
                  <c:v>0.95430000000000004</c:v>
                </c:pt>
                <c:pt idx="669">
                  <c:v>0.90159999999999996</c:v>
                </c:pt>
                <c:pt idx="670">
                  <c:v>0.98140000000000005</c:v>
                </c:pt>
                <c:pt idx="671">
                  <c:v>0.99819999999999998</c:v>
                </c:pt>
                <c:pt idx="672">
                  <c:v>1.0181</c:v>
                </c:pt>
                <c:pt idx="673">
                  <c:v>1.0206</c:v>
                </c:pt>
                <c:pt idx="674">
                  <c:v>1.0535000000000001</c:v>
                </c:pt>
                <c:pt idx="675">
                  <c:v>1.0410999999999999</c:v>
                </c:pt>
                <c:pt idx="676">
                  <c:v>0.95450000000000002</c:v>
                </c:pt>
                <c:pt idx="677">
                  <c:v>1.0344</c:v>
                </c:pt>
                <c:pt idx="678">
                  <c:v>1.07</c:v>
                </c:pt>
                <c:pt idx="679">
                  <c:v>1.1415</c:v>
                </c:pt>
                <c:pt idx="680">
                  <c:v>1.0632999999999999</c:v>
                </c:pt>
                <c:pt idx="681">
                  <c:v>0.95840000000000003</c:v>
                </c:pt>
                <c:pt idx="682">
                  <c:v>0.80169999999999997</c:v>
                </c:pt>
                <c:pt idx="683">
                  <c:v>0.85219999999999996</c:v>
                </c:pt>
                <c:pt idx="684">
                  <c:v>0.76200000000000001</c:v>
                </c:pt>
                <c:pt idx="685">
                  <c:v>0.82550000000000001</c:v>
                </c:pt>
                <c:pt idx="686">
                  <c:v>0.66539999999999999</c:v>
                </c:pt>
                <c:pt idx="687">
                  <c:v>1.2012</c:v>
                </c:pt>
                <c:pt idx="688">
                  <c:v>1.2305999999999999</c:v>
                </c:pt>
                <c:pt idx="689">
                  <c:v>1.1207</c:v>
                </c:pt>
                <c:pt idx="690">
                  <c:v>1.1407</c:v>
                </c:pt>
                <c:pt idx="691">
                  <c:v>1.3766</c:v>
                </c:pt>
                <c:pt idx="692">
                  <c:v>1.4711000000000001</c:v>
                </c:pt>
                <c:pt idx="693">
                  <c:v>1.39</c:v>
                </c:pt>
                <c:pt idx="694">
                  <c:v>1.3449</c:v>
                </c:pt>
                <c:pt idx="695">
                  <c:v>1.3580000000000001</c:v>
                </c:pt>
                <c:pt idx="696">
                  <c:v>1.3994</c:v>
                </c:pt>
                <c:pt idx="697">
                  <c:v>1.3577999999999999</c:v>
                </c:pt>
                <c:pt idx="698">
                  <c:v>1.276</c:v>
                </c:pt>
                <c:pt idx="699">
                  <c:v>1.3082</c:v>
                </c:pt>
                <c:pt idx="700">
                  <c:v>1.2791999999999999</c:v>
                </c:pt>
                <c:pt idx="701">
                  <c:v>1.3283</c:v>
                </c:pt>
                <c:pt idx="702">
                  <c:v>1.3252999999999999</c:v>
                </c:pt>
                <c:pt idx="703">
                  <c:v>1.536</c:v>
                </c:pt>
                <c:pt idx="704">
                  <c:v>1.6196999999999999</c:v>
                </c:pt>
                <c:pt idx="705">
                  <c:v>1.4184000000000001</c:v>
                </c:pt>
                <c:pt idx="706">
                  <c:v>1.512</c:v>
                </c:pt>
                <c:pt idx="707">
                  <c:v>1.5791999999999999</c:v>
                </c:pt>
                <c:pt idx="708">
                  <c:v>1.6438999999999999</c:v>
                </c:pt>
                <c:pt idx="709">
                  <c:v>1.8353999999999999</c:v>
                </c:pt>
                <c:pt idx="710">
                  <c:v>1.7797000000000001</c:v>
                </c:pt>
                <c:pt idx="711">
                  <c:v>1.8751</c:v>
                </c:pt>
                <c:pt idx="712">
                  <c:v>1.8189</c:v>
                </c:pt>
                <c:pt idx="713">
                  <c:v>1.91</c:v>
                </c:pt>
                <c:pt idx="714">
                  <c:v>1.7888999999999999</c:v>
                </c:pt>
                <c:pt idx="715">
                  <c:v>1.9663999999999999</c:v>
                </c:pt>
                <c:pt idx="716">
                  <c:v>2.0485000000000002</c:v>
                </c:pt>
                <c:pt idx="717">
                  <c:v>2.0798999999999999</c:v>
                </c:pt>
                <c:pt idx="718">
                  <c:v>2.0314000000000001</c:v>
                </c:pt>
                <c:pt idx="719">
                  <c:v>1.7697000000000001</c:v>
                </c:pt>
                <c:pt idx="720">
                  <c:v>1.4841</c:v>
                </c:pt>
                <c:pt idx="721">
                  <c:v>1.3649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4-42F1-ABC0-2F6834B080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0.13128726982453998</c:v>
                </c:pt>
                <c:pt idx="1">
                  <c:v>0.13132828382453998</c:v>
                </c:pt>
                <c:pt idx="2">
                  <c:v>0.13440280275237504</c:v>
                </c:pt>
                <c:pt idx="3">
                  <c:v>0.13302521804814971</c:v>
                </c:pt>
                <c:pt idx="4">
                  <c:v>0.13381397994215893</c:v>
                </c:pt>
                <c:pt idx="5">
                  <c:v>0.13272937044215893</c:v>
                </c:pt>
                <c:pt idx="6">
                  <c:v>0.13891262977115523</c:v>
                </c:pt>
                <c:pt idx="7">
                  <c:v>0.14318149260775653</c:v>
                </c:pt>
                <c:pt idx="8">
                  <c:v>0.14624417851647023</c:v>
                </c:pt>
                <c:pt idx="9">
                  <c:v>0.14616985908789881</c:v>
                </c:pt>
                <c:pt idx="10">
                  <c:v>0.14630072169851827</c:v>
                </c:pt>
                <c:pt idx="11">
                  <c:v>0.14694787880196652</c:v>
                </c:pt>
                <c:pt idx="12">
                  <c:v>0.147223518256512</c:v>
                </c:pt>
                <c:pt idx="13">
                  <c:v>0.14719591865949708</c:v>
                </c:pt>
                <c:pt idx="14">
                  <c:v>0.14651007750565095</c:v>
                </c:pt>
                <c:pt idx="15">
                  <c:v>0.14780850761474185</c:v>
                </c:pt>
                <c:pt idx="16">
                  <c:v>0.14972827964091981</c:v>
                </c:pt>
                <c:pt idx="17">
                  <c:v>0.14755618192663411</c:v>
                </c:pt>
                <c:pt idx="18">
                  <c:v>0.14722926382596296</c:v>
                </c:pt>
                <c:pt idx="19">
                  <c:v>0.14926554781543663</c:v>
                </c:pt>
                <c:pt idx="20">
                  <c:v>0.14984722856473898</c:v>
                </c:pt>
                <c:pt idx="21">
                  <c:v>0.14905078834734767</c:v>
                </c:pt>
                <c:pt idx="22">
                  <c:v>0.1553722279698376</c:v>
                </c:pt>
                <c:pt idx="23">
                  <c:v>0.16162376768706127</c:v>
                </c:pt>
                <c:pt idx="24">
                  <c:v>0.16695280148706124</c:v>
                </c:pt>
                <c:pt idx="25">
                  <c:v>0.1733312351907649</c:v>
                </c:pt>
                <c:pt idx="26">
                  <c:v>0.17238011935743155</c:v>
                </c:pt>
                <c:pt idx="27">
                  <c:v>0.17206394095743158</c:v>
                </c:pt>
                <c:pt idx="28">
                  <c:v>0.17344333680886015</c:v>
                </c:pt>
                <c:pt idx="29">
                  <c:v>0.17266197122861326</c:v>
                </c:pt>
                <c:pt idx="30">
                  <c:v>0.17717032691432755</c:v>
                </c:pt>
                <c:pt idx="31">
                  <c:v>0.17652617043758337</c:v>
                </c:pt>
                <c:pt idx="32">
                  <c:v>0.18960814201738793</c:v>
                </c:pt>
                <c:pt idx="33">
                  <c:v>0.18842077626935641</c:v>
                </c:pt>
                <c:pt idx="34">
                  <c:v>0.19061111867515351</c:v>
                </c:pt>
                <c:pt idx="35">
                  <c:v>0.1938864974182728</c:v>
                </c:pt>
                <c:pt idx="36">
                  <c:v>0.19020198508143069</c:v>
                </c:pt>
                <c:pt idx="37">
                  <c:v>0.19217443913857352</c:v>
                </c:pt>
                <c:pt idx="38">
                  <c:v>0.18876670966031264</c:v>
                </c:pt>
                <c:pt idx="39">
                  <c:v>0.18902434583641328</c:v>
                </c:pt>
                <c:pt idx="40">
                  <c:v>0.19004265708298862</c:v>
                </c:pt>
                <c:pt idx="41">
                  <c:v>0.18973081001632194</c:v>
                </c:pt>
                <c:pt idx="42">
                  <c:v>0.19164060360553359</c:v>
                </c:pt>
                <c:pt idx="43">
                  <c:v>0.19442553360553358</c:v>
                </c:pt>
                <c:pt idx="44">
                  <c:v>0.19254936792486133</c:v>
                </c:pt>
                <c:pt idx="45">
                  <c:v>0.19113853285343271</c:v>
                </c:pt>
                <c:pt idx="46">
                  <c:v>0.19630331553035579</c:v>
                </c:pt>
                <c:pt idx="47">
                  <c:v>0.20679199916647437</c:v>
                </c:pt>
                <c:pt idx="48">
                  <c:v>0.20661291988869662</c:v>
                </c:pt>
                <c:pt idx="49">
                  <c:v>0.21325413929567338</c:v>
                </c:pt>
                <c:pt idx="50">
                  <c:v>0.21742762051572909</c:v>
                </c:pt>
                <c:pt idx="51">
                  <c:v>0.21887459290703343</c:v>
                </c:pt>
                <c:pt idx="52">
                  <c:v>0.22058870218703341</c:v>
                </c:pt>
                <c:pt idx="53">
                  <c:v>0.21324146230077748</c:v>
                </c:pt>
                <c:pt idx="54">
                  <c:v>0.21808001930518275</c:v>
                </c:pt>
                <c:pt idx="55">
                  <c:v>0.21831097445870973</c:v>
                </c:pt>
                <c:pt idx="56">
                  <c:v>0.22276342759237308</c:v>
                </c:pt>
                <c:pt idx="57">
                  <c:v>0.27126366630879101</c:v>
                </c:pt>
                <c:pt idx="58">
                  <c:v>0.26584613586693051</c:v>
                </c:pt>
                <c:pt idx="59">
                  <c:v>0.26520079229483745</c:v>
                </c:pt>
                <c:pt idx="60">
                  <c:v>0.26884215895599456</c:v>
                </c:pt>
                <c:pt idx="61">
                  <c:v>0.2660918306125602</c:v>
                </c:pt>
                <c:pt idx="62">
                  <c:v>0.26709002017205385</c:v>
                </c:pt>
                <c:pt idx="63">
                  <c:v>0.28457880860400653</c:v>
                </c:pt>
                <c:pt idx="64">
                  <c:v>0.27357285168840301</c:v>
                </c:pt>
                <c:pt idx="65">
                  <c:v>0.27496692918452709</c:v>
                </c:pt>
                <c:pt idx="66">
                  <c:v>0.28085321706555599</c:v>
                </c:pt>
                <c:pt idx="67">
                  <c:v>0.28271375889164302</c:v>
                </c:pt>
                <c:pt idx="68">
                  <c:v>0.290998314016643</c:v>
                </c:pt>
                <c:pt idx="69">
                  <c:v>0.29290807376527689</c:v>
                </c:pt>
                <c:pt idx="70">
                  <c:v>0.28916072587498148</c:v>
                </c:pt>
                <c:pt idx="71">
                  <c:v>0.29209900251204712</c:v>
                </c:pt>
                <c:pt idx="72">
                  <c:v>0.28615273608565117</c:v>
                </c:pt>
                <c:pt idx="73">
                  <c:v>0.28502396304217292</c:v>
                </c:pt>
                <c:pt idx="74">
                  <c:v>0.28723042435796237</c:v>
                </c:pt>
                <c:pt idx="75">
                  <c:v>0.28762090877175539</c:v>
                </c:pt>
                <c:pt idx="76">
                  <c:v>0.28778881810999074</c:v>
                </c:pt>
                <c:pt idx="77">
                  <c:v>0.28924550300010066</c:v>
                </c:pt>
                <c:pt idx="78">
                  <c:v>0.28819881946676723</c:v>
                </c:pt>
                <c:pt idx="79">
                  <c:v>0.29804904803527443</c:v>
                </c:pt>
                <c:pt idx="80">
                  <c:v>0.29345770845399372</c:v>
                </c:pt>
                <c:pt idx="81">
                  <c:v>0.29090186737291257</c:v>
                </c:pt>
                <c:pt idx="82">
                  <c:v>0.28678003535703961</c:v>
                </c:pt>
                <c:pt idx="83">
                  <c:v>0.29061509550839093</c:v>
                </c:pt>
                <c:pt idx="84">
                  <c:v>0.29530862705820643</c:v>
                </c:pt>
                <c:pt idx="85">
                  <c:v>0.29837427159153973</c:v>
                </c:pt>
                <c:pt idx="86">
                  <c:v>0.29332790780582546</c:v>
                </c:pt>
                <c:pt idx="87">
                  <c:v>0.29156977893403058</c:v>
                </c:pt>
                <c:pt idx="88">
                  <c:v>0.29098989969822275</c:v>
                </c:pt>
                <c:pt idx="89">
                  <c:v>0.29117585703155613</c:v>
                </c:pt>
                <c:pt idx="90">
                  <c:v>0.29593257244115018</c:v>
                </c:pt>
                <c:pt idx="91">
                  <c:v>0.29795405291778571</c:v>
                </c:pt>
                <c:pt idx="92">
                  <c:v>0.29019048560349997</c:v>
                </c:pt>
                <c:pt idx="93">
                  <c:v>0.29924309660349996</c:v>
                </c:pt>
                <c:pt idx="94">
                  <c:v>0.31782397641781768</c:v>
                </c:pt>
                <c:pt idx="95">
                  <c:v>0.32292083025240415</c:v>
                </c:pt>
                <c:pt idx="96">
                  <c:v>0.31850951898015284</c:v>
                </c:pt>
                <c:pt idx="97">
                  <c:v>0.31860228940120544</c:v>
                </c:pt>
                <c:pt idx="98">
                  <c:v>0.32271950940120547</c:v>
                </c:pt>
                <c:pt idx="99">
                  <c:v>0.31594251200990114</c:v>
                </c:pt>
                <c:pt idx="100">
                  <c:v>0.30596451808527803</c:v>
                </c:pt>
                <c:pt idx="101">
                  <c:v>0.307865928585278</c:v>
                </c:pt>
                <c:pt idx="102">
                  <c:v>0.30954922229043774</c:v>
                </c:pt>
                <c:pt idx="103">
                  <c:v>0.31092336560575307</c:v>
                </c:pt>
                <c:pt idx="104">
                  <c:v>0.31438023475575305</c:v>
                </c:pt>
                <c:pt idx="105">
                  <c:v>0.31086544375575309</c:v>
                </c:pt>
                <c:pt idx="106">
                  <c:v>0.31551863805105512</c:v>
                </c:pt>
                <c:pt idx="107">
                  <c:v>0.31448013417730097</c:v>
                </c:pt>
                <c:pt idx="108">
                  <c:v>0.3293982996172195</c:v>
                </c:pt>
                <c:pt idx="109">
                  <c:v>0.33168629663214488</c:v>
                </c:pt>
                <c:pt idx="110">
                  <c:v>0.347200109159571</c:v>
                </c:pt>
                <c:pt idx="111">
                  <c:v>0.34495080953662016</c:v>
                </c:pt>
                <c:pt idx="112">
                  <c:v>0.3557554859545306</c:v>
                </c:pt>
                <c:pt idx="113">
                  <c:v>0.35556420878093642</c:v>
                </c:pt>
                <c:pt idx="114">
                  <c:v>0.35660173300315862</c:v>
                </c:pt>
                <c:pt idx="115">
                  <c:v>0.35283728691013538</c:v>
                </c:pt>
                <c:pt idx="116">
                  <c:v>0.3478214878698877</c:v>
                </c:pt>
                <c:pt idx="117">
                  <c:v>0.34658924100068933</c:v>
                </c:pt>
                <c:pt idx="118">
                  <c:v>0.35185050632021597</c:v>
                </c:pt>
                <c:pt idx="119">
                  <c:v>0.34073209818008859</c:v>
                </c:pt>
                <c:pt idx="120">
                  <c:v>0.33834956624600721</c:v>
                </c:pt>
                <c:pt idx="121">
                  <c:v>0.338672868419439</c:v>
                </c:pt>
                <c:pt idx="122">
                  <c:v>0.34874891472852987</c:v>
                </c:pt>
                <c:pt idx="123">
                  <c:v>0.36823493669404717</c:v>
                </c:pt>
                <c:pt idx="124">
                  <c:v>0.36610752275211172</c:v>
                </c:pt>
                <c:pt idx="125">
                  <c:v>0.37174605510505293</c:v>
                </c:pt>
                <c:pt idx="126">
                  <c:v>0.37103226500783065</c:v>
                </c:pt>
                <c:pt idx="127">
                  <c:v>0.37188436953505127</c:v>
                </c:pt>
                <c:pt idx="128">
                  <c:v>0.36469570141770435</c:v>
                </c:pt>
                <c:pt idx="129">
                  <c:v>0.37280399176519469</c:v>
                </c:pt>
                <c:pt idx="130">
                  <c:v>0.37781847931235796</c:v>
                </c:pt>
                <c:pt idx="131">
                  <c:v>0.38055437910515078</c:v>
                </c:pt>
                <c:pt idx="132">
                  <c:v>0.37935274866655433</c:v>
                </c:pt>
                <c:pt idx="133">
                  <c:v>0.38187577859338356</c:v>
                </c:pt>
                <c:pt idx="134">
                  <c:v>0.38416266454504516</c:v>
                </c:pt>
                <c:pt idx="135">
                  <c:v>0.37846317454504519</c:v>
                </c:pt>
                <c:pt idx="136">
                  <c:v>0.3715658605450452</c:v>
                </c:pt>
                <c:pt idx="137">
                  <c:v>0.37222382647346169</c:v>
                </c:pt>
                <c:pt idx="138">
                  <c:v>0.37095694404058505</c:v>
                </c:pt>
                <c:pt idx="139">
                  <c:v>0.37841491776535563</c:v>
                </c:pt>
                <c:pt idx="140">
                  <c:v>0.38396568373309753</c:v>
                </c:pt>
                <c:pt idx="141">
                  <c:v>0.38992492975741361</c:v>
                </c:pt>
                <c:pt idx="142">
                  <c:v>0.38735207861787874</c:v>
                </c:pt>
                <c:pt idx="143">
                  <c:v>0.40111037188705467</c:v>
                </c:pt>
                <c:pt idx="144">
                  <c:v>0.40462667128705465</c:v>
                </c:pt>
                <c:pt idx="145">
                  <c:v>0.39538103965617233</c:v>
                </c:pt>
                <c:pt idx="146">
                  <c:v>0.40106129759081283</c:v>
                </c:pt>
                <c:pt idx="147">
                  <c:v>0.3923363252057554</c:v>
                </c:pt>
                <c:pt idx="148">
                  <c:v>0.39747871852940675</c:v>
                </c:pt>
                <c:pt idx="149">
                  <c:v>0.38666132611122489</c:v>
                </c:pt>
                <c:pt idx="150">
                  <c:v>0.39131692254672001</c:v>
                </c:pt>
                <c:pt idx="151">
                  <c:v>0.39987270578167705</c:v>
                </c:pt>
                <c:pt idx="152">
                  <c:v>0.39433097171081088</c:v>
                </c:pt>
                <c:pt idx="153">
                  <c:v>0.39546100453584909</c:v>
                </c:pt>
                <c:pt idx="154">
                  <c:v>0.3840212738985494</c:v>
                </c:pt>
                <c:pt idx="155">
                  <c:v>0.39332806882811056</c:v>
                </c:pt>
                <c:pt idx="156">
                  <c:v>0.38681923261810197</c:v>
                </c:pt>
                <c:pt idx="157">
                  <c:v>0.39809729664070126</c:v>
                </c:pt>
                <c:pt idx="158">
                  <c:v>0.38277877579029651</c:v>
                </c:pt>
                <c:pt idx="159">
                  <c:v>0.38289857309440606</c:v>
                </c:pt>
                <c:pt idx="160">
                  <c:v>0.3939795882815505</c:v>
                </c:pt>
                <c:pt idx="161">
                  <c:v>0.39804015187940761</c:v>
                </c:pt>
                <c:pt idx="162">
                  <c:v>0.36972980549217715</c:v>
                </c:pt>
                <c:pt idx="163">
                  <c:v>0.37109970954102856</c:v>
                </c:pt>
                <c:pt idx="164">
                  <c:v>0.39296337087680833</c:v>
                </c:pt>
                <c:pt idx="165">
                  <c:v>0.41656128004783971</c:v>
                </c:pt>
                <c:pt idx="166">
                  <c:v>0.4029046782348551</c:v>
                </c:pt>
                <c:pt idx="167">
                  <c:v>0.40523181843485501</c:v>
                </c:pt>
                <c:pt idx="168">
                  <c:v>0.39121242076649054</c:v>
                </c:pt>
                <c:pt idx="169">
                  <c:v>0.39344098400058236</c:v>
                </c:pt>
                <c:pt idx="170">
                  <c:v>0.3973937649564076</c:v>
                </c:pt>
                <c:pt idx="171">
                  <c:v>0.40073810990070641</c:v>
                </c:pt>
                <c:pt idx="172">
                  <c:v>0.39092210679286443</c:v>
                </c:pt>
                <c:pt idx="173">
                  <c:v>0.39831285598071819</c:v>
                </c:pt>
                <c:pt idx="174">
                  <c:v>0.40628363519541805</c:v>
                </c:pt>
                <c:pt idx="175">
                  <c:v>0.38222837713741808</c:v>
                </c:pt>
                <c:pt idx="176">
                  <c:v>0.37376568131241811</c:v>
                </c:pt>
                <c:pt idx="177">
                  <c:v>0.35758739442290183</c:v>
                </c:pt>
                <c:pt idx="178">
                  <c:v>0.36548179749634735</c:v>
                </c:pt>
                <c:pt idx="179">
                  <c:v>0.36549783187038937</c:v>
                </c:pt>
                <c:pt idx="180">
                  <c:v>0.43135319709419923</c:v>
                </c:pt>
                <c:pt idx="181">
                  <c:v>0.42268276568853569</c:v>
                </c:pt>
                <c:pt idx="182">
                  <c:v>0.42005757272162314</c:v>
                </c:pt>
                <c:pt idx="183">
                  <c:v>0.40570661916871309</c:v>
                </c:pt>
                <c:pt idx="184">
                  <c:v>0.39915986665713138</c:v>
                </c:pt>
                <c:pt idx="185">
                  <c:v>0.3839791972029673</c:v>
                </c:pt>
                <c:pt idx="186">
                  <c:v>0.39471373480510563</c:v>
                </c:pt>
                <c:pt idx="187">
                  <c:v>0.39106173352674201</c:v>
                </c:pt>
                <c:pt idx="188">
                  <c:v>0.38113015405547968</c:v>
                </c:pt>
                <c:pt idx="189">
                  <c:v>0.37300088584131535</c:v>
                </c:pt>
                <c:pt idx="190">
                  <c:v>0.36763074541805779</c:v>
                </c:pt>
                <c:pt idx="191">
                  <c:v>0.35583570378991991</c:v>
                </c:pt>
                <c:pt idx="192">
                  <c:v>0.3574892780719951</c:v>
                </c:pt>
                <c:pt idx="193">
                  <c:v>0.38236117435225309</c:v>
                </c:pt>
                <c:pt idx="194">
                  <c:v>0.37200027433331778</c:v>
                </c:pt>
                <c:pt idx="195">
                  <c:v>0.3742294874920622</c:v>
                </c:pt>
                <c:pt idx="196">
                  <c:v>0.37962286103680248</c:v>
                </c:pt>
                <c:pt idx="197">
                  <c:v>0.38902414192514523</c:v>
                </c:pt>
                <c:pt idx="198">
                  <c:v>0.38321647873795761</c:v>
                </c:pt>
                <c:pt idx="199">
                  <c:v>0.38413334811289451</c:v>
                </c:pt>
                <c:pt idx="200">
                  <c:v>0.39414239908249454</c:v>
                </c:pt>
                <c:pt idx="201">
                  <c:v>0.35639669272661223</c:v>
                </c:pt>
                <c:pt idx="202">
                  <c:v>0.36177067598105972</c:v>
                </c:pt>
                <c:pt idx="203">
                  <c:v>0.35866585408021823</c:v>
                </c:pt>
                <c:pt idx="204">
                  <c:v>0.3720611823435846</c:v>
                </c:pt>
                <c:pt idx="205">
                  <c:v>0.36822746206005513</c:v>
                </c:pt>
                <c:pt idx="206">
                  <c:v>0.36756461810899976</c:v>
                </c:pt>
                <c:pt idx="207">
                  <c:v>0.37477257570000178</c:v>
                </c:pt>
                <c:pt idx="208">
                  <c:v>0.37967977148463333</c:v>
                </c:pt>
                <c:pt idx="209">
                  <c:v>0.37226966603576267</c:v>
                </c:pt>
                <c:pt idx="210">
                  <c:v>0.36301078404053244</c:v>
                </c:pt>
                <c:pt idx="211">
                  <c:v>0.36535605235807084</c:v>
                </c:pt>
                <c:pt idx="212">
                  <c:v>0.34059933353716576</c:v>
                </c:pt>
                <c:pt idx="213">
                  <c:v>0.33694367403649644</c:v>
                </c:pt>
                <c:pt idx="214">
                  <c:v>0.3254396804377826</c:v>
                </c:pt>
                <c:pt idx="215">
                  <c:v>0.31491736889741423</c:v>
                </c:pt>
                <c:pt idx="216">
                  <c:v>0.30953765494193769</c:v>
                </c:pt>
                <c:pt idx="217">
                  <c:v>0.3215895113715741</c:v>
                </c:pt>
                <c:pt idx="218">
                  <c:v>0.31115232069964349</c:v>
                </c:pt>
                <c:pt idx="219">
                  <c:v>0.3089196075578306</c:v>
                </c:pt>
                <c:pt idx="220">
                  <c:v>0.29848772961064624</c:v>
                </c:pt>
                <c:pt idx="221">
                  <c:v>0.31984068020068401</c:v>
                </c:pt>
                <c:pt idx="222">
                  <c:v>0.31256027852510598</c:v>
                </c:pt>
                <c:pt idx="223">
                  <c:v>0.31891304462910097</c:v>
                </c:pt>
                <c:pt idx="224">
                  <c:v>0.32255163157395639</c:v>
                </c:pt>
                <c:pt idx="225">
                  <c:v>0.32679290059387839</c:v>
                </c:pt>
                <c:pt idx="226">
                  <c:v>0.33998576330773644</c:v>
                </c:pt>
                <c:pt idx="227">
                  <c:v>0.34042248912866663</c:v>
                </c:pt>
                <c:pt idx="228">
                  <c:v>0.33147792903665946</c:v>
                </c:pt>
                <c:pt idx="229">
                  <c:v>0.32239548626878661</c:v>
                </c:pt>
                <c:pt idx="230">
                  <c:v>0.32568988913064267</c:v>
                </c:pt>
                <c:pt idx="231">
                  <c:v>0.33576202615255152</c:v>
                </c:pt>
                <c:pt idx="232">
                  <c:v>0.33678617092683727</c:v>
                </c:pt>
                <c:pt idx="233">
                  <c:v>0.31470101241762222</c:v>
                </c:pt>
                <c:pt idx="234">
                  <c:v>0.30616496486230949</c:v>
                </c:pt>
                <c:pt idx="235">
                  <c:v>0.32726319323582997</c:v>
                </c:pt>
                <c:pt idx="236">
                  <c:v>0.32500857238182584</c:v>
                </c:pt>
                <c:pt idx="237">
                  <c:v>0.3341460283372823</c:v>
                </c:pt>
                <c:pt idx="238">
                  <c:v>0.3434170673396944</c:v>
                </c:pt>
                <c:pt idx="239">
                  <c:v>0.33873747794764697</c:v>
                </c:pt>
                <c:pt idx="240">
                  <c:v>0.32941667459437013</c:v>
                </c:pt>
                <c:pt idx="241">
                  <c:v>0.31739662598030471</c:v>
                </c:pt>
                <c:pt idx="242">
                  <c:v>0.30220644448891709</c:v>
                </c:pt>
                <c:pt idx="243">
                  <c:v>0.29398948735035835</c:v>
                </c:pt>
                <c:pt idx="244">
                  <c:v>0.29911345775532883</c:v>
                </c:pt>
                <c:pt idx="245">
                  <c:v>0.31284272162909854</c:v>
                </c:pt>
                <c:pt idx="246">
                  <c:v>0.31800806331369624</c:v>
                </c:pt>
                <c:pt idx="247">
                  <c:v>0.29044329455250828</c:v>
                </c:pt>
                <c:pt idx="248">
                  <c:v>0.27362127400620573</c:v>
                </c:pt>
                <c:pt idx="249">
                  <c:v>0.23351964429393504</c:v>
                </c:pt>
                <c:pt idx="250">
                  <c:v>0.24937922427840889</c:v>
                </c:pt>
                <c:pt idx="251">
                  <c:v>0.2623413312519553</c:v>
                </c:pt>
                <c:pt idx="252">
                  <c:v>0.26829799150208417</c:v>
                </c:pt>
                <c:pt idx="253">
                  <c:v>0.22066751447799676</c:v>
                </c:pt>
                <c:pt idx="254">
                  <c:v>0.25761715988924627</c:v>
                </c:pt>
                <c:pt idx="255">
                  <c:v>0.25595417880180682</c:v>
                </c:pt>
                <c:pt idx="256">
                  <c:v>0.25445625698450858</c:v>
                </c:pt>
                <c:pt idx="257">
                  <c:v>0.25682607868895696</c:v>
                </c:pt>
                <c:pt idx="258">
                  <c:v>0.28163530304792128</c:v>
                </c:pt>
                <c:pt idx="259">
                  <c:v>0.26404371381811881</c:v>
                </c:pt>
                <c:pt idx="260">
                  <c:v>0.23503754404348495</c:v>
                </c:pt>
                <c:pt idx="261">
                  <c:v>0.27194445400143685</c:v>
                </c:pt>
                <c:pt idx="262">
                  <c:v>0.22133169020834595</c:v>
                </c:pt>
                <c:pt idx="263">
                  <c:v>0.26833852795634594</c:v>
                </c:pt>
                <c:pt idx="264">
                  <c:v>0.27816841602130971</c:v>
                </c:pt>
                <c:pt idx="265">
                  <c:v>0.31288913820571096</c:v>
                </c:pt>
                <c:pt idx="266">
                  <c:v>0.34187779144896768</c:v>
                </c:pt>
                <c:pt idx="267">
                  <c:v>0.314521572344444</c:v>
                </c:pt>
                <c:pt idx="268">
                  <c:v>0.29354620675073934</c:v>
                </c:pt>
                <c:pt idx="269">
                  <c:v>0.32181992628667772</c:v>
                </c:pt>
                <c:pt idx="270">
                  <c:v>0.32725508299421874</c:v>
                </c:pt>
                <c:pt idx="271">
                  <c:v>0.31490943003928601</c:v>
                </c:pt>
                <c:pt idx="272">
                  <c:v>0.31089926764907905</c:v>
                </c:pt>
                <c:pt idx="273">
                  <c:v>0.30220153289481283</c:v>
                </c:pt>
                <c:pt idx="274">
                  <c:v>0.30540593719896708</c:v>
                </c:pt>
                <c:pt idx="275">
                  <c:v>0.27305292183675334</c:v>
                </c:pt>
                <c:pt idx="276">
                  <c:v>0.2627088064269939</c:v>
                </c:pt>
                <c:pt idx="277">
                  <c:v>0.25217784528729731</c:v>
                </c:pt>
                <c:pt idx="278">
                  <c:v>0.2572786319535495</c:v>
                </c:pt>
                <c:pt idx="279">
                  <c:v>0.26878800713067824</c:v>
                </c:pt>
                <c:pt idx="280">
                  <c:v>0.24774809596448014</c:v>
                </c:pt>
                <c:pt idx="281">
                  <c:v>0.2824997519305848</c:v>
                </c:pt>
                <c:pt idx="282">
                  <c:v>0.29077019816681449</c:v>
                </c:pt>
                <c:pt idx="283">
                  <c:v>0.28072580482766496</c:v>
                </c:pt>
                <c:pt idx="284">
                  <c:v>0.2858744496167015</c:v>
                </c:pt>
                <c:pt idx="285">
                  <c:v>0.28833687610962461</c:v>
                </c:pt>
                <c:pt idx="286">
                  <c:v>0.30049003257778317</c:v>
                </c:pt>
                <c:pt idx="287">
                  <c:v>0.29293870332157107</c:v>
                </c:pt>
                <c:pt idx="288">
                  <c:v>0.28232718833650666</c:v>
                </c:pt>
                <c:pt idx="289">
                  <c:v>0.28166471199897147</c:v>
                </c:pt>
                <c:pt idx="290">
                  <c:v>0.27310341256892229</c:v>
                </c:pt>
                <c:pt idx="291">
                  <c:v>0.27657122921256871</c:v>
                </c:pt>
                <c:pt idx="292">
                  <c:v>0.27854876008583335</c:v>
                </c:pt>
                <c:pt idx="293">
                  <c:v>0.27402570544231614</c:v>
                </c:pt>
                <c:pt idx="294">
                  <c:v>0.25676872836988457</c:v>
                </c:pt>
                <c:pt idx="295">
                  <c:v>0.23943727033561099</c:v>
                </c:pt>
                <c:pt idx="296">
                  <c:v>0.23750856506628987</c:v>
                </c:pt>
                <c:pt idx="297">
                  <c:v>0.23449418839563654</c:v>
                </c:pt>
                <c:pt idx="298">
                  <c:v>0.2266054467716648</c:v>
                </c:pt>
                <c:pt idx="299">
                  <c:v>0.21774893776473039</c:v>
                </c:pt>
                <c:pt idx="300">
                  <c:v>0.244574579901188</c:v>
                </c:pt>
                <c:pt idx="301">
                  <c:v>0.2368359963900889</c:v>
                </c:pt>
                <c:pt idx="302">
                  <c:v>0.24011780396879115</c:v>
                </c:pt>
                <c:pt idx="303">
                  <c:v>0.22140724956879113</c:v>
                </c:pt>
                <c:pt idx="304">
                  <c:v>0.21106316501950037</c:v>
                </c:pt>
                <c:pt idx="305">
                  <c:v>0.19486937932508391</c:v>
                </c:pt>
                <c:pt idx="306">
                  <c:v>0.21029422551022972</c:v>
                </c:pt>
                <c:pt idx="307">
                  <c:v>0.19897334647695669</c:v>
                </c:pt>
                <c:pt idx="308">
                  <c:v>0.18328443106642742</c:v>
                </c:pt>
                <c:pt idx="309">
                  <c:v>0.19926191942439792</c:v>
                </c:pt>
                <c:pt idx="310">
                  <c:v>0.22629372863201902</c:v>
                </c:pt>
                <c:pt idx="311">
                  <c:v>0.17101713407986138</c:v>
                </c:pt>
                <c:pt idx="312">
                  <c:v>0.18180044767037218</c:v>
                </c:pt>
                <c:pt idx="313">
                  <c:v>0.17738263870803267</c:v>
                </c:pt>
                <c:pt idx="314">
                  <c:v>0.19288867164510279</c:v>
                </c:pt>
                <c:pt idx="315">
                  <c:v>0.19124691461354373</c:v>
                </c:pt>
                <c:pt idx="316">
                  <c:v>0.19819020893974021</c:v>
                </c:pt>
                <c:pt idx="317">
                  <c:v>0.17322886371414981</c:v>
                </c:pt>
                <c:pt idx="318">
                  <c:v>0.16315315911628506</c:v>
                </c:pt>
                <c:pt idx="319">
                  <c:v>0.16615331078828505</c:v>
                </c:pt>
                <c:pt idx="320">
                  <c:v>0.16741637196140802</c:v>
                </c:pt>
                <c:pt idx="321">
                  <c:v>0.16938103226084936</c:v>
                </c:pt>
                <c:pt idx="322">
                  <c:v>0.17090189983186385</c:v>
                </c:pt>
                <c:pt idx="323">
                  <c:v>0.16869982367531078</c:v>
                </c:pt>
                <c:pt idx="324">
                  <c:v>0.16893750054061685</c:v>
                </c:pt>
                <c:pt idx="325">
                  <c:v>0.15909429939661682</c:v>
                </c:pt>
                <c:pt idx="326">
                  <c:v>0.1551675399985443</c:v>
                </c:pt>
                <c:pt idx="327">
                  <c:v>0.1490318517808972</c:v>
                </c:pt>
                <c:pt idx="328">
                  <c:v>0.14323919475891084</c:v>
                </c:pt>
                <c:pt idx="329">
                  <c:v>0.13702722651218763</c:v>
                </c:pt>
                <c:pt idx="330">
                  <c:v>0.13753528415804689</c:v>
                </c:pt>
                <c:pt idx="331">
                  <c:v>0.12940855251364256</c:v>
                </c:pt>
                <c:pt idx="332">
                  <c:v>0.14222052988822906</c:v>
                </c:pt>
                <c:pt idx="333">
                  <c:v>0.13207188098020786</c:v>
                </c:pt>
                <c:pt idx="334">
                  <c:v>0.12799330767926173</c:v>
                </c:pt>
                <c:pt idx="335">
                  <c:v>0.12917890590514405</c:v>
                </c:pt>
                <c:pt idx="336">
                  <c:v>0.13106717292372533</c:v>
                </c:pt>
                <c:pt idx="337">
                  <c:v>0.19627451066610938</c:v>
                </c:pt>
                <c:pt idx="338">
                  <c:v>0.19630593095589766</c:v>
                </c:pt>
                <c:pt idx="339">
                  <c:v>0.20483547117621767</c:v>
                </c:pt>
                <c:pt idx="340">
                  <c:v>0.20103625344436701</c:v>
                </c:pt>
                <c:pt idx="341">
                  <c:v>0.19713490620484322</c:v>
                </c:pt>
                <c:pt idx="342">
                  <c:v>0.21760414138280157</c:v>
                </c:pt>
                <c:pt idx="343">
                  <c:v>0.20529686768576241</c:v>
                </c:pt>
                <c:pt idx="344">
                  <c:v>0.19081190672466564</c:v>
                </c:pt>
                <c:pt idx="345">
                  <c:v>0.17805036940941699</c:v>
                </c:pt>
                <c:pt idx="346">
                  <c:v>0.18222871951896055</c:v>
                </c:pt>
                <c:pt idx="347">
                  <c:v>0.19297850517260948</c:v>
                </c:pt>
                <c:pt idx="348">
                  <c:v>0.21105800779830605</c:v>
                </c:pt>
                <c:pt idx="349">
                  <c:v>0.16641383114607383</c:v>
                </c:pt>
                <c:pt idx="350">
                  <c:v>0.15014584216563992</c:v>
                </c:pt>
                <c:pt idx="351">
                  <c:v>0.15036119454380234</c:v>
                </c:pt>
                <c:pt idx="352">
                  <c:v>0.13303707984972135</c:v>
                </c:pt>
                <c:pt idx="353">
                  <c:v>0.12202975518104942</c:v>
                </c:pt>
                <c:pt idx="354">
                  <c:v>0.11164632632573512</c:v>
                </c:pt>
                <c:pt idx="355">
                  <c:v>0.11019792153256854</c:v>
                </c:pt>
                <c:pt idx="356">
                  <c:v>0.11673251983159183</c:v>
                </c:pt>
                <c:pt idx="357">
                  <c:v>7.9732558172719833E-2</c:v>
                </c:pt>
                <c:pt idx="358">
                  <c:v>8.2743024815024838E-2</c:v>
                </c:pt>
                <c:pt idx="359">
                  <c:v>7.8508355426519086E-2</c:v>
                </c:pt>
                <c:pt idx="360">
                  <c:v>7.2472683918220315E-2</c:v>
                </c:pt>
                <c:pt idx="361">
                  <c:v>6.8041214121694379E-2</c:v>
                </c:pt>
                <c:pt idx="362">
                  <c:v>6.6449935758797721E-2</c:v>
                </c:pt>
                <c:pt idx="363">
                  <c:v>6.3711030964980098E-2</c:v>
                </c:pt>
                <c:pt idx="364">
                  <c:v>6.8859221408648558E-2</c:v>
                </c:pt>
                <c:pt idx="365">
                  <c:v>6.4446254080138848E-2</c:v>
                </c:pt>
                <c:pt idx="366">
                  <c:v>6.6621572733108744E-2</c:v>
                </c:pt>
                <c:pt idx="367">
                  <c:v>6.5085978020351543E-2</c:v>
                </c:pt>
                <c:pt idx="368">
                  <c:v>6.809311496204766E-2</c:v>
                </c:pt>
                <c:pt idx="369">
                  <c:v>7.0652097717785384E-2</c:v>
                </c:pt>
                <c:pt idx="370">
                  <c:v>7.1525241021182726E-2</c:v>
                </c:pt>
                <c:pt idx="371">
                  <c:v>6.6184192855421334E-2</c:v>
                </c:pt>
                <c:pt idx="372">
                  <c:v>7.8205781467939953E-2</c:v>
                </c:pt>
                <c:pt idx="373">
                  <c:v>6.2983950695939941E-2</c:v>
                </c:pt>
                <c:pt idx="374">
                  <c:v>6.7826683353327519E-2</c:v>
                </c:pt>
                <c:pt idx="375">
                  <c:v>6.1473558583027083E-2</c:v>
                </c:pt>
                <c:pt idx="376">
                  <c:v>5.7278869843329909E-2</c:v>
                </c:pt>
                <c:pt idx="377">
                  <c:v>5.5097028703002926E-2</c:v>
                </c:pt>
                <c:pt idx="378">
                  <c:v>5.5511312095607029E-2</c:v>
                </c:pt>
                <c:pt idx="379">
                  <c:v>5.5176318131202821E-2</c:v>
                </c:pt>
                <c:pt idx="380">
                  <c:v>5.0594087681687751E-2</c:v>
                </c:pt>
                <c:pt idx="381">
                  <c:v>4.8619668029811373E-2</c:v>
                </c:pt>
                <c:pt idx="382">
                  <c:v>5.2545743709441643E-2</c:v>
                </c:pt>
                <c:pt idx="383">
                  <c:v>5.3561166995155923E-2</c:v>
                </c:pt>
                <c:pt idx="384">
                  <c:v>5.3006909737765867E-2</c:v>
                </c:pt>
                <c:pt idx="385">
                  <c:v>4.8331278647195428E-2</c:v>
                </c:pt>
                <c:pt idx="386">
                  <c:v>5.1955133777931331E-2</c:v>
                </c:pt>
                <c:pt idx="387">
                  <c:v>4.4270711219923826E-2</c:v>
                </c:pt>
                <c:pt idx="388">
                  <c:v>4.0804598485444772E-2</c:v>
                </c:pt>
                <c:pt idx="389">
                  <c:v>4.060001133392304E-2</c:v>
                </c:pt>
                <c:pt idx="390">
                  <c:v>3.5028339487572217E-2</c:v>
                </c:pt>
                <c:pt idx="391">
                  <c:v>3.5295023051023992E-2</c:v>
                </c:pt>
                <c:pt idx="392">
                  <c:v>3.6065456664585847E-2</c:v>
                </c:pt>
                <c:pt idx="393">
                  <c:v>3.5687768102124304E-2</c:v>
                </c:pt>
                <c:pt idx="394">
                  <c:v>3.4694185801569764E-2</c:v>
                </c:pt>
                <c:pt idx="395">
                  <c:v>3.3747614889390279E-2</c:v>
                </c:pt>
                <c:pt idx="396">
                  <c:v>3.4284624402695883E-2</c:v>
                </c:pt>
                <c:pt idx="397">
                  <c:v>3.5163499609544333E-2</c:v>
                </c:pt>
                <c:pt idx="398">
                  <c:v>3.7041712757692483E-2</c:v>
                </c:pt>
                <c:pt idx="399">
                  <c:v>3.7690181870528291E-2</c:v>
                </c:pt>
                <c:pt idx="400">
                  <c:v>3.490767447052829E-2</c:v>
                </c:pt>
                <c:pt idx="401">
                  <c:v>3.7567693835213134E-2</c:v>
                </c:pt>
                <c:pt idx="402">
                  <c:v>3.7047629892952259E-2</c:v>
                </c:pt>
                <c:pt idx="403">
                  <c:v>3.8142364118417378E-2</c:v>
                </c:pt>
                <c:pt idx="404">
                  <c:v>3.9368263211941187E-2</c:v>
                </c:pt>
                <c:pt idx="405">
                  <c:v>4.2121018718263029E-2</c:v>
                </c:pt>
                <c:pt idx="406">
                  <c:v>4.1093420364741902E-2</c:v>
                </c:pt>
                <c:pt idx="407">
                  <c:v>4.2935312806650618E-2</c:v>
                </c:pt>
                <c:pt idx="408">
                  <c:v>4.2201105551784995E-2</c:v>
                </c:pt>
                <c:pt idx="409">
                  <c:v>4.1286223696742987E-2</c:v>
                </c:pt>
                <c:pt idx="410">
                  <c:v>4.1036526986630628E-2</c:v>
                </c:pt>
                <c:pt idx="411">
                  <c:v>4.1218868572875982E-2</c:v>
                </c:pt>
                <c:pt idx="412">
                  <c:v>4.0830533165447949E-2</c:v>
                </c:pt>
                <c:pt idx="413">
                  <c:v>4.0921949622110126E-2</c:v>
                </c:pt>
                <c:pt idx="414">
                  <c:v>4.1635836694233298E-2</c:v>
                </c:pt>
                <c:pt idx="415">
                  <c:v>3.9236547819967854E-2</c:v>
                </c:pt>
                <c:pt idx="416">
                  <c:v>4.143352165322356E-2</c:v>
                </c:pt>
                <c:pt idx="417">
                  <c:v>4.1246974611634776E-2</c:v>
                </c:pt>
                <c:pt idx="418">
                  <c:v>4.1339887713576523E-2</c:v>
                </c:pt>
                <c:pt idx="419">
                  <c:v>3.9868254996909852E-2</c:v>
                </c:pt>
                <c:pt idx="420">
                  <c:v>4.4437922728488802E-2</c:v>
                </c:pt>
                <c:pt idx="421">
                  <c:v>4.5960058336797394E-2</c:v>
                </c:pt>
                <c:pt idx="422">
                  <c:v>4.5644482336797389E-2</c:v>
                </c:pt>
                <c:pt idx="423">
                  <c:v>4.5483935965425618E-2</c:v>
                </c:pt>
                <c:pt idx="424">
                  <c:v>4.3517295045837984E-2</c:v>
                </c:pt>
                <c:pt idx="425">
                  <c:v>4.4718915446644435E-2</c:v>
                </c:pt>
                <c:pt idx="426">
                  <c:v>4.3566855788056816E-2</c:v>
                </c:pt>
                <c:pt idx="427">
                  <c:v>4.3698374062707324E-2</c:v>
                </c:pt>
                <c:pt idx="428">
                  <c:v>4.8590177808788819E-2</c:v>
                </c:pt>
                <c:pt idx="429">
                  <c:v>5.0842063021029685E-2</c:v>
                </c:pt>
                <c:pt idx="430">
                  <c:v>4.6467285523941283E-2</c:v>
                </c:pt>
                <c:pt idx="431">
                  <c:v>4.3176907870783758E-2</c:v>
                </c:pt>
                <c:pt idx="432">
                  <c:v>4.1683610899413907E-2</c:v>
                </c:pt>
                <c:pt idx="433">
                  <c:v>3.8625606837090959E-2</c:v>
                </c:pt>
                <c:pt idx="434">
                  <c:v>3.7925900981887348E-2</c:v>
                </c:pt>
                <c:pt idx="435">
                  <c:v>3.7301796589602476E-2</c:v>
                </c:pt>
                <c:pt idx="436">
                  <c:v>3.5267976188800142E-2</c:v>
                </c:pt>
                <c:pt idx="437">
                  <c:v>3.4669010925296499E-2</c:v>
                </c:pt>
                <c:pt idx="438">
                  <c:v>3.3988782828522301E-2</c:v>
                </c:pt>
                <c:pt idx="439">
                  <c:v>3.4346007257870133E-2</c:v>
                </c:pt>
                <c:pt idx="440">
                  <c:v>3.5214001903020632E-2</c:v>
                </c:pt>
                <c:pt idx="441">
                  <c:v>3.4677110408559093E-2</c:v>
                </c:pt>
                <c:pt idx="442">
                  <c:v>3.4983698192176838E-2</c:v>
                </c:pt>
                <c:pt idx="443">
                  <c:v>3.560558810439058E-2</c:v>
                </c:pt>
                <c:pt idx="444">
                  <c:v>3.5038589437058447E-2</c:v>
                </c:pt>
                <c:pt idx="445">
                  <c:v>3.3769899620368603E-2</c:v>
                </c:pt>
                <c:pt idx="446">
                  <c:v>3.3593994720673016E-2</c:v>
                </c:pt>
                <c:pt idx="447">
                  <c:v>3.4918558510151354E-2</c:v>
                </c:pt>
                <c:pt idx="448">
                  <c:v>3.2109958859588957E-2</c:v>
                </c:pt>
                <c:pt idx="449">
                  <c:v>3.2220276130611687E-2</c:v>
                </c:pt>
                <c:pt idx="450">
                  <c:v>3.2747889666652298E-2</c:v>
                </c:pt>
                <c:pt idx="451">
                  <c:v>3.1779122205103913E-2</c:v>
                </c:pt>
                <c:pt idx="452">
                  <c:v>3.2611871104400919E-2</c:v>
                </c:pt>
                <c:pt idx="453">
                  <c:v>3.2172944054191716E-2</c:v>
                </c:pt>
                <c:pt idx="454">
                  <c:v>3.2342680504626499E-2</c:v>
                </c:pt>
                <c:pt idx="455">
                  <c:v>3.2558350334279493E-2</c:v>
                </c:pt>
                <c:pt idx="456">
                  <c:v>3.3505713583741853E-2</c:v>
                </c:pt>
                <c:pt idx="457">
                  <c:v>3.3983891211357635E-2</c:v>
                </c:pt>
                <c:pt idx="458">
                  <c:v>3.424698490784886E-2</c:v>
                </c:pt>
                <c:pt idx="459">
                  <c:v>3.48162228947341E-2</c:v>
                </c:pt>
                <c:pt idx="460">
                  <c:v>3.419612232903764E-2</c:v>
                </c:pt>
                <c:pt idx="461">
                  <c:v>3.4027981514296611E-2</c:v>
                </c:pt>
                <c:pt idx="462">
                  <c:v>3.3530179826326681E-2</c:v>
                </c:pt>
                <c:pt idx="463">
                  <c:v>3.3209264485757277E-2</c:v>
                </c:pt>
                <c:pt idx="464">
                  <c:v>3.3058268958834194E-2</c:v>
                </c:pt>
                <c:pt idx="465">
                  <c:v>3.3527581133945307E-2</c:v>
                </c:pt>
                <c:pt idx="466">
                  <c:v>3.3856183059788006E-2</c:v>
                </c:pt>
                <c:pt idx="467">
                  <c:v>3.1847175498438303E-2</c:v>
                </c:pt>
                <c:pt idx="468">
                  <c:v>3.1863605591771642E-2</c:v>
                </c:pt>
                <c:pt idx="469">
                  <c:v>3.2611288589239992E-2</c:v>
                </c:pt>
                <c:pt idx="470">
                  <c:v>3.2389382347611032E-2</c:v>
                </c:pt>
                <c:pt idx="471">
                  <c:v>3.2788277200370412E-2</c:v>
                </c:pt>
                <c:pt idx="472">
                  <c:v>3.2882400260071901E-2</c:v>
                </c:pt>
                <c:pt idx="473">
                  <c:v>3.3087781674071899E-2</c:v>
                </c:pt>
                <c:pt idx="474">
                  <c:v>3.3105366631284612E-2</c:v>
                </c:pt>
                <c:pt idx="475">
                  <c:v>3.391455115261164E-2</c:v>
                </c:pt>
                <c:pt idx="476">
                  <c:v>3.3058348105736636E-2</c:v>
                </c:pt>
                <c:pt idx="477">
                  <c:v>3.2617733290846121E-2</c:v>
                </c:pt>
                <c:pt idx="478">
                  <c:v>3.196559690012446E-2</c:v>
                </c:pt>
                <c:pt idx="479">
                  <c:v>3.3162483329118544E-2</c:v>
                </c:pt>
                <c:pt idx="480">
                  <c:v>3.3238365567732395E-2</c:v>
                </c:pt>
                <c:pt idx="481">
                  <c:v>3.2918442921578556E-2</c:v>
                </c:pt>
                <c:pt idx="482">
                  <c:v>3.2844873779566706E-2</c:v>
                </c:pt>
                <c:pt idx="483">
                  <c:v>3.2902513914049462E-2</c:v>
                </c:pt>
                <c:pt idx="484">
                  <c:v>3.329867543896993E-2</c:v>
                </c:pt>
                <c:pt idx="485">
                  <c:v>3.2521215428060836E-2</c:v>
                </c:pt>
                <c:pt idx="486">
                  <c:v>3.2553117475474631E-2</c:v>
                </c:pt>
                <c:pt idx="487">
                  <c:v>3.4236943879841449E-2</c:v>
                </c:pt>
                <c:pt idx="488">
                  <c:v>3.3929219425974419E-2</c:v>
                </c:pt>
                <c:pt idx="489">
                  <c:v>3.3758098358839084E-2</c:v>
                </c:pt>
                <c:pt idx="490">
                  <c:v>3.2472784839407805E-2</c:v>
                </c:pt>
                <c:pt idx="491">
                  <c:v>3.0746117095221761E-2</c:v>
                </c:pt>
                <c:pt idx="492">
                  <c:v>3.1982022224353542E-2</c:v>
                </c:pt>
                <c:pt idx="493">
                  <c:v>3.1593463854341738E-2</c:v>
                </c:pt>
                <c:pt idx="494">
                  <c:v>3.4447494989313883E-2</c:v>
                </c:pt>
                <c:pt idx="495">
                  <c:v>3.4877953901566845E-2</c:v>
                </c:pt>
                <c:pt idx="496">
                  <c:v>3.4291170796432374E-2</c:v>
                </c:pt>
                <c:pt idx="497">
                  <c:v>3.5038976155162528E-2</c:v>
                </c:pt>
                <c:pt idx="498">
                  <c:v>3.3913142728859806E-2</c:v>
                </c:pt>
                <c:pt idx="499">
                  <c:v>3.3233109226404808E-2</c:v>
                </c:pt>
                <c:pt idx="500">
                  <c:v>3.5587960526991556E-2</c:v>
                </c:pt>
                <c:pt idx="501">
                  <c:v>3.3929924828937093E-2</c:v>
                </c:pt>
                <c:pt idx="502">
                  <c:v>3.4478139910023894E-2</c:v>
                </c:pt>
                <c:pt idx="503">
                  <c:v>3.2165480704626576E-2</c:v>
                </c:pt>
                <c:pt idx="504">
                  <c:v>3.1653620447667258E-2</c:v>
                </c:pt>
                <c:pt idx="505">
                  <c:v>3.0079892400029076E-2</c:v>
                </c:pt>
                <c:pt idx="506">
                  <c:v>2.8226682116482757E-2</c:v>
                </c:pt>
                <c:pt idx="507">
                  <c:v>2.8617169396743764E-2</c:v>
                </c:pt>
                <c:pt idx="508">
                  <c:v>2.6631235794925576E-2</c:v>
                </c:pt>
                <c:pt idx="509">
                  <c:v>2.4837518362171948E-2</c:v>
                </c:pt>
                <c:pt idx="510">
                  <c:v>2.627731607715407E-2</c:v>
                </c:pt>
                <c:pt idx="511">
                  <c:v>2.48858210540828E-2</c:v>
                </c:pt>
                <c:pt idx="512">
                  <c:v>3.1490313043998762E-2</c:v>
                </c:pt>
                <c:pt idx="513">
                  <c:v>3.2557585682467152E-2</c:v>
                </c:pt>
                <c:pt idx="514">
                  <c:v>3.2699817999243909E-2</c:v>
                </c:pt>
                <c:pt idx="515">
                  <c:v>3.2968050143103556E-2</c:v>
                </c:pt>
                <c:pt idx="516">
                  <c:v>3.4724227478343243E-2</c:v>
                </c:pt>
                <c:pt idx="517">
                  <c:v>3.1668938402491388E-2</c:v>
                </c:pt>
                <c:pt idx="518">
                  <c:v>2.8230673802491387E-2</c:v>
                </c:pt>
                <c:pt idx="519">
                  <c:v>3.0792008283582171E-2</c:v>
                </c:pt>
                <c:pt idx="520">
                  <c:v>2.670959285224736E-2</c:v>
                </c:pt>
                <c:pt idx="521">
                  <c:v>2.642132742963867E-2</c:v>
                </c:pt>
                <c:pt idx="522">
                  <c:v>2.4904718912814983E-2</c:v>
                </c:pt>
                <c:pt idx="523">
                  <c:v>2.6626253686051485E-2</c:v>
                </c:pt>
                <c:pt idx="524">
                  <c:v>2.1671808047499689E-2</c:v>
                </c:pt>
                <c:pt idx="525">
                  <c:v>4.2519853090049686E-2</c:v>
                </c:pt>
                <c:pt idx="526">
                  <c:v>3.4256406434132157E-2</c:v>
                </c:pt>
                <c:pt idx="527">
                  <c:v>3.4983010539365804E-2</c:v>
                </c:pt>
                <c:pt idx="528">
                  <c:v>3.6187498126646282E-2</c:v>
                </c:pt>
                <c:pt idx="529">
                  <c:v>3.8240817277054723E-2</c:v>
                </c:pt>
                <c:pt idx="530">
                  <c:v>3.402915484118775E-2</c:v>
                </c:pt>
                <c:pt idx="531">
                  <c:v>3.4817025572494241E-2</c:v>
                </c:pt>
                <c:pt idx="532">
                  <c:v>3.8245203366128737E-2</c:v>
                </c:pt>
                <c:pt idx="533">
                  <c:v>2.53116541375146E-2</c:v>
                </c:pt>
                <c:pt idx="534">
                  <c:v>2.0890132259253725E-2</c:v>
                </c:pt>
                <c:pt idx="535">
                  <c:v>2.3578700132328607E-2</c:v>
                </c:pt>
                <c:pt idx="536">
                  <c:v>1.7271787334401136E-2</c:v>
                </c:pt>
                <c:pt idx="537">
                  <c:v>1.7787898907486322E-2</c:v>
                </c:pt>
                <c:pt idx="538">
                  <c:v>7.1622737420352729E-3</c:v>
                </c:pt>
                <c:pt idx="539">
                  <c:v>4.7125456371121914E-3</c:v>
                </c:pt>
                <c:pt idx="540">
                  <c:v>-1.7877737482810451E-4</c:v>
                </c:pt>
                <c:pt idx="541">
                  <c:v>-2.2063146511983925E-3</c:v>
                </c:pt>
                <c:pt idx="542">
                  <c:v>-3.2382775235388107E-3</c:v>
                </c:pt>
                <c:pt idx="543">
                  <c:v>-2.4158788409143778E-3</c:v>
                </c:pt>
                <c:pt idx="544">
                  <c:v>-4.0134310652815871E-4</c:v>
                </c:pt>
                <c:pt idx="545">
                  <c:v>-1.2048601149514796E-3</c:v>
                </c:pt>
                <c:pt idx="546">
                  <c:v>-1.1446450275635667E-4</c:v>
                </c:pt>
                <c:pt idx="547">
                  <c:v>7.7040285537172452E-4</c:v>
                </c:pt>
                <c:pt idx="548">
                  <c:v>3.3618448725578011E-4</c:v>
                </c:pt>
                <c:pt idx="549">
                  <c:v>-6.4461793397710019E-4</c:v>
                </c:pt>
                <c:pt idx="550">
                  <c:v>-3.1409015771262953E-3</c:v>
                </c:pt>
                <c:pt idx="551">
                  <c:v>-3.4541291820043515E-3</c:v>
                </c:pt>
                <c:pt idx="552">
                  <c:v>-3.5504149774809261E-3</c:v>
                </c:pt>
                <c:pt idx="553">
                  <c:v>-2.7424522238577425E-3</c:v>
                </c:pt>
                <c:pt idx="554">
                  <c:v>-3.4541672071910718E-3</c:v>
                </c:pt>
                <c:pt idx="555">
                  <c:v>-4.0626132136845705E-3</c:v>
                </c:pt>
                <c:pt idx="556">
                  <c:v>-4.8490436211313728E-3</c:v>
                </c:pt>
                <c:pt idx="557">
                  <c:v>-6.7279994491313659E-3</c:v>
                </c:pt>
                <c:pt idx="558">
                  <c:v>-6.8105110627333793E-3</c:v>
                </c:pt>
                <c:pt idx="559">
                  <c:v>-7.7173980031267206E-3</c:v>
                </c:pt>
                <c:pt idx="560">
                  <c:v>-8.4536249614154922E-3</c:v>
                </c:pt>
                <c:pt idx="561">
                  <c:v>-8.2934357614154967E-3</c:v>
                </c:pt>
                <c:pt idx="562">
                  <c:v>-7.4692439227395388E-3</c:v>
                </c:pt>
                <c:pt idx="563">
                  <c:v>-8.699574068893377E-3</c:v>
                </c:pt>
                <c:pt idx="564">
                  <c:v>-4.7369078784667553E-3</c:v>
                </c:pt>
                <c:pt idx="565">
                  <c:v>-6.2758221197636863E-3</c:v>
                </c:pt>
                <c:pt idx="566">
                  <c:v>-7.0423623428406031E-3</c:v>
                </c:pt>
                <c:pt idx="567">
                  <c:v>-7.7422119799408166E-3</c:v>
                </c:pt>
                <c:pt idx="568">
                  <c:v>-1.01524188244702E-2</c:v>
                </c:pt>
                <c:pt idx="569">
                  <c:v>-1.181197878170193E-2</c:v>
                </c:pt>
                <c:pt idx="570">
                  <c:v>-1.2472757393992432E-2</c:v>
                </c:pt>
                <c:pt idx="571">
                  <c:v>-1.3395420693992433E-2</c:v>
                </c:pt>
                <c:pt idx="572">
                  <c:v>-1.3375396082095325E-2</c:v>
                </c:pt>
                <c:pt idx="573">
                  <c:v>-1.3727686385438797E-2</c:v>
                </c:pt>
                <c:pt idx="574">
                  <c:v>-1.3456113496187982E-2</c:v>
                </c:pt>
                <c:pt idx="575">
                  <c:v>-1.3601324521769374E-2</c:v>
                </c:pt>
                <c:pt idx="576">
                  <c:v>-1.378420739073489E-2</c:v>
                </c:pt>
                <c:pt idx="577">
                  <c:v>-1.3922847956960057E-2</c:v>
                </c:pt>
                <c:pt idx="578">
                  <c:v>-1.3846025137729288E-2</c:v>
                </c:pt>
                <c:pt idx="579">
                  <c:v>-1.4034593676075152E-2</c:v>
                </c:pt>
                <c:pt idx="580">
                  <c:v>-1.3523935948802426E-2</c:v>
                </c:pt>
                <c:pt idx="581">
                  <c:v>-1.2907918842728672E-2</c:v>
                </c:pt>
                <c:pt idx="582">
                  <c:v>-1.2965711570323607E-2</c:v>
                </c:pt>
                <c:pt idx="583">
                  <c:v>-1.2149982766438127E-2</c:v>
                </c:pt>
                <c:pt idx="584">
                  <c:v>-1.1338875264264213E-2</c:v>
                </c:pt>
                <c:pt idx="585">
                  <c:v>-1.1787340531157256E-2</c:v>
                </c:pt>
                <c:pt idx="586">
                  <c:v>-1.1358841135024661E-2</c:v>
                </c:pt>
                <c:pt idx="587">
                  <c:v>-1.1308194830262757E-2</c:v>
                </c:pt>
                <c:pt idx="588">
                  <c:v>-1.0687453061031988E-2</c:v>
                </c:pt>
                <c:pt idx="589">
                  <c:v>-1.1411138146746267E-2</c:v>
                </c:pt>
                <c:pt idx="590">
                  <c:v>-1.1108449327848628E-2</c:v>
                </c:pt>
                <c:pt idx="591">
                  <c:v>-1.1592522935949888E-2</c:v>
                </c:pt>
                <c:pt idx="592">
                  <c:v>-1.2622286699552825E-2</c:v>
                </c:pt>
                <c:pt idx="593">
                  <c:v>-1.2107158390809654E-2</c:v>
                </c:pt>
                <c:pt idx="594">
                  <c:v>-1.2688663930809656E-2</c:v>
                </c:pt>
                <c:pt idx="595">
                  <c:v>-1.2958387010952423E-2</c:v>
                </c:pt>
                <c:pt idx="596">
                  <c:v>-8.830881893150757E-3</c:v>
                </c:pt>
                <c:pt idx="597">
                  <c:v>-9.7229986437002095E-3</c:v>
                </c:pt>
                <c:pt idx="598">
                  <c:v>-9.2788178794144961E-3</c:v>
                </c:pt>
                <c:pt idx="599">
                  <c:v>-1.0760948755894015E-2</c:v>
                </c:pt>
                <c:pt idx="600">
                  <c:v>-1.109535004144447E-2</c:v>
                </c:pt>
                <c:pt idx="601">
                  <c:v>-9.0449160073904234E-3</c:v>
                </c:pt>
                <c:pt idx="602">
                  <c:v>-9.907044479282312E-3</c:v>
                </c:pt>
                <c:pt idx="603">
                  <c:v>-9.639887867933284E-3</c:v>
                </c:pt>
                <c:pt idx="604">
                  <c:v>-1.0920180790945136E-2</c:v>
                </c:pt>
                <c:pt idx="605">
                  <c:v>-1.0135767250272355E-2</c:v>
                </c:pt>
                <c:pt idx="606">
                  <c:v>-1.0749426854497705E-2</c:v>
                </c:pt>
                <c:pt idx="607">
                  <c:v>-9.2595777688767884E-3</c:v>
                </c:pt>
                <c:pt idx="608">
                  <c:v>-1.0180745538588332E-2</c:v>
                </c:pt>
                <c:pt idx="609">
                  <c:v>-1.0361432575420009E-2</c:v>
                </c:pt>
                <c:pt idx="610">
                  <c:v>-1.1050314810714125E-2</c:v>
                </c:pt>
                <c:pt idx="611">
                  <c:v>-1.0979004388788993E-2</c:v>
                </c:pt>
                <c:pt idx="612">
                  <c:v>-1.2554302621018571E-2</c:v>
                </c:pt>
                <c:pt idx="613">
                  <c:v>-1.3422542035710515E-2</c:v>
                </c:pt>
                <c:pt idx="614">
                  <c:v>-1.12429774203259E-2</c:v>
                </c:pt>
                <c:pt idx="615">
                  <c:v>-1.0606798528154557E-2</c:v>
                </c:pt>
                <c:pt idx="616">
                  <c:v>-1.1950964665830611E-2</c:v>
                </c:pt>
                <c:pt idx="617">
                  <c:v>-1.1784069267196466E-2</c:v>
                </c:pt>
                <c:pt idx="618">
                  <c:v>-1.0886363199790696E-2</c:v>
                </c:pt>
                <c:pt idx="619">
                  <c:v>-1.1401167132223127E-2</c:v>
                </c:pt>
                <c:pt idx="620">
                  <c:v>-1.1773192154158613E-2</c:v>
                </c:pt>
                <c:pt idx="621">
                  <c:v>-1.21054761664663E-2</c:v>
                </c:pt>
                <c:pt idx="622">
                  <c:v>-1.2140088486466302E-2</c:v>
                </c:pt>
                <c:pt idx="623">
                  <c:v>-1.1598972176501889E-2</c:v>
                </c:pt>
                <c:pt idx="624">
                  <c:v>-1.1377703566351514E-2</c:v>
                </c:pt>
                <c:pt idx="625">
                  <c:v>-1.2274134308221432E-2</c:v>
                </c:pt>
                <c:pt idx="626">
                  <c:v>-1.2955147262126196E-2</c:v>
                </c:pt>
                <c:pt idx="627">
                  <c:v>-1.2819220604126196E-2</c:v>
                </c:pt>
                <c:pt idx="628">
                  <c:v>-1.1695530098397553E-2</c:v>
                </c:pt>
                <c:pt idx="629">
                  <c:v>-1.0998738870769922E-2</c:v>
                </c:pt>
                <c:pt idx="630">
                  <c:v>-1.2051433734616075E-2</c:v>
                </c:pt>
                <c:pt idx="631">
                  <c:v>-1.2165383983247652E-2</c:v>
                </c:pt>
                <c:pt idx="632">
                  <c:v>-1.1548101384390509E-2</c:v>
                </c:pt>
                <c:pt idx="633">
                  <c:v>-1.1714189023057174E-2</c:v>
                </c:pt>
                <c:pt idx="634">
                  <c:v>-1.2240004767651767E-2</c:v>
                </c:pt>
                <c:pt idx="635">
                  <c:v>-1.1489791390495586E-2</c:v>
                </c:pt>
                <c:pt idx="636">
                  <c:v>-1.2761336043931773E-2</c:v>
                </c:pt>
                <c:pt idx="637">
                  <c:v>-1.2169584385201616E-2</c:v>
                </c:pt>
                <c:pt idx="638">
                  <c:v>-8.5756432945938849E-3</c:v>
                </c:pt>
                <c:pt idx="639">
                  <c:v>-1.1095408095506515E-2</c:v>
                </c:pt>
                <c:pt idx="640">
                  <c:v>-1.398847479282753E-2</c:v>
                </c:pt>
                <c:pt idx="641">
                  <c:v>-1.7963095938802773E-2</c:v>
                </c:pt>
                <c:pt idx="642">
                  <c:v>-1.8939799038802774E-2</c:v>
                </c:pt>
                <c:pt idx="643">
                  <c:v>-1.866172443880278E-2</c:v>
                </c:pt>
                <c:pt idx="644">
                  <c:v>-1.9643403071714173E-2</c:v>
                </c:pt>
                <c:pt idx="645">
                  <c:v>-2.0720718433888754E-2</c:v>
                </c:pt>
                <c:pt idx="646">
                  <c:v>-2.1435082663773808E-2</c:v>
                </c:pt>
                <c:pt idx="647">
                  <c:v>-2.0781646006642337E-2</c:v>
                </c:pt>
                <c:pt idx="648">
                  <c:v>-1.9817441160543896E-2</c:v>
                </c:pt>
                <c:pt idx="649">
                  <c:v>-1.9640970558399647E-2</c:v>
                </c:pt>
                <c:pt idx="650">
                  <c:v>-1.9740605939836769E-2</c:v>
                </c:pt>
                <c:pt idx="651">
                  <c:v>-2.0023616606326129E-2</c:v>
                </c:pt>
                <c:pt idx="652">
                  <c:v>-2.1254510109871498E-2</c:v>
                </c:pt>
                <c:pt idx="653">
                  <c:v>-1.7408480211773669E-2</c:v>
                </c:pt>
                <c:pt idx="654">
                  <c:v>-1.773873600410282E-2</c:v>
                </c:pt>
                <c:pt idx="655">
                  <c:v>-1.8153405930036889E-2</c:v>
                </c:pt>
                <c:pt idx="656">
                  <c:v>-1.8079287932873764E-2</c:v>
                </c:pt>
                <c:pt idx="657">
                  <c:v>-1.7939810408121291E-2</c:v>
                </c:pt>
                <c:pt idx="658">
                  <c:v>-1.7374169749844428E-2</c:v>
                </c:pt>
                <c:pt idx="659">
                  <c:v>-1.752490170350296E-2</c:v>
                </c:pt>
                <c:pt idx="660">
                  <c:v>-1.7437908527760386E-2</c:v>
                </c:pt>
                <c:pt idx="661">
                  <c:v>-1.6133783223329368E-2</c:v>
                </c:pt>
                <c:pt idx="662">
                  <c:v>-1.7050015315637056E-2</c:v>
                </c:pt>
                <c:pt idx="663">
                  <c:v>-1.7176932172319085E-2</c:v>
                </c:pt>
                <c:pt idx="664">
                  <c:v>-1.7343134940115697E-2</c:v>
                </c:pt>
                <c:pt idx="665">
                  <c:v>-1.6749030847523105E-2</c:v>
                </c:pt>
                <c:pt idx="666">
                  <c:v>-1.6362736290146052E-2</c:v>
                </c:pt>
                <c:pt idx="667">
                  <c:v>-1.7151530401214754E-2</c:v>
                </c:pt>
                <c:pt idx="668">
                  <c:v>-1.6961530021214751E-2</c:v>
                </c:pt>
                <c:pt idx="669">
                  <c:v>-1.7316654855188345E-2</c:v>
                </c:pt>
                <c:pt idx="670">
                  <c:v>-1.6547416850950084E-2</c:v>
                </c:pt>
                <c:pt idx="671">
                  <c:v>-1.7027112380852045E-2</c:v>
                </c:pt>
                <c:pt idx="672">
                  <c:v>-1.6711436601519771E-2</c:v>
                </c:pt>
                <c:pt idx="673">
                  <c:v>-1.7169274271948663E-2</c:v>
                </c:pt>
                <c:pt idx="674">
                  <c:v>-1.6799790518726706E-2</c:v>
                </c:pt>
                <c:pt idx="675">
                  <c:v>-1.7517629186125972E-2</c:v>
                </c:pt>
                <c:pt idx="676">
                  <c:v>-1.8539892736162546E-2</c:v>
                </c:pt>
                <c:pt idx="677">
                  <c:v>-1.6832293927522141E-2</c:v>
                </c:pt>
                <c:pt idx="678">
                  <c:v>-1.5043267376427251E-2</c:v>
                </c:pt>
                <c:pt idx="679">
                  <c:v>-1.4405874380215671E-2</c:v>
                </c:pt>
                <c:pt idx="680">
                  <c:v>-1.5715940260260408E-2</c:v>
                </c:pt>
                <c:pt idx="681">
                  <c:v>-2.247843035432992E-2</c:v>
                </c:pt>
                <c:pt idx="682">
                  <c:v>-2.5671079848114002E-2</c:v>
                </c:pt>
                <c:pt idx="683">
                  <c:v>-2.5804079983359901E-2</c:v>
                </c:pt>
                <c:pt idx="684">
                  <c:v>-2.6329836190214031E-2</c:v>
                </c:pt>
                <c:pt idx="685">
                  <c:v>-2.5242939607815873E-2</c:v>
                </c:pt>
                <c:pt idx="686">
                  <c:v>-2.8687490082285674E-2</c:v>
                </c:pt>
                <c:pt idx="687">
                  <c:v>-2.3302282462930837E-2</c:v>
                </c:pt>
                <c:pt idx="688">
                  <c:v>-2.31126263579974E-2</c:v>
                </c:pt>
                <c:pt idx="689">
                  <c:v>-2.3979731582733619E-2</c:v>
                </c:pt>
                <c:pt idx="690">
                  <c:v>-2.4174133289928821E-2</c:v>
                </c:pt>
                <c:pt idx="691">
                  <c:v>-2.1222413293273304E-2</c:v>
                </c:pt>
                <c:pt idx="692">
                  <c:v>-1.9965885160750509E-2</c:v>
                </c:pt>
                <c:pt idx="693">
                  <c:v>-2.2191642253539881E-2</c:v>
                </c:pt>
                <c:pt idx="694">
                  <c:v>-2.2623137992933813E-2</c:v>
                </c:pt>
                <c:pt idx="695">
                  <c:v>-2.2640445882885968E-2</c:v>
                </c:pt>
                <c:pt idx="696">
                  <c:v>-2.1778230196859781E-2</c:v>
                </c:pt>
                <c:pt idx="697">
                  <c:v>-2.1002146278189946E-2</c:v>
                </c:pt>
                <c:pt idx="698">
                  <c:v>-2.1678525564288599E-2</c:v>
                </c:pt>
                <c:pt idx="699">
                  <c:v>-2.0177125338934492E-2</c:v>
                </c:pt>
                <c:pt idx="700">
                  <c:v>-2.026121008613679E-2</c:v>
                </c:pt>
                <c:pt idx="701">
                  <c:v>-1.5628738088809078E-2</c:v>
                </c:pt>
                <c:pt idx="702">
                  <c:v>-1.2930559060716463E-2</c:v>
                </c:pt>
                <c:pt idx="703">
                  <c:v>-1.1679485847348851E-2</c:v>
                </c:pt>
                <c:pt idx="704">
                  <c:v>-1.1877567673417039E-2</c:v>
                </c:pt>
                <c:pt idx="705">
                  <c:v>-1.5366646859185144E-2</c:v>
                </c:pt>
                <c:pt idx="706">
                  <c:v>-1.4315556751349053E-2</c:v>
                </c:pt>
                <c:pt idx="707">
                  <c:v>-1.3202374739380967E-2</c:v>
                </c:pt>
                <c:pt idx="708">
                  <c:v>-1.2839102119410773E-2</c:v>
                </c:pt>
                <c:pt idx="709">
                  <c:v>-1.1462401324568366E-2</c:v>
                </c:pt>
                <c:pt idx="710">
                  <c:v>-1.3262399020942546E-2</c:v>
                </c:pt>
                <c:pt idx="711">
                  <c:v>-1.396354917603174E-2</c:v>
                </c:pt>
                <c:pt idx="712">
                  <c:v>-1.4380909304695072E-2</c:v>
                </c:pt>
                <c:pt idx="713">
                  <c:v>-1.3363493978008324E-2</c:v>
                </c:pt>
                <c:pt idx="714">
                  <c:v>-1.4362935992092828E-2</c:v>
                </c:pt>
                <c:pt idx="715">
                  <c:v>-1.1603917214881831E-2</c:v>
                </c:pt>
                <c:pt idx="716">
                  <c:v>-1.026066616767856E-2</c:v>
                </c:pt>
                <c:pt idx="717">
                  <c:v>-1.0207759028594471E-2</c:v>
                </c:pt>
                <c:pt idx="718">
                  <c:v>7.6595292740851504E-3</c:v>
                </c:pt>
                <c:pt idx="719">
                  <c:v>3.7816391209146605E-3</c:v>
                </c:pt>
                <c:pt idx="720">
                  <c:v>-7.4315925522509157E-4</c:v>
                </c:pt>
                <c:pt idx="721">
                  <c:v>-2.8715964866369697E-4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4-42F1-ABC0-2F6834B08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239200"/>
        <c:axId val="309240864"/>
      </c:lineChart>
      <c:dateAx>
        <c:axId val="309239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0864"/>
        <c:crosses val="autoZero"/>
        <c:auto val="1"/>
        <c:lblOffset val="100"/>
        <c:baseTimeUnit val="days"/>
      </c:dateAx>
      <c:valAx>
        <c:axId val="30924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3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97FB5B7-448A-4FE7-9E26-9321E352CC6F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86631F-52D3-43BC-A29C-A7CABFCA2E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11.5</v>
      </c>
      <c r="D2" s="4">
        <f>MIN(D3:D1912)</f>
        <v>0.51039999999999996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1.577</v>
      </c>
      <c r="C5">
        <v>1.5920000000000001</v>
      </c>
      <c r="D5">
        <v>1.556</v>
      </c>
      <c r="E5">
        <v>1.5649999999999999</v>
      </c>
      <c r="F5">
        <v>8202.7999999999993</v>
      </c>
      <c r="G5">
        <v>1.5649999999999999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-0.50000000000000622</v>
      </c>
      <c r="Q5">
        <f t="shared" ref="Q5" si="1">F5*P5</f>
        <v>-4101.4000000000506</v>
      </c>
      <c r="R5">
        <f t="shared" ref="R5" si="2">R6+Q5</f>
        <v>13128726.982453998</v>
      </c>
      <c r="S5">
        <f t="shared" ref="S5" si="3">R5/100000</f>
        <v>131.28726982453998</v>
      </c>
      <c r="T5">
        <f t="shared" ref="T5" si="4">S5/1000</f>
        <v>0.13128726982453998</v>
      </c>
    </row>
    <row r="6" spans="1:20" x14ac:dyDescent="0.25">
      <c r="A6" s="5">
        <v>44587</v>
      </c>
      <c r="B6">
        <v>1.5449999999999999</v>
      </c>
      <c r="C6">
        <v>1.732</v>
      </c>
      <c r="D6">
        <v>1.538</v>
      </c>
      <c r="E6">
        <v>1.579</v>
      </c>
      <c r="F6">
        <v>532550.6</v>
      </c>
      <c r="G6">
        <v>1.579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-0.57731958762886659</v>
      </c>
      <c r="Q6">
        <f t="shared" ref="Q6" si="6">F6*P6</f>
        <v>-307451.89278350549</v>
      </c>
      <c r="R6">
        <f t="shared" ref="R6" si="7">R7+Q6</f>
        <v>13132828.382453999</v>
      </c>
      <c r="S6">
        <f t="shared" ref="S6" si="8">R6/100000</f>
        <v>131.32828382453999</v>
      </c>
      <c r="T6">
        <f t="shared" ref="T6" si="9">S6/1000</f>
        <v>0.13132828382453998</v>
      </c>
    </row>
    <row r="7" spans="1:20" x14ac:dyDescent="0.25">
      <c r="A7" s="5">
        <v>44586</v>
      </c>
      <c r="B7">
        <v>1.5109999999999999</v>
      </c>
      <c r="C7">
        <v>1.59</v>
      </c>
      <c r="D7">
        <v>1.448</v>
      </c>
      <c r="E7">
        <v>1.5529999999999999</v>
      </c>
      <c r="F7">
        <v>287672.09999999998</v>
      </c>
      <c r="G7">
        <v>1.5529999999999999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0.47887323943661814</v>
      </c>
      <c r="Q7">
        <f t="shared" ref="Q7" si="11">F7*P7</f>
        <v>137758.47042253474</v>
      </c>
      <c r="R7">
        <f t="shared" ref="R7" si="12">R8+Q7</f>
        <v>13440280.275237504</v>
      </c>
      <c r="S7">
        <f t="shared" ref="S7" si="13">R7/100000</f>
        <v>134.40280275237504</v>
      </c>
      <c r="T7">
        <f t="shared" ref="T7" si="14">S7/1000</f>
        <v>0.13440280275237504</v>
      </c>
    </row>
    <row r="8" spans="1:20" x14ac:dyDescent="0.25">
      <c r="A8" s="5">
        <v>44585</v>
      </c>
      <c r="B8">
        <v>1.6359999999999999</v>
      </c>
      <c r="C8">
        <v>1.6359999999999999</v>
      </c>
      <c r="D8">
        <v>1.419</v>
      </c>
      <c r="E8">
        <v>1.5109999999999999</v>
      </c>
      <c r="F8">
        <v>518670.7</v>
      </c>
      <c r="G8">
        <v>1.5109999999999999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-0.15207373271889477</v>
      </c>
      <c r="Q8">
        <f t="shared" ref="Q8" si="16">F8*P8</f>
        <v>-78876.189400922056</v>
      </c>
      <c r="R8">
        <f t="shared" ref="R8" si="17">R9+Q8</f>
        <v>13302521.80481497</v>
      </c>
      <c r="S8">
        <f t="shared" ref="S8" si="18">R8/100000</f>
        <v>133.0252180481497</v>
      </c>
      <c r="T8">
        <f t="shared" ref="T8" si="19">S8/1000</f>
        <v>0.13302521804814971</v>
      </c>
    </row>
    <row r="9" spans="1:20" x14ac:dyDescent="0.25">
      <c r="A9" s="5">
        <v>44584</v>
      </c>
      <c r="B9">
        <v>1.5429999999999999</v>
      </c>
      <c r="C9">
        <v>1.724</v>
      </c>
      <c r="D9">
        <v>1.52</v>
      </c>
      <c r="E9">
        <v>1.635</v>
      </c>
      <c r="F9">
        <v>851001.3</v>
      </c>
      <c r="G9">
        <v>1.635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0.12745098039215699</v>
      </c>
      <c r="Q9">
        <f t="shared" ref="Q9" si="21">F9*P9</f>
        <v>108460.95000000011</v>
      </c>
      <c r="R9">
        <f t="shared" ref="R9" si="22">R10+Q9</f>
        <v>13381397.994215893</v>
      </c>
      <c r="S9">
        <f t="shared" ref="S9" si="23">R9/100000</f>
        <v>133.81397994215894</v>
      </c>
      <c r="T9">
        <f t="shared" ref="T9" si="24">S9/1000</f>
        <v>0.13381397994215893</v>
      </c>
    </row>
    <row r="10" spans="1:20" x14ac:dyDescent="0.25">
      <c r="A10" s="5">
        <v>44583</v>
      </c>
      <c r="B10">
        <v>1.5680000000000001</v>
      </c>
      <c r="C10">
        <v>1.752</v>
      </c>
      <c r="D10">
        <v>1.4830000000000001</v>
      </c>
      <c r="E10">
        <v>1.5429999999999999</v>
      </c>
      <c r="F10">
        <v>1116306.55</v>
      </c>
      <c r="G10">
        <v>1.5429999999999999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-0.55390334572490818</v>
      </c>
      <c r="Q10">
        <f t="shared" ref="Q10" si="26">F10*P10</f>
        <v>-618325.93289962958</v>
      </c>
      <c r="R10">
        <f t="shared" ref="R10" si="27">R11+Q10</f>
        <v>13272937.044215893</v>
      </c>
      <c r="S10">
        <f t="shared" ref="S10" si="28">R10/100000</f>
        <v>132.72937044215894</v>
      </c>
      <c r="T10">
        <f t="shared" ref="T10" si="29">S10/1000</f>
        <v>0.13272937044215893</v>
      </c>
    </row>
    <row r="11" spans="1:20" x14ac:dyDescent="0.25">
      <c r="A11" s="5">
        <v>44582</v>
      </c>
      <c r="B11">
        <v>1.8069999999999999</v>
      </c>
      <c r="C11">
        <v>1.8360000000000001</v>
      </c>
      <c r="D11">
        <v>1.53</v>
      </c>
      <c r="E11">
        <v>1.5680000000000001</v>
      </c>
      <c r="F11">
        <v>567944.36</v>
      </c>
      <c r="G11">
        <v>1.5680000000000001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-0.75163398692810435</v>
      </c>
      <c r="Q11">
        <f t="shared" ref="Q11" si="31">F11*P11</f>
        <v>-426886.28366013058</v>
      </c>
      <c r="R11">
        <f t="shared" ref="R11" si="32">R12+Q11</f>
        <v>13891262.977115523</v>
      </c>
      <c r="S11">
        <f t="shared" ref="S11" si="33">R11/100000</f>
        <v>138.91262977115522</v>
      </c>
      <c r="T11">
        <f t="shared" ref="T11" si="34">S11/1000</f>
        <v>0.13891262977115523</v>
      </c>
    </row>
    <row r="12" spans="1:20" x14ac:dyDescent="0.25">
      <c r="A12" s="5">
        <v>44581</v>
      </c>
      <c r="B12">
        <v>1.9379999999999999</v>
      </c>
      <c r="C12">
        <v>2.0419999999999998</v>
      </c>
      <c r="D12">
        <v>1.8009999999999999</v>
      </c>
      <c r="E12">
        <v>1.8069999999999999</v>
      </c>
      <c r="F12">
        <v>322317.59999999998</v>
      </c>
      <c r="G12">
        <v>1.8069999999999999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-0.950207468879668</v>
      </c>
      <c r="Q12">
        <f t="shared" ref="Q12" si="36">F12*P12</f>
        <v>-306268.59087136923</v>
      </c>
      <c r="R12">
        <f t="shared" ref="R12" si="37">R13+Q12</f>
        <v>14318149.260775654</v>
      </c>
      <c r="S12">
        <f t="shared" ref="S12" si="38">R12/100000</f>
        <v>143.18149260775652</v>
      </c>
      <c r="T12">
        <f t="shared" ref="T12" si="39">S12/1000</f>
        <v>0.14318149260775653</v>
      </c>
    </row>
    <row r="13" spans="1:20" x14ac:dyDescent="0.25">
      <c r="A13" s="5">
        <v>44580</v>
      </c>
      <c r="B13">
        <v>1.956</v>
      </c>
      <c r="C13">
        <v>1.9790000000000001</v>
      </c>
      <c r="D13">
        <v>1.895</v>
      </c>
      <c r="E13">
        <v>1.94</v>
      </c>
      <c r="F13">
        <v>104047.2</v>
      </c>
      <c r="G13">
        <v>1.94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7.1428571428568788E-2</v>
      </c>
      <c r="Q13">
        <f t="shared" ref="Q13" si="41">F13*P13</f>
        <v>7431.9428571425824</v>
      </c>
      <c r="R13">
        <f t="shared" ref="R13" si="42">R14+Q13</f>
        <v>14624417.851647023</v>
      </c>
      <c r="S13">
        <f t="shared" ref="S13" si="43">R13/100000</f>
        <v>146.24417851647024</v>
      </c>
      <c r="T13">
        <f t="shared" ref="T13" si="44">S13/1000</f>
        <v>0.14624417851647023</v>
      </c>
    </row>
    <row r="14" spans="1:20" x14ac:dyDescent="0.25">
      <c r="A14" s="5">
        <v>44579</v>
      </c>
      <c r="B14">
        <v>1.9890000000000001</v>
      </c>
      <c r="C14">
        <v>2.0139999999999998</v>
      </c>
      <c r="D14">
        <v>1.901</v>
      </c>
      <c r="E14">
        <v>1.9550000000000001</v>
      </c>
      <c r="F14">
        <v>295749.5</v>
      </c>
      <c r="G14">
        <v>1.9550000000000001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-4.4247787610616651E-2</v>
      </c>
      <c r="Q14">
        <f t="shared" ref="Q14" si="46">F14*P14</f>
        <v>-13086.26106194607</v>
      </c>
      <c r="R14">
        <f t="shared" ref="R14" si="47">R15+Q14</f>
        <v>14616985.908789881</v>
      </c>
      <c r="S14">
        <f t="shared" ref="S14" si="48">R14/100000</f>
        <v>146.1698590878988</v>
      </c>
      <c r="T14">
        <f t="shared" ref="T14" si="49">S14/1000</f>
        <v>0.14616985908789881</v>
      </c>
    </row>
    <row r="15" spans="1:20" x14ac:dyDescent="0.25">
      <c r="A15" s="5">
        <v>44578</v>
      </c>
      <c r="B15">
        <v>2.0670000000000002</v>
      </c>
      <c r="C15">
        <v>2.0710000000000002</v>
      </c>
      <c r="D15">
        <v>1.9550000000000001</v>
      </c>
      <c r="E15">
        <v>1.9890000000000001</v>
      </c>
      <c r="F15">
        <v>156396.29999999999</v>
      </c>
      <c r="G15">
        <v>1.9890000000000001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-0.41379310344827586</v>
      </c>
      <c r="Q15">
        <f t="shared" ref="Q15" si="51">F15*P15</f>
        <v>-64715.710344827581</v>
      </c>
      <c r="R15">
        <f t="shared" ref="R15" si="52">R16+Q15</f>
        <v>14630072.169851827</v>
      </c>
      <c r="S15">
        <f t="shared" ref="S15" si="53">R15/100000</f>
        <v>146.30072169851826</v>
      </c>
      <c r="T15">
        <f t="shared" ref="T15" si="54">S15/1000</f>
        <v>0.14630072169851827</v>
      </c>
    </row>
    <row r="16" spans="1:20" x14ac:dyDescent="0.25">
      <c r="A16" s="5">
        <v>44577</v>
      </c>
      <c r="B16">
        <v>2.0859999999999999</v>
      </c>
      <c r="C16">
        <v>2.0950000000000002</v>
      </c>
      <c r="D16">
        <v>2.0510000000000002</v>
      </c>
      <c r="E16">
        <v>2.0670000000000002</v>
      </c>
      <c r="F16">
        <v>101067.8</v>
      </c>
      <c r="G16">
        <v>2.0670000000000002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-0.27272727272727271</v>
      </c>
      <c r="Q16">
        <f t="shared" ref="Q16" si="56">F16*P16</f>
        <v>-27563.945454545454</v>
      </c>
      <c r="R16">
        <f t="shared" ref="R16" si="57">R17+Q16</f>
        <v>14694787.880196653</v>
      </c>
      <c r="S16">
        <f t="shared" ref="S16" si="58">R16/100000</f>
        <v>146.94787880196654</v>
      </c>
      <c r="T16">
        <f t="shared" ref="T16" si="59">S16/1000</f>
        <v>0.14694787880196652</v>
      </c>
    </row>
    <row r="17" spans="1:20" x14ac:dyDescent="0.25">
      <c r="A17" s="5">
        <v>44576</v>
      </c>
      <c r="B17">
        <v>2.097</v>
      </c>
      <c r="C17">
        <v>2.1179999999999999</v>
      </c>
      <c r="D17">
        <v>2.0510000000000002</v>
      </c>
      <c r="E17">
        <v>2.085</v>
      </c>
      <c r="F17">
        <v>184917.3</v>
      </c>
      <c r="G17">
        <v>2.085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1.4925373134326776E-2</v>
      </c>
      <c r="Q17">
        <f t="shared" ref="Q17" si="61">F17*P17</f>
        <v>2759.9597014922447</v>
      </c>
      <c r="R17">
        <f t="shared" ref="R17" si="62">R18+Q17</f>
        <v>14722351.825651199</v>
      </c>
      <c r="S17">
        <f t="shared" ref="S17" si="63">R17/100000</f>
        <v>147.22351825651199</v>
      </c>
      <c r="T17">
        <f t="shared" ref="T17" si="64">S17/1000</f>
        <v>0.147223518256512</v>
      </c>
    </row>
    <row r="18" spans="1:20" x14ac:dyDescent="0.25">
      <c r="A18" s="5">
        <v>44575</v>
      </c>
      <c r="B18">
        <v>2.0670000000000002</v>
      </c>
      <c r="C18">
        <v>2.1219999999999999</v>
      </c>
      <c r="D18">
        <v>2.0310000000000001</v>
      </c>
      <c r="E18">
        <v>2.0939999999999999</v>
      </c>
      <c r="F18">
        <v>178318.7</v>
      </c>
      <c r="G18">
        <v>2.0939999999999999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0.38461538461538236</v>
      </c>
      <c r="Q18">
        <f t="shared" ref="Q18" si="66">F18*P18</f>
        <v>68584.115384614983</v>
      </c>
      <c r="R18">
        <f t="shared" ref="R18" si="67">R19+Q18</f>
        <v>14719591.865949707</v>
      </c>
      <c r="S18">
        <f t="shared" ref="S18" si="68">R18/100000</f>
        <v>147.19591865949707</v>
      </c>
      <c r="T18">
        <f t="shared" ref="T18" si="69">S18/1000</f>
        <v>0.14719591865949708</v>
      </c>
    </row>
    <row r="19" spans="1:20" x14ac:dyDescent="0.25">
      <c r="A19" s="5">
        <v>44574</v>
      </c>
      <c r="B19">
        <v>2.145</v>
      </c>
      <c r="C19">
        <v>2.16</v>
      </c>
      <c r="D19">
        <v>2.0499999999999998</v>
      </c>
      <c r="E19">
        <v>2.081</v>
      </c>
      <c r="F19">
        <v>297556.90000000002</v>
      </c>
      <c r="G19">
        <v>2.081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-0.43636363636363551</v>
      </c>
      <c r="Q19">
        <f t="shared" ref="Q19" si="71">F19*P19</f>
        <v>-129843.01090909066</v>
      </c>
      <c r="R19">
        <f t="shared" ref="R19" si="72">R20+Q19</f>
        <v>14651007.750565093</v>
      </c>
      <c r="S19">
        <f t="shared" ref="S19" si="73">R19/100000</f>
        <v>146.51007750565094</v>
      </c>
      <c r="T19">
        <f t="shared" ref="T19" si="74">S19/1000</f>
        <v>0.14651007750565095</v>
      </c>
    </row>
    <row r="20" spans="1:20" x14ac:dyDescent="0.25">
      <c r="A20" s="5">
        <v>44573</v>
      </c>
      <c r="B20">
        <v>2.1030000000000002</v>
      </c>
      <c r="C20">
        <v>2.2650000000000001</v>
      </c>
      <c r="D20">
        <v>2.0739999999999998</v>
      </c>
      <c r="E20">
        <v>2.145</v>
      </c>
      <c r="F20">
        <v>748319.3</v>
      </c>
      <c r="G20">
        <v>2.145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-0.25654450261780032</v>
      </c>
      <c r="Q20">
        <f t="shared" ref="Q20" si="76">F20*P20</f>
        <v>-191977.2026178005</v>
      </c>
      <c r="R20">
        <f t="shared" ref="R20" si="77">R21+Q20</f>
        <v>14780850.761474183</v>
      </c>
      <c r="S20">
        <f t="shared" ref="S20" si="78">R20/100000</f>
        <v>147.80850761474184</v>
      </c>
      <c r="T20">
        <f t="shared" ref="T20" si="79">S20/1000</f>
        <v>0.14780850761474185</v>
      </c>
    </row>
    <row r="21" spans="1:20" x14ac:dyDescent="0.25">
      <c r="A21" s="5">
        <v>44572</v>
      </c>
      <c r="B21">
        <v>2</v>
      </c>
      <c r="C21">
        <v>2.1629999999999998</v>
      </c>
      <c r="D21">
        <v>1.9530000000000001</v>
      </c>
      <c r="E21">
        <v>2.1019999999999999</v>
      </c>
      <c r="F21">
        <v>518341.5</v>
      </c>
      <c r="G21">
        <v>2.1019999999999999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0.41904761904761889</v>
      </c>
      <c r="Q21">
        <f t="shared" ref="Q21" si="81">F21*P21</f>
        <v>217209.77142857134</v>
      </c>
      <c r="R21">
        <f t="shared" ref="R21" si="82">R22+Q21</f>
        <v>14972827.964091983</v>
      </c>
      <c r="S21">
        <f t="shared" ref="S21" si="83">R21/100000</f>
        <v>149.72827964091982</v>
      </c>
      <c r="T21">
        <f t="shared" ref="T21" si="84">S21/1000</f>
        <v>0.14972827964091981</v>
      </c>
    </row>
    <row r="22" spans="1:20" x14ac:dyDescent="0.25">
      <c r="A22" s="5">
        <v>44571</v>
      </c>
      <c r="B22">
        <v>2.052</v>
      </c>
      <c r="C22">
        <v>2.0659999999999998</v>
      </c>
      <c r="D22">
        <v>1.917</v>
      </c>
      <c r="E22">
        <v>2</v>
      </c>
      <c r="F22">
        <v>286534.09999999998</v>
      </c>
      <c r="G22">
        <v>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0.11409395973154463</v>
      </c>
      <c r="Q22">
        <f t="shared" ref="Q22" si="86">F22*P22</f>
        <v>32691.810067114377</v>
      </c>
      <c r="R22">
        <f t="shared" ref="R22" si="87">R23+Q22</f>
        <v>14755618.192663411</v>
      </c>
      <c r="S22">
        <f t="shared" ref="S22" si="88">R22/100000</f>
        <v>147.55618192663411</v>
      </c>
      <c r="T22">
        <f t="shared" ref="T22" si="89">S22/1000</f>
        <v>0.14755618192663411</v>
      </c>
    </row>
    <row r="23" spans="1:20" x14ac:dyDescent="0.25">
      <c r="A23" s="5">
        <v>44570</v>
      </c>
      <c r="B23">
        <v>2.04</v>
      </c>
      <c r="C23">
        <v>2.2000000000000002</v>
      </c>
      <c r="D23">
        <v>2.0099999999999998</v>
      </c>
      <c r="E23">
        <v>2.052</v>
      </c>
      <c r="F23">
        <v>364994.3</v>
      </c>
      <c r="G23">
        <v>2.052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-0.55789473684210344</v>
      </c>
      <c r="Q23">
        <f t="shared" ref="Q23" si="91">F23*P23</f>
        <v>-203628.39894736776</v>
      </c>
      <c r="R23">
        <f t="shared" ref="R23" si="92">R24+Q23</f>
        <v>14722926.382596297</v>
      </c>
      <c r="S23">
        <f t="shared" ref="S23" si="93">R23/100000</f>
        <v>147.22926382596296</v>
      </c>
      <c r="T23">
        <f t="shared" ref="T23" si="94">S23/1000</f>
        <v>0.14722926382596296</v>
      </c>
    </row>
    <row r="24" spans="1:20" x14ac:dyDescent="0.25">
      <c r="A24" s="5">
        <v>44569</v>
      </c>
      <c r="B24">
        <v>2.125</v>
      </c>
      <c r="C24">
        <v>2.173</v>
      </c>
      <c r="D24">
        <v>1.958</v>
      </c>
      <c r="E24">
        <v>2.0449999999999999</v>
      </c>
      <c r="F24">
        <v>305027.71000000002</v>
      </c>
      <c r="G24">
        <v>2.0449999999999999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-0.19069767441860527</v>
      </c>
      <c r="Q24">
        <f t="shared" ref="Q24" si="96">F24*P24</f>
        <v>-58168.074930232753</v>
      </c>
      <c r="R24">
        <f t="shared" ref="R24" si="97">R25+Q24</f>
        <v>14926554.781543665</v>
      </c>
      <c r="S24">
        <f t="shared" ref="S24" si="98">R24/100000</f>
        <v>149.26554781543663</v>
      </c>
      <c r="T24">
        <f t="shared" ref="T24" si="99">S24/1000</f>
        <v>0.14926554781543663</v>
      </c>
    </row>
    <row r="25" spans="1:20" x14ac:dyDescent="0.25">
      <c r="A25" s="5">
        <v>44568</v>
      </c>
      <c r="B25">
        <v>2.141</v>
      </c>
      <c r="C25">
        <v>2.1970000000000001</v>
      </c>
      <c r="D25">
        <v>2.0129999999999999</v>
      </c>
      <c r="E25">
        <v>2.125</v>
      </c>
      <c r="F25">
        <v>366362.5</v>
      </c>
      <c r="G25">
        <v>2.125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0.21739130434782608</v>
      </c>
      <c r="Q25">
        <f t="shared" ref="Q25" si="101">F25*P25</f>
        <v>79644.021739130432</v>
      </c>
      <c r="R25">
        <f t="shared" ref="R25" si="102">R26+Q25</f>
        <v>14984722.856473897</v>
      </c>
      <c r="S25">
        <f t="shared" ref="S25" si="103">R25/100000</f>
        <v>149.84722856473897</v>
      </c>
      <c r="T25">
        <f t="shared" ref="T25" si="104">S25/1000</f>
        <v>0.14984722856473898</v>
      </c>
    </row>
    <row r="26" spans="1:20" x14ac:dyDescent="0.25">
      <c r="A26" s="5">
        <v>44567</v>
      </c>
      <c r="B26">
        <v>2.17</v>
      </c>
      <c r="C26">
        <v>2.3370000000000002</v>
      </c>
      <c r="D26">
        <v>2.0880000000000001</v>
      </c>
      <c r="E26">
        <v>2.141</v>
      </c>
      <c r="F26">
        <v>1100726.2</v>
      </c>
      <c r="G26">
        <v>2.141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-0.57429718875502078</v>
      </c>
      <c r="Q26">
        <f t="shared" ref="Q26" si="106">F26*P26</f>
        <v>-632143.96224899672</v>
      </c>
      <c r="R26">
        <f t="shared" ref="R26" si="107">R27+Q26</f>
        <v>14905078.834734766</v>
      </c>
      <c r="S26">
        <f t="shared" ref="S26" si="108">R26/100000</f>
        <v>149.05078834734766</v>
      </c>
      <c r="T26">
        <f t="shared" ref="T26" si="109">S26/1000</f>
        <v>0.14905078834734767</v>
      </c>
    </row>
    <row r="27" spans="1:20" x14ac:dyDescent="0.25">
      <c r="A27" s="5">
        <v>44566</v>
      </c>
      <c r="B27">
        <v>2.3290000000000002</v>
      </c>
      <c r="C27">
        <v>2.52</v>
      </c>
      <c r="D27">
        <v>2.1309999999999998</v>
      </c>
      <c r="E27">
        <v>2.17</v>
      </c>
      <c r="F27">
        <v>781945</v>
      </c>
      <c r="G27">
        <v>2.17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-0.79948586118251863</v>
      </c>
      <c r="Q27">
        <f t="shared" ref="Q27" si="111">F27*P27</f>
        <v>-625153.97172236454</v>
      </c>
      <c r="R27">
        <f t="shared" ref="R27" si="112">R28+Q27</f>
        <v>15537222.796983762</v>
      </c>
      <c r="S27">
        <f t="shared" ref="S27" si="113">R27/100000</f>
        <v>155.37222796983761</v>
      </c>
      <c r="T27">
        <f t="shared" ref="T27" si="114">S27/1000</f>
        <v>0.1553722279698376</v>
      </c>
    </row>
    <row r="28" spans="1:20" x14ac:dyDescent="0.25">
      <c r="A28" s="5">
        <v>44565</v>
      </c>
      <c r="B28">
        <v>2.3220000000000001</v>
      </c>
      <c r="C28">
        <v>2.4969999999999999</v>
      </c>
      <c r="D28">
        <v>2.2919999999999998</v>
      </c>
      <c r="E28">
        <v>2.3330000000000002</v>
      </c>
      <c r="F28">
        <v>888172.3</v>
      </c>
      <c r="G28">
        <v>2.3330000000000002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-0.59999999999999654</v>
      </c>
      <c r="Q28">
        <f t="shared" ref="Q28" si="116">F28*P28</f>
        <v>-532903.37999999698</v>
      </c>
      <c r="R28">
        <f t="shared" ref="R28" si="117">R29+Q28</f>
        <v>16162376.768706126</v>
      </c>
      <c r="S28">
        <f t="shared" ref="S28" si="118">R28/100000</f>
        <v>161.62376768706127</v>
      </c>
      <c r="T28">
        <f t="shared" ref="T28" si="119">S28/1000</f>
        <v>0.16162376768706127</v>
      </c>
    </row>
    <row r="29" spans="1:20" x14ac:dyDescent="0.25">
      <c r="A29" s="5">
        <v>44564</v>
      </c>
      <c r="B29">
        <v>2.4049999999999998</v>
      </c>
      <c r="C29">
        <v>2.585</v>
      </c>
      <c r="D29">
        <v>2.2879999999999998</v>
      </c>
      <c r="E29">
        <v>2.3279999999999998</v>
      </c>
      <c r="F29">
        <v>872993</v>
      </c>
      <c r="G29">
        <v>2.3279999999999998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-0.73063973063973053</v>
      </c>
      <c r="Q29">
        <f t="shared" ref="Q29" si="121">F29*P29</f>
        <v>-637843.37037037034</v>
      </c>
      <c r="R29">
        <f t="shared" ref="R29" si="122">R30+Q29</f>
        <v>16695280.148706123</v>
      </c>
      <c r="S29">
        <f t="shared" ref="S29" si="123">R29/100000</f>
        <v>166.95280148706124</v>
      </c>
      <c r="T29">
        <f t="shared" ref="T29" si="124">S29/1000</f>
        <v>0.16695280148706124</v>
      </c>
    </row>
    <row r="30" spans="1:20" x14ac:dyDescent="0.25">
      <c r="A30" s="5">
        <v>44563</v>
      </c>
      <c r="B30">
        <v>2.35</v>
      </c>
      <c r="C30">
        <v>2.4409999999999998</v>
      </c>
      <c r="D30">
        <v>2.3210000000000002</v>
      </c>
      <c r="E30">
        <v>2.4060000000000001</v>
      </c>
      <c r="F30">
        <v>228267.8</v>
      </c>
      <c r="G30">
        <v>2.4060000000000001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0.41666666666667007</v>
      </c>
      <c r="Q30">
        <f t="shared" ref="Q30" si="126">F30*P30</f>
        <v>95111.5833333341</v>
      </c>
      <c r="R30">
        <f t="shared" ref="R30" si="127">R31+Q30</f>
        <v>17333123.519076493</v>
      </c>
      <c r="S30">
        <f t="shared" ref="S30" si="128">R30/100000</f>
        <v>173.33123519076491</v>
      </c>
      <c r="T30">
        <f t="shared" ref="T30" si="129">S30/1000</f>
        <v>0.1733312351907649</v>
      </c>
    </row>
    <row r="31" spans="1:20" x14ac:dyDescent="0.25">
      <c r="A31" s="5">
        <v>44562</v>
      </c>
      <c r="B31">
        <v>2.3260000000000001</v>
      </c>
      <c r="C31">
        <v>2.3719999999999999</v>
      </c>
      <c r="D31">
        <v>2.3170000000000002</v>
      </c>
      <c r="E31">
        <v>2.35</v>
      </c>
      <c r="F31">
        <v>158089.20000000001</v>
      </c>
      <c r="G31">
        <v>2.35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0.20000000000000323</v>
      </c>
      <c r="Q31">
        <f t="shared" ref="Q31" si="131">F31*P31</f>
        <v>31617.840000000513</v>
      </c>
      <c r="R31">
        <f t="shared" ref="R31" si="132">R32+Q31</f>
        <v>17238011.935743157</v>
      </c>
      <c r="S31">
        <f t="shared" ref="S31" si="133">R31/100000</f>
        <v>172.38011935743157</v>
      </c>
      <c r="T31">
        <f t="shared" ref="T31" si="134">S31/1000</f>
        <v>0.17238011935743155</v>
      </c>
    </row>
    <row r="32" spans="1:20" x14ac:dyDescent="0.25">
      <c r="A32" s="5">
        <v>44561</v>
      </c>
      <c r="B32">
        <v>2.3919999999999999</v>
      </c>
      <c r="C32">
        <v>2.4660000000000002</v>
      </c>
      <c r="D32">
        <v>2.2909999999999999</v>
      </c>
      <c r="E32">
        <v>2.3290000000000002</v>
      </c>
      <c r="F32">
        <v>243832.6</v>
      </c>
      <c r="G32">
        <v>2.3290000000000002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-0.5657142857142835</v>
      </c>
      <c r="Q32">
        <f t="shared" ref="Q32" si="136">F32*P32</f>
        <v>-137939.58514285661</v>
      </c>
      <c r="R32">
        <f t="shared" ref="R32" si="137">R33+Q32</f>
        <v>17206394.095743157</v>
      </c>
      <c r="S32">
        <f t="shared" ref="S32" si="138">R32/100000</f>
        <v>172.06394095743158</v>
      </c>
      <c r="T32">
        <f t="shared" ref="T32" si="139">S32/1000</f>
        <v>0.17206394095743158</v>
      </c>
    </row>
    <row r="33" spans="1:20" x14ac:dyDescent="0.25">
      <c r="A33" s="5">
        <v>44560</v>
      </c>
      <c r="B33">
        <v>2.3260000000000001</v>
      </c>
      <c r="C33">
        <v>2.4500000000000002</v>
      </c>
      <c r="D33">
        <v>2.2879999999999998</v>
      </c>
      <c r="E33">
        <v>2.391</v>
      </c>
      <c r="F33">
        <v>287684.59999999998</v>
      </c>
      <c r="G33">
        <v>2.391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0.27160493827160459</v>
      </c>
      <c r="Q33">
        <f t="shared" ref="Q33" si="141">F33*P33</f>
        <v>78136.558024691258</v>
      </c>
      <c r="R33">
        <f t="shared" ref="R33" si="142">R34+Q33</f>
        <v>17344333.680886015</v>
      </c>
      <c r="S33">
        <f t="shared" ref="S33" si="143">R33/100000</f>
        <v>173.44333680886015</v>
      </c>
      <c r="T33">
        <f t="shared" ref="T33" si="144">S33/1000</f>
        <v>0.17344333680886015</v>
      </c>
    </row>
    <row r="34" spans="1:20" x14ac:dyDescent="0.25">
      <c r="A34" s="5">
        <v>44559</v>
      </c>
      <c r="B34">
        <v>2.4660000000000002</v>
      </c>
      <c r="C34">
        <v>2.59</v>
      </c>
      <c r="D34">
        <v>2.31</v>
      </c>
      <c r="E34">
        <v>2.3260000000000001</v>
      </c>
      <c r="F34">
        <v>509007.9</v>
      </c>
      <c r="G34">
        <v>2.3260000000000001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-0.88571428571428557</v>
      </c>
      <c r="Q34">
        <f t="shared" ref="Q34" si="146">F34*P34</f>
        <v>-450835.56857142854</v>
      </c>
      <c r="R34">
        <f t="shared" ref="R34" si="147">R35+Q34</f>
        <v>17266197.122861326</v>
      </c>
      <c r="S34">
        <f t="shared" ref="S34" si="148">R34/100000</f>
        <v>172.66197122861325</v>
      </c>
      <c r="T34">
        <f t="shared" ref="T34" si="149">S34/1000</f>
        <v>0.17266197122861326</v>
      </c>
    </row>
    <row r="35" spans="1:20" x14ac:dyDescent="0.25">
      <c r="A35" s="5">
        <v>44558</v>
      </c>
      <c r="B35">
        <v>2.5379999999999998</v>
      </c>
      <c r="C35">
        <v>2.552</v>
      </c>
      <c r="D35">
        <v>2.38</v>
      </c>
      <c r="E35">
        <v>2.4750000000000001</v>
      </c>
      <c r="F35">
        <v>615527.30000000005</v>
      </c>
      <c r="G35">
        <v>2.4750000000000001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0.10465116279069897</v>
      </c>
      <c r="Q35">
        <f t="shared" ref="Q35" si="151">F35*P35</f>
        <v>64415.647674419408</v>
      </c>
      <c r="R35">
        <f t="shared" ref="R35" si="152">R36+Q35</f>
        <v>17717032.691432755</v>
      </c>
      <c r="S35">
        <f t="shared" ref="S35" si="153">R35/100000</f>
        <v>177.17032691432755</v>
      </c>
      <c r="T35">
        <f t="shared" ref="T35" si="154">S35/1000</f>
        <v>0.17717032691432755</v>
      </c>
    </row>
    <row r="36" spans="1:20" x14ac:dyDescent="0.25">
      <c r="A36" s="5">
        <v>44557</v>
      </c>
      <c r="B36">
        <v>2.4940000000000002</v>
      </c>
      <c r="C36">
        <v>3.081</v>
      </c>
      <c r="D36">
        <v>2.4670000000000001</v>
      </c>
      <c r="E36">
        <v>2.5390000000000001</v>
      </c>
      <c r="F36">
        <v>1709006.5</v>
      </c>
      <c r="G36">
        <v>2.5390000000000001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-0.76547231270358285</v>
      </c>
      <c r="Q36">
        <f t="shared" ref="Q36" si="156">F36*P36</f>
        <v>-1308197.1579804556</v>
      </c>
      <c r="R36">
        <f t="shared" ref="R36" si="157">R37+Q36</f>
        <v>17652617.043758336</v>
      </c>
      <c r="S36">
        <f t="shared" ref="S36" si="158">R36/100000</f>
        <v>176.52617043758337</v>
      </c>
      <c r="T36">
        <f t="shared" ref="T36" si="159">S36/1000</f>
        <v>0.17652617043758337</v>
      </c>
    </row>
    <row r="37" spans="1:20" x14ac:dyDescent="0.25">
      <c r="A37" s="5">
        <v>44556</v>
      </c>
      <c r="B37">
        <v>2.468</v>
      </c>
      <c r="C37">
        <v>2.5310000000000001</v>
      </c>
      <c r="D37">
        <v>2.4039999999999999</v>
      </c>
      <c r="E37">
        <v>2.4900000000000002</v>
      </c>
      <c r="F37">
        <v>335101</v>
      </c>
      <c r="G37">
        <v>2.4900000000000002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0.35433070866141964</v>
      </c>
      <c r="Q37">
        <f t="shared" ref="Q37" si="161">F37*P37</f>
        <v>118736.57480315038</v>
      </c>
      <c r="R37">
        <f t="shared" ref="R37" si="162">R38+Q37</f>
        <v>18960814.201738793</v>
      </c>
      <c r="S37">
        <f t="shared" ref="S37" si="163">R37/100000</f>
        <v>189.60814201738793</v>
      </c>
      <c r="T37">
        <f t="shared" ref="T37" si="164">S37/1000</f>
        <v>0.18960814201738793</v>
      </c>
    </row>
    <row r="38" spans="1:20" x14ac:dyDescent="0.25">
      <c r="A38" s="5">
        <v>44555</v>
      </c>
      <c r="B38">
        <v>2.4750000000000001</v>
      </c>
      <c r="C38">
        <v>2.5760000000000001</v>
      </c>
      <c r="D38">
        <v>2.4380000000000002</v>
      </c>
      <c r="E38">
        <v>2.4660000000000002</v>
      </c>
      <c r="F38">
        <v>368618.6</v>
      </c>
      <c r="G38">
        <v>2.4660000000000002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-0.59420289855072395</v>
      </c>
      <c r="Q38">
        <f t="shared" ref="Q38" si="166">F38*P38</f>
        <v>-219034.24057970988</v>
      </c>
      <c r="R38">
        <f t="shared" ref="R38" si="167">R39+Q38</f>
        <v>18842077.626935642</v>
      </c>
      <c r="S38">
        <f t="shared" ref="S38" si="168">R38/100000</f>
        <v>188.42077626935642</v>
      </c>
      <c r="T38">
        <f t="shared" ref="T38" si="169">S38/1000</f>
        <v>0.18842077626935641</v>
      </c>
    </row>
    <row r="39" spans="1:20" x14ac:dyDescent="0.25">
      <c r="A39" s="5">
        <v>44554</v>
      </c>
      <c r="B39">
        <v>2.5190000000000001</v>
      </c>
      <c r="C39">
        <v>2.5710000000000002</v>
      </c>
      <c r="D39">
        <v>2.4620000000000002</v>
      </c>
      <c r="E39">
        <v>2.4750000000000001</v>
      </c>
      <c r="F39">
        <v>430140.1</v>
      </c>
      <c r="G39">
        <v>2.4750000000000001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-0.76146788990825864</v>
      </c>
      <c r="Q39">
        <f t="shared" ref="Q39" si="171">F39*P39</f>
        <v>-327537.87431192736</v>
      </c>
      <c r="R39">
        <f t="shared" ref="R39" si="172">R40+Q39</f>
        <v>19061111.867515352</v>
      </c>
      <c r="S39">
        <f t="shared" ref="S39" si="173">R39/100000</f>
        <v>190.61111867515351</v>
      </c>
      <c r="T39">
        <f t="shared" ref="T39" si="174">S39/1000</f>
        <v>0.19061111867515351</v>
      </c>
    </row>
    <row r="40" spans="1:20" x14ac:dyDescent="0.25">
      <c r="A40" s="5">
        <v>44553</v>
      </c>
      <c r="B40">
        <v>2.4009999999999998</v>
      </c>
      <c r="C40">
        <v>2.5499999999999998</v>
      </c>
      <c r="D40">
        <v>2.36</v>
      </c>
      <c r="E40">
        <v>2.5190000000000001</v>
      </c>
      <c r="F40">
        <v>546919.80000000005</v>
      </c>
      <c r="G40">
        <v>2.5190000000000001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0.67368421052631888</v>
      </c>
      <c r="Q40">
        <f t="shared" ref="Q40" si="176">F40*P40</f>
        <v>368451.23368421226</v>
      </c>
      <c r="R40">
        <f t="shared" ref="R40" si="177">R41+Q40</f>
        <v>19388649.741827279</v>
      </c>
      <c r="S40">
        <f t="shared" ref="S40" si="178">R40/100000</f>
        <v>193.8864974182728</v>
      </c>
      <c r="T40">
        <f t="shared" ref="T40" si="179">S40/1000</f>
        <v>0.1938864974182728</v>
      </c>
    </row>
    <row r="41" spans="1:20" x14ac:dyDescent="0.25">
      <c r="A41" s="5">
        <v>44552</v>
      </c>
      <c r="B41">
        <v>2.415</v>
      </c>
      <c r="C41">
        <v>2.4809999999999999</v>
      </c>
      <c r="D41">
        <v>2.3759999999999999</v>
      </c>
      <c r="E41">
        <v>2.4</v>
      </c>
      <c r="F41">
        <v>363346.8</v>
      </c>
      <c r="G41">
        <v>2.4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-0.54285714285714237</v>
      </c>
      <c r="Q41">
        <f t="shared" ref="Q41" si="181">F41*P41</f>
        <v>-197245.40571428553</v>
      </c>
      <c r="R41">
        <f t="shared" ref="R41" si="182">R42+Q41</f>
        <v>19020198.508143067</v>
      </c>
      <c r="S41">
        <f t="shared" ref="S41" si="183">R41/100000</f>
        <v>190.20198508143068</v>
      </c>
      <c r="T41">
        <f t="shared" ref="T41" si="184">S41/1000</f>
        <v>0.19020198508143069</v>
      </c>
    </row>
    <row r="42" spans="1:20" x14ac:dyDescent="0.25">
      <c r="A42" s="5">
        <v>44551</v>
      </c>
      <c r="B42">
        <v>2.2309999999999999</v>
      </c>
      <c r="C42">
        <v>2.4180000000000001</v>
      </c>
      <c r="D42">
        <v>2.1880000000000002</v>
      </c>
      <c r="E42">
        <v>2.4089999999999998</v>
      </c>
      <c r="F42">
        <v>369706.5</v>
      </c>
      <c r="G42">
        <v>2.4089999999999998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0.92173913043477962</v>
      </c>
      <c r="Q42">
        <f t="shared" ref="Q42" si="186">F42*P42</f>
        <v>340772.94782608585</v>
      </c>
      <c r="R42">
        <f t="shared" ref="R42" si="187">R43+Q42</f>
        <v>19217443.913857352</v>
      </c>
      <c r="S42">
        <f t="shared" ref="S42" si="188">R42/100000</f>
        <v>192.17443913857352</v>
      </c>
      <c r="T42">
        <f t="shared" ref="T42" si="189">S42/1000</f>
        <v>0.19217443913857352</v>
      </c>
    </row>
    <row r="43" spans="1:20" x14ac:dyDescent="0.25">
      <c r="A43" s="5">
        <v>44550</v>
      </c>
      <c r="B43">
        <v>2.2850000000000001</v>
      </c>
      <c r="C43">
        <v>2.319</v>
      </c>
      <c r="D43">
        <v>2.16</v>
      </c>
      <c r="E43">
        <v>2.2309999999999999</v>
      </c>
      <c r="F43">
        <v>240965.6</v>
      </c>
      <c r="G43">
        <v>2.2309999999999999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-0.10691823899371301</v>
      </c>
      <c r="Q43">
        <f t="shared" ref="Q43" si="191">F43*P43</f>
        <v>-25763.617610063455</v>
      </c>
      <c r="R43">
        <f t="shared" ref="R43" si="192">R44+Q43</f>
        <v>18876670.966031265</v>
      </c>
      <c r="S43">
        <f t="shared" ref="S43" si="193">R43/100000</f>
        <v>188.76670966031264</v>
      </c>
      <c r="T43">
        <f t="shared" ref="T43" si="194">S43/1000</f>
        <v>0.18876670966031264</v>
      </c>
    </row>
    <row r="44" spans="1:20" x14ac:dyDescent="0.25">
      <c r="A44" s="5">
        <v>44549</v>
      </c>
      <c r="B44">
        <v>2.3090000000000002</v>
      </c>
      <c r="C44">
        <v>2.343</v>
      </c>
      <c r="D44">
        <v>2.27</v>
      </c>
      <c r="E44">
        <v>2.278</v>
      </c>
      <c r="F44">
        <v>130415.3</v>
      </c>
      <c r="G44">
        <v>2.278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-0.78082191780821886</v>
      </c>
      <c r="Q44">
        <f t="shared" ref="Q44" si="196">F44*P44</f>
        <v>-101831.12465753421</v>
      </c>
      <c r="R44">
        <f t="shared" ref="R44" si="197">R45+Q44</f>
        <v>18902434.583641328</v>
      </c>
      <c r="S44">
        <f t="shared" ref="S44" si="198">R44/100000</f>
        <v>189.02434583641329</v>
      </c>
      <c r="T44">
        <f t="shared" ref="T44" si="199">S44/1000</f>
        <v>0.18902434583641328</v>
      </c>
    </row>
    <row r="45" spans="1:20" x14ac:dyDescent="0.25">
      <c r="A45" s="5">
        <v>44548</v>
      </c>
      <c r="B45">
        <v>2.274</v>
      </c>
      <c r="C45">
        <v>2.3740000000000001</v>
      </c>
      <c r="D45">
        <v>2.2240000000000002</v>
      </c>
      <c r="E45">
        <v>2.31</v>
      </c>
      <c r="F45">
        <v>212623</v>
      </c>
      <c r="G45">
        <v>2.31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0.14666666666666539</v>
      </c>
      <c r="Q45">
        <f t="shared" ref="Q45" si="201">F45*P45</f>
        <v>31184.706666666396</v>
      </c>
      <c r="R45">
        <f t="shared" ref="R45" si="202">R46+Q45</f>
        <v>19004265.708298862</v>
      </c>
      <c r="S45">
        <f t="shared" ref="S45" si="203">R45/100000</f>
        <v>190.04265708298863</v>
      </c>
      <c r="T45">
        <f t="shared" ref="T45" si="204">S45/1000</f>
        <v>0.19004265708298862</v>
      </c>
    </row>
    <row r="46" spans="1:20" x14ac:dyDescent="0.25">
      <c r="A46" s="5">
        <v>44547</v>
      </c>
      <c r="B46">
        <v>2.3679999999999999</v>
      </c>
      <c r="C46">
        <v>2.4430000000000001</v>
      </c>
      <c r="D46">
        <v>2.202</v>
      </c>
      <c r="E46">
        <v>2.2759999999999998</v>
      </c>
      <c r="F46">
        <v>494903.5</v>
      </c>
      <c r="G46">
        <v>2.2759999999999998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-0.38589211618257419</v>
      </c>
      <c r="Q46">
        <f t="shared" ref="Q46" si="206">F46*P46</f>
        <v>-190979.35892116261</v>
      </c>
      <c r="R46">
        <f t="shared" ref="R46" si="207">R47+Q46</f>
        <v>18973081.001632195</v>
      </c>
      <c r="S46">
        <f t="shared" ref="S46" si="208">R46/100000</f>
        <v>189.73081001632195</v>
      </c>
      <c r="T46">
        <f t="shared" ref="T46" si="209">S46/1000</f>
        <v>0.18973081001632194</v>
      </c>
    </row>
    <row r="47" spans="1:20" x14ac:dyDescent="0.25">
      <c r="A47" s="5">
        <v>44546</v>
      </c>
      <c r="B47">
        <v>2.4049999999999998</v>
      </c>
      <c r="C47">
        <v>2.528</v>
      </c>
      <c r="D47">
        <v>2.3679999999999999</v>
      </c>
      <c r="E47">
        <v>2.3679999999999999</v>
      </c>
      <c r="F47">
        <v>278493</v>
      </c>
      <c r="G47">
        <v>2.3679999999999999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-1</v>
      </c>
      <c r="Q47">
        <f t="shared" ref="Q47" si="211">F47*P47</f>
        <v>-278493</v>
      </c>
      <c r="R47">
        <f t="shared" ref="R47" si="212">R48+Q47</f>
        <v>19164060.360553358</v>
      </c>
      <c r="S47">
        <f t="shared" ref="S47" si="213">R47/100000</f>
        <v>191.64060360553358</v>
      </c>
      <c r="T47">
        <f t="shared" ref="T47" si="214">S47/1000</f>
        <v>0.19164060360553359</v>
      </c>
    </row>
    <row r="48" spans="1:20" x14ac:dyDescent="0.25">
      <c r="A48" s="5">
        <v>44545</v>
      </c>
      <c r="B48">
        <v>2.3460000000000001</v>
      </c>
      <c r="C48">
        <v>2.4700000000000002</v>
      </c>
      <c r="D48">
        <v>2.2320000000000002</v>
      </c>
      <c r="E48">
        <v>2.403</v>
      </c>
      <c r="F48">
        <v>429353.3</v>
      </c>
      <c r="G48">
        <v>2.403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0.43697478991596495</v>
      </c>
      <c r="Q48">
        <f t="shared" ref="Q48" si="216">F48*P48</f>
        <v>187616.56806722627</v>
      </c>
      <c r="R48">
        <f t="shared" ref="R48" si="217">R49+Q48</f>
        <v>19442553.360553358</v>
      </c>
      <c r="S48">
        <f t="shared" ref="S48" si="218">R48/100000</f>
        <v>194.42553360553359</v>
      </c>
      <c r="T48">
        <f t="shared" ref="T48" si="219">S48/1000</f>
        <v>0.19442553360553358</v>
      </c>
    </row>
    <row r="49" spans="1:20" x14ac:dyDescent="0.25">
      <c r="A49" s="5">
        <v>44544</v>
      </c>
      <c r="B49">
        <v>2.2549999999999999</v>
      </c>
      <c r="C49">
        <v>2.4409999999999998</v>
      </c>
      <c r="D49">
        <v>2.2170000000000001</v>
      </c>
      <c r="E49">
        <v>2.3410000000000002</v>
      </c>
      <c r="F49">
        <v>1316779.3999999999</v>
      </c>
      <c r="G49">
        <v>2.3410000000000002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0.10714285714285934</v>
      </c>
      <c r="Q49">
        <f t="shared" ref="Q49" si="221">F49*P49</f>
        <v>141083.50714286003</v>
      </c>
      <c r="R49">
        <f t="shared" ref="R49" si="222">R50+Q49</f>
        <v>19254936.792486131</v>
      </c>
      <c r="S49">
        <f t="shared" ref="S49" si="223">R49/100000</f>
        <v>192.54936792486131</v>
      </c>
      <c r="T49">
        <f t="shared" ref="T49" si="224">S49/1000</f>
        <v>0.19254936792486133</v>
      </c>
    </row>
    <row r="50" spans="1:20" x14ac:dyDescent="0.25">
      <c r="A50" s="5">
        <v>44543</v>
      </c>
      <c r="B50">
        <v>2.472</v>
      </c>
      <c r="C50">
        <v>2.484</v>
      </c>
      <c r="D50">
        <v>2.1459999999999999</v>
      </c>
      <c r="E50">
        <v>2.2629999999999999</v>
      </c>
      <c r="F50">
        <v>1678554.37</v>
      </c>
      <c r="G50">
        <v>2.2629999999999999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-0.30769230769230788</v>
      </c>
      <c r="Q50">
        <f t="shared" ref="Q50" si="226">F50*P50</f>
        <v>-516478.26769230806</v>
      </c>
      <c r="R50">
        <f t="shared" ref="R50" si="227">R51+Q50</f>
        <v>19113853.285343271</v>
      </c>
      <c r="S50">
        <f t="shared" ref="S50" si="228">R50/100000</f>
        <v>191.13853285343271</v>
      </c>
      <c r="T50">
        <f t="shared" ref="T50" si="229">S50/1000</f>
        <v>0.19113853285343271</v>
      </c>
    </row>
    <row r="51" spans="1:20" x14ac:dyDescent="0.25">
      <c r="A51" s="5">
        <v>44542</v>
      </c>
      <c r="B51">
        <v>2.4830000000000001</v>
      </c>
      <c r="C51">
        <v>2.75</v>
      </c>
      <c r="D51">
        <v>2.379</v>
      </c>
      <c r="E51">
        <v>2.4780000000000002</v>
      </c>
      <c r="F51">
        <v>2249307.2999999998</v>
      </c>
      <c r="G51">
        <v>2.4780000000000002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-0.46630727762803126</v>
      </c>
      <c r="Q51">
        <f t="shared" ref="Q51" si="231">F51*P51</f>
        <v>-1048868.3636118574</v>
      </c>
      <c r="R51">
        <f t="shared" ref="R51" si="232">R52+Q51</f>
        <v>19630331.55303558</v>
      </c>
      <c r="S51">
        <f t="shared" ref="S51" si="233">R51/100000</f>
        <v>196.3033155303558</v>
      </c>
      <c r="T51">
        <f t="shared" ref="T51" si="234">S51/1000</f>
        <v>0.19630331553035579</v>
      </c>
    </row>
    <row r="52" spans="1:20" x14ac:dyDescent="0.25">
      <c r="A52" s="5">
        <v>44541</v>
      </c>
      <c r="B52">
        <v>2.379</v>
      </c>
      <c r="C52">
        <v>2.411</v>
      </c>
      <c r="D52">
        <v>2.339</v>
      </c>
      <c r="E52">
        <v>2.3980000000000001</v>
      </c>
      <c r="F52">
        <v>28029.8</v>
      </c>
      <c r="G52">
        <v>2.3980000000000001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0.63888888888889195</v>
      </c>
      <c r="Q52">
        <f t="shared" ref="Q52" si="236">F52*P52</f>
        <v>17907.927777777863</v>
      </c>
      <c r="R52">
        <f t="shared" ref="R52" si="237">R53+Q52</f>
        <v>20679199.916647438</v>
      </c>
      <c r="S52">
        <f t="shared" ref="S52" si="238">R52/100000</f>
        <v>206.79199916647437</v>
      </c>
      <c r="T52">
        <f t="shared" ref="T52" si="239">S52/1000</f>
        <v>0.20679199916647437</v>
      </c>
    </row>
    <row r="53" spans="1:20" x14ac:dyDescent="0.25">
      <c r="A53" s="5">
        <v>44540</v>
      </c>
      <c r="B53">
        <v>2.577</v>
      </c>
      <c r="C53">
        <v>2.7050000000000001</v>
      </c>
      <c r="D53">
        <v>2.3610000000000002</v>
      </c>
      <c r="E53">
        <v>2.38</v>
      </c>
      <c r="F53">
        <v>746594.6</v>
      </c>
      <c r="G53">
        <v>2.38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-0.88953488372093203</v>
      </c>
      <c r="Q53">
        <f t="shared" ref="Q53" si="241">F53*P53</f>
        <v>-664121.94069767569</v>
      </c>
      <c r="R53">
        <f t="shared" ref="R53" si="242">R54+Q53</f>
        <v>20661291.98886966</v>
      </c>
      <c r="S53">
        <f t="shared" ref="S53" si="243">R53/100000</f>
        <v>206.61291988869661</v>
      </c>
      <c r="T53">
        <f t="shared" ref="T53" si="244">S53/1000</f>
        <v>0.20661291988869662</v>
      </c>
    </row>
    <row r="54" spans="1:20" x14ac:dyDescent="0.25">
      <c r="A54" s="5">
        <v>44539</v>
      </c>
      <c r="B54">
        <v>2.8519999999999999</v>
      </c>
      <c r="C54">
        <v>2.9249999999999998</v>
      </c>
      <c r="D54">
        <v>2.5659999999999998</v>
      </c>
      <c r="E54">
        <v>2.577</v>
      </c>
      <c r="F54">
        <v>444593.4</v>
      </c>
      <c r="G54">
        <v>2.577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-0.93871866295264561</v>
      </c>
      <c r="Q54">
        <f t="shared" ref="Q54" si="246">F54*P54</f>
        <v>-417348.1220055708</v>
      </c>
      <c r="R54">
        <f t="shared" ref="R54" si="247">R55+Q54</f>
        <v>21325413.929567337</v>
      </c>
      <c r="S54">
        <f t="shared" ref="S54" si="248">R54/100000</f>
        <v>213.25413929567338</v>
      </c>
      <c r="T54">
        <f t="shared" ref="T54" si="249">S54/1000</f>
        <v>0.21325413929567338</v>
      </c>
    </row>
    <row r="55" spans="1:20" x14ac:dyDescent="0.25">
      <c r="A55" s="5">
        <v>44538</v>
      </c>
      <c r="B55">
        <v>2.7480000000000002</v>
      </c>
      <c r="C55">
        <v>3.0430000000000001</v>
      </c>
      <c r="D55">
        <v>2.7210000000000001</v>
      </c>
      <c r="E55">
        <v>2.847</v>
      </c>
      <c r="F55">
        <v>665607.30000000005</v>
      </c>
      <c r="G55">
        <v>2.847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-0.21739130434782691</v>
      </c>
      <c r="Q55">
        <f t="shared" ref="Q55" si="251">F55*P55</f>
        <v>-144697.23913043534</v>
      </c>
      <c r="R55">
        <f t="shared" ref="R55" si="252">R56+Q55</f>
        <v>21742762.051572908</v>
      </c>
      <c r="S55">
        <f t="shared" ref="S55" si="253">R55/100000</f>
        <v>217.42762051572907</v>
      </c>
      <c r="T55">
        <f t="shared" ref="T55" si="254">S55/1000</f>
        <v>0.21742762051572909</v>
      </c>
    </row>
    <row r="56" spans="1:20" x14ac:dyDescent="0.25">
      <c r="A56" s="5">
        <v>44537</v>
      </c>
      <c r="B56">
        <v>2.7650000000000001</v>
      </c>
      <c r="C56">
        <v>2.8879999999999999</v>
      </c>
      <c r="D56">
        <v>2.6880000000000002</v>
      </c>
      <c r="E56">
        <v>2.7490000000000001</v>
      </c>
      <c r="F56">
        <v>439515.2</v>
      </c>
      <c r="G56">
        <v>2.7490000000000001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-0.38999999999999974</v>
      </c>
      <c r="Q56">
        <f t="shared" ref="Q56" si="256">F56*P56</f>
        <v>-171410.9279999999</v>
      </c>
      <c r="R56">
        <f t="shared" ref="R56" si="257">R57+Q56</f>
        <v>21887459.290703341</v>
      </c>
      <c r="S56">
        <f t="shared" ref="S56" si="258">R56/100000</f>
        <v>218.87459290703342</v>
      </c>
      <c r="T56">
        <f t="shared" ref="T56" si="259">S56/1000</f>
        <v>0.21887459290703343</v>
      </c>
    </row>
    <row r="57" spans="1:20" x14ac:dyDescent="0.25">
      <c r="A57" s="5">
        <v>44536</v>
      </c>
      <c r="B57">
        <v>2.6070000000000002</v>
      </c>
      <c r="C57">
        <v>2.79</v>
      </c>
      <c r="D57">
        <v>2.3679999999999999</v>
      </c>
      <c r="E57">
        <v>2.7530000000000001</v>
      </c>
      <c r="F57">
        <v>890958.4</v>
      </c>
      <c r="G57">
        <v>2.7530000000000001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0.82464454976303359</v>
      </c>
      <c r="Q57">
        <f t="shared" ref="Q57" si="261">F57*P57</f>
        <v>734723.98862559278</v>
      </c>
      <c r="R57">
        <f t="shared" ref="R57" si="262">R58+Q57</f>
        <v>22058870.218703341</v>
      </c>
      <c r="S57">
        <f t="shared" ref="S57" si="263">R57/100000</f>
        <v>220.58870218703342</v>
      </c>
      <c r="T57">
        <f t="shared" ref="T57" si="264">S57/1000</f>
        <v>0.22058870218703341</v>
      </c>
    </row>
    <row r="58" spans="1:20" x14ac:dyDescent="0.25">
      <c r="A58" s="5">
        <v>44535</v>
      </c>
      <c r="B58">
        <v>2.8940000000000001</v>
      </c>
      <c r="C58">
        <v>2.9540000000000002</v>
      </c>
      <c r="D58">
        <v>2.5</v>
      </c>
      <c r="E58">
        <v>2.6070000000000002</v>
      </c>
      <c r="F58">
        <v>915293.7</v>
      </c>
      <c r="G58">
        <v>2.6070000000000002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-0.52863436123347951</v>
      </c>
      <c r="Q58">
        <f t="shared" ref="Q58" si="266">F58*P58</f>
        <v>-483855.70044052799</v>
      </c>
      <c r="R58">
        <f t="shared" ref="R58" si="267">R59+Q58</f>
        <v>21324146.230077747</v>
      </c>
      <c r="S58">
        <f t="shared" ref="S58" si="268">R58/100000</f>
        <v>213.24146230077747</v>
      </c>
      <c r="T58">
        <f t="shared" ref="T58" si="269">S58/1000</f>
        <v>0.21324146230077748</v>
      </c>
    </row>
    <row r="59" spans="1:20" x14ac:dyDescent="0.25">
      <c r="A59" s="5">
        <v>44534</v>
      </c>
      <c r="B59">
        <v>3.3740000000000001</v>
      </c>
      <c r="C59">
        <v>3.3809999999999998</v>
      </c>
      <c r="D59">
        <v>2.4169999999999998</v>
      </c>
      <c r="E59">
        <v>2.891</v>
      </c>
      <c r="F59">
        <v>1391504.8</v>
      </c>
      <c r="G59">
        <v>2.891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-1.6597510373443539E-2</v>
      </c>
      <c r="Q59">
        <f t="shared" ref="Q59" si="271">F59*P59</f>
        <v>-23095.515352696479</v>
      </c>
      <c r="R59">
        <f t="shared" ref="R59" si="272">R60+Q59</f>
        <v>21808001.930518277</v>
      </c>
      <c r="S59">
        <f t="shared" ref="S59" si="273">R59/100000</f>
        <v>218.08001930518276</v>
      </c>
      <c r="T59">
        <f t="shared" ref="T59" si="274">S59/1000</f>
        <v>0.21808001930518275</v>
      </c>
    </row>
    <row r="60" spans="1:20" x14ac:dyDescent="0.25">
      <c r="A60" s="5">
        <v>44533</v>
      </c>
      <c r="B60">
        <v>3.5609999999999999</v>
      </c>
      <c r="C60">
        <v>3.6349999999999998</v>
      </c>
      <c r="D60">
        <v>3.2309999999999999</v>
      </c>
      <c r="E60">
        <v>3.3759999999999999</v>
      </c>
      <c r="F60">
        <v>1577886.9</v>
      </c>
      <c r="G60">
        <v>3.3759999999999999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-0.28217821782178193</v>
      </c>
      <c r="Q60">
        <f t="shared" ref="Q60" si="276">F60*P60</f>
        <v>-445245.31336633622</v>
      </c>
      <c r="R60">
        <f t="shared" ref="R60" si="277">R61+Q60</f>
        <v>21831097.445870973</v>
      </c>
      <c r="S60">
        <f t="shared" ref="S60" si="278">R60/100000</f>
        <v>218.31097445870972</v>
      </c>
      <c r="T60">
        <f t="shared" ref="T60" si="279">S60/1000</f>
        <v>0.21831097445870973</v>
      </c>
    </row>
    <row r="61" spans="1:20" x14ac:dyDescent="0.25">
      <c r="A61" s="5">
        <v>44532</v>
      </c>
      <c r="B61">
        <v>3.7</v>
      </c>
      <c r="C61">
        <v>4.585</v>
      </c>
      <c r="D61">
        <v>3.5129999999999999</v>
      </c>
      <c r="E61">
        <v>3.5609999999999999</v>
      </c>
      <c r="F61">
        <v>5327075.4000000004</v>
      </c>
      <c r="G61">
        <v>3.5609999999999999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-0.91044776119402981</v>
      </c>
      <c r="Q61">
        <f t="shared" ref="Q61" si="281">F61*P61</f>
        <v>-4850023.8716417914</v>
      </c>
      <c r="R61">
        <f t="shared" ref="R61" si="282">R62+Q61</f>
        <v>22276342.759237308</v>
      </c>
      <c r="S61">
        <f t="shared" ref="S61" si="283">R61/100000</f>
        <v>222.76342759237309</v>
      </c>
      <c r="T61">
        <f t="shared" ref="T61" si="284">S61/1000</f>
        <v>0.22276342759237308</v>
      </c>
    </row>
    <row r="62" spans="1:20" x14ac:dyDescent="0.25">
      <c r="A62" s="5">
        <v>44531</v>
      </c>
      <c r="B62">
        <v>3.4910000000000001</v>
      </c>
      <c r="C62">
        <v>3.7480000000000002</v>
      </c>
      <c r="D62">
        <v>3.4039999999999999</v>
      </c>
      <c r="E62">
        <v>3.7</v>
      </c>
      <c r="F62">
        <v>751463.9</v>
      </c>
      <c r="G62">
        <v>3.7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0.72093023255813948</v>
      </c>
      <c r="Q62">
        <f t="shared" ref="Q62" si="286">F62*P62</f>
        <v>541753.04418604646</v>
      </c>
      <c r="R62">
        <f t="shared" ref="R62" si="287">R63+Q62</f>
        <v>27126366.6308791</v>
      </c>
      <c r="S62">
        <f t="shared" ref="S62" si="288">R62/100000</f>
        <v>271.26366630879102</v>
      </c>
      <c r="T62">
        <f t="shared" ref="T62" si="289">S62/1000</f>
        <v>0.27126366630879101</v>
      </c>
    </row>
    <row r="63" spans="1:20" x14ac:dyDescent="0.25">
      <c r="A63" s="5">
        <v>44530</v>
      </c>
      <c r="B63">
        <v>3.5489999999999999</v>
      </c>
      <c r="C63">
        <v>3.589</v>
      </c>
      <c r="D63">
        <v>3.3740000000000001</v>
      </c>
      <c r="E63">
        <v>3.4910000000000001</v>
      </c>
      <c r="F63">
        <v>730257.2</v>
      </c>
      <c r="G63">
        <v>3.4910000000000001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8.8372093023256465E-2</v>
      </c>
      <c r="Q63">
        <f t="shared" ref="Q63" si="291">F63*P63</f>
        <v>64534.357209302798</v>
      </c>
      <c r="R63">
        <f t="shared" ref="R63" si="292">R64+Q63</f>
        <v>26584613.586693052</v>
      </c>
      <c r="S63">
        <f t="shared" ref="S63" si="293">R63/100000</f>
        <v>265.84613586693052</v>
      </c>
      <c r="T63">
        <f t="shared" ref="T63" si="294">S63/1000</f>
        <v>0.26584613586693051</v>
      </c>
    </row>
    <row r="64" spans="1:20" x14ac:dyDescent="0.25">
      <c r="A64" s="5">
        <v>44529</v>
      </c>
      <c r="B64">
        <v>3.5859999999999999</v>
      </c>
      <c r="C64">
        <v>3.6659999999999999</v>
      </c>
      <c r="D64">
        <v>3.5449999999999999</v>
      </c>
      <c r="E64">
        <v>3.5539999999999998</v>
      </c>
      <c r="F64">
        <v>427772.2</v>
      </c>
      <c r="G64">
        <v>3.5539999999999998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-0.85123966942148932</v>
      </c>
      <c r="Q64">
        <f t="shared" ref="Q64" si="296">F64*P64</f>
        <v>-364136.66611570324</v>
      </c>
      <c r="R64">
        <f t="shared" ref="R64" si="297">R65+Q64</f>
        <v>26520079.22948375</v>
      </c>
      <c r="S64">
        <f t="shared" ref="S64" si="298">R64/100000</f>
        <v>265.20079229483747</v>
      </c>
      <c r="T64">
        <f t="shared" ref="T64" si="299">S64/1000</f>
        <v>0.26520079229483745</v>
      </c>
    </row>
    <row r="65" spans="1:20" x14ac:dyDescent="0.25">
      <c r="A65" s="5">
        <v>44528</v>
      </c>
      <c r="B65">
        <v>3.6850000000000001</v>
      </c>
      <c r="C65">
        <v>3.7010000000000001</v>
      </c>
      <c r="D65">
        <v>3.3050000000000002</v>
      </c>
      <c r="E65">
        <v>3.57</v>
      </c>
      <c r="F65">
        <v>812783.6</v>
      </c>
      <c r="G65">
        <v>3.57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0.33838383838383707</v>
      </c>
      <c r="Q65">
        <f t="shared" ref="Q65" si="301">F65*P65</f>
        <v>275032.83434343326</v>
      </c>
      <c r="R65">
        <f t="shared" ref="R65" si="302">R66+Q65</f>
        <v>26884215.895599455</v>
      </c>
      <c r="S65">
        <f t="shared" ref="S65" si="303">R65/100000</f>
        <v>268.84215895599453</v>
      </c>
      <c r="T65">
        <f t="shared" ref="T65" si="304">S65/1000</f>
        <v>0.26884215895599456</v>
      </c>
    </row>
    <row r="66" spans="1:20" x14ac:dyDescent="0.25">
      <c r="A66" s="5">
        <v>44527</v>
      </c>
      <c r="B66">
        <v>3.508</v>
      </c>
      <c r="C66">
        <v>3.903</v>
      </c>
      <c r="D66">
        <v>3.508</v>
      </c>
      <c r="E66">
        <v>3.68</v>
      </c>
      <c r="F66">
        <v>773107.6</v>
      </c>
      <c r="G66">
        <v>3.68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-0.12911392405063218</v>
      </c>
      <c r="Q66">
        <f t="shared" ref="Q66" si="306">F66*P66</f>
        <v>-99818.955949366529</v>
      </c>
      <c r="R66">
        <f t="shared" ref="R66" si="307">R67+Q66</f>
        <v>26609183.061256021</v>
      </c>
      <c r="S66">
        <f t="shared" ref="S66" si="308">R66/100000</f>
        <v>266.09183061256022</v>
      </c>
      <c r="T66">
        <f t="shared" ref="T66" si="309">S66/1000</f>
        <v>0.2660918306125602</v>
      </c>
    </row>
    <row r="67" spans="1:20" x14ac:dyDescent="0.25">
      <c r="A67" s="5">
        <v>44526</v>
      </c>
      <c r="B67">
        <v>4.1210000000000004</v>
      </c>
      <c r="C67">
        <v>4.5</v>
      </c>
      <c r="D67">
        <v>3.4860000000000002</v>
      </c>
      <c r="E67">
        <v>3.492</v>
      </c>
      <c r="F67">
        <v>1769823.5</v>
      </c>
      <c r="G67">
        <v>3.492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-0.98816568047337316</v>
      </c>
      <c r="Q67">
        <f t="shared" ref="Q67" si="311">F67*P67</f>
        <v>-1748878.843195267</v>
      </c>
      <c r="R67">
        <f t="shared" ref="R67" si="312">R68+Q67</f>
        <v>26709002.017205387</v>
      </c>
      <c r="S67">
        <f t="shared" ref="S67" si="313">R67/100000</f>
        <v>267.09002017205387</v>
      </c>
      <c r="T67">
        <f t="shared" ref="T67" si="314">S67/1000</f>
        <v>0.26709002017205385</v>
      </c>
    </row>
    <row r="68" spans="1:20" x14ac:dyDescent="0.25">
      <c r="A68" s="5">
        <v>44525</v>
      </c>
      <c r="B68">
        <v>3.4630000000000001</v>
      </c>
      <c r="C68">
        <v>4.4550000000000001</v>
      </c>
      <c r="D68">
        <v>3.4359999999999999</v>
      </c>
      <c r="E68">
        <v>4.1109999999999998</v>
      </c>
      <c r="F68">
        <v>3388238.7</v>
      </c>
      <c r="G68">
        <v>4.1109999999999998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0.32482826300294354</v>
      </c>
      <c r="Q68">
        <f t="shared" ref="Q68" si="316">F68*P68</f>
        <v>1100595.6915603515</v>
      </c>
      <c r="R68">
        <f t="shared" ref="R68" si="317">R69+Q68</f>
        <v>28457880.860400654</v>
      </c>
      <c r="S68">
        <f t="shared" ref="S68" si="318">R68/100000</f>
        <v>284.57880860400655</v>
      </c>
      <c r="T68">
        <f t="shared" ref="T68" si="319">S68/1000</f>
        <v>0.28457880860400653</v>
      </c>
    </row>
    <row r="69" spans="1:20" x14ac:dyDescent="0.25">
      <c r="A69" s="5">
        <v>44524</v>
      </c>
      <c r="B69">
        <v>3.4</v>
      </c>
      <c r="C69">
        <v>3.4209999999999998</v>
      </c>
      <c r="D69">
        <v>3.2919999999999998</v>
      </c>
      <c r="E69">
        <v>3.3</v>
      </c>
      <c r="F69">
        <v>159146.9</v>
      </c>
      <c r="G69">
        <v>3.3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-0.87596899224806191</v>
      </c>
      <c r="Q69">
        <f t="shared" ref="Q69" si="321">F69*P69</f>
        <v>-139407.74961240307</v>
      </c>
      <c r="R69">
        <f t="shared" ref="R69" si="322">R70+Q69</f>
        <v>27357285.168840304</v>
      </c>
      <c r="S69">
        <f t="shared" ref="S69" si="323">R69/100000</f>
        <v>273.57285168840303</v>
      </c>
      <c r="T69">
        <f t="shared" ref="T69" si="324">S69/1000</f>
        <v>0.27357285168840301</v>
      </c>
    </row>
    <row r="70" spans="1:20" x14ac:dyDescent="0.25">
      <c r="A70" s="5">
        <v>44523</v>
      </c>
      <c r="B70">
        <v>3.4550000000000001</v>
      </c>
      <c r="C70">
        <v>3.7</v>
      </c>
      <c r="D70">
        <v>3.3889999999999998</v>
      </c>
      <c r="E70">
        <v>3.4</v>
      </c>
      <c r="F70">
        <v>633437.9</v>
      </c>
      <c r="G70">
        <v>3.4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-0.92926045016077097</v>
      </c>
      <c r="Q70">
        <f t="shared" ref="Q70" si="326">F70*P70</f>
        <v>-588628.78810289339</v>
      </c>
      <c r="R70">
        <f t="shared" ref="R70" si="327">R71+Q70</f>
        <v>27496692.918452706</v>
      </c>
      <c r="S70">
        <f t="shared" ref="S70" si="328">R70/100000</f>
        <v>274.96692918452709</v>
      </c>
      <c r="T70">
        <f t="shared" ref="T70" si="329">S70/1000</f>
        <v>0.27496692918452709</v>
      </c>
    </row>
    <row r="71" spans="1:20" x14ac:dyDescent="0.25">
      <c r="A71" s="5">
        <v>44522</v>
      </c>
      <c r="B71">
        <v>3.363</v>
      </c>
      <c r="C71">
        <v>3.6480000000000001</v>
      </c>
      <c r="D71">
        <v>3.3260000000000001</v>
      </c>
      <c r="E71">
        <v>3.4449999999999998</v>
      </c>
      <c r="F71">
        <v>713207.7</v>
      </c>
      <c r="G71">
        <v>3.4449999999999998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-0.26086956521739285</v>
      </c>
      <c r="Q71">
        <f t="shared" ref="Q71" si="331">F71*P71</f>
        <v>-186054.18260869675</v>
      </c>
      <c r="R71">
        <f t="shared" ref="R71" si="332">R72+Q71</f>
        <v>28085321.706555601</v>
      </c>
      <c r="S71">
        <f t="shared" ref="S71" si="333">R71/100000</f>
        <v>280.85321706555601</v>
      </c>
      <c r="T71">
        <f t="shared" ref="T71" si="334">S71/1000</f>
        <v>0.28085321706555599</v>
      </c>
    </row>
    <row r="72" spans="1:20" x14ac:dyDescent="0.25">
      <c r="A72" s="5">
        <v>44521</v>
      </c>
      <c r="B72">
        <v>3.4460000000000002</v>
      </c>
      <c r="C72">
        <v>3.6469999999999998</v>
      </c>
      <c r="D72">
        <v>3.359</v>
      </c>
      <c r="E72">
        <v>3.3610000000000002</v>
      </c>
      <c r="F72">
        <v>840123.9</v>
      </c>
      <c r="G72">
        <v>3.3610000000000002</v>
      </c>
      <c r="L72" t="s">
        <v>7</v>
      </c>
      <c r="M72" t="s">
        <v>8</v>
      </c>
      <c r="N72" t="s">
        <v>8</v>
      </c>
      <c r="P72">
        <f t="shared" ref="P72" si="335">IF(C72=D72,0,((E72-D72)-(C72-E72))/(C72-D72))</f>
        <v>-0.9861111111111095</v>
      </c>
      <c r="Q72">
        <f t="shared" ref="Q72" si="336">F72*P72</f>
        <v>-828455.51249999867</v>
      </c>
      <c r="R72">
        <f t="shared" ref="R72" si="337">R73+Q72</f>
        <v>28271375.889164299</v>
      </c>
      <c r="S72">
        <f t="shared" ref="S72" si="338">R72/100000</f>
        <v>282.71375889164301</v>
      </c>
      <c r="T72">
        <f t="shared" ref="T72" si="339">S72/1000</f>
        <v>0.28271375889164302</v>
      </c>
    </row>
    <row r="73" spans="1:20" x14ac:dyDescent="0.25">
      <c r="A73" s="5">
        <v>44520</v>
      </c>
      <c r="B73">
        <v>3.1989999999999998</v>
      </c>
      <c r="C73">
        <v>3.84</v>
      </c>
      <c r="D73">
        <v>3.1080000000000001</v>
      </c>
      <c r="E73">
        <v>3.44</v>
      </c>
      <c r="F73">
        <v>2055800.2</v>
      </c>
      <c r="G73">
        <v>3.44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-9.2896174863388095E-2</v>
      </c>
      <c r="Q73">
        <f t="shared" ref="Q73" si="341">F73*P73</f>
        <v>-190975.97486338823</v>
      </c>
      <c r="R73">
        <f t="shared" ref="R73" si="342">R74+Q73</f>
        <v>29099831.401664298</v>
      </c>
      <c r="S73">
        <f t="shared" ref="S73" si="343">R73/100000</f>
        <v>290.99831401664301</v>
      </c>
      <c r="T73">
        <f t="shared" ref="T73" si="344">S73/1000</f>
        <v>0.290998314016643</v>
      </c>
    </row>
    <row r="74" spans="1:20" x14ac:dyDescent="0.25">
      <c r="A74" s="5">
        <v>44519</v>
      </c>
      <c r="B74">
        <v>3.1429999999999998</v>
      </c>
      <c r="C74">
        <v>3.2290000000000001</v>
      </c>
      <c r="D74">
        <v>2.992</v>
      </c>
      <c r="E74">
        <v>3.1970000000000001</v>
      </c>
      <c r="F74">
        <v>513365</v>
      </c>
      <c r="G74">
        <v>3.1970000000000001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0.72995780590717285</v>
      </c>
      <c r="Q74">
        <f t="shared" ref="Q74" si="346">F74*P74</f>
        <v>374734.78902953578</v>
      </c>
      <c r="R74">
        <f t="shared" ref="R74" si="347">R75+Q74</f>
        <v>29290807.376527686</v>
      </c>
      <c r="S74">
        <f t="shared" ref="S74" si="348">R74/100000</f>
        <v>292.90807376527687</v>
      </c>
      <c r="T74">
        <f t="shared" ref="T74" si="349">S74/1000</f>
        <v>0.29290807376527689</v>
      </c>
    </row>
    <row r="75" spans="1:20" x14ac:dyDescent="0.25">
      <c r="A75" s="5">
        <v>44518</v>
      </c>
      <c r="B75">
        <v>3.4129999999999998</v>
      </c>
      <c r="C75">
        <v>3.5190000000000001</v>
      </c>
      <c r="D75">
        <v>3.0009999999999999</v>
      </c>
      <c r="E75">
        <v>3.1389999999999998</v>
      </c>
      <c r="F75">
        <v>628936.9</v>
      </c>
      <c r="G75">
        <v>3.1389999999999998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-0.4671814671814678</v>
      </c>
      <c r="Q75">
        <f t="shared" ref="Q75" si="351">F75*P75</f>
        <v>-293827.66370656411</v>
      </c>
      <c r="R75">
        <f t="shared" ref="R75" si="352">R76+Q75</f>
        <v>28916072.587498151</v>
      </c>
      <c r="S75">
        <f t="shared" ref="S75" si="353">R75/100000</f>
        <v>289.16072587498149</v>
      </c>
      <c r="T75">
        <f t="shared" ref="T75" si="354">S75/1000</f>
        <v>0.28916072587498148</v>
      </c>
    </row>
    <row r="76" spans="1:20" x14ac:dyDescent="0.25">
      <c r="A76" s="5">
        <v>44517</v>
      </c>
      <c r="B76">
        <v>3.254</v>
      </c>
      <c r="C76">
        <v>3.444</v>
      </c>
      <c r="D76">
        <v>3.05</v>
      </c>
      <c r="E76">
        <v>3.4140000000000001</v>
      </c>
      <c r="F76">
        <v>701445.8</v>
      </c>
      <c r="G76">
        <v>3.4140000000000001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0.84771573604061012</v>
      </c>
      <c r="Q76">
        <f t="shared" ref="Q76" si="356">F76*P76</f>
        <v>594626.64263959462</v>
      </c>
      <c r="R76">
        <f t="shared" ref="R76" si="357">R77+Q76</f>
        <v>29209900.251204714</v>
      </c>
      <c r="S76">
        <f t="shared" ref="S76" si="358">R76/100000</f>
        <v>292.09900251204715</v>
      </c>
      <c r="T76">
        <f t="shared" ref="T76" si="359">S76/1000</f>
        <v>0.29209900251204712</v>
      </c>
    </row>
    <row r="77" spans="1:20" x14ac:dyDescent="0.25">
      <c r="A77" s="5">
        <v>44516</v>
      </c>
      <c r="B77">
        <v>3.383</v>
      </c>
      <c r="C77">
        <v>3.4089999999999998</v>
      </c>
      <c r="D77">
        <v>3.0409999999999999</v>
      </c>
      <c r="E77">
        <v>3.2509999999999999</v>
      </c>
      <c r="F77">
        <v>798824</v>
      </c>
      <c r="G77">
        <v>3.2509999999999999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0.14130434782608714</v>
      </c>
      <c r="Q77">
        <f t="shared" ref="Q77" si="361">F77*P77</f>
        <v>112877.30434782624</v>
      </c>
      <c r="R77">
        <f t="shared" ref="R77" si="362">R78+Q77</f>
        <v>28615273.608565118</v>
      </c>
      <c r="S77">
        <f t="shared" ref="S77" si="363">R77/100000</f>
        <v>286.15273608565116</v>
      </c>
      <c r="T77">
        <f t="shared" ref="T77" si="364">S77/1000</f>
        <v>0.28615273608565117</v>
      </c>
    </row>
    <row r="78" spans="1:20" x14ac:dyDescent="0.25">
      <c r="A78" s="5">
        <v>44515</v>
      </c>
      <c r="B78">
        <v>3.46</v>
      </c>
      <c r="C78">
        <v>3.4780000000000002</v>
      </c>
      <c r="D78">
        <v>3.3639999999999999</v>
      </c>
      <c r="E78">
        <v>3.3940000000000001</v>
      </c>
      <c r="F78">
        <v>465808.5</v>
      </c>
      <c r="G78">
        <v>3.3940000000000001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-0.47368421052631293</v>
      </c>
      <c r="Q78">
        <f t="shared" ref="Q78" si="366">F78*P78</f>
        <v>-220646.13157894605</v>
      </c>
      <c r="R78">
        <f t="shared" ref="R78" si="367">R79+Q78</f>
        <v>28502396.30421729</v>
      </c>
      <c r="S78">
        <f t="shared" ref="S78" si="368">R78/100000</f>
        <v>285.02396304217291</v>
      </c>
      <c r="T78">
        <f t="shared" ref="T78" si="369">S78/1000</f>
        <v>0.28502396304217292</v>
      </c>
    </row>
    <row r="79" spans="1:20" x14ac:dyDescent="0.25">
      <c r="A79" s="5">
        <v>44514</v>
      </c>
      <c r="B79">
        <v>3.468</v>
      </c>
      <c r="C79">
        <v>3.516</v>
      </c>
      <c r="D79">
        <v>3.4</v>
      </c>
      <c r="E79">
        <v>3.45</v>
      </c>
      <c r="F79">
        <v>283101.2</v>
      </c>
      <c r="G79">
        <v>3.45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-0.13793103448275479</v>
      </c>
      <c r="Q79">
        <f t="shared" ref="Q79" si="371">F79*P79</f>
        <v>-39048.441379309261</v>
      </c>
      <c r="R79">
        <f t="shared" ref="R79" si="372">R80+Q79</f>
        <v>28723042.435796235</v>
      </c>
      <c r="S79">
        <f t="shared" ref="S79" si="373">R79/100000</f>
        <v>287.23042435796236</v>
      </c>
      <c r="T79">
        <f t="shared" ref="T79" si="374">S79/1000</f>
        <v>0.28723042435796237</v>
      </c>
    </row>
    <row r="80" spans="1:20" x14ac:dyDescent="0.25">
      <c r="A80" s="5">
        <v>44513</v>
      </c>
      <c r="B80">
        <v>3.4430000000000001</v>
      </c>
      <c r="C80">
        <v>3.5390000000000001</v>
      </c>
      <c r="D80">
        <v>3.403</v>
      </c>
      <c r="E80">
        <v>3.468</v>
      </c>
      <c r="F80">
        <v>380594.5</v>
      </c>
      <c r="G80">
        <v>3.468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-4.4117647058825163E-2</v>
      </c>
      <c r="Q80">
        <f t="shared" ref="Q80" si="376">F80*P80</f>
        <v>-16790.933823530035</v>
      </c>
      <c r="R80">
        <f t="shared" ref="R80" si="377">R81+Q80</f>
        <v>28762090.877175543</v>
      </c>
      <c r="S80">
        <f t="shared" ref="S80" si="378">R80/100000</f>
        <v>287.62090877175541</v>
      </c>
      <c r="T80">
        <f t="shared" ref="T80" si="379">S80/1000</f>
        <v>0.28762090877175539</v>
      </c>
    </row>
    <row r="81" spans="1:20" x14ac:dyDescent="0.25">
      <c r="A81" s="5">
        <v>44512</v>
      </c>
      <c r="B81">
        <v>3.4809999999999999</v>
      </c>
      <c r="C81">
        <v>3.6560000000000001</v>
      </c>
      <c r="D81">
        <v>3.2919999999999998</v>
      </c>
      <c r="E81">
        <v>3.4430000000000001</v>
      </c>
      <c r="F81">
        <v>855215</v>
      </c>
      <c r="G81">
        <v>3.4430000000000001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-0.17032967032966972</v>
      </c>
      <c r="Q81">
        <f t="shared" ref="Q81" si="381">F81*P81</f>
        <v>-145668.4890109885</v>
      </c>
      <c r="R81">
        <f t="shared" ref="R81" si="382">R82+Q81</f>
        <v>28778881.810999073</v>
      </c>
      <c r="S81">
        <f t="shared" ref="S81" si="383">R81/100000</f>
        <v>287.78881810999076</v>
      </c>
      <c r="T81">
        <f t="shared" ref="T81" si="384">S81/1000</f>
        <v>0.28778881810999074</v>
      </c>
    </row>
    <row r="82" spans="1:20" x14ac:dyDescent="0.25">
      <c r="A82" s="5">
        <v>44511</v>
      </c>
      <c r="B82">
        <v>3.4279999999999999</v>
      </c>
      <c r="C82">
        <v>3.5510000000000002</v>
      </c>
      <c r="D82">
        <v>3.3559999999999999</v>
      </c>
      <c r="E82">
        <v>3.4740000000000002</v>
      </c>
      <c r="F82">
        <v>497812.9</v>
      </c>
      <c r="G82">
        <v>3.4740000000000002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0.21025641025641184</v>
      </c>
      <c r="Q82">
        <f t="shared" ref="Q82" si="386">F82*P82</f>
        <v>104668.35333333413</v>
      </c>
      <c r="R82">
        <f t="shared" ref="R82" si="387">R83+Q82</f>
        <v>28924550.300010063</v>
      </c>
      <c r="S82">
        <f t="shared" ref="S82" si="388">R82/100000</f>
        <v>289.24550300010065</v>
      </c>
      <c r="T82">
        <f t="shared" ref="T82" si="389">S82/1000</f>
        <v>0.28924550300010066</v>
      </c>
    </row>
    <row r="83" spans="1:20" x14ac:dyDescent="0.25">
      <c r="A83" s="5">
        <v>44510</v>
      </c>
      <c r="B83">
        <v>3.7679999999999998</v>
      </c>
      <c r="C83">
        <v>3.82</v>
      </c>
      <c r="D83">
        <v>3.331</v>
      </c>
      <c r="E83">
        <v>3.4279999999999999</v>
      </c>
      <c r="F83">
        <v>1632800.6</v>
      </c>
      <c r="G83">
        <v>3.4279999999999999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-0.60327198364008183</v>
      </c>
      <c r="Q83">
        <f t="shared" ref="Q83" si="391">F83*P83</f>
        <v>-985022.85685071582</v>
      </c>
      <c r="R83">
        <f t="shared" ref="R83" si="392">R84+Q83</f>
        <v>28819881.946676727</v>
      </c>
      <c r="S83">
        <f t="shared" ref="S83" si="393">R83/100000</f>
        <v>288.19881946676725</v>
      </c>
      <c r="T83">
        <f t="shared" ref="T83" si="394">S83/1000</f>
        <v>0.28819881946676723</v>
      </c>
    </row>
    <row r="84" spans="1:20" x14ac:dyDescent="0.25">
      <c r="A84" s="5">
        <v>44509</v>
      </c>
      <c r="B84">
        <v>3.6349999999999998</v>
      </c>
      <c r="C84">
        <v>3.79</v>
      </c>
      <c r="D84">
        <v>3.5870000000000002</v>
      </c>
      <c r="E84">
        <v>3.7629999999999999</v>
      </c>
      <c r="F84">
        <v>625531.5</v>
      </c>
      <c r="G84">
        <v>3.7629999999999999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0.73399014778324967</v>
      </c>
      <c r="Q84">
        <f t="shared" ref="Q84" si="396">F84*P84</f>
        <v>459133.95812807785</v>
      </c>
      <c r="R84">
        <f t="shared" ref="R84" si="397">R85+Q84</f>
        <v>29804904.803527445</v>
      </c>
      <c r="S84">
        <f t="shared" ref="S84" si="398">R84/100000</f>
        <v>298.04904803527444</v>
      </c>
      <c r="T84">
        <f t="shared" ref="T84" si="399">S84/1000</f>
        <v>0.29804904803527443</v>
      </c>
    </row>
    <row r="85" spans="1:20" x14ac:dyDescent="0.25">
      <c r="A85" s="5">
        <v>44508</v>
      </c>
      <c r="B85">
        <v>3.5630000000000002</v>
      </c>
      <c r="C85">
        <v>3.726</v>
      </c>
      <c r="D85">
        <v>3.504</v>
      </c>
      <c r="E85">
        <v>3.6349999999999998</v>
      </c>
      <c r="F85">
        <v>1418491.8</v>
      </c>
      <c r="G85">
        <v>3.6349999999999998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0.18018018018017837</v>
      </c>
      <c r="Q85">
        <f t="shared" ref="Q85" si="401">F85*P85</f>
        <v>255584.10810810555</v>
      </c>
      <c r="R85">
        <f t="shared" ref="R85" si="402">R86+Q85</f>
        <v>29345770.845399369</v>
      </c>
      <c r="S85">
        <f t="shared" ref="S85" si="403">R85/100000</f>
        <v>293.45770845399369</v>
      </c>
      <c r="T85">
        <f t="shared" ref="T85" si="404">S85/1000</f>
        <v>0.29345770845399372</v>
      </c>
    </row>
    <row r="86" spans="1:20" x14ac:dyDescent="0.25">
      <c r="A86" s="5">
        <v>44507</v>
      </c>
      <c r="B86">
        <v>3.4260000000000002</v>
      </c>
      <c r="C86">
        <v>3.589</v>
      </c>
      <c r="D86">
        <v>3.4</v>
      </c>
      <c r="E86">
        <v>3.5630000000000002</v>
      </c>
      <c r="F86">
        <v>568632.30000000005</v>
      </c>
      <c r="G86">
        <v>3.5630000000000002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0.7248677248677271</v>
      </c>
      <c r="Q86">
        <f t="shared" ref="Q86" si="406">F86*P86</f>
        <v>412183.2015873029</v>
      </c>
      <c r="R86">
        <f t="shared" ref="R86" si="407">R87+Q86</f>
        <v>29090186.737291262</v>
      </c>
      <c r="S86">
        <f t="shared" ref="S86" si="408">R86/100000</f>
        <v>290.90186737291259</v>
      </c>
      <c r="T86">
        <f t="shared" ref="T86" si="409">S86/1000</f>
        <v>0.29090186737291257</v>
      </c>
    </row>
    <row r="87" spans="1:20" x14ac:dyDescent="0.25">
      <c r="A87" s="5">
        <v>44506</v>
      </c>
      <c r="B87">
        <v>3.4860000000000002</v>
      </c>
      <c r="C87">
        <v>3.5640000000000001</v>
      </c>
      <c r="D87">
        <v>3.379</v>
      </c>
      <c r="E87">
        <v>3.431</v>
      </c>
      <c r="F87">
        <v>875908.8</v>
      </c>
      <c r="G87">
        <v>3.431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-0.43783783783783747</v>
      </c>
      <c r="Q87">
        <f t="shared" ref="Q87" si="411">F87*P87</f>
        <v>-383506.01513513486</v>
      </c>
      <c r="R87">
        <f t="shared" ref="R87" si="412">R88+Q87</f>
        <v>28678003.535703957</v>
      </c>
      <c r="S87">
        <f t="shared" ref="S87" si="413">R87/100000</f>
        <v>286.78003535703959</v>
      </c>
      <c r="T87">
        <f t="shared" ref="T87" si="414">S87/1000</f>
        <v>0.28678003535703961</v>
      </c>
    </row>
    <row r="88" spans="1:20" x14ac:dyDescent="0.25">
      <c r="A88" s="5">
        <v>44505</v>
      </c>
      <c r="B88">
        <v>3.536</v>
      </c>
      <c r="C88">
        <v>3.698</v>
      </c>
      <c r="D88">
        <v>3.427</v>
      </c>
      <c r="E88">
        <v>3.4849999999999999</v>
      </c>
      <c r="F88">
        <v>820611</v>
      </c>
      <c r="G88">
        <v>3.4849999999999999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-0.57195571955719671</v>
      </c>
      <c r="Q88">
        <f t="shared" ref="Q88" si="416">F88*P88</f>
        <v>-469353.15498155076</v>
      </c>
      <c r="R88">
        <f t="shared" ref="R88" si="417">R89+Q88</f>
        <v>29061509.550839093</v>
      </c>
      <c r="S88">
        <f t="shared" ref="S88" si="418">R88/100000</f>
        <v>290.61509550839094</v>
      </c>
      <c r="T88">
        <f t="shared" ref="T88" si="419">S88/1000</f>
        <v>0.29061509550839093</v>
      </c>
    </row>
    <row r="89" spans="1:20" x14ac:dyDescent="0.25">
      <c r="A89" s="5">
        <v>44504</v>
      </c>
      <c r="B89">
        <v>3.6659999999999999</v>
      </c>
      <c r="C89">
        <v>3.7</v>
      </c>
      <c r="D89">
        <v>3.5049999999999999</v>
      </c>
      <c r="E89">
        <v>3.5369999999999999</v>
      </c>
      <c r="F89">
        <v>456336.4</v>
      </c>
      <c r="G89">
        <v>3.5369999999999999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-0.67179487179487196</v>
      </c>
      <c r="Q89">
        <f t="shared" ref="Q89" si="421">F89*P89</f>
        <v>-306564.45333333343</v>
      </c>
      <c r="R89">
        <f t="shared" ref="R89" si="422">R90+Q89</f>
        <v>29530862.705820642</v>
      </c>
      <c r="S89">
        <f t="shared" ref="S89" si="423">R89/100000</f>
        <v>295.30862705820641</v>
      </c>
      <c r="T89">
        <f t="shared" ref="T89" si="424">S89/1000</f>
        <v>0.29530862705820643</v>
      </c>
    </row>
    <row r="90" spans="1:20" x14ac:dyDescent="0.25">
      <c r="A90" s="5">
        <v>44503</v>
      </c>
      <c r="B90">
        <v>3.5390000000000001</v>
      </c>
      <c r="C90">
        <v>3.7669999999999999</v>
      </c>
      <c r="D90">
        <v>3.431</v>
      </c>
      <c r="E90">
        <v>3.661</v>
      </c>
      <c r="F90">
        <v>1367401.8</v>
      </c>
      <c r="G90">
        <v>3.661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0.36904761904761951</v>
      </c>
      <c r="Q90">
        <f t="shared" ref="Q90" si="426">F90*P90</f>
        <v>504636.37857142923</v>
      </c>
      <c r="R90">
        <f t="shared" ref="R90" si="427">R91+Q90</f>
        <v>29837427.159153976</v>
      </c>
      <c r="S90">
        <f t="shared" ref="S90" si="428">R90/100000</f>
        <v>298.37427159153975</v>
      </c>
      <c r="T90">
        <f t="shared" ref="T90" si="429">S90/1000</f>
        <v>0.29837427159153973</v>
      </c>
    </row>
    <row r="91" spans="1:20" x14ac:dyDescent="0.25">
      <c r="A91" s="5">
        <v>44502</v>
      </c>
      <c r="B91">
        <v>3.4449999999999998</v>
      </c>
      <c r="C91">
        <v>3.6120000000000001</v>
      </c>
      <c r="D91">
        <v>3.4169999999999998</v>
      </c>
      <c r="E91">
        <v>3.5419999999999998</v>
      </c>
      <c r="F91">
        <v>623336.6</v>
      </c>
      <c r="G91">
        <v>3.5419999999999998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0.28205128205128016</v>
      </c>
      <c r="Q91">
        <f t="shared" ref="Q91" si="431">F91*P91</f>
        <v>175812.88717948599</v>
      </c>
      <c r="R91">
        <f t="shared" ref="R91" si="432">R92+Q91</f>
        <v>29332790.780582547</v>
      </c>
      <c r="S91">
        <f t="shared" ref="S91" si="433">R91/100000</f>
        <v>293.32790780582548</v>
      </c>
      <c r="T91">
        <f t="shared" ref="T91" si="434">S91/1000</f>
        <v>0.29332790780582546</v>
      </c>
    </row>
    <row r="92" spans="1:20" x14ac:dyDescent="0.25">
      <c r="A92" s="5">
        <v>44501</v>
      </c>
      <c r="B92">
        <v>3.476</v>
      </c>
      <c r="C92">
        <v>3.5489999999999999</v>
      </c>
      <c r="D92">
        <v>3.32</v>
      </c>
      <c r="E92">
        <v>3.4449999999999998</v>
      </c>
      <c r="F92">
        <v>632344.5</v>
      </c>
      <c r="G92">
        <v>3.4449999999999998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9.1703056768558514E-2</v>
      </c>
      <c r="Q92">
        <f t="shared" ref="Q92" si="436">F92*P92</f>
        <v>57987.923580785748</v>
      </c>
      <c r="R92">
        <f t="shared" ref="R92" si="437">R93+Q92</f>
        <v>29156977.893403061</v>
      </c>
      <c r="S92">
        <f t="shared" ref="S92" si="438">R92/100000</f>
        <v>291.56977893403058</v>
      </c>
      <c r="T92">
        <f t="shared" ref="T92" si="439">S92/1000</f>
        <v>0.29156977893403058</v>
      </c>
    </row>
    <row r="93" spans="1:20" x14ac:dyDescent="0.25">
      <c r="A93" s="5">
        <v>44500</v>
      </c>
      <c r="B93">
        <v>3.3820000000000001</v>
      </c>
      <c r="C93">
        <v>3.5870000000000002</v>
      </c>
      <c r="D93">
        <v>3.3650000000000002</v>
      </c>
      <c r="E93">
        <v>3.4740000000000002</v>
      </c>
      <c r="F93">
        <v>1032063.2</v>
      </c>
      <c r="G93">
        <v>3.4740000000000002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-1.8018018018018035E-2</v>
      </c>
      <c r="Q93">
        <f t="shared" ref="Q93" si="441">F93*P93</f>
        <v>-18595.733333333352</v>
      </c>
      <c r="R93">
        <f t="shared" ref="R93" si="442">R94+Q93</f>
        <v>29098989.969822276</v>
      </c>
      <c r="S93">
        <f t="shared" ref="S93" si="443">R93/100000</f>
        <v>290.98989969822276</v>
      </c>
      <c r="T93">
        <f t="shared" ref="T93" si="444">S93/1000</f>
        <v>0.29098989969822275</v>
      </c>
    </row>
    <row r="94" spans="1:20" x14ac:dyDescent="0.25">
      <c r="A94" s="5">
        <v>44499</v>
      </c>
      <c r="B94">
        <v>3.4119999999999999</v>
      </c>
      <c r="C94">
        <v>3.5790000000000002</v>
      </c>
      <c r="D94">
        <v>3.3079999999999998</v>
      </c>
      <c r="E94">
        <v>3.3740000000000001</v>
      </c>
      <c r="F94">
        <v>927388.4</v>
      </c>
      <c r="G94">
        <v>3.3740000000000001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-0.51291512915129012</v>
      </c>
      <c r="Q94">
        <f t="shared" ref="Q94" si="446">F94*P94</f>
        <v>-475671.54095940833</v>
      </c>
      <c r="R94">
        <f t="shared" ref="R94" si="447">R95+Q94</f>
        <v>29117585.703155611</v>
      </c>
      <c r="S94">
        <f t="shared" ref="S94" si="448">R94/100000</f>
        <v>291.17585703155612</v>
      </c>
      <c r="T94">
        <f t="shared" ref="T94" si="449">S94/1000</f>
        <v>0.29117585703155613</v>
      </c>
    </row>
    <row r="95" spans="1:20" x14ac:dyDescent="0.25">
      <c r="A95" s="5">
        <v>44498</v>
      </c>
      <c r="B95">
        <v>3.4260000000000002</v>
      </c>
      <c r="C95">
        <v>3.4790000000000001</v>
      </c>
      <c r="D95">
        <v>3.3719999999999999</v>
      </c>
      <c r="E95">
        <v>3.407</v>
      </c>
      <c r="F95">
        <v>584590.30000000005</v>
      </c>
      <c r="G95">
        <v>3.407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-0.34579439252336308</v>
      </c>
      <c r="Q95">
        <f t="shared" ref="Q95" si="451">F95*P95</f>
        <v>-202148.04766355059</v>
      </c>
      <c r="R95">
        <f t="shared" ref="R95" si="452">R96+Q95</f>
        <v>29593257.244115017</v>
      </c>
      <c r="S95">
        <f t="shared" ref="S95" si="453">R95/100000</f>
        <v>295.93257244115017</v>
      </c>
      <c r="T95">
        <f t="shared" ref="T95" si="454">S95/1000</f>
        <v>0.29593257244115018</v>
      </c>
    </row>
    <row r="96" spans="1:20" x14ac:dyDescent="0.25">
      <c r="A96" s="5">
        <v>44497</v>
      </c>
      <c r="B96">
        <v>3.3090000000000002</v>
      </c>
      <c r="C96">
        <v>3.456</v>
      </c>
      <c r="D96">
        <v>3.246</v>
      </c>
      <c r="E96">
        <v>3.4289999999999998</v>
      </c>
      <c r="F96">
        <v>1045095.6</v>
      </c>
      <c r="G96">
        <v>3.4289999999999998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0.74285714285714155</v>
      </c>
      <c r="Q96">
        <f t="shared" ref="Q96" si="456">F96*P96</f>
        <v>776356.73142857</v>
      </c>
      <c r="R96">
        <f t="shared" ref="R96" si="457">R97+Q96</f>
        <v>29795405.291778568</v>
      </c>
      <c r="S96">
        <f t="shared" ref="S96" si="458">R96/100000</f>
        <v>297.9540529177857</v>
      </c>
      <c r="T96">
        <f t="shared" ref="T96" si="459">S96/1000</f>
        <v>0.29795405291778571</v>
      </c>
    </row>
    <row r="97" spans="1:20" x14ac:dyDescent="0.25">
      <c r="A97" s="5">
        <v>44496</v>
      </c>
      <c r="B97">
        <v>3.6789999999999998</v>
      </c>
      <c r="C97">
        <v>3.722</v>
      </c>
      <c r="D97">
        <v>3.3050000000000002</v>
      </c>
      <c r="E97">
        <v>3.3050000000000002</v>
      </c>
      <c r="F97">
        <v>905261.1</v>
      </c>
      <c r="G97">
        <v>3.3050000000000002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-1</v>
      </c>
      <c r="Q97">
        <f t="shared" ref="Q97" si="461">F97*P97</f>
        <v>-905261.1</v>
      </c>
      <c r="R97">
        <f t="shared" ref="R97" si="462">R98+Q97</f>
        <v>29019048.560349997</v>
      </c>
      <c r="S97">
        <f t="shared" ref="S97" si="463">R97/100000</f>
        <v>290.19048560349995</v>
      </c>
      <c r="T97">
        <f t="shared" ref="T97" si="464">S97/1000</f>
        <v>0.29019048560349997</v>
      </c>
    </row>
    <row r="98" spans="1:20" x14ac:dyDescent="0.25">
      <c r="A98" s="5">
        <v>44495</v>
      </c>
      <c r="B98">
        <v>3.8210000000000002</v>
      </c>
      <c r="C98">
        <v>4.0999999999999996</v>
      </c>
      <c r="D98">
        <v>3.653</v>
      </c>
      <c r="E98">
        <v>3.6779999999999999</v>
      </c>
      <c r="F98">
        <v>2092104.1</v>
      </c>
      <c r="G98">
        <v>3.6779999999999999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-0.88814317673378107</v>
      </c>
      <c r="Q98">
        <f t="shared" ref="Q98" si="466">F98*P98</f>
        <v>-1858087.981431768</v>
      </c>
      <c r="R98">
        <f t="shared" ref="R98" si="467">R99+Q98</f>
        <v>29924309.660349999</v>
      </c>
      <c r="S98">
        <f t="shared" ref="S98" si="468">R98/100000</f>
        <v>299.24309660349996</v>
      </c>
      <c r="T98">
        <f t="shared" ref="T98" si="469">S98/1000</f>
        <v>0.29924309660349996</v>
      </c>
    </row>
    <row r="99" spans="1:20" x14ac:dyDescent="0.25">
      <c r="A99" s="5">
        <v>44494</v>
      </c>
      <c r="B99">
        <v>3.774</v>
      </c>
      <c r="C99">
        <v>4.0140000000000002</v>
      </c>
      <c r="D99">
        <v>3.7480000000000002</v>
      </c>
      <c r="E99">
        <v>3.8210000000000002</v>
      </c>
      <c r="F99">
        <v>1129802.6000000001</v>
      </c>
      <c r="G99">
        <v>3.8210000000000002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-0.45112781954887254</v>
      </c>
      <c r="Q99">
        <f t="shared" ref="Q99" si="471">F99*P99</f>
        <v>-509685.38345864706</v>
      </c>
      <c r="R99">
        <f t="shared" ref="R99" si="472">R100+Q99</f>
        <v>31782397.641781766</v>
      </c>
      <c r="S99">
        <f t="shared" ref="S99" si="473">R99/100000</f>
        <v>317.82397641781768</v>
      </c>
      <c r="T99">
        <f t="shared" ref="T99" si="474">S99/1000</f>
        <v>0.31782397641781768</v>
      </c>
    </row>
    <row r="100" spans="1:20" x14ac:dyDescent="0.25">
      <c r="A100" s="5">
        <v>44493</v>
      </c>
      <c r="B100">
        <v>3.7240000000000002</v>
      </c>
      <c r="C100">
        <v>3.8</v>
      </c>
      <c r="D100">
        <v>3.609</v>
      </c>
      <c r="E100">
        <v>3.7709999999999999</v>
      </c>
      <c r="F100">
        <v>633504.1</v>
      </c>
      <c r="G100">
        <v>3.7709999999999999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0.69633507853403209</v>
      </c>
      <c r="Q100">
        <f t="shared" ref="Q100" si="476">F100*P100</f>
        <v>441131.12722513132</v>
      </c>
      <c r="R100">
        <f t="shared" ref="R100" si="477">R101+Q100</f>
        <v>32292083.025240414</v>
      </c>
      <c r="S100">
        <f t="shared" ref="S100" si="478">R100/100000</f>
        <v>322.92083025240413</v>
      </c>
      <c r="T100">
        <f t="shared" ref="T100" si="479">S100/1000</f>
        <v>0.32292083025240415</v>
      </c>
    </row>
    <row r="101" spans="1:20" x14ac:dyDescent="0.25">
      <c r="A101" s="5">
        <v>44492</v>
      </c>
      <c r="B101">
        <v>3.7309999999999999</v>
      </c>
      <c r="C101">
        <v>3.782</v>
      </c>
      <c r="D101">
        <v>3.6680000000000001</v>
      </c>
      <c r="E101">
        <v>3.7240000000000002</v>
      </c>
      <c r="F101">
        <v>528791.4</v>
      </c>
      <c r="G101">
        <v>3.7240000000000002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-1.7543859649120894E-2</v>
      </c>
      <c r="Q101">
        <f t="shared" ref="Q101" si="481">F101*P101</f>
        <v>-9277.0421052621477</v>
      </c>
      <c r="R101">
        <f t="shared" ref="R101" si="482">R102+Q101</f>
        <v>31850951.898015283</v>
      </c>
      <c r="S101">
        <f t="shared" ref="S101" si="483">R101/100000</f>
        <v>318.50951898015285</v>
      </c>
      <c r="T101">
        <f t="shared" ref="T101" si="484">S101/1000</f>
        <v>0.31850951898015284</v>
      </c>
    </row>
    <row r="102" spans="1:20" x14ac:dyDescent="0.25">
      <c r="A102" s="5">
        <v>44491</v>
      </c>
      <c r="B102">
        <v>3.6160000000000001</v>
      </c>
      <c r="C102">
        <v>3.9550000000000001</v>
      </c>
      <c r="D102">
        <v>3.577</v>
      </c>
      <c r="E102">
        <v>3.7309999999999999</v>
      </c>
      <c r="F102">
        <v>2223298.7999999998</v>
      </c>
      <c r="G102">
        <v>3.7309999999999999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-0.18518518518518587</v>
      </c>
      <c r="Q102">
        <f t="shared" ref="Q102" si="486">F102*P102</f>
        <v>-411722.00000000151</v>
      </c>
      <c r="R102">
        <f t="shared" ref="R102" si="487">R103+Q102</f>
        <v>31860228.940120544</v>
      </c>
      <c r="S102">
        <f t="shared" ref="S102" si="488">R102/100000</f>
        <v>318.60228940120544</v>
      </c>
      <c r="T102">
        <f t="shared" ref="T102" si="489">S102/1000</f>
        <v>0.31860228940120544</v>
      </c>
    </row>
    <row r="103" spans="1:20" x14ac:dyDescent="0.25">
      <c r="A103" s="5">
        <v>44490</v>
      </c>
      <c r="B103">
        <v>3.4790000000000001</v>
      </c>
      <c r="C103">
        <v>3.65</v>
      </c>
      <c r="D103">
        <v>3.4430000000000001</v>
      </c>
      <c r="E103">
        <v>3.6139999999999999</v>
      </c>
      <c r="F103">
        <v>1039139.6</v>
      </c>
      <c r="G103">
        <v>3.6139999999999999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0.65217391304347772</v>
      </c>
      <c r="Q103">
        <f t="shared" ref="Q103" si="491">F103*P103</f>
        <v>677699.73913043423</v>
      </c>
      <c r="R103">
        <f t="shared" ref="R103" si="492">R104+Q103</f>
        <v>32271950.940120544</v>
      </c>
      <c r="S103">
        <f t="shared" ref="S103" si="493">R103/100000</f>
        <v>322.71950940120547</v>
      </c>
      <c r="T103">
        <f t="shared" ref="T103" si="494">S103/1000</f>
        <v>0.32271950940120547</v>
      </c>
    </row>
    <row r="104" spans="1:20" x14ac:dyDescent="0.25">
      <c r="A104" s="5">
        <v>44489</v>
      </c>
      <c r="B104">
        <v>3.347</v>
      </c>
      <c r="C104">
        <v>3.4790000000000001</v>
      </c>
      <c r="D104">
        <v>3.28</v>
      </c>
      <c r="E104">
        <v>3.4729999999999999</v>
      </c>
      <c r="F104">
        <v>1061829.3</v>
      </c>
      <c r="G104">
        <v>3.4729999999999999</v>
      </c>
      <c r="L104" t="s">
        <v>7</v>
      </c>
      <c r="M104" t="s">
        <v>8</v>
      </c>
      <c r="N104" t="s">
        <v>8</v>
      </c>
      <c r="P104">
        <f t="shared" ref="P104" si="495">IF(C104=D104,0,((E104-D104)-(C104-E104))/(C104-D104))</f>
        <v>0.93969849246230941</v>
      </c>
      <c r="Q104">
        <f t="shared" ref="Q104" si="496">F104*P104</f>
        <v>997799.39246230933</v>
      </c>
      <c r="R104">
        <f t="shared" ref="R104" si="497">R105+Q104</f>
        <v>31594251.200990111</v>
      </c>
      <c r="S104">
        <f t="shared" ref="S104" si="498">R104/100000</f>
        <v>315.94251200990112</v>
      </c>
      <c r="T104">
        <f t="shared" ref="T104" si="499">S104/1000</f>
        <v>0.31594251200990114</v>
      </c>
    </row>
    <row r="105" spans="1:20" x14ac:dyDescent="0.25">
      <c r="A105" s="5">
        <v>44488</v>
      </c>
      <c r="B105">
        <v>3.4569999999999999</v>
      </c>
      <c r="C105">
        <v>3.472</v>
      </c>
      <c r="D105">
        <v>3.3159999999999998</v>
      </c>
      <c r="E105">
        <v>3.355</v>
      </c>
      <c r="F105">
        <v>380282.1</v>
      </c>
      <c r="G105">
        <v>3.355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-0.49999999999999856</v>
      </c>
      <c r="Q105">
        <f t="shared" ref="Q105" si="501">F105*P105</f>
        <v>-190141.04999999944</v>
      </c>
      <c r="R105">
        <f t="shared" ref="R105" si="502">R106+Q105</f>
        <v>30596451.808527801</v>
      </c>
      <c r="S105">
        <f t="shared" ref="S105" si="503">R105/100000</f>
        <v>305.96451808527803</v>
      </c>
      <c r="T105">
        <f t="shared" ref="T105" si="504">S105/1000</f>
        <v>0.30596451808527803</v>
      </c>
    </row>
    <row r="106" spans="1:20" x14ac:dyDescent="0.25">
      <c r="A106" s="5">
        <v>44487</v>
      </c>
      <c r="B106">
        <v>3.3570000000000002</v>
      </c>
      <c r="C106">
        <v>3.6720000000000002</v>
      </c>
      <c r="D106">
        <v>3.2650000000000001</v>
      </c>
      <c r="E106">
        <v>3.4550000000000001</v>
      </c>
      <c r="F106">
        <v>2537409.4</v>
      </c>
      <c r="G106">
        <v>3.4550000000000001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-6.6339066339066666E-2</v>
      </c>
      <c r="Q106">
        <f t="shared" ref="Q106" si="506">F106*P106</f>
        <v>-168329.37051597133</v>
      </c>
      <c r="R106">
        <f t="shared" ref="R106" si="507">R107+Q106</f>
        <v>30786592.858527802</v>
      </c>
      <c r="S106">
        <f t="shared" ref="S106" si="508">R106/100000</f>
        <v>307.86592858527803</v>
      </c>
      <c r="T106">
        <f t="shared" ref="T106" si="509">S106/1000</f>
        <v>0.307865928585278</v>
      </c>
    </row>
    <row r="107" spans="1:20" x14ac:dyDescent="0.25">
      <c r="A107" s="5">
        <v>44486</v>
      </c>
      <c r="B107">
        <v>3.44</v>
      </c>
      <c r="C107">
        <v>3.5659999999999998</v>
      </c>
      <c r="D107">
        <v>3.2330000000000001</v>
      </c>
      <c r="E107">
        <v>3.3559999999999999</v>
      </c>
      <c r="F107">
        <v>525965.19999999995</v>
      </c>
      <c r="G107">
        <v>3.3559999999999999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-0.26126126126126203</v>
      </c>
      <c r="Q107">
        <f t="shared" ref="Q107" si="511">F107*P107</f>
        <v>-137414.33153153193</v>
      </c>
      <c r="R107">
        <f t="shared" ref="R107" si="512">R108+Q107</f>
        <v>30954922.229043774</v>
      </c>
      <c r="S107">
        <f t="shared" ref="S107" si="513">R107/100000</f>
        <v>309.54922229043774</v>
      </c>
      <c r="T107">
        <f t="shared" ref="T107" si="514">S107/1000</f>
        <v>0.30954922229043774</v>
      </c>
    </row>
    <row r="108" spans="1:20" x14ac:dyDescent="0.25">
      <c r="A108" s="5">
        <v>44485</v>
      </c>
      <c r="B108">
        <v>3.448</v>
      </c>
      <c r="C108">
        <v>3.57</v>
      </c>
      <c r="D108">
        <v>3.41</v>
      </c>
      <c r="E108">
        <v>3.4409999999999998</v>
      </c>
      <c r="F108">
        <v>564386.80000000005</v>
      </c>
      <c r="G108">
        <v>3.4409999999999998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-0.61250000000000304</v>
      </c>
      <c r="Q108">
        <f t="shared" ref="Q108" si="516">F108*P108</f>
        <v>-345686.91500000173</v>
      </c>
      <c r="R108">
        <f t="shared" ref="R108" si="517">R109+Q108</f>
        <v>31092336.560575306</v>
      </c>
      <c r="S108">
        <f t="shared" ref="S108" si="518">R108/100000</f>
        <v>310.92336560575308</v>
      </c>
      <c r="T108">
        <f t="shared" ref="T108" si="519">S108/1000</f>
        <v>0.31092336560575307</v>
      </c>
    </row>
    <row r="109" spans="1:20" x14ac:dyDescent="0.25">
      <c r="A109" s="5">
        <v>44484</v>
      </c>
      <c r="B109">
        <v>3.3010000000000002</v>
      </c>
      <c r="C109">
        <v>3.55</v>
      </c>
      <c r="D109">
        <v>3.23</v>
      </c>
      <c r="E109">
        <v>3.4460000000000002</v>
      </c>
      <c r="F109">
        <v>1004226</v>
      </c>
      <c r="G109">
        <v>3.4460000000000002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0.35000000000000187</v>
      </c>
      <c r="Q109">
        <f t="shared" ref="Q109" si="521">F109*P109</f>
        <v>351479.1000000019</v>
      </c>
      <c r="R109">
        <f t="shared" ref="R109" si="522">R110+Q109</f>
        <v>31438023.475575309</v>
      </c>
      <c r="S109">
        <f t="shared" ref="S109" si="523">R109/100000</f>
        <v>314.38023475575307</v>
      </c>
      <c r="T109">
        <f t="shared" ref="T109" si="524">S109/1000</f>
        <v>0.31438023475575305</v>
      </c>
    </row>
    <row r="110" spans="1:20" x14ac:dyDescent="0.25">
      <c r="A110" s="5">
        <v>44483</v>
      </c>
      <c r="B110">
        <v>3.2440000000000002</v>
      </c>
      <c r="C110">
        <v>3.5230000000000001</v>
      </c>
      <c r="D110">
        <v>3.2250000000000001</v>
      </c>
      <c r="E110">
        <v>3.2989999999999999</v>
      </c>
      <c r="F110">
        <v>924434.6</v>
      </c>
      <c r="G110">
        <v>3.2989999999999999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-0.50335570469798774</v>
      </c>
      <c r="Q110">
        <f t="shared" ref="Q110" si="526">F110*P110</f>
        <v>-465319.42953020241</v>
      </c>
      <c r="R110">
        <f t="shared" ref="R110" si="527">R111+Q110</f>
        <v>31086544.375575308</v>
      </c>
      <c r="S110">
        <f t="shared" ref="S110" si="528">R110/100000</f>
        <v>310.86544375575306</v>
      </c>
      <c r="T110">
        <f t="shared" ref="T110" si="529">S110/1000</f>
        <v>0.31086544375575309</v>
      </c>
    </row>
    <row r="111" spans="1:20" x14ac:dyDescent="0.25">
      <c r="A111" s="5">
        <v>44482</v>
      </c>
      <c r="B111">
        <v>3.161</v>
      </c>
      <c r="C111">
        <v>3.38</v>
      </c>
      <c r="D111">
        <v>3.0790000000000002</v>
      </c>
      <c r="E111">
        <v>3.2440000000000002</v>
      </c>
      <c r="F111">
        <v>1077895.3999999999</v>
      </c>
      <c r="G111">
        <v>3.2440000000000002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9.6345514950167396E-2</v>
      </c>
      <c r="Q111">
        <f t="shared" ref="Q111" si="531">F111*P111</f>
        <v>103850.38737541666</v>
      </c>
      <c r="R111">
        <f t="shared" ref="R111" si="532">R112+Q111</f>
        <v>31551863.805105511</v>
      </c>
      <c r="S111">
        <f t="shared" ref="S111" si="533">R111/100000</f>
        <v>315.51863805105512</v>
      </c>
      <c r="T111">
        <f t="shared" ref="T111" si="534">S111/1000</f>
        <v>0.31551863805105512</v>
      </c>
    </row>
    <row r="112" spans="1:20" x14ac:dyDescent="0.25">
      <c r="A112" s="5">
        <v>44481</v>
      </c>
      <c r="B112">
        <v>3.2210000000000001</v>
      </c>
      <c r="C112">
        <v>3.48</v>
      </c>
      <c r="D112">
        <v>2.9889999999999999</v>
      </c>
      <c r="E112">
        <v>3.1509999999999998</v>
      </c>
      <c r="F112">
        <v>4386119.3</v>
      </c>
      <c r="G112">
        <v>3.1509999999999998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-0.34012219959266848</v>
      </c>
      <c r="Q112">
        <f t="shared" ref="Q112" si="536">F112*P112</f>
        <v>-1491816.5439918553</v>
      </c>
      <c r="R112">
        <f t="shared" ref="R112" si="537">R113+Q112</f>
        <v>31448013.417730093</v>
      </c>
      <c r="S112">
        <f t="shared" ref="S112" si="538">R112/100000</f>
        <v>314.48013417730095</v>
      </c>
      <c r="T112">
        <f t="shared" ref="T112" si="539">S112/1000</f>
        <v>0.31448013417730097</v>
      </c>
    </row>
    <row r="113" spans="1:20" x14ac:dyDescent="0.25">
      <c r="A113" s="5">
        <v>44480</v>
      </c>
      <c r="B113">
        <v>3.1659999999999999</v>
      </c>
      <c r="C113">
        <v>3.45</v>
      </c>
      <c r="D113">
        <v>3.1150000000000002</v>
      </c>
      <c r="E113">
        <v>3.2229999999999999</v>
      </c>
      <c r="F113">
        <v>644100</v>
      </c>
      <c r="G113">
        <v>3.2229999999999999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-0.35522388059701693</v>
      </c>
      <c r="Q113">
        <f t="shared" ref="Q113" si="541">F113*P113</f>
        <v>-228799.70149253862</v>
      </c>
      <c r="R113">
        <f t="shared" ref="R113" si="542">R114+Q113</f>
        <v>32939829.961721949</v>
      </c>
      <c r="S113">
        <f t="shared" ref="S113" si="543">R113/100000</f>
        <v>329.39829961721949</v>
      </c>
      <c r="T113">
        <f t="shared" ref="T113" si="544">S113/1000</f>
        <v>0.3293982996172195</v>
      </c>
    </row>
    <row r="114" spans="1:20" x14ac:dyDescent="0.25">
      <c r="A114" s="5">
        <v>44479</v>
      </c>
      <c r="B114">
        <v>3.4369999999999998</v>
      </c>
      <c r="C114">
        <v>3.63</v>
      </c>
      <c r="D114">
        <v>3.1560000000000001</v>
      </c>
      <c r="E114">
        <v>3.1760000000000002</v>
      </c>
      <c r="F114">
        <v>1694365.7</v>
      </c>
      <c r="G114">
        <v>3.1760000000000002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-0.91561181434599148</v>
      </c>
      <c r="Q114">
        <f t="shared" ref="Q114" si="546">F114*P114</f>
        <v>-1551381.2527426158</v>
      </c>
      <c r="R114">
        <f t="shared" ref="R114" si="547">R115+Q114</f>
        <v>33168629.663214486</v>
      </c>
      <c r="S114">
        <f t="shared" ref="S114" si="548">R114/100000</f>
        <v>331.68629663214489</v>
      </c>
      <c r="T114">
        <f t="shared" ref="T114" si="549">S114/1000</f>
        <v>0.33168629663214488</v>
      </c>
    </row>
    <row r="115" spans="1:20" x14ac:dyDescent="0.25">
      <c r="A115" s="5">
        <v>44478</v>
      </c>
      <c r="B115">
        <v>3.331</v>
      </c>
      <c r="C115">
        <v>3.4849999999999999</v>
      </c>
      <c r="D115">
        <v>3.302</v>
      </c>
      <c r="E115">
        <v>3.4340000000000002</v>
      </c>
      <c r="F115">
        <v>508175.1</v>
      </c>
      <c r="G115">
        <v>3.4340000000000002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0.44262295081967473</v>
      </c>
      <c r="Q115">
        <f t="shared" ref="Q115" si="551">F115*P115</f>
        <v>224929.96229508327</v>
      </c>
      <c r="R115">
        <f t="shared" ref="R115" si="552">R116+Q115</f>
        <v>34720010.915957101</v>
      </c>
      <c r="S115">
        <f t="shared" ref="S115" si="553">R115/100000</f>
        <v>347.20010915957101</v>
      </c>
      <c r="T115">
        <f t="shared" ref="T115" si="554">S115/1000</f>
        <v>0.347200109159571</v>
      </c>
    </row>
    <row r="116" spans="1:20" x14ac:dyDescent="0.25">
      <c r="A116" s="5">
        <v>44477</v>
      </c>
      <c r="B116">
        <v>3.4390000000000001</v>
      </c>
      <c r="C116">
        <v>3.7229999999999999</v>
      </c>
      <c r="D116">
        <v>3.3210000000000002</v>
      </c>
      <c r="E116">
        <v>3.327</v>
      </c>
      <c r="F116">
        <v>1113712.8</v>
      </c>
      <c r="G116">
        <v>3.327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-0.97014925373134431</v>
      </c>
      <c r="Q116">
        <f t="shared" ref="Q116" si="556">F116*P116</f>
        <v>-1080467.6417910459</v>
      </c>
      <c r="R116">
        <f t="shared" ref="R116" si="557">R117+Q116</f>
        <v>34495080.953662015</v>
      </c>
      <c r="S116">
        <f t="shared" ref="S116" si="558">R116/100000</f>
        <v>344.95080953662017</v>
      </c>
      <c r="T116">
        <f t="shared" ref="T116" si="559">S116/1000</f>
        <v>0.34495080953662016</v>
      </c>
    </row>
    <row r="117" spans="1:20" x14ac:dyDescent="0.25">
      <c r="A117" s="5">
        <v>44476</v>
      </c>
      <c r="B117">
        <v>3.3420000000000001</v>
      </c>
      <c r="C117">
        <v>3.64</v>
      </c>
      <c r="D117">
        <v>3.2309999999999999</v>
      </c>
      <c r="E117">
        <v>3.4390000000000001</v>
      </c>
      <c r="F117">
        <v>1117605.2</v>
      </c>
      <c r="G117">
        <v>3.4390000000000001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1.7114914425428149E-2</v>
      </c>
      <c r="Q117">
        <f t="shared" ref="Q117" si="561">F117*P117</f>
        <v>19127.717359413513</v>
      </c>
      <c r="R117">
        <f t="shared" ref="R117" si="562">R118+Q117</f>
        <v>35575548.595453061</v>
      </c>
      <c r="S117">
        <f t="shared" ref="S117" si="563">R117/100000</f>
        <v>355.75548595453063</v>
      </c>
      <c r="T117">
        <f t="shared" ref="T117" si="564">S117/1000</f>
        <v>0.3557554859545306</v>
      </c>
    </row>
    <row r="118" spans="1:20" x14ac:dyDescent="0.25">
      <c r="A118" s="5">
        <v>44475</v>
      </c>
      <c r="B118">
        <v>3.423</v>
      </c>
      <c r="C118">
        <v>3.5</v>
      </c>
      <c r="D118">
        <v>3.2210000000000001</v>
      </c>
      <c r="E118">
        <v>3.3450000000000002</v>
      </c>
      <c r="F118">
        <v>933771.8</v>
      </c>
      <c r="G118">
        <v>3.3450000000000002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-0.11111111111111005</v>
      </c>
      <c r="Q118">
        <f t="shared" ref="Q118" si="566">F118*P118</f>
        <v>-103752.42222222124</v>
      </c>
      <c r="R118">
        <f t="shared" ref="R118" si="567">R119+Q118</f>
        <v>35556420.878093645</v>
      </c>
      <c r="S118">
        <f t="shared" ref="S118" si="568">R118/100000</f>
        <v>355.56420878093644</v>
      </c>
      <c r="T118">
        <f t="shared" ref="T118" si="569">S118/1000</f>
        <v>0.35556420878093642</v>
      </c>
    </row>
    <row r="119" spans="1:20" x14ac:dyDescent="0.25">
      <c r="A119" s="5">
        <v>44474</v>
      </c>
      <c r="B119">
        <v>3.3279999999999998</v>
      </c>
      <c r="C119">
        <v>3.4809999999999999</v>
      </c>
      <c r="D119">
        <v>3.2229999999999999</v>
      </c>
      <c r="E119">
        <v>3.4180000000000001</v>
      </c>
      <c r="F119">
        <v>735778.1</v>
      </c>
      <c r="G119">
        <v>3.4180000000000001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0.51162790697674632</v>
      </c>
      <c r="Q119">
        <f t="shared" ref="Q119" si="571">F119*P119</f>
        <v>376444.60930232715</v>
      </c>
      <c r="R119">
        <f t="shared" ref="R119" si="572">R120+Q119</f>
        <v>35660173.300315864</v>
      </c>
      <c r="S119">
        <f t="shared" ref="S119" si="573">R119/100000</f>
        <v>356.60173300315864</v>
      </c>
      <c r="T119">
        <f t="shared" ref="T119" si="574">S119/1000</f>
        <v>0.35660173300315862</v>
      </c>
    </row>
    <row r="120" spans="1:20" x14ac:dyDescent="0.25">
      <c r="A120" s="5">
        <v>44473</v>
      </c>
      <c r="B120">
        <v>3.2170000000000001</v>
      </c>
      <c r="C120">
        <v>3.4249999999999998</v>
      </c>
      <c r="D120">
        <v>3.1019999999999999</v>
      </c>
      <c r="E120">
        <v>3.3410000000000002</v>
      </c>
      <c r="F120">
        <v>1045227.8</v>
      </c>
      <c r="G120">
        <v>3.3410000000000002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0.47987616099071428</v>
      </c>
      <c r="Q120">
        <f t="shared" ref="Q120" si="576">F120*P120</f>
        <v>501579.90402477013</v>
      </c>
      <c r="R120">
        <f t="shared" ref="R120" si="577">R121+Q120</f>
        <v>35283728.691013537</v>
      </c>
      <c r="S120">
        <f t="shared" ref="S120" si="578">R120/100000</f>
        <v>352.83728691013539</v>
      </c>
      <c r="T120">
        <f t="shared" ref="T120" si="579">S120/1000</f>
        <v>0.35283728691013538</v>
      </c>
    </row>
    <row r="121" spans="1:20" x14ac:dyDescent="0.25">
      <c r="A121" s="5">
        <v>44472</v>
      </c>
      <c r="B121">
        <v>3.1269999999999998</v>
      </c>
      <c r="C121">
        <v>3.3029999999999999</v>
      </c>
      <c r="D121">
        <v>3.0659999999999998</v>
      </c>
      <c r="E121">
        <v>3.2050000000000001</v>
      </c>
      <c r="F121">
        <v>712298.8</v>
      </c>
      <c r="G121">
        <v>3.2050000000000001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0.1729957805907188</v>
      </c>
      <c r="Q121">
        <f t="shared" ref="Q121" si="581">F121*P121</f>
        <v>123224.6869198323</v>
      </c>
      <c r="R121">
        <f t="shared" ref="R121" si="582">R122+Q121</f>
        <v>34782148.786988765</v>
      </c>
      <c r="S121">
        <f t="shared" ref="S121" si="583">R121/100000</f>
        <v>347.82148786988768</v>
      </c>
      <c r="T121">
        <f t="shared" ref="T121" si="584">S121/1000</f>
        <v>0.3478214878698877</v>
      </c>
    </row>
    <row r="122" spans="1:20" x14ac:dyDescent="0.25">
      <c r="A122" s="5">
        <v>44471</v>
      </c>
      <c r="B122">
        <v>3.1680000000000001</v>
      </c>
      <c r="C122">
        <v>3.27</v>
      </c>
      <c r="D122">
        <v>3.101</v>
      </c>
      <c r="E122">
        <v>3.1259999999999999</v>
      </c>
      <c r="F122">
        <v>747188.1</v>
      </c>
      <c r="G122">
        <v>3.1259999999999999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-0.70414201183432068</v>
      </c>
      <c r="Q122">
        <f t="shared" ref="Q122" si="586">F122*P122</f>
        <v>-526126.53195266356</v>
      </c>
      <c r="R122">
        <f t="shared" ref="R122" si="587">R123+Q122</f>
        <v>34658924.100068934</v>
      </c>
      <c r="S122">
        <f t="shared" ref="S122" si="588">R122/100000</f>
        <v>346.58924100068936</v>
      </c>
      <c r="T122">
        <f t="shared" ref="T122" si="589">S122/1000</f>
        <v>0.34658924100068933</v>
      </c>
    </row>
    <row r="123" spans="1:20" x14ac:dyDescent="0.25">
      <c r="A123" s="5">
        <v>44470</v>
      </c>
      <c r="B123">
        <v>3.0110000000000001</v>
      </c>
      <c r="C123">
        <v>3.2280000000000002</v>
      </c>
      <c r="D123">
        <v>2.9140000000000001</v>
      </c>
      <c r="E123">
        <v>3.1680000000000001</v>
      </c>
      <c r="F123">
        <v>1799577.4</v>
      </c>
      <c r="G123">
        <v>3.1680000000000001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0.61783439490445835</v>
      </c>
      <c r="Q123">
        <f t="shared" ref="Q123" si="591">F123*P123</f>
        <v>1111840.8140127384</v>
      </c>
      <c r="R123">
        <f t="shared" ref="R123" si="592">R124+Q123</f>
        <v>35185050.632021599</v>
      </c>
      <c r="S123">
        <f t="shared" ref="S123" si="593">R123/100000</f>
        <v>351.85050632021597</v>
      </c>
      <c r="T123">
        <f t="shared" ref="T123" si="594">S123/1000</f>
        <v>0.35185050632021597</v>
      </c>
    </row>
    <row r="124" spans="1:20" x14ac:dyDescent="0.25">
      <c r="A124" s="5">
        <v>44469</v>
      </c>
      <c r="B124">
        <v>2.65</v>
      </c>
      <c r="C124">
        <v>3.3479999999999999</v>
      </c>
      <c r="D124">
        <v>2.6349999999999998</v>
      </c>
      <c r="E124">
        <v>3.0110000000000001</v>
      </c>
      <c r="F124">
        <v>4355757.0999999996</v>
      </c>
      <c r="G124">
        <v>3.0110000000000001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5.4698457223002227E-2</v>
      </c>
      <c r="Q124">
        <f t="shared" ref="Q124" si="596">F124*P124</f>
        <v>238253.19340813821</v>
      </c>
      <c r="R124">
        <f t="shared" ref="R124" si="597">R125+Q124</f>
        <v>34073209.818008862</v>
      </c>
      <c r="S124">
        <f t="shared" ref="S124" si="598">R124/100000</f>
        <v>340.7320981800886</v>
      </c>
      <c r="T124">
        <f t="shared" ref="T124" si="599">S124/1000</f>
        <v>0.34073209818008859</v>
      </c>
    </row>
    <row r="125" spans="1:20" x14ac:dyDescent="0.25">
      <c r="A125" s="5">
        <v>44468</v>
      </c>
      <c r="B125">
        <v>2.5670000000000002</v>
      </c>
      <c r="C125">
        <v>2.8029999999999999</v>
      </c>
      <c r="D125">
        <v>2.532</v>
      </c>
      <c r="E125">
        <v>2.6560000000000001</v>
      </c>
      <c r="F125">
        <v>380934.3</v>
      </c>
      <c r="G125">
        <v>2.6560000000000001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-8.4870848708485963E-2</v>
      </c>
      <c r="Q125">
        <f t="shared" ref="Q125" si="601">F125*P125</f>
        <v>-32330.217343173004</v>
      </c>
      <c r="R125">
        <f t="shared" ref="R125" si="602">R126+Q125</f>
        <v>33834956.624600723</v>
      </c>
      <c r="S125">
        <f t="shared" ref="S125" si="603">R125/100000</f>
        <v>338.34956624600721</v>
      </c>
      <c r="T125">
        <f t="shared" ref="T125" si="604">S125/1000</f>
        <v>0.33834956624600721</v>
      </c>
    </row>
    <row r="126" spans="1:20" x14ac:dyDescent="0.25">
      <c r="A126" s="5">
        <v>44467</v>
      </c>
      <c r="B126">
        <v>2.6539999999999999</v>
      </c>
      <c r="C126">
        <v>2.7530000000000001</v>
      </c>
      <c r="D126">
        <v>2.5550000000000002</v>
      </c>
      <c r="E126">
        <v>2.5670000000000002</v>
      </c>
      <c r="F126">
        <v>1146584.58</v>
      </c>
      <c r="G126">
        <v>2.5670000000000002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-0.87878787878787867</v>
      </c>
      <c r="Q126">
        <f t="shared" ref="Q126" si="606">F126*P126</f>
        <v>-1007604.6309090909</v>
      </c>
      <c r="R126">
        <f t="shared" ref="R126" si="607">R127+Q126</f>
        <v>33867286.841943897</v>
      </c>
      <c r="S126">
        <f t="shared" ref="S126" si="608">R126/100000</f>
        <v>338.672868419439</v>
      </c>
      <c r="T126">
        <f t="shared" ref="T126" si="609">S126/1000</f>
        <v>0.338672868419439</v>
      </c>
    </row>
    <row r="127" spans="1:20" x14ac:dyDescent="0.25">
      <c r="A127" s="5">
        <v>44466</v>
      </c>
      <c r="B127">
        <v>2.7949999999999999</v>
      </c>
      <c r="C127">
        <v>2.9990000000000001</v>
      </c>
      <c r="D127">
        <v>2.6509999999999998</v>
      </c>
      <c r="E127">
        <v>2.6539999999999999</v>
      </c>
      <c r="F127">
        <v>1982788.2</v>
      </c>
      <c r="G127">
        <v>2.6539999999999999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-0.98275862068965458</v>
      </c>
      <c r="Q127">
        <f t="shared" ref="Q127" si="611">F127*P127</f>
        <v>-1948602.1965517229</v>
      </c>
      <c r="R127">
        <f t="shared" ref="R127" si="612">R128+Q127</f>
        <v>34874891.47285299</v>
      </c>
      <c r="S127">
        <f t="shared" ref="S127" si="613">R127/100000</f>
        <v>348.74891472852988</v>
      </c>
      <c r="T127">
        <f t="shared" ref="T127" si="614">S127/1000</f>
        <v>0.34874891472852987</v>
      </c>
    </row>
    <row r="128" spans="1:20" x14ac:dyDescent="0.25">
      <c r="A128" s="5">
        <v>44465</v>
      </c>
      <c r="B128">
        <v>2.9020000000000001</v>
      </c>
      <c r="C128">
        <v>2.92</v>
      </c>
      <c r="D128">
        <v>2.61</v>
      </c>
      <c r="E128">
        <v>2.7949999999999999</v>
      </c>
      <c r="F128">
        <v>1099163.8700000001</v>
      </c>
      <c r="G128">
        <v>2.7949999999999999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0.19354838709677433</v>
      </c>
      <c r="Q128">
        <f t="shared" ref="Q128" si="616">F128*P128</f>
        <v>212741.39419354856</v>
      </c>
      <c r="R128">
        <f t="shared" ref="R128" si="617">R129+Q128</f>
        <v>36823493.669404715</v>
      </c>
      <c r="S128">
        <f t="shared" ref="S128" si="618">R128/100000</f>
        <v>368.23493669404718</v>
      </c>
      <c r="T128">
        <f t="shared" ref="T128" si="619">S128/1000</f>
        <v>0.36823493669404717</v>
      </c>
    </row>
    <row r="129" spans="1:20" x14ac:dyDescent="0.25">
      <c r="A129" s="5">
        <v>44464</v>
      </c>
      <c r="B129">
        <v>2.9159999999999999</v>
      </c>
      <c r="C129">
        <v>3.113</v>
      </c>
      <c r="D129">
        <v>2.7389999999999999</v>
      </c>
      <c r="E129">
        <v>2.9009999999999998</v>
      </c>
      <c r="F129">
        <v>4217622.2</v>
      </c>
      <c r="G129">
        <v>2.9009999999999998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-0.13368983957219319</v>
      </c>
      <c r="Q129">
        <f t="shared" ref="Q129" si="621">F129*P129</f>
        <v>-563853.2352941205</v>
      </c>
      <c r="R129">
        <f t="shared" ref="R129" si="622">R130+Q129</f>
        <v>36610752.27521117</v>
      </c>
      <c r="S129">
        <f t="shared" ref="S129" si="623">R129/100000</f>
        <v>366.10752275211172</v>
      </c>
      <c r="T129">
        <f t="shared" ref="T129" si="624">S129/1000</f>
        <v>0.36610752275211172</v>
      </c>
    </row>
    <row r="130" spans="1:20" x14ac:dyDescent="0.25">
      <c r="A130" s="5">
        <v>44463</v>
      </c>
      <c r="B130">
        <v>3.097</v>
      </c>
      <c r="C130">
        <v>3.1139999999999999</v>
      </c>
      <c r="D130">
        <v>2.6819999999999999</v>
      </c>
      <c r="E130">
        <v>2.915</v>
      </c>
      <c r="F130">
        <v>906933.3</v>
      </c>
      <c r="G130">
        <v>2.915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7.8703703703704303E-2</v>
      </c>
      <c r="Q130">
        <f t="shared" ref="Q130" si="626">F130*P130</f>
        <v>71379.009722222763</v>
      </c>
      <c r="R130">
        <f t="shared" ref="R130" si="627">R131+Q130</f>
        <v>37174605.510505289</v>
      </c>
      <c r="S130">
        <f t="shared" ref="S130" si="628">R130/100000</f>
        <v>371.7460551050529</v>
      </c>
      <c r="T130">
        <f t="shared" ref="T130" si="629">S130/1000</f>
        <v>0.37174605510505293</v>
      </c>
    </row>
    <row r="131" spans="1:20" x14ac:dyDescent="0.25">
      <c r="A131" s="5">
        <v>44462</v>
      </c>
      <c r="B131">
        <v>3.0779999999999998</v>
      </c>
      <c r="C131">
        <v>3.2930000000000001</v>
      </c>
      <c r="D131">
        <v>2.944</v>
      </c>
      <c r="E131">
        <v>3.0979999999999999</v>
      </c>
      <c r="F131">
        <v>725328</v>
      </c>
      <c r="G131">
        <v>3.0979999999999999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-0.11747851002865428</v>
      </c>
      <c r="Q131">
        <f t="shared" ref="Q131" si="631">F131*P131</f>
        <v>-85210.452722063754</v>
      </c>
      <c r="R131">
        <f t="shared" ref="R131" si="632">R132+Q131</f>
        <v>37103226.500783063</v>
      </c>
      <c r="S131">
        <f t="shared" ref="S131" si="633">R131/100000</f>
        <v>371.03226500783063</v>
      </c>
      <c r="T131">
        <f t="shared" ref="T131" si="634">S131/1000</f>
        <v>0.37103226500783065</v>
      </c>
    </row>
    <row r="132" spans="1:20" x14ac:dyDescent="0.25">
      <c r="A132" s="5">
        <v>44461</v>
      </c>
      <c r="B132">
        <v>2.7440000000000002</v>
      </c>
      <c r="C132">
        <v>3.1</v>
      </c>
      <c r="D132">
        <v>2.7080000000000002</v>
      </c>
      <c r="E132">
        <v>3.077</v>
      </c>
      <c r="F132">
        <v>814438.7</v>
      </c>
      <c r="G132">
        <v>3.077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0.88265306122448906</v>
      </c>
      <c r="Q132">
        <f t="shared" ref="Q132" si="636">F132*P132</f>
        <v>718866.81173469324</v>
      </c>
      <c r="R132">
        <f t="shared" ref="R132" si="637">R133+Q132</f>
        <v>37188436.953505129</v>
      </c>
      <c r="S132">
        <f t="shared" ref="S132" si="638">R132/100000</f>
        <v>371.88436953505129</v>
      </c>
      <c r="T132">
        <f t="shared" ref="T132" si="639">S132/1000</f>
        <v>0.37188436953505127</v>
      </c>
    </row>
    <row r="133" spans="1:20" x14ac:dyDescent="0.25">
      <c r="A133" s="5">
        <v>44460</v>
      </c>
      <c r="B133">
        <v>2.9689999999999999</v>
      </c>
      <c r="C133">
        <v>3.1930000000000001</v>
      </c>
      <c r="D133">
        <v>2.6749999999999998</v>
      </c>
      <c r="E133">
        <v>2.7440000000000002</v>
      </c>
      <c r="F133">
        <v>1105288</v>
      </c>
      <c r="G133">
        <v>2.7440000000000002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-0.73359073359073224</v>
      </c>
      <c r="Q133">
        <f t="shared" ref="Q133" si="641">F133*P133</f>
        <v>-810829.03474903328</v>
      </c>
      <c r="R133">
        <f t="shared" ref="R133" si="642">R134+Q133</f>
        <v>36469570.141770437</v>
      </c>
      <c r="S133">
        <f t="shared" ref="S133" si="643">R133/100000</f>
        <v>364.69570141770436</v>
      </c>
      <c r="T133">
        <f t="shared" ref="T133" si="644">S133/1000</f>
        <v>0.36469570141770435</v>
      </c>
    </row>
    <row r="134" spans="1:20" x14ac:dyDescent="0.25">
      <c r="A134" s="5">
        <v>44459</v>
      </c>
      <c r="B134">
        <v>3.5920000000000001</v>
      </c>
      <c r="C134">
        <v>3.6080000000000001</v>
      </c>
      <c r="D134">
        <v>3.1461999999999999</v>
      </c>
      <c r="E134">
        <v>3.1960000000000002</v>
      </c>
      <c r="F134">
        <v>639340.24</v>
      </c>
      <c r="G134">
        <v>3.1960000000000002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-0.78432221741013308</v>
      </c>
      <c r="Q134">
        <f t="shared" ref="Q134" si="646">F134*P134</f>
        <v>-501448.75471632666</v>
      </c>
      <c r="R134">
        <f t="shared" ref="R134" si="647">R135+Q134</f>
        <v>37280399.176519468</v>
      </c>
      <c r="S134">
        <f t="shared" ref="S134" si="648">R134/100000</f>
        <v>372.80399176519467</v>
      </c>
      <c r="T134">
        <f t="shared" ref="T134" si="649">S134/1000</f>
        <v>0.37280399176519469</v>
      </c>
    </row>
    <row r="135" spans="1:20" x14ac:dyDescent="0.25">
      <c r="A135" s="5">
        <v>44458</v>
      </c>
      <c r="B135">
        <v>3.58</v>
      </c>
      <c r="C135">
        <v>3.7530000000000001</v>
      </c>
      <c r="D135">
        <v>3.5310000000000001</v>
      </c>
      <c r="E135">
        <v>3.5990000000000002</v>
      </c>
      <c r="F135">
        <v>706243.9</v>
      </c>
      <c r="G135">
        <v>3.5990000000000002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-0.38738738738738676</v>
      </c>
      <c r="Q135">
        <f t="shared" ref="Q135" si="651">F135*P135</f>
        <v>-273589.97927927884</v>
      </c>
      <c r="R135">
        <f t="shared" ref="R135" si="652">R136+Q135</f>
        <v>37781847.931235798</v>
      </c>
      <c r="S135">
        <f t="shared" ref="S135" si="653">R135/100000</f>
        <v>377.81847931235797</v>
      </c>
      <c r="T135">
        <f t="shared" ref="T135" si="654">S135/1000</f>
        <v>0.37781847931235796</v>
      </c>
    </row>
    <row r="136" spans="1:20" x14ac:dyDescent="0.25">
      <c r="A136" s="5">
        <v>44457</v>
      </c>
      <c r="B136">
        <v>3.5150000000000001</v>
      </c>
      <c r="C136">
        <v>3.637</v>
      </c>
      <c r="D136">
        <v>3.4660000000000002</v>
      </c>
      <c r="E136">
        <v>3.5760000000000001</v>
      </c>
      <c r="F136">
        <v>419344.5</v>
      </c>
      <c r="G136">
        <v>3.5760000000000001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0.28654970760233911</v>
      </c>
      <c r="Q136">
        <f t="shared" ref="Q136" si="656">F136*P136</f>
        <v>120163.04385964909</v>
      </c>
      <c r="R136">
        <f t="shared" ref="R136" si="657">R137+Q136</f>
        <v>38055437.910515077</v>
      </c>
      <c r="S136">
        <f t="shared" ref="S136" si="658">R136/100000</f>
        <v>380.55437910515076</v>
      </c>
      <c r="T136">
        <f t="shared" ref="T136" si="659">S136/1000</f>
        <v>0.38055437910515078</v>
      </c>
    </row>
    <row r="137" spans="1:20" x14ac:dyDescent="0.25">
      <c r="A137" s="5">
        <v>44456</v>
      </c>
      <c r="B137">
        <v>3.6110000000000002</v>
      </c>
      <c r="C137">
        <v>3.64</v>
      </c>
      <c r="D137">
        <v>3.476</v>
      </c>
      <c r="E137">
        <v>3.5110000000000001</v>
      </c>
      <c r="F137">
        <v>440188.2</v>
      </c>
      <c r="G137">
        <v>3.5110000000000001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-0.57317073170731569</v>
      </c>
      <c r="Q137">
        <f t="shared" ref="Q137" si="661">F137*P137</f>
        <v>-252302.99268292624</v>
      </c>
      <c r="R137">
        <f t="shared" ref="R137" si="662">R138+Q137</f>
        <v>37935274.866655432</v>
      </c>
      <c r="S137">
        <f t="shared" ref="S137" si="663">R137/100000</f>
        <v>379.35274866655431</v>
      </c>
      <c r="T137">
        <f t="shared" ref="T137" si="664">S137/1000</f>
        <v>0.37935274866655433</v>
      </c>
    </row>
    <row r="138" spans="1:20" x14ac:dyDescent="0.25">
      <c r="A138" s="5">
        <v>44455</v>
      </c>
      <c r="B138">
        <v>3.7879999999999998</v>
      </c>
      <c r="C138">
        <v>3.839</v>
      </c>
      <c r="D138">
        <v>3.508</v>
      </c>
      <c r="E138">
        <v>3.6110000000000002</v>
      </c>
      <c r="F138">
        <v>605567.4</v>
      </c>
      <c r="G138">
        <v>3.6110000000000002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-0.37764350453172074</v>
      </c>
      <c r="Q138">
        <f t="shared" ref="Q138" si="666">F138*P138</f>
        <v>-228688.59516616235</v>
      </c>
      <c r="R138">
        <f t="shared" ref="R138" si="667">R139+Q138</f>
        <v>38187577.859338358</v>
      </c>
      <c r="S138">
        <f t="shared" ref="S138" si="668">R138/100000</f>
        <v>381.87577859338359</v>
      </c>
      <c r="T138">
        <f t="shared" ref="T138" si="669">S138/1000</f>
        <v>0.38187577859338356</v>
      </c>
    </row>
    <row r="139" spans="1:20" x14ac:dyDescent="0.25">
      <c r="A139" s="5">
        <v>44454</v>
      </c>
      <c r="B139">
        <v>3.5750000000000002</v>
      </c>
      <c r="C139">
        <v>3.806</v>
      </c>
      <c r="D139">
        <v>3.5</v>
      </c>
      <c r="E139">
        <v>3.7879999999999998</v>
      </c>
      <c r="F139">
        <v>645942.19999999995</v>
      </c>
      <c r="G139">
        <v>3.7879999999999998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0.88235294117646901</v>
      </c>
      <c r="Q139">
        <f t="shared" ref="Q139" si="671">F139*P139</f>
        <v>569948.99999999895</v>
      </c>
      <c r="R139">
        <f t="shared" ref="R139" si="672">R140+Q139</f>
        <v>38416266.45450452</v>
      </c>
      <c r="S139">
        <f t="shared" ref="S139" si="673">R139/100000</f>
        <v>384.16266454504517</v>
      </c>
      <c r="T139">
        <f t="shared" ref="T139" si="674">S139/1000</f>
        <v>0.38416266454504516</v>
      </c>
    </row>
    <row r="140" spans="1:20" x14ac:dyDescent="0.25">
      <c r="A140" s="5">
        <v>44453</v>
      </c>
      <c r="B140">
        <v>3.4319999999999999</v>
      </c>
      <c r="C140">
        <v>3.5760000000000001</v>
      </c>
      <c r="D140">
        <v>3.3719999999999999</v>
      </c>
      <c r="E140">
        <v>3.5760000000000001</v>
      </c>
      <c r="F140">
        <v>689731.4</v>
      </c>
      <c r="G140">
        <v>3.5760000000000001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1</v>
      </c>
      <c r="Q140">
        <f t="shared" ref="Q140" si="676">F140*P140</f>
        <v>689731.4</v>
      </c>
      <c r="R140">
        <f t="shared" ref="R140" si="677">R141+Q140</f>
        <v>37846317.45450452</v>
      </c>
      <c r="S140">
        <f t="shared" ref="S140" si="678">R140/100000</f>
        <v>378.46317454504521</v>
      </c>
      <c r="T140">
        <f t="shared" ref="T140" si="679">S140/1000</f>
        <v>0.37846317454504519</v>
      </c>
    </row>
    <row r="141" spans="1:20" x14ac:dyDescent="0.25">
      <c r="A141" s="5">
        <v>44452</v>
      </c>
      <c r="B141">
        <v>3.637</v>
      </c>
      <c r="C141">
        <v>3.6760000000000002</v>
      </c>
      <c r="D141">
        <v>3.2149999999999999</v>
      </c>
      <c r="E141">
        <v>3.4319999999999999</v>
      </c>
      <c r="F141">
        <v>1123415.8999999999</v>
      </c>
      <c r="G141">
        <v>3.4319999999999999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-5.8568329718004596E-2</v>
      </c>
      <c r="Q141">
        <f t="shared" ref="Q141" si="681">F141*P141</f>
        <v>-65796.592841648875</v>
      </c>
      <c r="R141">
        <f t="shared" ref="R141" si="682">R142+Q141</f>
        <v>37156586.054504521</v>
      </c>
      <c r="S141">
        <f t="shared" ref="S141" si="683">R141/100000</f>
        <v>371.56586054504521</v>
      </c>
      <c r="T141">
        <f t="shared" ref="T141" si="684">S141/1000</f>
        <v>0.3715658605450452</v>
      </c>
    </row>
    <row r="142" spans="1:20" x14ac:dyDescent="0.25">
      <c r="A142" s="5">
        <v>44451</v>
      </c>
      <c r="B142">
        <v>3.55</v>
      </c>
      <c r="C142">
        <v>3.8029999999999999</v>
      </c>
      <c r="D142">
        <v>3.4380000000000002</v>
      </c>
      <c r="E142">
        <v>3.6389999999999998</v>
      </c>
      <c r="F142">
        <v>1249762.3999999999</v>
      </c>
      <c r="G142">
        <v>3.6389999999999998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0.10136986301369727</v>
      </c>
      <c r="Q142">
        <f t="shared" ref="Q142" si="686">F142*P142</f>
        <v>126688.24328766952</v>
      </c>
      <c r="R142">
        <f t="shared" ref="R142" si="687">R143+Q142</f>
        <v>37222382.647346169</v>
      </c>
      <c r="S142">
        <f t="shared" ref="S142" si="688">R142/100000</f>
        <v>372.22382647346171</v>
      </c>
      <c r="T142">
        <f t="shared" ref="T142" si="689">S142/1000</f>
        <v>0.37222382647346169</v>
      </c>
    </row>
    <row r="143" spans="1:20" x14ac:dyDescent="0.25">
      <c r="A143" s="5">
        <v>44450</v>
      </c>
      <c r="B143">
        <v>3.3570000000000002</v>
      </c>
      <c r="C143">
        <v>4</v>
      </c>
      <c r="D143">
        <v>3.3460000000000001</v>
      </c>
      <c r="E143">
        <v>3.55</v>
      </c>
      <c r="F143">
        <v>1982729.6</v>
      </c>
      <c r="G143">
        <v>3.55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-0.37614678899082643</v>
      </c>
      <c r="Q143">
        <f t="shared" ref="Q143" si="691">F143*P143</f>
        <v>-745797.37247706577</v>
      </c>
      <c r="R143">
        <f t="shared" ref="R143" si="692">R144+Q143</f>
        <v>37095694.404058501</v>
      </c>
      <c r="S143">
        <f t="shared" ref="S143" si="693">R143/100000</f>
        <v>370.95694404058503</v>
      </c>
      <c r="T143">
        <f t="shared" ref="T143" si="694">S143/1000</f>
        <v>0.37095694404058505</v>
      </c>
    </row>
    <row r="144" spans="1:20" x14ac:dyDescent="0.25">
      <c r="A144" s="5">
        <v>44449</v>
      </c>
      <c r="B144">
        <v>3.573</v>
      </c>
      <c r="C144">
        <v>3.738</v>
      </c>
      <c r="D144">
        <v>3.242</v>
      </c>
      <c r="E144">
        <v>3.3540000000000001</v>
      </c>
      <c r="F144">
        <v>1012198.5</v>
      </c>
      <c r="G144">
        <v>3.3540000000000001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-0.54838709677419317</v>
      </c>
      <c r="Q144">
        <f t="shared" ref="Q144" si="696">F144*P144</f>
        <v>-555076.59677419323</v>
      </c>
      <c r="R144">
        <f t="shared" ref="R144" si="697">R145+Q144</f>
        <v>37841491.776535563</v>
      </c>
      <c r="S144">
        <f t="shared" ref="S144" si="698">R144/100000</f>
        <v>378.41491776535565</v>
      </c>
      <c r="T144">
        <f t="shared" ref="T144" si="699">S144/1000</f>
        <v>0.37841491776535563</v>
      </c>
    </row>
    <row r="145" spans="1:20" x14ac:dyDescent="0.25">
      <c r="A145" s="5">
        <v>44448</v>
      </c>
      <c r="B145">
        <v>3.5539999999999998</v>
      </c>
      <c r="C145">
        <v>3.806</v>
      </c>
      <c r="D145">
        <v>3.4769999999999999</v>
      </c>
      <c r="E145">
        <v>3.5720000000000001</v>
      </c>
      <c r="F145">
        <v>1410497.8</v>
      </c>
      <c r="G145">
        <v>3.5720000000000001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-0.42249240121580461</v>
      </c>
      <c r="Q145">
        <f t="shared" ref="Q145" si="701">F145*P145</f>
        <v>-595924.60243160976</v>
      </c>
      <c r="R145">
        <f t="shared" ref="R145" si="702">R146+Q145</f>
        <v>38396568.373309754</v>
      </c>
      <c r="S145">
        <f t="shared" ref="S145" si="703">R145/100000</f>
        <v>383.96568373309753</v>
      </c>
      <c r="T145">
        <f t="shared" ref="T145" si="704">S145/1000</f>
        <v>0.38396568373309753</v>
      </c>
    </row>
    <row r="146" spans="1:20" x14ac:dyDescent="0.25">
      <c r="A146" s="5">
        <v>44447</v>
      </c>
      <c r="B146">
        <v>3.5870000000000002</v>
      </c>
      <c r="C146">
        <v>3.7120000000000002</v>
      </c>
      <c r="D146">
        <v>3.282</v>
      </c>
      <c r="E146">
        <v>3.552</v>
      </c>
      <c r="F146">
        <v>1005750.9</v>
      </c>
      <c r="G146">
        <v>3.552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0.25581395348837171</v>
      </c>
      <c r="Q146">
        <f t="shared" ref="Q146" si="706">F146*P146</f>
        <v>257285.11395348801</v>
      </c>
      <c r="R146">
        <f t="shared" ref="R146" si="707">R147+Q146</f>
        <v>38992492.975741364</v>
      </c>
      <c r="S146">
        <f t="shared" ref="S146" si="708">R146/100000</f>
        <v>389.92492975741362</v>
      </c>
      <c r="T146">
        <f t="shared" ref="T146" si="709">S146/1000</f>
        <v>0.38992492975741361</v>
      </c>
    </row>
    <row r="147" spans="1:20" x14ac:dyDescent="0.25">
      <c r="A147" s="5">
        <v>44446</v>
      </c>
      <c r="B147">
        <v>4.524</v>
      </c>
      <c r="C147">
        <v>4.7430000000000003</v>
      </c>
      <c r="D147">
        <v>3.202</v>
      </c>
      <c r="E147">
        <v>3.5870000000000002</v>
      </c>
      <c r="F147">
        <v>2749874.18</v>
      </c>
      <c r="G147">
        <v>3.5870000000000002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-0.50032446463335478</v>
      </c>
      <c r="Q147">
        <f t="shared" ref="Q147" si="711">F147*P147</f>
        <v>-1375829.3269175855</v>
      </c>
      <c r="R147">
        <f t="shared" ref="R147" si="712">R148+Q147</f>
        <v>38735207.861787878</v>
      </c>
      <c r="S147">
        <f t="shared" ref="S147" si="713">R147/100000</f>
        <v>387.35207861787876</v>
      </c>
      <c r="T147">
        <f t="shared" ref="T147" si="714">S147/1000</f>
        <v>0.38735207861787874</v>
      </c>
    </row>
    <row r="148" spans="1:20" x14ac:dyDescent="0.25">
      <c r="A148" s="5">
        <v>44445</v>
      </c>
      <c r="B148">
        <v>4.577</v>
      </c>
      <c r="C148">
        <v>4.75</v>
      </c>
      <c r="D148">
        <v>4.38</v>
      </c>
      <c r="E148">
        <v>4.524</v>
      </c>
      <c r="F148">
        <v>1586622.9</v>
      </c>
      <c r="G148">
        <v>4.524</v>
      </c>
      <c r="L148" t="s">
        <v>7</v>
      </c>
      <c r="M148" t="s">
        <v>8</v>
      </c>
      <c r="N148" t="s">
        <v>7</v>
      </c>
      <c r="P148">
        <f t="shared" ref="P148" si="715">IF(C148=D148,0,((E148-D148)-(C148-E148))/(C148-D148))</f>
        <v>-0.22162162162162116</v>
      </c>
      <c r="Q148">
        <f t="shared" ref="Q148" si="716">F148*P148</f>
        <v>-351629.93999999925</v>
      </c>
      <c r="R148">
        <f t="shared" ref="R148" si="717">R149+Q148</f>
        <v>40111037.188705467</v>
      </c>
      <c r="S148">
        <f t="shared" ref="S148" si="718">R148/100000</f>
        <v>401.11037188705467</v>
      </c>
      <c r="T148">
        <f t="shared" ref="T148" si="719">S148/1000</f>
        <v>0.40111037188705467</v>
      </c>
    </row>
    <row r="149" spans="1:20" x14ac:dyDescent="0.25">
      <c r="A149" s="5">
        <v>44444</v>
      </c>
      <c r="B149">
        <v>4.1970000000000001</v>
      </c>
      <c r="C149">
        <v>4.7350000000000003</v>
      </c>
      <c r="D149">
        <v>4.1909999999999998</v>
      </c>
      <c r="E149">
        <v>4.5789999999999997</v>
      </c>
      <c r="F149">
        <v>2167941.21</v>
      </c>
      <c r="G149">
        <v>4.5789999999999997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0.42647058823529249</v>
      </c>
      <c r="Q149">
        <f t="shared" ref="Q149" si="721">F149*P149</f>
        <v>924563.1630882317</v>
      </c>
      <c r="R149">
        <f t="shared" ref="R149" si="722">R150+Q149</f>
        <v>40462667.128705464</v>
      </c>
      <c r="S149">
        <f t="shared" ref="S149" si="723">R149/100000</f>
        <v>404.62667128705465</v>
      </c>
      <c r="T149">
        <f t="shared" ref="T149" si="724">S149/1000</f>
        <v>0.40462667128705465</v>
      </c>
    </row>
    <row r="150" spans="1:20" x14ac:dyDescent="0.25">
      <c r="A150" s="5">
        <v>44443</v>
      </c>
      <c r="B150">
        <v>4.2690000000000001</v>
      </c>
      <c r="C150">
        <v>4.43</v>
      </c>
      <c r="D150">
        <v>4.1239999999999997</v>
      </c>
      <c r="E150">
        <v>4.1970000000000001</v>
      </c>
      <c r="F150">
        <v>1086349.33</v>
      </c>
      <c r="G150">
        <v>4.1970000000000001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-0.52287581699346153</v>
      </c>
      <c r="Q150">
        <f t="shared" ref="Q150" si="726">F150*P150</f>
        <v>-568025.79346404958</v>
      </c>
      <c r="R150">
        <f t="shared" ref="R150" si="727">R151+Q150</f>
        <v>39538103.965617232</v>
      </c>
      <c r="S150">
        <f t="shared" ref="S150" si="728">R150/100000</f>
        <v>395.38103965617233</v>
      </c>
      <c r="T150">
        <f t="shared" ref="T150" si="729">S150/1000</f>
        <v>0.39538103965617233</v>
      </c>
    </row>
    <row r="151" spans="1:20" x14ac:dyDescent="0.25">
      <c r="A151" s="5">
        <v>44442</v>
      </c>
      <c r="B151">
        <v>4.0359999999999996</v>
      </c>
      <c r="C151">
        <v>4.3600000000000003</v>
      </c>
      <c r="D151">
        <v>3.9249999999999998</v>
      </c>
      <c r="E151">
        <v>4.2649999999999997</v>
      </c>
      <c r="F151">
        <v>1549127.75</v>
      </c>
      <c r="G151">
        <v>4.2649999999999997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0.56321839080459524</v>
      </c>
      <c r="Q151">
        <f t="shared" ref="Q151" si="731">F151*P151</f>
        <v>872497.23850574333</v>
      </c>
      <c r="R151">
        <f t="shared" ref="R151" si="732">R152+Q151</f>
        <v>40106129.759081282</v>
      </c>
      <c r="S151">
        <f t="shared" ref="S151" si="733">R151/100000</f>
        <v>401.06129759081284</v>
      </c>
      <c r="T151">
        <f t="shared" ref="T151" si="734">S151/1000</f>
        <v>0.40106129759081283</v>
      </c>
    </row>
    <row r="152" spans="1:20" x14ac:dyDescent="0.25">
      <c r="A152" s="5">
        <v>44441</v>
      </c>
      <c r="B152">
        <v>4.2009999999999996</v>
      </c>
      <c r="C152">
        <v>4.202</v>
      </c>
      <c r="D152">
        <v>3.9609999999999999</v>
      </c>
      <c r="E152">
        <v>4.0350000000000001</v>
      </c>
      <c r="F152">
        <v>1332598.7</v>
      </c>
      <c r="G152">
        <v>4.0350000000000001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-0.38589211618257047</v>
      </c>
      <c r="Q152">
        <f t="shared" ref="Q152" si="736">F152*P152</f>
        <v>-514239.33236514236</v>
      </c>
      <c r="R152">
        <f t="shared" ref="R152" si="737">R153+Q152</f>
        <v>39233632.520575538</v>
      </c>
      <c r="S152">
        <f t="shared" ref="S152" si="738">R152/100000</f>
        <v>392.33632520575537</v>
      </c>
      <c r="T152">
        <f t="shared" ref="T152" si="739">S152/1000</f>
        <v>0.3923363252057554</v>
      </c>
    </row>
    <row r="153" spans="1:20" x14ac:dyDescent="0.25">
      <c r="A153" s="5">
        <v>44440</v>
      </c>
      <c r="B153">
        <v>3.84</v>
      </c>
      <c r="C153">
        <v>4.2699999999999996</v>
      </c>
      <c r="D153">
        <v>3.7749999999999999</v>
      </c>
      <c r="E153">
        <v>4.1980000000000004</v>
      </c>
      <c r="F153">
        <v>1525529.7</v>
      </c>
      <c r="G153">
        <v>4.1980000000000004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0.70909090909091221</v>
      </c>
      <c r="Q153">
        <f t="shared" ref="Q153" si="741">F153*P153</f>
        <v>1081739.2418181866</v>
      </c>
      <c r="R153">
        <f t="shared" ref="R153" si="742">R154+Q153</f>
        <v>39747871.852940679</v>
      </c>
      <c r="S153">
        <f t="shared" ref="S153" si="743">R153/100000</f>
        <v>397.47871852940676</v>
      </c>
      <c r="T153">
        <f t="shared" ref="T153" si="744">S153/1000</f>
        <v>0.39747871852940675</v>
      </c>
    </row>
    <row r="154" spans="1:20" x14ac:dyDescent="0.25">
      <c r="A154" s="5">
        <v>44439</v>
      </c>
      <c r="B154">
        <v>3.87</v>
      </c>
      <c r="C154">
        <v>4</v>
      </c>
      <c r="D154">
        <v>3.7717999999999998</v>
      </c>
      <c r="E154">
        <v>3.8439999999999999</v>
      </c>
      <c r="F154">
        <v>1267788.9099999999</v>
      </c>
      <c r="G154">
        <v>3.8439999999999999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-0.36722173531989494</v>
      </c>
      <c r="Q154">
        <f t="shared" ref="Q154" si="746">F154*P154</f>
        <v>-465559.64354951808</v>
      </c>
      <c r="R154">
        <f t="shared" ref="R154" si="747">R155+Q154</f>
        <v>38666132.611122489</v>
      </c>
      <c r="S154">
        <f t="shared" ref="S154" si="748">R154/100000</f>
        <v>386.66132611122487</v>
      </c>
      <c r="T154">
        <f t="shared" ref="T154" si="749">S154/1000</f>
        <v>0.38666132611122489</v>
      </c>
    </row>
    <row r="155" spans="1:20" x14ac:dyDescent="0.25">
      <c r="A155" s="5">
        <v>44438</v>
      </c>
      <c r="B155">
        <v>4.109</v>
      </c>
      <c r="C155">
        <v>4.1740000000000004</v>
      </c>
      <c r="D155">
        <v>3.8250000000000002</v>
      </c>
      <c r="E155">
        <v>3.863</v>
      </c>
      <c r="F155">
        <v>1093761.3</v>
      </c>
      <c r="G155">
        <v>3.863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-0.78223495702005852</v>
      </c>
      <c r="Q155">
        <f t="shared" ref="Q155" si="751">F155*P155</f>
        <v>-855578.3234957034</v>
      </c>
      <c r="R155">
        <f t="shared" ref="R155" si="752">R156+Q155</f>
        <v>39131692.254672006</v>
      </c>
      <c r="S155">
        <f t="shared" ref="S155" si="753">R155/100000</f>
        <v>391.31692254672004</v>
      </c>
      <c r="T155">
        <f t="shared" ref="T155" si="754">S155/1000</f>
        <v>0.39131692254672001</v>
      </c>
    </row>
    <row r="156" spans="1:20" x14ac:dyDescent="0.25">
      <c r="A156" s="5">
        <v>44437</v>
      </c>
      <c r="B156">
        <v>4.0919999999999996</v>
      </c>
      <c r="C156">
        <v>4.1989999999999998</v>
      </c>
      <c r="D156">
        <v>3.8180000000000001</v>
      </c>
      <c r="E156">
        <v>4.109</v>
      </c>
      <c r="F156">
        <v>1050448.1000000001</v>
      </c>
      <c r="G156">
        <v>4.109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0.52755905511811074</v>
      </c>
      <c r="Q156">
        <f t="shared" ref="Q156" si="756">F156*P156</f>
        <v>554173.40708661475</v>
      </c>
      <c r="R156">
        <f t="shared" ref="R156" si="757">R157+Q156</f>
        <v>39987270.578167707</v>
      </c>
      <c r="S156">
        <f t="shared" ref="S156" si="758">R156/100000</f>
        <v>399.87270578167704</v>
      </c>
      <c r="T156">
        <f t="shared" ref="T156" si="759">S156/1000</f>
        <v>0.39987270578167705</v>
      </c>
    </row>
    <row r="157" spans="1:20" x14ac:dyDescent="0.25">
      <c r="A157" s="5">
        <v>44436</v>
      </c>
      <c r="B157">
        <v>4.2489999999999997</v>
      </c>
      <c r="C157">
        <v>4.2671000000000001</v>
      </c>
      <c r="D157">
        <v>3.94</v>
      </c>
      <c r="E157">
        <v>4.0860000000000003</v>
      </c>
      <c r="F157">
        <v>1053087.57</v>
      </c>
      <c r="G157">
        <v>4.0860000000000003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-0.10730663405686165</v>
      </c>
      <c r="Q157">
        <f t="shared" ref="Q157" si="761">F157*P157</f>
        <v>-113003.28250381969</v>
      </c>
      <c r="R157">
        <f t="shared" ref="R157" si="762">R158+Q157</f>
        <v>39433097.171081088</v>
      </c>
      <c r="S157">
        <f t="shared" ref="S157" si="763">R157/100000</f>
        <v>394.3309717108109</v>
      </c>
      <c r="T157">
        <f t="shared" ref="T157" si="764">S157/1000</f>
        <v>0.39433097171081088</v>
      </c>
    </row>
    <row r="158" spans="1:20" x14ac:dyDescent="0.25">
      <c r="A158" s="5">
        <v>44435</v>
      </c>
      <c r="B158">
        <v>3.9630000000000001</v>
      </c>
      <c r="C158">
        <v>4.25</v>
      </c>
      <c r="D158">
        <v>3.8130000000000002</v>
      </c>
      <c r="E158">
        <v>4.2489999999999997</v>
      </c>
      <c r="F158">
        <v>1149232.71</v>
      </c>
      <c r="G158">
        <v>4.2489999999999997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0.99542334096109686</v>
      </c>
      <c r="Q158">
        <f t="shared" ref="Q158" si="766">F158*P158</f>
        <v>1143973.0637299754</v>
      </c>
      <c r="R158">
        <f t="shared" ref="R158" si="767">R159+Q158</f>
        <v>39546100.453584909</v>
      </c>
      <c r="S158">
        <f t="shared" ref="S158" si="768">R158/100000</f>
        <v>395.4610045358491</v>
      </c>
      <c r="T158">
        <f t="shared" ref="T158" si="769">S158/1000</f>
        <v>0.39546100453584909</v>
      </c>
    </row>
    <row r="159" spans="1:20" x14ac:dyDescent="0.25">
      <c r="A159" s="5">
        <v>44434</v>
      </c>
      <c r="B159">
        <v>4.4145000000000003</v>
      </c>
      <c r="C159">
        <v>4.5271999999999997</v>
      </c>
      <c r="D159">
        <v>3.9209999999999998</v>
      </c>
      <c r="E159">
        <v>3.9630000000000001</v>
      </c>
      <c r="F159">
        <v>1080386.6499999999</v>
      </c>
      <c r="G159">
        <v>3.9630000000000001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-0.86143187066974503</v>
      </c>
      <c r="Q159">
        <f t="shared" ref="Q159" si="771">F159*P159</f>
        <v>-930679.49295611901</v>
      </c>
      <c r="R159">
        <f t="shared" ref="R159" si="772">R160+Q159</f>
        <v>38402127.389854938</v>
      </c>
      <c r="S159">
        <f t="shared" ref="S159" si="773">R159/100000</f>
        <v>384.0212738985494</v>
      </c>
      <c r="T159">
        <f t="shared" ref="T159" si="774">S159/1000</f>
        <v>0.3840212738985494</v>
      </c>
    </row>
    <row r="160" spans="1:20" x14ac:dyDescent="0.25">
      <c r="A160" s="5">
        <v>44433</v>
      </c>
      <c r="B160">
        <v>4.3246000000000002</v>
      </c>
      <c r="C160">
        <v>4.4696999999999996</v>
      </c>
      <c r="D160">
        <v>4.12</v>
      </c>
      <c r="E160">
        <v>4.4086999999999996</v>
      </c>
      <c r="F160">
        <v>999622.32</v>
      </c>
      <c r="G160">
        <v>4.4086999999999996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0.65112953960537578</v>
      </c>
      <c r="Q160">
        <f t="shared" ref="Q160" si="776">F160*P160</f>
        <v>650883.62100085756</v>
      </c>
      <c r="R160">
        <f t="shared" ref="R160" si="777">R161+Q160</f>
        <v>39332806.882811055</v>
      </c>
      <c r="S160">
        <f t="shared" ref="S160" si="778">R160/100000</f>
        <v>393.32806882811053</v>
      </c>
      <c r="T160">
        <f t="shared" ref="T160" si="779">S160/1000</f>
        <v>0.39332806882811056</v>
      </c>
    </row>
    <row r="161" spans="1:20" x14ac:dyDescent="0.25">
      <c r="A161" s="5">
        <v>44432</v>
      </c>
      <c r="B161">
        <v>4.8461999999999996</v>
      </c>
      <c r="C161">
        <v>4.8596000000000004</v>
      </c>
      <c r="D161">
        <v>4.1817000000000002</v>
      </c>
      <c r="E161">
        <v>4.3182999999999998</v>
      </c>
      <c r="F161">
        <v>1889152.36</v>
      </c>
      <c r="G161">
        <v>4.3182999999999998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-0.59699070659389419</v>
      </c>
      <c r="Q161">
        <f t="shared" ref="Q161" si="781">F161*P161</f>
        <v>-1127806.4022599228</v>
      </c>
      <c r="R161">
        <f t="shared" ref="R161" si="782">R162+Q161</f>
        <v>38681923.261810198</v>
      </c>
      <c r="S161">
        <f t="shared" ref="S161" si="783">R161/100000</f>
        <v>386.81923261810198</v>
      </c>
      <c r="T161">
        <f t="shared" ref="T161" si="784">S161/1000</f>
        <v>0.38681923261810197</v>
      </c>
    </row>
    <row r="162" spans="1:20" x14ac:dyDescent="0.25">
      <c r="A162" s="5">
        <v>44431</v>
      </c>
      <c r="B162">
        <v>4.7847</v>
      </c>
      <c r="C162">
        <v>4.8635000000000002</v>
      </c>
      <c r="D162">
        <v>4.5793999999999997</v>
      </c>
      <c r="E162">
        <v>4.8461999999999996</v>
      </c>
      <c r="F162">
        <v>1744285.28</v>
      </c>
      <c r="G162">
        <v>4.8461999999999996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0.87821189721928539</v>
      </c>
      <c r="Q162">
        <f t="shared" ref="Q162" si="786">F162*P162</f>
        <v>1531852.0850404724</v>
      </c>
      <c r="R162">
        <f t="shared" ref="R162" si="787">R163+Q162</f>
        <v>39809729.664070122</v>
      </c>
      <c r="S162">
        <f t="shared" ref="S162" si="788">R162/100000</f>
        <v>398.09729664070124</v>
      </c>
      <c r="T162">
        <f t="shared" ref="T162" si="789">S162/1000</f>
        <v>0.39809729664070126</v>
      </c>
    </row>
    <row r="163" spans="1:20" x14ac:dyDescent="0.25">
      <c r="A163" s="5">
        <v>44430</v>
      </c>
      <c r="B163">
        <v>4.8860000000000001</v>
      </c>
      <c r="C163">
        <v>4.8975999999999997</v>
      </c>
      <c r="D163">
        <v>4.8099999999999996</v>
      </c>
      <c r="E163">
        <v>4.8513999999999999</v>
      </c>
      <c r="F163">
        <v>218630.08</v>
      </c>
      <c r="G163">
        <v>4.8513999999999999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-5.4794520547939096E-2</v>
      </c>
      <c r="Q163">
        <f t="shared" ref="Q163" si="791">F163*P163</f>
        <v>-11979.730410957567</v>
      </c>
      <c r="R163">
        <f t="shared" ref="R163" si="792">R164+Q163</f>
        <v>38277877.579029649</v>
      </c>
      <c r="S163">
        <f t="shared" ref="S163" si="793">R163/100000</f>
        <v>382.77877579029649</v>
      </c>
      <c r="T163">
        <f t="shared" ref="T163" si="794">S163/1000</f>
        <v>0.38277877579029651</v>
      </c>
    </row>
    <row r="164" spans="1:20" x14ac:dyDescent="0.25">
      <c r="A164" s="5">
        <v>44429</v>
      </c>
      <c r="B164">
        <v>5.1115000000000004</v>
      </c>
      <c r="C164">
        <v>5.1689999999999996</v>
      </c>
      <c r="D164">
        <v>4.8033999999999999</v>
      </c>
      <c r="E164">
        <v>4.8773</v>
      </c>
      <c r="F164">
        <v>1860063.89</v>
      </c>
      <c r="G164">
        <v>4.8773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-0.59573304157549156</v>
      </c>
      <c r="Q164">
        <f t="shared" ref="Q164" si="796">F164*P164</f>
        <v>-1108101.5187144405</v>
      </c>
      <c r="R164">
        <f t="shared" ref="R164" si="797">R165+Q164</f>
        <v>38289857.309440605</v>
      </c>
      <c r="S164">
        <f t="shared" ref="S164" si="798">R164/100000</f>
        <v>382.89857309440606</v>
      </c>
      <c r="T164">
        <f t="shared" ref="T164" si="799">S164/1000</f>
        <v>0.38289857309440606</v>
      </c>
    </row>
    <row r="165" spans="1:20" x14ac:dyDescent="0.25">
      <c r="A165" s="5">
        <v>44428</v>
      </c>
      <c r="B165">
        <v>4.8940999999999999</v>
      </c>
      <c r="C165">
        <v>5.4432999999999998</v>
      </c>
      <c r="D165">
        <v>4.8552999999999997</v>
      </c>
      <c r="E165">
        <v>5.1093999999999999</v>
      </c>
      <c r="F165">
        <v>2991994.23</v>
      </c>
      <c r="G165">
        <v>5.1093999999999999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-0.13571428571428509</v>
      </c>
      <c r="Q165">
        <f t="shared" ref="Q165" si="801">F165*P165</f>
        <v>-406056.35978571244</v>
      </c>
      <c r="R165">
        <f t="shared" ref="R165" si="802">R166+Q165</f>
        <v>39397958.828155048</v>
      </c>
      <c r="S165">
        <f t="shared" ref="S165" si="803">R165/100000</f>
        <v>393.97958828155049</v>
      </c>
      <c r="T165">
        <f t="shared" ref="T165" si="804">S165/1000</f>
        <v>0.3939795882815505</v>
      </c>
    </row>
    <row r="166" spans="1:20" x14ac:dyDescent="0.25">
      <c r="A166" s="5">
        <v>44427</v>
      </c>
      <c r="B166">
        <v>4.4001000000000001</v>
      </c>
      <c r="C166">
        <v>4.899</v>
      </c>
      <c r="D166">
        <v>4.2356999999999996</v>
      </c>
      <c r="E166">
        <v>4.8945999999999996</v>
      </c>
      <c r="F166">
        <v>2869098.97</v>
      </c>
      <c r="G166">
        <v>4.8945999999999996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0.98673300165837363</v>
      </c>
      <c r="Q166">
        <f t="shared" ref="Q166" si="806">F166*P166</f>
        <v>2831034.6387230484</v>
      </c>
      <c r="R166">
        <f t="shared" ref="R166" si="807">R167+Q166</f>
        <v>39804015.187940761</v>
      </c>
      <c r="S166">
        <f t="shared" ref="S166" si="808">R166/100000</f>
        <v>398.04015187940763</v>
      </c>
      <c r="T166">
        <f t="shared" ref="T166" si="809">S166/1000</f>
        <v>0.39804015187940761</v>
      </c>
    </row>
    <row r="167" spans="1:20" x14ac:dyDescent="0.25">
      <c r="A167" s="5">
        <v>44426</v>
      </c>
      <c r="B167">
        <v>4.3231999999999999</v>
      </c>
      <c r="C167">
        <v>4.8499999999999996</v>
      </c>
      <c r="D167">
        <v>4.0011000000000001</v>
      </c>
      <c r="E167">
        <v>4.4112</v>
      </c>
      <c r="F167">
        <v>4051956.61</v>
      </c>
      <c r="G167">
        <v>4.4112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-3.3808458004476079E-2</v>
      </c>
      <c r="Q167">
        <f t="shared" ref="Q167" si="811">F167*P167</f>
        <v>-136990.40488514426</v>
      </c>
      <c r="R167">
        <f t="shared" ref="R167" si="812">R168+Q167</f>
        <v>36972980.549217716</v>
      </c>
      <c r="S167">
        <f t="shared" ref="S167" si="813">R167/100000</f>
        <v>369.72980549217715</v>
      </c>
      <c r="T167">
        <f t="shared" ref="T167" si="814">S167/1000</f>
        <v>0.36972980549217715</v>
      </c>
    </row>
    <row r="168" spans="1:20" x14ac:dyDescent="0.25">
      <c r="A168" s="5">
        <v>44425</v>
      </c>
      <c r="B168">
        <v>4.4198000000000004</v>
      </c>
      <c r="C168">
        <v>4.8609999999999998</v>
      </c>
      <c r="D168">
        <v>4.2287999999999997</v>
      </c>
      <c r="E168">
        <v>4.3265000000000002</v>
      </c>
      <c r="F168">
        <v>3164424.61</v>
      </c>
      <c r="G168">
        <v>4.3265000000000002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-0.69092059474849554</v>
      </c>
      <c r="Q168">
        <f t="shared" ref="Q168" si="816">F168*P168</f>
        <v>-2186366.1335779759</v>
      </c>
      <c r="R168">
        <f t="shared" ref="R168" si="817">R169+Q168</f>
        <v>37109970.954102859</v>
      </c>
      <c r="S168">
        <f t="shared" ref="S168" si="818">R168/100000</f>
        <v>371.09970954102857</v>
      </c>
      <c r="T168">
        <f t="shared" ref="T168" si="819">S168/1000</f>
        <v>0.37109970954102856</v>
      </c>
    </row>
    <row r="169" spans="1:20" x14ac:dyDescent="0.25">
      <c r="A169" s="5">
        <v>44424</v>
      </c>
      <c r="B169">
        <v>4.4006999999999996</v>
      </c>
      <c r="C169">
        <v>4.8799000000000001</v>
      </c>
      <c r="D169">
        <v>4.3224</v>
      </c>
      <c r="E169">
        <v>4.4238999999999997</v>
      </c>
      <c r="F169">
        <v>3711095.73</v>
      </c>
      <c r="G169">
        <v>4.4238999999999997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-0.6358744394618846</v>
      </c>
      <c r="Q169">
        <f t="shared" ref="Q169" si="821">F169*P169</f>
        <v>-2359790.9171031434</v>
      </c>
      <c r="R169">
        <f t="shared" ref="R169" si="822">R170+Q169</f>
        <v>39296337.087680832</v>
      </c>
      <c r="S169">
        <f t="shared" ref="S169" si="823">R169/100000</f>
        <v>392.96337087680831</v>
      </c>
      <c r="T169">
        <f t="shared" ref="T169" si="824">S169/1000</f>
        <v>0.39296337087680833</v>
      </c>
    </row>
    <row r="170" spans="1:20" x14ac:dyDescent="0.25">
      <c r="A170" s="5">
        <v>44423</v>
      </c>
      <c r="B170">
        <v>4.3650000000000002</v>
      </c>
      <c r="C170">
        <v>4.46</v>
      </c>
      <c r="D170">
        <v>4.1273</v>
      </c>
      <c r="E170">
        <v>4.3975999999999997</v>
      </c>
      <c r="F170">
        <v>2185450.42</v>
      </c>
      <c r="G170">
        <v>4.3975999999999997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0.62488728584310049</v>
      </c>
      <c r="Q170">
        <f t="shared" ref="Q170" si="826">F170*P170</f>
        <v>1365660.1812984641</v>
      </c>
      <c r="R170">
        <f t="shared" ref="R170" si="827">R171+Q170</f>
        <v>41656128.004783973</v>
      </c>
      <c r="S170">
        <f t="shared" ref="S170" si="828">R170/100000</f>
        <v>416.56128004783972</v>
      </c>
      <c r="T170">
        <f t="shared" ref="T170" si="829">S170/1000</f>
        <v>0.41656128004783971</v>
      </c>
    </row>
    <row r="171" spans="1:20" x14ac:dyDescent="0.25">
      <c r="A171" s="5">
        <v>44422</v>
      </c>
      <c r="B171">
        <v>4.2111000000000001</v>
      </c>
      <c r="C171">
        <v>4.6150000000000002</v>
      </c>
      <c r="D171">
        <v>4.1425000000000001</v>
      </c>
      <c r="E171">
        <v>4.3650000000000002</v>
      </c>
      <c r="F171">
        <v>3998449.98</v>
      </c>
      <c r="G171">
        <v>4.3650000000000002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-5.8201058201057886E-2</v>
      </c>
      <c r="Q171">
        <f t="shared" ref="Q171" si="831">F171*P171</f>
        <v>-232714.01999999874</v>
      </c>
      <c r="R171">
        <f t="shared" ref="R171" si="832">R172+Q171</f>
        <v>40290467.823485509</v>
      </c>
      <c r="S171">
        <f t="shared" ref="S171" si="833">R171/100000</f>
        <v>402.90467823485511</v>
      </c>
      <c r="T171">
        <f t="shared" ref="T171" si="834">S171/1000</f>
        <v>0.4029046782348551</v>
      </c>
    </row>
    <row r="172" spans="1:20" x14ac:dyDescent="0.25">
      <c r="A172" s="5">
        <v>44421</v>
      </c>
      <c r="B172">
        <v>3.9638</v>
      </c>
      <c r="C172">
        <v>4.2333999999999996</v>
      </c>
      <c r="D172">
        <v>3.88</v>
      </c>
      <c r="E172">
        <v>4.2111000000000001</v>
      </c>
      <c r="F172">
        <v>1604422</v>
      </c>
      <c r="G172">
        <v>4.2111000000000001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0.87379739671760293</v>
      </c>
      <c r="Q172">
        <f t="shared" ref="Q172" si="836">F172*P172</f>
        <v>1401939.76683645</v>
      </c>
      <c r="R172">
        <f t="shared" ref="R172" si="837">R173+Q172</f>
        <v>40523181.843485504</v>
      </c>
      <c r="S172">
        <f t="shared" ref="S172" si="838">R172/100000</f>
        <v>405.23181843485503</v>
      </c>
      <c r="T172">
        <f t="shared" ref="T172" si="839">S172/1000</f>
        <v>0.40523181843485501</v>
      </c>
    </row>
    <row r="173" spans="1:20" x14ac:dyDescent="0.25">
      <c r="A173" s="5">
        <v>44420</v>
      </c>
      <c r="B173">
        <v>4.0876000000000001</v>
      </c>
      <c r="C173">
        <v>4.2099000000000002</v>
      </c>
      <c r="D173">
        <v>3.7441</v>
      </c>
      <c r="E173">
        <v>3.9567000000000001</v>
      </c>
      <c r="F173">
        <v>2556809.7400000002</v>
      </c>
      <c r="G173">
        <v>3.9567000000000001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-8.7161872048089201E-2</v>
      </c>
      <c r="Q173">
        <f t="shared" ref="Q173" si="841">F173*P173</f>
        <v>-222856.32340918825</v>
      </c>
      <c r="R173">
        <f t="shared" ref="R173" si="842">R174+Q173</f>
        <v>39121242.076649055</v>
      </c>
      <c r="S173">
        <f t="shared" ref="S173" si="843">R173/100000</f>
        <v>391.21242076649054</v>
      </c>
      <c r="T173">
        <f t="shared" ref="T173" si="844">S173/1000</f>
        <v>0.39121242076649054</v>
      </c>
    </row>
    <row r="174" spans="1:20" x14ac:dyDescent="0.25">
      <c r="A174" s="5">
        <v>44419</v>
      </c>
      <c r="B174">
        <v>3.9117000000000002</v>
      </c>
      <c r="C174">
        <v>4.3956</v>
      </c>
      <c r="D174">
        <v>3.86</v>
      </c>
      <c r="E174">
        <v>4.0926999999999998</v>
      </c>
      <c r="F174">
        <v>3015825.47</v>
      </c>
      <c r="G174">
        <v>4.0926999999999998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-0.13106796116504901</v>
      </c>
      <c r="Q174">
        <f t="shared" ref="Q174" si="846">F174*P174</f>
        <v>-395278.09558252571</v>
      </c>
      <c r="R174">
        <f t="shared" ref="R174" si="847">R175+Q174</f>
        <v>39344098.40005824</v>
      </c>
      <c r="S174">
        <f t="shared" ref="S174" si="848">R174/100000</f>
        <v>393.44098400058238</v>
      </c>
      <c r="T174">
        <f t="shared" ref="T174" si="849">S174/1000</f>
        <v>0.39344098400058236</v>
      </c>
    </row>
    <row r="175" spans="1:20" x14ac:dyDescent="0.25">
      <c r="A175" s="5">
        <v>44418</v>
      </c>
      <c r="B175">
        <v>3.9079999999999999</v>
      </c>
      <c r="C175">
        <v>4.0956999999999999</v>
      </c>
      <c r="D175">
        <v>3.7905000000000002</v>
      </c>
      <c r="E175">
        <v>3.9106000000000001</v>
      </c>
      <c r="F175">
        <v>1570298.58</v>
      </c>
      <c r="G175">
        <v>3.9106000000000001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-0.21297509829619926</v>
      </c>
      <c r="Q175">
        <f t="shared" ref="Q175" si="851">F175*P175</f>
        <v>-334434.49442988215</v>
      </c>
      <c r="R175">
        <f t="shared" ref="R175" si="852">R176+Q175</f>
        <v>39739376.495640762</v>
      </c>
      <c r="S175">
        <f t="shared" ref="S175" si="853">R175/100000</f>
        <v>397.39376495640761</v>
      </c>
      <c r="T175">
        <f t="shared" ref="T175" si="854">S175/1000</f>
        <v>0.3973937649564076</v>
      </c>
    </row>
    <row r="176" spans="1:20" x14ac:dyDescent="0.25">
      <c r="A176" s="5">
        <v>44417</v>
      </c>
      <c r="B176">
        <v>3.7835000000000001</v>
      </c>
      <c r="C176">
        <v>3.9468000000000001</v>
      </c>
      <c r="D176">
        <v>3.6126999999999998</v>
      </c>
      <c r="E176">
        <v>3.9074</v>
      </c>
      <c r="F176">
        <v>1284577.6100000001</v>
      </c>
      <c r="G176">
        <v>3.9074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0.76414247231367816</v>
      </c>
      <c r="Q176">
        <f t="shared" ref="Q176" si="856">F176*P176</f>
        <v>981600.3107841959</v>
      </c>
      <c r="R176">
        <f t="shared" ref="R176" si="857">R177+Q176</f>
        <v>40073810.990070641</v>
      </c>
      <c r="S176">
        <f t="shared" ref="S176" si="858">R176/100000</f>
        <v>400.73810990070643</v>
      </c>
      <c r="T176">
        <f t="shared" ref="T176" si="859">S176/1000</f>
        <v>0.40073810990070641</v>
      </c>
    </row>
    <row r="177" spans="1:20" x14ac:dyDescent="0.25">
      <c r="A177" s="5">
        <v>44416</v>
      </c>
      <c r="B177">
        <v>3.9910999999999999</v>
      </c>
      <c r="C177">
        <v>3.9931999999999999</v>
      </c>
      <c r="D177">
        <v>3.7141000000000002</v>
      </c>
      <c r="E177">
        <v>3.7835000000000001</v>
      </c>
      <c r="F177">
        <v>1470248.11</v>
      </c>
      <c r="G177">
        <v>3.7835000000000001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-0.50268720888570417</v>
      </c>
      <c r="Q177">
        <f t="shared" ref="Q177" si="861">F177*P177</f>
        <v>-739074.91878538183</v>
      </c>
      <c r="R177">
        <f t="shared" ref="R177" si="862">R178+Q177</f>
        <v>39092210.679286443</v>
      </c>
      <c r="S177">
        <f t="shared" ref="S177" si="863">R177/100000</f>
        <v>390.92210679286444</v>
      </c>
      <c r="T177">
        <f t="shared" ref="T177" si="864">S177/1000</f>
        <v>0.39092210679286443</v>
      </c>
    </row>
    <row r="178" spans="1:20" x14ac:dyDescent="0.25">
      <c r="A178" s="5">
        <v>44415</v>
      </c>
      <c r="B178">
        <v>4.0481999999999996</v>
      </c>
      <c r="C178">
        <v>4.3</v>
      </c>
      <c r="D178">
        <v>3.8102</v>
      </c>
      <c r="E178">
        <v>3.9893000000000001</v>
      </c>
      <c r="F178">
        <v>2966631.96</v>
      </c>
      <c r="G178">
        <v>3.9893000000000001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-0.2686810943242135</v>
      </c>
      <c r="Q178">
        <f t="shared" ref="Q178" si="866">F178*P178</f>
        <v>-797077.92146998632</v>
      </c>
      <c r="R178">
        <f t="shared" ref="R178" si="867">R179+Q178</f>
        <v>39831285.598071821</v>
      </c>
      <c r="S178">
        <f t="shared" ref="S178" si="868">R178/100000</f>
        <v>398.31285598071821</v>
      </c>
      <c r="T178">
        <f t="shared" ref="T178" si="869">S178/1000</f>
        <v>0.39831285598071819</v>
      </c>
    </row>
    <row r="179" spans="1:20" x14ac:dyDescent="0.25">
      <c r="A179" s="5">
        <v>44414</v>
      </c>
      <c r="B179">
        <v>3.55</v>
      </c>
      <c r="C179">
        <v>4.17</v>
      </c>
      <c r="D179">
        <v>3.55</v>
      </c>
      <c r="E179">
        <v>4.0473999999999997</v>
      </c>
      <c r="F179">
        <v>3979258.27</v>
      </c>
      <c r="G179">
        <v>4.0473999999999997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0.60451612903225727</v>
      </c>
      <c r="Q179">
        <f t="shared" ref="Q179" si="871">F179*P179</f>
        <v>2405525.8057999969</v>
      </c>
      <c r="R179">
        <f t="shared" ref="R179" si="872">R180+Q179</f>
        <v>40628363.519541807</v>
      </c>
      <c r="S179">
        <f t="shared" ref="S179" si="873">R179/100000</f>
        <v>406.28363519541807</v>
      </c>
      <c r="T179">
        <f t="shared" ref="T179" si="874">S179/1000</f>
        <v>0.40628363519541805</v>
      </c>
    </row>
    <row r="180" spans="1:20" x14ac:dyDescent="0.25">
      <c r="A180" s="5">
        <v>44413</v>
      </c>
      <c r="B180">
        <v>3.3551000000000002</v>
      </c>
      <c r="C180">
        <v>3.67</v>
      </c>
      <c r="D180">
        <v>3.35</v>
      </c>
      <c r="E180">
        <v>3.55</v>
      </c>
      <c r="F180">
        <v>3385078.33</v>
      </c>
      <c r="G180">
        <v>3.55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0.24999999999999895</v>
      </c>
      <c r="Q180">
        <f t="shared" ref="Q180" si="876">F180*P180</f>
        <v>846269.58249999641</v>
      </c>
      <c r="R180">
        <f t="shared" ref="R180" si="877">R181+Q180</f>
        <v>38222837.713741809</v>
      </c>
      <c r="S180">
        <f t="shared" ref="S180" si="878">R180/100000</f>
        <v>382.22837713741808</v>
      </c>
      <c r="T180">
        <f t="shared" ref="T180" si="879">S180/1000</f>
        <v>0.38222837713741808</v>
      </c>
    </row>
    <row r="181" spans="1:20" x14ac:dyDescent="0.25">
      <c r="A181" s="5">
        <v>44412</v>
      </c>
      <c r="B181">
        <v>3.18</v>
      </c>
      <c r="C181">
        <v>3.3839000000000001</v>
      </c>
      <c r="D181">
        <v>3.0634000000000001</v>
      </c>
      <c r="E181">
        <v>3.3500999999999999</v>
      </c>
      <c r="F181">
        <v>2050273.21</v>
      </c>
      <c r="G181">
        <v>3.3500999999999999</v>
      </c>
      <c r="L181" t="s">
        <v>7</v>
      </c>
      <c r="M181" t="s">
        <v>7</v>
      </c>
      <c r="N181" t="s">
        <v>7</v>
      </c>
      <c r="P181">
        <f t="shared" ref="P181" si="880">IF(C181=D181,0,((E181-D181)-(C181-E181))/(C181-D181))</f>
        <v>0.78907956318252559</v>
      </c>
      <c r="Q181">
        <f t="shared" ref="Q181" si="881">F181*P181</f>
        <v>1617828.6889516346</v>
      </c>
      <c r="R181">
        <f t="shared" ref="R181" si="882">R182+Q181</f>
        <v>37376568.131241813</v>
      </c>
      <c r="S181">
        <f t="shared" ref="S181" si="883">R181/100000</f>
        <v>373.76568131241811</v>
      </c>
      <c r="T181">
        <f t="shared" ref="T181" si="884">S181/1000</f>
        <v>0.37376568131241811</v>
      </c>
    </row>
    <row r="182" spans="1:20" x14ac:dyDescent="0.25">
      <c r="A182" s="5">
        <v>44411</v>
      </c>
      <c r="B182">
        <v>3.3734000000000002</v>
      </c>
      <c r="C182">
        <v>3.3734000000000002</v>
      </c>
      <c r="D182">
        <v>3.1</v>
      </c>
      <c r="E182">
        <v>3.1787999999999998</v>
      </c>
      <c r="F182">
        <v>1863842.66</v>
      </c>
      <c r="G182">
        <v>3.1787999999999998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-0.42355523043160398</v>
      </c>
      <c r="Q182">
        <f t="shared" ref="Q182" si="886">F182*P182</f>
        <v>-789440.30734455364</v>
      </c>
      <c r="R182">
        <f t="shared" ref="R182" si="887">R183+Q182</f>
        <v>35758739.442290179</v>
      </c>
      <c r="S182">
        <f t="shared" ref="S182" si="888">R182/100000</f>
        <v>357.58739442290181</v>
      </c>
      <c r="T182">
        <f t="shared" ref="T182" si="889">S182/1000</f>
        <v>0.35758739442290183</v>
      </c>
    </row>
    <row r="183" spans="1:20" x14ac:dyDescent="0.25">
      <c r="A183" s="5">
        <v>44410</v>
      </c>
      <c r="B183">
        <v>3.4359000000000002</v>
      </c>
      <c r="C183">
        <v>3.5213000000000001</v>
      </c>
      <c r="D183">
        <v>3.2212000000000001</v>
      </c>
      <c r="E183">
        <v>3.3712</v>
      </c>
      <c r="F183">
        <v>4811915.6500000004</v>
      </c>
      <c r="G183">
        <v>3.3712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-3.3322225924762086E-4</v>
      </c>
      <c r="Q183">
        <f t="shared" ref="Q183" si="891">F183*P183</f>
        <v>-1603.4374042019842</v>
      </c>
      <c r="R183">
        <f t="shared" ref="R183" si="892">R184+Q183</f>
        <v>36548179.749634735</v>
      </c>
      <c r="S183">
        <f t="shared" ref="S183" si="893">R183/100000</f>
        <v>365.48179749634733</v>
      </c>
      <c r="T183">
        <f t="shared" ref="T183" si="894">S183/1000</f>
        <v>0.36548179749634735</v>
      </c>
    </row>
    <row r="184" spans="1:20" x14ac:dyDescent="0.25">
      <c r="A184" s="5">
        <v>44409</v>
      </c>
      <c r="B184">
        <v>3.18</v>
      </c>
      <c r="C184">
        <v>4.47</v>
      </c>
      <c r="D184">
        <v>3.1781000000000001</v>
      </c>
      <c r="E184">
        <v>3.4359000000000002</v>
      </c>
      <c r="F184">
        <v>10959493.279999999</v>
      </c>
      <c r="G184">
        <v>3.4359000000000002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-0.60089790231442042</v>
      </c>
      <c r="Q184">
        <f t="shared" ref="Q184" si="896">F184*P184</f>
        <v>-6585536.5223809863</v>
      </c>
      <c r="R184">
        <f t="shared" ref="R184" si="897">R185+Q184</f>
        <v>36549783.187038936</v>
      </c>
      <c r="S184">
        <f t="shared" ref="S184" si="898">R184/100000</f>
        <v>365.49783187038935</v>
      </c>
      <c r="T184">
        <f t="shared" ref="T184" si="899">S184/1000</f>
        <v>0.36549783187038937</v>
      </c>
    </row>
    <row r="185" spans="1:20" x14ac:dyDescent="0.25">
      <c r="A185" s="5">
        <v>44408</v>
      </c>
      <c r="B185">
        <v>2.9729999999999999</v>
      </c>
      <c r="C185">
        <v>3.2848999999999999</v>
      </c>
      <c r="D185">
        <v>2.9247000000000001</v>
      </c>
      <c r="E185">
        <v>3.1795</v>
      </c>
      <c r="F185">
        <v>2090421.28</v>
      </c>
      <c r="G185">
        <v>3.1795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0.41476957245974472</v>
      </c>
      <c r="Q185">
        <f t="shared" ref="Q185" si="901">F185*P185</f>
        <v>867043.14056635229</v>
      </c>
      <c r="R185">
        <f t="shared" ref="R185" si="902">R186+Q185</f>
        <v>43135319.709419921</v>
      </c>
      <c r="S185">
        <f t="shared" ref="S185" si="903">R185/100000</f>
        <v>431.35319709419923</v>
      </c>
      <c r="T185">
        <f t="shared" ref="T185" si="904">S185/1000</f>
        <v>0.43135319709419923</v>
      </c>
    </row>
    <row r="186" spans="1:20" x14ac:dyDescent="0.25">
      <c r="A186" s="5">
        <v>44407</v>
      </c>
      <c r="B186">
        <v>2.8864999999999998</v>
      </c>
      <c r="C186">
        <v>3.17</v>
      </c>
      <c r="D186">
        <v>2.7227000000000001</v>
      </c>
      <c r="E186">
        <v>2.9735999999999998</v>
      </c>
      <c r="F186">
        <v>2154584.98</v>
      </c>
      <c r="G186">
        <v>2.9735999999999998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0.12184216409568427</v>
      </c>
      <c r="Q186">
        <f t="shared" ref="Q186" si="906">F186*P186</f>
        <v>262519.29669125663</v>
      </c>
      <c r="R186">
        <f t="shared" ref="R186" si="907">R187+Q186</f>
        <v>42268276.568853572</v>
      </c>
      <c r="S186">
        <f t="shared" ref="S186" si="908">R186/100000</f>
        <v>422.68276568853571</v>
      </c>
      <c r="T186">
        <f t="shared" ref="T186" si="909">S186/1000</f>
        <v>0.42268276568853569</v>
      </c>
    </row>
    <row r="187" spans="1:20" x14ac:dyDescent="0.25">
      <c r="A187" s="5">
        <v>44406</v>
      </c>
      <c r="B187">
        <v>2.6837</v>
      </c>
      <c r="C187">
        <v>2.9367000000000001</v>
      </c>
      <c r="D187">
        <v>2.5964999999999998</v>
      </c>
      <c r="E187">
        <v>2.8921000000000001</v>
      </c>
      <c r="F187">
        <v>1945097.37</v>
      </c>
      <c r="G187">
        <v>2.8921000000000001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0.7378012933568493</v>
      </c>
      <c r="Q187">
        <f t="shared" ref="Q187" si="911">F187*P187</f>
        <v>1435095.3552910062</v>
      </c>
      <c r="R187">
        <f t="shared" ref="R187" si="912">R188+Q187</f>
        <v>42005757.272162318</v>
      </c>
      <c r="S187">
        <f t="shared" ref="S187" si="913">R187/100000</f>
        <v>420.05757272162316</v>
      </c>
      <c r="T187">
        <f t="shared" ref="T187" si="914">S187/1000</f>
        <v>0.42005757272162314</v>
      </c>
    </row>
    <row r="188" spans="1:20" x14ac:dyDescent="0.25">
      <c r="A188" s="5">
        <v>44405</v>
      </c>
      <c r="B188">
        <v>2.7018</v>
      </c>
      <c r="C188">
        <v>2.7111000000000001</v>
      </c>
      <c r="D188">
        <v>2.56</v>
      </c>
      <c r="E188">
        <v>2.6837</v>
      </c>
      <c r="F188">
        <v>1027221.5</v>
      </c>
      <c r="G188">
        <v>2.6837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0.63732627399073338</v>
      </c>
      <c r="Q188">
        <f t="shared" ref="Q188" si="916">F188*P188</f>
        <v>654675.25115817215</v>
      </c>
      <c r="R188">
        <f t="shared" ref="R188" si="917">R189+Q188</f>
        <v>40570661.916871309</v>
      </c>
      <c r="S188">
        <f t="shared" ref="S188" si="918">R188/100000</f>
        <v>405.70661916871308</v>
      </c>
      <c r="T188">
        <f t="shared" ref="T188" si="919">S188/1000</f>
        <v>0.40570661916871309</v>
      </c>
    </row>
    <row r="189" spans="1:20" x14ac:dyDescent="0.25">
      <c r="A189" s="5">
        <v>44404</v>
      </c>
      <c r="B189">
        <v>2.57</v>
      </c>
      <c r="C189">
        <v>2.7774000000000001</v>
      </c>
      <c r="D189">
        <v>2.4580000000000002</v>
      </c>
      <c r="E189">
        <v>2.7018</v>
      </c>
      <c r="F189">
        <v>2882702.63</v>
      </c>
      <c r="G189">
        <v>2.7018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0.5266123982467118</v>
      </c>
      <c r="Q189">
        <f t="shared" ref="Q189" si="921">F189*P189</f>
        <v>1518066.9454164035</v>
      </c>
      <c r="R189">
        <f t="shared" ref="R189" si="922">R190+Q189</f>
        <v>39915986.665713139</v>
      </c>
      <c r="S189">
        <f t="shared" ref="S189" si="923">R189/100000</f>
        <v>399.15986665713137</v>
      </c>
      <c r="T189">
        <f t="shared" ref="T189" si="924">S189/1000</f>
        <v>0.39915986665713138</v>
      </c>
    </row>
    <row r="190" spans="1:20" x14ac:dyDescent="0.25">
      <c r="A190" s="5">
        <v>44403</v>
      </c>
      <c r="B190">
        <v>2.5356999999999998</v>
      </c>
      <c r="C190">
        <v>2.7955000000000001</v>
      </c>
      <c r="D190">
        <v>2.5148999999999999</v>
      </c>
      <c r="E190">
        <v>2.5669</v>
      </c>
      <c r="F190">
        <v>1705612.26</v>
      </c>
      <c r="G190">
        <v>2.5669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-0.62936564504632919</v>
      </c>
      <c r="Q190">
        <f t="shared" ref="Q190" si="926">F190*P190</f>
        <v>-1073453.7602138272</v>
      </c>
      <c r="R190">
        <f t="shared" ref="R190" si="927">R191+Q190</f>
        <v>38397919.720296733</v>
      </c>
      <c r="S190">
        <f t="shared" ref="S190" si="928">R190/100000</f>
        <v>383.97919720296733</v>
      </c>
      <c r="T190">
        <f t="shared" ref="T190" si="929">S190/1000</f>
        <v>0.3839791972029673</v>
      </c>
    </row>
    <row r="191" spans="1:20" x14ac:dyDescent="0.25">
      <c r="A191" s="5">
        <v>44402</v>
      </c>
      <c r="B191">
        <v>2.5387</v>
      </c>
      <c r="C191">
        <v>2.56</v>
      </c>
      <c r="D191">
        <v>2.4500000000000002</v>
      </c>
      <c r="E191">
        <v>2.5356999999999998</v>
      </c>
      <c r="F191">
        <v>654267.32999999996</v>
      </c>
      <c r="G191">
        <v>2.5356999999999998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0.55818181818181389</v>
      </c>
      <c r="Q191">
        <f t="shared" ref="Q191" si="931">F191*P191</f>
        <v>365200.12783636083</v>
      </c>
      <c r="R191">
        <f t="shared" ref="R191" si="932">R192+Q191</f>
        <v>39471373.480510563</v>
      </c>
      <c r="S191">
        <f t="shared" ref="S191" si="933">R191/100000</f>
        <v>394.71373480510562</v>
      </c>
      <c r="T191">
        <f t="shared" ref="T191:T197" si="934">S191/1000</f>
        <v>0.39471373480510563</v>
      </c>
    </row>
    <row r="192" spans="1:20" x14ac:dyDescent="0.25">
      <c r="A192" s="5">
        <v>44401</v>
      </c>
      <c r="B192">
        <v>2.3887999999999998</v>
      </c>
      <c r="C192">
        <v>2.5766</v>
      </c>
      <c r="D192">
        <v>2.3532000000000002</v>
      </c>
      <c r="E192">
        <v>2.5398000000000001</v>
      </c>
      <c r="F192">
        <v>1481118.06</v>
      </c>
      <c r="G192">
        <v>2.5398000000000001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0.67054610564010764</v>
      </c>
      <c r="Q192">
        <f t="shared" ref="Q192" si="936">F192*P192</f>
        <v>993157.94712623127</v>
      </c>
      <c r="R192">
        <f t="shared" ref="R192" si="937">R193+Q192</f>
        <v>39106173.352674201</v>
      </c>
      <c r="S192">
        <f t="shared" ref="S192" si="938">R192/100000</f>
        <v>391.06173352674199</v>
      </c>
      <c r="T192">
        <f t="shared" si="934"/>
        <v>0.39106173352674201</v>
      </c>
    </row>
    <row r="193" spans="1:20" x14ac:dyDescent="0.25">
      <c r="A193" s="5">
        <v>44400</v>
      </c>
      <c r="B193">
        <v>2.3071000000000002</v>
      </c>
      <c r="C193">
        <v>2.3898999999999999</v>
      </c>
      <c r="D193">
        <v>2.2486999999999999</v>
      </c>
      <c r="E193">
        <v>2.3841000000000001</v>
      </c>
      <c r="F193">
        <v>885688.79</v>
      </c>
      <c r="G193">
        <v>2.3841000000000001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0.91784702549575348</v>
      </c>
      <c r="Q193">
        <f t="shared" ref="Q193" si="940">F193*P193</f>
        <v>812926.82141643309</v>
      </c>
      <c r="R193">
        <f t="shared" ref="R193" si="941">R194+Q193</f>
        <v>38113015.405547969</v>
      </c>
      <c r="S193">
        <f t="shared" ref="S193" si="942">R193/100000</f>
        <v>381.13015405547969</v>
      </c>
      <c r="T193">
        <f t="shared" si="934"/>
        <v>0.38113015405547968</v>
      </c>
    </row>
    <row r="194" spans="1:20" x14ac:dyDescent="0.25">
      <c r="A194" s="5">
        <v>44399</v>
      </c>
      <c r="B194">
        <v>2.2789000000000001</v>
      </c>
      <c r="C194">
        <v>2.3307000000000002</v>
      </c>
      <c r="D194">
        <v>2.2029999999999998</v>
      </c>
      <c r="E194">
        <v>2.3071999999999999</v>
      </c>
      <c r="F194">
        <v>849773.15</v>
      </c>
      <c r="G194">
        <v>2.3071999999999999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0.63194988253719298</v>
      </c>
      <c r="Q194">
        <f t="shared" ref="Q194" si="944">F194*P194</f>
        <v>537014.04232576047</v>
      </c>
      <c r="R194">
        <f t="shared" ref="R194" si="945">R195+Q194</f>
        <v>37300088.584131539</v>
      </c>
      <c r="S194">
        <f t="shared" ref="S194" si="946">R194/100000</f>
        <v>373.00088584131538</v>
      </c>
      <c r="T194">
        <f t="shared" si="934"/>
        <v>0.37300088584131535</v>
      </c>
    </row>
    <row r="195" spans="1:20" x14ac:dyDescent="0.25">
      <c r="A195" s="5">
        <v>44398</v>
      </c>
      <c r="B195">
        <v>2.1400999999999999</v>
      </c>
      <c r="C195">
        <v>2.31</v>
      </c>
      <c r="D195">
        <v>2.02</v>
      </c>
      <c r="E195">
        <v>2.2787999999999999</v>
      </c>
      <c r="F195">
        <v>1502883.16</v>
      </c>
      <c r="G195">
        <v>2.2787999999999999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0.78482758620689574</v>
      </c>
      <c r="Q195">
        <f t="shared" ref="Q195" si="948">F195*P195</f>
        <v>1179504.1628137918</v>
      </c>
      <c r="R195">
        <f t="shared" ref="R195" si="949">R196+Q195</f>
        <v>36763074.541805781</v>
      </c>
      <c r="S195">
        <f t="shared" ref="S195" si="950">R195/100000</f>
        <v>367.63074541805781</v>
      </c>
      <c r="T195">
        <f t="shared" si="934"/>
        <v>0.36763074541805779</v>
      </c>
    </row>
    <row r="196" spans="1:20" x14ac:dyDescent="0.25">
      <c r="A196" s="5">
        <v>44397</v>
      </c>
      <c r="B196">
        <v>2.2854000000000001</v>
      </c>
      <c r="C196">
        <v>2.3045</v>
      </c>
      <c r="D196">
        <v>2.0038</v>
      </c>
      <c r="E196">
        <v>2.1400999999999999</v>
      </c>
      <c r="F196">
        <v>1769501.02</v>
      </c>
      <c r="G196">
        <v>2.1400999999999999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-9.3448619886931289E-2</v>
      </c>
      <c r="Q196">
        <f t="shared" ref="Q196" si="952">F196*P196</f>
        <v>-165357.42820751719</v>
      </c>
      <c r="R196">
        <f t="shared" ref="R196" si="953">R197+Q196</f>
        <v>35583570.378991991</v>
      </c>
      <c r="S196">
        <f t="shared" ref="S196" si="954">R196/100000</f>
        <v>355.83570378991993</v>
      </c>
      <c r="T196">
        <f t="shared" si="934"/>
        <v>0.35583570378991991</v>
      </c>
    </row>
    <row r="197" spans="1:20" x14ac:dyDescent="0.25">
      <c r="A197" s="5">
        <v>44396</v>
      </c>
      <c r="B197">
        <v>2.6493000000000002</v>
      </c>
      <c r="C197">
        <v>2.6558000000000002</v>
      </c>
      <c r="D197">
        <v>2.2526000000000002</v>
      </c>
      <c r="E197">
        <v>2.2835999999999999</v>
      </c>
      <c r="F197">
        <v>2939140.85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-0.84623015873016028</v>
      </c>
      <c r="Q197">
        <f t="shared" ref="Q197" si="956">F197*P197</f>
        <v>-2487189.6280257981</v>
      </c>
      <c r="R197">
        <f t="shared" ref="R197" si="957">R198+Q197</f>
        <v>35748927.807199508</v>
      </c>
      <c r="S197">
        <f t="shared" ref="S197" si="958">R197/100000</f>
        <v>357.4892780719951</v>
      </c>
      <c r="T197">
        <f t="shared" si="934"/>
        <v>0.3574892780719951</v>
      </c>
    </row>
    <row r="198" spans="1:20" x14ac:dyDescent="0.25">
      <c r="A198" s="5">
        <v>44395</v>
      </c>
      <c r="B198">
        <v>2.2938000000000001</v>
      </c>
      <c r="C198">
        <v>2.9148000000000001</v>
      </c>
      <c r="D198">
        <v>2.2873999999999999</v>
      </c>
      <c r="E198">
        <v>2.6516999999999999</v>
      </c>
      <c r="F198">
        <v>6423348.4900000002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0.16130060567421092</v>
      </c>
      <c r="Q198">
        <f t="shared" ref="Q198:Q261" si="960">F198*P198</f>
        <v>1036090.0018935282</v>
      </c>
      <c r="R198">
        <f t="shared" ref="R198:R261" si="961">R199+Q198</f>
        <v>38236117.435225308</v>
      </c>
      <c r="S198">
        <f t="shared" ref="S198:S261" si="962">R198/100000</f>
        <v>382.3611743522531</v>
      </c>
      <c r="T198">
        <f t="shared" ref="T198:T261" si="963">S198/1000</f>
        <v>0.38236117435225309</v>
      </c>
    </row>
    <row r="199" spans="1:20" x14ac:dyDescent="0.25">
      <c r="A199" s="5">
        <v>44394</v>
      </c>
      <c r="B199">
        <v>2.2208000000000001</v>
      </c>
      <c r="C199">
        <v>2.423</v>
      </c>
      <c r="D199">
        <v>2.2000000000000002</v>
      </c>
      <c r="E199">
        <v>2.2949999999999999</v>
      </c>
      <c r="F199">
        <v>1506407.68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-0.14798206278027076</v>
      </c>
      <c r="Q199">
        <f t="shared" si="960"/>
        <v>-222921.31587444202</v>
      </c>
      <c r="R199">
        <f t="shared" si="961"/>
        <v>37200027.43333178</v>
      </c>
      <c r="S199">
        <f t="shared" si="962"/>
        <v>372.0002743333178</v>
      </c>
      <c r="T199">
        <f t="shared" si="963"/>
        <v>0.37200027433331778</v>
      </c>
    </row>
    <row r="200" spans="1:20" x14ac:dyDescent="0.25">
      <c r="A200" s="5">
        <v>44393</v>
      </c>
      <c r="B200">
        <v>2.3978000000000002</v>
      </c>
      <c r="C200">
        <v>2.3978000000000002</v>
      </c>
      <c r="D200">
        <v>2.1648999999999998</v>
      </c>
      <c r="E200">
        <v>2.2254</v>
      </c>
      <c r="F200">
        <v>1122535.03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-0.48046371833404777</v>
      </c>
      <c r="Q200">
        <f t="shared" si="960"/>
        <v>-539337.35447402194</v>
      </c>
      <c r="R200">
        <f t="shared" si="961"/>
        <v>37422948.749206223</v>
      </c>
      <c r="S200">
        <f t="shared" si="962"/>
        <v>374.22948749206222</v>
      </c>
      <c r="T200">
        <f t="shared" si="963"/>
        <v>0.3742294874920622</v>
      </c>
    </row>
    <row r="201" spans="1:20" x14ac:dyDescent="0.25">
      <c r="A201" s="5">
        <v>44392</v>
      </c>
      <c r="B201">
        <v>2.5472999999999999</v>
      </c>
      <c r="C201">
        <v>2.63</v>
      </c>
      <c r="D201">
        <v>2.3289</v>
      </c>
      <c r="E201">
        <v>2.3959999999999999</v>
      </c>
      <c r="F201">
        <v>1696060.92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-0.55430089671205607</v>
      </c>
      <c r="Q201">
        <f t="shared" si="960"/>
        <v>-940128.08883427479</v>
      </c>
      <c r="R201">
        <f t="shared" si="961"/>
        <v>37962286.103680246</v>
      </c>
      <c r="S201">
        <f t="shared" si="962"/>
        <v>379.62286103680248</v>
      </c>
      <c r="T201">
        <f t="shared" si="963"/>
        <v>0.37962286103680248</v>
      </c>
    </row>
    <row r="202" spans="1:20" x14ac:dyDescent="0.25">
      <c r="A202" s="5">
        <v>44391</v>
      </c>
      <c r="B202">
        <v>2.6006999999999998</v>
      </c>
      <c r="C202">
        <v>2.6560999999999999</v>
      </c>
      <c r="D202">
        <v>2.34</v>
      </c>
      <c r="E202">
        <v>2.5501999999999998</v>
      </c>
      <c r="F202">
        <v>1760117.29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0.32995887377412153</v>
      </c>
      <c r="Q202">
        <f t="shared" si="960"/>
        <v>580766.31871875888</v>
      </c>
      <c r="R202">
        <f t="shared" si="961"/>
        <v>38902414.192514524</v>
      </c>
      <c r="S202">
        <f t="shared" si="962"/>
        <v>389.02414192514522</v>
      </c>
      <c r="T202">
        <f t="shared" si="963"/>
        <v>0.38902414192514523</v>
      </c>
    </row>
    <row r="203" spans="1:20" x14ac:dyDescent="0.25">
      <c r="A203" s="5">
        <v>44390</v>
      </c>
      <c r="B203">
        <v>2.7143999999999999</v>
      </c>
      <c r="C203">
        <v>2.7250999999999999</v>
      </c>
      <c r="D203">
        <v>2.4872999999999998</v>
      </c>
      <c r="E203">
        <v>2.5971000000000002</v>
      </c>
      <c r="F203">
        <v>1197975.48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-7.6534903280064459E-2</v>
      </c>
      <c r="Q203">
        <f t="shared" si="960"/>
        <v>-91686.937493688791</v>
      </c>
      <c r="R203">
        <f t="shared" si="961"/>
        <v>38321647.873795763</v>
      </c>
      <c r="S203">
        <f t="shared" si="962"/>
        <v>383.21647873795763</v>
      </c>
      <c r="T203">
        <f t="shared" si="963"/>
        <v>0.38321647873795761</v>
      </c>
    </row>
    <row r="204" spans="1:20" x14ac:dyDescent="0.25">
      <c r="A204" s="5">
        <v>44389</v>
      </c>
      <c r="B204">
        <v>2.5865999999999998</v>
      </c>
      <c r="C204">
        <v>2.93</v>
      </c>
      <c r="D204">
        <v>2.58</v>
      </c>
      <c r="E204">
        <v>2.7206000000000001</v>
      </c>
      <c r="F204">
        <v>5091813.72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-0.19657142857142845</v>
      </c>
      <c r="Q204">
        <f t="shared" si="960"/>
        <v>-1000905.0969599993</v>
      </c>
      <c r="R204">
        <f t="shared" si="961"/>
        <v>38413334.811289452</v>
      </c>
      <c r="S204">
        <f t="shared" si="962"/>
        <v>384.13334811289451</v>
      </c>
      <c r="T204">
        <f t="shared" si="963"/>
        <v>0.38413334811289451</v>
      </c>
    </row>
    <row r="205" spans="1:20" x14ac:dyDescent="0.25">
      <c r="A205" s="5">
        <v>44388</v>
      </c>
      <c r="B205">
        <v>2.4512</v>
      </c>
      <c r="C205">
        <v>2.6255000000000002</v>
      </c>
      <c r="D205">
        <v>2.3807</v>
      </c>
      <c r="E205">
        <v>2.5859000000000001</v>
      </c>
      <c r="F205">
        <v>5579800.0700000003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0.6764705882352936</v>
      </c>
      <c r="Q205">
        <f t="shared" si="960"/>
        <v>3774570.6355882324</v>
      </c>
      <c r="R205">
        <f t="shared" si="961"/>
        <v>39414239.908249453</v>
      </c>
      <c r="S205">
        <f t="shared" si="962"/>
        <v>394.14239908249453</v>
      </c>
      <c r="T205">
        <f t="shared" si="963"/>
        <v>0.39414239908249454</v>
      </c>
    </row>
    <row r="206" spans="1:20" x14ac:dyDescent="0.25">
      <c r="A206" s="5">
        <v>44387</v>
      </c>
      <c r="B206">
        <v>2.5266999999999999</v>
      </c>
      <c r="C206">
        <v>2.5634000000000001</v>
      </c>
      <c r="D206">
        <v>2.415</v>
      </c>
      <c r="E206">
        <v>2.4508999999999999</v>
      </c>
      <c r="F206">
        <v>1041121.56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-0.5161725067385472</v>
      </c>
      <c r="Q206">
        <f t="shared" si="960"/>
        <v>-537398.32544474676</v>
      </c>
      <c r="R206">
        <f t="shared" si="961"/>
        <v>35639669.272661224</v>
      </c>
      <c r="S206">
        <f t="shared" si="962"/>
        <v>356.39669272661223</v>
      </c>
      <c r="T206">
        <f t="shared" si="963"/>
        <v>0.35639669272661223</v>
      </c>
    </row>
    <row r="207" spans="1:20" x14ac:dyDescent="0.25">
      <c r="A207" s="5">
        <v>44386</v>
      </c>
      <c r="B207">
        <v>2.403</v>
      </c>
      <c r="C207">
        <v>2.65</v>
      </c>
      <c r="D207">
        <v>2.3410000000000002</v>
      </c>
      <c r="E207">
        <v>2.5247000000000002</v>
      </c>
      <c r="F207">
        <v>1642791.04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0.18899676375404623</v>
      </c>
      <c r="Q207">
        <f t="shared" si="960"/>
        <v>310482.19008414389</v>
      </c>
      <c r="R207">
        <f t="shared" si="961"/>
        <v>36177067.598105967</v>
      </c>
      <c r="S207">
        <f t="shared" si="962"/>
        <v>361.7706759810597</v>
      </c>
      <c r="T207">
        <f t="shared" si="963"/>
        <v>0.36177067598105972</v>
      </c>
    </row>
    <row r="208" spans="1:20" x14ac:dyDescent="0.25">
      <c r="A208" s="5">
        <v>44385</v>
      </c>
      <c r="B208">
        <v>2.7338</v>
      </c>
      <c r="C208">
        <v>2.7355</v>
      </c>
      <c r="D208">
        <v>2.3517000000000001</v>
      </c>
      <c r="E208">
        <v>2.403</v>
      </c>
      <c r="F208">
        <v>1828281.29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-0.7326732673267331</v>
      </c>
      <c r="Q208">
        <f t="shared" si="960"/>
        <v>-1339532.8263366346</v>
      </c>
      <c r="R208">
        <f t="shared" si="961"/>
        <v>35866585.408021823</v>
      </c>
      <c r="S208">
        <f t="shared" si="962"/>
        <v>358.66585408021825</v>
      </c>
      <c r="T208">
        <f t="shared" si="963"/>
        <v>0.35866585408021823</v>
      </c>
    </row>
    <row r="209" spans="1:20" x14ac:dyDescent="0.25">
      <c r="A209" s="5">
        <v>44384</v>
      </c>
      <c r="B209">
        <v>2.6475</v>
      </c>
      <c r="C209">
        <v>2.8113999999999999</v>
      </c>
      <c r="D209">
        <v>2.6158999999999999</v>
      </c>
      <c r="E209">
        <v>2.7355</v>
      </c>
      <c r="F209">
        <v>1715085.39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0.22352941176470739</v>
      </c>
      <c r="Q209">
        <f t="shared" si="960"/>
        <v>383372.02835294371</v>
      </c>
      <c r="R209">
        <f t="shared" si="961"/>
        <v>37206118.23435846</v>
      </c>
      <c r="S209">
        <f t="shared" si="962"/>
        <v>372.06118234358462</v>
      </c>
      <c r="T209">
        <f t="shared" si="963"/>
        <v>0.3720611823435846</v>
      </c>
    </row>
    <row r="210" spans="1:20" x14ac:dyDescent="0.25">
      <c r="A210" s="5">
        <v>44383</v>
      </c>
      <c r="B210">
        <v>2.5895999999999999</v>
      </c>
      <c r="C210">
        <v>2.7183999999999999</v>
      </c>
      <c r="D210">
        <v>2.5668000000000002</v>
      </c>
      <c r="E210">
        <v>2.6475</v>
      </c>
      <c r="F210">
        <v>1025379.01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6.4643799472294372E-2</v>
      </c>
      <c r="Q210">
        <f t="shared" si="960"/>
        <v>66284.395105539719</v>
      </c>
      <c r="R210">
        <f t="shared" si="961"/>
        <v>36822746.206005514</v>
      </c>
      <c r="S210">
        <f t="shared" si="962"/>
        <v>368.22746206005513</v>
      </c>
      <c r="T210">
        <f t="shared" si="963"/>
        <v>0.36822746206005513</v>
      </c>
    </row>
    <row r="211" spans="1:20" x14ac:dyDescent="0.25">
      <c r="A211" s="5">
        <v>44382</v>
      </c>
      <c r="B211">
        <v>2.7545999999999999</v>
      </c>
      <c r="C211">
        <v>2.7934000000000001</v>
      </c>
      <c r="D211">
        <v>2.5</v>
      </c>
      <c r="E211">
        <v>2.5912000000000002</v>
      </c>
      <c r="F211">
        <v>1905238.52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-0.37832310838445715</v>
      </c>
      <c r="Q211">
        <f t="shared" si="960"/>
        <v>-720795.7591002027</v>
      </c>
      <c r="R211">
        <f t="shared" si="961"/>
        <v>36756461.810899973</v>
      </c>
      <c r="S211">
        <f t="shared" si="962"/>
        <v>367.56461810899975</v>
      </c>
      <c r="T211">
        <f t="shared" si="963"/>
        <v>0.36756461810899976</v>
      </c>
    </row>
    <row r="212" spans="1:20" x14ac:dyDescent="0.25">
      <c r="A212" s="5">
        <v>44381</v>
      </c>
      <c r="B212">
        <v>2.6459000000000001</v>
      </c>
      <c r="C212">
        <v>2.9903</v>
      </c>
      <c r="D212">
        <v>2.6076999999999999</v>
      </c>
      <c r="E212">
        <v>2.7559999999999998</v>
      </c>
      <c r="F212">
        <v>2183131.52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-0.22477783585990666</v>
      </c>
      <c r="Q212">
        <f t="shared" si="960"/>
        <v>-490719.5784631485</v>
      </c>
      <c r="R212">
        <f t="shared" si="961"/>
        <v>37477257.570000179</v>
      </c>
      <c r="S212">
        <f t="shared" si="962"/>
        <v>374.77257570000177</v>
      </c>
      <c r="T212">
        <f t="shared" si="963"/>
        <v>0.37477257570000178</v>
      </c>
    </row>
    <row r="213" spans="1:20" x14ac:dyDescent="0.25">
      <c r="A213" s="5">
        <v>44380</v>
      </c>
      <c r="B213">
        <v>2.5514999999999999</v>
      </c>
      <c r="C213">
        <v>2.645</v>
      </c>
      <c r="D213">
        <v>2.4502000000000002</v>
      </c>
      <c r="E213">
        <v>2.6379999999999999</v>
      </c>
      <c r="F213">
        <v>798389.68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0.92813141683778111</v>
      </c>
      <c r="Q213">
        <f t="shared" si="960"/>
        <v>741010.54488706274</v>
      </c>
      <c r="R213">
        <f t="shared" si="961"/>
        <v>37967977.148463331</v>
      </c>
      <c r="S213">
        <f t="shared" si="962"/>
        <v>379.67977148463331</v>
      </c>
      <c r="T213">
        <f t="shared" si="963"/>
        <v>0.37967977148463333</v>
      </c>
    </row>
    <row r="214" spans="1:20" x14ac:dyDescent="0.25">
      <c r="A214" s="5">
        <v>44379</v>
      </c>
      <c r="B214">
        <v>2.5440999999999998</v>
      </c>
      <c r="C214">
        <v>2.5867</v>
      </c>
      <c r="D214">
        <v>2.3435000000000001</v>
      </c>
      <c r="E214">
        <v>2.5522</v>
      </c>
      <c r="F214">
        <v>1292629.22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0.71628289473684215</v>
      </c>
      <c r="Q214">
        <f t="shared" si="960"/>
        <v>925888.19952302636</v>
      </c>
      <c r="R214">
        <f t="shared" si="961"/>
        <v>37226966.603576265</v>
      </c>
      <c r="S214">
        <f t="shared" si="962"/>
        <v>372.26966603576267</v>
      </c>
      <c r="T214">
        <f t="shared" si="963"/>
        <v>0.37226966603576267</v>
      </c>
    </row>
    <row r="215" spans="1:20" x14ac:dyDescent="0.25">
      <c r="A215" s="5">
        <v>44378</v>
      </c>
      <c r="B215">
        <v>2.6789000000000001</v>
      </c>
      <c r="C215">
        <v>2.76</v>
      </c>
      <c r="D215">
        <v>2.37</v>
      </c>
      <c r="E215">
        <v>2.5407000000000002</v>
      </c>
      <c r="F215">
        <v>1882005.44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-0.12461538461538352</v>
      </c>
      <c r="Q215">
        <f t="shared" si="960"/>
        <v>-234526.83175384408</v>
      </c>
      <c r="R215">
        <f t="shared" si="961"/>
        <v>36301078.404053241</v>
      </c>
      <c r="S215">
        <f t="shared" si="962"/>
        <v>363.01078404053243</v>
      </c>
      <c r="T215">
        <f t="shared" si="963"/>
        <v>0.36301078404053244</v>
      </c>
    </row>
    <row r="216" spans="1:20" x14ac:dyDescent="0.25">
      <c r="A216" s="5">
        <v>44377</v>
      </c>
      <c r="B216">
        <v>2.4779</v>
      </c>
      <c r="C216">
        <v>2.7</v>
      </c>
      <c r="D216">
        <v>2.3111000000000002</v>
      </c>
      <c r="E216">
        <v>2.6789000000000001</v>
      </c>
      <c r="F216">
        <v>2777008.35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0.89148881460529639</v>
      </c>
      <c r="Q216">
        <f t="shared" si="960"/>
        <v>2475671.8820905103</v>
      </c>
      <c r="R216">
        <f t="shared" si="961"/>
        <v>36535605.235807084</v>
      </c>
      <c r="S216">
        <f t="shared" si="962"/>
        <v>365.35605235807083</v>
      </c>
      <c r="T216">
        <f t="shared" si="963"/>
        <v>0.36535605235807084</v>
      </c>
    </row>
    <row r="217" spans="1:20" x14ac:dyDescent="0.25">
      <c r="A217" s="5">
        <v>44376</v>
      </c>
      <c r="B217">
        <v>2.2012</v>
      </c>
      <c r="C217">
        <v>2.72</v>
      </c>
      <c r="D217">
        <v>2.1970999999999998</v>
      </c>
      <c r="E217">
        <v>2.4813000000000001</v>
      </c>
      <c r="F217">
        <v>4201196.38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8.7014725568942561E-2</v>
      </c>
      <c r="Q217">
        <f t="shared" si="960"/>
        <v>365565.95006693492</v>
      </c>
      <c r="R217">
        <f t="shared" si="961"/>
        <v>34059933.353716575</v>
      </c>
      <c r="S217">
        <f t="shared" si="962"/>
        <v>340.59933353716576</v>
      </c>
      <c r="T217">
        <f t="shared" si="963"/>
        <v>0.34059933353716576</v>
      </c>
    </row>
    <row r="218" spans="1:20" x14ac:dyDescent="0.25">
      <c r="A218" s="5">
        <v>44375</v>
      </c>
      <c r="B218">
        <v>2.0121000000000002</v>
      </c>
      <c r="C218">
        <v>2.2056</v>
      </c>
      <c r="D218">
        <v>1.9568000000000001</v>
      </c>
      <c r="E218">
        <v>2.2012999999999998</v>
      </c>
      <c r="F218">
        <v>1191587.68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0.96543408360128458</v>
      </c>
      <c r="Q218">
        <f t="shared" si="960"/>
        <v>1150399.3598713807</v>
      </c>
      <c r="R218">
        <f t="shared" si="961"/>
        <v>33694367.403649643</v>
      </c>
      <c r="S218">
        <f t="shared" si="962"/>
        <v>336.94367403649642</v>
      </c>
      <c r="T218">
        <f t="shared" si="963"/>
        <v>0.33694367403649644</v>
      </c>
    </row>
    <row r="219" spans="1:20" x14ac:dyDescent="0.25">
      <c r="A219" s="5">
        <v>44374</v>
      </c>
      <c r="B219">
        <v>1.9612000000000001</v>
      </c>
      <c r="C219">
        <v>2.0171999999999999</v>
      </c>
      <c r="D219">
        <v>1.8869</v>
      </c>
      <c r="E219">
        <v>2.0093999999999999</v>
      </c>
      <c r="F219">
        <v>1195341.93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0.88027628549501091</v>
      </c>
      <c r="Q219">
        <f t="shared" si="960"/>
        <v>1052231.1540368374</v>
      </c>
      <c r="R219">
        <f t="shared" si="961"/>
        <v>32543968.043778263</v>
      </c>
      <c r="S219">
        <f t="shared" si="962"/>
        <v>325.43968043778261</v>
      </c>
      <c r="T219">
        <f t="shared" si="963"/>
        <v>0.3254396804377826</v>
      </c>
    </row>
    <row r="220" spans="1:20" x14ac:dyDescent="0.25">
      <c r="A220" s="5">
        <v>44373</v>
      </c>
      <c r="B220">
        <v>1.8758999999999999</v>
      </c>
      <c r="C220">
        <v>2.0270999999999999</v>
      </c>
      <c r="D220">
        <v>1.8162</v>
      </c>
      <c r="E220">
        <v>1.9593</v>
      </c>
      <c r="F220">
        <v>1506748.57</v>
      </c>
      <c r="G220">
        <v>0</v>
      </c>
      <c r="L220" t="s">
        <v>8</v>
      </c>
      <c r="M220" t="s">
        <v>8</v>
      </c>
      <c r="N220" t="s">
        <v>8</v>
      </c>
      <c r="P220">
        <f t="shared" si="959"/>
        <v>0.35704125177809481</v>
      </c>
      <c r="Q220">
        <f t="shared" si="960"/>
        <v>537971.39554765436</v>
      </c>
      <c r="R220">
        <f t="shared" si="961"/>
        <v>31491736.889741424</v>
      </c>
      <c r="S220">
        <f t="shared" si="962"/>
        <v>314.91736889741424</v>
      </c>
      <c r="T220">
        <f t="shared" si="963"/>
        <v>0.31491736889741423</v>
      </c>
    </row>
    <row r="221" spans="1:20" x14ac:dyDescent="0.25">
      <c r="A221" s="5">
        <v>44372</v>
      </c>
      <c r="B221">
        <v>2.1017000000000001</v>
      </c>
      <c r="C221">
        <v>2.17</v>
      </c>
      <c r="D221">
        <v>1.84</v>
      </c>
      <c r="E221">
        <v>1.8798999999999999</v>
      </c>
      <c r="F221">
        <v>1589573.39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-0.75818181818181918</v>
      </c>
      <c r="Q221">
        <f t="shared" si="960"/>
        <v>-1205185.6429636378</v>
      </c>
      <c r="R221">
        <f t="shared" si="961"/>
        <v>30953765.49419377</v>
      </c>
      <c r="S221">
        <f t="shared" si="962"/>
        <v>309.53765494193772</v>
      </c>
      <c r="T221">
        <f t="shared" si="963"/>
        <v>0.30953765494193769</v>
      </c>
    </row>
    <row r="222" spans="1:20" x14ac:dyDescent="0.25">
      <c r="A222" s="5">
        <v>44371</v>
      </c>
      <c r="B222">
        <v>1.9811000000000001</v>
      </c>
      <c r="C222">
        <v>2.1055999999999999</v>
      </c>
      <c r="D222">
        <v>1.8751</v>
      </c>
      <c r="E222">
        <v>2.1017999999999999</v>
      </c>
      <c r="F222">
        <v>1079305.72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0.96702819956616026</v>
      </c>
      <c r="Q222">
        <f t="shared" si="960"/>
        <v>1043719.0671930583</v>
      </c>
      <c r="R222">
        <f t="shared" si="961"/>
        <v>32158951.137157407</v>
      </c>
      <c r="S222">
        <f t="shared" si="962"/>
        <v>321.58951137157408</v>
      </c>
      <c r="T222">
        <f t="shared" si="963"/>
        <v>0.3215895113715741</v>
      </c>
    </row>
    <row r="223" spans="1:20" x14ac:dyDescent="0.25">
      <c r="A223" s="5">
        <v>44370</v>
      </c>
      <c r="B223">
        <v>1.8606</v>
      </c>
      <c r="C223">
        <v>2.1280000000000001</v>
      </c>
      <c r="D223">
        <v>1.786</v>
      </c>
      <c r="E223">
        <v>1.9811000000000001</v>
      </c>
      <c r="F223">
        <v>1584207.25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0.14093567251461991</v>
      </c>
      <c r="Q223">
        <f t="shared" si="960"/>
        <v>223271.31418128661</v>
      </c>
      <c r="R223">
        <f t="shared" si="961"/>
        <v>31115232.069964349</v>
      </c>
      <c r="S223">
        <f t="shared" si="962"/>
        <v>311.1523206996435</v>
      </c>
      <c r="T223">
        <f t="shared" si="963"/>
        <v>0.31115232069964349</v>
      </c>
    </row>
    <row r="224" spans="1:20" x14ac:dyDescent="0.25">
      <c r="A224" s="5">
        <v>44369</v>
      </c>
      <c r="B224">
        <v>1.9503999999999999</v>
      </c>
      <c r="C224">
        <v>2.0547</v>
      </c>
      <c r="D224">
        <v>1.5113000000000001</v>
      </c>
      <c r="E224">
        <v>1.8681000000000001</v>
      </c>
      <c r="F224">
        <v>3330600.75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0.3132131026867872</v>
      </c>
      <c r="Q224">
        <f t="shared" si="960"/>
        <v>1043187.7947184405</v>
      </c>
      <c r="R224">
        <f t="shared" si="961"/>
        <v>30891960.755783062</v>
      </c>
      <c r="S224">
        <f t="shared" si="962"/>
        <v>308.9196075578306</v>
      </c>
      <c r="T224">
        <f t="shared" si="963"/>
        <v>0.3089196075578306</v>
      </c>
    </row>
    <row r="225" spans="1:20" x14ac:dyDescent="0.25">
      <c r="A225" s="5">
        <v>44368</v>
      </c>
      <c r="B225">
        <v>2.4765999999999999</v>
      </c>
      <c r="C225">
        <v>2.5543999999999998</v>
      </c>
      <c r="D225">
        <v>1.92</v>
      </c>
      <c r="E225">
        <v>1.9564999999999999</v>
      </c>
      <c r="F225">
        <v>2412951.88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-0.88493064312736447</v>
      </c>
      <c r="Q225">
        <f t="shared" si="960"/>
        <v>-2135295.0590037829</v>
      </c>
      <c r="R225">
        <f t="shared" si="961"/>
        <v>29848772.961064622</v>
      </c>
      <c r="S225">
        <f t="shared" si="962"/>
        <v>298.48772961064623</v>
      </c>
      <c r="T225">
        <f t="shared" si="963"/>
        <v>0.29848772961064624</v>
      </c>
    </row>
    <row r="226" spans="1:20" x14ac:dyDescent="0.25">
      <c r="A226" s="5">
        <v>44367</v>
      </c>
      <c r="B226">
        <v>2.5461999999999998</v>
      </c>
      <c r="C226">
        <v>2.5598999999999998</v>
      </c>
      <c r="D226">
        <v>2.2831000000000001</v>
      </c>
      <c r="E226">
        <v>2.4782000000000002</v>
      </c>
      <c r="F226">
        <v>1777085.7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0.40968208092485731</v>
      </c>
      <c r="Q226">
        <f t="shared" si="960"/>
        <v>728040.16755780671</v>
      </c>
      <c r="R226">
        <f t="shared" si="961"/>
        <v>31984068.020068403</v>
      </c>
      <c r="S226">
        <f t="shared" si="962"/>
        <v>319.84068020068401</v>
      </c>
      <c r="T226">
        <f t="shared" si="963"/>
        <v>0.31984068020068401</v>
      </c>
    </row>
    <row r="227" spans="1:20" x14ac:dyDescent="0.25">
      <c r="A227" s="5">
        <v>44366</v>
      </c>
      <c r="B227">
        <v>2.6072000000000002</v>
      </c>
      <c r="C227">
        <v>2.6968000000000001</v>
      </c>
      <c r="D227">
        <v>2.5366</v>
      </c>
      <c r="E227">
        <v>2.552</v>
      </c>
      <c r="F227">
        <v>786486.19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-0.80774032459425626</v>
      </c>
      <c r="Q227">
        <f t="shared" si="960"/>
        <v>-635276.61039949988</v>
      </c>
      <c r="R227">
        <f t="shared" si="961"/>
        <v>31256027.852510598</v>
      </c>
      <c r="S227">
        <f t="shared" si="962"/>
        <v>312.56027852510596</v>
      </c>
      <c r="T227">
        <f t="shared" si="963"/>
        <v>0.31256027852510598</v>
      </c>
    </row>
    <row r="228" spans="1:20" x14ac:dyDescent="0.25">
      <c r="A228" s="5">
        <v>44365</v>
      </c>
      <c r="B228">
        <v>2.8169</v>
      </c>
      <c r="C228">
        <v>2.8216999999999999</v>
      </c>
      <c r="D228">
        <v>2.5</v>
      </c>
      <c r="E228">
        <v>2.6187</v>
      </c>
      <c r="F228">
        <v>1388533.12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-0.26204538389804122</v>
      </c>
      <c r="Q228">
        <f t="shared" si="960"/>
        <v>-363858.69448554498</v>
      </c>
      <c r="R228">
        <f t="shared" si="961"/>
        <v>31891304.462910097</v>
      </c>
      <c r="S228">
        <f t="shared" si="962"/>
        <v>318.91304462910097</v>
      </c>
      <c r="T228">
        <f t="shared" si="963"/>
        <v>0.31891304462910097</v>
      </c>
    </row>
    <row r="229" spans="1:20" x14ac:dyDescent="0.25">
      <c r="A229" s="5">
        <v>44364</v>
      </c>
      <c r="B229">
        <v>2.8540999999999999</v>
      </c>
      <c r="C229">
        <v>2.9735999999999998</v>
      </c>
      <c r="D229">
        <v>2.7427000000000001</v>
      </c>
      <c r="E229">
        <v>2.8214000000000001</v>
      </c>
      <c r="F229">
        <v>1332393.22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-0.31831961888263222</v>
      </c>
      <c r="Q229">
        <f t="shared" si="960"/>
        <v>-424126.90199220314</v>
      </c>
      <c r="R229">
        <f t="shared" si="961"/>
        <v>32255163.157395642</v>
      </c>
      <c r="S229">
        <f t="shared" si="962"/>
        <v>322.5516315739564</v>
      </c>
      <c r="T229">
        <f t="shared" si="963"/>
        <v>0.32255163157395639</v>
      </c>
    </row>
    <row r="230" spans="1:20" x14ac:dyDescent="0.25">
      <c r="A230" s="5">
        <v>44363</v>
      </c>
      <c r="B230">
        <v>3.0384000000000002</v>
      </c>
      <c r="C230">
        <v>3.1747999999999998</v>
      </c>
      <c r="D230">
        <v>2.8241000000000001</v>
      </c>
      <c r="E230">
        <v>2.8557000000000001</v>
      </c>
      <c r="F230">
        <v>1609299.81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-0.81978899344168754</v>
      </c>
      <c r="Q230">
        <f t="shared" si="960"/>
        <v>-1319286.2713857992</v>
      </c>
      <c r="R230">
        <f t="shared" si="961"/>
        <v>32679290.059387844</v>
      </c>
      <c r="S230">
        <f t="shared" si="962"/>
        <v>326.79290059387841</v>
      </c>
      <c r="T230">
        <f t="shared" si="963"/>
        <v>0.32679290059387839</v>
      </c>
    </row>
    <row r="231" spans="1:20" x14ac:dyDescent="0.25">
      <c r="A231" s="5">
        <v>44362</v>
      </c>
      <c r="B231">
        <v>3.0851000000000002</v>
      </c>
      <c r="C231">
        <v>3.1349999999999998</v>
      </c>
      <c r="D231">
        <v>2.9500999999999999</v>
      </c>
      <c r="E231">
        <v>3.0396000000000001</v>
      </c>
      <c r="F231">
        <v>1368654.31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-3.1909140075714319E-2</v>
      </c>
      <c r="Q231">
        <f t="shared" si="960"/>
        <v>-43672.58209302013</v>
      </c>
      <c r="R231">
        <f t="shared" si="961"/>
        <v>33998576.330773644</v>
      </c>
      <c r="S231">
        <f t="shared" si="962"/>
        <v>339.98576330773642</v>
      </c>
      <c r="T231">
        <f t="shared" si="963"/>
        <v>0.33998576330773644</v>
      </c>
    </row>
    <row r="232" spans="1:20" x14ac:dyDescent="0.25">
      <c r="A232" s="5">
        <v>44361</v>
      </c>
      <c r="B232">
        <v>2.9018999999999999</v>
      </c>
      <c r="C232">
        <v>3.1798999999999999</v>
      </c>
      <c r="D232">
        <v>2.8471000000000002</v>
      </c>
      <c r="E232">
        <v>3.0855999999999999</v>
      </c>
      <c r="F232">
        <v>2064320.11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0.4332932692307685</v>
      </c>
      <c r="Q232">
        <f t="shared" si="960"/>
        <v>894456.00920071965</v>
      </c>
      <c r="R232">
        <f t="shared" si="961"/>
        <v>34042248.912866667</v>
      </c>
      <c r="S232">
        <f t="shared" si="962"/>
        <v>340.42248912866665</v>
      </c>
      <c r="T232">
        <f t="shared" si="963"/>
        <v>0.34042248912866663</v>
      </c>
    </row>
    <row r="233" spans="1:20" x14ac:dyDescent="0.25">
      <c r="A233" s="5">
        <v>44360</v>
      </c>
      <c r="B233">
        <v>2.7029999999999998</v>
      </c>
      <c r="C233">
        <v>2.9977999999999998</v>
      </c>
      <c r="D233">
        <v>2.6109</v>
      </c>
      <c r="E233">
        <v>2.9003999999999999</v>
      </c>
      <c r="F233">
        <v>1829254.09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0.49651072628586207</v>
      </c>
      <c r="Q233">
        <f t="shared" si="960"/>
        <v>908244.27678728371</v>
      </c>
      <c r="R233">
        <f t="shared" si="961"/>
        <v>33147792.903665949</v>
      </c>
      <c r="S233">
        <f t="shared" si="962"/>
        <v>331.47792903665948</v>
      </c>
      <c r="T233">
        <f t="shared" si="963"/>
        <v>0.33147792903665946</v>
      </c>
    </row>
    <row r="234" spans="1:20" x14ac:dyDescent="0.25">
      <c r="A234" s="5">
        <v>44359</v>
      </c>
      <c r="B234">
        <v>2.8267000000000002</v>
      </c>
      <c r="C234">
        <v>2.8988</v>
      </c>
      <c r="D234">
        <v>2.5669</v>
      </c>
      <c r="E234">
        <v>2.7050999999999998</v>
      </c>
      <c r="F234">
        <v>1970112.27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-0.1672190418800853</v>
      </c>
      <c r="Q234">
        <f t="shared" si="960"/>
        <v>-329440.28618559992</v>
      </c>
      <c r="R234">
        <f t="shared" si="961"/>
        <v>32239548.626878664</v>
      </c>
      <c r="S234">
        <f t="shared" si="962"/>
        <v>322.39548626878661</v>
      </c>
      <c r="T234">
        <f t="shared" si="963"/>
        <v>0.32239548626878661</v>
      </c>
    </row>
    <row r="235" spans="1:20" x14ac:dyDescent="0.25">
      <c r="A235" s="5">
        <v>44358</v>
      </c>
      <c r="B235">
        <v>3.1192000000000002</v>
      </c>
      <c r="C235">
        <v>3.169</v>
      </c>
      <c r="D235">
        <v>2.8001999999999998</v>
      </c>
      <c r="E235">
        <v>2.8283999999999998</v>
      </c>
      <c r="F235">
        <v>1189053.82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-0.84707158351409984</v>
      </c>
      <c r="Q235">
        <f t="shared" si="960"/>
        <v>-1007213.7021908895</v>
      </c>
      <c r="R235">
        <f t="shared" si="961"/>
        <v>32568988.913064264</v>
      </c>
      <c r="S235">
        <f t="shared" si="962"/>
        <v>325.68988913064265</v>
      </c>
      <c r="T235">
        <f t="shared" si="963"/>
        <v>0.32568988913064267</v>
      </c>
    </row>
    <row r="236" spans="1:20" x14ac:dyDescent="0.25">
      <c r="A236" s="5">
        <v>44357</v>
      </c>
      <c r="B236">
        <v>3.2563</v>
      </c>
      <c r="C236">
        <v>3.2624</v>
      </c>
      <c r="D236">
        <v>2.9929000000000001</v>
      </c>
      <c r="E236">
        <v>3.117</v>
      </c>
      <c r="F236">
        <v>1295807.5900000001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-7.9035250463822301E-2</v>
      </c>
      <c r="Q236">
        <f t="shared" si="960"/>
        <v>-102414.47742857196</v>
      </c>
      <c r="R236">
        <f t="shared" si="961"/>
        <v>33576202.615255155</v>
      </c>
      <c r="S236">
        <f t="shared" si="962"/>
        <v>335.76202615255153</v>
      </c>
      <c r="T236">
        <f t="shared" si="963"/>
        <v>0.33576202615255152</v>
      </c>
    </row>
    <row r="237" spans="1:20" x14ac:dyDescent="0.25">
      <c r="A237" s="5">
        <v>44356</v>
      </c>
      <c r="B237">
        <v>3.1288999999999998</v>
      </c>
      <c r="C237">
        <v>3.2597999999999998</v>
      </c>
      <c r="D237">
        <v>2.9668000000000001</v>
      </c>
      <c r="E237">
        <v>3.2597</v>
      </c>
      <c r="F237">
        <v>2210024.4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0.9993174061433463</v>
      </c>
      <c r="Q237">
        <f t="shared" si="960"/>
        <v>2208515.8509215051</v>
      </c>
      <c r="R237">
        <f t="shared" si="961"/>
        <v>33678617.092683725</v>
      </c>
      <c r="S237">
        <f t="shared" si="962"/>
        <v>336.78617092683726</v>
      </c>
      <c r="T237">
        <f t="shared" si="963"/>
        <v>0.33678617092683727</v>
      </c>
    </row>
    <row r="238" spans="1:20" x14ac:dyDescent="0.25">
      <c r="A238" s="5">
        <v>44355</v>
      </c>
      <c r="B238">
        <v>3.2360000000000002</v>
      </c>
      <c r="C238">
        <v>3.3307000000000002</v>
      </c>
      <c r="D238">
        <v>2.7311999999999999</v>
      </c>
      <c r="E238">
        <v>3.1288999999999998</v>
      </c>
      <c r="F238">
        <v>2612230.9900000002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0.3267723102585478</v>
      </c>
      <c r="Q238">
        <f t="shared" si="960"/>
        <v>853604.75553127355</v>
      </c>
      <c r="R238">
        <f t="shared" si="961"/>
        <v>31470101.241762221</v>
      </c>
      <c r="S238">
        <f t="shared" si="962"/>
        <v>314.70101241762222</v>
      </c>
      <c r="T238">
        <f t="shared" si="963"/>
        <v>0.31470101241762222</v>
      </c>
    </row>
    <row r="239" spans="1:20" x14ac:dyDescent="0.25">
      <c r="A239" s="5">
        <v>44354</v>
      </c>
      <c r="B239">
        <v>3.52</v>
      </c>
      <c r="C239">
        <v>3.7955000000000001</v>
      </c>
      <c r="D239">
        <v>3.1972999999999998</v>
      </c>
      <c r="E239">
        <v>3.2282000000000002</v>
      </c>
      <c r="F239">
        <v>2352900.86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-0.89669007021063074</v>
      </c>
      <c r="Q239">
        <f t="shared" si="960"/>
        <v>-2109822.8373520533</v>
      </c>
      <c r="R239">
        <f t="shared" si="961"/>
        <v>30616496.486230947</v>
      </c>
      <c r="S239">
        <f t="shared" si="962"/>
        <v>306.16496486230949</v>
      </c>
      <c r="T239">
        <f t="shared" si="963"/>
        <v>0.30616496486230949</v>
      </c>
    </row>
    <row r="240" spans="1:20" x14ac:dyDescent="0.25">
      <c r="A240" s="5">
        <v>44353</v>
      </c>
      <c r="B240">
        <v>3.379</v>
      </c>
      <c r="C240">
        <v>3.6598999999999999</v>
      </c>
      <c r="D240">
        <v>3.3239999999999998</v>
      </c>
      <c r="E240">
        <v>3.52</v>
      </c>
      <c r="F240">
        <v>1349959.26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0.16701399225960181</v>
      </c>
      <c r="Q240">
        <f t="shared" si="960"/>
        <v>225462.0854004178</v>
      </c>
      <c r="R240">
        <f t="shared" si="961"/>
        <v>32726319.323582999</v>
      </c>
      <c r="S240">
        <f t="shared" si="962"/>
        <v>327.26319323582999</v>
      </c>
      <c r="T240">
        <f t="shared" si="963"/>
        <v>0.32726319323582997</v>
      </c>
    </row>
    <row r="241" spans="1:20" x14ac:dyDescent="0.25">
      <c r="A241" s="5">
        <v>44352</v>
      </c>
      <c r="B241">
        <v>3.5491000000000001</v>
      </c>
      <c r="C241">
        <v>3.6905000000000001</v>
      </c>
      <c r="D241">
        <v>3.2753999999999999</v>
      </c>
      <c r="E241">
        <v>3.3788</v>
      </c>
      <c r="F241">
        <v>1820911.17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-0.50180679354372393</v>
      </c>
      <c r="Q241">
        <f t="shared" si="960"/>
        <v>-913745.59554565069</v>
      </c>
      <c r="R241">
        <f t="shared" si="961"/>
        <v>32500857.238182582</v>
      </c>
      <c r="S241">
        <f t="shared" si="962"/>
        <v>325.00857238182584</v>
      </c>
      <c r="T241">
        <f t="shared" si="963"/>
        <v>0.32500857238182584</v>
      </c>
    </row>
    <row r="242" spans="1:20" x14ac:dyDescent="0.25">
      <c r="A242" s="5">
        <v>44351</v>
      </c>
      <c r="B242">
        <v>3.9687000000000001</v>
      </c>
      <c r="C242">
        <v>3.9744000000000002</v>
      </c>
      <c r="D242">
        <v>3.3401000000000001</v>
      </c>
      <c r="E242">
        <v>3.5495999999999999</v>
      </c>
      <c r="F242">
        <v>2731360.91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-0.33942929213306078</v>
      </c>
      <c r="Q242">
        <f t="shared" si="960"/>
        <v>-927103.9002412128</v>
      </c>
      <c r="R242">
        <f t="shared" si="961"/>
        <v>33414602.833728231</v>
      </c>
      <c r="S242">
        <f t="shared" si="962"/>
        <v>334.1460283372823</v>
      </c>
      <c r="T242">
        <f t="shared" si="963"/>
        <v>0.3341460283372823</v>
      </c>
    </row>
    <row r="243" spans="1:20" x14ac:dyDescent="0.25">
      <c r="A243" s="5">
        <v>44350</v>
      </c>
      <c r="B243">
        <v>3.8580999999999999</v>
      </c>
      <c r="C243">
        <v>4.0999999999999996</v>
      </c>
      <c r="D243">
        <v>3.6951000000000001</v>
      </c>
      <c r="E243">
        <v>3.9655999999999998</v>
      </c>
      <c r="F243">
        <v>1392186.44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0.33613237836502846</v>
      </c>
      <c r="Q243">
        <f t="shared" si="960"/>
        <v>467958.93920474197</v>
      </c>
      <c r="R243">
        <f t="shared" si="961"/>
        <v>34341706.733969443</v>
      </c>
      <c r="S243">
        <f t="shared" si="962"/>
        <v>343.41706733969443</v>
      </c>
      <c r="T243">
        <f t="shared" si="963"/>
        <v>0.3434170673396944</v>
      </c>
    </row>
    <row r="244" spans="1:20" x14ac:dyDescent="0.25">
      <c r="A244" s="5">
        <v>44349</v>
      </c>
      <c r="B244">
        <v>3.6141999999999999</v>
      </c>
      <c r="C244">
        <v>3.9952000000000001</v>
      </c>
      <c r="D244">
        <v>3.5466000000000002</v>
      </c>
      <c r="E244">
        <v>3.8582000000000001</v>
      </c>
      <c r="F244">
        <v>2394795.1800000002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0.38921087828800693</v>
      </c>
      <c r="Q244">
        <f t="shared" si="960"/>
        <v>932080.33532768569</v>
      </c>
      <c r="R244">
        <f t="shared" si="961"/>
        <v>33873747.794764698</v>
      </c>
      <c r="S244">
        <f t="shared" si="962"/>
        <v>338.73747794764699</v>
      </c>
      <c r="T244">
        <f t="shared" si="963"/>
        <v>0.33873747794764697</v>
      </c>
    </row>
    <row r="245" spans="1:20" x14ac:dyDescent="0.25">
      <c r="A245" s="5">
        <v>44348</v>
      </c>
      <c r="B245">
        <v>3.5777999999999999</v>
      </c>
      <c r="C245">
        <v>3.6415000000000002</v>
      </c>
      <c r="D245">
        <v>3.3820000000000001</v>
      </c>
      <c r="E245">
        <v>3.6164999999999998</v>
      </c>
      <c r="F245">
        <v>1488879.53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0.80732177263968907</v>
      </c>
      <c r="Q245">
        <f t="shared" si="960"/>
        <v>1202004.8614065473</v>
      </c>
      <c r="R245">
        <f t="shared" si="961"/>
        <v>32941667.459437013</v>
      </c>
      <c r="S245">
        <f t="shared" si="962"/>
        <v>329.41667459437014</v>
      </c>
      <c r="T245">
        <f t="shared" si="963"/>
        <v>0.32941667459437013</v>
      </c>
    </row>
    <row r="246" spans="1:20" x14ac:dyDescent="0.25">
      <c r="A246" s="5">
        <v>44347</v>
      </c>
      <c r="B246">
        <v>3.3803000000000001</v>
      </c>
      <c r="C246">
        <v>3.6</v>
      </c>
      <c r="D246">
        <v>3.1402000000000001</v>
      </c>
      <c r="E246">
        <v>3.5790000000000002</v>
      </c>
      <c r="F246">
        <v>1671719.83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0.90865593736407169</v>
      </c>
      <c r="Q246">
        <f t="shared" si="960"/>
        <v>1519018.1491387566</v>
      </c>
      <c r="R246">
        <f t="shared" si="961"/>
        <v>31739662.598030467</v>
      </c>
      <c r="S246">
        <f t="shared" si="962"/>
        <v>317.39662598030469</v>
      </c>
      <c r="T246">
        <f t="shared" si="963"/>
        <v>0.31739662598030471</v>
      </c>
    </row>
    <row r="247" spans="1:20" x14ac:dyDescent="0.25">
      <c r="A247" s="5">
        <v>44346</v>
      </c>
      <c r="B247">
        <v>3.2766000000000002</v>
      </c>
      <c r="C247">
        <v>3.4670000000000001</v>
      </c>
      <c r="D247">
        <v>3.0714999999999999</v>
      </c>
      <c r="E247">
        <v>3.37</v>
      </c>
      <c r="F247">
        <v>1612807.22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0.50948166877370449</v>
      </c>
      <c r="Q247">
        <f t="shared" si="960"/>
        <v>821695.71385587915</v>
      </c>
      <c r="R247">
        <f t="shared" si="961"/>
        <v>30220644.44889171</v>
      </c>
      <c r="S247">
        <f t="shared" si="962"/>
        <v>302.2064444889171</v>
      </c>
      <c r="T247">
        <f t="shared" si="963"/>
        <v>0.30220644448891709</v>
      </c>
    </row>
    <row r="248" spans="1:20" x14ac:dyDescent="0.25">
      <c r="A248" s="5">
        <v>44345</v>
      </c>
      <c r="B248">
        <v>3.5442</v>
      </c>
      <c r="C248">
        <v>3.6299000000000001</v>
      </c>
      <c r="D248">
        <v>3.0706000000000002</v>
      </c>
      <c r="E248">
        <v>3.2765</v>
      </c>
      <c r="F248">
        <v>1942940.1</v>
      </c>
      <c r="G248">
        <v>0</v>
      </c>
      <c r="L248" t="s">
        <v>8</v>
      </c>
      <c r="M248" t="s">
        <v>8</v>
      </c>
      <c r="N248" t="s">
        <v>7</v>
      </c>
      <c r="P248">
        <f t="shared" si="959"/>
        <v>-0.26372251028070881</v>
      </c>
      <c r="Q248">
        <f t="shared" si="960"/>
        <v>-512397.04049705144</v>
      </c>
      <c r="R248">
        <f t="shared" si="961"/>
        <v>29398948.735035833</v>
      </c>
      <c r="S248">
        <f t="shared" si="962"/>
        <v>293.98948735035833</v>
      </c>
      <c r="T248">
        <f t="shared" si="963"/>
        <v>0.29398948735035835</v>
      </c>
    </row>
    <row r="249" spans="1:20" x14ac:dyDescent="0.25">
      <c r="A249" s="5">
        <v>44344</v>
      </c>
      <c r="B249">
        <v>4.2161999999999997</v>
      </c>
      <c r="C249">
        <v>4.2797000000000001</v>
      </c>
      <c r="D249">
        <v>2.9994999999999998</v>
      </c>
      <c r="E249">
        <v>3.5356000000000001</v>
      </c>
      <c r="F249">
        <v>8450097.8900000006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-0.16247461334166513</v>
      </c>
      <c r="Q249">
        <f t="shared" si="960"/>
        <v>-1372926.3873769704</v>
      </c>
      <c r="R249">
        <f t="shared" si="961"/>
        <v>29911345.775532883</v>
      </c>
      <c r="S249">
        <f t="shared" si="962"/>
        <v>299.11345775532885</v>
      </c>
      <c r="T249">
        <f t="shared" si="963"/>
        <v>0.29911345775532883</v>
      </c>
    </row>
    <row r="250" spans="1:20" x14ac:dyDescent="0.25">
      <c r="A250" s="5">
        <v>44343</v>
      </c>
      <c r="B250">
        <v>4.5419999999999998</v>
      </c>
      <c r="C250">
        <v>4.5590000000000002</v>
      </c>
      <c r="D250">
        <v>4.0369999999999999</v>
      </c>
      <c r="E250">
        <v>4.2232000000000003</v>
      </c>
      <c r="F250">
        <v>1802345.16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-0.28659003831417518</v>
      </c>
      <c r="Q250">
        <f t="shared" si="960"/>
        <v>-516534.16845976817</v>
      </c>
      <c r="R250">
        <f t="shared" si="961"/>
        <v>31284272.162909854</v>
      </c>
      <c r="S250">
        <f t="shared" si="962"/>
        <v>312.84272162909855</v>
      </c>
      <c r="T250">
        <f t="shared" si="963"/>
        <v>0.31284272162909854</v>
      </c>
    </row>
    <row r="251" spans="1:20" x14ac:dyDescent="0.25">
      <c r="A251" s="5">
        <v>44342</v>
      </c>
      <c r="B251">
        <v>4.3476999999999997</v>
      </c>
      <c r="C251">
        <v>4.6211000000000002</v>
      </c>
      <c r="D251">
        <v>4.1227999999999998</v>
      </c>
      <c r="E251">
        <v>4.5477999999999996</v>
      </c>
      <c r="F251">
        <v>3905466.1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0.70579971904475003</v>
      </c>
      <c r="Q251">
        <f t="shared" si="960"/>
        <v>2756476.8761187955</v>
      </c>
      <c r="R251">
        <f t="shared" si="961"/>
        <v>31800806.331369624</v>
      </c>
      <c r="S251">
        <f t="shared" si="962"/>
        <v>318.00806331369625</v>
      </c>
      <c r="T251">
        <f t="shared" si="963"/>
        <v>0.31800806331369624</v>
      </c>
    </row>
    <row r="252" spans="1:20" x14ac:dyDescent="0.25">
      <c r="A252" s="5">
        <v>44341</v>
      </c>
      <c r="B252">
        <v>3.8593999999999999</v>
      </c>
      <c r="C252">
        <v>4.7123999999999997</v>
      </c>
      <c r="D252">
        <v>3.7604000000000002</v>
      </c>
      <c r="E252">
        <v>4.3448000000000002</v>
      </c>
      <c r="F252">
        <v>7386791.3099999996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0.22773109243697548</v>
      </c>
      <c r="Q252">
        <f t="shared" si="960"/>
        <v>1682202.0546302572</v>
      </c>
      <c r="R252">
        <f t="shared" si="961"/>
        <v>29044329.455250829</v>
      </c>
      <c r="S252">
        <f t="shared" si="962"/>
        <v>290.44329455250829</v>
      </c>
      <c r="T252">
        <f t="shared" si="963"/>
        <v>0.29044329455250828</v>
      </c>
    </row>
    <row r="253" spans="1:20" x14ac:dyDescent="0.25">
      <c r="A253" s="5">
        <v>44340</v>
      </c>
      <c r="B253">
        <v>3.1829999999999998</v>
      </c>
      <c r="C253">
        <v>3.9563999999999999</v>
      </c>
      <c r="D253">
        <v>2.91</v>
      </c>
      <c r="E253">
        <v>3.8650000000000002</v>
      </c>
      <c r="F253">
        <v>4859002.47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0.82530581039755402</v>
      </c>
      <c r="Q253">
        <f t="shared" si="960"/>
        <v>4010162.9712270666</v>
      </c>
      <c r="R253">
        <f t="shared" si="961"/>
        <v>27362127.400620572</v>
      </c>
      <c r="S253">
        <f t="shared" si="962"/>
        <v>273.62127400620574</v>
      </c>
      <c r="T253">
        <f t="shared" si="963"/>
        <v>0.27362127400620573</v>
      </c>
    </row>
    <row r="254" spans="1:20" x14ac:dyDescent="0.25">
      <c r="A254" s="5">
        <v>44339</v>
      </c>
      <c r="B254">
        <v>3.9860000000000002</v>
      </c>
      <c r="C254">
        <v>4.1661000000000001</v>
      </c>
      <c r="D254">
        <v>2.601</v>
      </c>
      <c r="E254">
        <v>3.1703999999999999</v>
      </c>
      <c r="F254">
        <v>5822619.9000000004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-0.27237876174046405</v>
      </c>
      <c r="Q254">
        <f t="shared" si="960"/>
        <v>-1585957.9984473847</v>
      </c>
      <c r="R254">
        <f t="shared" si="961"/>
        <v>23351964.429393504</v>
      </c>
      <c r="S254">
        <f t="shared" si="962"/>
        <v>233.51964429393504</v>
      </c>
      <c r="T254">
        <f t="shared" si="963"/>
        <v>0.23351964429393504</v>
      </c>
    </row>
    <row r="255" spans="1:20" x14ac:dyDescent="0.25">
      <c r="A255" s="5">
        <v>44338</v>
      </c>
      <c r="B255">
        <v>4.4016999999999999</v>
      </c>
      <c r="C255">
        <v>4.5095999999999998</v>
      </c>
      <c r="D255">
        <v>3.7837999999999998</v>
      </c>
      <c r="E255">
        <v>3.9885000000000002</v>
      </c>
      <c r="F255">
        <v>2973418.85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-0.43593276384678886</v>
      </c>
      <c r="Q255">
        <f t="shared" si="960"/>
        <v>-1296210.6973546406</v>
      </c>
      <c r="R255">
        <f t="shared" si="961"/>
        <v>24937922.427840889</v>
      </c>
      <c r="S255">
        <f t="shared" si="962"/>
        <v>249.37922427840888</v>
      </c>
      <c r="T255">
        <f t="shared" si="963"/>
        <v>0.24937922427840889</v>
      </c>
    </row>
    <row r="256" spans="1:20" x14ac:dyDescent="0.25">
      <c r="A256" s="5">
        <v>44337</v>
      </c>
      <c r="B256">
        <v>5.0364000000000004</v>
      </c>
      <c r="C256">
        <v>5.47</v>
      </c>
      <c r="D256">
        <v>3.5310000000000001</v>
      </c>
      <c r="E256">
        <v>4.3860000000000001</v>
      </c>
      <c r="F256">
        <v>5043652.5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-0.11810211449200603</v>
      </c>
      <c r="Q256">
        <f t="shared" si="960"/>
        <v>-595666.02501289244</v>
      </c>
      <c r="R256">
        <f t="shared" si="961"/>
        <v>26234133.125195529</v>
      </c>
      <c r="S256">
        <f t="shared" si="962"/>
        <v>262.3413312519553</v>
      </c>
      <c r="T256">
        <f t="shared" si="963"/>
        <v>0.2623413312519553</v>
      </c>
    </row>
    <row r="257" spans="1:20" x14ac:dyDescent="0.25">
      <c r="A257" s="5">
        <v>44336</v>
      </c>
      <c r="B257">
        <v>3.9599000000000002</v>
      </c>
      <c r="C257">
        <v>5.13</v>
      </c>
      <c r="D257">
        <v>3.5602999999999998</v>
      </c>
      <c r="E257">
        <v>5.03</v>
      </c>
      <c r="F257">
        <v>5458535.4299999997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0.87258711855768667</v>
      </c>
      <c r="Q257">
        <f t="shared" si="960"/>
        <v>4763047.7024087431</v>
      </c>
      <c r="R257">
        <f t="shared" si="961"/>
        <v>26829799.150208421</v>
      </c>
      <c r="S257">
        <f t="shared" si="962"/>
        <v>268.29799150208419</v>
      </c>
      <c r="T257">
        <f t="shared" si="963"/>
        <v>0.26829799150208417</v>
      </c>
    </row>
    <row r="258" spans="1:20" x14ac:dyDescent="0.25">
      <c r="A258" s="5">
        <v>44335</v>
      </c>
      <c r="B258">
        <v>6.2439</v>
      </c>
      <c r="C258">
        <v>6.5486000000000004</v>
      </c>
      <c r="D258">
        <v>3</v>
      </c>
      <c r="E258">
        <v>3.9603999999999999</v>
      </c>
      <c r="F258">
        <v>8055013.6200000001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-0.45871611339683266</v>
      </c>
      <c r="Q258">
        <f t="shared" si="960"/>
        <v>-3694964.5411249516</v>
      </c>
      <c r="R258">
        <f t="shared" si="961"/>
        <v>22066751.447799679</v>
      </c>
      <c r="S258">
        <f t="shared" si="962"/>
        <v>220.66751447799678</v>
      </c>
      <c r="T258">
        <f t="shared" si="963"/>
        <v>0.22066751447799676</v>
      </c>
    </row>
    <row r="259" spans="1:20" x14ac:dyDescent="0.25">
      <c r="A259" s="5">
        <v>44334</v>
      </c>
      <c r="B259">
        <v>5.8305999999999996</v>
      </c>
      <c r="C259">
        <v>6.68</v>
      </c>
      <c r="D259">
        <v>5.7309999999999999</v>
      </c>
      <c r="E259">
        <v>6.2266000000000004</v>
      </c>
      <c r="F259">
        <v>3739737.09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4.4467860906218265E-2</v>
      </c>
      <c r="Q259">
        <f t="shared" si="960"/>
        <v>166298.10874394546</v>
      </c>
      <c r="R259">
        <f t="shared" si="961"/>
        <v>25761715.98892463</v>
      </c>
      <c r="S259">
        <f t="shared" si="962"/>
        <v>257.6171598892463</v>
      </c>
      <c r="T259">
        <f t="shared" si="963"/>
        <v>0.25761715988924627</v>
      </c>
    </row>
    <row r="260" spans="1:20" x14ac:dyDescent="0.25">
      <c r="A260" s="5">
        <v>44333</v>
      </c>
      <c r="B260">
        <v>6.32</v>
      </c>
      <c r="C260">
        <v>6.3307000000000002</v>
      </c>
      <c r="D260">
        <v>5.2751000000000001</v>
      </c>
      <c r="E260">
        <v>5.8196000000000003</v>
      </c>
      <c r="F260">
        <v>4734150.51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3.1640773020083661E-2</v>
      </c>
      <c r="Q260">
        <f t="shared" si="960"/>
        <v>149792.18172982329</v>
      </c>
      <c r="R260">
        <f t="shared" si="961"/>
        <v>25595417.880180683</v>
      </c>
      <c r="S260">
        <f t="shared" si="962"/>
        <v>255.95417880180682</v>
      </c>
      <c r="T260">
        <f t="shared" si="963"/>
        <v>0.25595417880180682</v>
      </c>
    </row>
    <row r="261" spans="1:20" x14ac:dyDescent="0.25">
      <c r="A261" s="5">
        <v>44332</v>
      </c>
      <c r="B261">
        <v>6.5957999999999997</v>
      </c>
      <c r="C261">
        <v>6.8</v>
      </c>
      <c r="D261">
        <v>5.8917999999999999</v>
      </c>
      <c r="E261">
        <v>6.319</v>
      </c>
      <c r="F261">
        <v>4000505.71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-5.9238053292226221E-2</v>
      </c>
      <c r="Q261">
        <f t="shared" si="960"/>
        <v>-236982.1704448353</v>
      </c>
      <c r="R261">
        <f t="shared" si="961"/>
        <v>25445625.69845086</v>
      </c>
      <c r="S261">
        <f t="shared" si="962"/>
        <v>254.4562569845086</v>
      </c>
      <c r="T261">
        <f t="shared" si="963"/>
        <v>0.25445625698450858</v>
      </c>
    </row>
    <row r="262" spans="1:20" x14ac:dyDescent="0.25">
      <c r="A262" s="5">
        <v>44331</v>
      </c>
      <c r="B262">
        <v>7.3979999999999997</v>
      </c>
      <c r="C262">
        <v>7.6277999999999997</v>
      </c>
      <c r="D262">
        <v>6.5</v>
      </c>
      <c r="E262">
        <v>6.5792999999999999</v>
      </c>
      <c r="F262">
        <v>2886900.87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-0.8593722291186382</v>
      </c>
      <c r="Q262">
        <f t="shared" ref="Q262:Q325" si="965">F262*P262</f>
        <v>-2480922.4358964362</v>
      </c>
      <c r="R262">
        <f t="shared" ref="R262:R325" si="966">R263+Q262</f>
        <v>25682607.868895695</v>
      </c>
      <c r="S262">
        <f t="shared" ref="S262:S325" si="967">R262/100000</f>
        <v>256.82607868895695</v>
      </c>
      <c r="T262">
        <f t="shared" ref="T262:T325" si="968">S262/1000</f>
        <v>0.25682607868895696</v>
      </c>
    </row>
    <row r="263" spans="1:20" x14ac:dyDescent="0.25">
      <c r="A263" s="5">
        <v>44330</v>
      </c>
      <c r="B263">
        <v>7.0907</v>
      </c>
      <c r="C263">
        <v>7.6230000000000002</v>
      </c>
      <c r="D263">
        <v>6.6760999999999999</v>
      </c>
      <c r="E263">
        <v>7.3979999999999997</v>
      </c>
      <c r="F263">
        <v>3352279.3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0.52476502270567016</v>
      </c>
      <c r="Q263">
        <f t="shared" si="965"/>
        <v>1759158.922980248</v>
      </c>
      <c r="R263">
        <f t="shared" si="966"/>
        <v>28163530.304792132</v>
      </c>
      <c r="S263">
        <f t="shared" si="967"/>
        <v>281.6353030479213</v>
      </c>
      <c r="T263">
        <f t="shared" si="968"/>
        <v>0.28163530304792128</v>
      </c>
    </row>
    <row r="264" spans="1:20" x14ac:dyDescent="0.25">
      <c r="A264" s="5">
        <v>44329</v>
      </c>
      <c r="B264">
        <v>6.9637000000000002</v>
      </c>
      <c r="C264">
        <v>7.4657999999999998</v>
      </c>
      <c r="D264">
        <v>6.0591999999999997</v>
      </c>
      <c r="E264">
        <v>7.1</v>
      </c>
      <c r="F264">
        <v>6044456.0599999996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0.47988056305986049</v>
      </c>
      <c r="Q264">
        <f t="shared" si="965"/>
        <v>2900616.9774633856</v>
      </c>
      <c r="R264">
        <f t="shared" si="966"/>
        <v>26404371.381811883</v>
      </c>
      <c r="S264">
        <f t="shared" si="967"/>
        <v>264.04371381811882</v>
      </c>
      <c r="T264">
        <f t="shared" si="968"/>
        <v>0.26404371381811881</v>
      </c>
    </row>
    <row r="265" spans="1:20" x14ac:dyDescent="0.25">
      <c r="A265" s="5">
        <v>44328</v>
      </c>
      <c r="B265">
        <v>9.3293999999999997</v>
      </c>
      <c r="C265">
        <v>9.3446999999999996</v>
      </c>
      <c r="D265">
        <v>6.8780000000000001</v>
      </c>
      <c r="E265">
        <v>6.9705000000000004</v>
      </c>
      <c r="F265">
        <v>3989931.84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-0.92500101349981734</v>
      </c>
      <c r="Q265">
        <f t="shared" si="965"/>
        <v>-3690690.9957951908</v>
      </c>
      <c r="R265">
        <f t="shared" si="966"/>
        <v>23503754.404348496</v>
      </c>
      <c r="S265">
        <f t="shared" si="967"/>
        <v>235.03754404348496</v>
      </c>
      <c r="T265">
        <f t="shared" si="968"/>
        <v>0.23503754404348495</v>
      </c>
    </row>
    <row r="266" spans="1:20" x14ac:dyDescent="0.25">
      <c r="A266" s="5">
        <v>44327</v>
      </c>
      <c r="B266">
        <v>8.6830999999999996</v>
      </c>
      <c r="C266">
        <v>9.4499999999999993</v>
      </c>
      <c r="D266">
        <v>7.8</v>
      </c>
      <c r="E266">
        <v>9.3104999999999993</v>
      </c>
      <c r="F266">
        <v>6091251.6600000001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0.83090909090909093</v>
      </c>
      <c r="Q266">
        <f t="shared" si="965"/>
        <v>5061276.3793090908</v>
      </c>
      <c r="R266">
        <f t="shared" si="966"/>
        <v>27194445.400143687</v>
      </c>
      <c r="S266">
        <f t="shared" si="967"/>
        <v>271.94445400143684</v>
      </c>
      <c r="T266">
        <f t="shared" si="968"/>
        <v>0.27194445400143685</v>
      </c>
    </row>
    <row r="267" spans="1:20" x14ac:dyDescent="0.25">
      <c r="A267" s="5">
        <v>44326</v>
      </c>
      <c r="B267">
        <v>8.2741000000000007</v>
      </c>
      <c r="C267">
        <v>11</v>
      </c>
      <c r="D267">
        <v>7.7</v>
      </c>
      <c r="E267">
        <v>8.6830999999999996</v>
      </c>
      <c r="F267">
        <v>11630121.800000001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-0.40418181818181848</v>
      </c>
      <c r="Q267">
        <f t="shared" si="965"/>
        <v>-4700683.7748000035</v>
      </c>
      <c r="R267">
        <f t="shared" si="966"/>
        <v>22133169.020834595</v>
      </c>
      <c r="S267">
        <f t="shared" si="967"/>
        <v>221.33169020834595</v>
      </c>
      <c r="T267">
        <f t="shared" si="968"/>
        <v>0.22133169020834595</v>
      </c>
    </row>
    <row r="268" spans="1:20" x14ac:dyDescent="0.25">
      <c r="A268" s="5">
        <v>44325</v>
      </c>
      <c r="B268">
        <v>8.4823000000000004</v>
      </c>
      <c r="C268">
        <v>9.18</v>
      </c>
      <c r="D268">
        <v>7.6767000000000003</v>
      </c>
      <c r="E268">
        <v>8.2552000000000003</v>
      </c>
      <c r="F268">
        <v>4267187.62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-0.23035987494179441</v>
      </c>
      <c r="Q268">
        <f t="shared" si="965"/>
        <v>-982988.80649637338</v>
      </c>
      <c r="R268">
        <f t="shared" si="966"/>
        <v>26833852.795634598</v>
      </c>
      <c r="S268">
        <f t="shared" si="967"/>
        <v>268.33852795634596</v>
      </c>
      <c r="T268">
        <f t="shared" si="968"/>
        <v>0.26833852795634594</v>
      </c>
    </row>
    <row r="269" spans="1:20" x14ac:dyDescent="0.25">
      <c r="A269" s="5">
        <v>44324</v>
      </c>
      <c r="B269">
        <v>9.0409000000000006</v>
      </c>
      <c r="C269">
        <v>9.5998999999999999</v>
      </c>
      <c r="D269">
        <v>8.1343999999999994</v>
      </c>
      <c r="E269">
        <v>8.4757999999999996</v>
      </c>
      <c r="F269">
        <v>6500986.1200000001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-0.53408393039918112</v>
      </c>
      <c r="Q269">
        <f t="shared" si="965"/>
        <v>-3472072.2184401224</v>
      </c>
      <c r="R269">
        <f t="shared" si="966"/>
        <v>27816841.602130972</v>
      </c>
      <c r="S269">
        <f t="shared" si="967"/>
        <v>278.16841602130972</v>
      </c>
      <c r="T269">
        <f t="shared" si="968"/>
        <v>0.27816841602130971</v>
      </c>
    </row>
    <row r="270" spans="1:20" x14ac:dyDescent="0.25">
      <c r="A270" s="5">
        <v>44323</v>
      </c>
      <c r="B270">
        <v>6.9108999999999998</v>
      </c>
      <c r="C270">
        <v>11.5</v>
      </c>
      <c r="D270">
        <v>6.9108999999999998</v>
      </c>
      <c r="E270">
        <v>9.0463000000000005</v>
      </c>
      <c r="F270">
        <v>41794479.609999999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-6.9360005229783375E-2</v>
      </c>
      <c r="Q270">
        <f t="shared" si="965"/>
        <v>-2898865.3243256747</v>
      </c>
      <c r="R270">
        <f t="shared" si="966"/>
        <v>31288913.820571095</v>
      </c>
      <c r="S270">
        <f t="shared" si="967"/>
        <v>312.88913820571094</v>
      </c>
      <c r="T270">
        <f t="shared" si="968"/>
        <v>0.31288913820571096</v>
      </c>
    </row>
    <row r="271" spans="1:20" x14ac:dyDescent="0.25">
      <c r="A271" s="5">
        <v>44322</v>
      </c>
      <c r="B271">
        <v>6.2015000000000002</v>
      </c>
      <c r="C271">
        <v>7.16</v>
      </c>
      <c r="D271">
        <v>6.0083000000000002</v>
      </c>
      <c r="E271">
        <v>6.9207999999999998</v>
      </c>
      <c r="F271">
        <v>4679363.96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0.5846140487974294</v>
      </c>
      <c r="Q271">
        <f t="shared" si="965"/>
        <v>2735621.9104523724</v>
      </c>
      <c r="R271">
        <f t="shared" si="966"/>
        <v>34187779.144896768</v>
      </c>
      <c r="S271">
        <f t="shared" si="967"/>
        <v>341.87779144896768</v>
      </c>
      <c r="T271">
        <f t="shared" si="968"/>
        <v>0.34187779144896768</v>
      </c>
    </row>
    <row r="272" spans="1:20" x14ac:dyDescent="0.25">
      <c r="A272" s="5">
        <v>44321</v>
      </c>
      <c r="B272">
        <v>5.3010000000000002</v>
      </c>
      <c r="C272">
        <v>6.3598999999999997</v>
      </c>
      <c r="D272">
        <v>5.2289000000000003</v>
      </c>
      <c r="E272">
        <v>6.1902999999999997</v>
      </c>
      <c r="F272">
        <v>2996102.36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0.70008841732979654</v>
      </c>
      <c r="Q272">
        <f t="shared" si="965"/>
        <v>2097536.5593704684</v>
      </c>
      <c r="R272">
        <f t="shared" si="966"/>
        <v>31452157.234444398</v>
      </c>
      <c r="S272">
        <f t="shared" si="967"/>
        <v>314.521572344444</v>
      </c>
      <c r="T272">
        <f t="shared" si="968"/>
        <v>0.314521572344444</v>
      </c>
    </row>
    <row r="273" spans="1:20" x14ac:dyDescent="0.25">
      <c r="A273" s="5">
        <v>44320</v>
      </c>
      <c r="B273">
        <v>5.9328000000000003</v>
      </c>
      <c r="C273">
        <v>6.4</v>
      </c>
      <c r="D273">
        <v>5.2625000000000002</v>
      </c>
      <c r="E273">
        <v>5.2961</v>
      </c>
      <c r="F273">
        <v>3004891.71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-0.9409230769230772</v>
      </c>
      <c r="Q273">
        <f t="shared" si="965"/>
        <v>-2827371.9535938469</v>
      </c>
      <c r="R273">
        <f t="shared" si="966"/>
        <v>29354620.675073929</v>
      </c>
      <c r="S273">
        <f t="shared" si="967"/>
        <v>293.54620675073932</v>
      </c>
      <c r="T273">
        <f t="shared" si="968"/>
        <v>0.29354620675073934</v>
      </c>
    </row>
    <row r="274" spans="1:20" x14ac:dyDescent="0.25">
      <c r="A274" s="5">
        <v>44319</v>
      </c>
      <c r="B274">
        <v>5.6574</v>
      </c>
      <c r="C274">
        <v>6.4063999999999997</v>
      </c>
      <c r="D274">
        <v>5.5829000000000004</v>
      </c>
      <c r="E274">
        <v>5.9230999999999998</v>
      </c>
      <c r="F274">
        <v>3127778.86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-0.17377049180327939</v>
      </c>
      <c r="Q274">
        <f t="shared" si="965"/>
        <v>-543515.67075410055</v>
      </c>
      <c r="R274">
        <f t="shared" si="966"/>
        <v>32181992.628667776</v>
      </c>
      <c r="S274">
        <f t="shared" si="967"/>
        <v>321.81992628667774</v>
      </c>
      <c r="T274">
        <f t="shared" si="968"/>
        <v>0.32181992628667772</v>
      </c>
    </row>
    <row r="275" spans="1:20" x14ac:dyDescent="0.25">
      <c r="A275" s="5">
        <v>44318</v>
      </c>
      <c r="B275">
        <v>5.5244999999999997</v>
      </c>
      <c r="C275">
        <v>5.7218999999999998</v>
      </c>
      <c r="D275">
        <v>5.1867000000000001</v>
      </c>
      <c r="E275">
        <v>5.6520000000000001</v>
      </c>
      <c r="F275">
        <v>1671065.62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0.73878923766816262</v>
      </c>
      <c r="Q275">
        <f t="shared" si="965"/>
        <v>1234565.2954932756</v>
      </c>
      <c r="R275">
        <f t="shared" si="966"/>
        <v>32725508.299421877</v>
      </c>
      <c r="S275">
        <f t="shared" si="967"/>
        <v>327.25508299421875</v>
      </c>
      <c r="T275">
        <f t="shared" si="968"/>
        <v>0.32725508299421874</v>
      </c>
    </row>
    <row r="276" spans="1:20" x14ac:dyDescent="0.25">
      <c r="A276" s="5">
        <v>44317</v>
      </c>
      <c r="B276">
        <v>5.4341999999999997</v>
      </c>
      <c r="C276">
        <v>5.64</v>
      </c>
      <c r="D276">
        <v>5.2438000000000002</v>
      </c>
      <c r="E276">
        <v>5.5117000000000003</v>
      </c>
      <c r="F276">
        <v>1138127.75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0.35234729934376779</v>
      </c>
      <c r="Q276">
        <f t="shared" si="965"/>
        <v>401016.23902069894</v>
      </c>
      <c r="R276">
        <f t="shared" si="966"/>
        <v>31490943.003928602</v>
      </c>
      <c r="S276">
        <f t="shared" si="967"/>
        <v>314.90943003928601</v>
      </c>
      <c r="T276">
        <f t="shared" si="968"/>
        <v>0.31490943003928601</v>
      </c>
    </row>
    <row r="277" spans="1:20" x14ac:dyDescent="0.25">
      <c r="A277" s="5">
        <v>44316</v>
      </c>
      <c r="B277">
        <v>5.2991000000000001</v>
      </c>
      <c r="C277">
        <v>5.5157999999999996</v>
      </c>
      <c r="D277">
        <v>5.0762999999999998</v>
      </c>
      <c r="E277">
        <v>5.4269999999999996</v>
      </c>
      <c r="F277">
        <v>1459585.5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0.59590443686006811</v>
      </c>
      <c r="Q277">
        <f t="shared" si="965"/>
        <v>869773.47542662092</v>
      </c>
      <c r="R277">
        <f t="shared" si="966"/>
        <v>31089926.764907904</v>
      </c>
      <c r="S277">
        <f t="shared" si="967"/>
        <v>310.89926764907904</v>
      </c>
      <c r="T277">
        <f t="shared" si="968"/>
        <v>0.31089926764907905</v>
      </c>
    </row>
    <row r="278" spans="1:20" x14ac:dyDescent="0.25">
      <c r="A278" s="5">
        <v>44315</v>
      </c>
      <c r="B278">
        <v>5.6489000000000003</v>
      </c>
      <c r="C278">
        <v>5.6989999999999998</v>
      </c>
      <c r="D278">
        <v>4.9912999999999998</v>
      </c>
      <c r="E278">
        <v>5.2994000000000003</v>
      </c>
      <c r="F278">
        <v>2478422.87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-0.12929207291224959</v>
      </c>
      <c r="Q278">
        <f t="shared" si="965"/>
        <v>-320440.4304154269</v>
      </c>
      <c r="R278">
        <f t="shared" si="966"/>
        <v>30220153.289481282</v>
      </c>
      <c r="S278">
        <f t="shared" si="967"/>
        <v>302.20153289481283</v>
      </c>
      <c r="T278">
        <f t="shared" si="968"/>
        <v>0.30220153289481283</v>
      </c>
    </row>
    <row r="279" spans="1:20" x14ac:dyDescent="0.25">
      <c r="A279" s="5">
        <v>44314</v>
      </c>
      <c r="B279">
        <v>4.8733000000000004</v>
      </c>
      <c r="C279">
        <v>6.0298999999999996</v>
      </c>
      <c r="D279">
        <v>4.41</v>
      </c>
      <c r="E279">
        <v>5.6486999999999998</v>
      </c>
      <c r="F279">
        <v>6111795.8700000001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0.52935366380640791</v>
      </c>
      <c r="Q279">
        <f t="shared" si="965"/>
        <v>3235301.5362213724</v>
      </c>
      <c r="R279">
        <f t="shared" si="966"/>
        <v>30540593.719896708</v>
      </c>
      <c r="S279">
        <f t="shared" si="967"/>
        <v>305.40593719896708</v>
      </c>
      <c r="T279">
        <f t="shared" si="968"/>
        <v>0.30540593719896708</v>
      </c>
    </row>
    <row r="280" spans="1:20" x14ac:dyDescent="0.25">
      <c r="A280" s="5">
        <v>44313</v>
      </c>
      <c r="B280">
        <v>4.5784000000000002</v>
      </c>
      <c r="C280">
        <v>4.9368999999999996</v>
      </c>
      <c r="D280">
        <v>4.5004</v>
      </c>
      <c r="E280">
        <v>4.8810000000000002</v>
      </c>
      <c r="F280">
        <v>1390577.88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0.74387170675830727</v>
      </c>
      <c r="Q280">
        <f t="shared" si="965"/>
        <v>1034411.5409759486</v>
      </c>
      <c r="R280">
        <f t="shared" si="966"/>
        <v>27305292.183675334</v>
      </c>
      <c r="S280">
        <f t="shared" si="967"/>
        <v>273.05292183675334</v>
      </c>
      <c r="T280">
        <f t="shared" si="968"/>
        <v>0.27305292183675334</v>
      </c>
    </row>
    <row r="281" spans="1:20" x14ac:dyDescent="0.25">
      <c r="A281" s="5">
        <v>44312</v>
      </c>
      <c r="B281">
        <v>3.835</v>
      </c>
      <c r="C281">
        <v>4.8849</v>
      </c>
      <c r="D281">
        <v>3.7774999999999999</v>
      </c>
      <c r="E281">
        <v>4.5796999999999999</v>
      </c>
      <c r="F281">
        <v>2346476.13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0.4487989886219973</v>
      </c>
      <c r="Q281">
        <f t="shared" si="965"/>
        <v>1053096.1139696583</v>
      </c>
      <c r="R281">
        <f t="shared" si="966"/>
        <v>26270880.642699387</v>
      </c>
      <c r="S281">
        <f t="shared" si="967"/>
        <v>262.70880642699387</v>
      </c>
      <c r="T281">
        <f t="shared" si="968"/>
        <v>0.2627088064269939</v>
      </c>
    </row>
    <row r="282" spans="1:20" x14ac:dyDescent="0.25">
      <c r="A282" s="5">
        <v>44311</v>
      </c>
      <c r="B282">
        <v>3.7216</v>
      </c>
      <c r="C282">
        <v>4.4351000000000003</v>
      </c>
      <c r="D282">
        <v>3.4860000000000002</v>
      </c>
      <c r="E282">
        <v>3.835</v>
      </c>
      <c r="F282">
        <v>1927979.54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-0.26456643135602204</v>
      </c>
      <c r="Q282">
        <f t="shared" si="965"/>
        <v>-510078.66662522493</v>
      </c>
      <c r="R282">
        <f t="shared" si="966"/>
        <v>25217784.528729729</v>
      </c>
      <c r="S282">
        <f t="shared" si="967"/>
        <v>252.17784528729729</v>
      </c>
      <c r="T282">
        <f t="shared" si="968"/>
        <v>0.25217784528729731</v>
      </c>
    </row>
    <row r="283" spans="1:20" x14ac:dyDescent="0.25">
      <c r="A283" s="5">
        <v>44310</v>
      </c>
      <c r="B283">
        <v>4.12</v>
      </c>
      <c r="C283">
        <v>4.12</v>
      </c>
      <c r="D283">
        <v>3.5962000000000001</v>
      </c>
      <c r="E283">
        <v>3.7187999999999999</v>
      </c>
      <c r="F283">
        <v>2163894.73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-0.53188239786178004</v>
      </c>
      <c r="Q283">
        <f t="shared" si="965"/>
        <v>-1150937.517712869</v>
      </c>
      <c r="R283">
        <f t="shared" si="966"/>
        <v>25727863.195354953</v>
      </c>
      <c r="S283">
        <f t="shared" si="967"/>
        <v>257.27863195354951</v>
      </c>
      <c r="T283">
        <f t="shared" si="968"/>
        <v>0.2572786319535495</v>
      </c>
    </row>
    <row r="284" spans="1:20" x14ac:dyDescent="0.25">
      <c r="A284" s="5">
        <v>44309</v>
      </c>
      <c r="B284">
        <v>4.3201000000000001</v>
      </c>
      <c r="C284">
        <v>4.4222000000000001</v>
      </c>
      <c r="D284">
        <v>3.1417999999999999</v>
      </c>
      <c r="E284">
        <v>4.12</v>
      </c>
      <c r="F284">
        <v>3985133.47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0.52796001249609503</v>
      </c>
      <c r="Q284">
        <f t="shared" si="965"/>
        <v>2103991.1166198067</v>
      </c>
      <c r="R284">
        <f t="shared" si="966"/>
        <v>26878800.713067822</v>
      </c>
      <c r="S284">
        <f t="shared" si="967"/>
        <v>268.78800713067824</v>
      </c>
      <c r="T284">
        <f t="shared" si="968"/>
        <v>0.26878800713067824</v>
      </c>
    </row>
    <row r="285" spans="1:20" x14ac:dyDescent="0.25">
      <c r="A285" s="5">
        <v>44308</v>
      </c>
      <c r="B285">
        <v>5.1478999999999999</v>
      </c>
      <c r="C285">
        <v>5.6520000000000001</v>
      </c>
      <c r="D285">
        <v>4.2759999999999998</v>
      </c>
      <c r="E285">
        <v>4.3307000000000002</v>
      </c>
      <c r="F285">
        <v>3775325.96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-0.92049418604651101</v>
      </c>
      <c r="Q285">
        <f t="shared" si="965"/>
        <v>-3475165.5966104628</v>
      </c>
      <c r="R285">
        <f t="shared" si="966"/>
        <v>24774809.596448015</v>
      </c>
      <c r="S285">
        <f t="shared" si="967"/>
        <v>247.74809596448014</v>
      </c>
      <c r="T285">
        <f t="shared" si="968"/>
        <v>0.24774809596448014</v>
      </c>
    </row>
    <row r="286" spans="1:20" x14ac:dyDescent="0.25">
      <c r="A286" s="5">
        <v>44307</v>
      </c>
      <c r="B286">
        <v>5.4303999999999997</v>
      </c>
      <c r="C286">
        <v>5.657</v>
      </c>
      <c r="D286">
        <v>5.0458999999999996</v>
      </c>
      <c r="E286">
        <v>5.1485000000000003</v>
      </c>
      <c r="F286">
        <v>1245151.44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-0.66421207658320858</v>
      </c>
      <c r="Q286">
        <f t="shared" si="965"/>
        <v>-827044.6236229724</v>
      </c>
      <c r="R286">
        <f t="shared" si="966"/>
        <v>28249975.19305848</v>
      </c>
      <c r="S286">
        <f t="shared" si="967"/>
        <v>282.49975193058481</v>
      </c>
      <c r="T286">
        <f t="shared" si="968"/>
        <v>0.2824997519305848</v>
      </c>
    </row>
    <row r="287" spans="1:20" x14ac:dyDescent="0.25">
      <c r="A287" s="5">
        <v>44306</v>
      </c>
      <c r="B287">
        <v>5.3597000000000001</v>
      </c>
      <c r="C287">
        <v>5.6504000000000003</v>
      </c>
      <c r="D287">
        <v>4.6955999999999998</v>
      </c>
      <c r="E287">
        <v>5.4229000000000003</v>
      </c>
      <c r="F287">
        <v>1918844.89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0.52346041055718495</v>
      </c>
      <c r="Q287">
        <f t="shared" si="965"/>
        <v>1004439.3339149563</v>
      </c>
      <c r="R287">
        <f t="shared" si="966"/>
        <v>29077019.816681452</v>
      </c>
      <c r="S287">
        <f t="shared" si="967"/>
        <v>290.77019816681451</v>
      </c>
      <c r="T287">
        <f t="shared" si="968"/>
        <v>0.29077019816681449</v>
      </c>
    </row>
    <row r="288" spans="1:20" x14ac:dyDescent="0.25">
      <c r="A288" s="5">
        <v>44305</v>
      </c>
      <c r="B288">
        <v>5.6982999999999997</v>
      </c>
      <c r="C288">
        <v>5.87</v>
      </c>
      <c r="D288">
        <v>5.1174999999999997</v>
      </c>
      <c r="E288">
        <v>5.35</v>
      </c>
      <c r="F288">
        <v>1347601.81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-0.38205980066445233</v>
      </c>
      <c r="Q288">
        <f t="shared" si="965"/>
        <v>-514864.4789036552</v>
      </c>
      <c r="R288">
        <f t="shared" si="966"/>
        <v>28072580.482766494</v>
      </c>
      <c r="S288">
        <f t="shared" si="967"/>
        <v>280.72580482766494</v>
      </c>
      <c r="T288">
        <f t="shared" si="968"/>
        <v>0.28072580482766496</v>
      </c>
    </row>
    <row r="289" spans="1:20" x14ac:dyDescent="0.25">
      <c r="A289" s="5">
        <v>44304</v>
      </c>
      <c r="B289">
        <v>6.48</v>
      </c>
      <c r="C289">
        <v>6.6317000000000004</v>
      </c>
      <c r="D289">
        <v>4.9417</v>
      </c>
      <c r="E289">
        <v>5.6982999999999997</v>
      </c>
      <c r="F289">
        <v>2353790.0299999998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-0.10461538461538515</v>
      </c>
      <c r="Q289">
        <f t="shared" si="965"/>
        <v>-246242.64929230892</v>
      </c>
      <c r="R289">
        <f t="shared" si="966"/>
        <v>28587444.961670149</v>
      </c>
      <c r="S289">
        <f t="shared" si="967"/>
        <v>285.8744496167015</v>
      </c>
      <c r="T289">
        <f t="shared" si="968"/>
        <v>0.2858744496167015</v>
      </c>
    </row>
    <row r="290" spans="1:20" x14ac:dyDescent="0.25">
      <c r="A290" s="5">
        <v>44303</v>
      </c>
      <c r="B290">
        <v>6.9462000000000002</v>
      </c>
      <c r="C290">
        <v>7.2</v>
      </c>
      <c r="D290">
        <v>6.3777999999999997</v>
      </c>
      <c r="E290">
        <v>6.48</v>
      </c>
      <c r="F290">
        <v>1617404.54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-0.75139868645098351</v>
      </c>
      <c r="Q290">
        <f t="shared" si="965"/>
        <v>-1215315.6468158572</v>
      </c>
      <c r="R290">
        <f t="shared" si="966"/>
        <v>28833687.610962458</v>
      </c>
      <c r="S290">
        <f t="shared" si="967"/>
        <v>288.3368761096246</v>
      </c>
      <c r="T290">
        <f t="shared" si="968"/>
        <v>0.28833687610962461</v>
      </c>
    </row>
    <row r="291" spans="1:20" x14ac:dyDescent="0.25">
      <c r="A291" s="5">
        <v>44302</v>
      </c>
      <c r="B291">
        <v>6.5064000000000002</v>
      </c>
      <c r="C291">
        <v>7.3643000000000001</v>
      </c>
      <c r="D291">
        <v>6.2100999999999997</v>
      </c>
      <c r="E291">
        <v>6.9455999999999998</v>
      </c>
      <c r="F291">
        <v>2751181.89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0.27447582741292642</v>
      </c>
      <c r="Q291">
        <f t="shared" si="965"/>
        <v>755132.92562120873</v>
      </c>
      <c r="R291">
        <f t="shared" si="966"/>
        <v>30049003.257778317</v>
      </c>
      <c r="S291">
        <f t="shared" si="967"/>
        <v>300.49003257778315</v>
      </c>
      <c r="T291">
        <f t="shared" si="968"/>
        <v>0.30049003257778317</v>
      </c>
    </row>
    <row r="292" spans="1:20" x14ac:dyDescent="0.25">
      <c r="A292" s="5">
        <v>44301</v>
      </c>
      <c r="B292">
        <v>6.1830999999999996</v>
      </c>
      <c r="C292">
        <v>6.5338000000000003</v>
      </c>
      <c r="D292">
        <v>6.1227</v>
      </c>
      <c r="E292">
        <v>6.5201000000000002</v>
      </c>
      <c r="F292">
        <v>1136928.28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0.93334954998783737</v>
      </c>
      <c r="Q292">
        <f t="shared" si="965"/>
        <v>1061151.4985064459</v>
      </c>
      <c r="R292">
        <f t="shared" si="966"/>
        <v>29293870.332157109</v>
      </c>
      <c r="S292">
        <f t="shared" si="967"/>
        <v>292.9387033215711</v>
      </c>
      <c r="T292">
        <f t="shared" si="968"/>
        <v>0.29293870332157107</v>
      </c>
    </row>
    <row r="293" spans="1:20" x14ac:dyDescent="0.25">
      <c r="A293" s="5">
        <v>44300</v>
      </c>
      <c r="B293">
        <v>6.4279000000000002</v>
      </c>
      <c r="C293">
        <v>6.4584000000000001</v>
      </c>
      <c r="D293">
        <v>5.8539000000000003</v>
      </c>
      <c r="E293">
        <v>6.1726000000000001</v>
      </c>
      <c r="F293">
        <v>1217224.76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5.4425144747724925E-2</v>
      </c>
      <c r="Q293">
        <f t="shared" si="965"/>
        <v>66247.633753514732</v>
      </c>
      <c r="R293">
        <f t="shared" si="966"/>
        <v>28232718.833650663</v>
      </c>
      <c r="S293">
        <f t="shared" si="967"/>
        <v>282.32718833650665</v>
      </c>
      <c r="T293">
        <f t="shared" si="968"/>
        <v>0.28232718833650666</v>
      </c>
    </row>
    <row r="294" spans="1:20" x14ac:dyDescent="0.25">
      <c r="A294" s="5">
        <v>44299</v>
      </c>
      <c r="B294">
        <v>6.444</v>
      </c>
      <c r="C294">
        <v>6.7252999999999998</v>
      </c>
      <c r="D294">
        <v>5.8503999999999996</v>
      </c>
      <c r="E294">
        <v>6.4511000000000003</v>
      </c>
      <c r="F294">
        <v>2294113.59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0.37318550691507718</v>
      </c>
      <c r="Q294">
        <f t="shared" si="965"/>
        <v>856129.94300491747</v>
      </c>
      <c r="R294">
        <f t="shared" si="966"/>
        <v>28166471.199897148</v>
      </c>
      <c r="S294">
        <f t="shared" si="967"/>
        <v>281.66471199897148</v>
      </c>
      <c r="T294">
        <f t="shared" si="968"/>
        <v>0.28166471199897147</v>
      </c>
    </row>
    <row r="295" spans="1:20" x14ac:dyDescent="0.25">
      <c r="A295" s="5">
        <v>44298</v>
      </c>
      <c r="B295">
        <v>6.8182</v>
      </c>
      <c r="C295">
        <v>6.8411</v>
      </c>
      <c r="D295">
        <v>6.28</v>
      </c>
      <c r="E295">
        <v>6.4668000000000001</v>
      </c>
      <c r="F295">
        <v>1037755.69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-0.33416503297095007</v>
      </c>
      <c r="Q295">
        <f t="shared" si="965"/>
        <v>-346781.66436464101</v>
      </c>
      <c r="R295">
        <f t="shared" si="966"/>
        <v>27310341.25689223</v>
      </c>
      <c r="S295">
        <f t="shared" si="967"/>
        <v>273.10341256892229</v>
      </c>
      <c r="T295">
        <f t="shared" si="968"/>
        <v>0.27310341256892229</v>
      </c>
    </row>
    <row r="296" spans="1:20" x14ac:dyDescent="0.25">
      <c r="A296" s="5">
        <v>44297</v>
      </c>
      <c r="B296">
        <v>7.2289000000000003</v>
      </c>
      <c r="C296">
        <v>7.2297000000000002</v>
      </c>
      <c r="D296">
        <v>6.5309999999999997</v>
      </c>
      <c r="E296">
        <v>6.8186</v>
      </c>
      <c r="F296">
        <v>1118786.0900000001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-0.1767568341205093</v>
      </c>
      <c r="Q296">
        <f t="shared" si="965"/>
        <v>-197753.0873264632</v>
      </c>
      <c r="R296">
        <f t="shared" si="966"/>
        <v>27657122.92125687</v>
      </c>
      <c r="S296">
        <f t="shared" si="967"/>
        <v>276.57122921256871</v>
      </c>
      <c r="T296">
        <f t="shared" si="968"/>
        <v>0.27657122921256871</v>
      </c>
    </row>
    <row r="297" spans="1:20" x14ac:dyDescent="0.25">
      <c r="A297" s="5">
        <v>44296</v>
      </c>
      <c r="B297">
        <v>7.0853000000000002</v>
      </c>
      <c r="C297">
        <v>7.5259</v>
      </c>
      <c r="D297">
        <v>6.7900999999999998</v>
      </c>
      <c r="E297">
        <v>7.2496999999999998</v>
      </c>
      <c r="F297">
        <v>1814647.55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0.24925251427018175</v>
      </c>
      <c r="Q297">
        <f t="shared" si="965"/>
        <v>452305.46435172536</v>
      </c>
      <c r="R297">
        <f t="shared" si="966"/>
        <v>27854876.008583333</v>
      </c>
      <c r="S297">
        <f t="shared" si="967"/>
        <v>278.54876008583335</v>
      </c>
      <c r="T297">
        <f t="shared" si="968"/>
        <v>0.27854876008583335</v>
      </c>
    </row>
    <row r="298" spans="1:20" x14ac:dyDescent="0.25">
      <c r="A298" s="5">
        <v>44295</v>
      </c>
      <c r="B298">
        <v>6.8170000000000002</v>
      </c>
      <c r="C298">
        <v>7.19</v>
      </c>
      <c r="D298">
        <v>6.569</v>
      </c>
      <c r="E298">
        <v>7.0853999999999999</v>
      </c>
      <c r="F298">
        <v>2602375.61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0.66312399355877494</v>
      </c>
      <c r="Q298">
        <f t="shared" si="965"/>
        <v>1725697.7072431529</v>
      </c>
      <c r="R298">
        <f t="shared" si="966"/>
        <v>27402570.544231609</v>
      </c>
      <c r="S298">
        <f t="shared" si="967"/>
        <v>274.02570544231611</v>
      </c>
      <c r="T298">
        <f t="shared" si="968"/>
        <v>0.27402570544231614</v>
      </c>
    </row>
    <row r="299" spans="1:20" x14ac:dyDescent="0.25">
      <c r="A299" s="5">
        <v>44294</v>
      </c>
      <c r="B299">
        <v>6.1894999999999998</v>
      </c>
      <c r="C299">
        <v>6.8743999999999996</v>
      </c>
      <c r="D299">
        <v>5.8391999999999999</v>
      </c>
      <c r="E299">
        <v>6.8170000000000002</v>
      </c>
      <c r="F299">
        <v>1949318.27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0.88910355486862547</v>
      </c>
      <c r="Q299">
        <f t="shared" si="965"/>
        <v>1733145.8034273591</v>
      </c>
      <c r="R299">
        <f t="shared" si="966"/>
        <v>25676872.836988457</v>
      </c>
      <c r="S299">
        <f t="shared" si="967"/>
        <v>256.76872836988457</v>
      </c>
      <c r="T299">
        <f t="shared" si="968"/>
        <v>0.25676872836988457</v>
      </c>
    </row>
    <row r="300" spans="1:20" x14ac:dyDescent="0.25">
      <c r="A300" s="5">
        <v>44293</v>
      </c>
      <c r="B300">
        <v>6.1712999999999996</v>
      </c>
      <c r="C300">
        <v>6.8869999999999996</v>
      </c>
      <c r="D300">
        <v>5.3800999999999997</v>
      </c>
      <c r="E300">
        <v>6.1779999999999999</v>
      </c>
      <c r="F300">
        <v>3269253.06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5.899528834030171E-2</v>
      </c>
      <c r="Q300">
        <f t="shared" si="965"/>
        <v>192870.52693211369</v>
      </c>
      <c r="R300">
        <f t="shared" si="966"/>
        <v>23943727.033561099</v>
      </c>
      <c r="S300">
        <f t="shared" si="967"/>
        <v>239.437270335611</v>
      </c>
      <c r="T300">
        <f t="shared" si="968"/>
        <v>0.23943727033561099</v>
      </c>
    </row>
    <row r="301" spans="1:20" x14ac:dyDescent="0.25">
      <c r="A301" s="5">
        <v>44292</v>
      </c>
      <c r="B301">
        <v>6.2641999999999998</v>
      </c>
      <c r="C301">
        <v>6.4097</v>
      </c>
      <c r="D301">
        <v>5.75</v>
      </c>
      <c r="E301">
        <v>6.1699000000000002</v>
      </c>
      <c r="F301">
        <v>1104155.6299999999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0.2730028800970144</v>
      </c>
      <c r="Q301">
        <f t="shared" si="965"/>
        <v>301437.66706533334</v>
      </c>
      <c r="R301">
        <f t="shared" si="966"/>
        <v>23750856.506628986</v>
      </c>
      <c r="S301">
        <f t="shared" si="967"/>
        <v>237.50856506628986</v>
      </c>
      <c r="T301">
        <f t="shared" si="968"/>
        <v>0.23750856506628987</v>
      </c>
    </row>
    <row r="302" spans="1:20" x14ac:dyDescent="0.25">
      <c r="A302" s="5">
        <v>44291</v>
      </c>
      <c r="B302">
        <v>6.3189000000000002</v>
      </c>
      <c r="C302">
        <v>6.3722000000000003</v>
      </c>
      <c r="D302">
        <v>5.8202999999999996</v>
      </c>
      <c r="E302">
        <v>6.2641999999999998</v>
      </c>
      <c r="F302">
        <v>1296158.53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0.6086247508606617</v>
      </c>
      <c r="Q302">
        <f t="shared" si="965"/>
        <v>788874.16239717149</v>
      </c>
      <c r="R302">
        <f t="shared" si="966"/>
        <v>23449418.839563653</v>
      </c>
      <c r="S302">
        <f t="shared" si="967"/>
        <v>234.49418839563654</v>
      </c>
      <c r="T302">
        <f t="shared" si="968"/>
        <v>0.23449418839563654</v>
      </c>
    </row>
    <row r="303" spans="1:20" x14ac:dyDescent="0.25">
      <c r="A303" s="5">
        <v>44290</v>
      </c>
      <c r="B303">
        <v>5.7690999999999999</v>
      </c>
      <c r="C303">
        <v>6.5266999999999999</v>
      </c>
      <c r="D303">
        <v>5.7624000000000004</v>
      </c>
      <c r="E303">
        <v>6.319</v>
      </c>
      <c r="F303">
        <v>1940106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0.45649614025906027</v>
      </c>
      <c r="Q303">
        <f t="shared" si="965"/>
        <v>885650.90069344442</v>
      </c>
      <c r="R303">
        <f t="shared" si="966"/>
        <v>22660544.677166481</v>
      </c>
      <c r="S303">
        <f t="shared" si="967"/>
        <v>226.60544677166482</v>
      </c>
      <c r="T303">
        <f t="shared" si="968"/>
        <v>0.2266054467716648</v>
      </c>
    </row>
    <row r="304" spans="1:20" x14ac:dyDescent="0.25">
      <c r="A304" s="5">
        <v>44289</v>
      </c>
      <c r="B304">
        <v>5.9874000000000001</v>
      </c>
      <c r="C304">
        <v>6.7049000000000003</v>
      </c>
      <c r="D304">
        <v>5.6508000000000003</v>
      </c>
      <c r="E304">
        <v>5.7625000000000002</v>
      </c>
      <c r="F304">
        <v>3403985.72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-0.78806564842045368</v>
      </c>
      <c r="Q304">
        <f t="shared" si="965"/>
        <v>-2682564.2136457651</v>
      </c>
      <c r="R304">
        <f t="shared" si="966"/>
        <v>21774893.776473038</v>
      </c>
      <c r="S304">
        <f t="shared" si="967"/>
        <v>217.74893776473039</v>
      </c>
      <c r="T304">
        <f t="shared" si="968"/>
        <v>0.21774893776473039</v>
      </c>
    </row>
    <row r="305" spans="1:20" x14ac:dyDescent="0.25">
      <c r="A305" s="5">
        <v>44288</v>
      </c>
      <c r="B305">
        <v>5.9249000000000001</v>
      </c>
      <c r="C305">
        <v>6.0366999999999997</v>
      </c>
      <c r="D305">
        <v>5.6673</v>
      </c>
      <c r="E305">
        <v>5.9870000000000001</v>
      </c>
      <c r="F305">
        <v>1058752.8700000001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0.73091499729290921</v>
      </c>
      <c r="Q305">
        <f t="shared" si="965"/>
        <v>773858.35110990994</v>
      </c>
      <c r="R305">
        <f t="shared" si="966"/>
        <v>24457457.990118802</v>
      </c>
      <c r="S305">
        <f t="shared" si="967"/>
        <v>244.574579901188</v>
      </c>
      <c r="T305">
        <f t="shared" si="968"/>
        <v>0.244574579901188</v>
      </c>
    </row>
    <row r="306" spans="1:20" x14ac:dyDescent="0.25">
      <c r="A306" s="5">
        <v>44287</v>
      </c>
      <c r="B306">
        <v>6.2613000000000003</v>
      </c>
      <c r="C306">
        <v>6.2899000000000003</v>
      </c>
      <c r="D306">
        <v>5.6673</v>
      </c>
      <c r="E306">
        <v>5.9245000000000001</v>
      </c>
      <c r="F306">
        <v>1888404.25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-0.17378734339865087</v>
      </c>
      <c r="Q306">
        <f t="shared" si="965"/>
        <v>-328180.75787022174</v>
      </c>
      <c r="R306">
        <f t="shared" si="966"/>
        <v>23683599.639008891</v>
      </c>
      <c r="S306">
        <f t="shared" si="967"/>
        <v>236.83599639008889</v>
      </c>
      <c r="T306">
        <f t="shared" si="968"/>
        <v>0.2368359963900889</v>
      </c>
    </row>
    <row r="307" spans="1:20" x14ac:dyDescent="0.25">
      <c r="A307" s="5">
        <v>44286</v>
      </c>
      <c r="B307">
        <v>5.9112</v>
      </c>
      <c r="C307">
        <v>6.2626999999999997</v>
      </c>
      <c r="D307">
        <v>5.5500999999999996</v>
      </c>
      <c r="E307">
        <v>6.2626999999999997</v>
      </c>
      <c r="F307">
        <v>1871055.44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1</v>
      </c>
      <c r="Q307">
        <f t="shared" si="965"/>
        <v>1871055.44</v>
      </c>
      <c r="R307">
        <f t="shared" si="966"/>
        <v>24011780.396879114</v>
      </c>
      <c r="S307">
        <f t="shared" si="967"/>
        <v>240.11780396879115</v>
      </c>
      <c r="T307">
        <f t="shared" si="968"/>
        <v>0.24011780396879115</v>
      </c>
    </row>
    <row r="308" spans="1:20" x14ac:dyDescent="0.25">
      <c r="A308" s="5">
        <v>44285</v>
      </c>
      <c r="B308">
        <v>5.4633000000000003</v>
      </c>
      <c r="C308">
        <v>6.1950000000000003</v>
      </c>
      <c r="D308">
        <v>5.3490000000000002</v>
      </c>
      <c r="E308">
        <v>5.9127000000000001</v>
      </c>
      <c r="F308">
        <v>3109842.05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0.33262411347517684</v>
      </c>
      <c r="Q308">
        <f t="shared" si="965"/>
        <v>1034408.4549290765</v>
      </c>
      <c r="R308">
        <f t="shared" si="966"/>
        <v>22140724.956879113</v>
      </c>
      <c r="S308">
        <f t="shared" si="967"/>
        <v>221.40724956879112</v>
      </c>
      <c r="T308">
        <f t="shared" si="968"/>
        <v>0.22140724956879113</v>
      </c>
    </row>
    <row r="309" spans="1:20" x14ac:dyDescent="0.25">
      <c r="A309" s="5">
        <v>44284</v>
      </c>
      <c r="B309">
        <v>4.8703000000000003</v>
      </c>
      <c r="C309">
        <v>5.58</v>
      </c>
      <c r="D309">
        <v>4.6863000000000001</v>
      </c>
      <c r="E309">
        <v>5.4550000000000001</v>
      </c>
      <c r="F309">
        <v>2248312.2999999998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0.72026407071724285</v>
      </c>
      <c r="Q309">
        <f t="shared" si="965"/>
        <v>1619378.5694416468</v>
      </c>
      <c r="R309">
        <f t="shared" si="966"/>
        <v>21106316.501950037</v>
      </c>
      <c r="S309">
        <f t="shared" si="967"/>
        <v>211.06316501950036</v>
      </c>
      <c r="T309">
        <f t="shared" si="968"/>
        <v>0.21106316501950037</v>
      </c>
    </row>
    <row r="310" spans="1:20" x14ac:dyDescent="0.25">
      <c r="A310" s="5">
        <v>44283</v>
      </c>
      <c r="B310">
        <v>4.5072000000000001</v>
      </c>
      <c r="C310">
        <v>5.7</v>
      </c>
      <c r="D310">
        <v>4.4687000000000001</v>
      </c>
      <c r="E310">
        <v>4.8701999999999996</v>
      </c>
      <c r="F310">
        <v>4434418.1900000004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-0.34784374238609678</v>
      </c>
      <c r="Q310">
        <f t="shared" si="965"/>
        <v>-1542484.6185145816</v>
      </c>
      <c r="R310">
        <f t="shared" si="966"/>
        <v>19486937.93250839</v>
      </c>
      <c r="S310">
        <f t="shared" si="967"/>
        <v>194.86937932508391</v>
      </c>
      <c r="T310">
        <f t="shared" si="968"/>
        <v>0.19486937932508391</v>
      </c>
    </row>
    <row r="311" spans="1:20" x14ac:dyDescent="0.25">
      <c r="A311" s="5">
        <v>44282</v>
      </c>
      <c r="B311">
        <v>4.4800000000000004</v>
      </c>
      <c r="C311">
        <v>4.548</v>
      </c>
      <c r="D311">
        <v>4.2161999999999997</v>
      </c>
      <c r="E311">
        <v>4.5194999999999999</v>
      </c>
      <c r="F311">
        <v>1366909.63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0.82820976491862464</v>
      </c>
      <c r="Q311">
        <f t="shared" si="965"/>
        <v>1132087.9033273042</v>
      </c>
      <c r="R311">
        <f t="shared" si="966"/>
        <v>21029422.551022973</v>
      </c>
      <c r="S311">
        <f t="shared" si="967"/>
        <v>210.29422551022972</v>
      </c>
      <c r="T311">
        <f t="shared" si="968"/>
        <v>0.21029422551022972</v>
      </c>
    </row>
    <row r="312" spans="1:20" x14ac:dyDescent="0.25">
      <c r="A312" s="5">
        <v>44281</v>
      </c>
      <c r="B312">
        <v>3.9093</v>
      </c>
      <c r="C312">
        <v>4.5701999999999998</v>
      </c>
      <c r="D312">
        <v>3.8559999999999999</v>
      </c>
      <c r="E312">
        <v>4.4798</v>
      </c>
      <c r="F312">
        <v>2100679.2999999998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0.74684962195463511</v>
      </c>
      <c r="Q312">
        <f t="shared" si="965"/>
        <v>1568891.5410529275</v>
      </c>
      <c r="R312">
        <f t="shared" si="966"/>
        <v>19897334.647695668</v>
      </c>
      <c r="S312">
        <f t="shared" si="967"/>
        <v>198.97334647695669</v>
      </c>
      <c r="T312">
        <f t="shared" si="968"/>
        <v>0.19897334647695669</v>
      </c>
    </row>
    <row r="313" spans="1:20" x14ac:dyDescent="0.25">
      <c r="A313" s="5">
        <v>44280</v>
      </c>
      <c r="B313">
        <v>4.2758000000000003</v>
      </c>
      <c r="C313">
        <v>4.3827999999999996</v>
      </c>
      <c r="D313">
        <v>3.827</v>
      </c>
      <c r="E313">
        <v>3.8992</v>
      </c>
      <c r="F313">
        <v>2158553.2400000002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-0.74019431450161899</v>
      </c>
      <c r="Q313">
        <f t="shared" si="965"/>
        <v>-1597748.8357970489</v>
      </c>
      <c r="R313">
        <f t="shared" si="966"/>
        <v>18328443.106642742</v>
      </c>
      <c r="S313">
        <f t="shared" si="967"/>
        <v>183.28443106642743</v>
      </c>
      <c r="T313">
        <f t="shared" si="968"/>
        <v>0.18328443106642742</v>
      </c>
    </row>
    <row r="314" spans="1:20" x14ac:dyDescent="0.25">
      <c r="A314" s="5">
        <v>44279</v>
      </c>
      <c r="B314">
        <v>4.9938000000000002</v>
      </c>
      <c r="C314">
        <v>5.1498999999999997</v>
      </c>
      <c r="D314">
        <v>4.07</v>
      </c>
      <c r="E314">
        <v>4.2759999999999998</v>
      </c>
      <c r="F314">
        <v>4370661.8899999997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-0.61848319288823106</v>
      </c>
      <c r="Q314">
        <f t="shared" si="965"/>
        <v>-2703180.9207621105</v>
      </c>
      <c r="R314">
        <f t="shared" si="966"/>
        <v>19926191.942439791</v>
      </c>
      <c r="S314">
        <f t="shared" si="967"/>
        <v>199.26191942439792</v>
      </c>
      <c r="T314">
        <f t="shared" si="968"/>
        <v>0.19926191942439792</v>
      </c>
    </row>
    <row r="315" spans="1:20" x14ac:dyDescent="0.25">
      <c r="A315" s="5">
        <v>44278</v>
      </c>
      <c r="B315">
        <v>4.0160999999999998</v>
      </c>
      <c r="C315">
        <v>5.2103000000000002</v>
      </c>
      <c r="D315">
        <v>3.952</v>
      </c>
      <c r="E315">
        <v>4.9702999999999999</v>
      </c>
      <c r="F315">
        <v>8936726.0600000005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0.61853294126996716</v>
      </c>
      <c r="Q315">
        <f t="shared" si="965"/>
        <v>5527659.4552157652</v>
      </c>
      <c r="R315">
        <f t="shared" si="966"/>
        <v>22629372.863201901</v>
      </c>
      <c r="S315">
        <f t="shared" si="967"/>
        <v>226.29372863201903</v>
      </c>
      <c r="T315">
        <f t="shared" si="968"/>
        <v>0.22629372863201902</v>
      </c>
    </row>
    <row r="316" spans="1:20" x14ac:dyDescent="0.25">
      <c r="A316" s="5">
        <v>44277</v>
      </c>
      <c r="B316">
        <v>3.8997000000000002</v>
      </c>
      <c r="C316">
        <v>4.5777000000000001</v>
      </c>
      <c r="D316">
        <v>3.7515000000000001</v>
      </c>
      <c r="E316">
        <v>4.0309999999999997</v>
      </c>
      <c r="F316">
        <v>3334271.59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-0.32340837569595832</v>
      </c>
      <c r="Q316">
        <f t="shared" si="965"/>
        <v>-1078331.3590510802</v>
      </c>
      <c r="R316">
        <f t="shared" si="966"/>
        <v>17101713.407986138</v>
      </c>
      <c r="S316">
        <f t="shared" si="967"/>
        <v>171.01713407986139</v>
      </c>
      <c r="T316">
        <f t="shared" si="968"/>
        <v>0.17101713407986138</v>
      </c>
    </row>
    <row r="317" spans="1:20" x14ac:dyDescent="0.25">
      <c r="A317" s="5">
        <v>44276</v>
      </c>
      <c r="B317">
        <v>3.9615999999999998</v>
      </c>
      <c r="C317">
        <v>4.1295000000000002</v>
      </c>
      <c r="D317">
        <v>3.5687000000000002</v>
      </c>
      <c r="E317">
        <v>3.9009</v>
      </c>
      <c r="F317">
        <v>2391416.2799999998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0.18473609129814497</v>
      </c>
      <c r="Q317">
        <f t="shared" si="965"/>
        <v>441780.89623395016</v>
      </c>
      <c r="R317">
        <f t="shared" si="966"/>
        <v>18180044.767037217</v>
      </c>
      <c r="S317">
        <f t="shared" si="967"/>
        <v>181.80044767037217</v>
      </c>
      <c r="T317">
        <f t="shared" si="968"/>
        <v>0.18180044767037218</v>
      </c>
    </row>
    <row r="318" spans="1:20" x14ac:dyDescent="0.25">
      <c r="A318" s="5">
        <v>44275</v>
      </c>
      <c r="B318">
        <v>3.8014999999999999</v>
      </c>
      <c r="C318">
        <v>4.6208</v>
      </c>
      <c r="D318">
        <v>3.7252000000000001</v>
      </c>
      <c r="E318">
        <v>3.9615999999999998</v>
      </c>
      <c r="F318">
        <v>3284579.73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-0.47208575256811136</v>
      </c>
      <c r="Q318">
        <f t="shared" si="965"/>
        <v>-1550603.2937070141</v>
      </c>
      <c r="R318">
        <f t="shared" si="966"/>
        <v>17738263.870803267</v>
      </c>
      <c r="S318">
        <f t="shared" si="967"/>
        <v>177.38263870803266</v>
      </c>
      <c r="T318">
        <f t="shared" si="968"/>
        <v>0.17738263870803267</v>
      </c>
    </row>
    <row r="319" spans="1:20" x14ac:dyDescent="0.25">
      <c r="A319" s="5">
        <v>44274</v>
      </c>
      <c r="B319">
        <v>3.7458999999999998</v>
      </c>
      <c r="C319">
        <v>3.9175</v>
      </c>
      <c r="D319">
        <v>3.6</v>
      </c>
      <c r="E319">
        <v>3.7863000000000002</v>
      </c>
      <c r="F319">
        <v>946021.52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0.17354330708661539</v>
      </c>
      <c r="Q319">
        <f t="shared" si="965"/>
        <v>164175.70315590667</v>
      </c>
      <c r="R319">
        <f t="shared" si="966"/>
        <v>19288867.16451028</v>
      </c>
      <c r="S319">
        <f t="shared" si="967"/>
        <v>192.88867164510279</v>
      </c>
      <c r="T319">
        <f t="shared" si="968"/>
        <v>0.19288867164510279</v>
      </c>
    </row>
    <row r="320" spans="1:20" x14ac:dyDescent="0.25">
      <c r="A320" s="5">
        <v>44273</v>
      </c>
      <c r="B320">
        <v>3.9033000000000002</v>
      </c>
      <c r="C320">
        <v>4.01</v>
      </c>
      <c r="D320">
        <v>3.613</v>
      </c>
      <c r="E320">
        <v>3.7458</v>
      </c>
      <c r="F320">
        <v>2097783.75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-0.3309823677581859</v>
      </c>
      <c r="Q320">
        <f t="shared" si="965"/>
        <v>-694329.43261964631</v>
      </c>
      <c r="R320">
        <f t="shared" si="966"/>
        <v>19124691.461354375</v>
      </c>
      <c r="S320">
        <f t="shared" si="967"/>
        <v>191.24691461354374</v>
      </c>
      <c r="T320">
        <f t="shared" si="968"/>
        <v>0.19124691461354373</v>
      </c>
    </row>
    <row r="321" spans="1:20" x14ac:dyDescent="0.25">
      <c r="A321" s="5">
        <v>44272</v>
      </c>
      <c r="B321">
        <v>3.3614000000000002</v>
      </c>
      <c r="C321">
        <v>4.0599999999999996</v>
      </c>
      <c r="D321">
        <v>3.23</v>
      </c>
      <c r="E321">
        <v>3.9140999999999999</v>
      </c>
      <c r="F321">
        <v>3849482.82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0.64843373493975964</v>
      </c>
      <c r="Q321">
        <f t="shared" si="965"/>
        <v>2496134.5225590384</v>
      </c>
      <c r="R321">
        <f t="shared" si="966"/>
        <v>19819020.893974021</v>
      </c>
      <c r="S321">
        <f t="shared" si="967"/>
        <v>198.19020893974022</v>
      </c>
      <c r="T321">
        <f t="shared" si="968"/>
        <v>0.19819020893974021</v>
      </c>
    </row>
    <row r="322" spans="1:20" x14ac:dyDescent="0.25">
      <c r="A322" s="5">
        <v>44271</v>
      </c>
      <c r="B322">
        <v>3.2681</v>
      </c>
      <c r="C322">
        <v>3.3845999999999998</v>
      </c>
      <c r="D322">
        <v>3.0474000000000001</v>
      </c>
      <c r="E322">
        <v>3.36</v>
      </c>
      <c r="F322">
        <v>1179697.08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0.8540925266903916</v>
      </c>
      <c r="Q322">
        <f t="shared" si="965"/>
        <v>1007570.4597864771</v>
      </c>
      <c r="R322">
        <f t="shared" si="966"/>
        <v>17322886.371414982</v>
      </c>
      <c r="S322">
        <f t="shared" si="967"/>
        <v>173.22886371414981</v>
      </c>
      <c r="T322">
        <f t="shared" si="968"/>
        <v>0.17322886371414981</v>
      </c>
    </row>
    <row r="323" spans="1:20" x14ac:dyDescent="0.25">
      <c r="A323" s="5">
        <v>44270</v>
      </c>
      <c r="B323">
        <v>3.4302999999999999</v>
      </c>
      <c r="C323">
        <v>3.4794999999999998</v>
      </c>
      <c r="D323">
        <v>3.1019999999999999</v>
      </c>
      <c r="E323">
        <v>3.2553999999999998</v>
      </c>
      <c r="F323">
        <v>1601919.74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-0.18728476821192053</v>
      </c>
      <c r="Q323">
        <f t="shared" si="965"/>
        <v>-300015.16719999997</v>
      </c>
      <c r="R323">
        <f t="shared" si="966"/>
        <v>16315315.911628505</v>
      </c>
      <c r="S323">
        <f t="shared" si="967"/>
        <v>163.15315911628505</v>
      </c>
      <c r="T323">
        <f t="shared" si="968"/>
        <v>0.16315315911628506</v>
      </c>
    </row>
    <row r="324" spans="1:20" x14ac:dyDescent="0.25">
      <c r="A324" s="5">
        <v>44269</v>
      </c>
      <c r="B324">
        <v>3.3163</v>
      </c>
      <c r="C324">
        <v>3.66</v>
      </c>
      <c r="D324">
        <v>3.2004999999999999</v>
      </c>
      <c r="E324">
        <v>3.42</v>
      </c>
      <c r="F324">
        <v>2831105.41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-4.4613710554951412E-2</v>
      </c>
      <c r="Q324">
        <f t="shared" si="965"/>
        <v>-126306.11731229705</v>
      </c>
      <c r="R324">
        <f t="shared" si="966"/>
        <v>16615331.078828504</v>
      </c>
      <c r="S324">
        <f t="shared" si="967"/>
        <v>166.15331078828504</v>
      </c>
      <c r="T324">
        <f t="shared" si="968"/>
        <v>0.16615331078828505</v>
      </c>
    </row>
    <row r="325" spans="1:20" x14ac:dyDescent="0.25">
      <c r="A325" s="5">
        <v>44268</v>
      </c>
      <c r="B325">
        <v>3.1486000000000001</v>
      </c>
      <c r="C325">
        <v>3.7</v>
      </c>
      <c r="D325">
        <v>2.984</v>
      </c>
      <c r="E325">
        <v>3.31</v>
      </c>
      <c r="F325">
        <v>2197963.71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-8.9385474860335254E-2</v>
      </c>
      <c r="Q325">
        <f t="shared" si="965"/>
        <v>-196466.02994413421</v>
      </c>
      <c r="R325">
        <f t="shared" si="966"/>
        <v>16741637.196140802</v>
      </c>
      <c r="S325">
        <f t="shared" si="967"/>
        <v>167.416371961408</v>
      </c>
      <c r="T325">
        <f t="shared" si="968"/>
        <v>0.16741637196140802</v>
      </c>
    </row>
    <row r="326" spans="1:20" x14ac:dyDescent="0.25">
      <c r="A326" s="5">
        <v>44267</v>
      </c>
      <c r="B326">
        <v>3.2403</v>
      </c>
      <c r="C326">
        <v>3.2917000000000001</v>
      </c>
      <c r="D326">
        <v>3.0432999999999999</v>
      </c>
      <c r="E326">
        <v>3.1501999999999999</v>
      </c>
      <c r="F326">
        <v>1091859.8400000001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-0.13929146537842255</v>
      </c>
      <c r="Q326">
        <f t="shared" ref="Q326:Q389" si="970">F326*P326</f>
        <v>-152086.75710145</v>
      </c>
      <c r="R326">
        <f t="shared" ref="R326:R389" si="971">R327+Q326</f>
        <v>16938103.226084936</v>
      </c>
      <c r="S326">
        <f t="shared" ref="S326:S389" si="972">R326/100000</f>
        <v>169.38103226084937</v>
      </c>
      <c r="T326">
        <f t="shared" ref="T326:T389" si="973">S326/1000</f>
        <v>0.16938103226084936</v>
      </c>
    </row>
    <row r="327" spans="1:20" x14ac:dyDescent="0.25">
      <c r="A327" s="5">
        <v>44266</v>
      </c>
      <c r="B327">
        <v>3.2250999999999999</v>
      </c>
      <c r="C327">
        <v>3.3368000000000002</v>
      </c>
      <c r="D327">
        <v>3.0872999999999999</v>
      </c>
      <c r="E327">
        <v>3.2364000000000002</v>
      </c>
      <c r="F327">
        <v>1128168.3799999999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0.19519038076152359</v>
      </c>
      <c r="Q327">
        <f t="shared" si="970"/>
        <v>220207.61565531121</v>
      </c>
      <c r="R327">
        <f t="shared" si="971"/>
        <v>17090189.983186387</v>
      </c>
      <c r="S327">
        <f t="shared" si="972"/>
        <v>170.90189983186386</v>
      </c>
      <c r="T327">
        <f t="shared" si="973"/>
        <v>0.17090189983186385</v>
      </c>
    </row>
    <row r="328" spans="1:20" x14ac:dyDescent="0.25">
      <c r="A328" s="5">
        <v>44265</v>
      </c>
      <c r="B328">
        <v>3.3835000000000002</v>
      </c>
      <c r="C328">
        <v>3.3984999999999999</v>
      </c>
      <c r="D328">
        <v>3.08</v>
      </c>
      <c r="E328">
        <v>3.2360000000000002</v>
      </c>
      <c r="F328">
        <v>1164616.6399999999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-2.0408163265304587E-2</v>
      </c>
      <c r="Q328">
        <f t="shared" si="970"/>
        <v>-23767.686530610456</v>
      </c>
      <c r="R328">
        <f t="shared" si="971"/>
        <v>16869982.367531076</v>
      </c>
      <c r="S328">
        <f t="shared" si="972"/>
        <v>168.69982367531077</v>
      </c>
      <c r="T328">
        <f t="shared" si="973"/>
        <v>0.16869982367531078</v>
      </c>
    </row>
    <row r="329" spans="1:20" x14ac:dyDescent="0.25">
      <c r="A329" s="5">
        <v>44264</v>
      </c>
      <c r="B329">
        <v>3.2544</v>
      </c>
      <c r="C329">
        <v>3.42</v>
      </c>
      <c r="D329">
        <v>3.18</v>
      </c>
      <c r="E329">
        <v>3.3833000000000002</v>
      </c>
      <c r="F329">
        <v>1417988.16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0.6941666666666686</v>
      </c>
      <c r="Q329">
        <f t="shared" si="970"/>
        <v>984320.11440000264</v>
      </c>
      <c r="R329">
        <f t="shared" si="971"/>
        <v>16893750.054061685</v>
      </c>
      <c r="S329">
        <f t="shared" si="972"/>
        <v>168.93750054061684</v>
      </c>
      <c r="T329">
        <f t="shared" si="973"/>
        <v>0.16893750054061685</v>
      </c>
    </row>
    <row r="330" spans="1:20" x14ac:dyDescent="0.25">
      <c r="A330" s="5">
        <v>44263</v>
      </c>
      <c r="B330">
        <v>3.2555999999999998</v>
      </c>
      <c r="C330">
        <v>3.3</v>
      </c>
      <c r="D330">
        <v>3.0821000000000001</v>
      </c>
      <c r="E330">
        <v>3.2461000000000002</v>
      </c>
      <c r="F330">
        <v>777148.84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0.50527765029830496</v>
      </c>
      <c r="Q330">
        <f t="shared" si="970"/>
        <v>392675.93980725331</v>
      </c>
      <c r="R330">
        <f t="shared" si="971"/>
        <v>15909429.939661682</v>
      </c>
      <c r="S330">
        <f t="shared" si="972"/>
        <v>159.0942993966168</v>
      </c>
      <c r="T330">
        <f t="shared" si="973"/>
        <v>0.15909429939661682</v>
      </c>
    </row>
    <row r="331" spans="1:20" x14ac:dyDescent="0.25">
      <c r="A331" s="5">
        <v>44262</v>
      </c>
      <c r="B331">
        <v>3.2122999999999999</v>
      </c>
      <c r="C331">
        <v>3.2601</v>
      </c>
      <c r="D331">
        <v>3.1257999999999999</v>
      </c>
      <c r="E331">
        <v>3.2528000000000001</v>
      </c>
      <c r="F331">
        <v>688406.79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0.89128816083395601</v>
      </c>
      <c r="Q331">
        <f t="shared" si="970"/>
        <v>613568.82176470745</v>
      </c>
      <c r="R331">
        <f t="shared" si="971"/>
        <v>15516753.999854429</v>
      </c>
      <c r="S331">
        <f t="shared" si="972"/>
        <v>155.1675399985443</v>
      </c>
      <c r="T331">
        <f t="shared" si="973"/>
        <v>0.1551675399985443</v>
      </c>
    </row>
    <row r="332" spans="1:20" x14ac:dyDescent="0.25">
      <c r="A332" s="5">
        <v>44261</v>
      </c>
      <c r="B332">
        <v>3.0947</v>
      </c>
      <c r="C332">
        <v>3.2637999999999998</v>
      </c>
      <c r="D332">
        <v>3</v>
      </c>
      <c r="E332">
        <v>3.2084000000000001</v>
      </c>
      <c r="F332">
        <v>998760.08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0.57998483699772774</v>
      </c>
      <c r="Q332">
        <f t="shared" si="970"/>
        <v>579265.70219863753</v>
      </c>
      <c r="R332">
        <f t="shared" si="971"/>
        <v>14903185.178089721</v>
      </c>
      <c r="S332">
        <f t="shared" si="972"/>
        <v>149.0318517808972</v>
      </c>
      <c r="T332">
        <f t="shared" si="973"/>
        <v>0.1490318517808972</v>
      </c>
    </row>
    <row r="333" spans="1:20" x14ac:dyDescent="0.25">
      <c r="A333" s="5">
        <v>44260</v>
      </c>
      <c r="B333">
        <v>3.1202000000000001</v>
      </c>
      <c r="C333">
        <v>3.1259000000000001</v>
      </c>
      <c r="D333">
        <v>2.8664999999999998</v>
      </c>
      <c r="E333">
        <v>3.0882000000000001</v>
      </c>
      <c r="F333">
        <v>875752.48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0.70932922127987641</v>
      </c>
      <c r="Q333">
        <f t="shared" si="970"/>
        <v>621196.82467232051</v>
      </c>
      <c r="R333">
        <f t="shared" si="971"/>
        <v>14323919.475891083</v>
      </c>
      <c r="S333">
        <f t="shared" si="972"/>
        <v>143.23919475891083</v>
      </c>
      <c r="T333">
        <f t="shared" si="973"/>
        <v>0.14323919475891084</v>
      </c>
    </row>
    <row r="334" spans="1:20" x14ac:dyDescent="0.25">
      <c r="A334" s="5">
        <v>44259</v>
      </c>
      <c r="B334">
        <v>3.2403</v>
      </c>
      <c r="C334">
        <v>3.3288000000000002</v>
      </c>
      <c r="D334">
        <v>2.9266999999999999</v>
      </c>
      <c r="E334">
        <v>3.1179999999999999</v>
      </c>
      <c r="F334">
        <v>1047640.92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-4.8495399154439886E-2</v>
      </c>
      <c r="Q334">
        <f t="shared" si="970"/>
        <v>-50805.764585924626</v>
      </c>
      <c r="R334">
        <f t="shared" si="971"/>
        <v>13702722.651218763</v>
      </c>
      <c r="S334">
        <f t="shared" si="972"/>
        <v>137.02722651218764</v>
      </c>
      <c r="T334">
        <f t="shared" si="973"/>
        <v>0.13702722651218763</v>
      </c>
    </row>
    <row r="335" spans="1:20" x14ac:dyDescent="0.25">
      <c r="A335" s="5">
        <v>44258</v>
      </c>
      <c r="B335">
        <v>3.1678000000000002</v>
      </c>
      <c r="C335">
        <v>3.3</v>
      </c>
      <c r="D335">
        <v>3.0783999999999998</v>
      </c>
      <c r="E335">
        <v>3.2469999999999999</v>
      </c>
      <c r="F335">
        <v>1557857.9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0.52166064981949523</v>
      </c>
      <c r="Q335">
        <f t="shared" si="970"/>
        <v>812673.16444043419</v>
      </c>
      <c r="R335">
        <f t="shared" si="971"/>
        <v>13753528.415804688</v>
      </c>
      <c r="S335">
        <f t="shared" si="972"/>
        <v>137.53528415804689</v>
      </c>
      <c r="T335">
        <f t="shared" si="973"/>
        <v>0.13753528415804689</v>
      </c>
    </row>
    <row r="336" spans="1:20" x14ac:dyDescent="0.25">
      <c r="A336" s="5">
        <v>44257</v>
      </c>
      <c r="B336">
        <v>3.0948000000000002</v>
      </c>
      <c r="C336">
        <v>3.6880999999999999</v>
      </c>
      <c r="D336">
        <v>2.9624999999999999</v>
      </c>
      <c r="E336">
        <v>3.1678000000000002</v>
      </c>
      <c r="F336">
        <v>2951228.82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-0.43412348401322975</v>
      </c>
      <c r="Q336">
        <f t="shared" si="970"/>
        <v>-1281197.7374586528</v>
      </c>
      <c r="R336">
        <f t="shared" si="971"/>
        <v>12940855.251364253</v>
      </c>
      <c r="S336">
        <f t="shared" si="972"/>
        <v>129.40855251364255</v>
      </c>
      <c r="T336">
        <f t="shared" si="973"/>
        <v>0.12940855251364256</v>
      </c>
    </row>
    <row r="337" spans="1:20" x14ac:dyDescent="0.25">
      <c r="A337" s="5">
        <v>44256</v>
      </c>
      <c r="B337">
        <v>2.9045000000000001</v>
      </c>
      <c r="C337">
        <v>3.1017000000000001</v>
      </c>
      <c r="D337">
        <v>2.8</v>
      </c>
      <c r="E337">
        <v>3.0872000000000002</v>
      </c>
      <c r="F337">
        <v>1122789.6499999999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0.90387802452767685</v>
      </c>
      <c r="Q337">
        <f t="shared" si="970"/>
        <v>1014864.8908021216</v>
      </c>
      <c r="R337">
        <f t="shared" si="971"/>
        <v>14222052.988822905</v>
      </c>
      <c r="S337">
        <f t="shared" si="972"/>
        <v>142.22052988822907</v>
      </c>
      <c r="T337">
        <f t="shared" si="973"/>
        <v>0.14222052988822906</v>
      </c>
    </row>
    <row r="338" spans="1:20" x14ac:dyDescent="0.25">
      <c r="A338" s="5">
        <v>44255</v>
      </c>
      <c r="B338">
        <v>3.0893999999999999</v>
      </c>
      <c r="C338">
        <v>3.0910000000000002</v>
      </c>
      <c r="D338">
        <v>2.5413999999999999</v>
      </c>
      <c r="E338">
        <v>2.9051999999999998</v>
      </c>
      <c r="F338">
        <v>1259316.79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0.32387190684133804</v>
      </c>
      <c r="Q338">
        <f t="shared" si="970"/>
        <v>407857.3300946129</v>
      </c>
      <c r="R338">
        <f t="shared" si="971"/>
        <v>13207188.098020785</v>
      </c>
      <c r="S338">
        <f t="shared" si="972"/>
        <v>132.07188098020785</v>
      </c>
      <c r="T338">
        <f t="shared" si="973"/>
        <v>0.13207188098020786</v>
      </c>
    </row>
    <row r="339" spans="1:20" x14ac:dyDescent="0.25">
      <c r="A339" s="5">
        <v>44254</v>
      </c>
      <c r="B339">
        <v>3.0215000000000001</v>
      </c>
      <c r="C339">
        <v>3.3</v>
      </c>
      <c r="D339">
        <v>2.9175</v>
      </c>
      <c r="E339">
        <v>3.0893999999999999</v>
      </c>
      <c r="F339">
        <v>1171812.2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-0.10117647058823523</v>
      </c>
      <c r="Q339">
        <f t="shared" si="970"/>
        <v>-118559.82258823521</v>
      </c>
      <c r="R339">
        <f t="shared" si="971"/>
        <v>12799330.767926171</v>
      </c>
      <c r="S339">
        <f t="shared" si="972"/>
        <v>127.99330767926172</v>
      </c>
      <c r="T339">
        <f t="shared" si="973"/>
        <v>0.12799330767926173</v>
      </c>
    </row>
    <row r="340" spans="1:20" x14ac:dyDescent="0.25">
      <c r="A340" s="5">
        <v>44253</v>
      </c>
      <c r="B340">
        <v>3.0310999999999999</v>
      </c>
      <c r="C340">
        <v>3.2778999999999998</v>
      </c>
      <c r="D340">
        <v>2.8</v>
      </c>
      <c r="E340">
        <v>3.0221</v>
      </c>
      <c r="F340">
        <v>2677753.14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-7.0516844528143163E-2</v>
      </c>
      <c r="Q340">
        <f t="shared" si="970"/>
        <v>-188826.70185812717</v>
      </c>
      <c r="R340">
        <f t="shared" si="971"/>
        <v>12917890.590514407</v>
      </c>
      <c r="S340">
        <f t="shared" si="972"/>
        <v>129.17890590514406</v>
      </c>
      <c r="T340">
        <f t="shared" si="973"/>
        <v>0.12917890590514405</v>
      </c>
    </row>
    <row r="341" spans="1:20" x14ac:dyDescent="0.25">
      <c r="A341" s="5">
        <v>44252</v>
      </c>
      <c r="B341">
        <v>2.8241000000000001</v>
      </c>
      <c r="C341">
        <v>4.3194999999999997</v>
      </c>
      <c r="D341">
        <v>2.8128000000000002</v>
      </c>
      <c r="E341">
        <v>3.0230000000000001</v>
      </c>
      <c r="F341">
        <v>9044269.1500000004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-0.72097962434459417</v>
      </c>
      <c r="Q341">
        <f t="shared" si="970"/>
        <v>-6520733.774238402</v>
      </c>
      <c r="R341">
        <f t="shared" si="971"/>
        <v>13106717.292372534</v>
      </c>
      <c r="S341">
        <f t="shared" si="972"/>
        <v>131.06717292372534</v>
      </c>
      <c r="T341">
        <f t="shared" si="973"/>
        <v>0.13106717292372533</v>
      </c>
    </row>
    <row r="342" spans="1:20" x14ac:dyDescent="0.25">
      <c r="A342" s="5">
        <v>44251</v>
      </c>
      <c r="B342">
        <v>2.6507999999999998</v>
      </c>
      <c r="C342">
        <v>3.2</v>
      </c>
      <c r="D342">
        <v>2.4538000000000002</v>
      </c>
      <c r="E342">
        <v>2.8264999999999998</v>
      </c>
      <c r="F342">
        <v>2930727.53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-1.0720986330753151E-3</v>
      </c>
      <c r="Q342">
        <f t="shared" si="970"/>
        <v>-3142.0289788291943</v>
      </c>
      <c r="R342">
        <f t="shared" si="971"/>
        <v>19627451.066610936</v>
      </c>
      <c r="S342">
        <f t="shared" si="972"/>
        <v>196.27451066610936</v>
      </c>
      <c r="T342">
        <f t="shared" si="973"/>
        <v>0.19627451066610938</v>
      </c>
    </row>
    <row r="343" spans="1:20" x14ac:dyDescent="0.25">
      <c r="A343" s="5">
        <v>44250</v>
      </c>
      <c r="B343">
        <v>3.3934000000000002</v>
      </c>
      <c r="C343">
        <v>3.4062000000000001</v>
      </c>
      <c r="D343">
        <v>2.1562000000000001</v>
      </c>
      <c r="E343">
        <v>2.6509999999999998</v>
      </c>
      <c r="F343">
        <v>4094441.35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-0.2083200000000005</v>
      </c>
      <c r="Q343">
        <f t="shared" si="970"/>
        <v>-852954.0220320021</v>
      </c>
      <c r="R343">
        <f t="shared" si="971"/>
        <v>19630593.095589764</v>
      </c>
      <c r="S343">
        <f t="shared" si="972"/>
        <v>196.30593095589765</v>
      </c>
      <c r="T343">
        <f t="shared" si="973"/>
        <v>0.19630593095589766</v>
      </c>
    </row>
    <row r="344" spans="1:20" x14ac:dyDescent="0.25">
      <c r="A344" s="5">
        <v>44249</v>
      </c>
      <c r="B344">
        <v>3.8489</v>
      </c>
      <c r="C344">
        <v>3.96</v>
      </c>
      <c r="D344">
        <v>2.7010000000000001</v>
      </c>
      <c r="E344">
        <v>3.4</v>
      </c>
      <c r="F344">
        <v>3441161.96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0.11040508339952328</v>
      </c>
      <c r="Q344">
        <f t="shared" si="970"/>
        <v>379921.773185067</v>
      </c>
      <c r="R344">
        <f t="shared" si="971"/>
        <v>20483547.117621768</v>
      </c>
      <c r="S344">
        <f t="shared" si="972"/>
        <v>204.83547117621768</v>
      </c>
      <c r="T344">
        <f t="shared" si="973"/>
        <v>0.20483547117621767</v>
      </c>
    </row>
    <row r="345" spans="1:20" x14ac:dyDescent="0.25">
      <c r="A345" s="5">
        <v>44248</v>
      </c>
      <c r="B345">
        <v>3.6631999999999998</v>
      </c>
      <c r="C345">
        <v>4</v>
      </c>
      <c r="D345">
        <v>3.58</v>
      </c>
      <c r="E345">
        <v>3.8489</v>
      </c>
      <c r="F345">
        <v>1390972.7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0.28047619047619032</v>
      </c>
      <c r="Q345">
        <f t="shared" si="970"/>
        <v>390134.72395238071</v>
      </c>
      <c r="R345">
        <f t="shared" si="971"/>
        <v>20103625.344436701</v>
      </c>
      <c r="S345">
        <f t="shared" si="972"/>
        <v>201.03625344436702</v>
      </c>
      <c r="T345">
        <f t="shared" si="973"/>
        <v>0.20103625344436701</v>
      </c>
    </row>
    <row r="346" spans="1:20" x14ac:dyDescent="0.25">
      <c r="A346" s="5">
        <v>44247</v>
      </c>
      <c r="B346">
        <v>3.8719000000000001</v>
      </c>
      <c r="C346">
        <v>4.3898999999999999</v>
      </c>
      <c r="D346">
        <v>3.3809</v>
      </c>
      <c r="E346">
        <v>3.6638000000000002</v>
      </c>
      <c r="F346">
        <v>4660076.33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-0.43924677898909775</v>
      </c>
      <c r="Q346">
        <f t="shared" si="970"/>
        <v>-2046923.5177958359</v>
      </c>
      <c r="R346">
        <f t="shared" si="971"/>
        <v>19713490.620484322</v>
      </c>
      <c r="S346">
        <f t="shared" si="972"/>
        <v>197.13490620484322</v>
      </c>
      <c r="T346">
        <f t="shared" si="973"/>
        <v>0.19713490620484322</v>
      </c>
    </row>
    <row r="347" spans="1:20" x14ac:dyDescent="0.25">
      <c r="A347" s="5">
        <v>44246</v>
      </c>
      <c r="B347">
        <v>3.7810000000000001</v>
      </c>
      <c r="C347">
        <v>4.0316999999999998</v>
      </c>
      <c r="D347">
        <v>3.4035000000000002</v>
      </c>
      <c r="E347">
        <v>3.8719999999999999</v>
      </c>
      <c r="F347">
        <v>2503701.21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0.49156319643425644</v>
      </c>
      <c r="Q347">
        <f t="shared" si="970"/>
        <v>1230727.3697039154</v>
      </c>
      <c r="R347">
        <f t="shared" si="971"/>
        <v>21760414.138280157</v>
      </c>
      <c r="S347">
        <f t="shared" si="972"/>
        <v>217.60414138280157</v>
      </c>
      <c r="T347">
        <f t="shared" si="973"/>
        <v>0.21760414138280157</v>
      </c>
    </row>
    <row r="348" spans="1:20" x14ac:dyDescent="0.25">
      <c r="A348" s="5">
        <v>44245</v>
      </c>
      <c r="B348">
        <v>3.42</v>
      </c>
      <c r="C348">
        <v>3.88</v>
      </c>
      <c r="D348">
        <v>3.3001</v>
      </c>
      <c r="E348">
        <v>3.7810000000000001</v>
      </c>
      <c r="F348">
        <v>2199483.86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0.65856182100362204</v>
      </c>
      <c r="Q348">
        <f t="shared" si="970"/>
        <v>1448496.0961096755</v>
      </c>
      <c r="R348">
        <f t="shared" si="971"/>
        <v>20529686.768576242</v>
      </c>
      <c r="S348">
        <f t="shared" si="972"/>
        <v>205.29686768576241</v>
      </c>
      <c r="T348">
        <f t="shared" si="973"/>
        <v>0.20529686768576241</v>
      </c>
    </row>
    <row r="349" spans="1:20" x14ac:dyDescent="0.25">
      <c r="A349" s="5">
        <v>44244</v>
      </c>
      <c r="B349">
        <v>3.2513999999999998</v>
      </c>
      <c r="C349">
        <v>3.5186999999999999</v>
      </c>
      <c r="D349">
        <v>2.9416000000000002</v>
      </c>
      <c r="E349">
        <v>3.42</v>
      </c>
      <c r="F349">
        <v>1939605.79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0.65794489689828428</v>
      </c>
      <c r="Q349">
        <f t="shared" si="970"/>
        <v>1276153.7315248651</v>
      </c>
      <c r="R349">
        <f t="shared" si="971"/>
        <v>19081190.672466565</v>
      </c>
      <c r="S349">
        <f t="shared" si="972"/>
        <v>190.81190672466565</v>
      </c>
      <c r="T349">
        <f t="shared" si="973"/>
        <v>0.19081190672466564</v>
      </c>
    </row>
    <row r="350" spans="1:20" x14ac:dyDescent="0.25">
      <c r="A350" s="5">
        <v>44243</v>
      </c>
      <c r="B350">
        <v>3.3077000000000001</v>
      </c>
      <c r="C350">
        <v>3.62</v>
      </c>
      <c r="D350">
        <v>2.9693000000000001</v>
      </c>
      <c r="E350">
        <v>3.2523</v>
      </c>
      <c r="F350">
        <v>3209979.24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-0.13016751191025083</v>
      </c>
      <c r="Q350">
        <f t="shared" si="970"/>
        <v>-417835.01095435792</v>
      </c>
      <c r="R350">
        <f t="shared" si="971"/>
        <v>17805036.940941699</v>
      </c>
      <c r="S350">
        <f t="shared" si="972"/>
        <v>178.05036940941699</v>
      </c>
      <c r="T350">
        <f t="shared" si="973"/>
        <v>0.17805036940941699</v>
      </c>
    </row>
    <row r="351" spans="1:20" x14ac:dyDescent="0.25">
      <c r="A351" s="5">
        <v>44242</v>
      </c>
      <c r="B351">
        <v>3.8250000000000002</v>
      </c>
      <c r="C351">
        <v>4.0999999999999996</v>
      </c>
      <c r="D351">
        <v>2.7776999999999998</v>
      </c>
      <c r="E351">
        <v>3.3077999999999999</v>
      </c>
      <c r="F351">
        <v>5423289.4199999999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-0.19821523103682961</v>
      </c>
      <c r="Q351">
        <f t="shared" si="970"/>
        <v>-1074978.5653648938</v>
      </c>
      <c r="R351">
        <f t="shared" si="971"/>
        <v>18222871.951896057</v>
      </c>
      <c r="S351">
        <f t="shared" si="972"/>
        <v>182.22871951896056</v>
      </c>
      <c r="T351">
        <f t="shared" si="973"/>
        <v>0.18222871951896055</v>
      </c>
    </row>
    <row r="352" spans="1:20" x14ac:dyDescent="0.25">
      <c r="A352" s="5">
        <v>44241</v>
      </c>
      <c r="B352">
        <v>3.3828999999999998</v>
      </c>
      <c r="C352">
        <v>4.7</v>
      </c>
      <c r="D352">
        <v>3.085</v>
      </c>
      <c r="E352">
        <v>3.8250000000000002</v>
      </c>
      <c r="F352">
        <v>21628442.030000001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-8.35913312693497E-2</v>
      </c>
      <c r="Q352">
        <f t="shared" si="970"/>
        <v>-1807950.2625696564</v>
      </c>
      <c r="R352">
        <f t="shared" si="971"/>
        <v>19297850.51726095</v>
      </c>
      <c r="S352">
        <f t="shared" si="972"/>
        <v>192.97850517260949</v>
      </c>
      <c r="T352">
        <f t="shared" si="973"/>
        <v>0.19297850517260948</v>
      </c>
    </row>
    <row r="353" spans="1:20" x14ac:dyDescent="0.25">
      <c r="A353" s="5">
        <v>44240</v>
      </c>
      <c r="B353">
        <v>2.4361000000000002</v>
      </c>
      <c r="C353">
        <v>3.6560000000000001</v>
      </c>
      <c r="D353">
        <v>2.3142999999999998</v>
      </c>
      <c r="E353">
        <v>3.3832</v>
      </c>
      <c r="F353">
        <v>7524066.2999999998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0.59335171796973973</v>
      </c>
      <c r="Q353">
        <f t="shared" si="970"/>
        <v>4464417.6652232232</v>
      </c>
      <c r="R353">
        <f t="shared" si="971"/>
        <v>21105800.779830605</v>
      </c>
      <c r="S353">
        <f t="shared" si="972"/>
        <v>211.05800779830605</v>
      </c>
      <c r="T353">
        <f t="shared" si="973"/>
        <v>0.21105800779830605</v>
      </c>
    </row>
    <row r="354" spans="1:20" x14ac:dyDescent="0.25">
      <c r="A354" s="5">
        <v>44239</v>
      </c>
      <c r="B354">
        <v>2.4213</v>
      </c>
      <c r="C354">
        <v>2.48</v>
      </c>
      <c r="D354">
        <v>2.2448999999999999</v>
      </c>
      <c r="E354">
        <v>2.4363000000000001</v>
      </c>
      <c r="F354">
        <v>2589440.9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0.62824330072309797</v>
      </c>
      <c r="Q354">
        <f t="shared" si="970"/>
        <v>1626798.8980433894</v>
      </c>
      <c r="R354">
        <f t="shared" si="971"/>
        <v>16641383.114607383</v>
      </c>
      <c r="S354">
        <f t="shared" si="972"/>
        <v>166.41383114607382</v>
      </c>
      <c r="T354">
        <f t="shared" si="973"/>
        <v>0.16641383114607383</v>
      </c>
    </row>
    <row r="355" spans="1:20" x14ac:dyDescent="0.25">
      <c r="A355" s="5">
        <v>44238</v>
      </c>
      <c r="B355">
        <v>2.2968999999999999</v>
      </c>
      <c r="C355">
        <v>2.61</v>
      </c>
      <c r="D355">
        <v>2.2345000000000002</v>
      </c>
      <c r="E355">
        <v>2.4214000000000002</v>
      </c>
      <c r="F355">
        <v>4756754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-4.5272969374156912E-3</v>
      </c>
      <c r="Q355">
        <f t="shared" si="970"/>
        <v>-21535.237816239838</v>
      </c>
      <c r="R355">
        <f t="shared" si="971"/>
        <v>15014584.216563992</v>
      </c>
      <c r="S355">
        <f t="shared" si="972"/>
        <v>150.14584216563992</v>
      </c>
      <c r="T355">
        <f t="shared" si="973"/>
        <v>0.15014584216563992</v>
      </c>
    </row>
    <row r="356" spans="1:20" x14ac:dyDescent="0.25">
      <c r="A356" s="5">
        <v>44237</v>
      </c>
      <c r="B356">
        <v>1.8692</v>
      </c>
      <c r="C356">
        <v>2.65</v>
      </c>
      <c r="D356">
        <v>1.8153999999999999</v>
      </c>
      <c r="E356">
        <v>2.3054999999999999</v>
      </c>
      <c r="F356">
        <v>9930430.0299999993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0.17445482866043607</v>
      </c>
      <c r="Q356">
        <f t="shared" si="970"/>
        <v>1732411.4694080988</v>
      </c>
      <c r="R356">
        <f t="shared" si="971"/>
        <v>15036119.454380233</v>
      </c>
      <c r="S356">
        <f t="shared" si="972"/>
        <v>150.36119454380233</v>
      </c>
      <c r="T356">
        <f t="shared" si="973"/>
        <v>0.15036119454380234</v>
      </c>
    </row>
    <row r="357" spans="1:20" x14ac:dyDescent="0.25">
      <c r="A357" s="5">
        <v>44236</v>
      </c>
      <c r="B357">
        <v>1.7494000000000001</v>
      </c>
      <c r="C357">
        <v>1.9202999999999999</v>
      </c>
      <c r="D357">
        <v>1.7041999999999999</v>
      </c>
      <c r="E357">
        <v>1.8666</v>
      </c>
      <c r="F357">
        <v>2188300.7000000002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0.50300786672836773</v>
      </c>
      <c r="Q357">
        <f t="shared" si="970"/>
        <v>1100732.4668671938</v>
      </c>
      <c r="R357">
        <f t="shared" si="971"/>
        <v>13303707.984972134</v>
      </c>
      <c r="S357">
        <f t="shared" si="972"/>
        <v>133.03707984972135</v>
      </c>
      <c r="T357">
        <f t="shared" si="973"/>
        <v>0.13303707984972135</v>
      </c>
    </row>
    <row r="358" spans="1:20" x14ac:dyDescent="0.25">
      <c r="A358" s="5">
        <v>44235</v>
      </c>
      <c r="B358">
        <v>1.5636000000000001</v>
      </c>
      <c r="C358">
        <v>1.85</v>
      </c>
      <c r="D358">
        <v>1.5</v>
      </c>
      <c r="E358">
        <v>1.7434000000000001</v>
      </c>
      <c r="F358">
        <v>2656579.02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0.39085714285714285</v>
      </c>
      <c r="Q358">
        <f t="shared" si="970"/>
        <v>1038342.8855314285</v>
      </c>
      <c r="R358">
        <f t="shared" si="971"/>
        <v>12202975.518104941</v>
      </c>
      <c r="S358">
        <f t="shared" si="972"/>
        <v>122.02975518104941</v>
      </c>
      <c r="T358">
        <f t="shared" si="973"/>
        <v>0.12202975518104942</v>
      </c>
    </row>
    <row r="359" spans="1:20" x14ac:dyDescent="0.25">
      <c r="A359" s="5">
        <v>44234</v>
      </c>
      <c r="B359">
        <v>1.6271</v>
      </c>
      <c r="C359">
        <v>1.6378999999999999</v>
      </c>
      <c r="D359">
        <v>1.474</v>
      </c>
      <c r="E359">
        <v>1.5638000000000001</v>
      </c>
      <c r="F359">
        <v>1512060.8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9.5790115924345789E-2</v>
      </c>
      <c r="Q359">
        <f t="shared" si="970"/>
        <v>144840.47931665904</v>
      </c>
      <c r="R359">
        <f t="shared" si="971"/>
        <v>11164632.632573511</v>
      </c>
      <c r="S359">
        <f t="shared" si="972"/>
        <v>111.64632632573512</v>
      </c>
      <c r="T359">
        <f t="shared" si="973"/>
        <v>0.11164632632573512</v>
      </c>
    </row>
    <row r="360" spans="1:20" x14ac:dyDescent="0.25">
      <c r="A360" s="5">
        <v>44233</v>
      </c>
      <c r="B360">
        <v>1.7853000000000001</v>
      </c>
      <c r="C360">
        <v>1.7922</v>
      </c>
      <c r="D360">
        <v>1.526</v>
      </c>
      <c r="E360">
        <v>1.6271</v>
      </c>
      <c r="F360">
        <v>2717984.48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-0.2404207362885051</v>
      </c>
      <c r="Q360">
        <f t="shared" si="970"/>
        <v>-653459.82990232971</v>
      </c>
      <c r="R360">
        <f t="shared" si="971"/>
        <v>11019792.153256852</v>
      </c>
      <c r="S360">
        <f t="shared" si="972"/>
        <v>110.19792153256853</v>
      </c>
      <c r="T360">
        <f t="shared" si="973"/>
        <v>0.11019792153256854</v>
      </c>
    </row>
    <row r="361" spans="1:20" x14ac:dyDescent="0.25">
      <c r="A361" s="5">
        <v>44232</v>
      </c>
      <c r="B361">
        <v>1.4159999999999999</v>
      </c>
      <c r="C361">
        <v>1.81</v>
      </c>
      <c r="D361">
        <v>1.4093</v>
      </c>
      <c r="E361">
        <v>1.7853000000000001</v>
      </c>
      <c r="F361">
        <v>4220291.67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0.87671574744197689</v>
      </c>
      <c r="Q361">
        <f t="shared" si="970"/>
        <v>3699996.1658871989</v>
      </c>
      <c r="R361">
        <f t="shared" si="971"/>
        <v>11673251.983159183</v>
      </c>
      <c r="S361">
        <f t="shared" si="972"/>
        <v>116.73251983159183</v>
      </c>
      <c r="T361">
        <f t="shared" si="973"/>
        <v>0.11673251983159183</v>
      </c>
    </row>
    <row r="362" spans="1:20" x14ac:dyDescent="0.25">
      <c r="A362" s="5">
        <v>44231</v>
      </c>
      <c r="B362">
        <v>1.5</v>
      </c>
      <c r="C362">
        <v>1.5044999999999999</v>
      </c>
      <c r="D362">
        <v>1.3622000000000001</v>
      </c>
      <c r="E362">
        <v>1.4158999999999999</v>
      </c>
      <c r="F362">
        <v>1227476.8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-0.24525650035137164</v>
      </c>
      <c r="Q362">
        <f t="shared" si="970"/>
        <v>-301046.66423050052</v>
      </c>
      <c r="R362">
        <f t="shared" si="971"/>
        <v>7973255.8172719833</v>
      </c>
      <c r="S362">
        <f t="shared" si="972"/>
        <v>79.732558172719834</v>
      </c>
      <c r="T362">
        <f t="shared" si="973"/>
        <v>7.9732558172719833E-2</v>
      </c>
    </row>
    <row r="363" spans="1:20" x14ac:dyDescent="0.25">
      <c r="A363" s="5">
        <v>44230</v>
      </c>
      <c r="B363">
        <v>1.4126000000000001</v>
      </c>
      <c r="C363">
        <v>1.5549999999999999</v>
      </c>
      <c r="D363">
        <v>1.381</v>
      </c>
      <c r="E363">
        <v>1.5</v>
      </c>
      <c r="F363">
        <v>1151300.74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0.36781609195402348</v>
      </c>
      <c r="Q363">
        <f t="shared" si="970"/>
        <v>423466.9388505753</v>
      </c>
      <c r="R363">
        <f t="shared" si="971"/>
        <v>8274302.4815024836</v>
      </c>
      <c r="S363">
        <f t="shared" si="972"/>
        <v>82.743024815024839</v>
      </c>
      <c r="T363">
        <f t="shared" si="973"/>
        <v>8.2743024815024838E-2</v>
      </c>
    </row>
    <row r="364" spans="1:20" x14ac:dyDescent="0.25">
      <c r="A364" s="5">
        <v>44229</v>
      </c>
      <c r="B364">
        <v>1.3876999999999999</v>
      </c>
      <c r="C364">
        <v>1.42</v>
      </c>
      <c r="D364">
        <v>1.3476999999999999</v>
      </c>
      <c r="E364">
        <v>1.4056</v>
      </c>
      <c r="F364">
        <v>1003170.23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0.60165975103734548</v>
      </c>
      <c r="Q364">
        <f t="shared" si="970"/>
        <v>603567.15082987654</v>
      </c>
      <c r="R364">
        <f t="shared" si="971"/>
        <v>7850835.5426519085</v>
      </c>
      <c r="S364">
        <f t="shared" si="972"/>
        <v>78.508355426519088</v>
      </c>
      <c r="T364">
        <f t="shared" si="973"/>
        <v>7.8508355426519086E-2</v>
      </c>
    </row>
    <row r="365" spans="1:20" x14ac:dyDescent="0.25">
      <c r="A365" s="5">
        <v>44228</v>
      </c>
      <c r="B365">
        <v>1.3223</v>
      </c>
      <c r="C365">
        <v>1.4541999999999999</v>
      </c>
      <c r="D365">
        <v>1.2670999999999999</v>
      </c>
      <c r="E365">
        <v>1.3875999999999999</v>
      </c>
      <c r="F365">
        <v>1538270.87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0.28808123997862128</v>
      </c>
      <c r="Q365">
        <f t="shared" si="970"/>
        <v>443146.97965259256</v>
      </c>
      <c r="R365">
        <f t="shared" si="971"/>
        <v>7247268.3918220317</v>
      </c>
      <c r="S365">
        <f t="shared" si="972"/>
        <v>72.472683918220312</v>
      </c>
      <c r="T365">
        <f t="shared" si="973"/>
        <v>7.2472683918220315E-2</v>
      </c>
    </row>
    <row r="366" spans="1:20" x14ac:dyDescent="0.25">
      <c r="A366" s="5">
        <v>44227</v>
      </c>
      <c r="B366">
        <v>1.3168</v>
      </c>
      <c r="C366">
        <v>1.3729</v>
      </c>
      <c r="D366">
        <v>1.25</v>
      </c>
      <c r="E366">
        <v>1.3222</v>
      </c>
      <c r="F366">
        <v>909619.12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0.17493897477624143</v>
      </c>
      <c r="Q366">
        <f t="shared" si="970"/>
        <v>159127.83628966691</v>
      </c>
      <c r="R366">
        <f t="shared" si="971"/>
        <v>6804121.4121694388</v>
      </c>
      <c r="S366">
        <f t="shared" si="972"/>
        <v>68.041214121694381</v>
      </c>
      <c r="T366">
        <f t="shared" si="973"/>
        <v>6.8041214121694379E-2</v>
      </c>
    </row>
    <row r="367" spans="1:20" x14ac:dyDescent="0.25">
      <c r="A367" s="5">
        <v>44226</v>
      </c>
      <c r="B367">
        <v>1.3272999999999999</v>
      </c>
      <c r="C367">
        <v>1.3372999999999999</v>
      </c>
      <c r="D367">
        <v>1.2726</v>
      </c>
      <c r="E367">
        <v>1.3189</v>
      </c>
      <c r="F367">
        <v>635151.04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0.43122102009273638</v>
      </c>
      <c r="Q367">
        <f t="shared" si="970"/>
        <v>273890.47938176244</v>
      </c>
      <c r="R367">
        <f t="shared" si="971"/>
        <v>6644993.5758797722</v>
      </c>
      <c r="S367">
        <f t="shared" si="972"/>
        <v>66.449935758797722</v>
      </c>
      <c r="T367">
        <f t="shared" si="973"/>
        <v>6.6449935758797721E-2</v>
      </c>
    </row>
    <row r="368" spans="1:20" x14ac:dyDescent="0.25">
      <c r="A368" s="5">
        <v>44225</v>
      </c>
      <c r="B368">
        <v>1.3179000000000001</v>
      </c>
      <c r="C368">
        <v>1.4135</v>
      </c>
      <c r="D368">
        <v>1.2831999999999999</v>
      </c>
      <c r="E368">
        <v>1.3234999999999999</v>
      </c>
      <c r="F368">
        <v>1349716.73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-0.38142747505755981</v>
      </c>
      <c r="Q368">
        <f t="shared" si="970"/>
        <v>-514819.04436684615</v>
      </c>
      <c r="R368">
        <f t="shared" si="971"/>
        <v>6371103.0964980097</v>
      </c>
      <c r="S368">
        <f t="shared" si="972"/>
        <v>63.711030964980097</v>
      </c>
      <c r="T368">
        <f t="shared" si="973"/>
        <v>6.3711030964980098E-2</v>
      </c>
    </row>
    <row r="369" spans="1:20" x14ac:dyDescent="0.25">
      <c r="A369" s="5">
        <v>44224</v>
      </c>
      <c r="B369">
        <v>1.2181999999999999</v>
      </c>
      <c r="C369">
        <v>1.3399000000000001</v>
      </c>
      <c r="D369">
        <v>1.2010000000000001</v>
      </c>
      <c r="E369">
        <v>1.3186</v>
      </c>
      <c r="F369">
        <v>636512.11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0.69330453563714767</v>
      </c>
      <c r="Q369">
        <f t="shared" si="970"/>
        <v>441296.73285097105</v>
      </c>
      <c r="R369">
        <f t="shared" si="971"/>
        <v>6885922.1408648556</v>
      </c>
      <c r="S369">
        <f t="shared" si="972"/>
        <v>68.859221408648551</v>
      </c>
      <c r="T369">
        <f t="shared" si="973"/>
        <v>6.8859221408648558E-2</v>
      </c>
    </row>
    <row r="370" spans="1:20" x14ac:dyDescent="0.25">
      <c r="A370" s="5">
        <v>44223</v>
      </c>
      <c r="B370">
        <v>1.3027</v>
      </c>
      <c r="C370">
        <v>1.3047</v>
      </c>
      <c r="D370">
        <v>1.1818</v>
      </c>
      <c r="E370">
        <v>1.2183999999999999</v>
      </c>
      <c r="F370">
        <v>537920.85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-0.40439381611065967</v>
      </c>
      <c r="Q370">
        <f t="shared" si="970"/>
        <v>-217531.86529698974</v>
      </c>
      <c r="R370">
        <f t="shared" si="971"/>
        <v>6444625.4080138849</v>
      </c>
      <c r="S370">
        <f t="shared" si="972"/>
        <v>64.446254080138843</v>
      </c>
      <c r="T370">
        <f t="shared" si="973"/>
        <v>6.4446254080138848E-2</v>
      </c>
    </row>
    <row r="371" spans="1:20" x14ac:dyDescent="0.25">
      <c r="A371" s="5">
        <v>44222</v>
      </c>
      <c r="B371">
        <v>1.325</v>
      </c>
      <c r="C371">
        <v>1.3358000000000001</v>
      </c>
      <c r="D371">
        <v>1.2385999999999999</v>
      </c>
      <c r="E371">
        <v>1.3026</v>
      </c>
      <c r="F371">
        <v>484609.76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0.31687242798353787</v>
      </c>
      <c r="Q371">
        <f t="shared" si="970"/>
        <v>153559.47127571958</v>
      </c>
      <c r="R371">
        <f t="shared" si="971"/>
        <v>6662157.2733108746</v>
      </c>
      <c r="S371">
        <f t="shared" si="972"/>
        <v>66.621572733108749</v>
      </c>
      <c r="T371">
        <f t="shared" si="973"/>
        <v>6.6621572733108744E-2</v>
      </c>
    </row>
    <row r="372" spans="1:20" x14ac:dyDescent="0.25">
      <c r="A372" s="5">
        <v>44221</v>
      </c>
      <c r="B372">
        <v>1.3575999999999999</v>
      </c>
      <c r="C372">
        <v>1.3914</v>
      </c>
      <c r="D372">
        <v>1.3065</v>
      </c>
      <c r="E372">
        <v>1.3250999999999999</v>
      </c>
      <c r="F372">
        <v>535232.55000000005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-0.5618374558303898</v>
      </c>
      <c r="Q372">
        <f t="shared" si="970"/>
        <v>-300713.6941696119</v>
      </c>
      <c r="R372">
        <f t="shared" si="971"/>
        <v>6508597.8020351548</v>
      </c>
      <c r="S372">
        <f t="shared" si="972"/>
        <v>65.085978020351547</v>
      </c>
      <c r="T372">
        <f t="shared" si="973"/>
        <v>6.5085978020351543E-2</v>
      </c>
    </row>
    <row r="373" spans="1:20" x14ac:dyDescent="0.25">
      <c r="A373" s="5">
        <v>44220</v>
      </c>
      <c r="B373">
        <v>1.3815999999999999</v>
      </c>
      <c r="C373">
        <v>1.4379999999999999</v>
      </c>
      <c r="D373">
        <v>1.3221000000000001</v>
      </c>
      <c r="E373">
        <v>1.3575999999999999</v>
      </c>
      <c r="F373">
        <v>660548.11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-0.38740293356341848</v>
      </c>
      <c r="Q373">
        <f t="shared" si="970"/>
        <v>-255898.27557377165</v>
      </c>
      <c r="R373">
        <f t="shared" si="971"/>
        <v>6809311.4962047664</v>
      </c>
      <c r="S373">
        <f t="shared" si="972"/>
        <v>68.093114962047665</v>
      </c>
      <c r="T373">
        <f t="shared" si="973"/>
        <v>6.809311496204766E-2</v>
      </c>
    </row>
    <row r="374" spans="1:20" x14ac:dyDescent="0.25">
      <c r="A374" s="5">
        <v>44219</v>
      </c>
      <c r="B374">
        <v>1.3483000000000001</v>
      </c>
      <c r="C374">
        <v>1.49</v>
      </c>
      <c r="D374">
        <v>1.2868999999999999</v>
      </c>
      <c r="E374">
        <v>1.3815</v>
      </c>
      <c r="F374">
        <v>1275794.28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-6.843919251600207E-2</v>
      </c>
      <c r="Q374">
        <f t="shared" si="970"/>
        <v>-87314.330339734253</v>
      </c>
      <c r="R374">
        <f t="shared" si="971"/>
        <v>7065209.7717785379</v>
      </c>
      <c r="S374">
        <f t="shared" si="972"/>
        <v>70.652097717785381</v>
      </c>
      <c r="T374">
        <f t="shared" si="973"/>
        <v>7.0652097717785384E-2</v>
      </c>
    </row>
    <row r="375" spans="1:20" x14ac:dyDescent="0.25">
      <c r="A375" s="5">
        <v>44218</v>
      </c>
      <c r="B375">
        <v>1.2679</v>
      </c>
      <c r="C375">
        <v>1.3888</v>
      </c>
      <c r="D375">
        <v>1.1826000000000001</v>
      </c>
      <c r="E375">
        <v>1.3464</v>
      </c>
      <c r="F375">
        <v>907186.27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0.58874878758486904</v>
      </c>
      <c r="Q375">
        <f t="shared" si="970"/>
        <v>534104.81657613965</v>
      </c>
      <c r="R375">
        <f t="shared" si="971"/>
        <v>7152524.1021182723</v>
      </c>
      <c r="S375">
        <f t="shared" si="972"/>
        <v>71.525241021182723</v>
      </c>
      <c r="T375">
        <f t="shared" si="973"/>
        <v>7.1525241021182726E-2</v>
      </c>
    </row>
    <row r="376" spans="1:20" x14ac:dyDescent="0.25">
      <c r="A376" s="5">
        <v>44217</v>
      </c>
      <c r="B376">
        <v>1.5045999999999999</v>
      </c>
      <c r="C376">
        <v>1.53</v>
      </c>
      <c r="D376">
        <v>1.2616000000000001</v>
      </c>
      <c r="E376">
        <v>1.2719</v>
      </c>
      <c r="F376">
        <v>1302096.2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-0.92324888226527591</v>
      </c>
      <c r="Q376">
        <f t="shared" si="970"/>
        <v>-1202158.8612518632</v>
      </c>
      <c r="R376">
        <f t="shared" si="971"/>
        <v>6618419.2855421323</v>
      </c>
      <c r="S376">
        <f t="shared" si="972"/>
        <v>66.18419285542133</v>
      </c>
      <c r="T376">
        <f t="shared" si="973"/>
        <v>6.6184192855421334E-2</v>
      </c>
    </row>
    <row r="377" spans="1:20" x14ac:dyDescent="0.25">
      <c r="A377" s="5">
        <v>44216</v>
      </c>
      <c r="B377">
        <v>1.3819999999999999</v>
      </c>
      <c r="C377">
        <v>1.528</v>
      </c>
      <c r="D377">
        <v>1.323</v>
      </c>
      <c r="E377">
        <v>1.5034000000000001</v>
      </c>
      <c r="F377">
        <v>2002872.47</v>
      </c>
      <c r="G377">
        <v>0</v>
      </c>
      <c r="L377" t="s">
        <v>8</v>
      </c>
      <c r="M377" t="s">
        <v>8</v>
      </c>
      <c r="N377" t="s">
        <v>7</v>
      </c>
      <c r="P377">
        <f t="shared" si="969"/>
        <v>0.76000000000000056</v>
      </c>
      <c r="Q377">
        <f t="shared" si="970"/>
        <v>1522183.0772000011</v>
      </c>
      <c r="R377">
        <f t="shared" si="971"/>
        <v>7820578.1467939951</v>
      </c>
      <c r="S377">
        <f t="shared" si="972"/>
        <v>78.205781467939957</v>
      </c>
      <c r="T377">
        <f t="shared" si="973"/>
        <v>7.8205781467939953E-2</v>
      </c>
    </row>
    <row r="378" spans="1:20" x14ac:dyDescent="0.25">
      <c r="A378" s="5">
        <v>44215</v>
      </c>
      <c r="B378">
        <v>1.4357</v>
      </c>
      <c r="C378">
        <v>1.4592000000000001</v>
      </c>
      <c r="D378">
        <v>1.3657999999999999</v>
      </c>
      <c r="E378">
        <v>1.3819999999999999</v>
      </c>
      <c r="F378">
        <v>741493.82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-0.6531049250535339</v>
      </c>
      <c r="Q378">
        <f t="shared" si="970"/>
        <v>-484273.26573875855</v>
      </c>
      <c r="R378">
        <f t="shared" si="971"/>
        <v>6298395.0695939939</v>
      </c>
      <c r="S378">
        <f t="shared" si="972"/>
        <v>62.983950695939939</v>
      </c>
      <c r="T378">
        <f t="shared" si="973"/>
        <v>6.2983950695939941E-2</v>
      </c>
    </row>
    <row r="379" spans="1:20" x14ac:dyDescent="0.25">
      <c r="A379" s="5">
        <v>44214</v>
      </c>
      <c r="B379">
        <v>1.3993</v>
      </c>
      <c r="C379">
        <v>1.44</v>
      </c>
      <c r="D379">
        <v>1.3234999999999999</v>
      </c>
      <c r="E379">
        <v>1.4357</v>
      </c>
      <c r="F379">
        <v>685949.06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0.92618025751073019</v>
      </c>
      <c r="Q379">
        <f t="shared" si="970"/>
        <v>635312.47703004337</v>
      </c>
      <c r="R379">
        <f t="shared" si="971"/>
        <v>6782668.3353327522</v>
      </c>
      <c r="S379">
        <f t="shared" si="972"/>
        <v>67.826683353327525</v>
      </c>
      <c r="T379">
        <f t="shared" si="973"/>
        <v>6.7826683353327519E-2</v>
      </c>
    </row>
    <row r="380" spans="1:20" x14ac:dyDescent="0.25">
      <c r="A380" s="5">
        <v>44213</v>
      </c>
      <c r="B380">
        <v>1.3704000000000001</v>
      </c>
      <c r="C380">
        <v>1.4337</v>
      </c>
      <c r="D380">
        <v>1.2818000000000001</v>
      </c>
      <c r="E380">
        <v>1.3947000000000001</v>
      </c>
      <c r="F380">
        <v>862210.04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0.48650427913100797</v>
      </c>
      <c r="Q380">
        <f t="shared" si="970"/>
        <v>419468.87396971753</v>
      </c>
      <c r="R380">
        <f t="shared" si="971"/>
        <v>6147355.8583027087</v>
      </c>
      <c r="S380">
        <f t="shared" si="972"/>
        <v>61.473558583027085</v>
      </c>
      <c r="T380">
        <f t="shared" si="973"/>
        <v>6.1473558583027083E-2</v>
      </c>
    </row>
    <row r="381" spans="1:20" x14ac:dyDescent="0.25">
      <c r="A381" s="5">
        <v>44212</v>
      </c>
      <c r="B381">
        <v>1.3061</v>
      </c>
      <c r="C381">
        <v>1.4107000000000001</v>
      </c>
      <c r="D381">
        <v>1.3006</v>
      </c>
      <c r="E381">
        <v>1.3704000000000001</v>
      </c>
      <c r="F381">
        <v>814307.49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0.26793823796548644</v>
      </c>
      <c r="Q381">
        <f t="shared" si="970"/>
        <v>218184.11403269795</v>
      </c>
      <c r="R381">
        <f t="shared" si="971"/>
        <v>5727886.9843329908</v>
      </c>
      <c r="S381">
        <f t="shared" si="972"/>
        <v>57.278869843329907</v>
      </c>
      <c r="T381">
        <f t="shared" si="973"/>
        <v>5.7278869843329909E-2</v>
      </c>
    </row>
    <row r="382" spans="1:20" x14ac:dyDescent="0.25">
      <c r="A382" s="5">
        <v>44211</v>
      </c>
      <c r="B382">
        <v>1.3698999999999999</v>
      </c>
      <c r="C382">
        <v>1.3858999999999999</v>
      </c>
      <c r="D382">
        <v>1.2250000000000001</v>
      </c>
      <c r="E382">
        <v>1.3005</v>
      </c>
      <c r="F382">
        <v>673315.13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-6.1528899937849789E-2</v>
      </c>
      <c r="Q382">
        <f t="shared" si="970"/>
        <v>-41428.339260410321</v>
      </c>
      <c r="R382">
        <f t="shared" si="971"/>
        <v>5509702.870300293</v>
      </c>
      <c r="S382">
        <f t="shared" si="972"/>
        <v>55.097028703002927</v>
      </c>
      <c r="T382">
        <f t="shared" si="973"/>
        <v>5.5097028703002926E-2</v>
      </c>
    </row>
    <row r="383" spans="1:20" x14ac:dyDescent="0.25">
      <c r="A383" s="5">
        <v>44210</v>
      </c>
      <c r="B383">
        <v>1.3521000000000001</v>
      </c>
      <c r="C383">
        <v>1.4326000000000001</v>
      </c>
      <c r="D383">
        <v>1.3</v>
      </c>
      <c r="E383">
        <v>1.3694999999999999</v>
      </c>
      <c r="F383">
        <v>694065.62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4.826546003016393E-2</v>
      </c>
      <c r="Q383">
        <f t="shared" si="970"/>
        <v>33499.396440420947</v>
      </c>
      <c r="R383">
        <f t="shared" si="971"/>
        <v>5551131.2095607035</v>
      </c>
      <c r="S383">
        <f t="shared" si="972"/>
        <v>55.511312095607032</v>
      </c>
      <c r="T383">
        <f t="shared" si="973"/>
        <v>5.5511312095607029E-2</v>
      </c>
    </row>
    <row r="384" spans="1:20" x14ac:dyDescent="0.25">
      <c r="A384" s="5">
        <v>44209</v>
      </c>
      <c r="B384">
        <v>1.2556</v>
      </c>
      <c r="C384">
        <v>1.3879999999999999</v>
      </c>
      <c r="D384">
        <v>1.1920999999999999</v>
      </c>
      <c r="E384">
        <v>1.3561000000000001</v>
      </c>
      <c r="F384">
        <v>679529.86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0.67432363450740351</v>
      </c>
      <c r="Q384">
        <f t="shared" si="970"/>
        <v>458223.04495150706</v>
      </c>
      <c r="R384">
        <f t="shared" si="971"/>
        <v>5517631.8131202823</v>
      </c>
      <c r="S384">
        <f t="shared" si="972"/>
        <v>55.176318131202819</v>
      </c>
      <c r="T384">
        <f t="shared" si="973"/>
        <v>5.5176318131202821E-2</v>
      </c>
    </row>
    <row r="385" spans="1:20" x14ac:dyDescent="0.25">
      <c r="A385" s="5">
        <v>44208</v>
      </c>
      <c r="B385">
        <v>1.2439</v>
      </c>
      <c r="C385">
        <v>1.31</v>
      </c>
      <c r="D385">
        <v>1.1740999999999999</v>
      </c>
      <c r="E385">
        <v>1.2617</v>
      </c>
      <c r="F385">
        <v>682757.33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0.28918322295805793</v>
      </c>
      <c r="Q385">
        <f t="shared" si="970"/>
        <v>197441.96518763833</v>
      </c>
      <c r="R385">
        <f t="shared" si="971"/>
        <v>5059408.7681687754</v>
      </c>
      <c r="S385">
        <f t="shared" si="972"/>
        <v>50.594087681687753</v>
      </c>
      <c r="T385">
        <f t="shared" si="973"/>
        <v>5.0594087681687751E-2</v>
      </c>
    </row>
    <row r="386" spans="1:20" x14ac:dyDescent="0.25">
      <c r="A386" s="5">
        <v>44207</v>
      </c>
      <c r="B386">
        <v>1.4302999999999999</v>
      </c>
      <c r="C386">
        <v>1.4395</v>
      </c>
      <c r="D386">
        <v>1.1528</v>
      </c>
      <c r="E386">
        <v>1.2439</v>
      </c>
      <c r="F386">
        <v>1077134.83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-0.36449250087199181</v>
      </c>
      <c r="Q386">
        <f t="shared" si="970"/>
        <v>-392607.5679630278</v>
      </c>
      <c r="R386">
        <f t="shared" si="971"/>
        <v>4861966.8029811373</v>
      </c>
      <c r="S386">
        <f t="shared" si="972"/>
        <v>48.619668029811372</v>
      </c>
      <c r="T386">
        <f t="shared" si="973"/>
        <v>4.8619668029811373E-2</v>
      </c>
    </row>
    <row r="387" spans="1:20" x14ac:dyDescent="0.25">
      <c r="A387" s="5">
        <v>44206</v>
      </c>
      <c r="B387">
        <v>1.4581999999999999</v>
      </c>
      <c r="C387">
        <v>1.5919000000000001</v>
      </c>
      <c r="D387">
        <v>1.2825</v>
      </c>
      <c r="E387">
        <v>1.4305000000000001</v>
      </c>
      <c r="F387">
        <v>2344566.9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-4.3309631544925183E-2</v>
      </c>
      <c r="Q387">
        <f t="shared" si="970"/>
        <v>-101542.32857142744</v>
      </c>
      <c r="R387">
        <f t="shared" si="971"/>
        <v>5254574.3709441647</v>
      </c>
      <c r="S387">
        <f t="shared" si="972"/>
        <v>52.545743709441645</v>
      </c>
      <c r="T387">
        <f t="shared" si="973"/>
        <v>5.2545743709441643E-2</v>
      </c>
    </row>
    <row r="388" spans="1:20" x14ac:dyDescent="0.25">
      <c r="A388" s="5">
        <v>44205</v>
      </c>
      <c r="B388">
        <v>1.3317000000000001</v>
      </c>
      <c r="C388">
        <v>1.6298999999999999</v>
      </c>
      <c r="D388">
        <v>1.2774000000000001</v>
      </c>
      <c r="E388">
        <v>1.4581999999999999</v>
      </c>
      <c r="F388">
        <v>2146985.5299999998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2.5815602836879122E-2</v>
      </c>
      <c r="Q388">
        <f t="shared" si="970"/>
        <v>55425.725739006419</v>
      </c>
      <c r="R388">
        <f t="shared" si="971"/>
        <v>5356116.6995155923</v>
      </c>
      <c r="S388">
        <f t="shared" si="972"/>
        <v>53.561166995155922</v>
      </c>
      <c r="T388">
        <f t="shared" si="973"/>
        <v>5.3561166995155923E-2</v>
      </c>
    </row>
    <row r="389" spans="1:20" x14ac:dyDescent="0.25">
      <c r="A389" s="5">
        <v>44204</v>
      </c>
      <c r="B389">
        <v>1.3508</v>
      </c>
      <c r="C389">
        <v>1.375</v>
      </c>
      <c r="D389">
        <v>1.2032</v>
      </c>
      <c r="E389">
        <v>1.3317000000000001</v>
      </c>
      <c r="F389">
        <v>942809.18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0.4959254947613515</v>
      </c>
      <c r="Q389">
        <f t="shared" si="970"/>
        <v>467563.10905704414</v>
      </c>
      <c r="R389">
        <f t="shared" si="971"/>
        <v>5300690.9737765864</v>
      </c>
      <c r="S389">
        <f t="shared" si="972"/>
        <v>53.006909737765866</v>
      </c>
      <c r="T389">
        <f t="shared" si="973"/>
        <v>5.3006909737765867E-2</v>
      </c>
    </row>
    <row r="390" spans="1:20" x14ac:dyDescent="0.25">
      <c r="A390" s="5">
        <v>44203</v>
      </c>
      <c r="B390">
        <v>1.375</v>
      </c>
      <c r="C390">
        <v>1.46</v>
      </c>
      <c r="D390">
        <v>1.2751999999999999</v>
      </c>
      <c r="E390">
        <v>1.3464</v>
      </c>
      <c r="F390">
        <v>1579453.84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-0.22943722943722811</v>
      </c>
      <c r="Q390">
        <f t="shared" ref="Q390:Q453" si="975">F390*P390</f>
        <v>-362385.51307359099</v>
      </c>
      <c r="R390">
        <f t="shared" ref="R390:R453" si="976">R391+Q390</f>
        <v>4833127.8647195427</v>
      </c>
      <c r="S390">
        <f t="shared" ref="S390:S453" si="977">R390/100000</f>
        <v>48.331278647195425</v>
      </c>
      <c r="T390">
        <f t="shared" ref="T390:T453" si="978">S390/1000</f>
        <v>4.8331278647195428E-2</v>
      </c>
    </row>
    <row r="391" spans="1:20" x14ac:dyDescent="0.25">
      <c r="A391" s="5">
        <v>44202</v>
      </c>
      <c r="B391">
        <v>1.2282</v>
      </c>
      <c r="C391">
        <v>1.3797999999999999</v>
      </c>
      <c r="D391">
        <v>1.1931</v>
      </c>
      <c r="E391">
        <v>1.3705000000000001</v>
      </c>
      <c r="F391">
        <v>853469.18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0.90037493304767147</v>
      </c>
      <c r="Q391">
        <f t="shared" si="975"/>
        <v>768442.25580075115</v>
      </c>
      <c r="R391">
        <f t="shared" si="976"/>
        <v>5195513.3777931333</v>
      </c>
      <c r="S391">
        <f t="shared" si="977"/>
        <v>51.95513377793133</v>
      </c>
      <c r="T391">
        <f t="shared" si="978"/>
        <v>5.1955133777931331E-2</v>
      </c>
    </row>
    <row r="392" spans="1:20" x14ac:dyDescent="0.25">
      <c r="A392" s="5">
        <v>44201</v>
      </c>
      <c r="B392">
        <v>1.2088000000000001</v>
      </c>
      <c r="C392">
        <v>1.2362</v>
      </c>
      <c r="D392">
        <v>1.1431</v>
      </c>
      <c r="E392">
        <v>1.2282</v>
      </c>
      <c r="F392">
        <v>418540.98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0.82814178302900088</v>
      </c>
      <c r="Q392">
        <f t="shared" si="975"/>
        <v>346611.27344790538</v>
      </c>
      <c r="R392">
        <f t="shared" si="976"/>
        <v>4427071.1219923822</v>
      </c>
      <c r="S392">
        <f t="shared" si="977"/>
        <v>44.270711219923825</v>
      </c>
      <c r="T392">
        <f t="shared" si="978"/>
        <v>4.4270711219923826E-2</v>
      </c>
    </row>
    <row r="393" spans="1:20" x14ac:dyDescent="0.25">
      <c r="A393" s="5">
        <v>44200</v>
      </c>
      <c r="B393">
        <v>1.248</v>
      </c>
      <c r="C393">
        <v>1.294</v>
      </c>
      <c r="D393">
        <v>1.1100000000000001</v>
      </c>
      <c r="E393">
        <v>1.2041999999999999</v>
      </c>
      <c r="F393">
        <v>855546.27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2.3913043478259451E-2</v>
      </c>
      <c r="Q393">
        <f t="shared" si="975"/>
        <v>20458.715152172699</v>
      </c>
      <c r="R393">
        <f t="shared" si="976"/>
        <v>4080459.848544477</v>
      </c>
      <c r="S393">
        <f t="shared" si="977"/>
        <v>40.804598485444771</v>
      </c>
      <c r="T393">
        <f t="shared" si="978"/>
        <v>4.0804598485444772E-2</v>
      </c>
    </row>
    <row r="394" spans="1:20" x14ac:dyDescent="0.25">
      <c r="A394" s="5">
        <v>44199</v>
      </c>
      <c r="B394">
        <v>1.1580999999999999</v>
      </c>
      <c r="C394">
        <v>1.2552000000000001</v>
      </c>
      <c r="D394">
        <v>1.099</v>
      </c>
      <c r="E394">
        <v>1.244</v>
      </c>
      <c r="F394">
        <v>650444.80000000005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0.85659411011523567</v>
      </c>
      <c r="Q394">
        <f t="shared" si="975"/>
        <v>557167.18463508249</v>
      </c>
      <c r="R394">
        <f t="shared" si="976"/>
        <v>4060001.1333923042</v>
      </c>
      <c r="S394">
        <f t="shared" si="977"/>
        <v>40.600011333923042</v>
      </c>
      <c r="T394">
        <f t="shared" si="978"/>
        <v>4.060001133392304E-2</v>
      </c>
    </row>
    <row r="395" spans="1:20" x14ac:dyDescent="0.25">
      <c r="A395" s="5">
        <v>44198</v>
      </c>
      <c r="B395">
        <v>1.149</v>
      </c>
      <c r="C395">
        <v>1.2</v>
      </c>
      <c r="D395">
        <v>1.1212</v>
      </c>
      <c r="E395">
        <v>1.1566000000000001</v>
      </c>
      <c r="F395">
        <v>262683.31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-0.1015228426395912</v>
      </c>
      <c r="Q395">
        <f t="shared" si="975"/>
        <v>-26668.356345176955</v>
      </c>
      <c r="R395">
        <f t="shared" si="976"/>
        <v>3502833.9487572215</v>
      </c>
      <c r="S395">
        <f t="shared" si="977"/>
        <v>35.028339487572218</v>
      </c>
      <c r="T395">
        <f t="shared" si="978"/>
        <v>3.5028339487572217E-2</v>
      </c>
    </row>
    <row r="396" spans="1:20" x14ac:dyDescent="0.25">
      <c r="A396" s="5">
        <v>44197</v>
      </c>
      <c r="B396">
        <v>1.1469</v>
      </c>
      <c r="C396">
        <v>1.1916</v>
      </c>
      <c r="D396">
        <v>1.1245000000000001</v>
      </c>
      <c r="E396">
        <v>1.1439999999999999</v>
      </c>
      <c r="F396">
        <v>183971.87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-0.41877794336811119</v>
      </c>
      <c r="Q396">
        <f t="shared" si="975"/>
        <v>-77043.361356185516</v>
      </c>
      <c r="R396">
        <f t="shared" si="976"/>
        <v>3529502.3051023986</v>
      </c>
      <c r="S396">
        <f t="shared" si="977"/>
        <v>35.295023051023989</v>
      </c>
      <c r="T396">
        <f t="shared" si="978"/>
        <v>3.5295023051023992E-2</v>
      </c>
    </row>
    <row r="397" spans="1:20" x14ac:dyDescent="0.25">
      <c r="A397" s="5">
        <v>44196</v>
      </c>
      <c r="B397">
        <v>1.1581999999999999</v>
      </c>
      <c r="C397">
        <v>1.1740999999999999</v>
      </c>
      <c r="D397">
        <v>1.1091</v>
      </c>
      <c r="E397">
        <v>1.1508</v>
      </c>
      <c r="F397">
        <v>133422.59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0.28307692307692628</v>
      </c>
      <c r="Q397">
        <f t="shared" si="975"/>
        <v>37768.856246154275</v>
      </c>
      <c r="R397">
        <f t="shared" si="976"/>
        <v>3606545.6664585844</v>
      </c>
      <c r="S397">
        <f t="shared" si="977"/>
        <v>36.065456664585845</v>
      </c>
      <c r="T397">
        <f t="shared" si="978"/>
        <v>3.6065456664585847E-2</v>
      </c>
    </row>
    <row r="398" spans="1:20" x14ac:dyDescent="0.25">
      <c r="A398" s="5">
        <v>44195</v>
      </c>
      <c r="B398">
        <v>1.1536999999999999</v>
      </c>
      <c r="C398">
        <v>1.1656</v>
      </c>
      <c r="D398">
        <v>1.1114999999999999</v>
      </c>
      <c r="E398">
        <v>1.1571</v>
      </c>
      <c r="F398">
        <v>144886.26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0.6857670979667303</v>
      </c>
      <c r="Q398">
        <f t="shared" si="975"/>
        <v>99358.230055453168</v>
      </c>
      <c r="R398">
        <f t="shared" si="976"/>
        <v>3568776.8102124301</v>
      </c>
      <c r="S398">
        <f t="shared" si="977"/>
        <v>35.687768102124302</v>
      </c>
      <c r="T398">
        <f t="shared" si="978"/>
        <v>3.5687768102124304E-2</v>
      </c>
    </row>
    <row r="399" spans="1:20" x14ac:dyDescent="0.25">
      <c r="A399" s="5">
        <v>44194</v>
      </c>
      <c r="B399">
        <v>1.1995</v>
      </c>
      <c r="C399">
        <v>1.206</v>
      </c>
      <c r="D399">
        <v>1.05</v>
      </c>
      <c r="E399">
        <v>1.1525000000000001</v>
      </c>
      <c r="F399">
        <v>301357.27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0.31410256410256526</v>
      </c>
      <c r="Q399">
        <f t="shared" si="975"/>
        <v>94657.09121794907</v>
      </c>
      <c r="R399">
        <f t="shared" si="976"/>
        <v>3469418.5801569768</v>
      </c>
      <c r="S399">
        <f t="shared" si="977"/>
        <v>34.694185801569766</v>
      </c>
      <c r="T399">
        <f t="shared" si="978"/>
        <v>3.4694185801569764E-2</v>
      </c>
    </row>
    <row r="400" spans="1:20" x14ac:dyDescent="0.25">
      <c r="A400" s="5">
        <v>44193</v>
      </c>
      <c r="B400">
        <v>1.1936</v>
      </c>
      <c r="C400">
        <v>1.2281</v>
      </c>
      <c r="D400">
        <v>1.18</v>
      </c>
      <c r="E400">
        <v>1.1994</v>
      </c>
      <c r="F400">
        <v>277743.63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-0.19334719334719039</v>
      </c>
      <c r="Q400">
        <f t="shared" si="975"/>
        <v>-53700.951330560507</v>
      </c>
      <c r="R400">
        <f t="shared" si="976"/>
        <v>3374761.4889390278</v>
      </c>
      <c r="S400">
        <f t="shared" si="977"/>
        <v>33.747614889390277</v>
      </c>
      <c r="T400">
        <f t="shared" si="978"/>
        <v>3.3747614889390279E-2</v>
      </c>
    </row>
    <row r="401" spans="1:20" x14ac:dyDescent="0.25">
      <c r="A401" s="5">
        <v>44192</v>
      </c>
      <c r="B401">
        <v>1.1998</v>
      </c>
      <c r="C401">
        <v>1.29</v>
      </c>
      <c r="D401">
        <v>1.1323000000000001</v>
      </c>
      <c r="E401">
        <v>1.1906000000000001</v>
      </c>
      <c r="F401">
        <v>337222.92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-0.26062143310082386</v>
      </c>
      <c r="Q401">
        <f t="shared" si="975"/>
        <v>-87887.52068484448</v>
      </c>
      <c r="R401">
        <f t="shared" si="976"/>
        <v>3428462.4402695885</v>
      </c>
      <c r="S401">
        <f t="shared" si="977"/>
        <v>34.284624402695883</v>
      </c>
      <c r="T401">
        <f t="shared" si="978"/>
        <v>3.4284624402695883E-2</v>
      </c>
    </row>
    <row r="402" spans="1:20" x14ac:dyDescent="0.25">
      <c r="A402" s="5">
        <v>44191</v>
      </c>
      <c r="B402">
        <v>1.2096</v>
      </c>
      <c r="C402">
        <v>1.2949999999999999</v>
      </c>
      <c r="D402">
        <v>1.1761999999999999</v>
      </c>
      <c r="E402">
        <v>1.2</v>
      </c>
      <c r="F402">
        <v>313387.25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-0.59932659932659871</v>
      </c>
      <c r="Q402">
        <f t="shared" si="975"/>
        <v>-187821.31481481463</v>
      </c>
      <c r="R402">
        <f t="shared" si="976"/>
        <v>3516349.9609544328</v>
      </c>
      <c r="S402">
        <f t="shared" si="977"/>
        <v>35.163499609544331</v>
      </c>
      <c r="T402">
        <f t="shared" si="978"/>
        <v>3.5163499609544333E-2</v>
      </c>
    </row>
    <row r="403" spans="1:20" x14ac:dyDescent="0.25">
      <c r="A403" s="5">
        <v>44190</v>
      </c>
      <c r="B403">
        <v>1.2053</v>
      </c>
      <c r="C403">
        <v>1.2982</v>
      </c>
      <c r="D403">
        <v>1.1641999999999999</v>
      </c>
      <c r="E403">
        <v>1.2128000000000001</v>
      </c>
      <c r="F403">
        <v>236127.34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-0.27462686567163946</v>
      </c>
      <c r="Q403">
        <f t="shared" si="975"/>
        <v>-64846.911283581539</v>
      </c>
      <c r="R403">
        <f t="shared" si="976"/>
        <v>3704171.2757692477</v>
      </c>
      <c r="S403">
        <f t="shared" si="977"/>
        <v>37.04171275769248</v>
      </c>
      <c r="T403">
        <f t="shared" si="978"/>
        <v>3.7041712757692483E-2</v>
      </c>
    </row>
    <row r="404" spans="1:20" x14ac:dyDescent="0.25">
      <c r="A404" s="5">
        <v>44189</v>
      </c>
      <c r="B404">
        <v>1.1081000000000001</v>
      </c>
      <c r="C404">
        <v>1.21</v>
      </c>
      <c r="D404">
        <v>1.0892999999999999</v>
      </c>
      <c r="E404">
        <v>1.21</v>
      </c>
      <c r="F404">
        <v>278250.74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1</v>
      </c>
      <c r="Q404">
        <f t="shared" si="975"/>
        <v>278250.74</v>
      </c>
      <c r="R404">
        <f t="shared" si="976"/>
        <v>3769018.1870528292</v>
      </c>
      <c r="S404">
        <f t="shared" si="977"/>
        <v>37.690181870528292</v>
      </c>
      <c r="T404">
        <f t="shared" si="978"/>
        <v>3.7690181870528291E-2</v>
      </c>
    </row>
    <row r="405" spans="1:20" x14ac:dyDescent="0.25">
      <c r="A405" s="5">
        <v>44188</v>
      </c>
      <c r="B405">
        <v>1.2946</v>
      </c>
      <c r="C405">
        <v>1.2985</v>
      </c>
      <c r="D405">
        <v>1.0748</v>
      </c>
      <c r="E405">
        <v>1.1080000000000001</v>
      </c>
      <c r="F405">
        <v>378287.56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-0.70317389360750904</v>
      </c>
      <c r="Q405">
        <f t="shared" si="975"/>
        <v>-266001.93646848417</v>
      </c>
      <c r="R405">
        <f t="shared" si="976"/>
        <v>3490767.447052829</v>
      </c>
      <c r="S405">
        <f t="shared" si="977"/>
        <v>34.907674470528292</v>
      </c>
      <c r="T405">
        <f t="shared" si="978"/>
        <v>3.490767447052829E-2</v>
      </c>
    </row>
    <row r="406" spans="1:20" x14ac:dyDescent="0.25">
      <c r="A406" s="5">
        <v>44187</v>
      </c>
      <c r="B406">
        <v>1.2716000000000001</v>
      </c>
      <c r="C406">
        <v>1.3262</v>
      </c>
      <c r="D406">
        <v>1.2112000000000001</v>
      </c>
      <c r="E406">
        <v>1.2875000000000001</v>
      </c>
      <c r="F406">
        <v>159062.10999999999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0.32695652173913115</v>
      </c>
      <c r="Q406">
        <f t="shared" si="975"/>
        <v>52006.394226087068</v>
      </c>
      <c r="R406">
        <f t="shared" si="976"/>
        <v>3756769.3835213133</v>
      </c>
      <c r="S406">
        <f t="shared" si="977"/>
        <v>37.567693835213134</v>
      </c>
      <c r="T406">
        <f t="shared" si="978"/>
        <v>3.7567693835213134E-2</v>
      </c>
    </row>
    <row r="407" spans="1:20" x14ac:dyDescent="0.25">
      <c r="A407" s="5">
        <v>44186</v>
      </c>
      <c r="B407">
        <v>1.3534999999999999</v>
      </c>
      <c r="C407">
        <v>1.4025000000000001</v>
      </c>
      <c r="D407">
        <v>1.2304999999999999</v>
      </c>
      <c r="E407">
        <v>1.2796000000000001</v>
      </c>
      <c r="F407">
        <v>255141.31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-0.42906976744185932</v>
      </c>
      <c r="Q407">
        <f t="shared" si="975"/>
        <v>-109473.42254651134</v>
      </c>
      <c r="R407">
        <f t="shared" si="976"/>
        <v>3704762.9892952261</v>
      </c>
      <c r="S407">
        <f t="shared" si="977"/>
        <v>37.047629892952259</v>
      </c>
      <c r="T407">
        <f t="shared" si="978"/>
        <v>3.7047629892952259E-2</v>
      </c>
    </row>
    <row r="408" spans="1:20" x14ac:dyDescent="0.25">
      <c r="A408" s="5">
        <v>44185</v>
      </c>
      <c r="B408">
        <v>1.3925000000000001</v>
      </c>
      <c r="C408">
        <v>1.4258999999999999</v>
      </c>
      <c r="D408">
        <v>1.3209</v>
      </c>
      <c r="E408">
        <v>1.3534999999999999</v>
      </c>
      <c r="F408">
        <v>323415.59000000003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-0.37904761904761963</v>
      </c>
      <c r="Q408">
        <f t="shared" si="975"/>
        <v>-122589.90935238115</v>
      </c>
      <c r="R408">
        <f t="shared" si="976"/>
        <v>3814236.4118417376</v>
      </c>
      <c r="S408">
        <f t="shared" si="977"/>
        <v>38.142364118417376</v>
      </c>
      <c r="T408">
        <f t="shared" si="978"/>
        <v>3.8142364118417378E-2</v>
      </c>
    </row>
    <row r="409" spans="1:20" x14ac:dyDescent="0.25">
      <c r="A409" s="5">
        <v>44184</v>
      </c>
      <c r="B409">
        <v>1.3694</v>
      </c>
      <c r="C409">
        <v>1.5003</v>
      </c>
      <c r="D409">
        <v>1.3611</v>
      </c>
      <c r="E409">
        <v>1.4020999999999999</v>
      </c>
      <c r="F409">
        <v>669901.34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-0.41091954022988608</v>
      </c>
      <c r="Q409">
        <f t="shared" si="975"/>
        <v>-275275.5506321846</v>
      </c>
      <c r="R409">
        <f t="shared" si="976"/>
        <v>3936826.3211941188</v>
      </c>
      <c r="S409">
        <f t="shared" si="977"/>
        <v>39.368263211941191</v>
      </c>
      <c r="T409">
        <f t="shared" si="978"/>
        <v>3.9368263211941187E-2</v>
      </c>
    </row>
    <row r="410" spans="1:20" x14ac:dyDescent="0.25">
      <c r="A410" s="5">
        <v>44183</v>
      </c>
      <c r="B410">
        <v>1.3064</v>
      </c>
      <c r="C410">
        <v>1.41</v>
      </c>
      <c r="D410">
        <v>1.2822</v>
      </c>
      <c r="E410">
        <v>1.3644000000000001</v>
      </c>
      <c r="F410">
        <v>358817.13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0.28638497652582329</v>
      </c>
      <c r="Q410">
        <f t="shared" si="975"/>
        <v>102759.83535211328</v>
      </c>
      <c r="R410">
        <f t="shared" si="976"/>
        <v>4212101.8718263032</v>
      </c>
      <c r="S410">
        <f t="shared" si="977"/>
        <v>42.121018718263031</v>
      </c>
      <c r="T410">
        <f t="shared" si="978"/>
        <v>4.2121018718263029E-2</v>
      </c>
    </row>
    <row r="411" spans="1:20" x14ac:dyDescent="0.25">
      <c r="A411" s="5">
        <v>44182</v>
      </c>
      <c r="B411">
        <v>1.3136000000000001</v>
      </c>
      <c r="C411">
        <v>1.3581000000000001</v>
      </c>
      <c r="D411">
        <v>1.2858000000000001</v>
      </c>
      <c r="E411">
        <v>1.3098000000000001</v>
      </c>
      <c r="F411">
        <v>548019.85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-0.33609958506224036</v>
      </c>
      <c r="Q411">
        <f t="shared" si="975"/>
        <v>-184189.24419087119</v>
      </c>
      <c r="R411">
        <f t="shared" si="976"/>
        <v>4109342.0364741902</v>
      </c>
      <c r="S411">
        <f t="shared" si="977"/>
        <v>41.093420364741903</v>
      </c>
      <c r="T411">
        <f t="shared" si="978"/>
        <v>4.1093420364741902E-2</v>
      </c>
    </row>
    <row r="412" spans="1:20" x14ac:dyDescent="0.25">
      <c r="A412" s="5">
        <v>44181</v>
      </c>
      <c r="B412">
        <v>1.2799</v>
      </c>
      <c r="C412">
        <v>1.3559000000000001</v>
      </c>
      <c r="D412">
        <v>1.248</v>
      </c>
      <c r="E412">
        <v>1.3137000000000001</v>
      </c>
      <c r="F412">
        <v>337110.48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0.21779425393883275</v>
      </c>
      <c r="Q412">
        <f t="shared" si="975"/>
        <v>73420.725486561802</v>
      </c>
      <c r="R412">
        <f t="shared" si="976"/>
        <v>4293531.2806650614</v>
      </c>
      <c r="S412">
        <f t="shared" si="977"/>
        <v>42.935312806650614</v>
      </c>
      <c r="T412">
        <f t="shared" si="978"/>
        <v>4.2935312806650618E-2</v>
      </c>
    </row>
    <row r="413" spans="1:20" x14ac:dyDescent="0.25">
      <c r="A413" s="5">
        <v>44180</v>
      </c>
      <c r="B413">
        <v>1.2699</v>
      </c>
      <c r="C413">
        <v>1.2927</v>
      </c>
      <c r="D413">
        <v>1.2451000000000001</v>
      </c>
      <c r="E413">
        <v>1.2831999999999999</v>
      </c>
      <c r="F413">
        <v>152267.04999999999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0.60084033613444998</v>
      </c>
      <c r="Q413">
        <f t="shared" si="975"/>
        <v>91488.185504201101</v>
      </c>
      <c r="R413">
        <f t="shared" si="976"/>
        <v>4220110.5551784998</v>
      </c>
      <c r="S413">
        <f t="shared" si="977"/>
        <v>42.201105551784998</v>
      </c>
      <c r="T413">
        <f t="shared" si="978"/>
        <v>4.2201105551784995E-2</v>
      </c>
    </row>
    <row r="414" spans="1:20" x14ac:dyDescent="0.25">
      <c r="A414" s="5">
        <v>44179</v>
      </c>
      <c r="B414">
        <v>1.2571000000000001</v>
      </c>
      <c r="C414">
        <v>1.2756000000000001</v>
      </c>
      <c r="D414">
        <v>1.24</v>
      </c>
      <c r="E414">
        <v>1.264</v>
      </c>
      <c r="F414">
        <v>71687.12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0.34831460674157133</v>
      </c>
      <c r="Q414">
        <f t="shared" si="975"/>
        <v>24969.671011235831</v>
      </c>
      <c r="R414">
        <f t="shared" si="976"/>
        <v>4128622.3696742984</v>
      </c>
      <c r="S414">
        <f t="shared" si="977"/>
        <v>41.286223696742987</v>
      </c>
      <c r="T414">
        <f t="shared" si="978"/>
        <v>4.1286223696742987E-2</v>
      </c>
    </row>
    <row r="415" spans="1:20" x14ac:dyDescent="0.25">
      <c r="A415" s="5">
        <v>44178</v>
      </c>
      <c r="B415">
        <v>1.2571000000000001</v>
      </c>
      <c r="C415">
        <v>1.2977000000000001</v>
      </c>
      <c r="D415">
        <v>1.2439</v>
      </c>
      <c r="E415">
        <v>1.2666999999999999</v>
      </c>
      <c r="F415">
        <v>119633.87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-0.15241635687732707</v>
      </c>
      <c r="Q415">
        <f t="shared" si="975"/>
        <v>-18234.158624535754</v>
      </c>
      <c r="R415">
        <f t="shared" si="976"/>
        <v>4103652.6986630624</v>
      </c>
      <c r="S415">
        <f t="shared" si="977"/>
        <v>41.036526986630626</v>
      </c>
      <c r="T415">
        <f t="shared" si="978"/>
        <v>4.1036526986630628E-2</v>
      </c>
    </row>
    <row r="416" spans="1:20" x14ac:dyDescent="0.25">
      <c r="A416" s="5">
        <v>44177</v>
      </c>
      <c r="B416">
        <v>1.1923999999999999</v>
      </c>
      <c r="C416">
        <v>1.3001</v>
      </c>
      <c r="D416">
        <v>1.1923999999999999</v>
      </c>
      <c r="E416">
        <v>1.2544</v>
      </c>
      <c r="F416">
        <v>256587.26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0.15134633240482787</v>
      </c>
      <c r="Q416">
        <f t="shared" si="975"/>
        <v>38833.540742803991</v>
      </c>
      <c r="R416">
        <f t="shared" si="976"/>
        <v>4121886.8572875983</v>
      </c>
      <c r="S416">
        <f t="shared" si="977"/>
        <v>41.218868572875984</v>
      </c>
      <c r="T416">
        <f t="shared" si="978"/>
        <v>4.1218868572875982E-2</v>
      </c>
    </row>
    <row r="417" spans="1:20" x14ac:dyDescent="0.25">
      <c r="A417" s="5">
        <v>44176</v>
      </c>
      <c r="B417">
        <v>1.2181</v>
      </c>
      <c r="C417">
        <v>1.2315</v>
      </c>
      <c r="D417">
        <v>1.1572</v>
      </c>
      <c r="E417">
        <v>1.1923999999999999</v>
      </c>
      <c r="F417">
        <v>174160.07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-5.248990578735175E-2</v>
      </c>
      <c r="Q417">
        <f t="shared" si="975"/>
        <v>-9141.6456662185865</v>
      </c>
      <c r="R417">
        <f t="shared" si="976"/>
        <v>4083053.3165447945</v>
      </c>
      <c r="S417">
        <f t="shared" si="977"/>
        <v>40.830533165447946</v>
      </c>
      <c r="T417">
        <f t="shared" si="978"/>
        <v>4.0830533165447949E-2</v>
      </c>
    </row>
    <row r="418" spans="1:20" x14ac:dyDescent="0.25">
      <c r="A418" s="5">
        <v>44175</v>
      </c>
      <c r="B418">
        <v>1.2441</v>
      </c>
      <c r="C418">
        <v>1.2549999999999999</v>
      </c>
      <c r="D418">
        <v>1.1933</v>
      </c>
      <c r="E418">
        <v>1.2110000000000001</v>
      </c>
      <c r="F418">
        <v>167478.45000000001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-0.42625607779578323</v>
      </c>
      <c r="Q418">
        <f t="shared" si="975"/>
        <v>-71388.707212317197</v>
      </c>
      <c r="R418">
        <f t="shared" si="976"/>
        <v>4092194.9622110128</v>
      </c>
      <c r="S418">
        <f t="shared" si="977"/>
        <v>40.921949622110127</v>
      </c>
      <c r="T418">
        <f t="shared" si="978"/>
        <v>4.0921949622110126E-2</v>
      </c>
    </row>
    <row r="419" spans="1:20" x14ac:dyDescent="0.25">
      <c r="A419" s="5">
        <v>44174</v>
      </c>
      <c r="B419">
        <v>1.2435</v>
      </c>
      <c r="C419">
        <v>1.2586999999999999</v>
      </c>
      <c r="D419">
        <v>1.1599999999999999</v>
      </c>
      <c r="E419">
        <v>1.2347999999999999</v>
      </c>
      <c r="F419">
        <v>465245.21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0.51570415400202574</v>
      </c>
      <c r="Q419">
        <f t="shared" si="975"/>
        <v>239928.88742654482</v>
      </c>
      <c r="R419">
        <f t="shared" si="976"/>
        <v>4163583.6694233301</v>
      </c>
      <c r="S419">
        <f t="shared" si="977"/>
        <v>41.635836694233298</v>
      </c>
      <c r="T419">
        <f t="shared" si="978"/>
        <v>4.1635836694233298E-2</v>
      </c>
    </row>
    <row r="420" spans="1:20" x14ac:dyDescent="0.25">
      <c r="A420" s="5">
        <v>44173</v>
      </c>
      <c r="B420">
        <v>1.3435999999999999</v>
      </c>
      <c r="C420">
        <v>1.4232</v>
      </c>
      <c r="D420">
        <v>1.2084999999999999</v>
      </c>
      <c r="E420">
        <v>1.2508999999999999</v>
      </c>
      <c r="F420">
        <v>363118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-0.60503027480204963</v>
      </c>
      <c r="Q420">
        <f t="shared" si="975"/>
        <v>-219697.38332557067</v>
      </c>
      <c r="R420">
        <f t="shared" si="976"/>
        <v>3923654.7819967852</v>
      </c>
      <c r="S420">
        <f t="shared" si="977"/>
        <v>39.236547819967853</v>
      </c>
      <c r="T420">
        <f t="shared" si="978"/>
        <v>3.9236547819967854E-2</v>
      </c>
    </row>
    <row r="421" spans="1:20" x14ac:dyDescent="0.25">
      <c r="A421" s="5">
        <v>44172</v>
      </c>
      <c r="B421">
        <v>1.3399000000000001</v>
      </c>
      <c r="C421">
        <v>1.3711</v>
      </c>
      <c r="D421">
        <v>1.3283</v>
      </c>
      <c r="E421">
        <v>1.353</v>
      </c>
      <c r="F421">
        <v>120972.93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0.15420560747663428</v>
      </c>
      <c r="Q421">
        <f t="shared" si="975"/>
        <v>18654.704158878354</v>
      </c>
      <c r="R421">
        <f t="shared" si="976"/>
        <v>4143352.1653223559</v>
      </c>
      <c r="S421">
        <f t="shared" si="977"/>
        <v>41.433521653223558</v>
      </c>
      <c r="T421">
        <f t="shared" si="978"/>
        <v>4.143352165322356E-2</v>
      </c>
    </row>
    <row r="422" spans="1:20" x14ac:dyDescent="0.25">
      <c r="A422" s="5">
        <v>44171</v>
      </c>
      <c r="B422">
        <v>1.3631</v>
      </c>
      <c r="C422">
        <v>1.3740000000000001</v>
      </c>
      <c r="D422">
        <v>1.3122</v>
      </c>
      <c r="E422">
        <v>1.3398000000000001</v>
      </c>
      <c r="F422">
        <v>87000.45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-0.10679611650485325</v>
      </c>
      <c r="Q422">
        <f t="shared" si="975"/>
        <v>-9291.310194174659</v>
      </c>
      <c r="R422">
        <f t="shared" si="976"/>
        <v>4124697.4611634775</v>
      </c>
      <c r="S422">
        <f t="shared" si="977"/>
        <v>41.246974611634776</v>
      </c>
      <c r="T422">
        <f t="shared" si="978"/>
        <v>4.1246974611634776E-2</v>
      </c>
    </row>
    <row r="423" spans="1:20" x14ac:dyDescent="0.25">
      <c r="A423" s="5">
        <v>44170</v>
      </c>
      <c r="B423">
        <v>1.2995000000000001</v>
      </c>
      <c r="C423">
        <v>1.3666</v>
      </c>
      <c r="D423">
        <v>1.2826</v>
      </c>
      <c r="E423">
        <v>1.3628</v>
      </c>
      <c r="F423">
        <v>161802.54999999999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0.90952380952380896</v>
      </c>
      <c r="Q423">
        <f t="shared" si="975"/>
        <v>147163.27166666655</v>
      </c>
      <c r="R423">
        <f t="shared" si="976"/>
        <v>4133988.7713576523</v>
      </c>
      <c r="S423">
        <f t="shared" si="977"/>
        <v>41.339887713576523</v>
      </c>
      <c r="T423">
        <f t="shared" si="978"/>
        <v>4.1339887713576523E-2</v>
      </c>
    </row>
    <row r="424" spans="1:20" x14ac:dyDescent="0.25">
      <c r="A424" s="5">
        <v>44169</v>
      </c>
      <c r="B424">
        <v>1.4204000000000001</v>
      </c>
      <c r="C424">
        <v>1.4288000000000001</v>
      </c>
      <c r="D424">
        <v>1.2882</v>
      </c>
      <c r="E424">
        <v>1.2956000000000001</v>
      </c>
      <c r="F424">
        <v>510727.57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-0.89473684210526216</v>
      </c>
      <c r="Q424">
        <f t="shared" si="975"/>
        <v>-456966.77315789426</v>
      </c>
      <c r="R424">
        <f t="shared" si="976"/>
        <v>3986825.4996909858</v>
      </c>
      <c r="S424">
        <f t="shared" si="977"/>
        <v>39.868254996909855</v>
      </c>
      <c r="T424">
        <f t="shared" si="978"/>
        <v>3.9868254996909852E-2</v>
      </c>
    </row>
    <row r="425" spans="1:20" x14ac:dyDescent="0.25">
      <c r="A425" s="5">
        <v>44168</v>
      </c>
      <c r="B425">
        <v>1.4185000000000001</v>
      </c>
      <c r="C425">
        <v>1.5098</v>
      </c>
      <c r="D425">
        <v>1.375</v>
      </c>
      <c r="E425">
        <v>1.4204000000000001</v>
      </c>
      <c r="F425">
        <v>466327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-0.32640949554895998</v>
      </c>
      <c r="Q425">
        <f t="shared" si="975"/>
        <v>-152213.56083085987</v>
      </c>
      <c r="R425">
        <f t="shared" si="976"/>
        <v>4443792.2728488799</v>
      </c>
      <c r="S425">
        <f t="shared" si="977"/>
        <v>44.4379227284888</v>
      </c>
      <c r="T425">
        <f t="shared" si="978"/>
        <v>4.4437922728488802E-2</v>
      </c>
    </row>
    <row r="426" spans="1:20" x14ac:dyDescent="0.25">
      <c r="A426" s="5">
        <v>44167</v>
      </c>
      <c r="B426">
        <v>1.3427</v>
      </c>
      <c r="C426">
        <v>1.4987999999999999</v>
      </c>
      <c r="D426">
        <v>1.3194999999999999</v>
      </c>
      <c r="E426">
        <v>1.4158999999999999</v>
      </c>
      <c r="F426">
        <v>419131.68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7.5292805354155418E-2</v>
      </c>
      <c r="Q426">
        <f t="shared" si="975"/>
        <v>31557.600000000155</v>
      </c>
      <c r="R426">
        <f t="shared" si="976"/>
        <v>4596005.8336797394</v>
      </c>
      <c r="S426">
        <f t="shared" si="977"/>
        <v>45.960058336797395</v>
      </c>
      <c r="T426">
        <f t="shared" si="978"/>
        <v>4.5960058336797394E-2</v>
      </c>
    </row>
    <row r="427" spans="1:20" x14ac:dyDescent="0.25">
      <c r="A427" s="5">
        <v>44166</v>
      </c>
      <c r="B427">
        <v>1.3368</v>
      </c>
      <c r="C427">
        <v>1.4726999999999999</v>
      </c>
      <c r="D427">
        <v>1.2212000000000001</v>
      </c>
      <c r="E427">
        <v>1.3502000000000001</v>
      </c>
      <c r="F427">
        <v>621190.96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2.5844930417495731E-2</v>
      </c>
      <c r="Q427">
        <f t="shared" si="975"/>
        <v>16054.637137177373</v>
      </c>
      <c r="R427">
        <f t="shared" si="976"/>
        <v>4564448.2336797388</v>
      </c>
      <c r="S427">
        <f t="shared" si="977"/>
        <v>45.644482336797388</v>
      </c>
      <c r="T427">
        <f t="shared" si="978"/>
        <v>4.5644482336797389E-2</v>
      </c>
    </row>
    <row r="428" spans="1:20" x14ac:dyDescent="0.25">
      <c r="A428" s="5">
        <v>44165</v>
      </c>
      <c r="B428">
        <v>1.2799</v>
      </c>
      <c r="C428">
        <v>1.3589</v>
      </c>
      <c r="D428">
        <v>1.2424999999999999</v>
      </c>
      <c r="E428">
        <v>1.3304</v>
      </c>
      <c r="F428">
        <v>385382.16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0.5103092783505162</v>
      </c>
      <c r="Q428">
        <f t="shared" si="975"/>
        <v>196664.09195876317</v>
      </c>
      <c r="R428">
        <f t="shared" si="976"/>
        <v>4548393.5965425614</v>
      </c>
      <c r="S428">
        <f t="shared" si="977"/>
        <v>45.483935965425616</v>
      </c>
      <c r="T428">
        <f t="shared" si="978"/>
        <v>4.5483935965425618E-2</v>
      </c>
    </row>
    <row r="429" spans="1:20" x14ac:dyDescent="0.25">
      <c r="A429" s="5">
        <v>44164</v>
      </c>
      <c r="B429">
        <v>1.2761</v>
      </c>
      <c r="C429">
        <v>1.3720000000000001</v>
      </c>
      <c r="D429">
        <v>1.248</v>
      </c>
      <c r="E429">
        <v>1.2799</v>
      </c>
      <c r="F429">
        <v>247509.85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-0.48548387096774176</v>
      </c>
      <c r="Q429">
        <f t="shared" si="975"/>
        <v>-120162.04008064512</v>
      </c>
      <c r="R429">
        <f t="shared" si="976"/>
        <v>4351729.5045837983</v>
      </c>
      <c r="S429">
        <f t="shared" si="977"/>
        <v>43.517295045837983</v>
      </c>
      <c r="T429">
        <f t="shared" si="978"/>
        <v>4.3517295045837984E-2</v>
      </c>
    </row>
    <row r="430" spans="1:20" x14ac:dyDescent="0.25">
      <c r="A430" s="5">
        <v>44163</v>
      </c>
      <c r="B430">
        <v>1.2165999999999999</v>
      </c>
      <c r="C430">
        <v>1.3118000000000001</v>
      </c>
      <c r="D430">
        <v>1.1971000000000001</v>
      </c>
      <c r="E430">
        <v>1.2775000000000001</v>
      </c>
      <c r="F430">
        <v>286640.44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0.40191804707933759</v>
      </c>
      <c r="Q430">
        <f t="shared" si="975"/>
        <v>115205.96585876205</v>
      </c>
      <c r="R430">
        <f t="shared" si="976"/>
        <v>4471891.5446644435</v>
      </c>
      <c r="S430">
        <f t="shared" si="977"/>
        <v>44.718915446644438</v>
      </c>
      <c r="T430">
        <f t="shared" si="978"/>
        <v>4.4718915446644435E-2</v>
      </c>
    </row>
    <row r="431" spans="1:20" x14ac:dyDescent="0.25">
      <c r="A431" s="5">
        <v>44162</v>
      </c>
      <c r="B431">
        <v>1.2301</v>
      </c>
      <c r="C431">
        <v>1.2734000000000001</v>
      </c>
      <c r="D431">
        <v>1.1660999999999999</v>
      </c>
      <c r="E431">
        <v>1.2168000000000001</v>
      </c>
      <c r="F431">
        <v>239184.93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-5.4986020503259875E-2</v>
      </c>
      <c r="Q431">
        <f t="shared" si="975"/>
        <v>-13151.827465050777</v>
      </c>
      <c r="R431">
        <f t="shared" si="976"/>
        <v>4356685.5788056813</v>
      </c>
      <c r="S431">
        <f t="shared" si="977"/>
        <v>43.566855788056813</v>
      </c>
      <c r="T431">
        <f t="shared" si="978"/>
        <v>4.3566855788056816E-2</v>
      </c>
    </row>
    <row r="432" spans="1:20" x14ac:dyDescent="0.25">
      <c r="A432" s="5">
        <v>44161</v>
      </c>
      <c r="B432">
        <v>1.4313</v>
      </c>
      <c r="C432">
        <v>1.4690000000000001</v>
      </c>
      <c r="D432">
        <v>1.1499999999999999</v>
      </c>
      <c r="E432">
        <v>1.2269000000000001</v>
      </c>
      <c r="F432">
        <v>944603.75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-0.51786833855799275</v>
      </c>
      <c r="Q432">
        <f t="shared" si="975"/>
        <v>-489180.37460814952</v>
      </c>
      <c r="R432">
        <f t="shared" si="976"/>
        <v>4369837.4062707322</v>
      </c>
      <c r="S432">
        <f t="shared" si="977"/>
        <v>43.698374062707323</v>
      </c>
      <c r="T432">
        <f t="shared" si="978"/>
        <v>4.3698374062707324E-2</v>
      </c>
    </row>
    <row r="433" spans="1:20" x14ac:dyDescent="0.25">
      <c r="A433" s="5">
        <v>44160</v>
      </c>
      <c r="B433">
        <v>1.532</v>
      </c>
      <c r="C433">
        <v>1.5902000000000001</v>
      </c>
      <c r="D433">
        <v>1.3875999999999999</v>
      </c>
      <c r="E433">
        <v>1.4482999999999999</v>
      </c>
      <c r="F433">
        <v>561862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-0.40078973346495617</v>
      </c>
      <c r="Q433">
        <f t="shared" si="975"/>
        <v>-225188.52122408719</v>
      </c>
      <c r="R433">
        <f t="shared" si="976"/>
        <v>4859017.7808788819</v>
      </c>
      <c r="S433">
        <f t="shared" si="977"/>
        <v>48.590177808788816</v>
      </c>
      <c r="T433">
        <f t="shared" si="978"/>
        <v>4.8590177808788819E-2</v>
      </c>
    </row>
    <row r="434" spans="1:20" x14ac:dyDescent="0.25">
      <c r="A434" s="5">
        <v>44159</v>
      </c>
      <c r="B434">
        <v>1.3426</v>
      </c>
      <c r="C434">
        <v>1.665</v>
      </c>
      <c r="D434">
        <v>1.2871999999999999</v>
      </c>
      <c r="E434">
        <v>1.5327999999999999</v>
      </c>
      <c r="F434">
        <v>1457487.6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0.30015881418740048</v>
      </c>
      <c r="Q434">
        <f t="shared" si="975"/>
        <v>437477.74970884033</v>
      </c>
      <c r="R434">
        <f t="shared" si="976"/>
        <v>5084206.302102969</v>
      </c>
      <c r="S434">
        <f t="shared" si="977"/>
        <v>50.842063021029688</v>
      </c>
      <c r="T434">
        <f t="shared" si="978"/>
        <v>5.0842063021029685E-2</v>
      </c>
    </row>
    <row r="435" spans="1:20" x14ac:dyDescent="0.25">
      <c r="A435" s="5">
        <v>44158</v>
      </c>
      <c r="B435">
        <v>1.2363</v>
      </c>
      <c r="C435">
        <v>1.3642000000000001</v>
      </c>
      <c r="D435">
        <v>1.2201</v>
      </c>
      <c r="E435">
        <v>1.339</v>
      </c>
      <c r="F435">
        <v>506022.86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0.65024288688410703</v>
      </c>
      <c r="Q435">
        <f t="shared" si="975"/>
        <v>329037.7653157523</v>
      </c>
      <c r="R435">
        <f t="shared" si="976"/>
        <v>4646728.5523941284</v>
      </c>
      <c r="S435">
        <f t="shared" si="977"/>
        <v>46.467285523941285</v>
      </c>
      <c r="T435">
        <f t="shared" si="978"/>
        <v>4.6467285523941283E-2</v>
      </c>
    </row>
    <row r="436" spans="1:20" x14ac:dyDescent="0.25">
      <c r="A436" s="5">
        <v>44157</v>
      </c>
      <c r="B436">
        <v>1.2978000000000001</v>
      </c>
      <c r="C436">
        <v>1.3441000000000001</v>
      </c>
      <c r="D436">
        <v>1.0521</v>
      </c>
      <c r="E436">
        <v>1.2346999999999999</v>
      </c>
      <c r="F436">
        <v>595686.77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0.25068493150684829</v>
      </c>
      <c r="Q436">
        <f t="shared" si="975"/>
        <v>149329.69713698569</v>
      </c>
      <c r="R436">
        <f t="shared" si="976"/>
        <v>4317690.7870783759</v>
      </c>
      <c r="S436">
        <f t="shared" si="977"/>
        <v>43.176907870783758</v>
      </c>
      <c r="T436">
        <f t="shared" si="978"/>
        <v>4.3176907870783758E-2</v>
      </c>
    </row>
    <row r="437" spans="1:20" x14ac:dyDescent="0.25">
      <c r="A437" s="5">
        <v>44156</v>
      </c>
      <c r="B437">
        <v>1.1910000000000001</v>
      </c>
      <c r="C437">
        <v>1.31</v>
      </c>
      <c r="D437">
        <v>1.1688000000000001</v>
      </c>
      <c r="E437">
        <v>1.2881</v>
      </c>
      <c r="F437">
        <v>443316.4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0.68980169971671346</v>
      </c>
      <c r="Q437">
        <f t="shared" si="975"/>
        <v>305800.40623229445</v>
      </c>
      <c r="R437">
        <f t="shared" si="976"/>
        <v>4168361.0899413903</v>
      </c>
      <c r="S437">
        <f t="shared" si="977"/>
        <v>41.683610899413907</v>
      </c>
      <c r="T437">
        <f t="shared" si="978"/>
        <v>4.1683610899413907E-2</v>
      </c>
    </row>
    <row r="438" spans="1:20" x14ac:dyDescent="0.25">
      <c r="A438" s="5">
        <v>44155</v>
      </c>
      <c r="B438">
        <v>1.1749000000000001</v>
      </c>
      <c r="C438">
        <v>1.2031000000000001</v>
      </c>
      <c r="D438">
        <v>1.1589</v>
      </c>
      <c r="E438">
        <v>1.19</v>
      </c>
      <c r="F438">
        <v>171816.66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0.40723981900452005</v>
      </c>
      <c r="Q438">
        <f t="shared" si="975"/>
        <v>69970.585520361157</v>
      </c>
      <c r="R438">
        <f t="shared" si="976"/>
        <v>3862560.6837090957</v>
      </c>
      <c r="S438">
        <f t="shared" si="977"/>
        <v>38.625606837090956</v>
      </c>
      <c r="T438">
        <f t="shared" si="978"/>
        <v>3.8625606837090959E-2</v>
      </c>
    </row>
    <row r="439" spans="1:20" x14ac:dyDescent="0.25">
      <c r="A439" s="5">
        <v>44154</v>
      </c>
      <c r="B439">
        <v>1.19</v>
      </c>
      <c r="C439">
        <v>1.2082999999999999</v>
      </c>
      <c r="D439">
        <v>1.1072</v>
      </c>
      <c r="E439">
        <v>1.1711</v>
      </c>
      <c r="F439">
        <v>236318.18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0.26409495548961598</v>
      </c>
      <c r="Q439">
        <f t="shared" si="975"/>
        <v>62410.439228487056</v>
      </c>
      <c r="R439">
        <f t="shared" si="976"/>
        <v>3792590.0981887346</v>
      </c>
      <c r="S439">
        <f t="shared" si="977"/>
        <v>37.925900981887345</v>
      </c>
      <c r="T439">
        <f t="shared" si="978"/>
        <v>3.7925900981887348E-2</v>
      </c>
    </row>
    <row r="440" spans="1:20" x14ac:dyDescent="0.25">
      <c r="A440" s="5">
        <v>44153</v>
      </c>
      <c r="B440">
        <v>1.1375999999999999</v>
      </c>
      <c r="C440">
        <v>1.2221</v>
      </c>
      <c r="D440">
        <v>1.085</v>
      </c>
      <c r="E440">
        <v>1.1880999999999999</v>
      </c>
      <c r="F440">
        <v>403526.45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0.50401167031363925</v>
      </c>
      <c r="Q440">
        <f t="shared" si="975"/>
        <v>203382.04008023324</v>
      </c>
      <c r="R440">
        <f t="shared" si="976"/>
        <v>3730179.6589602474</v>
      </c>
      <c r="S440">
        <f t="shared" si="977"/>
        <v>37.301796589602475</v>
      </c>
      <c r="T440">
        <f t="shared" si="978"/>
        <v>3.7301796589602476E-2</v>
      </c>
    </row>
    <row r="441" spans="1:20" x14ac:dyDescent="0.25">
      <c r="A441" s="5">
        <v>44152</v>
      </c>
      <c r="B441">
        <v>1.0891999999999999</v>
      </c>
      <c r="C441">
        <v>1.18</v>
      </c>
      <c r="D441">
        <v>1.0841000000000001</v>
      </c>
      <c r="E441">
        <v>1.1375</v>
      </c>
      <c r="F441">
        <v>526979.53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0.11366006256517126</v>
      </c>
      <c r="Q441">
        <f t="shared" si="975"/>
        <v>59896.526350364547</v>
      </c>
      <c r="R441">
        <f t="shared" si="976"/>
        <v>3526797.6188800144</v>
      </c>
      <c r="S441">
        <f t="shared" si="977"/>
        <v>35.267976188800141</v>
      </c>
      <c r="T441">
        <f t="shared" si="978"/>
        <v>3.5267976188800142E-2</v>
      </c>
    </row>
    <row r="442" spans="1:20" x14ac:dyDescent="0.25">
      <c r="A442" s="5">
        <v>44151</v>
      </c>
      <c r="B442">
        <v>1.0725</v>
      </c>
      <c r="C442">
        <v>1.0940000000000001</v>
      </c>
      <c r="D442">
        <v>1.0506</v>
      </c>
      <c r="E442">
        <v>1.0938000000000001</v>
      </c>
      <c r="F442">
        <v>68655.58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0.99078341013824989</v>
      </c>
      <c r="Q442">
        <f t="shared" si="975"/>
        <v>68022.809677419427</v>
      </c>
      <c r="R442">
        <f t="shared" si="976"/>
        <v>3466901.0925296498</v>
      </c>
      <c r="S442">
        <f t="shared" si="977"/>
        <v>34.669010925296497</v>
      </c>
      <c r="T442">
        <f t="shared" si="978"/>
        <v>3.4669010925296499E-2</v>
      </c>
    </row>
    <row r="443" spans="1:20" x14ac:dyDescent="0.25">
      <c r="A443" s="5">
        <v>44150</v>
      </c>
      <c r="B443">
        <v>1.095</v>
      </c>
      <c r="C443">
        <v>1.1153</v>
      </c>
      <c r="D443">
        <v>1.0601</v>
      </c>
      <c r="E443">
        <v>1.0742</v>
      </c>
      <c r="F443">
        <v>73032.55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-0.48913043478260787</v>
      </c>
      <c r="Q443">
        <f t="shared" si="975"/>
        <v>-35722.44293478255</v>
      </c>
      <c r="R443">
        <f t="shared" si="976"/>
        <v>3398878.2828522306</v>
      </c>
      <c r="S443">
        <f t="shared" si="977"/>
        <v>33.988782828522304</v>
      </c>
      <c r="T443">
        <f t="shared" si="978"/>
        <v>3.3988782828522301E-2</v>
      </c>
    </row>
    <row r="444" spans="1:20" x14ac:dyDescent="0.25">
      <c r="A444" s="5">
        <v>44149</v>
      </c>
      <c r="B444">
        <v>1.1275999999999999</v>
      </c>
      <c r="C444">
        <v>1.2</v>
      </c>
      <c r="D444">
        <v>1.0804</v>
      </c>
      <c r="E444">
        <v>1.1020000000000001</v>
      </c>
      <c r="F444">
        <v>135879.79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-0.63879598662207226</v>
      </c>
      <c r="Q444">
        <f t="shared" si="975"/>
        <v>-86799.46451505</v>
      </c>
      <c r="R444">
        <f t="shared" si="976"/>
        <v>3434600.7257870133</v>
      </c>
      <c r="S444">
        <f t="shared" si="977"/>
        <v>34.346007257870134</v>
      </c>
      <c r="T444">
        <f t="shared" si="978"/>
        <v>3.4346007257870133E-2</v>
      </c>
    </row>
    <row r="445" spans="1:20" x14ac:dyDescent="0.25">
      <c r="A445" s="5">
        <v>44148</v>
      </c>
      <c r="B445">
        <v>1.1020000000000001</v>
      </c>
      <c r="C445">
        <v>1.1299999999999999</v>
      </c>
      <c r="D445">
        <v>1.0974999999999999</v>
      </c>
      <c r="E445">
        <v>1.1298999999999999</v>
      </c>
      <c r="F445">
        <v>54021.59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0.99384615384615449</v>
      </c>
      <c r="Q445">
        <f t="shared" si="975"/>
        <v>53689.149446153875</v>
      </c>
      <c r="R445">
        <f t="shared" si="976"/>
        <v>3521400.1903020632</v>
      </c>
      <c r="S445">
        <f t="shared" si="977"/>
        <v>35.21400190302063</v>
      </c>
      <c r="T445">
        <f t="shared" si="978"/>
        <v>3.5214001903020632E-2</v>
      </c>
    </row>
    <row r="446" spans="1:20" x14ac:dyDescent="0.25">
      <c r="A446" s="5">
        <v>44147</v>
      </c>
      <c r="B446">
        <v>1.0976999999999999</v>
      </c>
      <c r="C446">
        <v>1.1391</v>
      </c>
      <c r="D446">
        <v>1.0805</v>
      </c>
      <c r="E446">
        <v>1.1019000000000001</v>
      </c>
      <c r="F446">
        <v>113709.14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-0.2696245733788365</v>
      </c>
      <c r="Q446">
        <f t="shared" si="975"/>
        <v>-30658.778361774392</v>
      </c>
      <c r="R446">
        <f t="shared" si="976"/>
        <v>3467711.0408559092</v>
      </c>
      <c r="S446">
        <f t="shared" si="977"/>
        <v>34.677110408559095</v>
      </c>
      <c r="T446">
        <f t="shared" si="978"/>
        <v>3.4677110408559093E-2</v>
      </c>
    </row>
    <row r="447" spans="1:20" x14ac:dyDescent="0.25">
      <c r="A447" s="5">
        <v>44146</v>
      </c>
      <c r="B447">
        <v>1.1399999999999999</v>
      </c>
      <c r="C447">
        <v>1.1499999999999999</v>
      </c>
      <c r="D447">
        <v>1.0975999999999999</v>
      </c>
      <c r="E447">
        <v>1.1051</v>
      </c>
      <c r="F447">
        <v>87131.1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-0.71374045801526487</v>
      </c>
      <c r="Q447">
        <f t="shared" si="975"/>
        <v>-62188.99122137385</v>
      </c>
      <c r="R447">
        <f t="shared" si="976"/>
        <v>3498369.8192176837</v>
      </c>
      <c r="S447">
        <f t="shared" si="977"/>
        <v>34.983698192176838</v>
      </c>
      <c r="T447">
        <f t="shared" si="978"/>
        <v>3.4983698192176838E-2</v>
      </c>
    </row>
    <row r="448" spans="1:20" x14ac:dyDescent="0.25">
      <c r="A448" s="5">
        <v>44145</v>
      </c>
      <c r="B448">
        <v>1.1042000000000001</v>
      </c>
      <c r="C448">
        <v>1.1492</v>
      </c>
      <c r="D448">
        <v>1.0941000000000001</v>
      </c>
      <c r="E448">
        <v>1.1343000000000001</v>
      </c>
      <c r="F448">
        <v>123484.69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0.45916515426497523</v>
      </c>
      <c r="Q448">
        <f t="shared" si="975"/>
        <v>56699.866733212642</v>
      </c>
      <c r="R448">
        <f t="shared" si="976"/>
        <v>3560558.8104390576</v>
      </c>
      <c r="S448">
        <f t="shared" si="977"/>
        <v>35.605588104390577</v>
      </c>
      <c r="T448">
        <f t="shared" si="978"/>
        <v>3.560558810439058E-2</v>
      </c>
    </row>
    <row r="449" spans="1:20" x14ac:dyDescent="0.25">
      <c r="A449" s="5">
        <v>44144</v>
      </c>
      <c r="B449">
        <v>1.1100000000000001</v>
      </c>
      <c r="C449">
        <v>1.1216999999999999</v>
      </c>
      <c r="D449">
        <v>1.0498000000000001</v>
      </c>
      <c r="E449">
        <v>1.1166</v>
      </c>
      <c r="F449">
        <v>147842.46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0.8581363004172492</v>
      </c>
      <c r="Q449">
        <f t="shared" si="975"/>
        <v>126868.98166898514</v>
      </c>
      <c r="R449">
        <f t="shared" si="976"/>
        <v>3503858.9437058452</v>
      </c>
      <c r="S449">
        <f t="shared" si="977"/>
        <v>35.038589437058448</v>
      </c>
      <c r="T449">
        <f t="shared" si="978"/>
        <v>3.5038589437058447E-2</v>
      </c>
    </row>
    <row r="450" spans="1:20" x14ac:dyDescent="0.25">
      <c r="A450" s="5">
        <v>44143</v>
      </c>
      <c r="B450">
        <v>1.0720000000000001</v>
      </c>
      <c r="C450">
        <v>1.1376999999999999</v>
      </c>
      <c r="D450">
        <v>1.0720000000000001</v>
      </c>
      <c r="E450">
        <v>1.1129</v>
      </c>
      <c r="F450">
        <v>71782.31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0.24505327245053327</v>
      </c>
      <c r="Q450">
        <f t="shared" si="975"/>
        <v>17590.489969558639</v>
      </c>
      <c r="R450">
        <f t="shared" si="976"/>
        <v>3376989.9620368602</v>
      </c>
      <c r="S450">
        <f t="shared" si="977"/>
        <v>33.769899620368605</v>
      </c>
      <c r="T450">
        <f t="shared" si="978"/>
        <v>3.3769899620368603E-2</v>
      </c>
    </row>
    <row r="451" spans="1:20" x14ac:dyDescent="0.25">
      <c r="A451" s="5">
        <v>44142</v>
      </c>
      <c r="B451">
        <v>1.1426000000000001</v>
      </c>
      <c r="C451">
        <v>1.1631</v>
      </c>
      <c r="D451">
        <v>1.05</v>
      </c>
      <c r="E451">
        <v>1.075</v>
      </c>
      <c r="F451">
        <v>237413.89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-0.55791335101680073</v>
      </c>
      <c r="Q451">
        <f t="shared" si="975"/>
        <v>-132456.37894783414</v>
      </c>
      <c r="R451">
        <f t="shared" si="976"/>
        <v>3359399.4720673016</v>
      </c>
      <c r="S451">
        <f t="shared" si="977"/>
        <v>33.593994720673017</v>
      </c>
      <c r="T451">
        <f t="shared" si="978"/>
        <v>3.3593994720673016E-2</v>
      </c>
    </row>
    <row r="452" spans="1:20" x14ac:dyDescent="0.25">
      <c r="A452" s="5">
        <v>44141</v>
      </c>
      <c r="B452">
        <v>1.0262</v>
      </c>
      <c r="C452">
        <v>1.2</v>
      </c>
      <c r="D452">
        <v>1.0133000000000001</v>
      </c>
      <c r="E452">
        <v>1.151</v>
      </c>
      <c r="F452">
        <v>591167.48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0.47509373326191784</v>
      </c>
      <c r="Q452">
        <f t="shared" si="975"/>
        <v>280859.96505624015</v>
      </c>
      <c r="R452">
        <f t="shared" si="976"/>
        <v>3491855.8510151356</v>
      </c>
      <c r="S452">
        <f t="shared" si="977"/>
        <v>34.918558510151357</v>
      </c>
      <c r="T452">
        <f t="shared" si="978"/>
        <v>3.4918558510151354E-2</v>
      </c>
    </row>
    <row r="453" spans="1:20" x14ac:dyDescent="0.25">
      <c r="A453" s="5">
        <v>44140</v>
      </c>
      <c r="B453">
        <v>0.98750000000000004</v>
      </c>
      <c r="C453">
        <v>1.0557000000000001</v>
      </c>
      <c r="D453">
        <v>0.98529999999999995</v>
      </c>
      <c r="E453">
        <v>1.0185999999999999</v>
      </c>
      <c r="F453">
        <v>204377.26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-5.3977272727274567E-2</v>
      </c>
      <c r="Q453">
        <f t="shared" si="975"/>
        <v>-11031.727102273104</v>
      </c>
      <c r="R453">
        <f t="shared" si="976"/>
        <v>3210995.8859588956</v>
      </c>
      <c r="S453">
        <f t="shared" si="977"/>
        <v>32.109958859588957</v>
      </c>
      <c r="T453">
        <f t="shared" si="978"/>
        <v>3.2109958859588957E-2</v>
      </c>
    </row>
    <row r="454" spans="1:20" x14ac:dyDescent="0.25">
      <c r="A454" s="5">
        <v>44139</v>
      </c>
      <c r="B454">
        <v>1.0051000000000001</v>
      </c>
      <c r="C454">
        <v>1.0168999999999999</v>
      </c>
      <c r="D454">
        <v>0.97750000000000004</v>
      </c>
      <c r="E454">
        <v>0.98699999999999999</v>
      </c>
      <c r="F454">
        <v>101901.83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-0.51776649746192982</v>
      </c>
      <c r="Q454">
        <f t="shared" ref="Q454:Q517" si="980">F454*P454</f>
        <v>-52761.353604061005</v>
      </c>
      <c r="R454">
        <f t="shared" ref="R454:R517" si="981">R455+Q454</f>
        <v>3222027.6130611687</v>
      </c>
      <c r="S454">
        <f t="shared" ref="S454:S517" si="982">R454/100000</f>
        <v>32.220276130611687</v>
      </c>
      <c r="T454">
        <f t="shared" ref="T454:T517" si="983">S454/1000</f>
        <v>3.2220276130611687E-2</v>
      </c>
    </row>
    <row r="455" spans="1:20" x14ac:dyDescent="0.25">
      <c r="A455" s="5">
        <v>44138</v>
      </c>
      <c r="B455">
        <v>0.99260000000000004</v>
      </c>
      <c r="C455">
        <v>1.0036</v>
      </c>
      <c r="D455">
        <v>0.92610000000000003</v>
      </c>
      <c r="E455">
        <v>1.0012000000000001</v>
      </c>
      <c r="F455">
        <v>103273.01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0.93806451612903341</v>
      </c>
      <c r="Q455">
        <f t="shared" si="980"/>
        <v>96876.746154838824</v>
      </c>
      <c r="R455">
        <f t="shared" si="981"/>
        <v>3274788.9666652298</v>
      </c>
      <c r="S455">
        <f t="shared" si="982"/>
        <v>32.747889666652299</v>
      </c>
      <c r="T455">
        <f t="shared" si="983"/>
        <v>3.2747889666652298E-2</v>
      </c>
    </row>
    <row r="456" spans="1:20" x14ac:dyDescent="0.25">
      <c r="A456" s="5">
        <v>44137</v>
      </c>
      <c r="B456">
        <v>1.0301</v>
      </c>
      <c r="C456">
        <v>1.0454000000000001</v>
      </c>
      <c r="D456">
        <v>0.98850000000000005</v>
      </c>
      <c r="E456">
        <v>0.99350000000000005</v>
      </c>
      <c r="F456">
        <v>101030.73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-0.82425307557117755</v>
      </c>
      <c r="Q456">
        <f t="shared" si="980"/>
        <v>-83274.889929701225</v>
      </c>
      <c r="R456">
        <f t="shared" si="981"/>
        <v>3177912.2205103911</v>
      </c>
      <c r="S456">
        <f t="shared" si="982"/>
        <v>31.77912220510391</v>
      </c>
      <c r="T456">
        <f t="shared" si="983"/>
        <v>3.1779122205103913E-2</v>
      </c>
    </row>
    <row r="457" spans="1:20" x14ac:dyDescent="0.25">
      <c r="A457" s="5">
        <v>44136</v>
      </c>
      <c r="B457">
        <v>1.0288999999999999</v>
      </c>
      <c r="C457">
        <v>1.0323</v>
      </c>
      <c r="D457">
        <v>1.0084</v>
      </c>
      <c r="E457">
        <v>1.0301</v>
      </c>
      <c r="F457">
        <v>53796.7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0.81589958158996012</v>
      </c>
      <c r="Q457">
        <f t="shared" si="980"/>
        <v>43892.705020920606</v>
      </c>
      <c r="R457">
        <f t="shared" si="981"/>
        <v>3261187.1104400922</v>
      </c>
      <c r="S457">
        <f t="shared" si="982"/>
        <v>32.611871104400919</v>
      </c>
      <c r="T457">
        <f t="shared" si="983"/>
        <v>3.2611871104400919E-2</v>
      </c>
    </row>
    <row r="458" spans="1:20" x14ac:dyDescent="0.25">
      <c r="A458" s="5">
        <v>44135</v>
      </c>
      <c r="B458">
        <v>1.0427999999999999</v>
      </c>
      <c r="C458">
        <v>1.0652999999999999</v>
      </c>
      <c r="D458">
        <v>1.0193000000000001</v>
      </c>
      <c r="E458">
        <v>1.0289999999999999</v>
      </c>
      <c r="F458">
        <v>29352.92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-0.5782608695652236</v>
      </c>
      <c r="Q458">
        <f t="shared" si="980"/>
        <v>-16973.645043478442</v>
      </c>
      <c r="R458">
        <f t="shared" si="981"/>
        <v>3217294.4054191718</v>
      </c>
      <c r="S458">
        <f t="shared" si="982"/>
        <v>32.172944054191717</v>
      </c>
      <c r="T458">
        <f t="shared" si="983"/>
        <v>3.2172944054191716E-2</v>
      </c>
    </row>
    <row r="459" spans="1:20" x14ac:dyDescent="0.25">
      <c r="A459" s="5">
        <v>44134</v>
      </c>
      <c r="B459">
        <v>1.0463</v>
      </c>
      <c r="C459">
        <v>1.0764</v>
      </c>
      <c r="D459">
        <v>1.0129999999999999</v>
      </c>
      <c r="E459">
        <v>1.038</v>
      </c>
      <c r="F459">
        <v>102040.8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-0.21135646687696893</v>
      </c>
      <c r="Q459">
        <f t="shared" si="980"/>
        <v>-21566.982965299412</v>
      </c>
      <c r="R459">
        <f t="shared" si="981"/>
        <v>3234268.0504626501</v>
      </c>
      <c r="S459">
        <f t="shared" si="982"/>
        <v>32.3426805046265</v>
      </c>
      <c r="T459">
        <f t="shared" si="983"/>
        <v>3.2342680504626499E-2</v>
      </c>
    </row>
    <row r="460" spans="1:20" x14ac:dyDescent="0.25">
      <c r="A460" s="5">
        <v>44133</v>
      </c>
      <c r="B460">
        <v>1.0679000000000001</v>
      </c>
      <c r="C460">
        <v>1.0798000000000001</v>
      </c>
      <c r="D460">
        <v>1.0426</v>
      </c>
      <c r="E460">
        <v>1.0475000000000001</v>
      </c>
      <c r="F460">
        <v>128620.12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-0.73655913978494025</v>
      </c>
      <c r="Q460">
        <f t="shared" si="980"/>
        <v>-94736.324946235793</v>
      </c>
      <c r="R460">
        <f t="shared" si="981"/>
        <v>3255835.0334279495</v>
      </c>
      <c r="S460">
        <f t="shared" si="982"/>
        <v>32.558350334279496</v>
      </c>
      <c r="T460">
        <f t="shared" si="983"/>
        <v>3.2558350334279493E-2</v>
      </c>
    </row>
    <row r="461" spans="1:20" x14ac:dyDescent="0.25">
      <c r="A461" s="5">
        <v>44132</v>
      </c>
      <c r="B461">
        <v>1.091</v>
      </c>
      <c r="C461">
        <v>1.1061000000000001</v>
      </c>
      <c r="D461">
        <v>1.0478000000000001</v>
      </c>
      <c r="E461">
        <v>1.0636000000000001</v>
      </c>
      <c r="F461">
        <v>104411.07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-0.457975986277872</v>
      </c>
      <c r="Q461">
        <f t="shared" si="980"/>
        <v>-47817.762761577935</v>
      </c>
      <c r="R461">
        <f t="shared" si="981"/>
        <v>3350571.3583741854</v>
      </c>
      <c r="S461">
        <f t="shared" si="982"/>
        <v>33.505713583741851</v>
      </c>
      <c r="T461">
        <f t="shared" si="983"/>
        <v>3.3505713583741853E-2</v>
      </c>
    </row>
    <row r="462" spans="1:20" x14ac:dyDescent="0.25">
      <c r="A462" s="5">
        <v>44131</v>
      </c>
      <c r="B462">
        <v>1.0845</v>
      </c>
      <c r="C462">
        <v>1.125</v>
      </c>
      <c r="D462">
        <v>1.0680000000000001</v>
      </c>
      <c r="E462">
        <v>1.091</v>
      </c>
      <c r="F462">
        <v>136330.37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-0.1929824561403532</v>
      </c>
      <c r="Q462">
        <f t="shared" si="980"/>
        <v>-26309.369649123124</v>
      </c>
      <c r="R462">
        <f t="shared" si="981"/>
        <v>3398389.1211357634</v>
      </c>
      <c r="S462">
        <f t="shared" si="982"/>
        <v>33.983891211357637</v>
      </c>
      <c r="T462">
        <f t="shared" si="983"/>
        <v>3.3983891211357635E-2</v>
      </c>
    </row>
    <row r="463" spans="1:20" x14ac:dyDescent="0.25">
      <c r="A463" s="5">
        <v>44130</v>
      </c>
      <c r="B463">
        <v>1.1259999999999999</v>
      </c>
      <c r="C463">
        <v>1.1388</v>
      </c>
      <c r="D463">
        <v>1.0656000000000001</v>
      </c>
      <c r="E463">
        <v>1.0820000000000001</v>
      </c>
      <c r="F463">
        <v>103139.16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-0.55191256830601132</v>
      </c>
      <c r="Q463">
        <f t="shared" si="980"/>
        <v>-56923.798688524636</v>
      </c>
      <c r="R463">
        <f t="shared" si="981"/>
        <v>3424698.4907848863</v>
      </c>
      <c r="S463">
        <f t="shared" si="982"/>
        <v>34.246984907848862</v>
      </c>
      <c r="T463">
        <f t="shared" si="983"/>
        <v>3.424698490784886E-2</v>
      </c>
    </row>
    <row r="464" spans="1:20" x14ac:dyDescent="0.25">
      <c r="A464" s="5">
        <v>44129</v>
      </c>
      <c r="B464">
        <v>1.1241000000000001</v>
      </c>
      <c r="C464">
        <v>1.1436999999999999</v>
      </c>
      <c r="D464">
        <v>1.0955999999999999</v>
      </c>
      <c r="E464">
        <v>1.1316999999999999</v>
      </c>
      <c r="F464">
        <v>123762.81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0.5010395010395009</v>
      </c>
      <c r="Q464">
        <f t="shared" si="980"/>
        <v>62010.056569646549</v>
      </c>
      <c r="R464">
        <f t="shared" si="981"/>
        <v>3481622.2894734107</v>
      </c>
      <c r="S464">
        <f t="shared" si="982"/>
        <v>34.816222894734103</v>
      </c>
      <c r="T464">
        <f t="shared" si="983"/>
        <v>3.48162228947341E-2</v>
      </c>
    </row>
    <row r="465" spans="1:20" x14ac:dyDescent="0.25">
      <c r="A465" s="5">
        <v>44128</v>
      </c>
      <c r="B465">
        <v>1.1198999999999999</v>
      </c>
      <c r="C465">
        <v>1.1383000000000001</v>
      </c>
      <c r="D465">
        <v>1.1132</v>
      </c>
      <c r="E465">
        <v>1.1279999999999999</v>
      </c>
      <c r="F465">
        <v>93785.21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0.17928286852588465</v>
      </c>
      <c r="Q465">
        <f t="shared" si="980"/>
        <v>16814.081474102484</v>
      </c>
      <c r="R465">
        <f t="shared" si="981"/>
        <v>3419612.2329037641</v>
      </c>
      <c r="S465">
        <f t="shared" si="982"/>
        <v>34.196122329037642</v>
      </c>
      <c r="T465">
        <f t="shared" si="983"/>
        <v>3.419612232903764E-2</v>
      </c>
    </row>
    <row r="466" spans="1:20" x14ac:dyDescent="0.25">
      <c r="A466" s="5">
        <v>44127</v>
      </c>
      <c r="B466">
        <v>1.1122000000000001</v>
      </c>
      <c r="C466">
        <v>1.1298999999999999</v>
      </c>
      <c r="D466">
        <v>1.0900000000000001</v>
      </c>
      <c r="E466">
        <v>1.1200000000000001</v>
      </c>
      <c r="F466">
        <v>98817.35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0.50375939849624851</v>
      </c>
      <c r="Q466">
        <f t="shared" si="980"/>
        <v>49780.168796993268</v>
      </c>
      <c r="R466">
        <f t="shared" si="981"/>
        <v>3402798.1514296615</v>
      </c>
      <c r="S466">
        <f t="shared" si="982"/>
        <v>34.027981514296613</v>
      </c>
      <c r="T466">
        <f t="shared" si="983"/>
        <v>3.4027981514296611E-2</v>
      </c>
    </row>
    <row r="467" spans="1:20" x14ac:dyDescent="0.25">
      <c r="A467" s="5">
        <v>44126</v>
      </c>
      <c r="B467">
        <v>1.1025</v>
      </c>
      <c r="C467">
        <v>1.1297999999999999</v>
      </c>
      <c r="D467">
        <v>1.1016999999999999</v>
      </c>
      <c r="E467">
        <v>1.1187</v>
      </c>
      <c r="F467">
        <v>152842.73000000001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0.20996441281139627</v>
      </c>
      <c r="Q467">
        <f t="shared" si="980"/>
        <v>32091.534056940785</v>
      </c>
      <c r="R467">
        <f t="shared" si="981"/>
        <v>3353017.9826326682</v>
      </c>
      <c r="S467">
        <f t="shared" si="982"/>
        <v>33.53017982632668</v>
      </c>
      <c r="T467">
        <f t="shared" si="983"/>
        <v>3.3530179826326681E-2</v>
      </c>
    </row>
    <row r="468" spans="1:20" x14ac:dyDescent="0.25">
      <c r="A468" s="5">
        <v>44125</v>
      </c>
      <c r="B468">
        <v>1.0733999999999999</v>
      </c>
      <c r="C468">
        <v>1.1211</v>
      </c>
      <c r="D468">
        <v>1.0639000000000001</v>
      </c>
      <c r="E468">
        <v>1.0958000000000001</v>
      </c>
      <c r="F468">
        <v>130862.79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0.11538461538461837</v>
      </c>
      <c r="Q468">
        <f t="shared" si="980"/>
        <v>15099.552692308083</v>
      </c>
      <c r="R468">
        <f t="shared" si="981"/>
        <v>3320926.4485757276</v>
      </c>
      <c r="S468">
        <f t="shared" si="982"/>
        <v>33.209264485757274</v>
      </c>
      <c r="T468">
        <f t="shared" si="983"/>
        <v>3.3209264485757277E-2</v>
      </c>
    </row>
    <row r="469" spans="1:20" x14ac:dyDescent="0.25">
      <c r="A469" s="5">
        <v>44124</v>
      </c>
      <c r="B469">
        <v>1.0965</v>
      </c>
      <c r="C469">
        <v>1.1006</v>
      </c>
      <c r="D469">
        <v>1.0556000000000001</v>
      </c>
      <c r="E469">
        <v>1.0698000000000001</v>
      </c>
      <c r="F469">
        <v>127223.18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-0.36888888888888832</v>
      </c>
      <c r="Q469">
        <f t="shared" si="980"/>
        <v>-46931.217511111034</v>
      </c>
      <c r="R469">
        <f t="shared" si="981"/>
        <v>3305826.8958834196</v>
      </c>
      <c r="S469">
        <f t="shared" si="982"/>
        <v>33.058268958834198</v>
      </c>
      <c r="T469">
        <f t="shared" si="983"/>
        <v>3.3058268958834194E-2</v>
      </c>
    </row>
    <row r="470" spans="1:20" x14ac:dyDescent="0.25">
      <c r="A470" s="5">
        <v>44123</v>
      </c>
      <c r="B470">
        <v>1.1082000000000001</v>
      </c>
      <c r="C470">
        <v>1.1296999999999999</v>
      </c>
      <c r="D470">
        <v>1.0763</v>
      </c>
      <c r="E470">
        <v>1.0972999999999999</v>
      </c>
      <c r="F470">
        <v>153924.06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-0.21348314606741761</v>
      </c>
      <c r="Q470">
        <f t="shared" si="980"/>
        <v>-32860.192584269949</v>
      </c>
      <c r="R470">
        <f t="shared" si="981"/>
        <v>3352758.1133945305</v>
      </c>
      <c r="S470">
        <f t="shared" si="982"/>
        <v>33.527581133945304</v>
      </c>
      <c r="T470">
        <f t="shared" si="983"/>
        <v>3.3527581133945307E-2</v>
      </c>
    </row>
    <row r="471" spans="1:20" x14ac:dyDescent="0.25">
      <c r="A471" s="5">
        <v>44122</v>
      </c>
      <c r="B471">
        <v>1.0710999999999999</v>
      </c>
      <c r="C471">
        <v>1.1089</v>
      </c>
      <c r="D471">
        <v>1.06</v>
      </c>
      <c r="E471">
        <v>1.1041000000000001</v>
      </c>
      <c r="F471">
        <v>249975.75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0.80368098159509527</v>
      </c>
      <c r="Q471">
        <f t="shared" si="980"/>
        <v>200900.75613497014</v>
      </c>
      <c r="R471">
        <f t="shared" si="981"/>
        <v>3385618.3059788006</v>
      </c>
      <c r="S471">
        <f t="shared" si="982"/>
        <v>33.856183059788009</v>
      </c>
      <c r="T471">
        <f t="shared" si="983"/>
        <v>3.3856183059788006E-2</v>
      </c>
    </row>
    <row r="472" spans="1:20" x14ac:dyDescent="0.25">
      <c r="A472" s="5">
        <v>44121</v>
      </c>
      <c r="B472">
        <v>1.0660000000000001</v>
      </c>
      <c r="C472">
        <v>1.0828</v>
      </c>
      <c r="D472">
        <v>1.0572999999999999</v>
      </c>
      <c r="E472">
        <v>1.0693999999999999</v>
      </c>
      <c r="F472">
        <v>32228.26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-5.098039215686568E-2</v>
      </c>
      <c r="Q472">
        <f t="shared" si="980"/>
        <v>-1643.0093333334278</v>
      </c>
      <c r="R472">
        <f t="shared" si="981"/>
        <v>3184717.5498438305</v>
      </c>
      <c r="S472">
        <f t="shared" si="982"/>
        <v>31.847175498438304</v>
      </c>
      <c r="T472">
        <f t="shared" si="983"/>
        <v>3.1847175498438303E-2</v>
      </c>
    </row>
    <row r="473" spans="1:20" x14ac:dyDescent="0.25">
      <c r="A473" s="5">
        <v>44120</v>
      </c>
      <c r="B473">
        <v>1.1082000000000001</v>
      </c>
      <c r="C473">
        <v>1.1119000000000001</v>
      </c>
      <c r="D473">
        <v>1.0487</v>
      </c>
      <c r="E473">
        <v>1.0597000000000001</v>
      </c>
      <c r="F473">
        <v>114693.12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-0.65189873417721211</v>
      </c>
      <c r="Q473">
        <f t="shared" si="980"/>
        <v>-74768.29974683508</v>
      </c>
      <c r="R473">
        <f t="shared" si="981"/>
        <v>3186360.559177164</v>
      </c>
      <c r="S473">
        <f t="shared" si="982"/>
        <v>31.863605591771641</v>
      </c>
      <c r="T473">
        <f t="shared" si="983"/>
        <v>3.1863605591771642E-2</v>
      </c>
    </row>
    <row r="474" spans="1:20" x14ac:dyDescent="0.25">
      <c r="A474" s="5">
        <v>44119</v>
      </c>
      <c r="B474">
        <v>1.1209</v>
      </c>
      <c r="C474">
        <v>1.1229</v>
      </c>
      <c r="D474">
        <v>1.0787</v>
      </c>
      <c r="E474">
        <v>1.1066</v>
      </c>
      <c r="F474">
        <v>84553.93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0.26244343891402827</v>
      </c>
      <c r="Q474">
        <f t="shared" si="980"/>
        <v>22190.62416289602</v>
      </c>
      <c r="R474">
        <f t="shared" si="981"/>
        <v>3261128.8589239991</v>
      </c>
      <c r="S474">
        <f t="shared" si="982"/>
        <v>32.61128858923999</v>
      </c>
      <c r="T474">
        <f t="shared" si="983"/>
        <v>3.2611288589239992E-2</v>
      </c>
    </row>
    <row r="475" spans="1:20" x14ac:dyDescent="0.25">
      <c r="A475" s="5">
        <v>44118</v>
      </c>
      <c r="B475">
        <v>1.1465000000000001</v>
      </c>
      <c r="C475">
        <v>1.1553</v>
      </c>
      <c r="D475">
        <v>1.1100000000000001</v>
      </c>
      <c r="E475">
        <v>1.1167</v>
      </c>
      <c r="F475">
        <v>56645.57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-0.7041942604856537</v>
      </c>
      <c r="Q475">
        <f t="shared" si="980"/>
        <v>-39889.485275938328</v>
      </c>
      <c r="R475">
        <f t="shared" si="981"/>
        <v>3238938.2347611031</v>
      </c>
      <c r="S475">
        <f t="shared" si="982"/>
        <v>32.389382347611033</v>
      </c>
      <c r="T475">
        <f t="shared" si="983"/>
        <v>3.2389382347611032E-2</v>
      </c>
    </row>
    <row r="476" spans="1:20" x14ac:dyDescent="0.25">
      <c r="A476" s="5">
        <v>44117</v>
      </c>
      <c r="B476">
        <v>1.1578999999999999</v>
      </c>
      <c r="C476">
        <v>1.1773</v>
      </c>
      <c r="D476">
        <v>1.1236999999999999</v>
      </c>
      <c r="E476">
        <v>1.1465000000000001</v>
      </c>
      <c r="F476">
        <v>63062.45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-0.14925373134327932</v>
      </c>
      <c r="Q476">
        <f t="shared" si="980"/>
        <v>-9412.3059701489838</v>
      </c>
      <c r="R476">
        <f t="shared" si="981"/>
        <v>3278827.7200370412</v>
      </c>
      <c r="S476">
        <f t="shared" si="982"/>
        <v>32.788277200370409</v>
      </c>
      <c r="T476">
        <f t="shared" si="983"/>
        <v>3.2788277200370412E-2</v>
      </c>
    </row>
    <row r="477" spans="1:20" x14ac:dyDescent="0.25">
      <c r="A477" s="5">
        <v>44116</v>
      </c>
      <c r="B477">
        <v>1.1779999999999999</v>
      </c>
      <c r="C477">
        <v>1.1818</v>
      </c>
      <c r="D477">
        <v>1.1417999999999999</v>
      </c>
      <c r="E477">
        <v>1.159</v>
      </c>
      <c r="F477">
        <v>146701.01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-0.13999999999999557</v>
      </c>
      <c r="Q477">
        <f t="shared" si="980"/>
        <v>-20538.141399999353</v>
      </c>
      <c r="R477">
        <f t="shared" si="981"/>
        <v>3288240.0260071903</v>
      </c>
      <c r="S477">
        <f t="shared" si="982"/>
        <v>32.882400260071904</v>
      </c>
      <c r="T477">
        <f t="shared" si="983"/>
        <v>3.2882400260071901E-2</v>
      </c>
    </row>
    <row r="478" spans="1:20" x14ac:dyDescent="0.25">
      <c r="A478" s="5">
        <v>44115</v>
      </c>
      <c r="B478">
        <v>1.1677</v>
      </c>
      <c r="C478">
        <v>1.1994</v>
      </c>
      <c r="D478">
        <v>1.1585000000000001</v>
      </c>
      <c r="E478">
        <v>1.1787000000000001</v>
      </c>
      <c r="F478">
        <v>143844.95000000001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-1.2224938875304295E-2</v>
      </c>
      <c r="Q478">
        <f t="shared" si="980"/>
        <v>-1758.4957212712027</v>
      </c>
      <c r="R478">
        <f t="shared" si="981"/>
        <v>3308778.1674071895</v>
      </c>
      <c r="S478">
        <f t="shared" si="982"/>
        <v>33.087781674071898</v>
      </c>
      <c r="T478">
        <f t="shared" si="983"/>
        <v>3.3087781674071899E-2</v>
      </c>
    </row>
    <row r="479" spans="1:20" x14ac:dyDescent="0.25">
      <c r="A479" s="5">
        <v>44114</v>
      </c>
      <c r="B479">
        <v>1.1486000000000001</v>
      </c>
      <c r="C479">
        <v>1.2115</v>
      </c>
      <c r="D479">
        <v>1.1482000000000001</v>
      </c>
      <c r="E479">
        <v>1.1680999999999999</v>
      </c>
      <c r="F479">
        <v>217963.32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-0.37124802527646655</v>
      </c>
      <c r="Q479">
        <f t="shared" si="980"/>
        <v>-80918.452132702572</v>
      </c>
      <c r="R479">
        <f t="shared" si="981"/>
        <v>3310536.6631284608</v>
      </c>
      <c r="S479">
        <f t="shared" si="982"/>
        <v>33.10536663128461</v>
      </c>
      <c r="T479">
        <f t="shared" si="983"/>
        <v>3.3105366631284612E-2</v>
      </c>
    </row>
    <row r="480" spans="1:20" x14ac:dyDescent="0.25">
      <c r="A480" s="5">
        <v>44113</v>
      </c>
      <c r="B480">
        <v>1.0968</v>
      </c>
      <c r="C480">
        <v>1.175</v>
      </c>
      <c r="D480">
        <v>1.0726</v>
      </c>
      <c r="E480">
        <v>1.1486000000000001</v>
      </c>
      <c r="F480">
        <v>176764.5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0.48437500000000067</v>
      </c>
      <c r="Q480">
        <f t="shared" si="980"/>
        <v>85620.304687500116</v>
      </c>
      <c r="R480">
        <f t="shared" si="981"/>
        <v>3391455.1152611636</v>
      </c>
      <c r="S480">
        <f t="shared" si="982"/>
        <v>33.914551152611637</v>
      </c>
      <c r="T480">
        <f t="shared" si="983"/>
        <v>3.391455115261164E-2</v>
      </c>
    </row>
    <row r="481" spans="1:20" x14ac:dyDescent="0.25">
      <c r="A481" s="5">
        <v>44112</v>
      </c>
      <c r="B481">
        <v>1.0537000000000001</v>
      </c>
      <c r="C481">
        <v>1.1112</v>
      </c>
      <c r="D481">
        <v>1.0427</v>
      </c>
      <c r="E481">
        <v>1.0958000000000001</v>
      </c>
      <c r="F481">
        <v>80058.66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0.55036496350365383</v>
      </c>
      <c r="Q481">
        <f t="shared" si="980"/>
        <v>44061.481489051432</v>
      </c>
      <c r="R481">
        <f t="shared" si="981"/>
        <v>3305834.8105736636</v>
      </c>
      <c r="S481">
        <f t="shared" si="982"/>
        <v>33.058348105736634</v>
      </c>
      <c r="T481">
        <f t="shared" si="983"/>
        <v>3.3058348105736636E-2</v>
      </c>
    </row>
    <row r="482" spans="1:20" x14ac:dyDescent="0.25">
      <c r="A482" s="5">
        <v>44111</v>
      </c>
      <c r="B482">
        <v>1.0667</v>
      </c>
      <c r="C482">
        <v>1.0674999999999999</v>
      </c>
      <c r="D482">
        <v>1.0189999999999999</v>
      </c>
      <c r="E482">
        <v>1.0539000000000001</v>
      </c>
      <c r="F482">
        <v>148491.15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0.43917525773196547</v>
      </c>
      <c r="Q482">
        <f t="shared" si="980"/>
        <v>65213.639072165941</v>
      </c>
      <c r="R482">
        <f t="shared" si="981"/>
        <v>3261773.329084612</v>
      </c>
      <c r="S482">
        <f t="shared" si="982"/>
        <v>32.617733290846118</v>
      </c>
      <c r="T482">
        <f t="shared" si="983"/>
        <v>3.2617733290846121E-2</v>
      </c>
    </row>
    <row r="483" spans="1:20" x14ac:dyDescent="0.25">
      <c r="A483" s="5">
        <v>44110</v>
      </c>
      <c r="B483">
        <v>1.1100000000000001</v>
      </c>
      <c r="C483">
        <v>1.1174999999999999</v>
      </c>
      <c r="D483">
        <v>1.0668</v>
      </c>
      <c r="E483">
        <v>1.0689</v>
      </c>
      <c r="F483">
        <v>130499.23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-0.91715976331360982</v>
      </c>
      <c r="Q483">
        <f t="shared" si="980"/>
        <v>-119688.64289940833</v>
      </c>
      <c r="R483">
        <f t="shared" si="981"/>
        <v>3196559.6900124461</v>
      </c>
      <c r="S483">
        <f t="shared" si="982"/>
        <v>31.96559690012446</v>
      </c>
      <c r="T483">
        <f t="shared" si="983"/>
        <v>3.196559690012446E-2</v>
      </c>
    </row>
    <row r="484" spans="1:20" x14ac:dyDescent="0.25">
      <c r="A484" s="5">
        <v>44109</v>
      </c>
      <c r="B484">
        <v>1.1292</v>
      </c>
      <c r="C484">
        <v>1.1359999999999999</v>
      </c>
      <c r="D484">
        <v>1.0955999999999999</v>
      </c>
      <c r="E484">
        <v>1.1144000000000001</v>
      </c>
      <c r="F484">
        <v>109487.23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-6.9306930693061694E-2</v>
      </c>
      <c r="Q484">
        <f t="shared" si="980"/>
        <v>-7588.2238613853051</v>
      </c>
      <c r="R484">
        <f t="shared" si="981"/>
        <v>3316248.3329118546</v>
      </c>
      <c r="S484">
        <f t="shared" si="982"/>
        <v>33.162483329118544</v>
      </c>
      <c r="T484">
        <f t="shared" si="983"/>
        <v>3.3162483329118544E-2</v>
      </c>
    </row>
    <row r="485" spans="1:20" x14ac:dyDescent="0.25">
      <c r="A485" s="5">
        <v>44108</v>
      </c>
      <c r="B485">
        <v>1.1100000000000001</v>
      </c>
      <c r="C485">
        <v>1.1426000000000001</v>
      </c>
      <c r="D485">
        <v>1.0931999999999999</v>
      </c>
      <c r="E485">
        <v>1.1294999999999999</v>
      </c>
      <c r="F485">
        <v>68121.460000000006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0.46963562753036103</v>
      </c>
      <c r="Q485">
        <f t="shared" si="980"/>
        <v>31992.264615384393</v>
      </c>
      <c r="R485">
        <f t="shared" si="981"/>
        <v>3323836.5567732397</v>
      </c>
      <c r="S485">
        <f t="shared" si="982"/>
        <v>33.238365567732394</v>
      </c>
      <c r="T485">
        <f t="shared" si="983"/>
        <v>3.3238365567732395E-2</v>
      </c>
    </row>
    <row r="486" spans="1:20" x14ac:dyDescent="0.25">
      <c r="A486" s="5">
        <v>44107</v>
      </c>
      <c r="B486">
        <v>1.1059000000000001</v>
      </c>
      <c r="C486">
        <v>1.1177999999999999</v>
      </c>
      <c r="D486">
        <v>1.1009</v>
      </c>
      <c r="E486">
        <v>1.1101000000000001</v>
      </c>
      <c r="F486">
        <v>82887.899999999994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8.8757396449721096E-2</v>
      </c>
      <c r="Q486">
        <f t="shared" si="980"/>
        <v>7356.9142011848371</v>
      </c>
      <c r="R486">
        <f t="shared" si="981"/>
        <v>3291844.2921578554</v>
      </c>
      <c r="S486">
        <f t="shared" si="982"/>
        <v>32.918442921578553</v>
      </c>
      <c r="T486">
        <f t="shared" si="983"/>
        <v>3.2918442921578556E-2</v>
      </c>
    </row>
    <row r="487" spans="1:20" x14ac:dyDescent="0.25">
      <c r="A487" s="5">
        <v>44106</v>
      </c>
      <c r="B487">
        <v>1.1329</v>
      </c>
      <c r="C487">
        <v>1.1428</v>
      </c>
      <c r="D487">
        <v>1.0673999999999999</v>
      </c>
      <c r="E487">
        <v>1.1037999999999999</v>
      </c>
      <c r="F487">
        <v>167156.39000000001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-3.4482758620691688E-2</v>
      </c>
      <c r="Q487">
        <f t="shared" si="980"/>
        <v>-5764.0134482762023</v>
      </c>
      <c r="R487">
        <f t="shared" si="981"/>
        <v>3284487.3779566707</v>
      </c>
      <c r="S487">
        <f t="shared" si="982"/>
        <v>32.844873779566704</v>
      </c>
      <c r="T487">
        <f t="shared" si="983"/>
        <v>3.2844873779566706E-2</v>
      </c>
    </row>
    <row r="488" spans="1:20" x14ac:dyDescent="0.25">
      <c r="A488" s="5">
        <v>44105</v>
      </c>
      <c r="B488">
        <v>1.1812</v>
      </c>
      <c r="C488">
        <v>1.1946000000000001</v>
      </c>
      <c r="D488">
        <v>1.1003000000000001</v>
      </c>
      <c r="E488">
        <v>1.1321000000000001</v>
      </c>
      <c r="F488">
        <v>121687.4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-0.32555673382820716</v>
      </c>
      <c r="Q488">
        <f t="shared" si="980"/>
        <v>-39616.152492046574</v>
      </c>
      <c r="R488">
        <f t="shared" si="981"/>
        <v>3290251.3914049468</v>
      </c>
      <c r="S488">
        <f t="shared" si="982"/>
        <v>32.902513914049464</v>
      </c>
      <c r="T488">
        <f t="shared" si="983"/>
        <v>3.2902513914049462E-2</v>
      </c>
    </row>
    <row r="489" spans="1:20" x14ac:dyDescent="0.25">
      <c r="A489" s="5">
        <v>44104</v>
      </c>
      <c r="B489">
        <v>1.1819</v>
      </c>
      <c r="C489">
        <v>1.1830000000000001</v>
      </c>
      <c r="D489">
        <v>1.1499999999999999</v>
      </c>
      <c r="E489">
        <v>1.1767000000000001</v>
      </c>
      <c r="F489">
        <v>125765.59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0.6181818181818215</v>
      </c>
      <c r="Q489">
        <f t="shared" si="980"/>
        <v>77746.0010909095</v>
      </c>
      <c r="R489">
        <f t="shared" si="981"/>
        <v>3329867.5438969932</v>
      </c>
      <c r="S489">
        <f t="shared" si="982"/>
        <v>33.29867543896993</v>
      </c>
      <c r="T489">
        <f t="shared" si="983"/>
        <v>3.329867543896993E-2</v>
      </c>
    </row>
    <row r="490" spans="1:20" x14ac:dyDescent="0.25">
      <c r="A490" s="5">
        <v>44103</v>
      </c>
      <c r="B490">
        <v>1.1926000000000001</v>
      </c>
      <c r="C490">
        <v>1.206</v>
      </c>
      <c r="D490">
        <v>1.1596</v>
      </c>
      <c r="E490">
        <v>1.1820999999999999</v>
      </c>
      <c r="F490">
        <v>105732.5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-3.0172413793104914E-2</v>
      </c>
      <c r="Q490">
        <f t="shared" si="980"/>
        <v>-3190.2047413794653</v>
      </c>
      <c r="R490">
        <f t="shared" si="981"/>
        <v>3252121.5428060838</v>
      </c>
      <c r="S490">
        <f t="shared" si="982"/>
        <v>32.521215428060835</v>
      </c>
      <c r="T490">
        <f t="shared" si="983"/>
        <v>3.2521215428060836E-2</v>
      </c>
    </row>
    <row r="491" spans="1:20" x14ac:dyDescent="0.25">
      <c r="A491" s="5">
        <v>44102</v>
      </c>
      <c r="B491">
        <v>1.2119</v>
      </c>
      <c r="C491">
        <v>1.236</v>
      </c>
      <c r="D491">
        <v>1.1901999999999999</v>
      </c>
      <c r="E491">
        <v>1.1944999999999999</v>
      </c>
      <c r="F491">
        <v>207309.81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-0.81222707423580942</v>
      </c>
      <c r="Q491">
        <f t="shared" si="980"/>
        <v>-168382.64043668154</v>
      </c>
      <c r="R491">
        <f t="shared" si="981"/>
        <v>3255311.747547463</v>
      </c>
      <c r="S491">
        <f t="shared" si="982"/>
        <v>32.553117475474629</v>
      </c>
      <c r="T491">
        <f t="shared" si="983"/>
        <v>3.2553117475474631E-2</v>
      </c>
    </row>
    <row r="492" spans="1:20" x14ac:dyDescent="0.25">
      <c r="A492" s="5">
        <v>44101</v>
      </c>
      <c r="B492">
        <v>1.2226999999999999</v>
      </c>
      <c r="C492">
        <v>1.2383999999999999</v>
      </c>
      <c r="D492">
        <v>1.1647000000000001</v>
      </c>
      <c r="E492">
        <v>1.2111000000000001</v>
      </c>
      <c r="F492">
        <v>118739.75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0.25915875169606717</v>
      </c>
      <c r="Q492">
        <f t="shared" si="980"/>
        <v>30772.445386703093</v>
      </c>
      <c r="R492">
        <f t="shared" si="981"/>
        <v>3423694.3879841445</v>
      </c>
      <c r="S492">
        <f t="shared" si="982"/>
        <v>34.236943879841448</v>
      </c>
      <c r="T492">
        <f t="shared" si="983"/>
        <v>3.4236943879841449E-2</v>
      </c>
    </row>
    <row r="493" spans="1:20" x14ac:dyDescent="0.25">
      <c r="A493" s="5">
        <v>44100</v>
      </c>
      <c r="B493">
        <v>1.2</v>
      </c>
      <c r="C493">
        <v>1.2466999999999999</v>
      </c>
      <c r="D493">
        <v>1.1898</v>
      </c>
      <c r="E493">
        <v>1.2217</v>
      </c>
      <c r="F493">
        <v>141112.88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0.12126537785588988</v>
      </c>
      <c r="Q493">
        <f t="shared" si="980"/>
        <v>17112.106713532845</v>
      </c>
      <c r="R493">
        <f t="shared" si="981"/>
        <v>3392921.9425974414</v>
      </c>
      <c r="S493">
        <f t="shared" si="982"/>
        <v>33.929219425974416</v>
      </c>
      <c r="T493">
        <f t="shared" si="983"/>
        <v>3.3929219425974419E-2</v>
      </c>
    </row>
    <row r="494" spans="1:20" x14ac:dyDescent="0.25">
      <c r="A494" s="5">
        <v>44099</v>
      </c>
      <c r="B494">
        <v>1.2130000000000001</v>
      </c>
      <c r="C494">
        <v>1.2175</v>
      </c>
      <c r="D494">
        <v>1.1331</v>
      </c>
      <c r="E494">
        <v>1.2004999999999999</v>
      </c>
      <c r="F494">
        <v>215239.01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0.59715639810426258</v>
      </c>
      <c r="Q494">
        <f t="shared" si="980"/>
        <v>128531.35194312736</v>
      </c>
      <c r="R494">
        <f t="shared" si="981"/>
        <v>3375809.8358839084</v>
      </c>
      <c r="S494">
        <f t="shared" si="982"/>
        <v>33.758098358839085</v>
      </c>
      <c r="T494">
        <f t="shared" si="983"/>
        <v>3.3758098358839084E-2</v>
      </c>
    </row>
    <row r="495" spans="1:20" x14ac:dyDescent="0.25">
      <c r="A495" s="5">
        <v>44098</v>
      </c>
      <c r="B495">
        <v>1.1251</v>
      </c>
      <c r="C495">
        <v>1.2141999999999999</v>
      </c>
      <c r="D495">
        <v>1.111</v>
      </c>
      <c r="E495">
        <v>1.2097</v>
      </c>
      <c r="F495">
        <v>189163.6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0.91279069767441956</v>
      </c>
      <c r="Q495">
        <f t="shared" si="980"/>
        <v>172666.77441860485</v>
      </c>
      <c r="R495">
        <f t="shared" si="981"/>
        <v>3247278.4839407811</v>
      </c>
      <c r="S495">
        <f t="shared" si="982"/>
        <v>32.472784839407808</v>
      </c>
      <c r="T495">
        <f t="shared" si="983"/>
        <v>3.2472784839407805E-2</v>
      </c>
    </row>
    <row r="496" spans="1:20" x14ac:dyDescent="0.25">
      <c r="A496" s="5">
        <v>44097</v>
      </c>
      <c r="B496">
        <v>1.1988000000000001</v>
      </c>
      <c r="C496">
        <v>1.2768999999999999</v>
      </c>
      <c r="D496">
        <v>1.05</v>
      </c>
      <c r="E496">
        <v>1.1275999999999999</v>
      </c>
      <c r="F496">
        <v>391111.4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-0.3159982371088591</v>
      </c>
      <c r="Q496">
        <f t="shared" si="980"/>
        <v>-123590.51291317784</v>
      </c>
      <c r="R496">
        <f t="shared" si="981"/>
        <v>3074611.7095221761</v>
      </c>
      <c r="S496">
        <f t="shared" si="982"/>
        <v>30.746117095221759</v>
      </c>
      <c r="T496">
        <f t="shared" si="983"/>
        <v>3.0746117095221761E-2</v>
      </c>
    </row>
    <row r="497" spans="1:20" x14ac:dyDescent="0.25">
      <c r="A497" s="5">
        <v>44096</v>
      </c>
      <c r="B497">
        <v>1.2043999999999999</v>
      </c>
      <c r="C497">
        <v>1.2290000000000001</v>
      </c>
      <c r="D497">
        <v>1.1443000000000001</v>
      </c>
      <c r="E497">
        <v>1.1941999999999999</v>
      </c>
      <c r="F497">
        <v>217952.94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0.17827626918535619</v>
      </c>
      <c r="Q497">
        <f t="shared" si="980"/>
        <v>38855.837001179789</v>
      </c>
      <c r="R497">
        <f t="shared" si="981"/>
        <v>3198202.2224353538</v>
      </c>
      <c r="S497">
        <f t="shared" si="982"/>
        <v>31.982022224353539</v>
      </c>
      <c r="T497">
        <f t="shared" si="983"/>
        <v>3.1982022224353542E-2</v>
      </c>
    </row>
    <row r="498" spans="1:20" x14ac:dyDescent="0.25">
      <c r="A498" s="5">
        <v>44095</v>
      </c>
      <c r="B498">
        <v>1.3322000000000001</v>
      </c>
      <c r="C498">
        <v>1.45</v>
      </c>
      <c r="D498">
        <v>1.1449</v>
      </c>
      <c r="E498">
        <v>1.2051000000000001</v>
      </c>
      <c r="F498">
        <v>471448.24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-0.60537528679121566</v>
      </c>
      <c r="Q498">
        <f t="shared" si="980"/>
        <v>-285403.11349721387</v>
      </c>
      <c r="R498">
        <f t="shared" si="981"/>
        <v>3159346.385434174</v>
      </c>
      <c r="S498">
        <f t="shared" si="982"/>
        <v>31.593463854341739</v>
      </c>
      <c r="T498">
        <f t="shared" si="983"/>
        <v>3.1593463854341738E-2</v>
      </c>
    </row>
    <row r="499" spans="1:20" x14ac:dyDescent="0.25">
      <c r="A499" s="5">
        <v>44094</v>
      </c>
      <c r="B499">
        <v>1.3972</v>
      </c>
      <c r="C499">
        <v>1.3976</v>
      </c>
      <c r="D499">
        <v>1.3217000000000001</v>
      </c>
      <c r="E499">
        <v>1.3407</v>
      </c>
      <c r="F499">
        <v>86205.36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-0.49934123847167478</v>
      </c>
      <c r="Q499">
        <f t="shared" si="980"/>
        <v>-43045.891225296575</v>
      </c>
      <c r="R499">
        <f t="shared" si="981"/>
        <v>3444749.4989313879</v>
      </c>
      <c r="S499">
        <f t="shared" si="982"/>
        <v>34.447494989313881</v>
      </c>
      <c r="T499">
        <f t="shared" si="983"/>
        <v>3.4447494989313883E-2</v>
      </c>
    </row>
    <row r="500" spans="1:20" x14ac:dyDescent="0.25">
      <c r="A500" s="5">
        <v>44093</v>
      </c>
      <c r="B500">
        <v>1.3698999999999999</v>
      </c>
      <c r="C500">
        <v>1.4063000000000001</v>
      </c>
      <c r="D500">
        <v>1.3653999999999999</v>
      </c>
      <c r="E500">
        <v>1.3973</v>
      </c>
      <c r="F500">
        <v>104801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0.55990220048899342</v>
      </c>
      <c r="Q500">
        <f t="shared" si="980"/>
        <v>58678.310513447002</v>
      </c>
      <c r="R500">
        <f t="shared" si="981"/>
        <v>3487795.3901566844</v>
      </c>
      <c r="S500">
        <f t="shared" si="982"/>
        <v>34.877953901566848</v>
      </c>
      <c r="T500">
        <f t="shared" si="983"/>
        <v>3.4877953901566845E-2</v>
      </c>
    </row>
    <row r="501" spans="1:20" x14ac:dyDescent="0.25">
      <c r="A501" s="5">
        <v>44092</v>
      </c>
      <c r="B501">
        <v>1.379</v>
      </c>
      <c r="C501">
        <v>1.4404999999999999</v>
      </c>
      <c r="D501">
        <v>1.3460000000000001</v>
      </c>
      <c r="E501">
        <v>1.3672</v>
      </c>
      <c r="F501">
        <v>135638.39999999999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-0.55132275132275288</v>
      </c>
      <c r="Q501">
        <f t="shared" si="980"/>
        <v>-74780.535873016081</v>
      </c>
      <c r="R501">
        <f t="shared" si="981"/>
        <v>3429117.0796432374</v>
      </c>
      <c r="S501">
        <f t="shared" si="982"/>
        <v>34.291170796432375</v>
      </c>
      <c r="T501">
        <f t="shared" si="983"/>
        <v>3.4291170796432374E-2</v>
      </c>
    </row>
    <row r="502" spans="1:20" x14ac:dyDescent="0.25">
      <c r="A502" s="5">
        <v>44091</v>
      </c>
      <c r="B502">
        <v>1.3574999999999999</v>
      </c>
      <c r="C502">
        <v>1.3956999999999999</v>
      </c>
      <c r="D502">
        <v>1.3150999999999999</v>
      </c>
      <c r="E502">
        <v>1.3807</v>
      </c>
      <c r="F502">
        <v>179332.36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0.62779156327543673</v>
      </c>
      <c r="Q502">
        <f t="shared" si="980"/>
        <v>112583.34263027339</v>
      </c>
      <c r="R502">
        <f t="shared" si="981"/>
        <v>3503897.6155162533</v>
      </c>
      <c r="S502">
        <f t="shared" si="982"/>
        <v>35.03897615516253</v>
      </c>
      <c r="T502">
        <f t="shared" si="983"/>
        <v>3.5038976155162528E-2</v>
      </c>
    </row>
    <row r="503" spans="1:20" x14ac:dyDescent="0.25">
      <c r="A503" s="5">
        <v>44090</v>
      </c>
      <c r="B503">
        <v>1.3754999999999999</v>
      </c>
      <c r="C503">
        <v>1.3867</v>
      </c>
      <c r="D503">
        <v>1.3255999999999999</v>
      </c>
      <c r="E503">
        <v>1.3649</v>
      </c>
      <c r="F503">
        <v>237428.84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0.28641571194762727</v>
      </c>
      <c r="Q503">
        <f t="shared" si="980"/>
        <v>68003.350245499285</v>
      </c>
      <c r="R503">
        <f t="shared" si="981"/>
        <v>3391314.2728859801</v>
      </c>
      <c r="S503">
        <f t="shared" si="982"/>
        <v>33.913142728859803</v>
      </c>
      <c r="T503">
        <f t="shared" si="983"/>
        <v>3.3913142728859806E-2</v>
      </c>
    </row>
    <row r="504" spans="1:20" x14ac:dyDescent="0.25">
      <c r="A504" s="5">
        <v>44089</v>
      </c>
      <c r="B504">
        <v>1.4626999999999999</v>
      </c>
      <c r="C504">
        <v>1.4750000000000001</v>
      </c>
      <c r="D504">
        <v>1.3556999999999999</v>
      </c>
      <c r="E504">
        <v>1.3734999999999999</v>
      </c>
      <c r="F504">
        <v>335643.68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-0.70159262363788755</v>
      </c>
      <c r="Q504">
        <f t="shared" si="980"/>
        <v>-235485.13005867557</v>
      </c>
      <c r="R504">
        <f t="shared" si="981"/>
        <v>3323310.9226404806</v>
      </c>
      <c r="S504">
        <f t="shared" si="982"/>
        <v>33.233109226404807</v>
      </c>
      <c r="T504">
        <f t="shared" si="983"/>
        <v>3.3233109226404808E-2</v>
      </c>
    </row>
    <row r="505" spans="1:20" x14ac:dyDescent="0.25">
      <c r="A505" s="5">
        <v>44088</v>
      </c>
      <c r="B505">
        <v>1.4034</v>
      </c>
      <c r="C505">
        <v>1.5025999999999999</v>
      </c>
      <c r="D505">
        <v>1.3741000000000001</v>
      </c>
      <c r="E505">
        <v>1.4602999999999999</v>
      </c>
      <c r="F505">
        <v>485324.79999999999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0.34163424124513531</v>
      </c>
      <c r="Q505">
        <f t="shared" si="980"/>
        <v>165803.56980544704</v>
      </c>
      <c r="R505">
        <f t="shared" si="981"/>
        <v>3558796.0526991561</v>
      </c>
      <c r="S505">
        <f t="shared" si="982"/>
        <v>35.587960526991559</v>
      </c>
      <c r="T505">
        <f t="shared" si="983"/>
        <v>3.5587960526991556E-2</v>
      </c>
    </row>
    <row r="506" spans="1:20" x14ac:dyDescent="0.25">
      <c r="A506" s="5">
        <v>44087</v>
      </c>
      <c r="B506">
        <v>1.4811000000000001</v>
      </c>
      <c r="C506">
        <v>1.4946999999999999</v>
      </c>
      <c r="D506">
        <v>1.353</v>
      </c>
      <c r="E506">
        <v>1.4088000000000001</v>
      </c>
      <c r="F506">
        <v>258079.99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-0.21242060691601838</v>
      </c>
      <c r="Q506">
        <f t="shared" si="980"/>
        <v>-54821.508108679955</v>
      </c>
      <c r="R506">
        <f t="shared" si="981"/>
        <v>3392992.4828937091</v>
      </c>
      <c r="S506">
        <f t="shared" si="982"/>
        <v>33.929924828937089</v>
      </c>
      <c r="T506">
        <f t="shared" si="983"/>
        <v>3.3929924828937093E-2</v>
      </c>
    </row>
    <row r="507" spans="1:20" x14ac:dyDescent="0.25">
      <c r="A507" s="5">
        <v>44086</v>
      </c>
      <c r="B507">
        <v>1.4493</v>
      </c>
      <c r="C507">
        <v>1.4966999999999999</v>
      </c>
      <c r="D507">
        <v>1.43</v>
      </c>
      <c r="E507">
        <v>1.4911000000000001</v>
      </c>
      <c r="F507">
        <v>277935.8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0.83208395802099466</v>
      </c>
      <c r="Q507">
        <f t="shared" si="980"/>
        <v>231265.92053973157</v>
      </c>
      <c r="R507">
        <f t="shared" si="981"/>
        <v>3447813.9910023892</v>
      </c>
      <c r="S507">
        <f t="shared" si="982"/>
        <v>34.478139910023891</v>
      </c>
      <c r="T507">
        <f t="shared" si="983"/>
        <v>3.4478139910023894E-2</v>
      </c>
    </row>
    <row r="508" spans="1:20" x14ac:dyDescent="0.25">
      <c r="A508" s="5">
        <v>44085</v>
      </c>
      <c r="B508">
        <v>1.4516</v>
      </c>
      <c r="C508">
        <v>1.4811000000000001</v>
      </c>
      <c r="D508">
        <v>1.3876999999999999</v>
      </c>
      <c r="E508">
        <v>1.4494</v>
      </c>
      <c r="F508">
        <v>159359.16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0.32119914346895051</v>
      </c>
      <c r="Q508">
        <f t="shared" si="980"/>
        <v>51186.025695931443</v>
      </c>
      <c r="R508">
        <f t="shared" si="981"/>
        <v>3216548.0704626576</v>
      </c>
      <c r="S508">
        <f t="shared" si="982"/>
        <v>32.165480704626574</v>
      </c>
      <c r="T508">
        <f t="shared" si="983"/>
        <v>3.2165480704626576E-2</v>
      </c>
    </row>
    <row r="509" spans="1:20" x14ac:dyDescent="0.25">
      <c r="A509" s="5">
        <v>44084</v>
      </c>
      <c r="B509">
        <v>1.4006000000000001</v>
      </c>
      <c r="C509">
        <v>1.4811000000000001</v>
      </c>
      <c r="D509">
        <v>1.3815999999999999</v>
      </c>
      <c r="E509">
        <v>1.4541999999999999</v>
      </c>
      <c r="F509">
        <v>342638.82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0.45929648241205817</v>
      </c>
      <c r="Q509">
        <f t="shared" si="980"/>
        <v>157372.80476381836</v>
      </c>
      <c r="R509">
        <f t="shared" si="981"/>
        <v>3165362.044766726</v>
      </c>
      <c r="S509">
        <f t="shared" si="982"/>
        <v>31.653620447667258</v>
      </c>
      <c r="T509">
        <f t="shared" si="983"/>
        <v>3.1653620447667258E-2</v>
      </c>
    </row>
    <row r="510" spans="1:20" x14ac:dyDescent="0.25">
      <c r="A510" s="5">
        <v>44083</v>
      </c>
      <c r="B510">
        <v>1.3362000000000001</v>
      </c>
      <c r="C510">
        <v>1.4252</v>
      </c>
      <c r="D510">
        <v>1.3</v>
      </c>
      <c r="E510">
        <v>1.4000999999999999</v>
      </c>
      <c r="F510">
        <v>309362.57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0.59904153354632383</v>
      </c>
      <c r="Q510">
        <f t="shared" si="980"/>
        <v>185321.02835463197</v>
      </c>
      <c r="R510">
        <f t="shared" si="981"/>
        <v>3007989.2400029078</v>
      </c>
      <c r="S510">
        <f t="shared" si="982"/>
        <v>30.079892400029077</v>
      </c>
      <c r="T510">
        <f t="shared" si="983"/>
        <v>3.0079892400029076E-2</v>
      </c>
    </row>
    <row r="511" spans="1:20" x14ac:dyDescent="0.25">
      <c r="A511" s="5">
        <v>44082</v>
      </c>
      <c r="B511">
        <v>1.4096</v>
      </c>
      <c r="C511">
        <v>1.4136</v>
      </c>
      <c r="D511">
        <v>1.2909999999999999</v>
      </c>
      <c r="E511">
        <v>1.3407</v>
      </c>
      <c r="F511">
        <v>206352.33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-0.18923327895595335</v>
      </c>
      <c r="Q511">
        <f t="shared" si="980"/>
        <v>-39048.728026100936</v>
      </c>
      <c r="R511">
        <f t="shared" si="981"/>
        <v>2822668.2116482756</v>
      </c>
      <c r="S511">
        <f t="shared" si="982"/>
        <v>28.226682116482756</v>
      </c>
      <c r="T511">
        <f t="shared" si="983"/>
        <v>2.8226682116482757E-2</v>
      </c>
    </row>
    <row r="512" spans="1:20" x14ac:dyDescent="0.25">
      <c r="A512" s="5">
        <v>44081</v>
      </c>
      <c r="B512">
        <v>1.37</v>
      </c>
      <c r="C512">
        <v>1.4598</v>
      </c>
      <c r="D512">
        <v>1.2507999999999999</v>
      </c>
      <c r="E512">
        <v>1.4066000000000001</v>
      </c>
      <c r="F512">
        <v>404542.03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0.49090909090909191</v>
      </c>
      <c r="Q512">
        <f t="shared" si="980"/>
        <v>198593.3601818186</v>
      </c>
      <c r="R512">
        <f t="shared" si="981"/>
        <v>2861716.9396743765</v>
      </c>
      <c r="S512">
        <f t="shared" si="982"/>
        <v>28.617169396743765</v>
      </c>
      <c r="T512">
        <f t="shared" si="983"/>
        <v>2.8617169396743764E-2</v>
      </c>
    </row>
    <row r="513" spans="1:20" x14ac:dyDescent="0.25">
      <c r="A513" s="5">
        <v>44080</v>
      </c>
      <c r="B513">
        <v>1.3595999999999999</v>
      </c>
      <c r="C513">
        <v>1.4138999999999999</v>
      </c>
      <c r="D513">
        <v>1.2414000000000001</v>
      </c>
      <c r="E513">
        <v>1.37</v>
      </c>
      <c r="F513">
        <v>365308.45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0.4910144927536248</v>
      </c>
      <c r="Q513">
        <f t="shared" si="980"/>
        <v>179371.74327536291</v>
      </c>
      <c r="R513">
        <f t="shared" si="981"/>
        <v>2663123.5794925578</v>
      </c>
      <c r="S513">
        <f t="shared" si="982"/>
        <v>26.631235794925576</v>
      </c>
      <c r="T513">
        <f t="shared" si="983"/>
        <v>2.6631235794925576E-2</v>
      </c>
    </row>
    <row r="514" spans="1:20" x14ac:dyDescent="0.25">
      <c r="A514" s="5">
        <v>44079</v>
      </c>
      <c r="B514">
        <v>1.4948999999999999</v>
      </c>
      <c r="C514">
        <v>1.5577000000000001</v>
      </c>
      <c r="D514">
        <v>1.25</v>
      </c>
      <c r="E514">
        <v>1.3599000000000001</v>
      </c>
      <c r="F514">
        <v>504011.1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-0.28566785830354191</v>
      </c>
      <c r="Q514">
        <f t="shared" si="980"/>
        <v>-143979.7714982123</v>
      </c>
      <c r="R514">
        <f t="shared" si="981"/>
        <v>2483751.8362171948</v>
      </c>
      <c r="S514">
        <f t="shared" si="982"/>
        <v>24.837518362171949</v>
      </c>
      <c r="T514">
        <f t="shared" si="983"/>
        <v>2.4837518362171948E-2</v>
      </c>
    </row>
    <row r="515" spans="1:20" x14ac:dyDescent="0.25">
      <c r="A515" s="5">
        <v>44078</v>
      </c>
      <c r="B515">
        <v>1.4225000000000001</v>
      </c>
      <c r="C515">
        <v>1.6099000000000001</v>
      </c>
      <c r="D515">
        <v>1.3376999999999999</v>
      </c>
      <c r="E515">
        <v>1.5042</v>
      </c>
      <c r="F515">
        <v>622968.66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0.22336517266715619</v>
      </c>
      <c r="Q515">
        <f t="shared" si="980"/>
        <v>139149.50230712694</v>
      </c>
      <c r="R515">
        <f t="shared" si="981"/>
        <v>2627731.6077154069</v>
      </c>
      <c r="S515">
        <f t="shared" si="982"/>
        <v>26.277316077154069</v>
      </c>
      <c r="T515">
        <f t="shared" si="983"/>
        <v>2.627731607715407E-2</v>
      </c>
    </row>
    <row r="516" spans="1:20" x14ac:dyDescent="0.25">
      <c r="A516" s="5">
        <v>44077</v>
      </c>
      <c r="B516">
        <v>1.7484</v>
      </c>
      <c r="C516">
        <v>1.7569999999999999</v>
      </c>
      <c r="D516">
        <v>1.4</v>
      </c>
      <c r="E516">
        <v>1.4108000000000001</v>
      </c>
      <c r="F516">
        <v>702982.6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-0.93949579831932695</v>
      </c>
      <c r="Q516">
        <f t="shared" si="980"/>
        <v>-660449.19899159612</v>
      </c>
      <c r="R516">
        <f t="shared" si="981"/>
        <v>2488582.1054082802</v>
      </c>
      <c r="S516">
        <f t="shared" si="982"/>
        <v>24.8858210540828</v>
      </c>
      <c r="T516">
        <f t="shared" si="983"/>
        <v>2.48858210540828E-2</v>
      </c>
    </row>
    <row r="517" spans="1:20" x14ac:dyDescent="0.25">
      <c r="A517" s="5">
        <v>44076</v>
      </c>
      <c r="B517">
        <v>1.8526</v>
      </c>
      <c r="C517">
        <v>1.8846000000000001</v>
      </c>
      <c r="D517">
        <v>1.66</v>
      </c>
      <c r="E517">
        <v>1.75</v>
      </c>
      <c r="F517">
        <v>537465.1</v>
      </c>
      <c r="G517">
        <v>0</v>
      </c>
      <c r="L517" t="s">
        <v>7</v>
      </c>
      <c r="M517" t="s">
        <v>8</v>
      </c>
      <c r="N517" t="s">
        <v>7</v>
      </c>
      <c r="P517">
        <f t="shared" si="979"/>
        <v>-0.19857524487978606</v>
      </c>
      <c r="Q517">
        <f t="shared" si="980"/>
        <v>-106727.2638468387</v>
      </c>
      <c r="R517">
        <f t="shared" si="981"/>
        <v>3149031.3043998764</v>
      </c>
      <c r="S517">
        <f t="shared" si="982"/>
        <v>31.490313043998764</v>
      </c>
      <c r="T517">
        <f t="shared" si="983"/>
        <v>3.1490313043998762E-2</v>
      </c>
    </row>
    <row r="518" spans="1:20" x14ac:dyDescent="0.25">
      <c r="A518" s="5">
        <v>44075</v>
      </c>
      <c r="B518">
        <v>1.7890999999999999</v>
      </c>
      <c r="C518">
        <v>1.9722999999999999</v>
      </c>
      <c r="D518">
        <v>1.7452000000000001</v>
      </c>
      <c r="E518">
        <v>1.8573999999999999</v>
      </c>
      <c r="F518">
        <v>1196331.82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-1.1889035667107655E-2</v>
      </c>
      <c r="Q518">
        <f t="shared" ref="Q518:Q581" si="985">F518*P518</f>
        <v>-14223.231677675816</v>
      </c>
      <c r="R518">
        <f t="shared" ref="R518:R581" si="986">R519+Q518</f>
        <v>3255758.5682467152</v>
      </c>
      <c r="S518">
        <f t="shared" ref="S518:S581" si="987">R518/100000</f>
        <v>32.557585682467149</v>
      </c>
      <c r="T518">
        <f t="shared" ref="T518:T581" si="988">S518/1000</f>
        <v>3.2557585682467152E-2</v>
      </c>
    </row>
    <row r="519" spans="1:20" x14ac:dyDescent="0.25">
      <c r="A519" s="5">
        <v>44074</v>
      </c>
      <c r="B519">
        <v>1.7939000000000001</v>
      </c>
      <c r="C519">
        <v>1.8311999999999999</v>
      </c>
      <c r="D519">
        <v>1.74</v>
      </c>
      <c r="E519">
        <v>1.7822</v>
      </c>
      <c r="F519">
        <v>359746.64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-7.4561403508771065E-2</v>
      </c>
      <c r="Q519">
        <f t="shared" si="985"/>
        <v>-26823.214385964602</v>
      </c>
      <c r="R519">
        <f t="shared" si="986"/>
        <v>3269981.7999243909</v>
      </c>
      <c r="S519">
        <f t="shared" si="987"/>
        <v>32.699817999243912</v>
      </c>
      <c r="T519">
        <f t="shared" si="988"/>
        <v>3.2699817999243909E-2</v>
      </c>
    </row>
    <row r="520" spans="1:20" x14ac:dyDescent="0.25">
      <c r="A520" s="5">
        <v>44073</v>
      </c>
      <c r="B520">
        <v>1.85</v>
      </c>
      <c r="C520">
        <v>1.8794</v>
      </c>
      <c r="D520">
        <v>1.7605</v>
      </c>
      <c r="E520">
        <v>1.7939000000000001</v>
      </c>
      <c r="F520">
        <v>400785.96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-0.43818334735071329</v>
      </c>
      <c r="Q520">
        <f t="shared" si="985"/>
        <v>-175617.7335239691</v>
      </c>
      <c r="R520">
        <f t="shared" si="986"/>
        <v>3296805.0143103553</v>
      </c>
      <c r="S520">
        <f t="shared" si="987"/>
        <v>32.968050143103554</v>
      </c>
      <c r="T520">
        <f t="shared" si="988"/>
        <v>3.2968050143103556E-2</v>
      </c>
    </row>
    <row r="521" spans="1:20" x14ac:dyDescent="0.25">
      <c r="A521" s="5">
        <v>44072</v>
      </c>
      <c r="B521">
        <v>1.7914000000000001</v>
      </c>
      <c r="C521">
        <v>1.8898999999999999</v>
      </c>
      <c r="D521">
        <v>1.7548999999999999</v>
      </c>
      <c r="E521">
        <v>1.8512999999999999</v>
      </c>
      <c r="F521">
        <v>713605.58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0.42814814814814867</v>
      </c>
      <c r="Q521">
        <f t="shared" si="985"/>
        <v>305528.90758518555</v>
      </c>
      <c r="R521">
        <f t="shared" si="986"/>
        <v>3472422.7478343244</v>
      </c>
      <c r="S521">
        <f t="shared" si="987"/>
        <v>34.724227478343245</v>
      </c>
      <c r="T521">
        <f t="shared" si="988"/>
        <v>3.4724227478343243E-2</v>
      </c>
    </row>
    <row r="522" spans="1:20" x14ac:dyDescent="0.25">
      <c r="A522" s="5">
        <v>44071</v>
      </c>
      <c r="B522">
        <v>1.6431</v>
      </c>
      <c r="C522">
        <v>1.8024</v>
      </c>
      <c r="D522">
        <v>1.6106</v>
      </c>
      <c r="E522">
        <v>1.7887</v>
      </c>
      <c r="F522">
        <v>401130.87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0.85714285714285665</v>
      </c>
      <c r="Q522">
        <f t="shared" si="985"/>
        <v>343826.45999999979</v>
      </c>
      <c r="R522">
        <f t="shared" si="986"/>
        <v>3166893.8402491389</v>
      </c>
      <c r="S522">
        <f t="shared" si="987"/>
        <v>31.668938402491388</v>
      </c>
      <c r="T522">
        <f t="shared" si="988"/>
        <v>3.1668938402491388E-2</v>
      </c>
    </row>
    <row r="523" spans="1:20" x14ac:dyDescent="0.25">
      <c r="A523" s="5">
        <v>44070</v>
      </c>
      <c r="B523">
        <v>1.796</v>
      </c>
      <c r="C523">
        <v>1.8489</v>
      </c>
      <c r="D523">
        <v>1.5702</v>
      </c>
      <c r="E523">
        <v>1.6419999999999999</v>
      </c>
      <c r="F523">
        <v>528381.88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-0.48475062791532203</v>
      </c>
      <c r="Q523">
        <f t="shared" si="985"/>
        <v>-256133.44810907834</v>
      </c>
      <c r="R523">
        <f t="shared" si="986"/>
        <v>2823067.3802491389</v>
      </c>
      <c r="S523">
        <f t="shared" si="987"/>
        <v>28.230673802491388</v>
      </c>
      <c r="T523">
        <f t="shared" si="988"/>
        <v>2.8230673802491387E-2</v>
      </c>
    </row>
    <row r="524" spans="1:20" x14ac:dyDescent="0.25">
      <c r="A524" s="5">
        <v>44069</v>
      </c>
      <c r="B524">
        <v>1.7173</v>
      </c>
      <c r="C524">
        <v>1.8269</v>
      </c>
      <c r="D524">
        <v>1.51</v>
      </c>
      <c r="E524">
        <v>1.7996000000000001</v>
      </c>
      <c r="F524">
        <v>493220.53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0.82770590091511587</v>
      </c>
      <c r="Q524">
        <f t="shared" si="985"/>
        <v>408241.54313348094</v>
      </c>
      <c r="R524">
        <f t="shared" si="986"/>
        <v>3079200.8283582171</v>
      </c>
      <c r="S524">
        <f t="shared" si="987"/>
        <v>30.79200828358217</v>
      </c>
      <c r="T524">
        <f t="shared" si="988"/>
        <v>3.0792008283582171E-2</v>
      </c>
    </row>
    <row r="525" spans="1:20" x14ac:dyDescent="0.25">
      <c r="A525" s="5">
        <v>44068</v>
      </c>
      <c r="B525">
        <v>1.9060999999999999</v>
      </c>
      <c r="C525">
        <v>1.9139999999999999</v>
      </c>
      <c r="D525">
        <v>1.5</v>
      </c>
      <c r="E525">
        <v>1.7145999999999999</v>
      </c>
      <c r="F525">
        <v>785143.98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3.6714975845410343E-2</v>
      </c>
      <c r="Q525">
        <f t="shared" si="985"/>
        <v>28826.542260869341</v>
      </c>
      <c r="R525">
        <f t="shared" si="986"/>
        <v>2670959.2852247362</v>
      </c>
      <c r="S525">
        <f t="shared" si="987"/>
        <v>26.709592852247361</v>
      </c>
      <c r="T525">
        <f t="shared" si="988"/>
        <v>2.670959285224736E-2</v>
      </c>
    </row>
    <row r="526" spans="1:20" x14ac:dyDescent="0.25">
      <c r="A526" s="5">
        <v>44067</v>
      </c>
      <c r="B526">
        <v>1.8683000000000001</v>
      </c>
      <c r="C526">
        <v>1.9577</v>
      </c>
      <c r="D526">
        <v>1.8090999999999999</v>
      </c>
      <c r="E526">
        <v>1.9074</v>
      </c>
      <c r="F526">
        <v>469516.72</v>
      </c>
      <c r="G526">
        <v>0</v>
      </c>
      <c r="L526" t="s">
        <v>7</v>
      </c>
      <c r="M526" t="s">
        <v>8</v>
      </c>
      <c r="N526" t="s">
        <v>8</v>
      </c>
      <c r="P526">
        <f t="shared" si="984"/>
        <v>0.32301480484522221</v>
      </c>
      <c r="Q526">
        <f t="shared" si="985"/>
        <v>151660.85168236884</v>
      </c>
      <c r="R526">
        <f t="shared" si="986"/>
        <v>2642132.7429638668</v>
      </c>
      <c r="S526">
        <f t="shared" si="987"/>
        <v>26.421327429638669</v>
      </c>
      <c r="T526">
        <f t="shared" si="988"/>
        <v>2.642132742963867E-2</v>
      </c>
    </row>
    <row r="527" spans="1:20" x14ac:dyDescent="0.25">
      <c r="A527" s="5">
        <v>44066</v>
      </c>
      <c r="B527">
        <v>1.9229000000000001</v>
      </c>
      <c r="C527">
        <v>1.99</v>
      </c>
      <c r="D527">
        <v>1.7971999999999999</v>
      </c>
      <c r="E527">
        <v>1.8683000000000001</v>
      </c>
      <c r="F527">
        <v>655952.38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-0.26244813278008161</v>
      </c>
      <c r="Q527">
        <f t="shared" si="985"/>
        <v>-172153.47732365056</v>
      </c>
      <c r="R527">
        <f t="shared" si="986"/>
        <v>2490471.8912814981</v>
      </c>
      <c r="S527">
        <f t="shared" si="987"/>
        <v>24.904718912814982</v>
      </c>
      <c r="T527">
        <f t="shared" si="988"/>
        <v>2.4904718912814983E-2</v>
      </c>
    </row>
    <row r="528" spans="1:20" x14ac:dyDescent="0.25">
      <c r="A528" s="5">
        <v>44065</v>
      </c>
      <c r="B528">
        <v>1.8292999999999999</v>
      </c>
      <c r="C528">
        <v>1.9983</v>
      </c>
      <c r="D528">
        <v>1.7</v>
      </c>
      <c r="E528">
        <v>1.9255</v>
      </c>
      <c r="F528">
        <v>967852.74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0.51190077103587006</v>
      </c>
      <c r="Q528">
        <f t="shared" si="985"/>
        <v>495444.56385517947</v>
      </c>
      <c r="R528">
        <f t="shared" si="986"/>
        <v>2662625.3686051485</v>
      </c>
      <c r="S528">
        <f t="shared" si="987"/>
        <v>26.626253686051484</v>
      </c>
      <c r="T528">
        <f t="shared" si="988"/>
        <v>2.6626253686051485E-2</v>
      </c>
    </row>
    <row r="529" spans="1:20" x14ac:dyDescent="0.25">
      <c r="A529" s="5">
        <v>44064</v>
      </c>
      <c r="B529">
        <v>1.7553000000000001</v>
      </c>
      <c r="C529">
        <v>2.15</v>
      </c>
      <c r="D529">
        <v>1.75</v>
      </c>
      <c r="E529">
        <v>1.8389</v>
      </c>
      <c r="F529">
        <v>3753023.41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-0.55549999999999999</v>
      </c>
      <c r="Q529">
        <f t="shared" si="985"/>
        <v>-2084804.504255</v>
      </c>
      <c r="R529">
        <f t="shared" si="986"/>
        <v>2167180.8047499689</v>
      </c>
      <c r="S529">
        <f t="shared" si="987"/>
        <v>21.671808047499688</v>
      </c>
      <c r="T529">
        <f t="shared" si="988"/>
        <v>2.1671808047499689E-2</v>
      </c>
    </row>
    <row r="530" spans="1:20" x14ac:dyDescent="0.25">
      <c r="A530" s="5">
        <v>44063</v>
      </c>
      <c r="B530">
        <v>1.5822000000000001</v>
      </c>
      <c r="C530">
        <v>1.7625999999999999</v>
      </c>
      <c r="D530">
        <v>1.5201</v>
      </c>
      <c r="E530">
        <v>1.7564</v>
      </c>
      <c r="F530">
        <v>870876.06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0.94886597938144346</v>
      </c>
      <c r="Q530">
        <f t="shared" si="985"/>
        <v>826344.66559175274</v>
      </c>
      <c r="R530">
        <f t="shared" si="986"/>
        <v>4251985.309004969</v>
      </c>
      <c r="S530">
        <f t="shared" si="987"/>
        <v>42.519853090049686</v>
      </c>
      <c r="T530">
        <f t="shared" si="988"/>
        <v>4.2519853090049686E-2</v>
      </c>
    </row>
    <row r="531" spans="1:20" x14ac:dyDescent="0.25">
      <c r="A531" s="5">
        <v>44062</v>
      </c>
      <c r="B531">
        <v>1.6955</v>
      </c>
      <c r="C531">
        <v>1.6997</v>
      </c>
      <c r="D531">
        <v>1.4857</v>
      </c>
      <c r="E531">
        <v>1.5788</v>
      </c>
      <c r="F531">
        <v>559328.34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-0.12990654205607499</v>
      </c>
      <c r="Q531">
        <f t="shared" si="985"/>
        <v>-72660.410523364611</v>
      </c>
      <c r="R531">
        <f t="shared" si="986"/>
        <v>3425640.6434132159</v>
      </c>
      <c r="S531">
        <f t="shared" si="987"/>
        <v>34.25640643413216</v>
      </c>
      <c r="T531">
        <f t="shared" si="988"/>
        <v>3.4256406434132157E-2</v>
      </c>
    </row>
    <row r="532" spans="1:20" x14ac:dyDescent="0.25">
      <c r="A532" s="5">
        <v>44061</v>
      </c>
      <c r="B532">
        <v>1.7822</v>
      </c>
      <c r="C532">
        <v>1.81</v>
      </c>
      <c r="D532">
        <v>1.6221000000000001</v>
      </c>
      <c r="E532">
        <v>1.7033</v>
      </c>
      <c r="F532">
        <v>887542.03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-0.13571048430016011</v>
      </c>
      <c r="Q532">
        <f t="shared" si="985"/>
        <v>-120448.75872804724</v>
      </c>
      <c r="R532">
        <f t="shared" si="986"/>
        <v>3498301.0539365807</v>
      </c>
      <c r="S532">
        <f t="shared" si="987"/>
        <v>34.983010539365807</v>
      </c>
      <c r="T532">
        <f t="shared" si="988"/>
        <v>3.4983010539365804E-2</v>
      </c>
    </row>
    <row r="533" spans="1:20" x14ac:dyDescent="0.25">
      <c r="A533" s="5">
        <v>44060</v>
      </c>
      <c r="B533">
        <v>1.8078000000000001</v>
      </c>
      <c r="C533">
        <v>1.9139999999999999</v>
      </c>
      <c r="D533">
        <v>1.7059</v>
      </c>
      <c r="E533">
        <v>1.7895000000000001</v>
      </c>
      <c r="F533">
        <v>1044732.8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-0.19654012493993139</v>
      </c>
      <c r="Q533">
        <f t="shared" si="985"/>
        <v>-205331.91504084435</v>
      </c>
      <c r="R533">
        <f t="shared" si="986"/>
        <v>3618749.812664628</v>
      </c>
      <c r="S533">
        <f t="shared" si="987"/>
        <v>36.187498126646283</v>
      </c>
      <c r="T533">
        <f t="shared" si="988"/>
        <v>3.6187498126646282E-2</v>
      </c>
    </row>
    <row r="534" spans="1:20" x14ac:dyDescent="0.25">
      <c r="A534" s="5">
        <v>44059</v>
      </c>
      <c r="B534">
        <v>1.6831</v>
      </c>
      <c r="C534">
        <v>1.84</v>
      </c>
      <c r="D534">
        <v>1.6294999999999999</v>
      </c>
      <c r="E534">
        <v>1.8063</v>
      </c>
      <c r="F534">
        <v>619535.25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0.67980997624703043</v>
      </c>
      <c r="Q534">
        <f t="shared" si="985"/>
        <v>421166.24358669808</v>
      </c>
      <c r="R534">
        <f t="shared" si="986"/>
        <v>3824081.7277054726</v>
      </c>
      <c r="S534">
        <f t="shared" si="987"/>
        <v>38.240817277054724</v>
      </c>
      <c r="T534">
        <f t="shared" si="988"/>
        <v>3.8240817277054723E-2</v>
      </c>
    </row>
    <row r="535" spans="1:20" x14ac:dyDescent="0.25">
      <c r="A535" s="5">
        <v>44058</v>
      </c>
      <c r="B535">
        <v>1.7219</v>
      </c>
      <c r="C535">
        <v>1.7494000000000001</v>
      </c>
      <c r="D535">
        <v>1.6276999999999999</v>
      </c>
      <c r="E535">
        <v>1.6816</v>
      </c>
      <c r="F535">
        <v>689812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-0.11421528348397705</v>
      </c>
      <c r="Q535">
        <f t="shared" si="985"/>
        <v>-78787.07313064918</v>
      </c>
      <c r="R535">
        <f t="shared" si="986"/>
        <v>3402915.4841187745</v>
      </c>
      <c r="S535">
        <f t="shared" si="987"/>
        <v>34.029154841187747</v>
      </c>
      <c r="T535">
        <f t="shared" si="988"/>
        <v>3.402915484118775E-2</v>
      </c>
    </row>
    <row r="536" spans="1:20" x14ac:dyDescent="0.25">
      <c r="A536" s="5">
        <v>44057</v>
      </c>
      <c r="B536">
        <v>1.6738999999999999</v>
      </c>
      <c r="C536">
        <v>1.8423</v>
      </c>
      <c r="D536">
        <v>1.6475</v>
      </c>
      <c r="E536">
        <v>1.7219</v>
      </c>
      <c r="F536">
        <v>1451758.77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-0.23613963039014385</v>
      </c>
      <c r="Q536">
        <f t="shared" si="985"/>
        <v>-342817.77936344984</v>
      </c>
      <c r="R536">
        <f t="shared" si="986"/>
        <v>3481702.5572494236</v>
      </c>
      <c r="S536">
        <f t="shared" si="987"/>
        <v>34.817025572494238</v>
      </c>
      <c r="T536">
        <f t="shared" si="988"/>
        <v>3.4817025572494241E-2</v>
      </c>
    </row>
    <row r="537" spans="1:20" x14ac:dyDescent="0.25">
      <c r="A537" s="5">
        <v>44056</v>
      </c>
      <c r="B537">
        <v>1.4921</v>
      </c>
      <c r="C537">
        <v>1.7456</v>
      </c>
      <c r="D537">
        <v>1.4779</v>
      </c>
      <c r="E537">
        <v>1.6687000000000001</v>
      </c>
      <c r="F537">
        <v>3039781.5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0.42547627941725846</v>
      </c>
      <c r="Q537">
        <f t="shared" si="985"/>
        <v>1293354.9228614131</v>
      </c>
      <c r="R537">
        <f t="shared" si="986"/>
        <v>3824520.3366128732</v>
      </c>
      <c r="S537">
        <f t="shared" si="987"/>
        <v>38.245203366128735</v>
      </c>
      <c r="T537">
        <f t="shared" si="988"/>
        <v>3.8245203366128737E-2</v>
      </c>
    </row>
    <row r="538" spans="1:20" x14ac:dyDescent="0.25">
      <c r="A538" s="5">
        <v>44055</v>
      </c>
      <c r="B538">
        <v>1.4419</v>
      </c>
      <c r="C538">
        <v>1.5007999999999999</v>
      </c>
      <c r="D538">
        <v>1.3789</v>
      </c>
      <c r="E538">
        <v>1.4898</v>
      </c>
      <c r="F538">
        <v>539523.04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0.81952420016407046</v>
      </c>
      <c r="Q538">
        <f t="shared" si="985"/>
        <v>442152.18782608781</v>
      </c>
      <c r="R538">
        <f t="shared" si="986"/>
        <v>2531165.4137514601</v>
      </c>
      <c r="S538">
        <f t="shared" si="987"/>
        <v>25.311654137514601</v>
      </c>
      <c r="T538">
        <f t="shared" si="988"/>
        <v>2.53116541375146E-2</v>
      </c>
    </row>
    <row r="539" spans="1:20" x14ac:dyDescent="0.25">
      <c r="A539" s="5">
        <v>44054</v>
      </c>
      <c r="B539">
        <v>1.5438000000000001</v>
      </c>
      <c r="C539">
        <v>1.5683</v>
      </c>
      <c r="D539">
        <v>1.38</v>
      </c>
      <c r="E539">
        <v>1.4403999999999999</v>
      </c>
      <c r="F539">
        <v>750010.86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-0.35847052575677146</v>
      </c>
      <c r="Q539">
        <f t="shared" si="985"/>
        <v>-268856.78730748832</v>
      </c>
      <c r="R539">
        <f t="shared" si="986"/>
        <v>2089013.2259253724</v>
      </c>
      <c r="S539">
        <f t="shared" si="987"/>
        <v>20.890132259253726</v>
      </c>
      <c r="T539">
        <f t="shared" si="988"/>
        <v>2.0890132259253725E-2</v>
      </c>
    </row>
    <row r="540" spans="1:20" x14ac:dyDescent="0.25">
      <c r="A540" s="5">
        <v>44053</v>
      </c>
      <c r="B540">
        <v>1.5353000000000001</v>
      </c>
      <c r="C540">
        <v>1.5506</v>
      </c>
      <c r="D540">
        <v>1.4348000000000001</v>
      </c>
      <c r="E540">
        <v>1.5437000000000001</v>
      </c>
      <c r="F540">
        <v>716020.1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0.88082901554404303</v>
      </c>
      <c r="Q540">
        <f t="shared" si="985"/>
        <v>630691.27979274723</v>
      </c>
      <c r="R540">
        <f t="shared" si="986"/>
        <v>2357870.0132328607</v>
      </c>
      <c r="S540">
        <f t="shared" si="987"/>
        <v>23.578700132328606</v>
      </c>
      <c r="T540">
        <f t="shared" si="988"/>
        <v>2.3578700132328607E-2</v>
      </c>
    </row>
    <row r="541" spans="1:20" x14ac:dyDescent="0.25">
      <c r="A541" s="5">
        <v>44052</v>
      </c>
      <c r="B541">
        <v>1.5690999999999999</v>
      </c>
      <c r="C541">
        <v>1.6045</v>
      </c>
      <c r="D541">
        <v>1.4648000000000001</v>
      </c>
      <c r="E541">
        <v>1.5298</v>
      </c>
      <c r="F541">
        <v>743307.08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-6.9434502505368978E-2</v>
      </c>
      <c r="Q541">
        <f t="shared" si="985"/>
        <v>-51611.157308518494</v>
      </c>
      <c r="R541">
        <f t="shared" si="986"/>
        <v>1727178.7334401137</v>
      </c>
      <c r="S541">
        <f t="shared" si="987"/>
        <v>17.271787334401136</v>
      </c>
      <c r="T541">
        <f t="shared" si="988"/>
        <v>1.7271787334401136E-2</v>
      </c>
    </row>
    <row r="542" spans="1:20" x14ac:dyDescent="0.25">
      <c r="A542" s="5">
        <v>44051</v>
      </c>
      <c r="B542">
        <v>1.405</v>
      </c>
      <c r="C542">
        <v>1.59</v>
      </c>
      <c r="D542">
        <v>1.3815999999999999</v>
      </c>
      <c r="E542">
        <v>1.5664</v>
      </c>
      <c r="F542">
        <v>1373685.04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0.77351247600767703</v>
      </c>
      <c r="Q542">
        <f t="shared" si="985"/>
        <v>1062562.5165451048</v>
      </c>
      <c r="R542">
        <f t="shared" si="986"/>
        <v>1778789.8907486321</v>
      </c>
      <c r="S542">
        <f t="shared" si="987"/>
        <v>17.787898907486323</v>
      </c>
      <c r="T542">
        <f t="shared" si="988"/>
        <v>1.7787898907486322E-2</v>
      </c>
    </row>
    <row r="543" spans="1:20" x14ac:dyDescent="0.25">
      <c r="A543" s="5">
        <v>44050</v>
      </c>
      <c r="B543">
        <v>1.3900999999999999</v>
      </c>
      <c r="C543">
        <v>1.4359</v>
      </c>
      <c r="D543">
        <v>1.3384</v>
      </c>
      <c r="E543">
        <v>1.405</v>
      </c>
      <c r="F543">
        <v>669043.39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0.36615384615384711</v>
      </c>
      <c r="Q543">
        <f t="shared" si="985"/>
        <v>244972.81049230834</v>
      </c>
      <c r="R543">
        <f t="shared" si="986"/>
        <v>716227.37420352735</v>
      </c>
      <c r="S543">
        <f t="shared" si="987"/>
        <v>7.1622737420352731</v>
      </c>
      <c r="T543">
        <f t="shared" si="988"/>
        <v>7.1622737420352729E-3</v>
      </c>
    </row>
    <row r="544" spans="1:20" x14ac:dyDescent="0.25">
      <c r="A544" s="5">
        <v>44049</v>
      </c>
      <c r="B544">
        <v>1.3280000000000001</v>
      </c>
      <c r="C544">
        <v>1.4</v>
      </c>
      <c r="D544">
        <v>1.2861</v>
      </c>
      <c r="E544">
        <v>1.3880999999999999</v>
      </c>
      <c r="F544">
        <v>618337.06000000006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0.79104477611940238</v>
      </c>
      <c r="Q544">
        <f t="shared" si="985"/>
        <v>489132.30119402951</v>
      </c>
      <c r="R544">
        <f t="shared" si="986"/>
        <v>471254.56371121906</v>
      </c>
      <c r="S544">
        <f t="shared" si="987"/>
        <v>4.712545637112191</v>
      </c>
      <c r="T544">
        <f t="shared" si="988"/>
        <v>4.7125456371121914E-3</v>
      </c>
    </row>
    <row r="545" spans="1:20" x14ac:dyDescent="0.25">
      <c r="A545" s="5">
        <v>44048</v>
      </c>
      <c r="B545">
        <v>1.2791999999999999</v>
      </c>
      <c r="C545">
        <v>1.3489</v>
      </c>
      <c r="D545">
        <v>1.2667999999999999</v>
      </c>
      <c r="E545">
        <v>1.3243</v>
      </c>
      <c r="F545">
        <v>505959.91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0.40073081607795524</v>
      </c>
      <c r="Q545">
        <f t="shared" si="985"/>
        <v>202753.72763702879</v>
      </c>
      <c r="R545">
        <f t="shared" si="986"/>
        <v>-17877.737482810451</v>
      </c>
      <c r="S545">
        <f t="shared" si="987"/>
        <v>-0.17877737482810452</v>
      </c>
      <c r="T545">
        <f t="shared" si="988"/>
        <v>-1.7877737482810451E-4</v>
      </c>
    </row>
    <row r="546" spans="1:20" x14ac:dyDescent="0.25">
      <c r="A546" s="5">
        <v>44047</v>
      </c>
      <c r="B546">
        <v>1.2694000000000001</v>
      </c>
      <c r="C546">
        <v>1.2915000000000001</v>
      </c>
      <c r="D546">
        <v>1.2351000000000001</v>
      </c>
      <c r="E546">
        <v>1.2783</v>
      </c>
      <c r="F546">
        <v>194009.02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0.53191489361701771</v>
      </c>
      <c r="Q546">
        <f t="shared" si="985"/>
        <v>103196.28723404185</v>
      </c>
      <c r="R546">
        <f t="shared" si="986"/>
        <v>-220631.46511983924</v>
      </c>
      <c r="S546">
        <f t="shared" si="987"/>
        <v>-2.2063146511983924</v>
      </c>
      <c r="T546">
        <f t="shared" si="988"/>
        <v>-2.2063146511983925E-3</v>
      </c>
    </row>
    <row r="547" spans="1:20" x14ac:dyDescent="0.25">
      <c r="A547" s="5">
        <v>44046</v>
      </c>
      <c r="B547">
        <v>1.2411000000000001</v>
      </c>
      <c r="C547">
        <v>1.3455999999999999</v>
      </c>
      <c r="D547">
        <v>1.2351000000000001</v>
      </c>
      <c r="E547">
        <v>1.2695000000000001</v>
      </c>
      <c r="F547">
        <v>217925.79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-0.37737556561085894</v>
      </c>
      <c r="Q547">
        <f t="shared" si="985"/>
        <v>-82239.868262443269</v>
      </c>
      <c r="R547">
        <f t="shared" si="986"/>
        <v>-323827.75235388108</v>
      </c>
      <c r="S547">
        <f t="shared" si="987"/>
        <v>-3.2382775235388106</v>
      </c>
      <c r="T547">
        <f t="shared" si="988"/>
        <v>-3.2382775235388107E-3</v>
      </c>
    </row>
    <row r="548" spans="1:20" x14ac:dyDescent="0.25">
      <c r="A548" s="5">
        <v>44045</v>
      </c>
      <c r="B548">
        <v>1.3263</v>
      </c>
      <c r="C548">
        <v>1.3593</v>
      </c>
      <c r="D548">
        <v>1.22</v>
      </c>
      <c r="E548">
        <v>1.2446999999999999</v>
      </c>
      <c r="F548">
        <v>312152.2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-0.64536970567121399</v>
      </c>
      <c r="Q548">
        <f t="shared" si="985"/>
        <v>-201453.57343862194</v>
      </c>
      <c r="R548">
        <f t="shared" si="986"/>
        <v>-241587.88409143779</v>
      </c>
      <c r="S548">
        <f t="shared" si="987"/>
        <v>-2.4158788409143779</v>
      </c>
      <c r="T548">
        <f t="shared" si="988"/>
        <v>-2.4158788409143778E-3</v>
      </c>
    </row>
    <row r="549" spans="1:20" x14ac:dyDescent="0.25">
      <c r="A549" s="5">
        <v>44044</v>
      </c>
      <c r="B549">
        <v>1.2719</v>
      </c>
      <c r="C549">
        <v>1.359</v>
      </c>
      <c r="D549">
        <v>1.2664</v>
      </c>
      <c r="E549">
        <v>1.3233999999999999</v>
      </c>
      <c r="F549">
        <v>347690.07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0.23110151187904818</v>
      </c>
      <c r="Q549">
        <f t="shared" si="985"/>
        <v>80351.700842332095</v>
      </c>
      <c r="R549">
        <f t="shared" si="986"/>
        <v>-40134.310652815868</v>
      </c>
      <c r="S549">
        <f t="shared" si="987"/>
        <v>-0.40134310652815869</v>
      </c>
      <c r="T549">
        <f t="shared" si="988"/>
        <v>-4.0134310652815871E-4</v>
      </c>
    </row>
    <row r="550" spans="1:20" x14ac:dyDescent="0.25">
      <c r="A550" s="5">
        <v>44043</v>
      </c>
      <c r="B550">
        <v>1.2628999999999999</v>
      </c>
      <c r="C550">
        <v>1.3041</v>
      </c>
      <c r="D550">
        <v>1.2589999999999999</v>
      </c>
      <c r="E550">
        <v>1.2688999999999999</v>
      </c>
      <c r="F550">
        <v>194374.87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-0.56097560975609806</v>
      </c>
      <c r="Q550">
        <f t="shared" si="985"/>
        <v>-109039.5612195123</v>
      </c>
      <c r="R550">
        <f t="shared" si="986"/>
        <v>-120486.01149514796</v>
      </c>
      <c r="S550">
        <f t="shared" si="987"/>
        <v>-1.2048601149514797</v>
      </c>
      <c r="T550">
        <f t="shared" si="988"/>
        <v>-1.2048601149514796E-3</v>
      </c>
    </row>
    <row r="551" spans="1:20" x14ac:dyDescent="0.25">
      <c r="A551" s="5">
        <v>44042</v>
      </c>
      <c r="B551">
        <v>1.2765</v>
      </c>
      <c r="C551">
        <v>1.2951999999999999</v>
      </c>
      <c r="D551">
        <v>1.2545999999999999</v>
      </c>
      <c r="E551">
        <v>1.2609999999999999</v>
      </c>
      <c r="F551">
        <v>129228.83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-0.68472906403941058</v>
      </c>
      <c r="Q551">
        <f t="shared" si="985"/>
        <v>-88486.73581280811</v>
      </c>
      <c r="R551">
        <f t="shared" si="986"/>
        <v>-11446.450275635667</v>
      </c>
      <c r="S551">
        <f t="shared" si="987"/>
        <v>-0.11446450275635667</v>
      </c>
      <c r="T551">
        <f t="shared" si="988"/>
        <v>-1.1446450275635667E-4</v>
      </c>
    </row>
    <row r="552" spans="1:20" x14ac:dyDescent="0.25">
      <c r="A552" s="5">
        <v>44041</v>
      </c>
      <c r="B552">
        <v>1.2625</v>
      </c>
      <c r="C552">
        <v>1.2861</v>
      </c>
      <c r="D552">
        <v>1.2446999999999999</v>
      </c>
      <c r="E552">
        <v>1.272</v>
      </c>
      <c r="F552">
        <v>136186.67000000001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0.31884057971014657</v>
      </c>
      <c r="Q552">
        <f t="shared" si="985"/>
        <v>43421.836811594432</v>
      </c>
      <c r="R552">
        <f t="shared" si="986"/>
        <v>77040.285537172444</v>
      </c>
      <c r="S552">
        <f t="shared" si="987"/>
        <v>0.77040285537172448</v>
      </c>
      <c r="T552">
        <f t="shared" si="988"/>
        <v>7.7040285537172452E-4</v>
      </c>
    </row>
    <row r="553" spans="1:20" x14ac:dyDescent="0.25">
      <c r="A553" s="5">
        <v>44040</v>
      </c>
      <c r="B553">
        <v>1.2317</v>
      </c>
      <c r="C553">
        <v>1.268</v>
      </c>
      <c r="D553">
        <v>1.2096</v>
      </c>
      <c r="E553">
        <v>1.2593000000000001</v>
      </c>
      <c r="F553">
        <v>139704.54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0.70205479452055042</v>
      </c>
      <c r="Q553">
        <f t="shared" si="985"/>
        <v>98080.24212328803</v>
      </c>
      <c r="R553">
        <f t="shared" si="986"/>
        <v>33618.448725578011</v>
      </c>
      <c r="S553">
        <f t="shared" si="987"/>
        <v>0.3361844872557801</v>
      </c>
      <c r="T553">
        <f t="shared" si="988"/>
        <v>3.3618448725578011E-4</v>
      </c>
    </row>
    <row r="554" spans="1:20" x14ac:dyDescent="0.25">
      <c r="A554" s="5">
        <v>44039</v>
      </c>
      <c r="B554">
        <v>1.2673000000000001</v>
      </c>
      <c r="C554">
        <v>1.2748999999999999</v>
      </c>
      <c r="D554">
        <v>1.0449999999999999</v>
      </c>
      <c r="E554">
        <v>1.2284999999999999</v>
      </c>
      <c r="F554">
        <v>418596.36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0.59634623749456284</v>
      </c>
      <c r="Q554">
        <f t="shared" si="985"/>
        <v>249628.36431491951</v>
      </c>
      <c r="R554">
        <f t="shared" si="986"/>
        <v>-64461.793397710018</v>
      </c>
      <c r="S554">
        <f t="shared" si="987"/>
        <v>-0.64461793397710021</v>
      </c>
      <c r="T554">
        <f t="shared" si="988"/>
        <v>-6.4461793397710019E-4</v>
      </c>
    </row>
    <row r="555" spans="1:20" x14ac:dyDescent="0.25">
      <c r="A555" s="5">
        <v>44038</v>
      </c>
      <c r="B555">
        <v>1.2721</v>
      </c>
      <c r="C555">
        <v>1.2929999999999999</v>
      </c>
      <c r="D555">
        <v>1.2315</v>
      </c>
      <c r="E555">
        <v>1.2673000000000001</v>
      </c>
      <c r="F555">
        <v>190727.7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0.16422764227642664</v>
      </c>
      <c r="Q555">
        <f t="shared" si="985"/>
        <v>31322.760487805619</v>
      </c>
      <c r="R555">
        <f t="shared" si="986"/>
        <v>-314090.15771262953</v>
      </c>
      <c r="S555">
        <f t="shared" si="987"/>
        <v>-3.1409015771262951</v>
      </c>
      <c r="T555">
        <f t="shared" si="988"/>
        <v>-3.1409015771262953E-3</v>
      </c>
    </row>
    <row r="556" spans="1:20" x14ac:dyDescent="0.25">
      <c r="A556" s="5">
        <v>44037</v>
      </c>
      <c r="B556">
        <v>1.2494000000000001</v>
      </c>
      <c r="C556">
        <v>1.3081</v>
      </c>
      <c r="D556">
        <v>1.2462</v>
      </c>
      <c r="E556">
        <v>1.2783</v>
      </c>
      <c r="F556">
        <v>259134.38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3.7156704361873447E-2</v>
      </c>
      <c r="Q556">
        <f t="shared" si="985"/>
        <v>9628.5795476573712</v>
      </c>
      <c r="R556">
        <f t="shared" si="986"/>
        <v>-345412.91820043518</v>
      </c>
      <c r="S556">
        <f t="shared" si="987"/>
        <v>-3.4541291820043516</v>
      </c>
      <c r="T556">
        <f t="shared" si="988"/>
        <v>-3.4541291820043515E-3</v>
      </c>
    </row>
    <row r="557" spans="1:20" x14ac:dyDescent="0.25">
      <c r="A557" s="5">
        <v>44036</v>
      </c>
      <c r="B557">
        <v>1.2791999999999999</v>
      </c>
      <c r="C557">
        <v>1.2809999999999999</v>
      </c>
      <c r="D557">
        <v>1.2396</v>
      </c>
      <c r="E557">
        <v>1.2471000000000001</v>
      </c>
      <c r="F557">
        <v>126703.25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-0.6376811594202858</v>
      </c>
      <c r="Q557">
        <f t="shared" si="985"/>
        <v>-80796.275362318323</v>
      </c>
      <c r="R557">
        <f t="shared" si="986"/>
        <v>-355041.49774809257</v>
      </c>
      <c r="S557">
        <f t="shared" si="987"/>
        <v>-3.5504149774809259</v>
      </c>
      <c r="T557">
        <f t="shared" si="988"/>
        <v>-3.5504149774809261E-3</v>
      </c>
    </row>
    <row r="558" spans="1:20" x14ac:dyDescent="0.25">
      <c r="A558" s="5">
        <v>44035</v>
      </c>
      <c r="B558">
        <v>1.2828999999999999</v>
      </c>
      <c r="C558">
        <v>1.2931999999999999</v>
      </c>
      <c r="D558">
        <v>1.25</v>
      </c>
      <c r="E558">
        <v>1.2791999999999999</v>
      </c>
      <c r="F558">
        <v>202276.89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0.35185185185184986</v>
      </c>
      <c r="Q558">
        <f t="shared" si="985"/>
        <v>71171.498333332929</v>
      </c>
      <c r="R558">
        <f t="shared" si="986"/>
        <v>-274245.22238577425</v>
      </c>
      <c r="S558">
        <f t="shared" si="987"/>
        <v>-2.7424522238577427</v>
      </c>
      <c r="T558">
        <f t="shared" si="988"/>
        <v>-2.7424522238577425E-3</v>
      </c>
    </row>
    <row r="559" spans="1:20" x14ac:dyDescent="0.25">
      <c r="A559" s="5">
        <v>44034</v>
      </c>
      <c r="B559">
        <v>1.2858000000000001</v>
      </c>
      <c r="C559">
        <v>1.2858000000000001</v>
      </c>
      <c r="D559">
        <v>1.2549999999999999</v>
      </c>
      <c r="E559">
        <v>1.2768999999999999</v>
      </c>
      <c r="F559">
        <v>144154.9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0.42207792207791667</v>
      </c>
      <c r="Q559">
        <f t="shared" si="985"/>
        <v>60844.600649349864</v>
      </c>
      <c r="R559">
        <f t="shared" si="986"/>
        <v>-345416.72071910719</v>
      </c>
      <c r="S559">
        <f t="shared" si="987"/>
        <v>-3.4541672071910718</v>
      </c>
      <c r="T559">
        <f t="shared" si="988"/>
        <v>-3.4541672071910718E-3</v>
      </c>
    </row>
    <row r="560" spans="1:20" x14ac:dyDescent="0.25">
      <c r="A560" s="5">
        <v>44033</v>
      </c>
      <c r="B560">
        <v>1.2628999999999999</v>
      </c>
      <c r="C560">
        <v>1.3127</v>
      </c>
      <c r="D560">
        <v>1.2375</v>
      </c>
      <c r="E560">
        <v>1.2849999999999999</v>
      </c>
      <c r="F560">
        <v>298684.68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0.26329787234042334</v>
      </c>
      <c r="Q560">
        <f t="shared" si="985"/>
        <v>78643.040744680198</v>
      </c>
      <c r="R560">
        <f t="shared" si="986"/>
        <v>-406261.32136845705</v>
      </c>
      <c r="S560">
        <f t="shared" si="987"/>
        <v>-4.0626132136845703</v>
      </c>
      <c r="T560">
        <f t="shared" si="988"/>
        <v>-4.0626132136845705E-3</v>
      </c>
    </row>
    <row r="561" spans="1:104" x14ac:dyDescent="0.25">
      <c r="A561" s="5">
        <v>44032</v>
      </c>
      <c r="B561">
        <v>1.2239</v>
      </c>
      <c r="C561">
        <v>1.27</v>
      </c>
      <c r="D561">
        <v>1.21</v>
      </c>
      <c r="E561">
        <v>1.2627999999999999</v>
      </c>
      <c r="F561">
        <v>247231.03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0.75999999999999701</v>
      </c>
      <c r="Q561">
        <f t="shared" si="985"/>
        <v>187895.58279999925</v>
      </c>
      <c r="R561">
        <f t="shared" si="986"/>
        <v>-484904.36211313726</v>
      </c>
      <c r="S561">
        <f t="shared" si="987"/>
        <v>-4.849043621131373</v>
      </c>
      <c r="T561">
        <f t="shared" si="988"/>
        <v>-4.8490436211313728E-3</v>
      </c>
      <c r="CZ561" t="s">
        <v>7</v>
      </c>
    </row>
    <row r="562" spans="1:104" x14ac:dyDescent="0.25">
      <c r="A562" s="5">
        <v>44031</v>
      </c>
      <c r="B562">
        <v>1.2344999999999999</v>
      </c>
      <c r="C562">
        <v>1.2428999999999999</v>
      </c>
      <c r="D562">
        <v>1.2032</v>
      </c>
      <c r="E562">
        <v>1.2242</v>
      </c>
      <c r="F562">
        <v>142422.22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5.7934508816120341E-2</v>
      </c>
      <c r="Q562">
        <f t="shared" si="985"/>
        <v>8251.1613602014313</v>
      </c>
      <c r="R562">
        <f t="shared" si="986"/>
        <v>-672799.94491313654</v>
      </c>
      <c r="S562">
        <f t="shared" si="987"/>
        <v>-6.7279994491313655</v>
      </c>
      <c r="T562">
        <f t="shared" si="988"/>
        <v>-6.7279994491313659E-3</v>
      </c>
      <c r="CZ562" t="s">
        <v>7</v>
      </c>
    </row>
    <row r="563" spans="1:104" x14ac:dyDescent="0.25">
      <c r="A563" s="5">
        <v>44030</v>
      </c>
      <c r="B563">
        <v>1.1854</v>
      </c>
      <c r="C563">
        <v>1.2457</v>
      </c>
      <c r="D563">
        <v>1.1796</v>
      </c>
      <c r="E563">
        <v>1.2321</v>
      </c>
      <c r="F563">
        <v>154100.84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0.58850226928895466</v>
      </c>
      <c r="Q563">
        <f t="shared" si="985"/>
        <v>90688.694039334121</v>
      </c>
      <c r="R563">
        <f t="shared" si="986"/>
        <v>-681051.10627333797</v>
      </c>
      <c r="S563">
        <f t="shared" si="987"/>
        <v>-6.8105110627333794</v>
      </c>
      <c r="T563">
        <f t="shared" si="988"/>
        <v>-6.8105110627333793E-3</v>
      </c>
      <c r="CZ563" t="s">
        <v>7</v>
      </c>
    </row>
    <row r="564" spans="1:104" x14ac:dyDescent="0.25">
      <c r="A564" s="5">
        <v>44029</v>
      </c>
      <c r="B564">
        <v>1.1803999999999999</v>
      </c>
      <c r="C564">
        <v>1.1876</v>
      </c>
      <c r="D564">
        <v>1.1501999999999999</v>
      </c>
      <c r="E564">
        <v>1.1853</v>
      </c>
      <c r="F564">
        <v>83947.83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0.87700534759358484</v>
      </c>
      <c r="Q564">
        <f t="shared" si="985"/>
        <v>73622.695828877171</v>
      </c>
      <c r="R564">
        <f t="shared" si="986"/>
        <v>-771739.80031267204</v>
      </c>
      <c r="S564">
        <f t="shared" si="987"/>
        <v>-7.7173980031267204</v>
      </c>
      <c r="T564">
        <f t="shared" si="988"/>
        <v>-7.7173980031267206E-3</v>
      </c>
    </row>
    <row r="565" spans="1:104" x14ac:dyDescent="0.25">
      <c r="A565" s="5">
        <v>44028</v>
      </c>
      <c r="B565">
        <v>1.2237</v>
      </c>
      <c r="C565">
        <v>1.2243999999999999</v>
      </c>
      <c r="D565">
        <v>1.1397999999999999</v>
      </c>
      <c r="E565">
        <v>1.1794</v>
      </c>
      <c r="F565">
        <v>250963.08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-6.3829787234040772E-2</v>
      </c>
      <c r="Q565">
        <f t="shared" si="985"/>
        <v>-16018.919999999553</v>
      </c>
      <c r="R565">
        <f t="shared" si="986"/>
        <v>-845362.4961415492</v>
      </c>
      <c r="S565">
        <f t="shared" si="987"/>
        <v>-8.4536249614154926</v>
      </c>
      <c r="T565">
        <f t="shared" si="988"/>
        <v>-8.4536249614154922E-3</v>
      </c>
    </row>
    <row r="566" spans="1:104" x14ac:dyDescent="0.25">
      <c r="A566" s="5">
        <v>44027</v>
      </c>
      <c r="B566">
        <v>1.2338</v>
      </c>
      <c r="C566">
        <v>1.2675000000000001</v>
      </c>
      <c r="D566">
        <v>1.2101</v>
      </c>
      <c r="E566">
        <v>1.2239</v>
      </c>
      <c r="F566">
        <v>158753.73000000001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-0.51916376306620182</v>
      </c>
      <c r="Q566">
        <f t="shared" si="985"/>
        <v>-82419.183867595784</v>
      </c>
      <c r="R566">
        <f t="shared" si="986"/>
        <v>-829343.57614154962</v>
      </c>
      <c r="S566">
        <f t="shared" si="987"/>
        <v>-8.2934357614154965</v>
      </c>
      <c r="T566">
        <f t="shared" si="988"/>
        <v>-8.2934357614154967E-3</v>
      </c>
    </row>
    <row r="567" spans="1:104" x14ac:dyDescent="0.25">
      <c r="A567" s="5">
        <v>44026</v>
      </c>
      <c r="B567">
        <v>1.2287999999999999</v>
      </c>
      <c r="C567">
        <v>1.2370000000000001</v>
      </c>
      <c r="D567">
        <v>1.2058</v>
      </c>
      <c r="E567">
        <v>1.2338</v>
      </c>
      <c r="F567">
        <v>154783.47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0.79487179487178972</v>
      </c>
      <c r="Q567">
        <f t="shared" si="985"/>
        <v>123033.01461538381</v>
      </c>
      <c r="R567">
        <f t="shared" si="986"/>
        <v>-746924.39227395388</v>
      </c>
      <c r="S567">
        <f t="shared" si="987"/>
        <v>-7.4692439227395386</v>
      </c>
      <c r="T567">
        <f t="shared" si="988"/>
        <v>-7.4692439227395388E-3</v>
      </c>
    </row>
    <row r="568" spans="1:104" x14ac:dyDescent="0.25">
      <c r="A568" s="5">
        <v>44025</v>
      </c>
      <c r="B568">
        <v>1.2524</v>
      </c>
      <c r="C568">
        <v>1.3188</v>
      </c>
      <c r="D568">
        <v>1.2226999999999999</v>
      </c>
      <c r="E568">
        <v>1.2290000000000001</v>
      </c>
      <c r="F568">
        <v>456062.54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-0.86888657648282641</v>
      </c>
      <c r="Q568">
        <f t="shared" si="985"/>
        <v>-396266.61904266209</v>
      </c>
      <c r="R568">
        <f t="shared" si="986"/>
        <v>-869957.4068893377</v>
      </c>
      <c r="S568">
        <f t="shared" si="987"/>
        <v>-8.6995740688933765</v>
      </c>
      <c r="T568">
        <f t="shared" si="988"/>
        <v>-8.699574068893377E-3</v>
      </c>
    </row>
    <row r="569" spans="1:104" x14ac:dyDescent="0.25">
      <c r="A569" s="5">
        <v>44024</v>
      </c>
      <c r="B569">
        <v>1.2243999999999999</v>
      </c>
      <c r="C569">
        <v>1.2585999999999999</v>
      </c>
      <c r="D569">
        <v>1.2</v>
      </c>
      <c r="E569">
        <v>1.2504</v>
      </c>
      <c r="F569">
        <v>213697.57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0.72013651877133145</v>
      </c>
      <c r="Q569">
        <f t="shared" si="985"/>
        <v>153891.42412969292</v>
      </c>
      <c r="R569">
        <f t="shared" si="986"/>
        <v>-473690.78784667561</v>
      </c>
      <c r="S569">
        <f t="shared" si="987"/>
        <v>-4.7369078784667558</v>
      </c>
      <c r="T569">
        <f t="shared" si="988"/>
        <v>-4.7369078784667553E-3</v>
      </c>
    </row>
    <row r="570" spans="1:104" x14ac:dyDescent="0.25">
      <c r="A570" s="5">
        <v>44023</v>
      </c>
      <c r="B570">
        <v>1.1921999999999999</v>
      </c>
      <c r="C570">
        <v>1.2312000000000001</v>
      </c>
      <c r="D570">
        <v>1.1805000000000001</v>
      </c>
      <c r="E570">
        <v>1.2243999999999999</v>
      </c>
      <c r="F570">
        <v>104753.61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0.73175542406311067</v>
      </c>
      <c r="Q570">
        <f t="shared" si="985"/>
        <v>76654.022307691717</v>
      </c>
      <c r="R570">
        <f t="shared" si="986"/>
        <v>-627582.21197636856</v>
      </c>
      <c r="S570">
        <f t="shared" si="987"/>
        <v>-6.2758221197636859</v>
      </c>
      <c r="T570">
        <f t="shared" si="988"/>
        <v>-6.2758221197636863E-3</v>
      </c>
    </row>
    <row r="571" spans="1:104" x14ac:dyDescent="0.25">
      <c r="A571" s="5">
        <v>44022</v>
      </c>
      <c r="B571">
        <v>1.1981999999999999</v>
      </c>
      <c r="C571">
        <v>1.1999</v>
      </c>
      <c r="D571">
        <v>1.153</v>
      </c>
      <c r="E571">
        <v>1.1918</v>
      </c>
      <c r="F571">
        <v>106915.14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0.65458422174840059</v>
      </c>
      <c r="Q571">
        <f t="shared" si="985"/>
        <v>69984.963710021286</v>
      </c>
      <c r="R571">
        <f t="shared" si="986"/>
        <v>-704236.23428406031</v>
      </c>
      <c r="S571">
        <f t="shared" si="987"/>
        <v>-7.0423623428406028</v>
      </c>
      <c r="T571">
        <f t="shared" si="988"/>
        <v>-7.0423623428406031E-3</v>
      </c>
    </row>
    <row r="572" spans="1:104" x14ac:dyDescent="0.25">
      <c r="A572" s="5">
        <v>44021</v>
      </c>
      <c r="B572">
        <v>1.2383999999999999</v>
      </c>
      <c r="C572">
        <v>1.2444999999999999</v>
      </c>
      <c r="D572">
        <v>0.61660000000000004</v>
      </c>
      <c r="E572">
        <v>1.1943999999999999</v>
      </c>
      <c r="F572">
        <v>286785.84000000003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0.84042044911610114</v>
      </c>
      <c r="Q572">
        <f t="shared" si="985"/>
        <v>241020.68445293835</v>
      </c>
      <c r="R572">
        <f t="shared" si="986"/>
        <v>-774221.19799408165</v>
      </c>
      <c r="S572">
        <f t="shared" si="987"/>
        <v>-7.7422119799408167</v>
      </c>
      <c r="T572">
        <f t="shared" si="988"/>
        <v>-7.7422119799408166E-3</v>
      </c>
    </row>
    <row r="573" spans="1:104" x14ac:dyDescent="0.25">
      <c r="A573" s="5">
        <v>44020</v>
      </c>
      <c r="B573">
        <v>1.1549</v>
      </c>
      <c r="C573">
        <v>1.2749999999999999</v>
      </c>
      <c r="D573">
        <v>1.1464000000000001</v>
      </c>
      <c r="E573">
        <v>1.2378</v>
      </c>
      <c r="F573">
        <v>393762.75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0.42146189735614387</v>
      </c>
      <c r="Q573">
        <f t="shared" si="985"/>
        <v>165955.99572317293</v>
      </c>
      <c r="R573">
        <f t="shared" si="986"/>
        <v>-1015241.88244702</v>
      </c>
      <c r="S573">
        <f t="shared" si="987"/>
        <v>-10.1524188244702</v>
      </c>
      <c r="T573">
        <f t="shared" si="988"/>
        <v>-1.01524188244702E-2</v>
      </c>
    </row>
    <row r="574" spans="1:104" x14ac:dyDescent="0.25">
      <c r="A574" s="5">
        <v>44019</v>
      </c>
      <c r="B574">
        <v>1.1507000000000001</v>
      </c>
      <c r="C574">
        <v>1.1599999999999999</v>
      </c>
      <c r="D574">
        <v>1.1242000000000001</v>
      </c>
      <c r="E574">
        <v>1.1537999999999999</v>
      </c>
      <c r="F574">
        <v>101093.48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0.65363128491620037</v>
      </c>
      <c r="Q574">
        <f t="shared" si="985"/>
        <v>66077.861229050206</v>
      </c>
      <c r="R574">
        <f t="shared" si="986"/>
        <v>-1181197.8781701929</v>
      </c>
      <c r="S574">
        <f t="shared" si="987"/>
        <v>-11.81197878170193</v>
      </c>
      <c r="T574">
        <f t="shared" si="988"/>
        <v>-1.181197878170193E-2</v>
      </c>
    </row>
    <row r="575" spans="1:104" x14ac:dyDescent="0.25">
      <c r="A575" s="5">
        <v>44018</v>
      </c>
      <c r="B575">
        <v>1.1062000000000001</v>
      </c>
      <c r="C575">
        <v>1.1505000000000001</v>
      </c>
      <c r="D575">
        <v>1.0945</v>
      </c>
      <c r="E575">
        <v>1.1505000000000001</v>
      </c>
      <c r="F575">
        <v>92266.33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1</v>
      </c>
      <c r="Q575">
        <f t="shared" si="985"/>
        <v>92266.33</v>
      </c>
      <c r="R575">
        <f t="shared" si="986"/>
        <v>-1247275.7393992431</v>
      </c>
      <c r="S575">
        <f t="shared" si="987"/>
        <v>-12.472757393992431</v>
      </c>
      <c r="T575">
        <f t="shared" si="988"/>
        <v>-1.2472757393992432E-2</v>
      </c>
    </row>
    <row r="576" spans="1:104" x14ac:dyDescent="0.25">
      <c r="A576" s="5">
        <v>44017</v>
      </c>
      <c r="B576">
        <v>1.1389</v>
      </c>
      <c r="C576">
        <v>1.1389</v>
      </c>
      <c r="D576">
        <v>1.0767</v>
      </c>
      <c r="E576">
        <v>1.1071</v>
      </c>
      <c r="F576">
        <v>88966.49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-2.2508038585210083E-2</v>
      </c>
      <c r="Q576">
        <f t="shared" si="985"/>
        <v>-2002.461189710707</v>
      </c>
      <c r="R576">
        <f t="shared" si="986"/>
        <v>-1339542.0693992432</v>
      </c>
      <c r="S576">
        <f t="shared" si="987"/>
        <v>-13.395420693992433</v>
      </c>
      <c r="T576">
        <f t="shared" si="988"/>
        <v>-1.3395420693992433E-2</v>
      </c>
    </row>
    <row r="577" spans="1:20" x14ac:dyDescent="0.25">
      <c r="A577" s="5">
        <v>44016</v>
      </c>
      <c r="B577">
        <v>1.1174999999999999</v>
      </c>
      <c r="C577">
        <v>1.1479999999999999</v>
      </c>
      <c r="D577">
        <v>1.1151</v>
      </c>
      <c r="E577">
        <v>1.1385000000000001</v>
      </c>
      <c r="F577">
        <v>83383.820000000007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0.42249240121581383</v>
      </c>
      <c r="Q577">
        <f t="shared" si="985"/>
        <v>35229.030334347204</v>
      </c>
      <c r="R577">
        <f t="shared" si="986"/>
        <v>-1337539.6082095325</v>
      </c>
      <c r="S577">
        <f t="shared" si="987"/>
        <v>-13.375396082095325</v>
      </c>
      <c r="T577">
        <f t="shared" si="988"/>
        <v>-1.3375396082095325E-2</v>
      </c>
    </row>
    <row r="578" spans="1:20" x14ac:dyDescent="0.25">
      <c r="A578" s="5">
        <v>44015</v>
      </c>
      <c r="B578">
        <v>1.1358999999999999</v>
      </c>
      <c r="C578">
        <v>1.1472</v>
      </c>
      <c r="D578">
        <v>1.1165</v>
      </c>
      <c r="E578">
        <v>1.1189</v>
      </c>
      <c r="F578">
        <v>32190.3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-0.84364820846905786</v>
      </c>
      <c r="Q578">
        <f t="shared" si="985"/>
        <v>-27157.288925081513</v>
      </c>
      <c r="R578">
        <f t="shared" si="986"/>
        <v>-1372768.6385438796</v>
      </c>
      <c r="S578">
        <f t="shared" si="987"/>
        <v>-13.727686385438796</v>
      </c>
      <c r="T578">
        <f t="shared" si="988"/>
        <v>-1.3727686385438797E-2</v>
      </c>
    </row>
    <row r="579" spans="1:20" x14ac:dyDescent="0.25">
      <c r="A579" s="5">
        <v>44014</v>
      </c>
      <c r="B579">
        <v>1.1634</v>
      </c>
      <c r="C579">
        <v>1.1644000000000001</v>
      </c>
      <c r="D579">
        <v>1.1042000000000001</v>
      </c>
      <c r="E579">
        <v>1.1419999999999999</v>
      </c>
      <c r="F579">
        <v>56764.31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0.25581395348836594</v>
      </c>
      <c r="Q579">
        <f t="shared" si="985"/>
        <v>14521.102558139186</v>
      </c>
      <c r="R579">
        <f t="shared" si="986"/>
        <v>-1345611.3496187981</v>
      </c>
      <c r="S579">
        <f t="shared" si="987"/>
        <v>-13.456113496187982</v>
      </c>
      <c r="T579">
        <f t="shared" si="988"/>
        <v>-1.3456113496187982E-2</v>
      </c>
    </row>
    <row r="580" spans="1:20" x14ac:dyDescent="0.25">
      <c r="A580" s="5">
        <v>44013</v>
      </c>
      <c r="B580">
        <v>1.1411</v>
      </c>
      <c r="C580">
        <v>1.1646000000000001</v>
      </c>
      <c r="D580">
        <v>1.1355999999999999</v>
      </c>
      <c r="E580">
        <v>1.155</v>
      </c>
      <c r="F580">
        <v>54118.400000000001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0.33793103448275807</v>
      </c>
      <c r="Q580">
        <f t="shared" si="985"/>
        <v>18288.286896551694</v>
      </c>
      <c r="R580">
        <f t="shared" si="986"/>
        <v>-1360132.4521769374</v>
      </c>
      <c r="S580">
        <f t="shared" si="987"/>
        <v>-13.601324521769374</v>
      </c>
      <c r="T580">
        <f t="shared" si="988"/>
        <v>-1.3601324521769374E-2</v>
      </c>
    </row>
    <row r="581" spans="1:20" x14ac:dyDescent="0.25">
      <c r="A581" s="5">
        <v>44012</v>
      </c>
      <c r="B581">
        <v>1.1385000000000001</v>
      </c>
      <c r="C581">
        <v>1.1499999999999999</v>
      </c>
      <c r="D581">
        <v>1.1197999999999999</v>
      </c>
      <c r="E581">
        <v>1.1414</v>
      </c>
      <c r="F581">
        <v>32207.27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0.43046357615894437</v>
      </c>
      <c r="Q581">
        <f t="shared" si="985"/>
        <v>13864.056622516684</v>
      </c>
      <c r="R581">
        <f t="shared" si="986"/>
        <v>-1378420.7390734891</v>
      </c>
      <c r="S581">
        <f t="shared" si="987"/>
        <v>-13.78420739073489</v>
      </c>
      <c r="T581">
        <f t="shared" si="988"/>
        <v>-1.378420739073489E-2</v>
      </c>
    </row>
    <row r="582" spans="1:20" x14ac:dyDescent="0.25">
      <c r="A582" s="5">
        <v>44011</v>
      </c>
      <c r="B582">
        <v>1.1255999999999999</v>
      </c>
      <c r="C582">
        <v>1.1472</v>
      </c>
      <c r="D582">
        <v>1.1212</v>
      </c>
      <c r="E582">
        <v>1.1307</v>
      </c>
      <c r="F582">
        <v>28534.19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-0.26923076923076494</v>
      </c>
      <c r="Q582">
        <f t="shared" ref="Q582:Q645" si="990">F582*P582</f>
        <v>-7682.2819230768</v>
      </c>
      <c r="R582">
        <f t="shared" ref="R582:R645" si="991">R583+Q582</f>
        <v>-1392284.7956960057</v>
      </c>
      <c r="S582">
        <f t="shared" ref="S582:S645" si="992">R582/100000</f>
        <v>-13.922847956960057</v>
      </c>
      <c r="T582">
        <f t="shared" ref="T582:T645" si="993">S582/1000</f>
        <v>-1.3922847956960057E-2</v>
      </c>
    </row>
    <row r="583" spans="1:20" x14ac:dyDescent="0.25">
      <c r="A583" s="5">
        <v>44010</v>
      </c>
      <c r="B583">
        <v>1.0908</v>
      </c>
      <c r="C583">
        <v>1.1413</v>
      </c>
      <c r="D583">
        <v>1.0881000000000001</v>
      </c>
      <c r="E583">
        <v>1.1251</v>
      </c>
      <c r="F583">
        <v>48230.03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0.39097744360902187</v>
      </c>
      <c r="Q583">
        <f t="shared" si="990"/>
        <v>18856.853834586433</v>
      </c>
      <c r="R583">
        <f t="shared" si="991"/>
        <v>-1384602.5137729289</v>
      </c>
      <c r="S583">
        <f t="shared" si="992"/>
        <v>-13.846025137729288</v>
      </c>
      <c r="T583">
        <f t="shared" si="993"/>
        <v>-1.3846025137729288E-2</v>
      </c>
    </row>
    <row r="584" spans="1:20" x14ac:dyDescent="0.25">
      <c r="A584" s="5">
        <v>44009</v>
      </c>
      <c r="B584">
        <v>1.1425000000000001</v>
      </c>
      <c r="C584">
        <v>1.1598999999999999</v>
      </c>
      <c r="D584">
        <v>1.0807</v>
      </c>
      <c r="E584">
        <v>1.0891</v>
      </c>
      <c r="F584">
        <v>64814.25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-0.78787878787878862</v>
      </c>
      <c r="Q584">
        <f t="shared" si="990"/>
        <v>-51065.772727272779</v>
      </c>
      <c r="R584">
        <f t="shared" si="991"/>
        <v>-1403459.3676075153</v>
      </c>
      <c r="S584">
        <f t="shared" si="992"/>
        <v>-14.034593676075152</v>
      </c>
      <c r="T584">
        <f t="shared" si="993"/>
        <v>-1.4034593676075152E-2</v>
      </c>
    </row>
    <row r="585" spans="1:20" x14ac:dyDescent="0.25">
      <c r="A585" s="5">
        <v>44008</v>
      </c>
      <c r="B585">
        <v>1.1779999999999999</v>
      </c>
      <c r="C585">
        <v>1.1798999999999999</v>
      </c>
      <c r="D585">
        <v>1.1337999999999999</v>
      </c>
      <c r="E585">
        <v>1.1419999999999999</v>
      </c>
      <c r="F585">
        <v>95617.47</v>
      </c>
      <c r="G585">
        <v>0</v>
      </c>
      <c r="L585" t="s">
        <v>7</v>
      </c>
      <c r="M585" t="s">
        <v>8</v>
      </c>
      <c r="N585" t="s">
        <v>8</v>
      </c>
      <c r="P585">
        <f t="shared" si="989"/>
        <v>-0.6442516268980486</v>
      </c>
      <c r="Q585">
        <f t="shared" si="990"/>
        <v>-61601.710607375353</v>
      </c>
      <c r="R585">
        <f t="shared" si="991"/>
        <v>-1352393.5948802426</v>
      </c>
      <c r="S585">
        <f t="shared" si="992"/>
        <v>-13.523935948802427</v>
      </c>
      <c r="T585">
        <f t="shared" si="993"/>
        <v>-1.3523935948802426E-2</v>
      </c>
    </row>
    <row r="586" spans="1:20" x14ac:dyDescent="0.25">
      <c r="A586" s="5">
        <v>44007</v>
      </c>
      <c r="B586">
        <v>1.194</v>
      </c>
      <c r="C586">
        <v>1.1958</v>
      </c>
      <c r="D586">
        <v>1.1563000000000001</v>
      </c>
      <c r="E586">
        <v>1.1779999999999999</v>
      </c>
      <c r="F586">
        <v>58533.66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9.8734177215184946E-2</v>
      </c>
      <c r="Q586">
        <f t="shared" si="990"/>
        <v>5779.2727594933831</v>
      </c>
      <c r="R586">
        <f t="shared" si="991"/>
        <v>-1290791.8842728673</v>
      </c>
      <c r="S586">
        <f t="shared" si="992"/>
        <v>-12.907918842728673</v>
      </c>
      <c r="T586">
        <f t="shared" si="993"/>
        <v>-1.2907918842728672E-2</v>
      </c>
    </row>
    <row r="587" spans="1:20" x14ac:dyDescent="0.25">
      <c r="A587" s="5">
        <v>44006</v>
      </c>
      <c r="B587">
        <v>1.244</v>
      </c>
      <c r="C587">
        <v>1.2728999999999999</v>
      </c>
      <c r="D587">
        <v>1.1751</v>
      </c>
      <c r="E587">
        <v>1.1940999999999999</v>
      </c>
      <c r="F587">
        <v>133408.49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-0.6114519427402878</v>
      </c>
      <c r="Q587">
        <f t="shared" si="990"/>
        <v>-81572.880388548248</v>
      </c>
      <c r="R587">
        <f t="shared" si="991"/>
        <v>-1296571.1570323608</v>
      </c>
      <c r="S587">
        <f t="shared" si="992"/>
        <v>-12.965711570323608</v>
      </c>
      <c r="T587">
        <f t="shared" si="993"/>
        <v>-1.2965711570323607E-2</v>
      </c>
    </row>
    <row r="588" spans="1:20" x14ac:dyDescent="0.25">
      <c r="A588" s="5">
        <v>44005</v>
      </c>
      <c r="B588">
        <v>1.2572000000000001</v>
      </c>
      <c r="C588">
        <v>1.2801</v>
      </c>
      <c r="D588">
        <v>1.2433000000000001</v>
      </c>
      <c r="E588">
        <v>1.2474000000000001</v>
      </c>
      <c r="F588">
        <v>104366.28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-0.77717391304347838</v>
      </c>
      <c r="Q588">
        <f t="shared" si="990"/>
        <v>-81110.750217391309</v>
      </c>
      <c r="R588">
        <f t="shared" si="991"/>
        <v>-1214998.2766438127</v>
      </c>
      <c r="S588">
        <f t="shared" si="992"/>
        <v>-12.149982766438127</v>
      </c>
      <c r="T588">
        <f t="shared" si="993"/>
        <v>-1.2149982766438127E-2</v>
      </c>
    </row>
    <row r="589" spans="1:20" x14ac:dyDescent="0.25">
      <c r="A589" s="5">
        <v>44004</v>
      </c>
      <c r="B589">
        <v>1.2209000000000001</v>
      </c>
      <c r="C589">
        <v>1.2755000000000001</v>
      </c>
      <c r="D589">
        <v>1.2165999999999999</v>
      </c>
      <c r="E589">
        <v>1.2572000000000001</v>
      </c>
      <c r="F589">
        <v>118451.14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0.37860780984720105</v>
      </c>
      <c r="Q589">
        <f t="shared" si="990"/>
        <v>44846.526689304192</v>
      </c>
      <c r="R589">
        <f t="shared" si="991"/>
        <v>-1133887.5264264212</v>
      </c>
      <c r="S589">
        <f t="shared" si="992"/>
        <v>-11.338875264264212</v>
      </c>
      <c r="T589">
        <f t="shared" si="993"/>
        <v>-1.1338875264264213E-2</v>
      </c>
    </row>
    <row r="590" spans="1:20" x14ac:dyDescent="0.25">
      <c r="A590" s="5">
        <v>44003</v>
      </c>
      <c r="B590">
        <v>1.2264999999999999</v>
      </c>
      <c r="C590">
        <v>1.2352000000000001</v>
      </c>
      <c r="D590">
        <v>1.2171000000000001</v>
      </c>
      <c r="E590">
        <v>1.2188000000000001</v>
      </c>
      <c r="F590">
        <v>52760.81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-0.81215469613259283</v>
      </c>
      <c r="Q590">
        <f t="shared" si="990"/>
        <v>-42849.939613259463</v>
      </c>
      <c r="R590">
        <f t="shared" si="991"/>
        <v>-1178734.0531157255</v>
      </c>
      <c r="S590">
        <f t="shared" si="992"/>
        <v>-11.787340531157255</v>
      </c>
      <c r="T590">
        <f t="shared" si="993"/>
        <v>-1.1787340531157256E-2</v>
      </c>
    </row>
    <row r="591" spans="1:20" x14ac:dyDescent="0.25">
      <c r="A591" s="5">
        <v>44002</v>
      </c>
      <c r="B591">
        <v>1.2181999999999999</v>
      </c>
      <c r="C591">
        <v>1.2434000000000001</v>
      </c>
      <c r="D591">
        <v>1.2119</v>
      </c>
      <c r="E591">
        <v>1.2258</v>
      </c>
      <c r="F591">
        <v>43117.8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-0.11746031746031831</v>
      </c>
      <c r="Q591">
        <f t="shared" si="990"/>
        <v>-5064.630476190513</v>
      </c>
      <c r="R591">
        <f t="shared" si="991"/>
        <v>-1135884.1135024661</v>
      </c>
      <c r="S591">
        <f t="shared" si="992"/>
        <v>-11.358841135024662</v>
      </c>
      <c r="T591">
        <f t="shared" si="993"/>
        <v>-1.1358841135024661E-2</v>
      </c>
    </row>
    <row r="592" spans="1:20" x14ac:dyDescent="0.25">
      <c r="A592" s="5">
        <v>44001</v>
      </c>
      <c r="B592">
        <v>1.2557</v>
      </c>
      <c r="C592">
        <v>1.2604</v>
      </c>
      <c r="D592">
        <v>1.2058</v>
      </c>
      <c r="E592">
        <v>1.2196</v>
      </c>
      <c r="F592">
        <v>125527.78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-0.49450549450549308</v>
      </c>
      <c r="Q592">
        <f t="shared" si="990"/>
        <v>-62074.176923076746</v>
      </c>
      <c r="R592">
        <f t="shared" si="991"/>
        <v>-1130819.4830262756</v>
      </c>
      <c r="S592">
        <f t="shared" si="992"/>
        <v>-11.308194830262757</v>
      </c>
      <c r="T592">
        <f t="shared" si="993"/>
        <v>-1.1308194830262757E-2</v>
      </c>
    </row>
    <row r="593" spans="1:20" x14ac:dyDescent="0.25">
      <c r="A593" s="5">
        <v>44000</v>
      </c>
      <c r="B593">
        <v>1.2310000000000001</v>
      </c>
      <c r="C593">
        <v>1.2675000000000001</v>
      </c>
      <c r="D593">
        <v>1.2234</v>
      </c>
      <c r="E593">
        <v>1.2605</v>
      </c>
      <c r="F593">
        <v>106028.28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0.68253968253967745</v>
      </c>
      <c r="Q593">
        <f t="shared" si="990"/>
        <v>72368.508571428029</v>
      </c>
      <c r="R593">
        <f t="shared" si="991"/>
        <v>-1068745.3061031988</v>
      </c>
      <c r="S593">
        <f t="shared" si="992"/>
        <v>-10.687453061031988</v>
      </c>
      <c r="T593">
        <f t="shared" si="993"/>
        <v>-1.0687453061031988E-2</v>
      </c>
    </row>
    <row r="594" spans="1:20" x14ac:dyDescent="0.25">
      <c r="A594" s="5">
        <v>43999</v>
      </c>
      <c r="B594">
        <v>1.2128000000000001</v>
      </c>
      <c r="C594">
        <v>1.2762</v>
      </c>
      <c r="D594">
        <v>1.2</v>
      </c>
      <c r="E594">
        <v>1.2303999999999999</v>
      </c>
      <c r="F594">
        <v>149772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-0.20209973753280933</v>
      </c>
      <c r="Q594">
        <f t="shared" si="990"/>
        <v>-30268.881889763918</v>
      </c>
      <c r="R594">
        <f t="shared" si="991"/>
        <v>-1141113.8146746268</v>
      </c>
      <c r="S594">
        <f t="shared" si="992"/>
        <v>-11.411138146746268</v>
      </c>
      <c r="T594">
        <f t="shared" si="993"/>
        <v>-1.1411138146746267E-2</v>
      </c>
    </row>
    <row r="595" spans="1:20" x14ac:dyDescent="0.25">
      <c r="A595" s="5">
        <v>43998</v>
      </c>
      <c r="B595">
        <v>1.1996</v>
      </c>
      <c r="C595">
        <v>1.2228000000000001</v>
      </c>
      <c r="D595">
        <v>1.1833</v>
      </c>
      <c r="E595">
        <v>1.2205999999999999</v>
      </c>
      <c r="F595">
        <v>54475.519999999997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0.88860759493669894</v>
      </c>
      <c r="Q595">
        <f t="shared" si="990"/>
        <v>48407.36081012604</v>
      </c>
      <c r="R595">
        <f t="shared" si="991"/>
        <v>-1110844.9327848628</v>
      </c>
      <c r="S595">
        <f t="shared" si="992"/>
        <v>-11.108449327848628</v>
      </c>
      <c r="T595">
        <f t="shared" si="993"/>
        <v>-1.1108449327848628E-2</v>
      </c>
    </row>
    <row r="596" spans="1:20" x14ac:dyDescent="0.25">
      <c r="A596" s="5">
        <v>43997</v>
      </c>
      <c r="B596">
        <v>1.1992</v>
      </c>
      <c r="C596">
        <v>1.2088000000000001</v>
      </c>
      <c r="D596">
        <v>1.1000000000000001</v>
      </c>
      <c r="E596">
        <v>1.1941999999999999</v>
      </c>
      <c r="F596">
        <v>140751.63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0.73161764705882049</v>
      </c>
      <c r="Q596">
        <f t="shared" si="990"/>
        <v>102976.3763602937</v>
      </c>
      <c r="R596">
        <f t="shared" si="991"/>
        <v>-1159252.2935949888</v>
      </c>
      <c r="S596">
        <f t="shared" si="992"/>
        <v>-11.592522935949887</v>
      </c>
      <c r="T596">
        <f t="shared" si="993"/>
        <v>-1.1592522935949888E-2</v>
      </c>
    </row>
    <row r="597" spans="1:20" x14ac:dyDescent="0.25">
      <c r="A597" s="5">
        <v>43996</v>
      </c>
      <c r="B597">
        <v>1.2341</v>
      </c>
      <c r="C597">
        <v>1.2470000000000001</v>
      </c>
      <c r="D597">
        <v>1.1920999999999999</v>
      </c>
      <c r="E597">
        <v>1.2004999999999999</v>
      </c>
      <c r="F597">
        <v>74227.149999999994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-0.69398907103825369</v>
      </c>
      <c r="Q597">
        <f t="shared" si="990"/>
        <v>-51512.830874317107</v>
      </c>
      <c r="R597">
        <f t="shared" si="991"/>
        <v>-1262228.6699552825</v>
      </c>
      <c r="S597">
        <f t="shared" si="992"/>
        <v>-12.622286699552825</v>
      </c>
      <c r="T597">
        <f t="shared" si="993"/>
        <v>-1.2622286699552825E-2</v>
      </c>
    </row>
    <row r="598" spans="1:20" x14ac:dyDescent="0.25">
      <c r="A598" s="5">
        <v>43995</v>
      </c>
      <c r="B598">
        <v>1.2262999999999999</v>
      </c>
      <c r="C598">
        <v>1.2413000000000001</v>
      </c>
      <c r="D598">
        <v>1.2102999999999999</v>
      </c>
      <c r="E598">
        <v>1.2351000000000001</v>
      </c>
      <c r="F598">
        <v>96917.59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0.60000000000000286</v>
      </c>
      <c r="Q598">
        <f t="shared" si="990"/>
        <v>58150.554000000273</v>
      </c>
      <c r="R598">
        <f t="shared" si="991"/>
        <v>-1210715.8390809654</v>
      </c>
      <c r="S598">
        <f t="shared" si="992"/>
        <v>-12.107158390809653</v>
      </c>
      <c r="T598">
        <f t="shared" si="993"/>
        <v>-1.2107158390809654E-2</v>
      </c>
    </row>
    <row r="599" spans="1:20" x14ac:dyDescent="0.25">
      <c r="A599" s="5">
        <v>43994</v>
      </c>
      <c r="B599">
        <v>1.1762999999999999</v>
      </c>
      <c r="C599">
        <v>1.3</v>
      </c>
      <c r="D599">
        <v>1.1458999999999999</v>
      </c>
      <c r="E599">
        <v>1.2312000000000001</v>
      </c>
      <c r="F599">
        <v>251905.01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0.10707332900713931</v>
      </c>
      <c r="Q599">
        <f t="shared" si="990"/>
        <v>26972.308014276721</v>
      </c>
      <c r="R599">
        <f t="shared" si="991"/>
        <v>-1268866.3930809656</v>
      </c>
      <c r="S599">
        <f t="shared" si="992"/>
        <v>-12.688663930809657</v>
      </c>
      <c r="T599">
        <f t="shared" si="993"/>
        <v>-1.2688663930809656E-2</v>
      </c>
    </row>
    <row r="600" spans="1:20" x14ac:dyDescent="0.25">
      <c r="A600" s="5">
        <v>43993</v>
      </c>
      <c r="B600">
        <v>1.3049999999999999</v>
      </c>
      <c r="C600">
        <v>1.3471</v>
      </c>
      <c r="D600">
        <v>1.1797</v>
      </c>
      <c r="E600">
        <v>1.1846000000000001</v>
      </c>
      <c r="F600">
        <v>438416.47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-0.94145758661887546</v>
      </c>
      <c r="Q600">
        <f t="shared" si="990"/>
        <v>-412750.51178016659</v>
      </c>
      <c r="R600">
        <f t="shared" si="991"/>
        <v>-1295838.7010952423</v>
      </c>
      <c r="S600">
        <f t="shared" si="992"/>
        <v>-12.958387010952423</v>
      </c>
      <c r="T600">
        <f t="shared" si="993"/>
        <v>-1.2958387010952423E-2</v>
      </c>
    </row>
    <row r="601" spans="1:20" x14ac:dyDescent="0.25">
      <c r="A601" s="5">
        <v>43992</v>
      </c>
      <c r="B601">
        <v>1.2972999999999999</v>
      </c>
      <c r="C601">
        <v>1.3248</v>
      </c>
      <c r="D601">
        <v>1.252</v>
      </c>
      <c r="E601">
        <v>1.3021</v>
      </c>
      <c r="F601">
        <v>237029.56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0.37637362637362776</v>
      </c>
      <c r="Q601">
        <f t="shared" si="990"/>
        <v>89211.675054945386</v>
      </c>
      <c r="R601">
        <f t="shared" si="991"/>
        <v>-883088.18931507564</v>
      </c>
      <c r="S601">
        <f t="shared" si="992"/>
        <v>-8.8308818931507567</v>
      </c>
      <c r="T601">
        <f t="shared" si="993"/>
        <v>-8.830881893150757E-3</v>
      </c>
    </row>
    <row r="602" spans="1:20" x14ac:dyDescent="0.25">
      <c r="A602" s="5">
        <v>43991</v>
      </c>
      <c r="B602">
        <v>1.3362000000000001</v>
      </c>
      <c r="C602">
        <v>1.3484</v>
      </c>
      <c r="D602">
        <v>1.2867999999999999</v>
      </c>
      <c r="E602">
        <v>1.3045</v>
      </c>
      <c r="F602">
        <v>104433.34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-0.42532467532467466</v>
      </c>
      <c r="Q602">
        <f t="shared" si="990"/>
        <v>-44418.076428571359</v>
      </c>
      <c r="R602">
        <f t="shared" si="991"/>
        <v>-972299.86437002104</v>
      </c>
      <c r="S602">
        <f t="shared" si="992"/>
        <v>-9.7229986437002101</v>
      </c>
      <c r="T602">
        <f t="shared" si="993"/>
        <v>-9.7229986437002095E-3</v>
      </c>
    </row>
    <row r="603" spans="1:20" x14ac:dyDescent="0.25">
      <c r="A603" s="5">
        <v>43990</v>
      </c>
      <c r="B603">
        <v>1.3109</v>
      </c>
      <c r="C603">
        <v>1.3443000000000001</v>
      </c>
      <c r="D603">
        <v>1.2784</v>
      </c>
      <c r="E603">
        <v>1.3338000000000001</v>
      </c>
      <c r="F603">
        <v>217533.24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0.68133535660091216</v>
      </c>
      <c r="Q603">
        <f t="shared" si="990"/>
        <v>148213.08764795179</v>
      </c>
      <c r="R603">
        <f t="shared" si="991"/>
        <v>-927881.78794144967</v>
      </c>
      <c r="S603">
        <f t="shared" si="992"/>
        <v>-9.2788178794144969</v>
      </c>
      <c r="T603">
        <f t="shared" si="993"/>
        <v>-9.2788178794144961E-3</v>
      </c>
    </row>
    <row r="604" spans="1:20" x14ac:dyDescent="0.25">
      <c r="A604" s="5">
        <v>43989</v>
      </c>
      <c r="B604">
        <v>1.3292999999999999</v>
      </c>
      <c r="C604">
        <v>1.3484</v>
      </c>
      <c r="D604">
        <v>1.2612000000000001</v>
      </c>
      <c r="E604">
        <v>1.3105</v>
      </c>
      <c r="F604">
        <v>255787.65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0.13073394495412685</v>
      </c>
      <c r="Q604">
        <f t="shared" si="990"/>
        <v>33440.128555045463</v>
      </c>
      <c r="R604">
        <f t="shared" si="991"/>
        <v>-1076094.8755894015</v>
      </c>
      <c r="S604">
        <f t="shared" si="992"/>
        <v>-10.760948755894015</v>
      </c>
      <c r="T604">
        <f t="shared" si="993"/>
        <v>-1.0760948755894015E-2</v>
      </c>
    </row>
    <row r="605" spans="1:20" x14ac:dyDescent="0.25">
      <c r="A605" s="5">
        <v>43988</v>
      </c>
      <c r="B605">
        <v>1.3567</v>
      </c>
      <c r="C605">
        <v>1.4033</v>
      </c>
      <c r="D605">
        <v>1.3108</v>
      </c>
      <c r="E605">
        <v>1.3320000000000001</v>
      </c>
      <c r="F605">
        <v>378573.15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-0.54162162162161942</v>
      </c>
      <c r="Q605">
        <f t="shared" si="990"/>
        <v>-205043.40340540459</v>
      </c>
      <c r="R605">
        <f t="shared" si="991"/>
        <v>-1109535.0041444469</v>
      </c>
      <c r="S605">
        <f t="shared" si="992"/>
        <v>-11.095350041444469</v>
      </c>
      <c r="T605">
        <f t="shared" si="993"/>
        <v>-1.109535004144447E-2</v>
      </c>
    </row>
    <row r="606" spans="1:20" x14ac:dyDescent="0.25">
      <c r="A606" s="5">
        <v>43987</v>
      </c>
      <c r="B606">
        <v>1.2614000000000001</v>
      </c>
      <c r="C606">
        <v>1.4388000000000001</v>
      </c>
      <c r="D606">
        <v>1.2538</v>
      </c>
      <c r="E606">
        <v>1.3568</v>
      </c>
      <c r="F606">
        <v>759494.13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0.11351351351351298</v>
      </c>
      <c r="Q606">
        <f t="shared" si="990"/>
        <v>86212.847189188789</v>
      </c>
      <c r="R606">
        <f t="shared" si="991"/>
        <v>-904491.60073904239</v>
      </c>
      <c r="S606">
        <f t="shared" si="992"/>
        <v>-9.0449160073904231</v>
      </c>
      <c r="T606">
        <f t="shared" si="993"/>
        <v>-9.0449160073904234E-3</v>
      </c>
    </row>
    <row r="607" spans="1:20" x14ac:dyDescent="0.25">
      <c r="A607" s="5">
        <v>43986</v>
      </c>
      <c r="B607">
        <v>1.2463</v>
      </c>
      <c r="C607">
        <v>1.2795000000000001</v>
      </c>
      <c r="D607">
        <v>1.2327999999999999</v>
      </c>
      <c r="E607">
        <v>1.2534000000000001</v>
      </c>
      <c r="F607">
        <v>226840.25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-0.11777301927194468</v>
      </c>
      <c r="Q607">
        <f t="shared" si="990"/>
        <v>-26715.661134902748</v>
      </c>
      <c r="R607">
        <f t="shared" si="991"/>
        <v>-990704.44792823121</v>
      </c>
      <c r="S607">
        <f t="shared" si="992"/>
        <v>-9.9070444792823125</v>
      </c>
      <c r="T607">
        <f t="shared" si="993"/>
        <v>-9.907044479282312E-3</v>
      </c>
    </row>
    <row r="608" spans="1:20" x14ac:dyDescent="0.25">
      <c r="A608" s="5">
        <v>43985</v>
      </c>
      <c r="B608">
        <v>1.1976</v>
      </c>
      <c r="C608">
        <v>1.2486999999999999</v>
      </c>
      <c r="D608">
        <v>1.1896</v>
      </c>
      <c r="E608">
        <v>1.2435</v>
      </c>
      <c r="F608">
        <v>155370.25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0.82402707275804132</v>
      </c>
      <c r="Q608">
        <f t="shared" si="990"/>
        <v>128029.29230118507</v>
      </c>
      <c r="R608">
        <f t="shared" si="991"/>
        <v>-963988.78679332847</v>
      </c>
      <c r="S608">
        <f t="shared" si="992"/>
        <v>-9.6398878679332842</v>
      </c>
      <c r="T608">
        <f t="shared" si="993"/>
        <v>-9.639887867933284E-3</v>
      </c>
    </row>
    <row r="609" spans="1:20" x14ac:dyDescent="0.25">
      <c r="A609" s="5">
        <v>43984</v>
      </c>
      <c r="B609">
        <v>1.2451000000000001</v>
      </c>
      <c r="C609">
        <v>1.2697000000000001</v>
      </c>
      <c r="D609">
        <v>1.1716</v>
      </c>
      <c r="E609">
        <v>1.2052</v>
      </c>
      <c r="F609">
        <v>249032.26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-0.31498470948012136</v>
      </c>
      <c r="Q609">
        <f t="shared" si="990"/>
        <v>-78441.354067278051</v>
      </c>
      <c r="R609">
        <f t="shared" si="991"/>
        <v>-1092018.0790945136</v>
      </c>
      <c r="S609">
        <f t="shared" si="992"/>
        <v>-10.920180790945135</v>
      </c>
      <c r="T609">
        <f t="shared" si="993"/>
        <v>-1.0920180790945136E-2</v>
      </c>
    </row>
    <row r="610" spans="1:20" x14ac:dyDescent="0.25">
      <c r="A610" s="5">
        <v>43983</v>
      </c>
      <c r="B610">
        <v>1.1996</v>
      </c>
      <c r="C610">
        <v>1.2563</v>
      </c>
      <c r="D610">
        <v>1.1995</v>
      </c>
      <c r="E610">
        <v>1.2384999999999999</v>
      </c>
      <c r="F610">
        <v>164414.46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0.37323943661971654</v>
      </c>
      <c r="Q610">
        <f t="shared" si="990"/>
        <v>61365.960422534918</v>
      </c>
      <c r="R610">
        <f t="shared" si="991"/>
        <v>-1013576.7250272355</v>
      </c>
      <c r="S610">
        <f t="shared" si="992"/>
        <v>-10.135767250272355</v>
      </c>
      <c r="T610">
        <f t="shared" si="993"/>
        <v>-1.0135767250272355E-2</v>
      </c>
    </row>
    <row r="611" spans="1:20" x14ac:dyDescent="0.25">
      <c r="A611" s="5">
        <v>43982</v>
      </c>
      <c r="B611">
        <v>1.2292000000000001</v>
      </c>
      <c r="C611">
        <v>1.2507999999999999</v>
      </c>
      <c r="D611">
        <v>1.1896</v>
      </c>
      <c r="E611">
        <v>1.2</v>
      </c>
      <c r="F611">
        <v>225690.01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-0.66013071895424913</v>
      </c>
      <c r="Q611">
        <f t="shared" si="990"/>
        <v>-148984.90856209167</v>
      </c>
      <c r="R611">
        <f t="shared" si="991"/>
        <v>-1074942.6854497704</v>
      </c>
      <c r="S611">
        <f t="shared" si="992"/>
        <v>-10.749426854497704</v>
      </c>
      <c r="T611">
        <f t="shared" si="993"/>
        <v>-1.0749426854497705E-2</v>
      </c>
    </row>
    <row r="612" spans="1:20" x14ac:dyDescent="0.25">
      <c r="A612" s="5">
        <v>43981</v>
      </c>
      <c r="B612">
        <v>1.206</v>
      </c>
      <c r="C612">
        <v>1.2299</v>
      </c>
      <c r="D612">
        <v>1.1882999999999999</v>
      </c>
      <c r="E612">
        <v>1.2252000000000001</v>
      </c>
      <c r="F612">
        <v>119008.01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0.77403846153846556</v>
      </c>
      <c r="Q612">
        <f t="shared" si="990"/>
        <v>92116.776971154322</v>
      </c>
      <c r="R612">
        <f t="shared" si="991"/>
        <v>-925957.77688767877</v>
      </c>
      <c r="S612">
        <f t="shared" si="992"/>
        <v>-9.2595777688767882</v>
      </c>
      <c r="T612">
        <f t="shared" si="993"/>
        <v>-9.2595777688767884E-3</v>
      </c>
    </row>
    <row r="613" spans="1:20" x14ac:dyDescent="0.25">
      <c r="A613" s="5">
        <v>43980</v>
      </c>
      <c r="B613">
        <v>1.2337</v>
      </c>
      <c r="C613">
        <v>1.2356</v>
      </c>
      <c r="D613">
        <v>1.1851</v>
      </c>
      <c r="E613">
        <v>1.2143999999999999</v>
      </c>
      <c r="F613">
        <v>112650.56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0.16039603960395596</v>
      </c>
      <c r="Q613">
        <f t="shared" si="990"/>
        <v>18068.703683167816</v>
      </c>
      <c r="R613">
        <f t="shared" si="991"/>
        <v>-1018074.5538588332</v>
      </c>
      <c r="S613">
        <f t="shared" si="992"/>
        <v>-10.180745538588331</v>
      </c>
      <c r="T613">
        <f t="shared" si="993"/>
        <v>-1.0180745538588332E-2</v>
      </c>
    </row>
    <row r="614" spans="1:20" x14ac:dyDescent="0.25">
      <c r="A614" s="5">
        <v>43979</v>
      </c>
      <c r="B614">
        <v>1.2191000000000001</v>
      </c>
      <c r="C614">
        <v>1.2351000000000001</v>
      </c>
      <c r="D614">
        <v>1.1807000000000001</v>
      </c>
      <c r="E614">
        <v>1.2274</v>
      </c>
      <c r="F614">
        <v>96090.240000000005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0.71691176470588092</v>
      </c>
      <c r="Q614">
        <f t="shared" si="990"/>
        <v>68888.223529411625</v>
      </c>
      <c r="R614">
        <f t="shared" si="991"/>
        <v>-1036143.257542001</v>
      </c>
      <c r="S614">
        <f t="shared" si="992"/>
        <v>-10.361432575420009</v>
      </c>
      <c r="T614">
        <f t="shared" si="993"/>
        <v>-1.0361432575420009E-2</v>
      </c>
    </row>
    <row r="615" spans="1:20" x14ac:dyDescent="0.25">
      <c r="A615" s="5">
        <v>43978</v>
      </c>
      <c r="B615">
        <v>1.2547999999999999</v>
      </c>
      <c r="C615">
        <v>1.2549999999999999</v>
      </c>
      <c r="D615">
        <v>1.1801999999999999</v>
      </c>
      <c r="E615">
        <v>1.2158</v>
      </c>
      <c r="F615">
        <v>148167.21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-4.8128342245986985E-2</v>
      </c>
      <c r="Q615">
        <f t="shared" si="990"/>
        <v>-7131.0421925130249</v>
      </c>
      <c r="R615">
        <f t="shared" si="991"/>
        <v>-1105031.4810714126</v>
      </c>
      <c r="S615">
        <f t="shared" si="992"/>
        <v>-11.050314810714125</v>
      </c>
      <c r="T615">
        <f t="shared" si="993"/>
        <v>-1.1050314810714125E-2</v>
      </c>
    </row>
    <row r="616" spans="1:20" x14ac:dyDescent="0.25">
      <c r="A616" s="5">
        <v>43977</v>
      </c>
      <c r="B616">
        <v>1.2055</v>
      </c>
      <c r="C616">
        <v>1.2538</v>
      </c>
      <c r="D616">
        <v>1.1632</v>
      </c>
      <c r="E616">
        <v>1.2461</v>
      </c>
      <c r="F616">
        <v>189789.92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0.83002207505518677</v>
      </c>
      <c r="Q616">
        <f t="shared" si="990"/>
        <v>157529.8232229579</v>
      </c>
      <c r="R616">
        <f t="shared" si="991"/>
        <v>-1097900.4388788994</v>
      </c>
      <c r="S616">
        <f t="shared" si="992"/>
        <v>-10.979004388788994</v>
      </c>
      <c r="T616">
        <f t="shared" si="993"/>
        <v>-1.0979004388788993E-2</v>
      </c>
    </row>
    <row r="617" spans="1:20" x14ac:dyDescent="0.25">
      <c r="A617" s="5">
        <v>43976</v>
      </c>
      <c r="B617">
        <v>1.1557999999999999</v>
      </c>
      <c r="C617">
        <v>1.21</v>
      </c>
      <c r="D617">
        <v>1.1467000000000001</v>
      </c>
      <c r="E617">
        <v>1.2055</v>
      </c>
      <c r="F617">
        <v>101214.65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0.85781990521327156</v>
      </c>
      <c r="Q617">
        <f t="shared" si="990"/>
        <v>86823.941469194455</v>
      </c>
      <c r="R617">
        <f t="shared" si="991"/>
        <v>-1255430.2621018572</v>
      </c>
      <c r="S617">
        <f t="shared" si="992"/>
        <v>-12.554302621018572</v>
      </c>
      <c r="T617">
        <f t="shared" si="993"/>
        <v>-1.2554302621018571E-2</v>
      </c>
    </row>
    <row r="618" spans="1:20" x14ac:dyDescent="0.25">
      <c r="A618" s="5">
        <v>43975</v>
      </c>
      <c r="B618">
        <v>1.2361</v>
      </c>
      <c r="C618">
        <v>1.2554000000000001</v>
      </c>
      <c r="D618">
        <v>1.1566000000000001</v>
      </c>
      <c r="E618">
        <v>1.1585000000000001</v>
      </c>
      <c r="F618">
        <v>226674.72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-0.96153846153846123</v>
      </c>
      <c r="Q618">
        <f t="shared" si="990"/>
        <v>-217956.46153846147</v>
      </c>
      <c r="R618">
        <f t="shared" si="991"/>
        <v>-1342254.2035710516</v>
      </c>
      <c r="S618">
        <f t="shared" si="992"/>
        <v>-13.422542035710515</v>
      </c>
      <c r="T618">
        <f t="shared" si="993"/>
        <v>-1.3422542035710515E-2</v>
      </c>
    </row>
    <row r="619" spans="1:20" x14ac:dyDescent="0.25">
      <c r="A619" s="5">
        <v>43974</v>
      </c>
      <c r="B619">
        <v>1.1908000000000001</v>
      </c>
      <c r="C619">
        <v>1.3218000000000001</v>
      </c>
      <c r="D619">
        <v>1.1863999999999999</v>
      </c>
      <c r="E619">
        <v>1.2361</v>
      </c>
      <c r="F619">
        <v>239273.95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-0.26587887740029531</v>
      </c>
      <c r="Q619">
        <f t="shared" si="990"/>
        <v>-63617.88921713439</v>
      </c>
      <c r="R619">
        <f t="shared" si="991"/>
        <v>-1124297.7420325901</v>
      </c>
      <c r="S619">
        <f t="shared" si="992"/>
        <v>-11.2429774203259</v>
      </c>
      <c r="T619">
        <f t="shared" si="993"/>
        <v>-1.12429774203259E-2</v>
      </c>
    </row>
    <row r="620" spans="1:20" x14ac:dyDescent="0.25">
      <c r="A620" s="5">
        <v>43973</v>
      </c>
      <c r="B620">
        <v>1.1091</v>
      </c>
      <c r="C620">
        <v>1.2037</v>
      </c>
      <c r="D620">
        <v>1.0901000000000001</v>
      </c>
      <c r="E620">
        <v>1.1861999999999999</v>
      </c>
      <c r="F620">
        <v>194271.34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0.6919014084507028</v>
      </c>
      <c r="Q620">
        <f t="shared" si="990"/>
        <v>134416.61376760536</v>
      </c>
      <c r="R620">
        <f t="shared" si="991"/>
        <v>-1060679.8528154558</v>
      </c>
      <c r="S620">
        <f t="shared" si="992"/>
        <v>-10.606798528154558</v>
      </c>
      <c r="T620">
        <f t="shared" si="993"/>
        <v>-1.0606798528154557E-2</v>
      </c>
    </row>
    <row r="621" spans="1:20" x14ac:dyDescent="0.25">
      <c r="A621" s="5">
        <v>43972</v>
      </c>
      <c r="B621">
        <v>1.1412</v>
      </c>
      <c r="C621">
        <v>1.1698</v>
      </c>
      <c r="D621">
        <v>1.0672999999999999</v>
      </c>
      <c r="E621">
        <v>1.1126</v>
      </c>
      <c r="F621">
        <v>143754.44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-0.11609756097560776</v>
      </c>
      <c r="Q621">
        <f t="shared" si="990"/>
        <v>-16689.539863414349</v>
      </c>
      <c r="R621">
        <f t="shared" si="991"/>
        <v>-1195096.466583061</v>
      </c>
      <c r="S621">
        <f t="shared" si="992"/>
        <v>-11.950964665830611</v>
      </c>
      <c r="T621">
        <f t="shared" si="993"/>
        <v>-1.1950964665830611E-2</v>
      </c>
    </row>
    <row r="622" spans="1:20" x14ac:dyDescent="0.25">
      <c r="A622" s="5">
        <v>43971</v>
      </c>
      <c r="B622">
        <v>1.1529</v>
      </c>
      <c r="C622">
        <v>1.1738</v>
      </c>
      <c r="D622">
        <v>1.1287</v>
      </c>
      <c r="E622">
        <v>1.1376999999999999</v>
      </c>
      <c r="F622">
        <v>149396.84</v>
      </c>
      <c r="G622">
        <v>0</v>
      </c>
      <c r="L622" t="s">
        <v>8</v>
      </c>
      <c r="M622" t="s">
        <v>7</v>
      </c>
      <c r="N622" t="s">
        <v>8</v>
      </c>
      <c r="P622">
        <f t="shared" si="989"/>
        <v>-0.60088691796009253</v>
      </c>
      <c r="Q622">
        <f t="shared" si="990"/>
        <v>-89770.606740577074</v>
      </c>
      <c r="R622">
        <f t="shared" si="991"/>
        <v>-1178406.9267196467</v>
      </c>
      <c r="S622">
        <f t="shared" si="992"/>
        <v>-11.784069267196466</v>
      </c>
      <c r="T622">
        <f t="shared" si="993"/>
        <v>-1.1784069267196466E-2</v>
      </c>
    </row>
    <row r="623" spans="1:20" x14ac:dyDescent="0.25">
      <c r="A623" s="5">
        <v>43970</v>
      </c>
      <c r="B623">
        <v>1.1449</v>
      </c>
      <c r="C623">
        <v>1.153</v>
      </c>
      <c r="D623">
        <v>1.1234</v>
      </c>
      <c r="E623">
        <v>1.1529</v>
      </c>
      <c r="F623">
        <v>51830.6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0.99324324324324398</v>
      </c>
      <c r="Q623">
        <f t="shared" si="990"/>
        <v>51480.393243243278</v>
      </c>
      <c r="R623">
        <f t="shared" si="991"/>
        <v>-1088636.3199790695</v>
      </c>
      <c r="S623">
        <f t="shared" si="992"/>
        <v>-10.886363199790695</v>
      </c>
      <c r="T623">
        <f t="shared" si="993"/>
        <v>-1.0886363199790696E-2</v>
      </c>
    </row>
    <row r="624" spans="1:20" x14ac:dyDescent="0.25">
      <c r="A624" s="5">
        <v>43969</v>
      </c>
      <c r="B624">
        <v>1.1334</v>
      </c>
      <c r="C624">
        <v>1.1597</v>
      </c>
      <c r="D624">
        <v>1.1287</v>
      </c>
      <c r="E624">
        <v>1.1514</v>
      </c>
      <c r="F624">
        <v>80088.72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0.46451612903225831</v>
      </c>
      <c r="Q624">
        <f t="shared" si="990"/>
        <v>37202.502193548404</v>
      </c>
      <c r="R624">
        <f t="shared" si="991"/>
        <v>-1140116.7132223127</v>
      </c>
      <c r="S624">
        <f t="shared" si="992"/>
        <v>-11.401167132223128</v>
      </c>
      <c r="T624">
        <f t="shared" si="993"/>
        <v>-1.1401167132223127E-2</v>
      </c>
    </row>
    <row r="625" spans="1:20" x14ac:dyDescent="0.25">
      <c r="A625" s="5">
        <v>43968</v>
      </c>
      <c r="B625">
        <v>1.1062000000000001</v>
      </c>
      <c r="C625">
        <v>1.143</v>
      </c>
      <c r="D625">
        <v>1.1040000000000001</v>
      </c>
      <c r="E625">
        <v>1.1318999999999999</v>
      </c>
      <c r="F625">
        <v>77137.36</v>
      </c>
      <c r="G625">
        <v>0</v>
      </c>
      <c r="L625" t="s">
        <v>7</v>
      </c>
      <c r="M625" t="s">
        <v>7</v>
      </c>
      <c r="N625" t="s">
        <v>8</v>
      </c>
      <c r="P625">
        <f t="shared" si="989"/>
        <v>0.43076923076922402</v>
      </c>
      <c r="Q625">
        <f t="shared" si="990"/>
        <v>33228.401230768708</v>
      </c>
      <c r="R625">
        <f t="shared" si="991"/>
        <v>-1177319.2154158612</v>
      </c>
      <c r="S625">
        <f t="shared" si="992"/>
        <v>-11.773192154158613</v>
      </c>
      <c r="T625">
        <f t="shared" si="993"/>
        <v>-1.1773192154158613E-2</v>
      </c>
    </row>
    <row r="626" spans="1:20" x14ac:dyDescent="0.25">
      <c r="A626" s="5">
        <v>43967</v>
      </c>
      <c r="B626">
        <v>1.1011</v>
      </c>
      <c r="C626">
        <v>1.1338999999999999</v>
      </c>
      <c r="D626">
        <v>1.0949</v>
      </c>
      <c r="E626">
        <v>1.1162000000000001</v>
      </c>
      <c r="F626">
        <v>37496.68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9.2307692307699404E-2</v>
      </c>
      <c r="Q626">
        <f t="shared" si="990"/>
        <v>3461.232000000266</v>
      </c>
      <c r="R626">
        <f t="shared" si="991"/>
        <v>-1210547.61664663</v>
      </c>
      <c r="S626">
        <f t="shared" si="992"/>
        <v>-12.1054761664663</v>
      </c>
      <c r="T626">
        <f t="shared" si="993"/>
        <v>-1.21054761664663E-2</v>
      </c>
    </row>
    <row r="627" spans="1:20" x14ac:dyDescent="0.25">
      <c r="A627" s="5">
        <v>43966</v>
      </c>
      <c r="B627">
        <v>1.1419999999999999</v>
      </c>
      <c r="C627">
        <v>1.153</v>
      </c>
      <c r="D627">
        <v>1.0968</v>
      </c>
      <c r="E627">
        <v>1.0995999999999999</v>
      </c>
      <c r="F627">
        <v>60100.27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-0.90035587188612409</v>
      </c>
      <c r="Q627">
        <f t="shared" si="990"/>
        <v>-54111.630996441461</v>
      </c>
      <c r="R627">
        <f t="shared" si="991"/>
        <v>-1214008.8486466303</v>
      </c>
      <c r="S627">
        <f t="shared" si="992"/>
        <v>-12.140088486466302</v>
      </c>
      <c r="T627">
        <f t="shared" si="993"/>
        <v>-1.2140088486466302E-2</v>
      </c>
    </row>
    <row r="628" spans="1:20" x14ac:dyDescent="0.25">
      <c r="A628" s="5">
        <v>43965</v>
      </c>
      <c r="B628">
        <v>1.1551</v>
      </c>
      <c r="C628">
        <v>1.1789000000000001</v>
      </c>
      <c r="D628">
        <v>1.1256999999999999</v>
      </c>
      <c r="E628">
        <v>1.1424000000000001</v>
      </c>
      <c r="F628">
        <v>59451.97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-0.37218045112781517</v>
      </c>
      <c r="Q628">
        <f t="shared" si="990"/>
        <v>-22126.861015037335</v>
      </c>
      <c r="R628">
        <f t="shared" si="991"/>
        <v>-1159897.2176501888</v>
      </c>
      <c r="S628">
        <f t="shared" si="992"/>
        <v>-11.598972176501888</v>
      </c>
      <c r="T628">
        <f t="shared" si="993"/>
        <v>-1.1598972176501889E-2</v>
      </c>
    </row>
    <row r="629" spans="1:20" x14ac:dyDescent="0.25">
      <c r="A629" s="5">
        <v>43964</v>
      </c>
      <c r="B629">
        <v>1.0846</v>
      </c>
      <c r="C629">
        <v>1.1793</v>
      </c>
      <c r="D629">
        <v>1.0809</v>
      </c>
      <c r="E629">
        <v>1.1551</v>
      </c>
      <c r="F629">
        <v>176417.57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0.50813008130081327</v>
      </c>
      <c r="Q629">
        <f t="shared" si="990"/>
        <v>89643.074186991915</v>
      </c>
      <c r="R629">
        <f t="shared" si="991"/>
        <v>-1137770.3566351514</v>
      </c>
      <c r="S629">
        <f t="shared" si="992"/>
        <v>-11.377703566351514</v>
      </c>
      <c r="T629">
        <f t="shared" si="993"/>
        <v>-1.1377703566351514E-2</v>
      </c>
    </row>
    <row r="630" spans="1:20" x14ac:dyDescent="0.25">
      <c r="A630" s="5">
        <v>43963</v>
      </c>
      <c r="B630">
        <v>1.0452999999999999</v>
      </c>
      <c r="C630">
        <v>1.0940000000000001</v>
      </c>
      <c r="D630">
        <v>1.0415000000000001</v>
      </c>
      <c r="E630">
        <v>1.0858000000000001</v>
      </c>
      <c r="F630">
        <v>99039.28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0.68761904761904813</v>
      </c>
      <c r="Q630">
        <f t="shared" si="990"/>
        <v>68101.29539047624</v>
      </c>
      <c r="R630">
        <f t="shared" si="991"/>
        <v>-1227413.4308221433</v>
      </c>
      <c r="S630">
        <f t="shared" si="992"/>
        <v>-12.274134308221432</v>
      </c>
      <c r="T630">
        <f t="shared" si="993"/>
        <v>-1.2274134308221432E-2</v>
      </c>
    </row>
    <row r="631" spans="1:20" x14ac:dyDescent="0.25">
      <c r="A631" s="5">
        <v>43962</v>
      </c>
      <c r="B631">
        <v>1.0755999999999999</v>
      </c>
      <c r="C631">
        <v>1.1100000000000001</v>
      </c>
      <c r="D631">
        <v>1</v>
      </c>
      <c r="E631">
        <v>1.0450999999999999</v>
      </c>
      <c r="F631">
        <v>75514.81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-0.18000000000000221</v>
      </c>
      <c r="Q631">
        <f t="shared" si="990"/>
        <v>-13592.665800000166</v>
      </c>
      <c r="R631">
        <f t="shared" si="991"/>
        <v>-1295514.7262126196</v>
      </c>
      <c r="S631">
        <f t="shared" si="992"/>
        <v>-12.955147262126196</v>
      </c>
      <c r="T631">
        <f t="shared" si="993"/>
        <v>-1.2955147262126196E-2</v>
      </c>
    </row>
    <row r="632" spans="1:20" x14ac:dyDescent="0.25">
      <c r="A632" s="5">
        <v>43961</v>
      </c>
      <c r="B632">
        <v>1.1934</v>
      </c>
      <c r="C632">
        <v>1.2290000000000001</v>
      </c>
      <c r="D632">
        <v>1.03</v>
      </c>
      <c r="E632">
        <v>1.0821000000000001</v>
      </c>
      <c r="F632">
        <v>235880.18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-0.47638190954773851</v>
      </c>
      <c r="Q632">
        <f t="shared" si="990"/>
        <v>-112369.05057286427</v>
      </c>
      <c r="R632">
        <f t="shared" si="991"/>
        <v>-1281922.0604126195</v>
      </c>
      <c r="S632">
        <f t="shared" si="992"/>
        <v>-12.819220604126196</v>
      </c>
      <c r="T632">
        <f t="shared" si="993"/>
        <v>-1.2819220604126196E-2</v>
      </c>
    </row>
    <row r="633" spans="1:20" x14ac:dyDescent="0.25">
      <c r="A633" s="5">
        <v>43960</v>
      </c>
      <c r="B633">
        <v>1.2403</v>
      </c>
      <c r="C633">
        <v>1.26</v>
      </c>
      <c r="D633">
        <v>1.1934</v>
      </c>
      <c r="E633">
        <v>1.1999</v>
      </c>
      <c r="F633">
        <v>86578.91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-0.80480480480480632</v>
      </c>
      <c r="Q633">
        <f t="shared" si="990"/>
        <v>-69679.122762762898</v>
      </c>
      <c r="R633">
        <f t="shared" si="991"/>
        <v>-1169553.0098397553</v>
      </c>
      <c r="S633">
        <f t="shared" si="992"/>
        <v>-11.695530098397553</v>
      </c>
      <c r="T633">
        <f t="shared" si="993"/>
        <v>-1.1695530098397553E-2</v>
      </c>
    </row>
    <row r="634" spans="1:20" x14ac:dyDescent="0.25">
      <c r="A634" s="5">
        <v>43959</v>
      </c>
      <c r="B634">
        <v>1.2142999999999999</v>
      </c>
      <c r="C634">
        <v>1.2435</v>
      </c>
      <c r="D634">
        <v>1.1915</v>
      </c>
      <c r="E634">
        <v>1.2402</v>
      </c>
      <c r="F634">
        <v>120572.98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0.87307692307692009</v>
      </c>
      <c r="Q634">
        <f t="shared" si="990"/>
        <v>105269.48638461503</v>
      </c>
      <c r="R634">
        <f t="shared" si="991"/>
        <v>-1099873.8870769923</v>
      </c>
      <c r="S634">
        <f t="shared" si="992"/>
        <v>-10.998738870769923</v>
      </c>
      <c r="T634">
        <f t="shared" si="993"/>
        <v>-1.0998738870769922E-2</v>
      </c>
    </row>
    <row r="635" spans="1:20" x14ac:dyDescent="0.25">
      <c r="A635" s="5">
        <v>43958</v>
      </c>
      <c r="B635">
        <v>1.2000999999999999</v>
      </c>
      <c r="C635">
        <v>1.2276</v>
      </c>
      <c r="D635">
        <v>1.1800999999999999</v>
      </c>
      <c r="E635">
        <v>1.2078</v>
      </c>
      <c r="F635">
        <v>68514.39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0.16631578947368425</v>
      </c>
      <c r="Q635">
        <f t="shared" si="990"/>
        <v>11395.024863157898</v>
      </c>
      <c r="R635">
        <f t="shared" si="991"/>
        <v>-1205143.3734616074</v>
      </c>
      <c r="S635">
        <f t="shared" si="992"/>
        <v>-12.051433734616074</v>
      </c>
      <c r="T635">
        <f t="shared" si="993"/>
        <v>-1.2051433734616075E-2</v>
      </c>
    </row>
    <row r="636" spans="1:20" x14ac:dyDescent="0.25">
      <c r="A636" s="5">
        <v>43957</v>
      </c>
      <c r="B636">
        <v>1.2181999999999999</v>
      </c>
      <c r="C636">
        <v>1.2350000000000001</v>
      </c>
      <c r="D636">
        <v>1.2</v>
      </c>
      <c r="E636">
        <v>1.2000999999999999</v>
      </c>
      <c r="F636">
        <v>62083.02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-0.99428571428571488</v>
      </c>
      <c r="Q636">
        <f t="shared" si="990"/>
        <v>-61728.259885714317</v>
      </c>
      <c r="R636">
        <f t="shared" si="991"/>
        <v>-1216538.3983247653</v>
      </c>
      <c r="S636">
        <f t="shared" si="992"/>
        <v>-12.165383983247652</v>
      </c>
      <c r="T636">
        <f t="shared" si="993"/>
        <v>-1.2165383983247652E-2</v>
      </c>
    </row>
    <row r="637" spans="1:20" x14ac:dyDescent="0.25">
      <c r="A637" s="5">
        <v>43956</v>
      </c>
      <c r="B637">
        <v>1.2248000000000001</v>
      </c>
      <c r="C637">
        <v>1.2350000000000001</v>
      </c>
      <c r="D637">
        <v>1.19</v>
      </c>
      <c r="E637">
        <v>1.2181999999999999</v>
      </c>
      <c r="F637">
        <v>65560.91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0.25333333333332925</v>
      </c>
      <c r="Q637">
        <f t="shared" si="990"/>
        <v>16608.763866666399</v>
      </c>
      <c r="R637">
        <f t="shared" si="991"/>
        <v>-1154810.1384390509</v>
      </c>
      <c r="S637">
        <f t="shared" si="992"/>
        <v>-11.54810138439051</v>
      </c>
      <c r="T637">
        <f t="shared" si="993"/>
        <v>-1.1548101384390509E-2</v>
      </c>
    </row>
    <row r="638" spans="1:20" x14ac:dyDescent="0.25">
      <c r="A638" s="5">
        <v>43955</v>
      </c>
      <c r="B638">
        <v>1.2258</v>
      </c>
      <c r="C638">
        <v>1.2323</v>
      </c>
      <c r="D638">
        <v>1.1731</v>
      </c>
      <c r="E638">
        <v>1.2245999999999999</v>
      </c>
      <c r="F638">
        <v>71069.16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0.73986486486486314</v>
      </c>
      <c r="Q638">
        <f t="shared" si="990"/>
        <v>52581.574459459342</v>
      </c>
      <c r="R638">
        <f t="shared" si="991"/>
        <v>-1171418.9023057173</v>
      </c>
      <c r="S638">
        <f t="shared" si="992"/>
        <v>-11.714189023057173</v>
      </c>
      <c r="T638">
        <f t="shared" si="993"/>
        <v>-1.1714189023057174E-2</v>
      </c>
    </row>
    <row r="639" spans="1:20" x14ac:dyDescent="0.25">
      <c r="A639" s="5">
        <v>43954</v>
      </c>
      <c r="B639">
        <v>1.2815000000000001</v>
      </c>
      <c r="C639">
        <v>1.2997000000000001</v>
      </c>
      <c r="D639">
        <v>1.2139</v>
      </c>
      <c r="E639">
        <v>1.2344999999999999</v>
      </c>
      <c r="F639">
        <v>144323.56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-0.51981351981352153</v>
      </c>
      <c r="Q639">
        <f t="shared" si="990"/>
        <v>-75021.337715617963</v>
      </c>
      <c r="R639">
        <f t="shared" si="991"/>
        <v>-1224000.4767651767</v>
      </c>
      <c r="S639">
        <f t="shared" si="992"/>
        <v>-12.240004767651767</v>
      </c>
      <c r="T639">
        <f t="shared" si="993"/>
        <v>-1.2240004767651767E-2</v>
      </c>
    </row>
    <row r="640" spans="1:20" x14ac:dyDescent="0.25">
      <c r="A640" s="5">
        <v>43953</v>
      </c>
      <c r="B640">
        <v>1.2292000000000001</v>
      </c>
      <c r="C640">
        <v>1.2944</v>
      </c>
      <c r="D640">
        <v>1.2231000000000001</v>
      </c>
      <c r="E640">
        <v>1.2817000000000001</v>
      </c>
      <c r="F640">
        <v>197518.81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0.64375876577840263</v>
      </c>
      <c r="Q640">
        <f t="shared" si="990"/>
        <v>127154.46534361881</v>
      </c>
      <c r="R640">
        <f t="shared" si="991"/>
        <v>-1148979.1390495587</v>
      </c>
      <c r="S640">
        <f t="shared" si="992"/>
        <v>-11.489791390495586</v>
      </c>
      <c r="T640">
        <f t="shared" si="993"/>
        <v>-1.1489791390495586E-2</v>
      </c>
    </row>
    <row r="641" spans="1:20" x14ac:dyDescent="0.25">
      <c r="A641" s="5">
        <v>43952</v>
      </c>
      <c r="B641">
        <v>1.2093</v>
      </c>
      <c r="C641">
        <v>1.2876000000000001</v>
      </c>
      <c r="D641">
        <v>1.2057</v>
      </c>
      <c r="E641">
        <v>1.2292000000000001</v>
      </c>
      <c r="F641">
        <v>138866.65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-0.42612942612942484</v>
      </c>
      <c r="Q641">
        <f t="shared" si="990"/>
        <v>-59175.165873015692</v>
      </c>
      <c r="R641">
        <f t="shared" si="991"/>
        <v>-1276133.6043931774</v>
      </c>
      <c r="S641">
        <f t="shared" si="992"/>
        <v>-12.761336043931774</v>
      </c>
      <c r="T641">
        <f t="shared" si="993"/>
        <v>-1.2761336043931773E-2</v>
      </c>
    </row>
    <row r="642" spans="1:20" x14ac:dyDescent="0.25">
      <c r="A642" s="5">
        <v>43951</v>
      </c>
      <c r="B642">
        <v>1.2861</v>
      </c>
      <c r="C642">
        <v>1.381</v>
      </c>
      <c r="D642">
        <v>1.2</v>
      </c>
      <c r="E642">
        <v>1.2095</v>
      </c>
      <c r="F642">
        <v>401545.27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-0.89502762430939153</v>
      </c>
      <c r="Q642">
        <f t="shared" si="990"/>
        <v>-359394.10906077322</v>
      </c>
      <c r="R642">
        <f t="shared" si="991"/>
        <v>-1216958.4385201617</v>
      </c>
      <c r="S642">
        <f t="shared" si="992"/>
        <v>-12.169584385201617</v>
      </c>
      <c r="T642">
        <f t="shared" si="993"/>
        <v>-1.2169584385201616E-2</v>
      </c>
    </row>
    <row r="643" spans="1:20" x14ac:dyDescent="0.25">
      <c r="A643" s="5">
        <v>43950</v>
      </c>
      <c r="B643">
        <v>1.2685</v>
      </c>
      <c r="C643">
        <v>1.3137000000000001</v>
      </c>
      <c r="D643">
        <v>1.2370000000000001</v>
      </c>
      <c r="E643">
        <v>1.2925</v>
      </c>
      <c r="F643">
        <v>563457.61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0.44719687092568161</v>
      </c>
      <c r="Q643">
        <f t="shared" si="990"/>
        <v>251976.48009126305</v>
      </c>
      <c r="R643">
        <f t="shared" si="991"/>
        <v>-857564.32945938851</v>
      </c>
      <c r="S643">
        <f t="shared" si="992"/>
        <v>-8.5756432945938847</v>
      </c>
      <c r="T643">
        <f t="shared" si="993"/>
        <v>-8.5756432945938849E-3</v>
      </c>
    </row>
    <row r="644" spans="1:20" x14ac:dyDescent="0.25">
      <c r="A644" s="5">
        <v>43949</v>
      </c>
      <c r="B644">
        <v>1.1709000000000001</v>
      </c>
      <c r="C644">
        <v>1.3345</v>
      </c>
      <c r="D644">
        <v>1.1180000000000001</v>
      </c>
      <c r="E644">
        <v>1.2759</v>
      </c>
      <c r="F644">
        <v>630764.29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0.45866050808314079</v>
      </c>
      <c r="Q644">
        <f t="shared" si="990"/>
        <v>289306.66973210155</v>
      </c>
      <c r="R644">
        <f t="shared" si="991"/>
        <v>-1109540.8095506516</v>
      </c>
      <c r="S644">
        <f t="shared" si="992"/>
        <v>-11.095408095506516</v>
      </c>
      <c r="T644">
        <f t="shared" si="993"/>
        <v>-1.1095408095506515E-2</v>
      </c>
    </row>
    <row r="645" spans="1:20" x14ac:dyDescent="0.25">
      <c r="A645" s="5">
        <v>43948</v>
      </c>
      <c r="B645">
        <v>1.0688</v>
      </c>
      <c r="C645">
        <v>1.1761999999999999</v>
      </c>
      <c r="D645">
        <v>1.0469999999999999</v>
      </c>
      <c r="E645">
        <v>1.1709000000000001</v>
      </c>
      <c r="F645">
        <v>432985.71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0.91795665634675139</v>
      </c>
      <c r="Q645">
        <f t="shared" si="990"/>
        <v>397462.11459752417</v>
      </c>
      <c r="R645">
        <f t="shared" si="991"/>
        <v>-1398847.4792827531</v>
      </c>
      <c r="S645">
        <f t="shared" si="992"/>
        <v>-13.98847479282753</v>
      </c>
      <c r="T645">
        <f t="shared" si="993"/>
        <v>-1.398847479282753E-2</v>
      </c>
    </row>
    <row r="646" spans="1:20" x14ac:dyDescent="0.25">
      <c r="A646" s="5">
        <v>43947</v>
      </c>
      <c r="B646">
        <v>1.0468999999999999</v>
      </c>
      <c r="C646">
        <v>1.0688</v>
      </c>
      <c r="D646">
        <v>0.92989999999999995</v>
      </c>
      <c r="E646">
        <v>1.0688</v>
      </c>
      <c r="F646">
        <v>97670.31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1</v>
      </c>
      <c r="Q646">
        <f t="shared" ref="Q646:Q709" si="995">F646*P646</f>
        <v>97670.31</v>
      </c>
      <c r="R646">
        <f t="shared" ref="R646:R709" si="996">R647+Q646</f>
        <v>-1796309.5938802774</v>
      </c>
      <c r="S646">
        <f t="shared" ref="S646:S709" si="997">R646/100000</f>
        <v>-17.963095938802773</v>
      </c>
      <c r="T646">
        <f t="shared" ref="T646:T709" si="998">S646/1000</f>
        <v>-1.7963095938802773E-2</v>
      </c>
    </row>
    <row r="647" spans="1:20" x14ac:dyDescent="0.25">
      <c r="A647" s="5">
        <v>43946</v>
      </c>
      <c r="B647">
        <v>1.0470999999999999</v>
      </c>
      <c r="C647">
        <v>1.0725</v>
      </c>
      <c r="D647">
        <v>1.0441</v>
      </c>
      <c r="E647">
        <v>1.0537000000000001</v>
      </c>
      <c r="F647">
        <v>85840.42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-0.32394366197182678</v>
      </c>
      <c r="Q647">
        <f t="shared" si="995"/>
        <v>-27807.459999999639</v>
      </c>
      <c r="R647">
        <f t="shared" si="996"/>
        <v>-1893979.9038802774</v>
      </c>
      <c r="S647">
        <f t="shared" si="997"/>
        <v>-18.939799038802775</v>
      </c>
      <c r="T647">
        <f t="shared" si="998"/>
        <v>-1.8939799038802774E-2</v>
      </c>
    </row>
    <row r="648" spans="1:20" x14ac:dyDescent="0.25">
      <c r="A648" s="5">
        <v>43945</v>
      </c>
      <c r="B648">
        <v>1.0313000000000001</v>
      </c>
      <c r="C648">
        <v>1.0519000000000001</v>
      </c>
      <c r="D648">
        <v>1.0203</v>
      </c>
      <c r="E648">
        <v>1.0477000000000001</v>
      </c>
      <c r="F648">
        <v>133711.4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0.73417721518987522</v>
      </c>
      <c r="Q648">
        <f t="shared" si="995"/>
        <v>98167.863291139482</v>
      </c>
      <c r="R648">
        <f t="shared" si="996"/>
        <v>-1866172.4438802777</v>
      </c>
      <c r="S648">
        <f t="shared" si="997"/>
        <v>-18.661724438802779</v>
      </c>
      <c r="T648">
        <f t="shared" si="998"/>
        <v>-1.866172443880278E-2</v>
      </c>
    </row>
    <row r="649" spans="1:20" x14ac:dyDescent="0.25">
      <c r="A649" s="5">
        <v>43944</v>
      </c>
      <c r="B649">
        <v>1.0243</v>
      </c>
      <c r="C649">
        <v>1.0583</v>
      </c>
      <c r="D649">
        <v>0.92769999999999997</v>
      </c>
      <c r="E649">
        <v>1.0313000000000001</v>
      </c>
      <c r="F649">
        <v>183678.05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0.58652373660030777</v>
      </c>
      <c r="Q649">
        <f t="shared" si="995"/>
        <v>107731.53621745815</v>
      </c>
      <c r="R649">
        <f t="shared" si="996"/>
        <v>-1964340.3071714172</v>
      </c>
      <c r="S649">
        <f t="shared" si="997"/>
        <v>-19.643403071714172</v>
      </c>
      <c r="T649">
        <f t="shared" si="998"/>
        <v>-1.9643403071714173E-2</v>
      </c>
    </row>
    <row r="650" spans="1:20" x14ac:dyDescent="0.25">
      <c r="A650" s="5">
        <v>43943</v>
      </c>
      <c r="B650">
        <v>0.97889999999999999</v>
      </c>
      <c r="C650">
        <v>1.0264</v>
      </c>
      <c r="D650">
        <v>0.97419999999999995</v>
      </c>
      <c r="E650">
        <v>1.0243</v>
      </c>
      <c r="F650">
        <v>77687.11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0.9195402298850579</v>
      </c>
      <c r="Q650">
        <f t="shared" si="995"/>
        <v>71436.422988505787</v>
      </c>
      <c r="R650">
        <f t="shared" si="996"/>
        <v>-2072071.8433888752</v>
      </c>
      <c r="S650">
        <f t="shared" si="997"/>
        <v>-20.720718433888752</v>
      </c>
      <c r="T650">
        <f t="shared" si="998"/>
        <v>-2.0720718433888754E-2</v>
      </c>
    </row>
    <row r="651" spans="1:20" x14ac:dyDescent="0.25">
      <c r="A651" s="5">
        <v>43942</v>
      </c>
      <c r="B651">
        <v>1.0012000000000001</v>
      </c>
      <c r="C651">
        <v>1.06</v>
      </c>
      <c r="D651">
        <v>0.9345</v>
      </c>
      <c r="E651">
        <v>0.97889999999999999</v>
      </c>
      <c r="F651">
        <v>223450.41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-0.29243027888446255</v>
      </c>
      <c r="Q651">
        <f t="shared" si="995"/>
        <v>-65343.6657131475</v>
      </c>
      <c r="R651">
        <f t="shared" si="996"/>
        <v>-2143508.266377381</v>
      </c>
      <c r="S651">
        <f t="shared" si="997"/>
        <v>-21.435082663773809</v>
      </c>
      <c r="T651">
        <f t="shared" si="998"/>
        <v>-2.1435082663773808E-2</v>
      </c>
    </row>
    <row r="652" spans="1:20" x14ac:dyDescent="0.25">
      <c r="A652" s="5">
        <v>43941</v>
      </c>
      <c r="B652">
        <v>1.0388999999999999</v>
      </c>
      <c r="C652">
        <v>1.0613999999999999</v>
      </c>
      <c r="D652">
        <v>0.97809999999999997</v>
      </c>
      <c r="E652">
        <v>0.99819999999999998</v>
      </c>
      <c r="F652">
        <v>186353.28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-0.51740696278511344</v>
      </c>
      <c r="Q652">
        <f t="shared" si="995"/>
        <v>-96420.484609843828</v>
      </c>
      <c r="R652">
        <f t="shared" si="996"/>
        <v>-2078164.6006642336</v>
      </c>
      <c r="S652">
        <f t="shared" si="997"/>
        <v>-20.781646006642337</v>
      </c>
      <c r="T652">
        <f t="shared" si="998"/>
        <v>-2.0781646006642337E-2</v>
      </c>
    </row>
    <row r="653" spans="1:20" x14ac:dyDescent="0.25">
      <c r="A653" s="5">
        <v>43940</v>
      </c>
      <c r="B653">
        <v>1.0677000000000001</v>
      </c>
      <c r="C653">
        <v>1.0702</v>
      </c>
      <c r="D653">
        <v>1.0188999999999999</v>
      </c>
      <c r="E653">
        <v>1.0388999999999999</v>
      </c>
      <c r="F653">
        <v>80114.53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-0.22027290448343198</v>
      </c>
      <c r="Q653">
        <f t="shared" si="995"/>
        <v>-17647.060214425044</v>
      </c>
      <c r="R653">
        <f t="shared" si="996"/>
        <v>-1981744.1160543896</v>
      </c>
      <c r="S653">
        <f t="shared" si="997"/>
        <v>-19.817441160543897</v>
      </c>
      <c r="T653">
        <f t="shared" si="998"/>
        <v>-1.9817441160543896E-2</v>
      </c>
    </row>
    <row r="654" spans="1:20" x14ac:dyDescent="0.25">
      <c r="A654" s="5">
        <v>43939</v>
      </c>
      <c r="B654">
        <v>1.0450999999999999</v>
      </c>
      <c r="C654">
        <v>1.0785</v>
      </c>
      <c r="D654">
        <v>1.0450999999999999</v>
      </c>
      <c r="E654">
        <v>1.0634999999999999</v>
      </c>
      <c r="F654">
        <v>97877.11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0.10179640718562388</v>
      </c>
      <c r="Q654">
        <f t="shared" si="995"/>
        <v>9963.5381437120996</v>
      </c>
      <c r="R654">
        <f t="shared" si="996"/>
        <v>-1964097.0558399647</v>
      </c>
      <c r="S654">
        <f t="shared" si="997"/>
        <v>-19.640970558399648</v>
      </c>
      <c r="T654">
        <f t="shared" si="998"/>
        <v>-1.9640970558399647E-2</v>
      </c>
    </row>
    <row r="655" spans="1:20" x14ac:dyDescent="0.25">
      <c r="A655" s="5">
        <v>43938</v>
      </c>
      <c r="B655">
        <v>1.0451999999999999</v>
      </c>
      <c r="C655">
        <v>1.0589999999999999</v>
      </c>
      <c r="D655">
        <v>1.0214000000000001</v>
      </c>
      <c r="E655">
        <v>1.0461</v>
      </c>
      <c r="F655">
        <v>90179.67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0.31382978723404464</v>
      </c>
      <c r="Q655">
        <f t="shared" si="995"/>
        <v>28301.066648936358</v>
      </c>
      <c r="R655">
        <f t="shared" si="996"/>
        <v>-1974060.5939836768</v>
      </c>
      <c r="S655">
        <f t="shared" si="997"/>
        <v>-19.740605939836769</v>
      </c>
      <c r="T655">
        <f t="shared" si="998"/>
        <v>-1.9740605939836769E-2</v>
      </c>
    </row>
    <row r="656" spans="1:20" x14ac:dyDescent="0.25">
      <c r="A656" s="5">
        <v>43937</v>
      </c>
      <c r="B656">
        <v>1.0188999999999999</v>
      </c>
      <c r="C656">
        <v>1.0747</v>
      </c>
      <c r="D656">
        <v>0.9788</v>
      </c>
      <c r="E656">
        <v>1.0497000000000001</v>
      </c>
      <c r="F656">
        <v>257173.61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0.47862356621480884</v>
      </c>
      <c r="Q656">
        <f t="shared" si="995"/>
        <v>123089.35035453642</v>
      </c>
      <c r="R656">
        <f t="shared" si="996"/>
        <v>-2002361.6606326131</v>
      </c>
      <c r="S656">
        <f t="shared" si="997"/>
        <v>-20.023616606326129</v>
      </c>
      <c r="T656">
        <f t="shared" si="998"/>
        <v>-2.0023616606326129E-2</v>
      </c>
    </row>
    <row r="657" spans="1:20" x14ac:dyDescent="0.25">
      <c r="A657" s="5">
        <v>43936</v>
      </c>
      <c r="B657">
        <v>1.0004</v>
      </c>
      <c r="C657">
        <v>1.22</v>
      </c>
      <c r="D657">
        <v>0.99919999999999998</v>
      </c>
      <c r="E657">
        <v>1.0190999999999999</v>
      </c>
      <c r="F657">
        <v>469173.15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-0.8197463768115949</v>
      </c>
      <c r="Q657">
        <f t="shared" si="995"/>
        <v>-384602.98980978294</v>
      </c>
      <c r="R657">
        <f t="shared" si="996"/>
        <v>-2125451.0109871496</v>
      </c>
      <c r="S657">
        <f t="shared" si="997"/>
        <v>-21.254510109871497</v>
      </c>
      <c r="T657">
        <f t="shared" si="998"/>
        <v>-2.1254510109871498E-2</v>
      </c>
    </row>
    <row r="658" spans="1:20" x14ac:dyDescent="0.25">
      <c r="A658" s="5">
        <v>43935</v>
      </c>
      <c r="B658">
        <v>0.96919999999999995</v>
      </c>
      <c r="C658">
        <v>1.0313000000000001</v>
      </c>
      <c r="D658">
        <v>0.95960000000000001</v>
      </c>
      <c r="E658">
        <v>1.0071000000000001</v>
      </c>
      <c r="F658">
        <v>101628.07</v>
      </c>
      <c r="G658">
        <v>0</v>
      </c>
      <c r="L658" t="s">
        <v>8</v>
      </c>
      <c r="M658" t="s">
        <v>7</v>
      </c>
      <c r="N658" t="s">
        <v>7</v>
      </c>
      <c r="P658">
        <f t="shared" si="994"/>
        <v>0.32496513249651421</v>
      </c>
      <c r="Q658">
        <f t="shared" si="995"/>
        <v>33025.579232915021</v>
      </c>
      <c r="R658">
        <f t="shared" si="996"/>
        <v>-1740848.0211773668</v>
      </c>
      <c r="S658">
        <f t="shared" si="997"/>
        <v>-17.408480211773668</v>
      </c>
      <c r="T658">
        <f t="shared" si="998"/>
        <v>-1.7408480211773669E-2</v>
      </c>
    </row>
    <row r="659" spans="1:20" x14ac:dyDescent="0.25">
      <c r="A659" s="5">
        <v>43934</v>
      </c>
      <c r="B659">
        <v>0.98109999999999997</v>
      </c>
      <c r="C659">
        <v>0.98229999999999995</v>
      </c>
      <c r="D659">
        <v>0.93679999999999997</v>
      </c>
      <c r="E659">
        <v>0.96860000000000002</v>
      </c>
      <c r="F659">
        <v>104240.23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0.3978021978022005</v>
      </c>
      <c r="Q659">
        <f t="shared" si="995"/>
        <v>41466.992593406874</v>
      </c>
      <c r="R659">
        <f t="shared" si="996"/>
        <v>-1773873.6004102819</v>
      </c>
      <c r="S659">
        <f t="shared" si="997"/>
        <v>-17.738736004102819</v>
      </c>
      <c r="T659">
        <f t="shared" si="998"/>
        <v>-1.773873600410282E-2</v>
      </c>
    </row>
    <row r="660" spans="1:20" x14ac:dyDescent="0.25">
      <c r="A660" s="5">
        <v>43933</v>
      </c>
      <c r="B660">
        <v>0.97099999999999997</v>
      </c>
      <c r="C660">
        <v>1.0119</v>
      </c>
      <c r="D660">
        <v>0.95550000000000002</v>
      </c>
      <c r="E660">
        <v>0.98109999999999997</v>
      </c>
      <c r="F660">
        <v>80389.52</v>
      </c>
      <c r="G660">
        <v>0</v>
      </c>
      <c r="L660" t="s">
        <v>7</v>
      </c>
      <c r="M660" t="s">
        <v>7</v>
      </c>
      <c r="N660" t="s">
        <v>7</v>
      </c>
      <c r="P660">
        <f t="shared" si="994"/>
        <v>-9.2198581560285334E-2</v>
      </c>
      <c r="Q660">
        <f t="shared" si="995"/>
        <v>-7411.799716312189</v>
      </c>
      <c r="R660">
        <f t="shared" si="996"/>
        <v>-1815340.5930036888</v>
      </c>
      <c r="S660">
        <f t="shared" si="997"/>
        <v>-18.15340593003689</v>
      </c>
      <c r="T660">
        <f t="shared" si="998"/>
        <v>-1.8153405930036889E-2</v>
      </c>
    </row>
    <row r="661" spans="1:20" x14ac:dyDescent="0.25">
      <c r="A661" s="5">
        <v>43932</v>
      </c>
      <c r="B661">
        <v>0.97319999999999995</v>
      </c>
      <c r="C661">
        <v>0.9899</v>
      </c>
      <c r="D661">
        <v>0.95960000000000001</v>
      </c>
      <c r="E661">
        <v>0.97099999999999997</v>
      </c>
      <c r="F661">
        <v>56348.92</v>
      </c>
      <c r="G661">
        <v>0</v>
      </c>
      <c r="L661" t="s">
        <v>7</v>
      </c>
      <c r="M661" t="s">
        <v>7</v>
      </c>
      <c r="N661" t="s">
        <v>7</v>
      </c>
      <c r="P661">
        <f t="shared" si="994"/>
        <v>-0.24752475247524963</v>
      </c>
      <c r="Q661">
        <f t="shared" si="995"/>
        <v>-13947.752475247644</v>
      </c>
      <c r="R661">
        <f t="shared" si="996"/>
        <v>-1807928.7932873766</v>
      </c>
      <c r="S661">
        <f t="shared" si="997"/>
        <v>-18.079287932873765</v>
      </c>
      <c r="T661">
        <f t="shared" si="998"/>
        <v>-1.8079287932873764E-2</v>
      </c>
    </row>
    <row r="662" spans="1:20" x14ac:dyDescent="0.25">
      <c r="A662" s="5">
        <v>43931</v>
      </c>
      <c r="B662">
        <v>1.0449999999999999</v>
      </c>
      <c r="C662">
        <v>1.0471999999999999</v>
      </c>
      <c r="D662">
        <v>0.94389999999999996</v>
      </c>
      <c r="E662">
        <v>0.97419999999999995</v>
      </c>
      <c r="F662">
        <v>136840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-0.41335914811229413</v>
      </c>
      <c r="Q662">
        <f t="shared" si="995"/>
        <v>-56564.065827686325</v>
      </c>
      <c r="R662">
        <f t="shared" si="996"/>
        <v>-1793981.0408121289</v>
      </c>
      <c r="S662">
        <f t="shared" si="997"/>
        <v>-17.939810408121289</v>
      </c>
      <c r="T662">
        <f t="shared" si="998"/>
        <v>-1.7939810408121291E-2</v>
      </c>
    </row>
    <row r="663" spans="1:20" x14ac:dyDescent="0.25">
      <c r="A663" s="5">
        <v>43930</v>
      </c>
      <c r="B663">
        <v>1.0481</v>
      </c>
      <c r="C663">
        <v>1.06</v>
      </c>
      <c r="D663">
        <v>1.0189999999999999</v>
      </c>
      <c r="E663">
        <v>1.0431999999999999</v>
      </c>
      <c r="F663">
        <v>83513.649999999994</v>
      </c>
      <c r="G663">
        <v>0</v>
      </c>
      <c r="L663" t="s">
        <v>7</v>
      </c>
      <c r="M663" t="s">
        <v>8</v>
      </c>
      <c r="N663" t="s">
        <v>7</v>
      </c>
      <c r="P663">
        <f t="shared" si="994"/>
        <v>0.1804878048780445</v>
      </c>
      <c r="Q663">
        <f t="shared" si="995"/>
        <v>15073.1953658533</v>
      </c>
      <c r="R663">
        <f t="shared" si="996"/>
        <v>-1737416.9749844426</v>
      </c>
      <c r="S663">
        <f t="shared" si="997"/>
        <v>-17.374169749844427</v>
      </c>
      <c r="T663">
        <f t="shared" si="998"/>
        <v>-1.7374169749844428E-2</v>
      </c>
    </row>
    <row r="664" spans="1:20" x14ac:dyDescent="0.25">
      <c r="A664" s="5">
        <v>43929</v>
      </c>
      <c r="B664">
        <v>1.0369999999999999</v>
      </c>
      <c r="C664">
        <v>1.0737000000000001</v>
      </c>
      <c r="D664">
        <v>1.0333000000000001</v>
      </c>
      <c r="E664">
        <v>1.05</v>
      </c>
      <c r="F664">
        <v>50207.49</v>
      </c>
      <c r="G664">
        <v>0</v>
      </c>
      <c r="L664" t="s">
        <v>7</v>
      </c>
      <c r="M664" t="s">
        <v>8</v>
      </c>
      <c r="N664" t="s">
        <v>7</v>
      </c>
      <c r="P664">
        <f t="shared" si="994"/>
        <v>-0.1732673267326762</v>
      </c>
      <c r="Q664">
        <f t="shared" si="995"/>
        <v>-8699.3175742575731</v>
      </c>
      <c r="R664">
        <f t="shared" si="996"/>
        <v>-1752490.170350296</v>
      </c>
      <c r="S664">
        <f t="shared" si="997"/>
        <v>-17.524901703502959</v>
      </c>
      <c r="T664">
        <f t="shared" si="998"/>
        <v>-1.752490170350296E-2</v>
      </c>
    </row>
    <row r="665" spans="1:20" x14ac:dyDescent="0.25">
      <c r="A665" s="5">
        <v>43928</v>
      </c>
      <c r="B665">
        <v>1.0407999999999999</v>
      </c>
      <c r="C665">
        <v>1.1128</v>
      </c>
      <c r="D665">
        <v>1.0135000000000001</v>
      </c>
      <c r="E665">
        <v>1.0337000000000001</v>
      </c>
      <c r="F665">
        <v>219863.57</v>
      </c>
      <c r="G665">
        <v>0</v>
      </c>
      <c r="L665" t="s">
        <v>8</v>
      </c>
      <c r="M665" t="s">
        <v>8</v>
      </c>
      <c r="N665" t="s">
        <v>7</v>
      </c>
      <c r="P665">
        <f t="shared" si="994"/>
        <v>-0.59315206445115798</v>
      </c>
      <c r="Q665">
        <f t="shared" si="995"/>
        <v>-130412.53044310168</v>
      </c>
      <c r="R665">
        <f t="shared" si="996"/>
        <v>-1743790.8527760385</v>
      </c>
      <c r="S665">
        <f t="shared" si="997"/>
        <v>-17.437908527760385</v>
      </c>
      <c r="T665">
        <f t="shared" si="998"/>
        <v>-1.7437908527760386E-2</v>
      </c>
    </row>
    <row r="666" spans="1:20" x14ac:dyDescent="0.25">
      <c r="A666" s="5">
        <v>43927</v>
      </c>
      <c r="B666">
        <v>0.97870000000000001</v>
      </c>
      <c r="C666">
        <v>1.0463</v>
      </c>
      <c r="D666">
        <v>0.97870000000000001</v>
      </c>
      <c r="E666">
        <v>1.0407999999999999</v>
      </c>
      <c r="F666">
        <v>109429.84</v>
      </c>
      <c r="G666">
        <v>0</v>
      </c>
      <c r="L666" t="s">
        <v>8</v>
      </c>
      <c r="M666" t="s">
        <v>7</v>
      </c>
      <c r="N666" t="s">
        <v>7</v>
      </c>
      <c r="P666">
        <f t="shared" si="994"/>
        <v>0.83727810650887391</v>
      </c>
      <c r="Q666">
        <f t="shared" si="995"/>
        <v>91623.209230769033</v>
      </c>
      <c r="R666">
        <f t="shared" si="996"/>
        <v>-1613378.3223329368</v>
      </c>
      <c r="S666">
        <f t="shared" si="997"/>
        <v>-16.133783223329367</v>
      </c>
      <c r="T666">
        <f t="shared" si="998"/>
        <v>-1.6133783223329368E-2</v>
      </c>
    </row>
    <row r="667" spans="1:20" x14ac:dyDescent="0.25">
      <c r="A667" s="5">
        <v>43926</v>
      </c>
      <c r="B667">
        <v>0.98450000000000004</v>
      </c>
      <c r="C667">
        <v>0.98670000000000002</v>
      </c>
      <c r="D667">
        <v>0.96499999999999997</v>
      </c>
      <c r="E667">
        <v>0.97870000000000001</v>
      </c>
      <c r="F667">
        <v>48317.47</v>
      </c>
      <c r="G667">
        <v>0</v>
      </c>
      <c r="L667" t="s">
        <v>8</v>
      </c>
      <c r="M667" t="s">
        <v>7</v>
      </c>
      <c r="N667" t="s">
        <v>7</v>
      </c>
      <c r="P667">
        <f t="shared" si="994"/>
        <v>0.26267281105990897</v>
      </c>
      <c r="Q667">
        <f t="shared" si="995"/>
        <v>12691.685668202821</v>
      </c>
      <c r="R667">
        <f t="shared" si="996"/>
        <v>-1705001.5315637058</v>
      </c>
      <c r="S667">
        <f t="shared" si="997"/>
        <v>-17.050015315637058</v>
      </c>
      <c r="T667">
        <f t="shared" si="998"/>
        <v>-1.7050015315637056E-2</v>
      </c>
    </row>
    <row r="668" spans="1:20" x14ac:dyDescent="0.25">
      <c r="A668" s="5">
        <v>43925</v>
      </c>
      <c r="B668">
        <v>0.97870000000000001</v>
      </c>
      <c r="C668">
        <v>0.99729999999999996</v>
      </c>
      <c r="D668">
        <v>0.96189999999999998</v>
      </c>
      <c r="E668">
        <v>0.98450000000000004</v>
      </c>
      <c r="F668">
        <v>60036.51</v>
      </c>
      <c r="G668">
        <v>0</v>
      </c>
      <c r="L668" t="s">
        <v>8</v>
      </c>
      <c r="M668" t="s">
        <v>7</v>
      </c>
      <c r="N668" t="s">
        <v>7</v>
      </c>
      <c r="P668">
        <f t="shared" si="994"/>
        <v>0.27683615819209451</v>
      </c>
      <c r="Q668">
        <f t="shared" si="995"/>
        <v>16620.276779661264</v>
      </c>
      <c r="R668">
        <f t="shared" si="996"/>
        <v>-1717693.2172319086</v>
      </c>
      <c r="S668">
        <f t="shared" si="997"/>
        <v>-17.176932172319084</v>
      </c>
      <c r="T668">
        <f t="shared" si="998"/>
        <v>-1.7176932172319085E-2</v>
      </c>
    </row>
    <row r="669" spans="1:20" x14ac:dyDescent="0.25">
      <c r="A669" s="5">
        <v>43924</v>
      </c>
      <c r="B669">
        <v>0.98929999999999996</v>
      </c>
      <c r="C669">
        <v>1.0266999999999999</v>
      </c>
      <c r="D669">
        <v>0.97</v>
      </c>
      <c r="E669">
        <v>0.97689999999999999</v>
      </c>
      <c r="F669">
        <v>78521.45</v>
      </c>
      <c r="G669">
        <v>0</v>
      </c>
      <c r="L669" t="s">
        <v>8</v>
      </c>
      <c r="M669" t="s">
        <v>7</v>
      </c>
      <c r="N669" t="s">
        <v>7</v>
      </c>
      <c r="P669">
        <f t="shared" si="994"/>
        <v>-0.75661375661375585</v>
      </c>
      <c r="Q669">
        <f t="shared" si="995"/>
        <v>-59410.409259259199</v>
      </c>
      <c r="R669">
        <f t="shared" si="996"/>
        <v>-1734313.4940115698</v>
      </c>
      <c r="S669">
        <f t="shared" si="997"/>
        <v>-17.343134940115696</v>
      </c>
      <c r="T669">
        <f t="shared" si="998"/>
        <v>-1.7343134940115697E-2</v>
      </c>
    </row>
    <row r="670" spans="1:20" x14ac:dyDescent="0.25">
      <c r="A670" s="5">
        <v>43923</v>
      </c>
      <c r="B670">
        <v>0.97860000000000003</v>
      </c>
      <c r="C670">
        <v>1.0395000000000001</v>
      </c>
      <c r="D670">
        <v>0.95409999999999995</v>
      </c>
      <c r="E670">
        <v>0.98609999999999998</v>
      </c>
      <c r="F670">
        <v>154156.79999999999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-0.25058548009367743</v>
      </c>
      <c r="Q670">
        <f t="shared" si="995"/>
        <v>-38629.455737705008</v>
      </c>
      <c r="R670">
        <f t="shared" si="996"/>
        <v>-1674903.0847523105</v>
      </c>
      <c r="S670">
        <f t="shared" si="997"/>
        <v>-16.749030847523105</v>
      </c>
      <c r="T670">
        <f t="shared" si="998"/>
        <v>-1.6749030847523105E-2</v>
      </c>
    </row>
    <row r="671" spans="1:20" x14ac:dyDescent="0.25">
      <c r="A671" s="5">
        <v>43922</v>
      </c>
      <c r="B671">
        <v>0.96309999999999996</v>
      </c>
      <c r="C671">
        <v>0.97770000000000001</v>
      </c>
      <c r="D671">
        <v>0.92530000000000001</v>
      </c>
      <c r="E671">
        <v>0.97719999999999996</v>
      </c>
      <c r="F671">
        <v>80414.03</v>
      </c>
      <c r="G671">
        <v>0</v>
      </c>
      <c r="L671" t="s">
        <v>8</v>
      </c>
      <c r="M671" t="s">
        <v>7</v>
      </c>
      <c r="N671" t="s">
        <v>7</v>
      </c>
      <c r="P671">
        <f t="shared" si="994"/>
        <v>0.98091603053434906</v>
      </c>
      <c r="Q671">
        <f t="shared" si="995"/>
        <v>78879.411106870059</v>
      </c>
      <c r="R671">
        <f t="shared" si="996"/>
        <v>-1636273.6290146054</v>
      </c>
      <c r="S671">
        <f t="shared" si="997"/>
        <v>-16.362736290146053</v>
      </c>
      <c r="T671">
        <f t="shared" si="998"/>
        <v>-1.6362736290146052E-2</v>
      </c>
    </row>
    <row r="672" spans="1:20" x14ac:dyDescent="0.25">
      <c r="A672" s="5">
        <v>43921</v>
      </c>
      <c r="B672">
        <v>0.95309999999999995</v>
      </c>
      <c r="C672">
        <v>0.99029999999999996</v>
      </c>
      <c r="D672">
        <v>0.94730000000000003</v>
      </c>
      <c r="E672">
        <v>0.96309999999999996</v>
      </c>
      <c r="F672">
        <v>71666.81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-0.2651162790697697</v>
      </c>
      <c r="Q672">
        <f t="shared" si="995"/>
        <v>-19000.038000000161</v>
      </c>
      <c r="R672">
        <f t="shared" si="996"/>
        <v>-1715153.0401214755</v>
      </c>
      <c r="S672">
        <f t="shared" si="997"/>
        <v>-17.151530401214753</v>
      </c>
      <c r="T672">
        <f t="shared" si="998"/>
        <v>-1.7151530401214754E-2</v>
      </c>
    </row>
    <row r="673" spans="1:20" x14ac:dyDescent="0.25">
      <c r="A673" s="5">
        <v>43920</v>
      </c>
      <c r="B673">
        <v>0.90280000000000005</v>
      </c>
      <c r="C673">
        <v>0.98340000000000005</v>
      </c>
      <c r="D673">
        <v>0.90010000000000001</v>
      </c>
      <c r="E673">
        <v>0.95430000000000004</v>
      </c>
      <c r="F673">
        <v>117856.17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0.30132052821128452</v>
      </c>
      <c r="Q673">
        <f t="shared" si="995"/>
        <v>35512.483397358941</v>
      </c>
      <c r="R673">
        <f t="shared" si="996"/>
        <v>-1696153.0021214753</v>
      </c>
      <c r="S673">
        <f t="shared" si="997"/>
        <v>-16.961530021214752</v>
      </c>
      <c r="T673">
        <f t="shared" si="998"/>
        <v>-1.6961530021214751E-2</v>
      </c>
    </row>
    <row r="674" spans="1:20" x14ac:dyDescent="0.25">
      <c r="A674" s="5">
        <v>43919</v>
      </c>
      <c r="B674">
        <v>0.98119999999999996</v>
      </c>
      <c r="C674">
        <v>0.98119999999999996</v>
      </c>
      <c r="D674">
        <v>0.89390000000000003</v>
      </c>
      <c r="E674">
        <v>0.90159999999999996</v>
      </c>
      <c r="F674">
        <v>93399.83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-0.82359679266895913</v>
      </c>
      <c r="Q674">
        <f t="shared" si="995"/>
        <v>-76923.800423826033</v>
      </c>
      <c r="R674">
        <f t="shared" si="996"/>
        <v>-1731665.4855188343</v>
      </c>
      <c r="S674">
        <f t="shared" si="997"/>
        <v>-17.316654855188343</v>
      </c>
      <c r="T674">
        <f t="shared" si="998"/>
        <v>-1.7316654855188345E-2</v>
      </c>
    </row>
    <row r="675" spans="1:20" x14ac:dyDescent="0.25">
      <c r="A675" s="5">
        <v>43918</v>
      </c>
      <c r="B675">
        <v>0.99350000000000005</v>
      </c>
      <c r="C675">
        <v>0.99350000000000005</v>
      </c>
      <c r="D675">
        <v>0.95269999999999999</v>
      </c>
      <c r="E675">
        <v>0.98140000000000005</v>
      </c>
      <c r="F675">
        <v>117901.07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0.4068627450980401</v>
      </c>
      <c r="Q675">
        <f t="shared" si="995"/>
        <v>47969.552990196185</v>
      </c>
      <c r="R675">
        <f t="shared" si="996"/>
        <v>-1654741.6850950082</v>
      </c>
      <c r="S675">
        <f t="shared" si="997"/>
        <v>-16.547416850950082</v>
      </c>
      <c r="T675">
        <f t="shared" si="998"/>
        <v>-1.6547416850950084E-2</v>
      </c>
    </row>
    <row r="676" spans="1:20" x14ac:dyDescent="0.25">
      <c r="A676" s="5">
        <v>43917</v>
      </c>
      <c r="B676">
        <v>1.0245</v>
      </c>
      <c r="C676">
        <v>1.048</v>
      </c>
      <c r="D676">
        <v>0.98509999999999998</v>
      </c>
      <c r="E676">
        <v>0.99819999999999998</v>
      </c>
      <c r="F676">
        <v>54103.56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-0.58346581875993686</v>
      </c>
      <c r="Q676">
        <f t="shared" si="995"/>
        <v>-31567.577933227367</v>
      </c>
      <c r="R676">
        <f t="shared" si="996"/>
        <v>-1702711.2380852045</v>
      </c>
      <c r="S676">
        <f t="shared" si="997"/>
        <v>-17.027112380852046</v>
      </c>
      <c r="T676">
        <f t="shared" si="998"/>
        <v>-1.7027112380852045E-2</v>
      </c>
    </row>
    <row r="677" spans="1:20" x14ac:dyDescent="0.25">
      <c r="A677" s="5">
        <v>43916</v>
      </c>
      <c r="B677">
        <v>1.0206</v>
      </c>
      <c r="C677">
        <v>1.0294000000000001</v>
      </c>
      <c r="D677">
        <v>0.98509999999999998</v>
      </c>
      <c r="E677">
        <v>1.0181</v>
      </c>
      <c r="F677">
        <v>93466.4</v>
      </c>
      <c r="G677">
        <v>0</v>
      </c>
      <c r="L677" t="s">
        <v>7</v>
      </c>
      <c r="M677" t="s">
        <v>7</v>
      </c>
      <c r="N677" t="s">
        <v>8</v>
      </c>
      <c r="P677">
        <f t="shared" si="994"/>
        <v>0.48984198645597932</v>
      </c>
      <c r="Q677">
        <f t="shared" si="995"/>
        <v>45783.767042889143</v>
      </c>
      <c r="R677">
        <f t="shared" si="996"/>
        <v>-1671143.6601519771</v>
      </c>
      <c r="S677">
        <f t="shared" si="997"/>
        <v>-16.711436601519772</v>
      </c>
      <c r="T677">
        <f t="shared" si="998"/>
        <v>-1.6711436601519771E-2</v>
      </c>
    </row>
    <row r="678" spans="1:20" x14ac:dyDescent="0.25">
      <c r="A678" s="5">
        <v>43915</v>
      </c>
      <c r="B678">
        <v>1.0516000000000001</v>
      </c>
      <c r="C678">
        <v>1.0750999999999999</v>
      </c>
      <c r="D678">
        <v>0.99129999999999996</v>
      </c>
      <c r="E678">
        <v>1.0206</v>
      </c>
      <c r="F678">
        <v>122868.01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-0.3007159904534607</v>
      </c>
      <c r="Q678">
        <f t="shared" si="995"/>
        <v>-36948.375322195716</v>
      </c>
      <c r="R678">
        <f t="shared" si="996"/>
        <v>-1716927.4271948661</v>
      </c>
      <c r="S678">
        <f t="shared" si="997"/>
        <v>-17.169274271948662</v>
      </c>
      <c r="T678">
        <f t="shared" si="998"/>
        <v>-1.7169274271948663E-2</v>
      </c>
    </row>
    <row r="679" spans="1:20" x14ac:dyDescent="0.25">
      <c r="A679" s="5">
        <v>43914</v>
      </c>
      <c r="B679">
        <v>1.0412999999999999</v>
      </c>
      <c r="C679">
        <v>1.0736000000000001</v>
      </c>
      <c r="D679">
        <v>0.99170000000000003</v>
      </c>
      <c r="E679">
        <v>1.0535000000000001</v>
      </c>
      <c r="F679">
        <v>140985.57999999999</v>
      </c>
      <c r="G679">
        <v>0</v>
      </c>
      <c r="L679" t="s">
        <v>7</v>
      </c>
      <c r="M679" t="s">
        <v>7</v>
      </c>
      <c r="N679" t="s">
        <v>8</v>
      </c>
      <c r="P679">
        <f t="shared" si="994"/>
        <v>0.50915750915750946</v>
      </c>
      <c r="Q679">
        <f t="shared" si="995"/>
        <v>71783.866739926772</v>
      </c>
      <c r="R679">
        <f t="shared" si="996"/>
        <v>-1679979.0518726704</v>
      </c>
      <c r="S679">
        <f t="shared" si="997"/>
        <v>-16.799790518726706</v>
      </c>
      <c r="T679">
        <f t="shared" si="998"/>
        <v>-1.6799790518726706E-2</v>
      </c>
    </row>
    <row r="680" spans="1:20" x14ac:dyDescent="0.25">
      <c r="A680" s="5">
        <v>43913</v>
      </c>
      <c r="B680">
        <v>0.94989999999999997</v>
      </c>
      <c r="C680">
        <v>1.07</v>
      </c>
      <c r="D680">
        <v>0.93330000000000002</v>
      </c>
      <c r="E680">
        <v>1.0410999999999999</v>
      </c>
      <c r="F680">
        <v>177114.61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0.57717629846378726</v>
      </c>
      <c r="Q680">
        <f t="shared" si="995"/>
        <v>102226.35500365727</v>
      </c>
      <c r="R680">
        <f t="shared" si="996"/>
        <v>-1751762.9186125973</v>
      </c>
      <c r="S680">
        <f t="shared" si="997"/>
        <v>-17.517629186125973</v>
      </c>
      <c r="T680">
        <f t="shared" si="998"/>
        <v>-1.7517629186125972E-2</v>
      </c>
    </row>
    <row r="681" spans="1:20" x14ac:dyDescent="0.25">
      <c r="A681" s="5">
        <v>43912</v>
      </c>
      <c r="B681">
        <v>1.0265</v>
      </c>
      <c r="C681">
        <v>1.0953999999999999</v>
      </c>
      <c r="D681">
        <v>0.93799999999999994</v>
      </c>
      <c r="E681">
        <v>0.95450000000000002</v>
      </c>
      <c r="F681">
        <v>216057.92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-0.79034307496823286</v>
      </c>
      <c r="Q681">
        <f t="shared" si="995"/>
        <v>-170759.88086404046</v>
      </c>
      <c r="R681">
        <f t="shared" si="996"/>
        <v>-1853989.2736162546</v>
      </c>
      <c r="S681">
        <f t="shared" si="997"/>
        <v>-18.539892736162546</v>
      </c>
      <c r="T681">
        <f t="shared" si="998"/>
        <v>-1.8539892736162546E-2</v>
      </c>
    </row>
    <row r="682" spans="1:20" x14ac:dyDescent="0.25">
      <c r="A682" s="5">
        <v>43911</v>
      </c>
      <c r="B682">
        <v>1.0584</v>
      </c>
      <c r="C682">
        <v>1.1253</v>
      </c>
      <c r="D682">
        <v>1.002</v>
      </c>
      <c r="E682">
        <v>1.0344</v>
      </c>
      <c r="F682">
        <v>377071.75</v>
      </c>
      <c r="G682">
        <v>0</v>
      </c>
      <c r="L682" t="s">
        <v>8</v>
      </c>
      <c r="M682" t="s">
        <v>8</v>
      </c>
      <c r="N682" t="s">
        <v>8</v>
      </c>
      <c r="P682">
        <f t="shared" si="994"/>
        <v>-0.47445255474452563</v>
      </c>
      <c r="Q682">
        <f t="shared" si="995"/>
        <v>-178902.65510948907</v>
      </c>
      <c r="R682">
        <f t="shared" si="996"/>
        <v>-1683229.3927522141</v>
      </c>
      <c r="S682">
        <f t="shared" si="997"/>
        <v>-16.832293927522141</v>
      </c>
      <c r="T682">
        <f t="shared" si="998"/>
        <v>-1.6832293927522141E-2</v>
      </c>
    </row>
    <row r="683" spans="1:20" x14ac:dyDescent="0.25">
      <c r="A683" s="5">
        <v>43910</v>
      </c>
      <c r="B683">
        <v>1.1472</v>
      </c>
      <c r="C683">
        <v>1.2302</v>
      </c>
      <c r="D683">
        <v>0.95040000000000002</v>
      </c>
      <c r="E683">
        <v>1.07</v>
      </c>
      <c r="F683">
        <v>439267.39</v>
      </c>
      <c r="G683">
        <v>0</v>
      </c>
      <c r="L683" t="s">
        <v>7</v>
      </c>
      <c r="M683" t="s">
        <v>7</v>
      </c>
      <c r="N683" t="s">
        <v>8</v>
      </c>
      <c r="P683">
        <f t="shared" si="994"/>
        <v>-0.14510364546104312</v>
      </c>
      <c r="Q683">
        <f t="shared" si="995"/>
        <v>-63739.299621157763</v>
      </c>
      <c r="R683">
        <f t="shared" si="996"/>
        <v>-1504326.737642725</v>
      </c>
      <c r="S683">
        <f t="shared" si="997"/>
        <v>-15.04326737642725</v>
      </c>
      <c r="T683">
        <f t="shared" si="998"/>
        <v>-1.5043267376427251E-2</v>
      </c>
    </row>
    <row r="684" spans="1:20" x14ac:dyDescent="0.25">
      <c r="A684" s="5">
        <v>43909</v>
      </c>
      <c r="B684">
        <v>1.0654999999999999</v>
      </c>
      <c r="C684">
        <v>1.2248000000000001</v>
      </c>
      <c r="D684">
        <v>1.0013000000000001</v>
      </c>
      <c r="E684">
        <v>1.1415</v>
      </c>
      <c r="F684">
        <v>514586.51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0.25458612975391376</v>
      </c>
      <c r="Q684">
        <f t="shared" si="995"/>
        <v>131006.58800447364</v>
      </c>
      <c r="R684">
        <f t="shared" si="996"/>
        <v>-1440587.4380215672</v>
      </c>
      <c r="S684">
        <f t="shared" si="997"/>
        <v>-14.405874380215671</v>
      </c>
      <c r="T684">
        <f t="shared" si="998"/>
        <v>-1.4405874380215671E-2</v>
      </c>
    </row>
    <row r="685" spans="1:20" x14ac:dyDescent="0.25">
      <c r="A685" s="5">
        <v>43908</v>
      </c>
      <c r="B685">
        <v>0.95840000000000003</v>
      </c>
      <c r="C685">
        <v>1.0699000000000001</v>
      </c>
      <c r="D685">
        <v>0.92320000000000002</v>
      </c>
      <c r="E685">
        <v>1.0632999999999999</v>
      </c>
      <c r="F685">
        <v>743114.08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0.91002044989774833</v>
      </c>
      <c r="Q685">
        <f t="shared" si="995"/>
        <v>676249.00940695126</v>
      </c>
      <c r="R685">
        <f t="shared" si="996"/>
        <v>-1571594.0260260408</v>
      </c>
      <c r="S685">
        <f t="shared" si="997"/>
        <v>-15.715940260260409</v>
      </c>
      <c r="T685">
        <f t="shared" si="998"/>
        <v>-1.5715940260260408E-2</v>
      </c>
    </row>
    <row r="686" spans="1:20" x14ac:dyDescent="0.25">
      <c r="A686" s="5">
        <v>43907</v>
      </c>
      <c r="B686">
        <v>0.80169999999999997</v>
      </c>
      <c r="C686">
        <v>0.98019999999999996</v>
      </c>
      <c r="D686">
        <v>0.79679999999999995</v>
      </c>
      <c r="E686">
        <v>0.95840000000000003</v>
      </c>
      <c r="F686">
        <v>418835.42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0.76226826608506071</v>
      </c>
      <c r="Q686">
        <f t="shared" si="995"/>
        <v>319264.94937840814</v>
      </c>
      <c r="R686">
        <f t="shared" si="996"/>
        <v>-2247843.035432992</v>
      </c>
      <c r="S686">
        <f t="shared" si="997"/>
        <v>-22.47843035432992</v>
      </c>
      <c r="T686">
        <f t="shared" si="998"/>
        <v>-2.247843035432992E-2</v>
      </c>
    </row>
    <row r="687" spans="1:20" x14ac:dyDescent="0.25">
      <c r="A687" s="5">
        <v>43906</v>
      </c>
      <c r="B687">
        <v>0.85219999999999996</v>
      </c>
      <c r="C687">
        <v>0.8952</v>
      </c>
      <c r="D687">
        <v>0.7</v>
      </c>
      <c r="E687">
        <v>0.80169999999999997</v>
      </c>
      <c r="F687">
        <v>316605.2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4.200819672131139E-2</v>
      </c>
      <c r="Q687">
        <f t="shared" si="995"/>
        <v>13300.013524590138</v>
      </c>
      <c r="R687">
        <f t="shared" si="996"/>
        <v>-2567107.9848114001</v>
      </c>
      <c r="S687">
        <f t="shared" si="997"/>
        <v>-25.671079848114001</v>
      </c>
      <c r="T687">
        <f t="shared" si="998"/>
        <v>-2.5671079848114002E-2</v>
      </c>
    </row>
    <row r="688" spans="1:20" x14ac:dyDescent="0.25">
      <c r="A688" s="5">
        <v>43905</v>
      </c>
      <c r="B688">
        <v>0.75349999999999995</v>
      </c>
      <c r="C688">
        <v>0.92420000000000002</v>
      </c>
      <c r="D688">
        <v>0.75349999999999995</v>
      </c>
      <c r="E688">
        <v>0.85219999999999996</v>
      </c>
      <c r="F688">
        <v>336129.53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0.15641476274165164</v>
      </c>
      <c r="Q688">
        <f t="shared" si="995"/>
        <v>52575.620685412883</v>
      </c>
      <c r="R688">
        <f t="shared" si="996"/>
        <v>-2580407.9983359901</v>
      </c>
      <c r="S688">
        <f t="shared" si="997"/>
        <v>-25.804079983359902</v>
      </c>
      <c r="T688">
        <f t="shared" si="998"/>
        <v>-2.5804079983359901E-2</v>
      </c>
    </row>
    <row r="689" spans="1:20" x14ac:dyDescent="0.25">
      <c r="A689" s="5">
        <v>43904</v>
      </c>
      <c r="B689">
        <v>0.81720000000000004</v>
      </c>
      <c r="C689">
        <v>0.86350000000000005</v>
      </c>
      <c r="D689">
        <v>0.73340000000000005</v>
      </c>
      <c r="E689">
        <v>0.76200000000000001</v>
      </c>
      <c r="F689">
        <v>193971.53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-0.56033820138355173</v>
      </c>
      <c r="Q689">
        <f t="shared" si="995"/>
        <v>-108689.65823981565</v>
      </c>
      <c r="R689">
        <f t="shared" si="996"/>
        <v>-2632983.6190214031</v>
      </c>
      <c r="S689">
        <f t="shared" si="997"/>
        <v>-26.329836190214031</v>
      </c>
      <c r="T689">
        <f t="shared" si="998"/>
        <v>-2.6329836190214031E-2</v>
      </c>
    </row>
    <row r="690" spans="1:20" x14ac:dyDescent="0.25">
      <c r="A690" s="5">
        <v>43903</v>
      </c>
      <c r="B690">
        <v>0.66559999999999997</v>
      </c>
      <c r="C690">
        <v>0.88290000000000002</v>
      </c>
      <c r="D690">
        <v>0.51039999999999996</v>
      </c>
      <c r="E690">
        <v>0.82550000000000001</v>
      </c>
      <c r="F690">
        <v>497902.62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0.69181208053691279</v>
      </c>
      <c r="Q690">
        <f t="shared" si="995"/>
        <v>344455.04744697991</v>
      </c>
      <c r="R690">
        <f t="shared" si="996"/>
        <v>-2524293.9607815873</v>
      </c>
      <c r="S690">
        <f t="shared" si="997"/>
        <v>-25.242939607815874</v>
      </c>
      <c r="T690">
        <f t="shared" si="998"/>
        <v>-2.5242939607815873E-2</v>
      </c>
    </row>
    <row r="691" spans="1:20" x14ac:dyDescent="0.25">
      <c r="A691" s="5">
        <v>43902</v>
      </c>
      <c r="B691">
        <v>1.196</v>
      </c>
      <c r="C691">
        <v>1.2052</v>
      </c>
      <c r="D691">
        <v>0.61</v>
      </c>
      <c r="E691">
        <v>0.66539999999999999</v>
      </c>
      <c r="F691">
        <v>661700.16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-0.81384408602150538</v>
      </c>
      <c r="Q691">
        <f t="shared" si="995"/>
        <v>-538520.7619354839</v>
      </c>
      <c r="R691">
        <f t="shared" si="996"/>
        <v>-2868749.0082285674</v>
      </c>
      <c r="S691">
        <f t="shared" si="997"/>
        <v>-28.687490082285674</v>
      </c>
      <c r="T691">
        <f t="shared" si="998"/>
        <v>-2.8687490082285674E-2</v>
      </c>
    </row>
    <row r="692" spans="1:20" x14ac:dyDescent="0.25">
      <c r="A692" s="5">
        <v>43901</v>
      </c>
      <c r="B692">
        <v>1.2305999999999999</v>
      </c>
      <c r="C692">
        <v>1.2692000000000001</v>
      </c>
      <c r="D692">
        <v>1.1415</v>
      </c>
      <c r="E692">
        <v>1.2012</v>
      </c>
      <c r="F692">
        <v>291796.2</v>
      </c>
      <c r="G692">
        <v>0</v>
      </c>
      <c r="L692" t="s">
        <v>7</v>
      </c>
      <c r="M692" t="s">
        <v>8</v>
      </c>
      <c r="N692" t="s">
        <v>7</v>
      </c>
      <c r="P692">
        <f t="shared" si="994"/>
        <v>-6.4996084573218205E-2</v>
      </c>
      <c r="Q692">
        <f t="shared" si="995"/>
        <v>-18965.610493343695</v>
      </c>
      <c r="R692">
        <f t="shared" si="996"/>
        <v>-2330228.2462930838</v>
      </c>
      <c r="S692">
        <f t="shared" si="997"/>
        <v>-23.302282462930837</v>
      </c>
      <c r="T692">
        <f t="shared" si="998"/>
        <v>-2.3302282462930837E-2</v>
      </c>
    </row>
    <row r="693" spans="1:20" x14ac:dyDescent="0.25">
      <c r="A693" s="5">
        <v>43900</v>
      </c>
      <c r="B693">
        <v>1.1224000000000001</v>
      </c>
      <c r="C693">
        <v>1.2929999999999999</v>
      </c>
      <c r="D693">
        <v>1.1224000000000001</v>
      </c>
      <c r="E693">
        <v>1.2305999999999999</v>
      </c>
      <c r="F693">
        <v>322987.23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0.26846424384525136</v>
      </c>
      <c r="Q693">
        <f t="shared" si="995"/>
        <v>86710.522473622274</v>
      </c>
      <c r="R693">
        <f t="shared" si="996"/>
        <v>-2311262.63579974</v>
      </c>
      <c r="S693">
        <f t="shared" si="997"/>
        <v>-23.112626357997399</v>
      </c>
      <c r="T693">
        <f t="shared" si="998"/>
        <v>-2.31126263579974E-2</v>
      </c>
    </row>
    <row r="694" spans="1:20" x14ac:dyDescent="0.25">
      <c r="A694" s="5">
        <v>43899</v>
      </c>
      <c r="B694">
        <v>1.1519999999999999</v>
      </c>
      <c r="C694">
        <v>1.1895</v>
      </c>
      <c r="D694">
        <v>1.0394000000000001</v>
      </c>
      <c r="E694">
        <v>1.1207</v>
      </c>
      <c r="F694">
        <v>233437.57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8.3277814790139668E-2</v>
      </c>
      <c r="Q694">
        <f t="shared" si="995"/>
        <v>19440.170719520265</v>
      </c>
      <c r="R694">
        <f t="shared" si="996"/>
        <v>-2397973.1582733621</v>
      </c>
      <c r="S694">
        <f t="shared" si="997"/>
        <v>-23.979731582733621</v>
      </c>
      <c r="T694">
        <f t="shared" si="998"/>
        <v>-2.3979731582733619E-2</v>
      </c>
    </row>
    <row r="695" spans="1:20" x14ac:dyDescent="0.25">
      <c r="A695" s="5">
        <v>43898</v>
      </c>
      <c r="B695">
        <v>1.3762000000000001</v>
      </c>
      <c r="C695">
        <v>1.3763000000000001</v>
      </c>
      <c r="D695">
        <v>1.1371</v>
      </c>
      <c r="E695">
        <v>1.1407</v>
      </c>
      <c r="F695">
        <v>304332.51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-0.96989966555183904</v>
      </c>
      <c r="Q695">
        <f t="shared" si="995"/>
        <v>-295171.9996655517</v>
      </c>
      <c r="R695">
        <f t="shared" si="996"/>
        <v>-2417413.3289928823</v>
      </c>
      <c r="S695">
        <f t="shared" si="997"/>
        <v>-24.174133289928822</v>
      </c>
      <c r="T695">
        <f t="shared" si="998"/>
        <v>-2.4174133289928821E-2</v>
      </c>
    </row>
    <row r="696" spans="1:20" x14ac:dyDescent="0.25">
      <c r="A696" s="5">
        <v>43897</v>
      </c>
      <c r="B696">
        <v>1.4708000000000001</v>
      </c>
      <c r="C696">
        <v>1.4708000000000001</v>
      </c>
      <c r="D696">
        <v>1.3391999999999999</v>
      </c>
      <c r="E696">
        <v>1.3766</v>
      </c>
      <c r="F696">
        <v>291125.18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-0.43161094224923929</v>
      </c>
      <c r="Q696">
        <f t="shared" si="995"/>
        <v>-125652.81325227939</v>
      </c>
      <c r="R696">
        <f t="shared" si="996"/>
        <v>-2122241.3293273305</v>
      </c>
      <c r="S696">
        <f t="shared" si="997"/>
        <v>-21.222413293273306</v>
      </c>
      <c r="T696">
        <f t="shared" si="998"/>
        <v>-2.1222413293273304E-2</v>
      </c>
    </row>
    <row r="697" spans="1:20" x14ac:dyDescent="0.25">
      <c r="A697" s="5">
        <v>43896</v>
      </c>
      <c r="B697">
        <v>1.39</v>
      </c>
      <c r="C697">
        <v>1.4875</v>
      </c>
      <c r="D697">
        <v>1.3821000000000001</v>
      </c>
      <c r="E697">
        <v>1.4711000000000001</v>
      </c>
      <c r="F697">
        <v>323133.33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0.68880455407969676</v>
      </c>
      <c r="Q697">
        <f t="shared" si="995"/>
        <v>222575.70927893752</v>
      </c>
      <c r="R697">
        <f t="shared" si="996"/>
        <v>-1996588.5160750509</v>
      </c>
      <c r="S697">
        <f t="shared" si="997"/>
        <v>-19.96588516075051</v>
      </c>
      <c r="T697">
        <f t="shared" si="998"/>
        <v>-1.9965885160750509E-2</v>
      </c>
    </row>
    <row r="698" spans="1:20" x14ac:dyDescent="0.25">
      <c r="A698" s="5">
        <v>43895</v>
      </c>
      <c r="B698">
        <v>1.3421000000000001</v>
      </c>
      <c r="C698">
        <v>1.4225000000000001</v>
      </c>
      <c r="D698">
        <v>1.34</v>
      </c>
      <c r="E698">
        <v>1.39</v>
      </c>
      <c r="F698">
        <v>203419.42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0.21212121212120755</v>
      </c>
      <c r="Q698">
        <f t="shared" si="995"/>
        <v>43149.573939393013</v>
      </c>
      <c r="R698">
        <f t="shared" si="996"/>
        <v>-2219164.2253539884</v>
      </c>
      <c r="S698">
        <f t="shared" si="997"/>
        <v>-22.191642253539882</v>
      </c>
      <c r="T698">
        <f t="shared" si="998"/>
        <v>-2.2191642253539881E-2</v>
      </c>
    </row>
    <row r="699" spans="1:20" x14ac:dyDescent="0.25">
      <c r="A699" s="5">
        <v>43894</v>
      </c>
      <c r="B699">
        <v>1.3581000000000001</v>
      </c>
      <c r="C699">
        <v>1.3757999999999999</v>
      </c>
      <c r="D699">
        <v>1.3130999999999999</v>
      </c>
      <c r="E699">
        <v>1.3449</v>
      </c>
      <c r="F699">
        <v>120578.3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1.4354066985647899E-2</v>
      </c>
      <c r="Q699">
        <f t="shared" si="995"/>
        <v>1730.7889952155481</v>
      </c>
      <c r="R699">
        <f t="shared" si="996"/>
        <v>-2262313.7992933812</v>
      </c>
      <c r="S699">
        <f t="shared" si="997"/>
        <v>-22.623137992933813</v>
      </c>
      <c r="T699">
        <f t="shared" si="998"/>
        <v>-2.2623137992933813E-2</v>
      </c>
    </row>
    <row r="700" spans="1:20" x14ac:dyDescent="0.25">
      <c r="A700" s="5">
        <v>43893</v>
      </c>
      <c r="B700">
        <v>1.4011</v>
      </c>
      <c r="C700">
        <v>1.4039999999999999</v>
      </c>
      <c r="D700">
        <v>1.3352999999999999</v>
      </c>
      <c r="E700">
        <v>1.3580000000000001</v>
      </c>
      <c r="F700">
        <v>254224.11</v>
      </c>
      <c r="G700">
        <v>0</v>
      </c>
      <c r="L700" t="s">
        <v>7</v>
      </c>
      <c r="M700" t="s">
        <v>8</v>
      </c>
      <c r="N700" t="s">
        <v>7</v>
      </c>
      <c r="P700">
        <f t="shared" si="994"/>
        <v>-0.33915574963609402</v>
      </c>
      <c r="Q700">
        <f t="shared" si="995"/>
        <v>-86221.56860261882</v>
      </c>
      <c r="R700">
        <f t="shared" si="996"/>
        <v>-2264044.5882885968</v>
      </c>
      <c r="S700">
        <f t="shared" si="997"/>
        <v>-22.640445882885967</v>
      </c>
      <c r="T700">
        <f t="shared" si="998"/>
        <v>-2.2640445882885968E-2</v>
      </c>
    </row>
    <row r="701" spans="1:20" x14ac:dyDescent="0.25">
      <c r="A701" s="5">
        <v>43892</v>
      </c>
      <c r="B701">
        <v>1.3574999999999999</v>
      </c>
      <c r="C701">
        <v>1.5249999999999999</v>
      </c>
      <c r="D701">
        <v>1.3145</v>
      </c>
      <c r="E701">
        <v>1.3994</v>
      </c>
      <c r="F701">
        <v>401389.84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-0.19334916864608065</v>
      </c>
      <c r="Q701">
        <f t="shared" si="995"/>
        <v>-77608.391866983337</v>
      </c>
      <c r="R701">
        <f t="shared" si="996"/>
        <v>-2177823.0196859781</v>
      </c>
      <c r="S701">
        <f t="shared" si="997"/>
        <v>-21.778230196859781</v>
      </c>
      <c r="T701">
        <f t="shared" si="998"/>
        <v>-2.1778230196859781E-2</v>
      </c>
    </row>
    <row r="702" spans="1:20" x14ac:dyDescent="0.25">
      <c r="A702" s="5">
        <v>43891</v>
      </c>
      <c r="B702">
        <v>1.276</v>
      </c>
      <c r="C702">
        <v>1.4097999999999999</v>
      </c>
      <c r="D702">
        <v>1.276</v>
      </c>
      <c r="E702">
        <v>1.3577999999999999</v>
      </c>
      <c r="F702">
        <v>303689.76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0.22272047832585834</v>
      </c>
      <c r="Q702">
        <f t="shared" si="995"/>
        <v>67637.928609865121</v>
      </c>
      <c r="R702">
        <f t="shared" si="996"/>
        <v>-2100214.6278189947</v>
      </c>
      <c r="S702">
        <f t="shared" si="997"/>
        <v>-21.002146278189947</v>
      </c>
      <c r="T702">
        <f t="shared" si="998"/>
        <v>-2.1002146278189946E-2</v>
      </c>
    </row>
    <row r="703" spans="1:20" x14ac:dyDescent="0.25">
      <c r="A703" s="5">
        <v>43890</v>
      </c>
      <c r="B703">
        <v>1.3069999999999999</v>
      </c>
      <c r="C703">
        <v>1.4045000000000001</v>
      </c>
      <c r="D703">
        <v>1.2633000000000001</v>
      </c>
      <c r="E703">
        <v>1.276</v>
      </c>
      <c r="F703">
        <v>183072.29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-0.82011331444759294</v>
      </c>
      <c r="Q703">
        <f t="shared" si="995"/>
        <v>-150140.02253541094</v>
      </c>
      <c r="R703">
        <f t="shared" si="996"/>
        <v>-2167852.5564288599</v>
      </c>
      <c r="S703">
        <f t="shared" si="997"/>
        <v>-21.678525564288599</v>
      </c>
      <c r="T703">
        <f t="shared" si="998"/>
        <v>-2.1678525564288599E-2</v>
      </c>
    </row>
    <row r="704" spans="1:20" x14ac:dyDescent="0.25">
      <c r="A704" s="5">
        <v>43889</v>
      </c>
      <c r="B704">
        <v>1.2708999999999999</v>
      </c>
      <c r="C704">
        <v>1.3757999999999999</v>
      </c>
      <c r="D704">
        <v>1.2363999999999999</v>
      </c>
      <c r="E704">
        <v>1.3082</v>
      </c>
      <c r="F704">
        <v>279081.28000000003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3.0129124820661438E-2</v>
      </c>
      <c r="Q704">
        <f t="shared" si="995"/>
        <v>8408.4747202299659</v>
      </c>
      <c r="R704">
        <f t="shared" si="996"/>
        <v>-2017712.5338934492</v>
      </c>
      <c r="S704">
        <f t="shared" si="997"/>
        <v>-20.177125338934491</v>
      </c>
      <c r="T704">
        <f t="shared" si="998"/>
        <v>-2.0177125338934492E-2</v>
      </c>
    </row>
    <row r="705" spans="1:20" x14ac:dyDescent="0.25">
      <c r="A705" s="5">
        <v>43888</v>
      </c>
      <c r="B705">
        <v>1.3279000000000001</v>
      </c>
      <c r="C705">
        <v>1.51</v>
      </c>
      <c r="D705">
        <v>1.2256</v>
      </c>
      <c r="E705">
        <v>1.2791999999999999</v>
      </c>
      <c r="F705">
        <v>743496.07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-0.62306610407876317</v>
      </c>
      <c r="Q705">
        <f t="shared" si="995"/>
        <v>-463247.19973277138</v>
      </c>
      <c r="R705">
        <f t="shared" si="996"/>
        <v>-2026121.0086136791</v>
      </c>
      <c r="S705">
        <f t="shared" si="997"/>
        <v>-20.261210086136792</v>
      </c>
      <c r="T705">
        <f t="shared" si="998"/>
        <v>-2.026121008613679E-2</v>
      </c>
    </row>
    <row r="706" spans="1:20" x14ac:dyDescent="0.25">
      <c r="A706" s="5">
        <v>43887</v>
      </c>
      <c r="B706">
        <v>1.3243</v>
      </c>
      <c r="C706">
        <v>1.6</v>
      </c>
      <c r="D706">
        <v>1.1465000000000001</v>
      </c>
      <c r="E706">
        <v>1.3283</v>
      </c>
      <c r="F706">
        <v>1361094.76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-0.19823594266813691</v>
      </c>
      <c r="Q706">
        <f t="shared" si="995"/>
        <v>-269817.90280926158</v>
      </c>
      <c r="R706">
        <f t="shared" si="996"/>
        <v>-1562873.8088809077</v>
      </c>
      <c r="S706">
        <f t="shared" si="997"/>
        <v>-15.628738088809078</v>
      </c>
      <c r="T706">
        <f t="shared" si="998"/>
        <v>-1.5628738088809078E-2</v>
      </c>
    </row>
    <row r="707" spans="1:20" x14ac:dyDescent="0.25">
      <c r="A707" s="5">
        <v>43886</v>
      </c>
      <c r="B707">
        <v>1.5296000000000001</v>
      </c>
      <c r="C707">
        <v>1.5395000000000001</v>
      </c>
      <c r="D707">
        <v>1.3061</v>
      </c>
      <c r="E707">
        <v>1.3252999999999999</v>
      </c>
      <c r="F707">
        <v>149743.84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-0.8354755784061707</v>
      </c>
      <c r="Q707">
        <f t="shared" si="995"/>
        <v>-125107.32133676107</v>
      </c>
      <c r="R707">
        <f t="shared" si="996"/>
        <v>-1293055.9060716461</v>
      </c>
      <c r="S707">
        <f t="shared" si="997"/>
        <v>-12.930559060716462</v>
      </c>
      <c r="T707">
        <f t="shared" si="998"/>
        <v>-1.2930559060716463E-2</v>
      </c>
    </row>
    <row r="708" spans="1:20" x14ac:dyDescent="0.25">
      <c r="A708" s="5">
        <v>43885</v>
      </c>
      <c r="B708">
        <v>1.6156999999999999</v>
      </c>
      <c r="C708">
        <v>1.6443000000000001</v>
      </c>
      <c r="D708">
        <v>1.4126000000000001</v>
      </c>
      <c r="E708">
        <v>1.536</v>
      </c>
      <c r="F708">
        <v>303944.09999999998</v>
      </c>
      <c r="G708">
        <v>0</v>
      </c>
      <c r="L708" t="s">
        <v>7</v>
      </c>
      <c r="M708" t="s">
        <v>8</v>
      </c>
      <c r="N708" t="s">
        <v>7</v>
      </c>
      <c r="P708">
        <f t="shared" si="994"/>
        <v>6.5170479067759565E-2</v>
      </c>
      <c r="Q708">
        <f t="shared" si="995"/>
        <v>19808.18260681902</v>
      </c>
      <c r="R708">
        <f t="shared" si="996"/>
        <v>-1167948.584734885</v>
      </c>
      <c r="S708">
        <f t="shared" si="997"/>
        <v>-11.67948584734885</v>
      </c>
      <c r="T708">
        <f t="shared" si="998"/>
        <v>-1.1679485847348851E-2</v>
      </c>
    </row>
    <row r="709" spans="1:20" x14ac:dyDescent="0.25">
      <c r="A709" s="5">
        <v>43884</v>
      </c>
      <c r="B709">
        <v>1.4235</v>
      </c>
      <c r="C709">
        <v>1.65</v>
      </c>
      <c r="D709">
        <v>1.4111</v>
      </c>
      <c r="E709">
        <v>1.6196999999999999</v>
      </c>
      <c r="F709">
        <v>467493.56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0.74633737965676006</v>
      </c>
      <c r="Q709">
        <f t="shared" si="995"/>
        <v>348907.91857681033</v>
      </c>
      <c r="R709">
        <f t="shared" si="996"/>
        <v>-1187756.7673417041</v>
      </c>
      <c r="S709">
        <f t="shared" si="997"/>
        <v>-11.87756767341704</v>
      </c>
      <c r="T709">
        <f t="shared" si="998"/>
        <v>-1.1877567673417039E-2</v>
      </c>
    </row>
    <row r="710" spans="1:20" x14ac:dyDescent="0.25">
      <c r="A710" s="5">
        <v>43883</v>
      </c>
      <c r="B710">
        <v>1.5089999999999999</v>
      </c>
      <c r="C710">
        <v>1.5212000000000001</v>
      </c>
      <c r="D710">
        <v>1.3821000000000001</v>
      </c>
      <c r="E710">
        <v>1.4184000000000001</v>
      </c>
      <c r="F710">
        <v>219859.6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-0.47807332854061829</v>
      </c>
      <c r="Q710">
        <f t="shared" ref="Q710:Q766" si="1000">F710*P710</f>
        <v>-105109.01078360893</v>
      </c>
      <c r="R710">
        <f t="shared" ref="R710:R766" si="1001">R711+Q710</f>
        <v>-1536664.6859185144</v>
      </c>
      <c r="S710">
        <f t="shared" ref="S710:S766" si="1002">R710/100000</f>
        <v>-15.366646859185144</v>
      </c>
      <c r="T710">
        <f t="shared" ref="T710:T766" si="1003">S710/1000</f>
        <v>-1.5366646859185144E-2</v>
      </c>
    </row>
    <row r="711" spans="1:20" x14ac:dyDescent="0.25">
      <c r="A711" s="5">
        <v>43882</v>
      </c>
      <c r="B711">
        <v>1.5636000000000001</v>
      </c>
      <c r="C711">
        <v>1.6234</v>
      </c>
      <c r="D711">
        <v>1.4730000000000001</v>
      </c>
      <c r="E711">
        <v>1.512</v>
      </c>
      <c r="F711">
        <v>231246.65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-0.4813829787234048</v>
      </c>
      <c r="Q711">
        <f t="shared" si="1000"/>
        <v>-111318.20119680863</v>
      </c>
      <c r="R711">
        <f t="shared" si="1001"/>
        <v>-1431555.6751349054</v>
      </c>
      <c r="S711">
        <f t="shared" si="1002"/>
        <v>-14.315556751349053</v>
      </c>
      <c r="T711">
        <f t="shared" si="1003"/>
        <v>-1.4315556751349053E-2</v>
      </c>
    </row>
    <row r="712" spans="1:20" x14ac:dyDescent="0.25">
      <c r="A712" s="5">
        <v>43881</v>
      </c>
      <c r="B712">
        <v>1.6438999999999999</v>
      </c>
      <c r="C712">
        <v>1.6642999999999999</v>
      </c>
      <c r="D712">
        <v>1.5301</v>
      </c>
      <c r="E712">
        <v>1.5791999999999999</v>
      </c>
      <c r="F712">
        <v>135419.96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-0.26825633383010483</v>
      </c>
      <c r="Q712">
        <f t="shared" si="1000"/>
        <v>-36327.261997019443</v>
      </c>
      <c r="R712">
        <f t="shared" si="1001"/>
        <v>-1320237.4739380968</v>
      </c>
      <c r="S712">
        <f t="shared" si="1002"/>
        <v>-13.202374739380968</v>
      </c>
      <c r="T712">
        <f t="shared" si="1003"/>
        <v>-1.3202374739380967E-2</v>
      </c>
    </row>
    <row r="713" spans="1:20" x14ac:dyDescent="0.25">
      <c r="A713" s="5">
        <v>43880</v>
      </c>
      <c r="B713">
        <v>1.8353999999999999</v>
      </c>
      <c r="C713">
        <v>1.8817999999999999</v>
      </c>
      <c r="D713">
        <v>1.6026</v>
      </c>
      <c r="E713">
        <v>1.6438999999999999</v>
      </c>
      <c r="F713">
        <v>195511.12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-0.70415472779369692</v>
      </c>
      <c r="Q713">
        <f t="shared" si="1000"/>
        <v>-137670.07948424082</v>
      </c>
      <c r="R713">
        <f t="shared" si="1001"/>
        <v>-1283910.2119410774</v>
      </c>
      <c r="S713">
        <f t="shared" si="1002"/>
        <v>-12.839102119410773</v>
      </c>
      <c r="T713">
        <f t="shared" si="1003"/>
        <v>-1.2839102119410773E-2</v>
      </c>
    </row>
    <row r="714" spans="1:20" x14ac:dyDescent="0.25">
      <c r="A714" s="5">
        <v>43879</v>
      </c>
      <c r="B714">
        <v>1.7794000000000001</v>
      </c>
      <c r="C714">
        <v>1.8379000000000001</v>
      </c>
      <c r="D714">
        <v>1.7</v>
      </c>
      <c r="E714">
        <v>1.8353999999999999</v>
      </c>
      <c r="F714">
        <v>186771.77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0.96374184191442835</v>
      </c>
      <c r="Q714">
        <f t="shared" si="1000"/>
        <v>179999.76963741795</v>
      </c>
      <c r="R714">
        <f t="shared" si="1001"/>
        <v>-1146240.1324568365</v>
      </c>
      <c r="S714">
        <f t="shared" si="1002"/>
        <v>-11.462401324568365</v>
      </c>
      <c r="T714">
        <f t="shared" si="1003"/>
        <v>-1.1462401324568366E-2</v>
      </c>
    </row>
    <row r="715" spans="1:20" x14ac:dyDescent="0.25">
      <c r="A715" s="5">
        <v>43878</v>
      </c>
      <c r="B715">
        <v>1.8728</v>
      </c>
      <c r="C715">
        <v>1.8879999999999999</v>
      </c>
      <c r="D715">
        <v>1.6021000000000001</v>
      </c>
      <c r="E715">
        <v>1.7797000000000001</v>
      </c>
      <c r="F715">
        <v>289262.38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0.24239244491080861</v>
      </c>
      <c r="Q715">
        <f t="shared" si="1000"/>
        <v>70115.015508919387</v>
      </c>
      <c r="R715">
        <f t="shared" si="1001"/>
        <v>-1326239.9020942545</v>
      </c>
      <c r="S715">
        <f t="shared" si="1002"/>
        <v>-13.262399020942546</v>
      </c>
      <c r="T715">
        <f t="shared" si="1003"/>
        <v>-1.3262399020942546E-2</v>
      </c>
    </row>
    <row r="716" spans="1:20" x14ac:dyDescent="0.25">
      <c r="A716" s="5">
        <v>43877</v>
      </c>
      <c r="B716">
        <v>1.8082</v>
      </c>
      <c r="C716">
        <v>2</v>
      </c>
      <c r="D716">
        <v>1.7202</v>
      </c>
      <c r="E716">
        <v>1.8751</v>
      </c>
      <c r="F716">
        <v>389257.88</v>
      </c>
      <c r="G716">
        <v>0</v>
      </c>
      <c r="L716" t="s">
        <v>7</v>
      </c>
      <c r="M716" t="s">
        <v>8</v>
      </c>
      <c r="N716" t="s">
        <v>7</v>
      </c>
      <c r="P716">
        <f t="shared" si="999"/>
        <v>0.10721944245889929</v>
      </c>
      <c r="Q716">
        <f t="shared" si="1000"/>
        <v>41736.012866333127</v>
      </c>
      <c r="R716">
        <f t="shared" si="1001"/>
        <v>-1396354.917603174</v>
      </c>
      <c r="S716">
        <f t="shared" si="1002"/>
        <v>-13.963549176031741</v>
      </c>
      <c r="T716">
        <f t="shared" si="1003"/>
        <v>-1.396354917603174E-2</v>
      </c>
    </row>
    <row r="717" spans="1:20" x14ac:dyDescent="0.25">
      <c r="A717" s="5">
        <v>43876</v>
      </c>
      <c r="B717">
        <v>1.91</v>
      </c>
      <c r="C717">
        <v>2.0295999999999998</v>
      </c>
      <c r="D717">
        <v>1.6976</v>
      </c>
      <c r="E717">
        <v>1.8189</v>
      </c>
      <c r="F717">
        <v>377832.09</v>
      </c>
      <c r="G717">
        <v>0</v>
      </c>
      <c r="L717" t="s">
        <v>8</v>
      </c>
      <c r="M717" t="s">
        <v>7</v>
      </c>
      <c r="N717" t="s">
        <v>7</v>
      </c>
      <c r="P717">
        <f t="shared" si="999"/>
        <v>-0.26927710843373481</v>
      </c>
      <c r="Q717">
        <f t="shared" si="1000"/>
        <v>-101741.53266867466</v>
      </c>
      <c r="R717">
        <f t="shared" si="1001"/>
        <v>-1438090.9304695071</v>
      </c>
      <c r="S717">
        <f t="shared" si="1002"/>
        <v>-14.380909304695072</v>
      </c>
      <c r="T717">
        <f t="shared" si="1003"/>
        <v>-1.4380909304695072E-2</v>
      </c>
    </row>
    <row r="718" spans="1:20" x14ac:dyDescent="0.25">
      <c r="A718" s="5">
        <v>43875</v>
      </c>
      <c r="B718">
        <v>1.7886</v>
      </c>
      <c r="C718">
        <v>1.9979</v>
      </c>
      <c r="D718">
        <v>1.7636000000000001</v>
      </c>
      <c r="E718">
        <v>1.91</v>
      </c>
      <c r="F718">
        <v>400289.34</v>
      </c>
      <c r="G718">
        <v>0</v>
      </c>
      <c r="L718" t="s">
        <v>8</v>
      </c>
      <c r="M718" t="s">
        <v>7</v>
      </c>
      <c r="N718" t="s">
        <v>7</v>
      </c>
      <c r="P718">
        <f t="shared" si="999"/>
        <v>0.24967989756722059</v>
      </c>
      <c r="Q718">
        <f t="shared" si="1000"/>
        <v>99944.201408450346</v>
      </c>
      <c r="R718">
        <f t="shared" si="1001"/>
        <v>-1336349.3978008325</v>
      </c>
      <c r="S718">
        <f t="shared" si="1002"/>
        <v>-13.363493978008325</v>
      </c>
      <c r="T718">
        <f t="shared" si="1003"/>
        <v>-1.3363493978008324E-2</v>
      </c>
    </row>
    <row r="719" spans="1:20" x14ac:dyDescent="0.25">
      <c r="A719" s="5">
        <v>43874</v>
      </c>
      <c r="B719">
        <v>1.9807999999999999</v>
      </c>
      <c r="C719">
        <v>2.0124</v>
      </c>
      <c r="D719">
        <v>1.7104999999999999</v>
      </c>
      <c r="E719">
        <v>1.7888999999999999</v>
      </c>
      <c r="F719">
        <v>574050.84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-0.48062272275587936</v>
      </c>
      <c r="Q719">
        <f t="shared" si="1000"/>
        <v>-275901.87772109965</v>
      </c>
      <c r="R719">
        <f t="shared" si="1001"/>
        <v>-1436293.5992092828</v>
      </c>
      <c r="S719">
        <f t="shared" si="1002"/>
        <v>-14.362935992092828</v>
      </c>
      <c r="T719">
        <f t="shared" si="1003"/>
        <v>-1.4362935992092828E-2</v>
      </c>
    </row>
    <row r="720" spans="1:20" x14ac:dyDescent="0.25">
      <c r="A720" s="5">
        <v>43873</v>
      </c>
      <c r="B720">
        <v>2.0529000000000002</v>
      </c>
      <c r="C720">
        <v>2.0998999999999999</v>
      </c>
      <c r="D720">
        <v>1.88</v>
      </c>
      <c r="E720">
        <v>1.9663999999999999</v>
      </c>
      <c r="F720">
        <v>627135.68000000005</v>
      </c>
      <c r="G720">
        <v>0</v>
      </c>
      <c r="L720" t="s">
        <v>8</v>
      </c>
      <c r="M720" t="s">
        <v>7</v>
      </c>
      <c r="N720" t="s">
        <v>7</v>
      </c>
      <c r="P720">
        <f t="shared" si="999"/>
        <v>-0.21418826739426977</v>
      </c>
      <c r="Q720">
        <f t="shared" si="1000"/>
        <v>-134325.10472032722</v>
      </c>
      <c r="R720">
        <f t="shared" si="1001"/>
        <v>-1160391.7214881831</v>
      </c>
      <c r="S720">
        <f t="shared" si="1002"/>
        <v>-11.603917214881831</v>
      </c>
      <c r="T720">
        <f t="shared" si="1003"/>
        <v>-1.1603917214881831E-2</v>
      </c>
    </row>
    <row r="721" spans="1:20" x14ac:dyDescent="0.25">
      <c r="A721" s="5">
        <v>43872</v>
      </c>
      <c r="B721">
        <v>2.0798999999999999</v>
      </c>
      <c r="C721">
        <v>2.2698999999999998</v>
      </c>
      <c r="D721">
        <v>1.8288</v>
      </c>
      <c r="E721">
        <v>2.0485000000000002</v>
      </c>
      <c r="F721">
        <v>1372784.65</v>
      </c>
      <c r="G721">
        <v>0</v>
      </c>
      <c r="L721" t="s">
        <v>7</v>
      </c>
      <c r="M721" t="s">
        <v>7</v>
      </c>
      <c r="N721" t="s">
        <v>7</v>
      </c>
      <c r="P721">
        <f t="shared" si="999"/>
        <v>-3.8540013602343447E-3</v>
      </c>
      <c r="Q721">
        <f t="shared" si="1000"/>
        <v>-5290.7139084088285</v>
      </c>
      <c r="R721">
        <f t="shared" si="1001"/>
        <v>-1026066.6167678559</v>
      </c>
      <c r="S721">
        <f t="shared" si="1002"/>
        <v>-10.26066616767856</v>
      </c>
      <c r="T721">
        <f t="shared" si="1003"/>
        <v>-1.026066616767856E-2</v>
      </c>
    </row>
    <row r="722" spans="1:20" x14ac:dyDescent="0.25">
      <c r="A722" s="5">
        <v>43871</v>
      </c>
      <c r="B722">
        <v>2.0291000000000001</v>
      </c>
      <c r="C722">
        <v>2.88</v>
      </c>
      <c r="D722">
        <v>1.85</v>
      </c>
      <c r="E722">
        <v>2.0798999999999999</v>
      </c>
      <c r="F722">
        <v>3227517.88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-0.55359223300970906</v>
      </c>
      <c r="Q722">
        <f t="shared" si="1000"/>
        <v>-1786728.8302679621</v>
      </c>
      <c r="R722">
        <f t="shared" si="1001"/>
        <v>-1020775.9028594471</v>
      </c>
      <c r="S722">
        <f t="shared" si="1002"/>
        <v>-10.20775902859447</v>
      </c>
      <c r="T722">
        <f t="shared" si="1003"/>
        <v>-1.0207759028594471E-2</v>
      </c>
    </row>
    <row r="723" spans="1:20" x14ac:dyDescent="0.25">
      <c r="A723" s="5">
        <v>43870</v>
      </c>
      <c r="B723">
        <v>1.7591000000000001</v>
      </c>
      <c r="C723">
        <v>2.222</v>
      </c>
      <c r="D723">
        <v>1.6243000000000001</v>
      </c>
      <c r="E723">
        <v>2.0314000000000001</v>
      </c>
      <c r="F723">
        <v>1070584.27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0.36222185042663574</v>
      </c>
      <c r="Q723">
        <f t="shared" si="1000"/>
        <v>387789.01531704899</v>
      </c>
      <c r="R723">
        <f t="shared" si="1001"/>
        <v>765952.92740851501</v>
      </c>
      <c r="S723">
        <f t="shared" si="1002"/>
        <v>7.6595292740851502</v>
      </c>
      <c r="T723">
        <f t="shared" si="1003"/>
        <v>7.6595292740851504E-3</v>
      </c>
    </row>
    <row r="724" spans="1:20" x14ac:dyDescent="0.25">
      <c r="A724" s="5">
        <v>43869</v>
      </c>
      <c r="B724">
        <v>1.4923999999999999</v>
      </c>
      <c r="C724">
        <v>1.85</v>
      </c>
      <c r="D724">
        <v>1.3806</v>
      </c>
      <c r="E724">
        <v>1.7697000000000001</v>
      </c>
      <c r="F724">
        <v>687804.52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0.65786109927567094</v>
      </c>
      <c r="Q724">
        <f t="shared" si="1000"/>
        <v>452479.83761397522</v>
      </c>
      <c r="R724">
        <f t="shared" si="1001"/>
        <v>378163.91209146607</v>
      </c>
      <c r="S724">
        <f t="shared" si="1002"/>
        <v>3.7816391209146607</v>
      </c>
      <c r="T724">
        <f t="shared" si="1003"/>
        <v>3.7816391209146605E-3</v>
      </c>
    </row>
    <row r="725" spans="1:20" x14ac:dyDescent="0.25">
      <c r="A725" s="5">
        <v>43868</v>
      </c>
      <c r="B725">
        <v>1.3649</v>
      </c>
      <c r="C725">
        <v>1.7097</v>
      </c>
      <c r="D725">
        <v>1.3424</v>
      </c>
      <c r="E725">
        <v>1.4841</v>
      </c>
      <c r="F725">
        <v>199628.91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-0.22842363190852191</v>
      </c>
      <c r="Q725">
        <f t="shared" si="1000"/>
        <v>-45599.960656139447</v>
      </c>
      <c r="R725">
        <f t="shared" si="1001"/>
        <v>-74315.925522509147</v>
      </c>
      <c r="S725">
        <f t="shared" si="1002"/>
        <v>-0.74315925522509152</v>
      </c>
      <c r="T725">
        <f t="shared" si="1003"/>
        <v>-7.4315925522509157E-4</v>
      </c>
    </row>
    <row r="726" spans="1:20" x14ac:dyDescent="0.25">
      <c r="A726" s="5">
        <v>43867</v>
      </c>
      <c r="B726">
        <v>1.39</v>
      </c>
      <c r="C726">
        <v>1.48</v>
      </c>
      <c r="D726">
        <v>1.3004</v>
      </c>
      <c r="E726">
        <v>1.3649</v>
      </c>
      <c r="F726">
        <v>101924.65</v>
      </c>
      <c r="G726">
        <v>0</v>
      </c>
      <c r="P726">
        <f t="shared" si="999"/>
        <v>-0.2817371937639197</v>
      </c>
      <c r="Q726">
        <f t="shared" si="1000"/>
        <v>-28715.964866369697</v>
      </c>
      <c r="R726">
        <f t="shared" si="1001"/>
        <v>-28715.964866369697</v>
      </c>
      <c r="S726">
        <f t="shared" si="1002"/>
        <v>-0.28715964866369698</v>
      </c>
      <c r="T726">
        <f t="shared" si="1003"/>
        <v>-2.8715964866369697E-4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D564" sqref="MD56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$A$563</v>
      </c>
      <c r="D111" s="1" t="str">
        <f>ADDRESS(C121-1,D121,1,1)</f>
        <v>$MD$563</v>
      </c>
      <c r="E111"/>
    </row>
    <row r="112" spans="1:5" x14ac:dyDescent="0.25">
      <c r="A112" s="7">
        <v>12164.144957890772</v>
      </c>
      <c r="C112" s="1" t="str">
        <f>ADDRESS(C121,1,1,1)</f>
        <v>$A$564</v>
      </c>
      <c r="D112" s="1" t="str">
        <f>ADDRESS(C121,D121-1,1,1)</f>
        <v>$MC$564</v>
      </c>
      <c r="E112"/>
    </row>
    <row r="113" spans="1:5" x14ac:dyDescent="0.25">
      <c r="A113" s="7">
        <v>11925.63231165762</v>
      </c>
      <c r="C113" s="1" t="str">
        <f>ADDRESS(C121+1,1,1,1)</f>
        <v>$A$565</v>
      </c>
      <c r="D113" s="1" t="str">
        <f>ADDRESS(C121-1,D121+1,1,1)</f>
        <v>$ME$563</v>
      </c>
    </row>
    <row r="114" spans="1:5" x14ac:dyDescent="0.25">
      <c r="A114" s="7">
        <v>11691.796383978059</v>
      </c>
      <c r="C114" s="1" t="str">
        <f>ADDRESS(C121,D121,1,1)</f>
        <v>$MD$564</v>
      </c>
      <c r="D114" s="1" t="str">
        <f>ADDRESS(C121+1,D121+1,1,1)</f>
        <v>$ME$565</v>
      </c>
    </row>
    <row r="115" spans="1:5" x14ac:dyDescent="0.25">
      <c r="A115" s="7">
        <v>11462.545474488292</v>
      </c>
      <c r="C115" s="1" t="str">
        <f>ADDRESS(C121+1,D121,1,1)</f>
        <v>$MD$565</v>
      </c>
    </row>
    <row r="116" spans="1:5" x14ac:dyDescent="0.25">
      <c r="A116" s="7">
        <v>11237.789680870874</v>
      </c>
      <c r="C116" s="1">
        <f>C117-1</f>
        <v>563</v>
      </c>
    </row>
    <row r="117" spans="1:5" x14ac:dyDescent="0.25">
      <c r="A117" s="7">
        <v>11017.440863598895</v>
      </c>
      <c r="C117" s="1">
        <f>C121</f>
        <v>564</v>
      </c>
      <c r="D117" s="1">
        <f>D121</f>
        <v>342</v>
      </c>
    </row>
    <row r="118" spans="1:5" x14ac:dyDescent="0.25">
      <c r="A118" s="7">
        <v>10801.412611371465</v>
      </c>
      <c r="C118" s="1">
        <f>C117+1</f>
        <v>565</v>
      </c>
      <c r="D118" s="1">
        <f>D117+1</f>
        <v>343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564</v>
      </c>
      <c r="D121" s="19">
        <v>342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R564</v>
      </c>
      <c r="D123" s="1" t="str">
        <f>"C"&amp;D121</f>
        <v>C342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1.5768992641913981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207" x14ac:dyDescent="0.25">
      <c r="A449" s="7">
        <v>15.375303708145482</v>
      </c>
      <c r="B449"/>
      <c r="C449"/>
      <c r="D449"/>
      <c r="E449"/>
    </row>
    <row r="450" spans="1:207" x14ac:dyDescent="0.25">
      <c r="A450" s="7">
        <v>15.073827164848511</v>
      </c>
      <c r="B450"/>
      <c r="C450"/>
      <c r="D450"/>
      <c r="E450"/>
    </row>
    <row r="451" spans="1:207" x14ac:dyDescent="0.25">
      <c r="A451" s="7">
        <v>14.77826192632207</v>
      </c>
      <c r="B451"/>
      <c r="C451"/>
      <c r="D451"/>
      <c r="E451"/>
    </row>
    <row r="452" spans="1:207" x14ac:dyDescent="0.25">
      <c r="A452" s="7">
        <v>14.488492084629481</v>
      </c>
      <c r="B452"/>
      <c r="C452"/>
      <c r="D452"/>
      <c r="E452"/>
    </row>
    <row r="453" spans="1:207" x14ac:dyDescent="0.25">
      <c r="A453" s="7">
        <v>14.204404004538707</v>
      </c>
      <c r="B453"/>
      <c r="C453"/>
      <c r="D453"/>
      <c r="E453"/>
    </row>
    <row r="454" spans="1:207" x14ac:dyDescent="0.25">
      <c r="A454" s="7">
        <v>13.925886278959517</v>
      </c>
      <c r="B454"/>
      <c r="C454"/>
      <c r="D454"/>
      <c r="E454"/>
    </row>
    <row r="455" spans="1:207" x14ac:dyDescent="0.25">
      <c r="A455" s="7">
        <v>13.652829685254428</v>
      </c>
      <c r="B455"/>
      <c r="C455"/>
      <c r="D455"/>
      <c r="E455"/>
    </row>
    <row r="456" spans="1:207" x14ac:dyDescent="0.25">
      <c r="A456" s="7">
        <v>13.385127142406303</v>
      </c>
      <c r="B456"/>
      <c r="C456"/>
      <c r="D456"/>
      <c r="E456"/>
    </row>
    <row r="457" spans="1:207" x14ac:dyDescent="0.25">
      <c r="A457" s="7">
        <v>13.122673669025787</v>
      </c>
      <c r="B457"/>
      <c r="C457"/>
      <c r="D457"/>
      <c r="E457"/>
    </row>
    <row r="458" spans="1:207" x14ac:dyDescent="0.25">
      <c r="A458" s="7">
        <v>12.865366342182144</v>
      </c>
      <c r="B458"/>
      <c r="C458"/>
      <c r="D458"/>
      <c r="E458"/>
    </row>
    <row r="459" spans="1:207" x14ac:dyDescent="0.25">
      <c r="A459" s="7">
        <v>12.613104257041318</v>
      </c>
      <c r="B459"/>
      <c r="C459"/>
      <c r="D459"/>
      <c r="E459"/>
    </row>
    <row r="460" spans="1:207" x14ac:dyDescent="0.25">
      <c r="A460" s="7">
        <v>12.36578848729541</v>
      </c>
      <c r="B460"/>
      <c r="C460"/>
      <c r="D460"/>
      <c r="E460"/>
    </row>
    <row r="461" spans="1:207" x14ac:dyDescent="0.25">
      <c r="A461" s="7">
        <v>12.123322046368049</v>
      </c>
      <c r="B461"/>
      <c r="C461"/>
      <c r="D461"/>
      <c r="E461"/>
    </row>
    <row r="462" spans="1:207" x14ac:dyDescent="0.25">
      <c r="A462" s="7">
        <v>11.88560984938044</v>
      </c>
      <c r="B462"/>
      <c r="C462"/>
      <c r="D462"/>
      <c r="E462"/>
    </row>
    <row r="463" spans="1:207" x14ac:dyDescent="0.25">
      <c r="A463" s="7">
        <v>11.652558675863176</v>
      </c>
      <c r="B463"/>
      <c r="C463"/>
      <c r="D463"/>
      <c r="E463"/>
    </row>
    <row r="464" spans="1:207" x14ac:dyDescent="0.25">
      <c r="A464" s="7">
        <v>11.424077133199193</v>
      </c>
      <c r="B464"/>
      <c r="C464"/>
      <c r="D464"/>
      <c r="E464"/>
      <c r="GY464" s="27" t="s">
        <v>8</v>
      </c>
    </row>
    <row r="465" spans="1:210" x14ac:dyDescent="0.25">
      <c r="A465" s="7">
        <v>11.200075620783522</v>
      </c>
      <c r="B465"/>
      <c r="C465"/>
      <c r="D465"/>
      <c r="E465"/>
      <c r="GY465" s="27" t="s">
        <v>8</v>
      </c>
      <c r="GZ465" s="27" t="s">
        <v>7</v>
      </c>
    </row>
    <row r="466" spans="1:210" x14ac:dyDescent="0.25">
      <c r="A466" s="7">
        <v>10.980466294885806</v>
      </c>
      <c r="B466"/>
      <c r="C466"/>
      <c r="D466"/>
      <c r="E466"/>
      <c r="GY466" s="27" t="s">
        <v>8</v>
      </c>
      <c r="GZ466" s="27" t="s">
        <v>7</v>
      </c>
      <c r="HA466" s="27" t="s">
        <v>8</v>
      </c>
    </row>
    <row r="467" spans="1:210" x14ac:dyDescent="0.25">
      <c r="A467" s="7">
        <v>10.765163034201771</v>
      </c>
      <c r="B467"/>
      <c r="C467"/>
      <c r="D467"/>
      <c r="E467"/>
      <c r="GY467" s="27" t="s">
        <v>8</v>
      </c>
      <c r="GZ467" s="27" t="s">
        <v>7</v>
      </c>
      <c r="HA467" s="27" t="s">
        <v>8</v>
      </c>
      <c r="HB467" s="27" t="s">
        <v>7</v>
      </c>
    </row>
    <row r="468" spans="1:210" x14ac:dyDescent="0.25">
      <c r="A468" s="7">
        <v>10.554081406080169</v>
      </c>
      <c r="B468"/>
      <c r="C468"/>
      <c r="D468"/>
      <c r="E468"/>
      <c r="GY468" s="27" t="s">
        <v>8</v>
      </c>
      <c r="GZ468" s="27" t="s">
        <v>7</v>
      </c>
      <c r="HA468" s="27" t="s">
        <v>8</v>
      </c>
      <c r="HB468" s="27" t="s">
        <v>7</v>
      </c>
    </row>
    <row r="469" spans="1:210" x14ac:dyDescent="0.25">
      <c r="A469" s="7">
        <v>10.34713863341193</v>
      </c>
      <c r="B469"/>
      <c r="C469"/>
      <c r="D469"/>
      <c r="E469"/>
      <c r="GY469" s="27" t="s">
        <v>8</v>
      </c>
      <c r="GZ469" s="27" t="s">
        <v>7</v>
      </c>
      <c r="HA469" s="27" t="s">
        <v>8</v>
      </c>
      <c r="HB469" s="27" t="s">
        <v>7</v>
      </c>
    </row>
    <row r="470" spans="1:210" x14ac:dyDescent="0.25">
      <c r="A470" s="7">
        <v>10.14425356216856</v>
      </c>
      <c r="B470"/>
      <c r="C470"/>
      <c r="D470"/>
      <c r="E470"/>
      <c r="GY470" s="27" t="s">
        <v>8</v>
      </c>
      <c r="GZ470" s="27" t="s">
        <v>7</v>
      </c>
      <c r="HA470" s="27" t="s">
        <v>8</v>
      </c>
      <c r="HB470" s="27" t="s">
        <v>7</v>
      </c>
    </row>
    <row r="471" spans="1:210" x14ac:dyDescent="0.25">
      <c r="A471" s="7">
        <v>9.9453466295770188</v>
      </c>
      <c r="B471"/>
      <c r="C471"/>
      <c r="D471"/>
      <c r="E471"/>
      <c r="GY471" s="27" t="s">
        <v>8</v>
      </c>
      <c r="GZ471" s="27" t="s">
        <v>7</v>
      </c>
      <c r="HA471" s="27" t="s">
        <v>8</v>
      </c>
      <c r="HB471" s="27" t="s">
        <v>7</v>
      </c>
    </row>
    <row r="472" spans="1:210" x14ac:dyDescent="0.25">
      <c r="A472" s="7">
        <v>9.7503398329186464</v>
      </c>
      <c r="B472"/>
      <c r="C472"/>
      <c r="D472"/>
      <c r="E472"/>
      <c r="GY472" s="27" t="s">
        <v>8</v>
      </c>
      <c r="GZ472" s="27" t="s">
        <v>7</v>
      </c>
      <c r="HA472" s="27" t="s">
        <v>8</v>
      </c>
      <c r="HB472" s="27" t="s">
        <v>7</v>
      </c>
    </row>
    <row r="473" spans="1:210" x14ac:dyDescent="0.25">
      <c r="A473" s="7">
        <v>9.5591566989398498</v>
      </c>
      <c r="B473"/>
      <c r="C473"/>
      <c r="D473"/>
      <c r="E473"/>
      <c r="GY473" s="27" t="s">
        <v>8</v>
      </c>
      <c r="GZ473" s="27" t="s">
        <v>7</v>
      </c>
      <c r="HA473" s="27" t="s">
        <v>8</v>
      </c>
      <c r="HB473" s="27" t="s">
        <v>7</v>
      </c>
    </row>
    <row r="474" spans="1:210" x14ac:dyDescent="0.25">
      <c r="A474" s="7">
        <v>9.3717222538625968</v>
      </c>
      <c r="B474"/>
      <c r="C474"/>
      <c r="D474"/>
      <c r="E474"/>
      <c r="GY474" s="27" t="s">
        <v>8</v>
      </c>
      <c r="GZ474" s="27" t="s">
        <v>7</v>
      </c>
      <c r="HA474" s="27" t="s">
        <v>8</v>
      </c>
      <c r="HB474" s="27" t="s">
        <v>7</v>
      </c>
    </row>
    <row r="475" spans="1:210" x14ac:dyDescent="0.25">
      <c r="A475" s="7">
        <v>9.1879629939829375</v>
      </c>
      <c r="B475"/>
      <c r="C475"/>
      <c r="D475"/>
      <c r="E475"/>
      <c r="GY475" s="27" t="s">
        <v>8</v>
      </c>
      <c r="GZ475" s="27" t="s">
        <v>7</v>
      </c>
      <c r="HA475" s="27" t="s">
        <v>8</v>
      </c>
      <c r="HB475" s="27" t="s">
        <v>7</v>
      </c>
    </row>
    <row r="476" spans="1:210" x14ac:dyDescent="0.25">
      <c r="A476" s="7">
        <v>9.0078068568460168</v>
      </c>
      <c r="B476"/>
      <c r="C476"/>
      <c r="D476"/>
      <c r="E476"/>
      <c r="GY476" s="27" t="s">
        <v>8</v>
      </c>
      <c r="GZ476" s="27" t="s">
        <v>7</v>
      </c>
      <c r="HA476" s="27" t="s">
        <v>8</v>
      </c>
      <c r="HB476" s="27" t="s">
        <v>7</v>
      </c>
    </row>
    <row r="477" spans="1:210" x14ac:dyDescent="0.25">
      <c r="A477" s="7">
        <v>8.8311831929862912</v>
      </c>
      <c r="B477"/>
      <c r="C477"/>
      <c r="D477"/>
      <c r="E477"/>
      <c r="GY477" s="27" t="s">
        <v>8</v>
      </c>
      <c r="GZ477" s="27" t="s">
        <v>7</v>
      </c>
      <c r="HA477" s="27" t="s">
        <v>8</v>
      </c>
      <c r="HB477" s="27" t="s">
        <v>7</v>
      </c>
    </row>
    <row r="478" spans="1:210" x14ac:dyDescent="0.25">
      <c r="A478" s="7">
        <v>8.6580227382218542</v>
      </c>
      <c r="B478"/>
      <c r="C478"/>
      <c r="D478"/>
      <c r="E478"/>
      <c r="GY478" s="27" t="s">
        <v>8</v>
      </c>
      <c r="GZ478" s="27" t="s">
        <v>7</v>
      </c>
      <c r="HA478" s="27" t="s">
        <v>8</v>
      </c>
      <c r="HB478" s="27" t="s">
        <v>7</v>
      </c>
    </row>
    <row r="479" spans="1:210" x14ac:dyDescent="0.25">
      <c r="A479" s="7">
        <v>8.4882575864920131</v>
      </c>
      <c r="B479"/>
      <c r="C479"/>
      <c r="D479"/>
      <c r="E479"/>
      <c r="GY479" s="27" t="s">
        <v>8</v>
      </c>
      <c r="GZ479" s="27" t="s">
        <v>7</v>
      </c>
      <c r="HA479" s="27" t="s">
        <v>8</v>
      </c>
      <c r="HB479" s="27" t="s">
        <v>7</v>
      </c>
    </row>
    <row r="480" spans="1:210" x14ac:dyDescent="0.25">
      <c r="A480" s="7">
        <v>8.3218211632274635</v>
      </c>
      <c r="B480"/>
      <c r="C480"/>
      <c r="D480"/>
      <c r="E480"/>
      <c r="GY480" s="27" t="s">
        <v>8</v>
      </c>
      <c r="GZ480" s="27" t="s">
        <v>7</v>
      </c>
      <c r="HA480" s="27" t="s">
        <v>8</v>
      </c>
      <c r="HB480" s="27" t="s">
        <v>7</v>
      </c>
    </row>
    <row r="481" spans="1:214" x14ac:dyDescent="0.25">
      <c r="A481" s="7">
        <v>8.1586481992426112</v>
      </c>
      <c r="B481"/>
      <c r="C481"/>
      <c r="D481"/>
      <c r="E481"/>
      <c r="GY481" s="27" t="s">
        <v>8</v>
      </c>
      <c r="GZ481" s="27" t="s">
        <v>7</v>
      </c>
      <c r="HA481" s="27" t="s">
        <v>8</v>
      </c>
      <c r="HB481" s="27" t="s">
        <v>7</v>
      </c>
    </row>
    <row r="482" spans="1:214" x14ac:dyDescent="0.25">
      <c r="A482" s="7">
        <v>7.9986747051398144</v>
      </c>
      <c r="B482"/>
      <c r="C482"/>
      <c r="D482"/>
      <c r="E482"/>
      <c r="GY482" s="27" t="s">
        <v>8</v>
      </c>
      <c r="GZ482" s="27" t="s">
        <v>7</v>
      </c>
      <c r="HA482" s="27" t="s">
        <v>8</v>
      </c>
      <c r="HB482" s="27" t="s">
        <v>7</v>
      </c>
    </row>
    <row r="483" spans="1:214" x14ac:dyDescent="0.25">
      <c r="A483" s="7">
        <v>7.8418379462155041</v>
      </c>
      <c r="B483"/>
      <c r="C483"/>
      <c r="D483"/>
      <c r="E483"/>
      <c r="GY483" s="27" t="s">
        <v>8</v>
      </c>
      <c r="GZ483" s="27" t="s">
        <v>7</v>
      </c>
      <c r="HA483" s="27" t="s">
        <v>8</v>
      </c>
      <c r="HB483" s="27" t="s">
        <v>7</v>
      </c>
    </row>
    <row r="484" spans="1:214" x14ac:dyDescent="0.25">
      <c r="A484" s="7">
        <v>7.688076417858337</v>
      </c>
      <c r="B484"/>
      <c r="C484"/>
      <c r="D484"/>
      <c r="E484"/>
      <c r="GY484" s="27" t="s">
        <v>8</v>
      </c>
      <c r="GZ484" s="27" t="s">
        <v>7</v>
      </c>
      <c r="HB484" s="27" t="s">
        <v>7</v>
      </c>
    </row>
    <row r="485" spans="1:214" x14ac:dyDescent="0.25">
      <c r="A485" s="7">
        <v>7.5373298214297417</v>
      </c>
      <c r="B485"/>
      <c r="C485"/>
      <c r="D485"/>
      <c r="E485"/>
      <c r="GY485" s="27" t="s">
        <v>8</v>
      </c>
      <c r="HB485" s="27" t="s">
        <v>7</v>
      </c>
      <c r="HC485" s="27" t="s">
        <v>8</v>
      </c>
    </row>
    <row r="486" spans="1:214" x14ac:dyDescent="0.25">
      <c r="A486" s="7">
        <v>7.389539040617394</v>
      </c>
      <c r="B486"/>
      <c r="C486"/>
      <c r="D486"/>
      <c r="E486"/>
      <c r="GK486" s="27" t="s">
        <v>8</v>
      </c>
      <c r="GY486" s="27" t="s">
        <v>8</v>
      </c>
      <c r="HB486" s="27" t="s">
        <v>7</v>
      </c>
      <c r="HC486" s="27" t="s">
        <v>8</v>
      </c>
      <c r="HD486" s="27" t="s">
        <v>7</v>
      </c>
    </row>
    <row r="487" spans="1:214" x14ac:dyDescent="0.25">
      <c r="A487" s="7">
        <v>7.2446461182523469</v>
      </c>
      <c r="B487"/>
      <c r="C487"/>
      <c r="D487"/>
      <c r="E487"/>
      <c r="GK487" s="27" t="s">
        <v>8</v>
      </c>
      <c r="GL487" s="27" t="s">
        <v>7</v>
      </c>
      <c r="GM487" s="27" t="s">
        <v>8</v>
      </c>
      <c r="GY487" s="27" t="s">
        <v>8</v>
      </c>
      <c r="HB487" s="27" t="s">
        <v>7</v>
      </c>
      <c r="HC487" s="27" t="s">
        <v>8</v>
      </c>
      <c r="HD487" s="27" t="s">
        <v>7</v>
      </c>
    </row>
    <row r="488" spans="1:214" x14ac:dyDescent="0.25">
      <c r="A488" s="7">
        <v>7.1025942335807324</v>
      </c>
      <c r="B488"/>
      <c r="C488"/>
      <c r="D488"/>
      <c r="E488"/>
      <c r="GK488" s="27" t="s">
        <v>8</v>
      </c>
      <c r="GL488" s="27" t="s">
        <v>7</v>
      </c>
      <c r="GM488" s="27" t="s">
        <v>8</v>
      </c>
      <c r="GN488" s="27" t="s">
        <v>7</v>
      </c>
      <c r="GY488" s="27" t="s">
        <v>8</v>
      </c>
      <c r="HB488" s="27" t="s">
        <v>7</v>
      </c>
      <c r="HC488" s="27" t="s">
        <v>8</v>
      </c>
      <c r="HD488" s="27" t="s">
        <v>7</v>
      </c>
    </row>
    <row r="489" spans="1:214" x14ac:dyDescent="0.25">
      <c r="A489" s="7">
        <v>6.9633276799811101</v>
      </c>
      <c r="B489"/>
      <c r="C489"/>
      <c r="D489"/>
      <c r="E489"/>
      <c r="GK489" s="27" t="s">
        <v>8</v>
      </c>
      <c r="GL489" s="27" t="s">
        <v>7</v>
      </c>
      <c r="GM489" s="27" t="s">
        <v>8</v>
      </c>
      <c r="GN489" s="27" t="s">
        <v>7</v>
      </c>
      <c r="GY489" s="27" t="s">
        <v>8</v>
      </c>
      <c r="HB489" s="27" t="s">
        <v>7</v>
      </c>
      <c r="HC489" s="27" t="s">
        <v>8</v>
      </c>
      <c r="HD489" s="27" t="s">
        <v>7</v>
      </c>
    </row>
    <row r="490" spans="1:214" x14ac:dyDescent="0.25">
      <c r="A490" s="7">
        <v>6.8267918431187349</v>
      </c>
      <c r="B490"/>
      <c r="C490"/>
      <c r="D490"/>
      <c r="E490"/>
      <c r="GK490" s="27" t="s">
        <v>8</v>
      </c>
      <c r="GL490" s="27" t="s">
        <v>7</v>
      </c>
      <c r="GM490" s="27" t="s">
        <v>8</v>
      </c>
      <c r="GN490" s="27" t="s">
        <v>7</v>
      </c>
      <c r="GY490" s="27" t="s">
        <v>8</v>
      </c>
      <c r="HB490" s="27" t="s">
        <v>7</v>
      </c>
      <c r="HC490" s="27" t="s">
        <v>8</v>
      </c>
      <c r="HD490" s="27" t="s">
        <v>7</v>
      </c>
    </row>
    <row r="491" spans="1:214" x14ac:dyDescent="0.25">
      <c r="A491" s="7">
        <v>6.692933179528171</v>
      </c>
      <c r="B491"/>
      <c r="C491"/>
      <c r="D491"/>
      <c r="E491"/>
      <c r="GG491" s="27" t="s">
        <v>8</v>
      </c>
      <c r="GK491" s="27" t="s">
        <v>8</v>
      </c>
      <c r="GL491" s="27" t="s">
        <v>7</v>
      </c>
      <c r="GM491" s="27" t="s">
        <v>8</v>
      </c>
      <c r="GN491" s="27" t="s">
        <v>7</v>
      </c>
      <c r="GY491" s="27" t="s">
        <v>8</v>
      </c>
      <c r="HB491" s="27" t="s">
        <v>7</v>
      </c>
      <c r="HC491" s="27" t="s">
        <v>8</v>
      </c>
      <c r="HD491" s="27" t="s">
        <v>7</v>
      </c>
    </row>
    <row r="492" spans="1:214" x14ac:dyDescent="0.25">
      <c r="A492" s="7">
        <v>6.5616991956158541</v>
      </c>
      <c r="B492"/>
      <c r="C492"/>
      <c r="D492"/>
      <c r="E492"/>
      <c r="GG492" s="27" t="s">
        <v>8</v>
      </c>
      <c r="GH492" s="27" t="s">
        <v>7</v>
      </c>
      <c r="GK492" s="27" t="s">
        <v>8</v>
      </c>
      <c r="GL492" s="27" t="s">
        <v>7</v>
      </c>
      <c r="GM492" s="27" t="s">
        <v>8</v>
      </c>
      <c r="GN492" s="27" t="s">
        <v>7</v>
      </c>
      <c r="GY492" s="27" t="s">
        <v>8</v>
      </c>
      <c r="HB492" s="27" t="s">
        <v>7</v>
      </c>
      <c r="HC492" s="27" t="s">
        <v>8</v>
      </c>
      <c r="HD492" s="27" t="s">
        <v>7</v>
      </c>
      <c r="HE492" s="27" t="s">
        <v>8</v>
      </c>
    </row>
    <row r="493" spans="1:214" x14ac:dyDescent="0.25">
      <c r="A493" s="7">
        <v>6.4330384270743668</v>
      </c>
      <c r="B493"/>
      <c r="C493"/>
      <c r="D493"/>
      <c r="E493"/>
      <c r="GG493" s="27" t="s">
        <v>8</v>
      </c>
      <c r="GH493" s="27" t="s">
        <v>7</v>
      </c>
      <c r="GK493" s="27" t="s">
        <v>8</v>
      </c>
      <c r="GL493" s="27" t="s">
        <v>7</v>
      </c>
      <c r="GM493" s="27" t="s">
        <v>8</v>
      </c>
      <c r="GN493" s="27" t="s">
        <v>7</v>
      </c>
      <c r="GY493" s="27" t="s">
        <v>8</v>
      </c>
      <c r="HB493" s="27" t="s">
        <v>7</v>
      </c>
      <c r="HC493" s="27" t="s">
        <v>8</v>
      </c>
      <c r="HD493" s="27" t="s">
        <v>7</v>
      </c>
      <c r="HE493" s="27" t="s">
        <v>8</v>
      </c>
      <c r="HF493" s="27" t="s">
        <v>7</v>
      </c>
    </row>
    <row r="494" spans="1:214" x14ac:dyDescent="0.25">
      <c r="A494" s="7">
        <v>6.3069004187003594</v>
      </c>
      <c r="B494"/>
      <c r="C494"/>
      <c r="D494"/>
      <c r="E494"/>
      <c r="GG494" s="27" t="s">
        <v>8</v>
      </c>
      <c r="GH494" s="27" t="s">
        <v>7</v>
      </c>
      <c r="GI494" s="27" t="s">
        <v>8</v>
      </c>
      <c r="GK494" s="27" t="s">
        <v>8</v>
      </c>
      <c r="GL494" s="27" t="s">
        <v>7</v>
      </c>
      <c r="GM494" s="27" t="s">
        <v>8</v>
      </c>
      <c r="GN494" s="27" t="s">
        <v>7</v>
      </c>
      <c r="GW494" s="27" t="s">
        <v>8</v>
      </c>
      <c r="GY494" s="27" t="s">
        <v>8</v>
      </c>
      <c r="HB494" s="27" t="s">
        <v>7</v>
      </c>
      <c r="HC494" s="27" t="s">
        <v>8</v>
      </c>
      <c r="HD494" s="27" t="s">
        <v>7</v>
      </c>
      <c r="HE494" s="27" t="s">
        <v>8</v>
      </c>
      <c r="HF494" s="27" t="s">
        <v>7</v>
      </c>
    </row>
    <row r="495" spans="1:214" x14ac:dyDescent="0.25">
      <c r="A495" s="7">
        <v>6.1832357046081956</v>
      </c>
      <c r="B495"/>
      <c r="C495"/>
      <c r="D495"/>
      <c r="E495"/>
      <c r="GC495" s="27" t="s">
        <v>8</v>
      </c>
      <c r="GE495" s="27" t="s">
        <v>8</v>
      </c>
      <c r="GG495" s="27" t="s">
        <v>8</v>
      </c>
      <c r="GH495" s="27" t="s">
        <v>7</v>
      </c>
      <c r="GI495" s="27" t="s">
        <v>8</v>
      </c>
      <c r="GJ495" s="27" t="s">
        <v>7</v>
      </c>
      <c r="GK495" s="27" t="s">
        <v>8</v>
      </c>
      <c r="GL495" s="27" t="s">
        <v>7</v>
      </c>
      <c r="GM495" s="27" t="s">
        <v>8</v>
      </c>
      <c r="GN495" s="27" t="s">
        <v>7</v>
      </c>
      <c r="GW495" s="27" t="s">
        <v>8</v>
      </c>
      <c r="GX495" s="27" t="s">
        <v>7</v>
      </c>
      <c r="GY495" s="27" t="s">
        <v>8</v>
      </c>
      <c r="HB495" s="27" t="s">
        <v>7</v>
      </c>
      <c r="HC495" s="27" t="s">
        <v>8</v>
      </c>
      <c r="HD495" s="27" t="s">
        <v>7</v>
      </c>
      <c r="HE495" s="27" t="s">
        <v>8</v>
      </c>
      <c r="HF495" s="27" t="s">
        <v>7</v>
      </c>
    </row>
    <row r="496" spans="1:214" x14ac:dyDescent="0.25">
      <c r="A496" s="7">
        <v>6.0619957888315641</v>
      </c>
      <c r="B496"/>
      <c r="C496"/>
      <c r="D496"/>
      <c r="E496"/>
      <c r="GC496" s="27" t="s">
        <v>8</v>
      </c>
      <c r="GD496" s="27" t="s">
        <v>7</v>
      </c>
      <c r="GE496" s="27" t="s">
        <v>8</v>
      </c>
      <c r="GF496" s="27" t="s">
        <v>7</v>
      </c>
      <c r="GG496" s="27" t="s">
        <v>8</v>
      </c>
      <c r="GH496" s="27" t="s">
        <v>7</v>
      </c>
      <c r="GI496" s="27" t="s">
        <v>8</v>
      </c>
      <c r="GJ496" s="27" t="s">
        <v>7</v>
      </c>
      <c r="GK496" s="27" t="s">
        <v>8</v>
      </c>
      <c r="GL496" s="27" t="s">
        <v>7</v>
      </c>
      <c r="GM496" s="27" t="s">
        <v>8</v>
      </c>
      <c r="GN496" s="27" t="s">
        <v>7</v>
      </c>
      <c r="GW496" s="27" t="s">
        <v>8</v>
      </c>
      <c r="GX496" s="27" t="s">
        <v>7</v>
      </c>
      <c r="GY496" s="27" t="s">
        <v>8</v>
      </c>
      <c r="HB496" s="27" t="s">
        <v>7</v>
      </c>
      <c r="HD496" s="27" t="s">
        <v>7</v>
      </c>
      <c r="HE496" s="27" t="s">
        <v>8</v>
      </c>
      <c r="HF496" s="27" t="s">
        <v>7</v>
      </c>
    </row>
    <row r="497" spans="1:318" x14ac:dyDescent="0.25">
      <c r="A497" s="7">
        <v>5.9431331263054545</v>
      </c>
      <c r="B497"/>
      <c r="C497"/>
      <c r="D497"/>
      <c r="E497"/>
      <c r="GC497" s="27" t="s">
        <v>8</v>
      </c>
      <c r="GD497" s="27" t="s">
        <v>7</v>
      </c>
      <c r="GE497" s="27" t="s">
        <v>8</v>
      </c>
      <c r="GF497" s="27" t="s">
        <v>7</v>
      </c>
      <c r="GG497" s="27" t="s">
        <v>8</v>
      </c>
      <c r="GH497" s="27" t="s">
        <v>7</v>
      </c>
      <c r="GI497" s="27" t="s">
        <v>8</v>
      </c>
      <c r="GJ497" s="27" t="s">
        <v>7</v>
      </c>
      <c r="GK497" s="27" t="s">
        <v>8</v>
      </c>
      <c r="GL497" s="27" t="s">
        <v>7</v>
      </c>
      <c r="GN497" s="27" t="s">
        <v>7</v>
      </c>
      <c r="GW497" s="27" t="s">
        <v>8</v>
      </c>
      <c r="GX497" s="27" t="s">
        <v>7</v>
      </c>
      <c r="GY497" s="27" t="s">
        <v>8</v>
      </c>
      <c r="HD497" s="27" t="s">
        <v>7</v>
      </c>
      <c r="HE497" s="27" t="s">
        <v>8</v>
      </c>
      <c r="HF497" s="27" t="s">
        <v>7</v>
      </c>
    </row>
    <row r="498" spans="1:318" x14ac:dyDescent="0.25">
      <c r="A498" s="7">
        <v>5.8266011042210337</v>
      </c>
      <c r="B498"/>
      <c r="C498"/>
      <c r="D498"/>
      <c r="E498"/>
      <c r="GC498" s="27" t="s">
        <v>8</v>
      </c>
      <c r="GD498" s="27" t="s">
        <v>7</v>
      </c>
      <c r="GE498" s="27" t="s">
        <v>8</v>
      </c>
      <c r="GF498" s="27" t="s">
        <v>7</v>
      </c>
      <c r="GG498" s="27" t="s">
        <v>8</v>
      </c>
      <c r="GH498" s="27" t="s">
        <v>7</v>
      </c>
      <c r="GJ498" s="27" t="s">
        <v>7</v>
      </c>
      <c r="GK498" s="27" t="s">
        <v>8</v>
      </c>
      <c r="GN498" s="27" t="s">
        <v>7</v>
      </c>
      <c r="GO498" s="27" t="s">
        <v>8</v>
      </c>
      <c r="GW498" s="27" t="s">
        <v>8</v>
      </c>
      <c r="GX498" s="27" t="s">
        <v>7</v>
      </c>
      <c r="GY498" s="27" t="s">
        <v>8</v>
      </c>
      <c r="HD498" s="27" t="s">
        <v>7</v>
      </c>
      <c r="HE498" s="27" t="s">
        <v>8</v>
      </c>
      <c r="HF498" s="27" t="s">
        <v>7</v>
      </c>
    </row>
    <row r="499" spans="1:318" x14ac:dyDescent="0.25">
      <c r="A499" s="7">
        <v>5.7123540237461112</v>
      </c>
      <c r="B499"/>
      <c r="C499"/>
      <c r="D499"/>
      <c r="E499"/>
      <c r="GC499" s="27" t="s">
        <v>8</v>
      </c>
      <c r="GD499" s="27" t="s">
        <v>7</v>
      </c>
      <c r="GE499" s="27" t="s">
        <v>8</v>
      </c>
      <c r="GF499" s="27" t="s">
        <v>7</v>
      </c>
      <c r="GJ499" s="27" t="s">
        <v>7</v>
      </c>
      <c r="GK499" s="27" t="s">
        <v>8</v>
      </c>
      <c r="GN499" s="27" t="s">
        <v>7</v>
      </c>
      <c r="GO499" s="27" t="s">
        <v>8</v>
      </c>
      <c r="GP499" s="27" t="s">
        <v>7</v>
      </c>
      <c r="GW499" s="27" t="s">
        <v>8</v>
      </c>
      <c r="GX499" s="27" t="s">
        <v>7</v>
      </c>
      <c r="GY499" s="27" t="s">
        <v>8</v>
      </c>
      <c r="HD499" s="27" t="s">
        <v>7</v>
      </c>
      <c r="HE499" s="27" t="s">
        <v>8</v>
      </c>
      <c r="HF499" s="27" t="s">
        <v>7</v>
      </c>
    </row>
    <row r="500" spans="1:318" x14ac:dyDescent="0.25">
      <c r="A500" s="7">
        <v>5.6003470821040304</v>
      </c>
      <c r="B500"/>
      <c r="C500"/>
      <c r="D500"/>
      <c r="E500"/>
      <c r="GA500" s="27" t="s">
        <v>8</v>
      </c>
      <c r="GC500" s="27" t="s">
        <v>8</v>
      </c>
      <c r="GD500" s="27" t="s">
        <v>7</v>
      </c>
      <c r="GJ500" s="27" t="s">
        <v>7</v>
      </c>
      <c r="GK500" s="27" t="s">
        <v>8</v>
      </c>
      <c r="GN500" s="27" t="s">
        <v>7</v>
      </c>
      <c r="GO500" s="27" t="s">
        <v>8</v>
      </c>
      <c r="GP500" s="27" t="s">
        <v>7</v>
      </c>
      <c r="GQ500" s="27" t="s">
        <v>8</v>
      </c>
      <c r="GU500" s="27" t="s">
        <v>8</v>
      </c>
      <c r="GW500" s="27" t="s">
        <v>8</v>
      </c>
      <c r="GX500" s="27" t="s">
        <v>7</v>
      </c>
      <c r="GY500" s="27" t="s">
        <v>8</v>
      </c>
      <c r="HD500" s="27" t="s">
        <v>7</v>
      </c>
      <c r="HE500" s="27" t="s">
        <v>8</v>
      </c>
      <c r="HF500" s="27" t="s">
        <v>7</v>
      </c>
    </row>
    <row r="501" spans="1:318" x14ac:dyDescent="0.25">
      <c r="A501" s="7">
        <v>5.4905363550039512</v>
      </c>
      <c r="B501"/>
      <c r="C501"/>
      <c r="D501"/>
      <c r="E501"/>
      <c r="GA501" s="27" t="s">
        <v>8</v>
      </c>
      <c r="GB501" s="27" t="s">
        <v>7</v>
      </c>
      <c r="GC501" s="27" t="s">
        <v>8</v>
      </c>
      <c r="GJ501" s="27" t="s">
        <v>7</v>
      </c>
      <c r="GK501" s="27" t="s">
        <v>8</v>
      </c>
      <c r="GN501" s="27" t="s">
        <v>7</v>
      </c>
      <c r="GO501" s="27" t="s">
        <v>8</v>
      </c>
      <c r="GP501" s="27" t="s">
        <v>7</v>
      </c>
      <c r="GQ501" s="27" t="s">
        <v>8</v>
      </c>
      <c r="GR501" s="27" t="s">
        <v>7</v>
      </c>
      <c r="GU501" s="27" t="s">
        <v>8</v>
      </c>
      <c r="GV501" s="27" t="s">
        <v>7</v>
      </c>
      <c r="GW501" s="27" t="s">
        <v>8</v>
      </c>
      <c r="GX501" s="27" t="s">
        <v>7</v>
      </c>
      <c r="GY501" s="27" t="s">
        <v>8</v>
      </c>
      <c r="HD501" s="27" t="s">
        <v>7</v>
      </c>
      <c r="HE501" s="27" t="s">
        <v>8</v>
      </c>
      <c r="HF501" s="27" t="s">
        <v>7</v>
      </c>
    </row>
    <row r="502" spans="1:318" x14ac:dyDescent="0.25">
      <c r="A502" s="7">
        <v>5.3828787794156385</v>
      </c>
      <c r="B502"/>
      <c r="C502"/>
      <c r="D502"/>
      <c r="E502"/>
      <c r="GA502" s="27" t="s">
        <v>8</v>
      </c>
      <c r="GB502" s="27" t="s">
        <v>7</v>
      </c>
      <c r="GC502" s="27" t="s">
        <v>8</v>
      </c>
      <c r="GJ502" s="27" t="s">
        <v>7</v>
      </c>
      <c r="GN502" s="27" t="s">
        <v>7</v>
      </c>
      <c r="GO502" s="27" t="s">
        <v>8</v>
      </c>
      <c r="GP502" s="27" t="s">
        <v>7</v>
      </c>
      <c r="GQ502" s="27" t="s">
        <v>8</v>
      </c>
      <c r="GR502" s="27" t="s">
        <v>7</v>
      </c>
      <c r="GU502" s="27" t="s">
        <v>8</v>
      </c>
      <c r="GV502" s="27" t="s">
        <v>7</v>
      </c>
      <c r="GW502" s="27" t="s">
        <v>8</v>
      </c>
      <c r="GX502" s="27" t="s">
        <v>7</v>
      </c>
      <c r="GY502" s="27" t="s">
        <v>8</v>
      </c>
      <c r="HD502" s="27" t="s">
        <v>7</v>
      </c>
      <c r="HE502" s="27" t="s">
        <v>8</v>
      </c>
      <c r="HF502" s="27" t="s">
        <v>7</v>
      </c>
      <c r="HG502" s="27" t="s">
        <v>8</v>
      </c>
      <c r="IY502" s="27" t="s">
        <v>8</v>
      </c>
    </row>
    <row r="503" spans="1:318" x14ac:dyDescent="0.25">
      <c r="A503" s="7">
        <v>5.2773321366819985</v>
      </c>
      <c r="B503"/>
      <c r="C503"/>
      <c r="D503"/>
      <c r="E503"/>
      <c r="GA503" s="27" t="s">
        <v>8</v>
      </c>
      <c r="GB503" s="27" t="s">
        <v>7</v>
      </c>
      <c r="GC503" s="27" t="s">
        <v>8</v>
      </c>
      <c r="GN503" s="27" t="s">
        <v>7</v>
      </c>
      <c r="GO503" s="27" t="s">
        <v>8</v>
      </c>
      <c r="GP503" s="27" t="s">
        <v>7</v>
      </c>
      <c r="GQ503" s="27" t="s">
        <v>8</v>
      </c>
      <c r="GR503" s="27" t="s">
        <v>7</v>
      </c>
      <c r="GU503" s="27" t="s">
        <v>8</v>
      </c>
      <c r="GV503" s="27" t="s">
        <v>7</v>
      </c>
      <c r="GW503" s="27" t="s">
        <v>8</v>
      </c>
      <c r="GX503" s="27" t="s">
        <v>7</v>
      </c>
      <c r="HD503" s="27" t="s">
        <v>7</v>
      </c>
      <c r="HF503" s="27" t="s">
        <v>7</v>
      </c>
      <c r="HG503" s="27" t="s">
        <v>8</v>
      </c>
      <c r="HH503" s="27" t="s">
        <v>7</v>
      </c>
      <c r="IY503" s="27" t="s">
        <v>8</v>
      </c>
      <c r="IZ503" s="27" t="s">
        <v>7</v>
      </c>
    </row>
    <row r="504" spans="1:318" x14ac:dyDescent="0.25">
      <c r="A504" s="7">
        <v>5.1738550359627435</v>
      </c>
      <c r="B504"/>
      <c r="C504"/>
      <c r="D504"/>
      <c r="E504"/>
      <c r="FW504" s="27" t="s">
        <v>8</v>
      </c>
      <c r="GA504" s="27" t="s">
        <v>8</v>
      </c>
      <c r="GB504" s="27" t="s">
        <v>7</v>
      </c>
      <c r="GC504" s="27" t="s">
        <v>8</v>
      </c>
      <c r="GN504" s="27" t="s">
        <v>7</v>
      </c>
      <c r="GO504" s="27" t="s">
        <v>8</v>
      </c>
      <c r="GP504" s="27" t="s">
        <v>7</v>
      </c>
      <c r="GQ504" s="27" t="s">
        <v>8</v>
      </c>
      <c r="GR504" s="27" t="s">
        <v>7</v>
      </c>
      <c r="GU504" s="27" t="s">
        <v>8</v>
      </c>
      <c r="GV504" s="27" t="s">
        <v>7</v>
      </c>
      <c r="HF504" s="27" t="s">
        <v>7</v>
      </c>
      <c r="HG504" s="27" t="s">
        <v>8</v>
      </c>
      <c r="HH504" s="27" t="s">
        <v>7</v>
      </c>
      <c r="IY504" s="27" t="s">
        <v>8</v>
      </c>
      <c r="IZ504" s="27" t="s">
        <v>7</v>
      </c>
    </row>
    <row r="505" spans="1:318" x14ac:dyDescent="0.25">
      <c r="A505" s="7">
        <v>5.07240689800269</v>
      </c>
      <c r="B505"/>
      <c r="C505"/>
      <c r="D505"/>
      <c r="E505"/>
      <c r="FW505" s="27" t="s">
        <v>8</v>
      </c>
      <c r="FX505" s="27" t="s">
        <v>7</v>
      </c>
      <c r="GA505" s="27" t="s">
        <v>8</v>
      </c>
      <c r="GB505" s="27" t="s">
        <v>7</v>
      </c>
      <c r="GC505" s="27" t="s">
        <v>8</v>
      </c>
      <c r="GN505" s="27" t="s">
        <v>7</v>
      </c>
      <c r="GO505" s="27" t="s">
        <v>8</v>
      </c>
      <c r="GP505" s="27" t="s">
        <v>7</v>
      </c>
      <c r="GQ505" s="27" t="s">
        <v>8</v>
      </c>
      <c r="GR505" s="27" t="s">
        <v>7</v>
      </c>
      <c r="GU505" s="27" t="s">
        <v>8</v>
      </c>
      <c r="HF505" s="27" t="s">
        <v>7</v>
      </c>
      <c r="HG505" s="27" t="s">
        <v>8</v>
      </c>
      <c r="HH505" s="27" t="s">
        <v>7</v>
      </c>
      <c r="IY505" s="27" t="s">
        <v>8</v>
      </c>
      <c r="IZ505" s="27" t="s">
        <v>7</v>
      </c>
    </row>
    <row r="506" spans="1:318" x14ac:dyDescent="0.25">
      <c r="A506" s="7">
        <v>4.9729479392183231</v>
      </c>
      <c r="B506"/>
      <c r="C506"/>
      <c r="D506"/>
      <c r="E506"/>
      <c r="FW506" s="27" t="s">
        <v>8</v>
      </c>
      <c r="FX506" s="27" t="s">
        <v>7</v>
      </c>
      <c r="GA506" s="27" t="s">
        <v>8</v>
      </c>
      <c r="GB506" s="27" t="s">
        <v>7</v>
      </c>
      <c r="GC506" s="27" t="s">
        <v>8</v>
      </c>
      <c r="GN506" s="27" t="s">
        <v>7</v>
      </c>
      <c r="GP506" s="27" t="s">
        <v>7</v>
      </c>
      <c r="GQ506" s="27" t="s">
        <v>8</v>
      </c>
      <c r="GR506" s="27" t="s">
        <v>7</v>
      </c>
      <c r="GU506" s="27" t="s">
        <v>8</v>
      </c>
      <c r="HF506" s="27" t="s">
        <v>7</v>
      </c>
      <c r="HG506" s="27" t="s">
        <v>8</v>
      </c>
      <c r="HH506" s="27" t="s">
        <v>7</v>
      </c>
      <c r="IY506" s="27" t="s">
        <v>8</v>
      </c>
      <c r="IZ506" s="27" t="s">
        <v>7</v>
      </c>
    </row>
    <row r="507" spans="1:318" x14ac:dyDescent="0.25">
      <c r="A507" s="7">
        <v>4.8754391560963954</v>
      </c>
      <c r="B507"/>
      <c r="C507"/>
      <c r="D507"/>
      <c r="E507"/>
      <c r="FW507" s="27" t="s">
        <v>8</v>
      </c>
      <c r="FX507" s="27" t="s">
        <v>7</v>
      </c>
      <c r="GA507" s="27" t="s">
        <v>8</v>
      </c>
      <c r="GB507" s="27" t="s">
        <v>7</v>
      </c>
      <c r="GC507" s="27" t="s">
        <v>8</v>
      </c>
      <c r="GP507" s="27" t="s">
        <v>7</v>
      </c>
      <c r="GQ507" s="27" t="s">
        <v>8</v>
      </c>
      <c r="GR507" s="27" t="s">
        <v>7</v>
      </c>
      <c r="GS507" s="27" t="s">
        <v>8</v>
      </c>
      <c r="GU507" s="27" t="s">
        <v>8</v>
      </c>
      <c r="HF507" s="27" t="s">
        <v>7</v>
      </c>
      <c r="HG507" s="27" t="s">
        <v>8</v>
      </c>
      <c r="HH507" s="27" t="s">
        <v>7</v>
      </c>
      <c r="IW507" s="27" t="s">
        <v>8</v>
      </c>
      <c r="IY507" s="27" t="s">
        <v>8</v>
      </c>
      <c r="IZ507" s="27" t="s">
        <v>7</v>
      </c>
    </row>
    <row r="508" spans="1:318" x14ac:dyDescent="0.25">
      <c r="A508" s="7">
        <v>4.7798423098984264</v>
      </c>
      <c r="B508"/>
      <c r="C508"/>
      <c r="D508"/>
      <c r="E508"/>
      <c r="FW508" s="27" t="s">
        <v>8</v>
      </c>
      <c r="FX508" s="27" t="s">
        <v>7</v>
      </c>
      <c r="GA508" s="27" t="s">
        <v>8</v>
      </c>
      <c r="GB508" s="27" t="s">
        <v>7</v>
      </c>
      <c r="GP508" s="27" t="s">
        <v>7</v>
      </c>
      <c r="GR508" s="27" t="s">
        <v>7</v>
      </c>
      <c r="GS508" s="27" t="s">
        <v>8</v>
      </c>
      <c r="GT508" s="27" t="s">
        <v>7</v>
      </c>
      <c r="GU508" s="27" t="s">
        <v>8</v>
      </c>
      <c r="HF508" s="27" t="s">
        <v>7</v>
      </c>
      <c r="HG508" s="27" t="s">
        <v>8</v>
      </c>
      <c r="HH508" s="27" t="s">
        <v>7</v>
      </c>
      <c r="IW508" s="27" t="s">
        <v>8</v>
      </c>
      <c r="IX508" s="27" t="s">
        <v>7</v>
      </c>
      <c r="IY508" s="27" t="s">
        <v>8</v>
      </c>
      <c r="IZ508" s="27" t="s">
        <v>7</v>
      </c>
    </row>
    <row r="509" spans="1:318" x14ac:dyDescent="0.25">
      <c r="A509" s="7">
        <v>4.6861199116651235</v>
      </c>
      <c r="B509"/>
      <c r="C509"/>
      <c r="D509"/>
      <c r="E509"/>
      <c r="FA509" s="27" t="s">
        <v>8</v>
      </c>
      <c r="FW509" s="27" t="s">
        <v>8</v>
      </c>
      <c r="FX509" s="27" t="s">
        <v>7</v>
      </c>
      <c r="GA509" s="27" t="s">
        <v>8</v>
      </c>
      <c r="GR509" s="27" t="s">
        <v>7</v>
      </c>
      <c r="GS509" s="27" t="s">
        <v>8</v>
      </c>
      <c r="GT509" s="27" t="s">
        <v>7</v>
      </c>
      <c r="GU509" s="27" t="s">
        <v>8</v>
      </c>
      <c r="HF509" s="27" t="s">
        <v>7</v>
      </c>
      <c r="HG509" s="27" t="s">
        <v>8</v>
      </c>
      <c r="HH509" s="27" t="s">
        <v>7</v>
      </c>
      <c r="HI509" s="27" t="s">
        <v>8</v>
      </c>
      <c r="IW509" s="27" t="s">
        <v>8</v>
      </c>
      <c r="IX509" s="27" t="s">
        <v>7</v>
      </c>
      <c r="IY509" s="27" t="s">
        <v>8</v>
      </c>
      <c r="IZ509" s="27" t="s">
        <v>7</v>
      </c>
      <c r="JG509" s="27" t="s">
        <v>8</v>
      </c>
    </row>
    <row r="510" spans="1:318" x14ac:dyDescent="0.25">
      <c r="A510" s="7">
        <v>4.5942352075148269</v>
      </c>
      <c r="B510"/>
      <c r="C510"/>
      <c r="D510"/>
      <c r="E510"/>
      <c r="FA510" s="27" t="s">
        <v>8</v>
      </c>
      <c r="FB510" s="27" t="s">
        <v>7</v>
      </c>
      <c r="FU510" s="27" t="s">
        <v>8</v>
      </c>
      <c r="FW510" s="27" t="s">
        <v>8</v>
      </c>
      <c r="FX510" s="27" t="s">
        <v>7</v>
      </c>
      <c r="GA510" s="27" t="s">
        <v>8</v>
      </c>
      <c r="GR510" s="27" t="s">
        <v>7</v>
      </c>
      <c r="GS510" s="27" t="s">
        <v>8</v>
      </c>
      <c r="GT510" s="27" t="s">
        <v>7</v>
      </c>
      <c r="GU510" s="27" t="s">
        <v>8</v>
      </c>
      <c r="HF510" s="27" t="s">
        <v>7</v>
      </c>
      <c r="HG510" s="27" t="s">
        <v>8</v>
      </c>
      <c r="HH510" s="27" t="s">
        <v>7</v>
      </c>
      <c r="HI510" s="27" t="s">
        <v>8</v>
      </c>
      <c r="HJ510" s="27" t="s">
        <v>7</v>
      </c>
      <c r="IU510" s="27" t="s">
        <v>8</v>
      </c>
      <c r="IW510" s="27" t="s">
        <v>8</v>
      </c>
      <c r="IX510" s="27" t="s">
        <v>7</v>
      </c>
      <c r="IY510" s="27" t="s">
        <v>8</v>
      </c>
      <c r="IZ510" s="27" t="s">
        <v>7</v>
      </c>
      <c r="JG510" s="27" t="s">
        <v>8</v>
      </c>
      <c r="JH510" s="27" t="s">
        <v>7</v>
      </c>
    </row>
    <row r="511" spans="1:318" x14ac:dyDescent="0.25">
      <c r="A511" s="7">
        <v>4.5041521642302227</v>
      </c>
      <c r="B511"/>
      <c r="C511"/>
      <c r="D511"/>
      <c r="E511"/>
      <c r="FA511" s="27" t="s">
        <v>8</v>
      </c>
      <c r="FB511" s="27" t="s">
        <v>7</v>
      </c>
      <c r="FU511" s="27" t="s">
        <v>8</v>
      </c>
      <c r="FV511" s="27" t="s">
        <v>7</v>
      </c>
      <c r="FW511" s="27" t="s">
        <v>8</v>
      </c>
      <c r="FX511" s="27" t="s">
        <v>7</v>
      </c>
      <c r="FY511" s="27" t="s">
        <v>8</v>
      </c>
      <c r="GA511" s="27" t="s">
        <v>8</v>
      </c>
      <c r="GR511" s="27" t="s">
        <v>7</v>
      </c>
      <c r="GS511" s="27" t="s">
        <v>8</v>
      </c>
      <c r="GT511" s="27" t="s">
        <v>7</v>
      </c>
      <c r="GU511" s="27" t="s">
        <v>8</v>
      </c>
      <c r="HF511" s="27" t="s">
        <v>7</v>
      </c>
      <c r="HG511" s="27" t="s">
        <v>8</v>
      </c>
      <c r="HH511" s="27" t="s">
        <v>7</v>
      </c>
      <c r="HI511" s="27" t="s">
        <v>8</v>
      </c>
      <c r="HJ511" s="27" t="s">
        <v>7</v>
      </c>
      <c r="IU511" s="27" t="s">
        <v>8</v>
      </c>
      <c r="IV511" s="27" t="s">
        <v>7</v>
      </c>
      <c r="IW511" s="27" t="s">
        <v>8</v>
      </c>
      <c r="IX511" s="27" t="s">
        <v>7</v>
      </c>
      <c r="IY511" s="27" t="s">
        <v>8</v>
      </c>
      <c r="IZ511" s="27" t="s">
        <v>7</v>
      </c>
      <c r="JG511" s="27" t="s">
        <v>8</v>
      </c>
      <c r="JH511" s="27" t="s">
        <v>7</v>
      </c>
      <c r="LE511" s="27" t="s">
        <v>8</v>
      </c>
    </row>
    <row r="512" spans="1:318" x14ac:dyDescent="0.25">
      <c r="A512" s="7">
        <v>4.4158354551276693</v>
      </c>
      <c r="B512"/>
      <c r="C512"/>
      <c r="D512"/>
      <c r="E512"/>
      <c r="FA512" s="27" t="s">
        <v>8</v>
      </c>
      <c r="FB512" s="27" t="s">
        <v>7</v>
      </c>
      <c r="FU512" s="27" t="s">
        <v>8</v>
      </c>
      <c r="FV512" s="27" t="s">
        <v>7</v>
      </c>
      <c r="FW512" s="27" t="s">
        <v>8</v>
      </c>
      <c r="FX512" s="27" t="s">
        <v>7</v>
      </c>
      <c r="FY512" s="27" t="s">
        <v>8</v>
      </c>
      <c r="FZ512" s="27" t="s">
        <v>7</v>
      </c>
      <c r="GA512" s="27" t="s">
        <v>8</v>
      </c>
      <c r="GR512" s="27" t="s">
        <v>7</v>
      </c>
      <c r="GS512" s="27" t="s">
        <v>8</v>
      </c>
      <c r="GT512" s="27" t="s">
        <v>7</v>
      </c>
      <c r="HF512" s="27" t="s">
        <v>7</v>
      </c>
      <c r="HG512" s="27" t="s">
        <v>8</v>
      </c>
      <c r="HH512" s="27" t="s">
        <v>7</v>
      </c>
      <c r="HI512" s="27" t="s">
        <v>8</v>
      </c>
      <c r="HJ512" s="27" t="s">
        <v>7</v>
      </c>
      <c r="IO512" s="27" t="s">
        <v>8</v>
      </c>
      <c r="IU512" s="27" t="s">
        <v>8</v>
      </c>
      <c r="IV512" s="27" t="s">
        <v>7</v>
      </c>
      <c r="IW512" s="27" t="s">
        <v>8</v>
      </c>
      <c r="IX512" s="27" t="s">
        <v>7</v>
      </c>
      <c r="IY512" s="27" t="s">
        <v>8</v>
      </c>
      <c r="IZ512" s="27" t="s">
        <v>7</v>
      </c>
      <c r="JG512" s="27" t="s">
        <v>8</v>
      </c>
      <c r="JH512" s="27" t="s">
        <v>7</v>
      </c>
      <c r="KY512" s="27" t="s">
        <v>8</v>
      </c>
      <c r="LE512" s="27" t="s">
        <v>8</v>
      </c>
      <c r="LF512" s="27" t="s">
        <v>7</v>
      </c>
    </row>
    <row r="513" spans="1:318" x14ac:dyDescent="0.25">
      <c r="A513" s="7">
        <v>4.3292504462035977</v>
      </c>
      <c r="B513"/>
      <c r="C513"/>
      <c r="D513"/>
      <c r="E513"/>
      <c r="FA513" s="27" t="s">
        <v>8</v>
      </c>
      <c r="FB513" s="27" t="s">
        <v>7</v>
      </c>
      <c r="FE513" s="27" t="s">
        <v>8</v>
      </c>
      <c r="FU513" s="27" t="s">
        <v>8</v>
      </c>
      <c r="FV513" s="27" t="s">
        <v>7</v>
      </c>
      <c r="FW513" s="27" t="s">
        <v>8</v>
      </c>
      <c r="FX513" s="27" t="s">
        <v>7</v>
      </c>
      <c r="FY513" s="27" t="s">
        <v>8</v>
      </c>
      <c r="FZ513" s="27" t="s">
        <v>7</v>
      </c>
      <c r="GA513" s="27" t="s">
        <v>8</v>
      </c>
      <c r="GR513" s="27" t="s">
        <v>7</v>
      </c>
      <c r="GS513" s="27" t="s">
        <v>8</v>
      </c>
      <c r="HF513" s="27" t="s">
        <v>7</v>
      </c>
      <c r="HG513" s="27" t="s">
        <v>8</v>
      </c>
      <c r="HH513" s="27" t="s">
        <v>7</v>
      </c>
      <c r="HI513" s="27" t="s">
        <v>8</v>
      </c>
      <c r="HJ513" s="27" t="s">
        <v>7</v>
      </c>
      <c r="IO513" s="27" t="s">
        <v>8</v>
      </c>
      <c r="IP513" s="27" t="s">
        <v>7</v>
      </c>
      <c r="IS513" s="27" t="s">
        <v>8</v>
      </c>
      <c r="IU513" s="27" t="s">
        <v>8</v>
      </c>
      <c r="IV513" s="27" t="s">
        <v>7</v>
      </c>
      <c r="IW513" s="27" t="s">
        <v>8</v>
      </c>
      <c r="IX513" s="27" t="s">
        <v>7</v>
      </c>
      <c r="IY513" s="27" t="s">
        <v>8</v>
      </c>
      <c r="IZ513" s="27" t="s">
        <v>7</v>
      </c>
      <c r="JG513" s="27" t="s">
        <v>8</v>
      </c>
      <c r="JH513" s="27" t="s">
        <v>7</v>
      </c>
      <c r="KY513" s="27" t="s">
        <v>8</v>
      </c>
      <c r="KZ513" s="27" t="s">
        <v>7</v>
      </c>
      <c r="LE513" s="27" t="s">
        <v>8</v>
      </c>
      <c r="LF513" s="27" t="s">
        <v>7</v>
      </c>
    </row>
    <row r="514" spans="1:318" x14ac:dyDescent="0.25">
      <c r="A514" s="7">
        <v>4.2443631825525463</v>
      </c>
      <c r="B514"/>
      <c r="C514"/>
      <c r="D514"/>
      <c r="E514"/>
      <c r="FA514" s="27" t="s">
        <v>8</v>
      </c>
      <c r="FB514" s="27" t="s">
        <v>7</v>
      </c>
      <c r="FE514" s="27" t="s">
        <v>8</v>
      </c>
      <c r="FF514" s="27" t="s">
        <v>7</v>
      </c>
      <c r="FG514" s="27" t="s">
        <v>8</v>
      </c>
      <c r="FU514" s="27" t="s">
        <v>8</v>
      </c>
      <c r="FV514" s="27" t="s">
        <v>7</v>
      </c>
      <c r="FW514" s="27" t="s">
        <v>8</v>
      </c>
      <c r="FX514" s="27" t="s">
        <v>7</v>
      </c>
      <c r="FY514" s="27" t="s">
        <v>8</v>
      </c>
      <c r="FZ514" s="27" t="s">
        <v>7</v>
      </c>
      <c r="GR514" s="27" t="s">
        <v>7</v>
      </c>
      <c r="GS514" s="27" t="s">
        <v>8</v>
      </c>
      <c r="HF514" s="27" t="s">
        <v>7</v>
      </c>
      <c r="HG514" s="27" t="s">
        <v>8</v>
      </c>
      <c r="HH514" s="27" t="s">
        <v>7</v>
      </c>
      <c r="HI514" s="27" t="s">
        <v>8</v>
      </c>
      <c r="HJ514" s="27" t="s">
        <v>7</v>
      </c>
      <c r="IO514" s="27" t="s">
        <v>8</v>
      </c>
      <c r="IP514" s="27" t="s">
        <v>7</v>
      </c>
      <c r="IQ514" s="27" t="s">
        <v>8</v>
      </c>
      <c r="IS514" s="27" t="s">
        <v>8</v>
      </c>
      <c r="IT514" s="27" t="s">
        <v>7</v>
      </c>
      <c r="IU514" s="27" t="s">
        <v>8</v>
      </c>
      <c r="IV514" s="27" t="s">
        <v>7</v>
      </c>
      <c r="IW514" s="27" t="s">
        <v>8</v>
      </c>
      <c r="IX514" s="27" t="s">
        <v>7</v>
      </c>
      <c r="IY514" s="27" t="s">
        <v>8</v>
      </c>
      <c r="IZ514" s="27" t="s">
        <v>7</v>
      </c>
      <c r="JA514" s="27" t="s">
        <v>8</v>
      </c>
      <c r="JE514" s="27" t="s">
        <v>8</v>
      </c>
      <c r="JG514" s="27" t="s">
        <v>8</v>
      </c>
      <c r="JH514" s="27" t="s">
        <v>7</v>
      </c>
      <c r="KY514" s="27" t="s">
        <v>8</v>
      </c>
      <c r="KZ514" s="27" t="s">
        <v>7</v>
      </c>
      <c r="LE514" s="27" t="s">
        <v>8</v>
      </c>
      <c r="LF514" s="27" t="s">
        <v>7</v>
      </c>
    </row>
    <row r="515" spans="1:318" x14ac:dyDescent="0.25">
      <c r="A515" s="7">
        <v>4.1611403750515157</v>
      </c>
      <c r="B515"/>
      <c r="C515"/>
      <c r="D515"/>
      <c r="E515"/>
      <c r="FA515" s="27" t="s">
        <v>8</v>
      </c>
      <c r="FB515" s="27" t="s">
        <v>7</v>
      </c>
      <c r="FE515" s="27" t="s">
        <v>8</v>
      </c>
      <c r="FF515" s="27" t="s">
        <v>7</v>
      </c>
      <c r="FG515" s="27" t="s">
        <v>8</v>
      </c>
      <c r="FH515" s="27" t="s">
        <v>7</v>
      </c>
      <c r="FU515" s="27" t="s">
        <v>8</v>
      </c>
      <c r="FV515" s="27" t="s">
        <v>7</v>
      </c>
      <c r="FW515" s="27" t="s">
        <v>8</v>
      </c>
      <c r="FX515" s="27" t="s">
        <v>7</v>
      </c>
      <c r="FY515" s="27" t="s">
        <v>8</v>
      </c>
      <c r="GR515" s="27" t="s">
        <v>7</v>
      </c>
      <c r="GS515" s="27" t="s">
        <v>8</v>
      </c>
      <c r="HF515" s="27" t="s">
        <v>7</v>
      </c>
      <c r="HG515" s="27" t="s">
        <v>8</v>
      </c>
      <c r="HH515" s="27" t="s">
        <v>7</v>
      </c>
      <c r="HI515" s="27" t="s">
        <v>8</v>
      </c>
      <c r="HJ515" s="27" t="s">
        <v>7</v>
      </c>
      <c r="IO515" s="27" t="s">
        <v>8</v>
      </c>
      <c r="IP515" s="27" t="s">
        <v>7</v>
      </c>
      <c r="IQ515" s="27" t="s">
        <v>8</v>
      </c>
      <c r="IR515" s="27" t="s">
        <v>7</v>
      </c>
      <c r="IS515" s="27" t="s">
        <v>8</v>
      </c>
      <c r="IT515" s="27" t="s">
        <v>7</v>
      </c>
      <c r="IU515" s="27" t="s">
        <v>8</v>
      </c>
      <c r="IV515" s="27" t="s">
        <v>7</v>
      </c>
      <c r="IX515" s="27" t="s">
        <v>7</v>
      </c>
      <c r="IY515" s="27" t="s">
        <v>8</v>
      </c>
      <c r="IZ515" s="27" t="s">
        <v>7</v>
      </c>
      <c r="JA515" s="27" t="s">
        <v>8</v>
      </c>
      <c r="JB515" s="27" t="s">
        <v>7</v>
      </c>
      <c r="JC515" s="27" t="s">
        <v>8</v>
      </c>
      <c r="JE515" s="27" t="s">
        <v>8</v>
      </c>
      <c r="JF515" s="27" t="s">
        <v>7</v>
      </c>
      <c r="JG515" s="27" t="s">
        <v>8</v>
      </c>
      <c r="JH515" s="27" t="s">
        <v>7</v>
      </c>
      <c r="KY515" s="27" t="s">
        <v>8</v>
      </c>
      <c r="KZ515" s="27" t="s">
        <v>7</v>
      </c>
      <c r="LE515" s="27" t="s">
        <v>8</v>
      </c>
      <c r="LF515" s="27" t="s">
        <v>7</v>
      </c>
    </row>
    <row r="516" spans="1:318" x14ac:dyDescent="0.25">
      <c r="A516" s="7">
        <v>4.0795493873054074</v>
      </c>
      <c r="B516"/>
      <c r="C516"/>
      <c r="D516"/>
      <c r="E516"/>
      <c r="FA516" s="27" t="s">
        <v>8</v>
      </c>
      <c r="FB516" s="27" t="s">
        <v>7</v>
      </c>
      <c r="FE516" s="27" t="s">
        <v>8</v>
      </c>
      <c r="FF516" s="27" t="s">
        <v>7</v>
      </c>
      <c r="FG516" s="27" t="s">
        <v>8</v>
      </c>
      <c r="FH516" s="27" t="s">
        <v>7</v>
      </c>
      <c r="FU516" s="27" t="s">
        <v>8</v>
      </c>
      <c r="FV516" s="27" t="s">
        <v>7</v>
      </c>
      <c r="FW516" s="27" t="s">
        <v>8</v>
      </c>
      <c r="FX516" s="27" t="s">
        <v>7</v>
      </c>
      <c r="FY516" s="27" t="s">
        <v>8</v>
      </c>
      <c r="GR516" s="27" t="s">
        <v>7</v>
      </c>
      <c r="GS516" s="27" t="s">
        <v>8</v>
      </c>
      <c r="HF516" s="27" t="s">
        <v>7</v>
      </c>
      <c r="HG516" s="27" t="s">
        <v>8</v>
      </c>
      <c r="HH516" s="27" t="s">
        <v>7</v>
      </c>
      <c r="HI516" s="27" t="s">
        <v>8</v>
      </c>
      <c r="HJ516" s="27" t="s">
        <v>7</v>
      </c>
      <c r="HM516" s="27" t="s">
        <v>8</v>
      </c>
      <c r="IO516" s="27" t="s">
        <v>8</v>
      </c>
      <c r="IP516" s="27" t="s">
        <v>7</v>
      </c>
      <c r="IQ516" s="27" t="s">
        <v>8</v>
      </c>
      <c r="IR516" s="27" t="s">
        <v>7</v>
      </c>
      <c r="IS516" s="27" t="s">
        <v>8</v>
      </c>
      <c r="IT516" s="27" t="s">
        <v>7</v>
      </c>
      <c r="IU516" s="27" t="s">
        <v>8</v>
      </c>
      <c r="IX516" s="27" t="s">
        <v>7</v>
      </c>
      <c r="IZ516" s="27" t="s">
        <v>7</v>
      </c>
      <c r="JA516" s="27" t="s">
        <v>8</v>
      </c>
      <c r="JB516" s="27" t="s">
        <v>7</v>
      </c>
      <c r="JC516" s="27" t="s">
        <v>8</v>
      </c>
      <c r="JD516" s="27" t="s">
        <v>7</v>
      </c>
      <c r="JE516" s="27" t="s">
        <v>8</v>
      </c>
      <c r="JF516" s="27" t="s">
        <v>7</v>
      </c>
      <c r="JG516" s="27" t="s">
        <v>8</v>
      </c>
      <c r="JH516" s="27" t="s">
        <v>7</v>
      </c>
      <c r="KI516" s="27" t="s">
        <v>8</v>
      </c>
      <c r="KY516" s="27" t="s">
        <v>8</v>
      </c>
      <c r="KZ516" s="27" t="s">
        <v>7</v>
      </c>
      <c r="LE516" s="27" t="s">
        <v>8</v>
      </c>
      <c r="LF516" s="27" t="s">
        <v>7</v>
      </c>
    </row>
    <row r="517" spans="1:318" x14ac:dyDescent="0.25">
      <c r="A517" s="7">
        <v>3.9995582228484383</v>
      </c>
      <c r="B517"/>
      <c r="C517"/>
      <c r="D517"/>
      <c r="E517"/>
      <c r="FA517" s="27" t="s">
        <v>8</v>
      </c>
      <c r="FB517" s="27" t="s">
        <v>7</v>
      </c>
      <c r="FE517" s="27" t="s">
        <v>8</v>
      </c>
      <c r="FF517" s="27" t="s">
        <v>7</v>
      </c>
      <c r="FG517" s="27" t="s">
        <v>8</v>
      </c>
      <c r="FH517" s="27" t="s">
        <v>7</v>
      </c>
      <c r="FS517" s="27" t="s">
        <v>8</v>
      </c>
      <c r="FU517" s="27" t="s">
        <v>8</v>
      </c>
      <c r="FV517" s="27" t="s">
        <v>7</v>
      </c>
      <c r="FW517" s="27" t="s">
        <v>8</v>
      </c>
      <c r="FX517" s="27" t="s">
        <v>7</v>
      </c>
      <c r="FY517" s="27" t="s">
        <v>8</v>
      </c>
      <c r="GR517" s="27" t="s">
        <v>7</v>
      </c>
      <c r="GS517" s="27" t="s">
        <v>8</v>
      </c>
      <c r="HF517" s="27" t="s">
        <v>7</v>
      </c>
      <c r="HG517" s="27" t="s">
        <v>8</v>
      </c>
      <c r="HH517" s="27" t="s">
        <v>7</v>
      </c>
      <c r="HI517" s="27" t="s">
        <v>8</v>
      </c>
      <c r="HJ517" s="27" t="s">
        <v>7</v>
      </c>
      <c r="HM517" s="27" t="s">
        <v>8</v>
      </c>
      <c r="HN517" s="27" t="s">
        <v>7</v>
      </c>
      <c r="IO517" s="27" t="s">
        <v>8</v>
      </c>
      <c r="IP517" s="27" t="s">
        <v>7</v>
      </c>
      <c r="IQ517" s="27" t="s">
        <v>8</v>
      </c>
      <c r="IR517" s="27" t="s">
        <v>7</v>
      </c>
      <c r="IS517" s="27" t="s">
        <v>8</v>
      </c>
      <c r="IT517" s="27" t="s">
        <v>7</v>
      </c>
      <c r="IU517" s="27" t="s">
        <v>8</v>
      </c>
      <c r="IZ517" s="27" t="s">
        <v>7</v>
      </c>
      <c r="JA517" s="27" t="s">
        <v>8</v>
      </c>
      <c r="JB517" s="27" t="s">
        <v>7</v>
      </c>
      <c r="JC517" s="27" t="s">
        <v>8</v>
      </c>
      <c r="JD517" s="27" t="s">
        <v>7</v>
      </c>
      <c r="JE517" s="27" t="s">
        <v>8</v>
      </c>
      <c r="JF517" s="27" t="s">
        <v>7</v>
      </c>
      <c r="JH517" s="27" t="s">
        <v>7</v>
      </c>
      <c r="JK517" s="27" t="s">
        <v>8</v>
      </c>
      <c r="KI517" s="27" t="s">
        <v>8</v>
      </c>
      <c r="KJ517" s="27" t="s">
        <v>7</v>
      </c>
      <c r="KY517" s="27" t="s">
        <v>8</v>
      </c>
      <c r="KZ517" s="27" t="s">
        <v>7</v>
      </c>
      <c r="LE517" s="27" t="s">
        <v>8</v>
      </c>
      <c r="LF517" s="27" t="s">
        <v>7</v>
      </c>
    </row>
    <row r="518" spans="1:318" x14ac:dyDescent="0.25">
      <c r="A518" s="7">
        <v>3.9211355125965079</v>
      </c>
      <c r="B518"/>
      <c r="C518"/>
      <c r="D518"/>
      <c r="E518"/>
      <c r="FA518" s="27" t="s">
        <v>8</v>
      </c>
      <c r="FB518" s="27" t="s">
        <v>7</v>
      </c>
      <c r="FE518" s="27" t="s">
        <v>8</v>
      </c>
      <c r="FF518" s="27" t="s">
        <v>7</v>
      </c>
      <c r="FG518" s="27" t="s">
        <v>8</v>
      </c>
      <c r="FH518" s="27" t="s">
        <v>7</v>
      </c>
      <c r="FS518" s="27" t="s">
        <v>8</v>
      </c>
      <c r="FT518" s="27" t="s">
        <v>7</v>
      </c>
      <c r="FU518" s="27" t="s">
        <v>8</v>
      </c>
      <c r="FV518" s="27" t="s">
        <v>7</v>
      </c>
      <c r="FW518" s="27" t="s">
        <v>8</v>
      </c>
      <c r="FX518" s="27" t="s">
        <v>7</v>
      </c>
      <c r="FY518" s="27" t="s">
        <v>8</v>
      </c>
      <c r="GR518" s="27" t="s">
        <v>7</v>
      </c>
      <c r="GS518" s="27" t="s">
        <v>8</v>
      </c>
      <c r="HF518" s="27" t="s">
        <v>7</v>
      </c>
      <c r="HG518" s="27" t="s">
        <v>8</v>
      </c>
      <c r="HH518" s="27" t="s">
        <v>7</v>
      </c>
      <c r="HI518" s="27" t="s">
        <v>8</v>
      </c>
      <c r="HJ518" s="27" t="s">
        <v>7</v>
      </c>
      <c r="HM518" s="27" t="s">
        <v>8</v>
      </c>
      <c r="HN518" s="27" t="s">
        <v>7</v>
      </c>
      <c r="IO518" s="27" t="s">
        <v>8</v>
      </c>
      <c r="IP518" s="27" t="s">
        <v>7</v>
      </c>
      <c r="IQ518" s="27" t="s">
        <v>8</v>
      </c>
      <c r="IR518" s="27" t="s">
        <v>7</v>
      </c>
      <c r="IS518" s="27" t="s">
        <v>8</v>
      </c>
      <c r="IT518" s="27" t="s">
        <v>7</v>
      </c>
      <c r="IU518" s="27" t="s">
        <v>8</v>
      </c>
      <c r="IZ518" s="27" t="s">
        <v>7</v>
      </c>
      <c r="JA518" s="27" t="s">
        <v>8</v>
      </c>
      <c r="JB518" s="27" t="s">
        <v>7</v>
      </c>
      <c r="JC518" s="27" t="s">
        <v>8</v>
      </c>
      <c r="JD518" s="27" t="s">
        <v>7</v>
      </c>
      <c r="JE518" s="27" t="s">
        <v>8</v>
      </c>
      <c r="JH518" s="27" t="s">
        <v>7</v>
      </c>
      <c r="JK518" s="27" t="s">
        <v>8</v>
      </c>
      <c r="JL518" s="27" t="s">
        <v>7</v>
      </c>
      <c r="KG518" s="27" t="s">
        <v>8</v>
      </c>
      <c r="KI518" s="27" t="s">
        <v>8</v>
      </c>
      <c r="KJ518" s="27" t="s">
        <v>7</v>
      </c>
      <c r="KY518" s="27" t="s">
        <v>8</v>
      </c>
      <c r="KZ518" s="27" t="s">
        <v>7</v>
      </c>
      <c r="LE518" s="27" t="s">
        <v>8</v>
      </c>
      <c r="LF518" s="27" t="s">
        <v>7</v>
      </c>
    </row>
    <row r="519" spans="1:318" x14ac:dyDescent="0.25">
      <c r="A519" s="7">
        <v>3.844250502545596</v>
      </c>
      <c r="B519"/>
      <c r="C519"/>
      <c r="D519"/>
      <c r="E519"/>
      <c r="FA519" s="27" t="s">
        <v>8</v>
      </c>
      <c r="FB519" s="27" t="s">
        <v>7</v>
      </c>
      <c r="FE519" s="27" t="s">
        <v>8</v>
      </c>
      <c r="FF519" s="27" t="s">
        <v>7</v>
      </c>
      <c r="FG519" s="27" t="s">
        <v>8</v>
      </c>
      <c r="FH519" s="27" t="s">
        <v>7</v>
      </c>
      <c r="FS519" s="27" t="s">
        <v>8</v>
      </c>
      <c r="FT519" s="27" t="s">
        <v>7</v>
      </c>
      <c r="FU519" s="27" t="s">
        <v>8</v>
      </c>
      <c r="FV519" s="27" t="s">
        <v>7</v>
      </c>
      <c r="FW519" s="27" t="s">
        <v>8</v>
      </c>
      <c r="FX519" s="27" t="s">
        <v>7</v>
      </c>
      <c r="GR519" s="27" t="s">
        <v>7</v>
      </c>
      <c r="GS519" s="27" t="s">
        <v>8</v>
      </c>
      <c r="HF519" s="27" t="s">
        <v>7</v>
      </c>
      <c r="HG519" s="27" t="s">
        <v>8</v>
      </c>
      <c r="HH519" s="27" t="s">
        <v>7</v>
      </c>
      <c r="HI519" s="27" t="s">
        <v>8</v>
      </c>
      <c r="HJ519" s="27" t="s">
        <v>7</v>
      </c>
      <c r="HM519" s="27" t="s">
        <v>8</v>
      </c>
      <c r="HN519" s="27" t="s">
        <v>7</v>
      </c>
      <c r="IO519" s="27" t="s">
        <v>8</v>
      </c>
      <c r="IP519" s="27" t="s">
        <v>7</v>
      </c>
      <c r="IQ519" s="27" t="s">
        <v>8</v>
      </c>
      <c r="IR519" s="27" t="s">
        <v>7</v>
      </c>
      <c r="IS519" s="27" t="s">
        <v>8</v>
      </c>
      <c r="IT519" s="27" t="s">
        <v>7</v>
      </c>
      <c r="IU519" s="27" t="s">
        <v>8</v>
      </c>
      <c r="IZ519" s="27" t="s">
        <v>7</v>
      </c>
      <c r="JB519" s="27" t="s">
        <v>7</v>
      </c>
      <c r="JD519" s="27" t="s">
        <v>7</v>
      </c>
      <c r="JH519" s="27" t="s">
        <v>7</v>
      </c>
      <c r="JK519" s="27" t="s">
        <v>8</v>
      </c>
      <c r="JL519" s="27" t="s">
        <v>7</v>
      </c>
      <c r="KG519" s="27" t="s">
        <v>8</v>
      </c>
      <c r="KH519" s="27" t="s">
        <v>7</v>
      </c>
      <c r="KI519" s="27" t="s">
        <v>8</v>
      </c>
      <c r="KJ519" s="27" t="s">
        <v>7</v>
      </c>
      <c r="KY519" s="27" t="s">
        <v>8</v>
      </c>
      <c r="KZ519" s="27" t="s">
        <v>7</v>
      </c>
      <c r="LA519" s="27" t="s">
        <v>8</v>
      </c>
      <c r="LE519" s="27" t="s">
        <v>8</v>
      </c>
      <c r="LF519" s="27" t="s">
        <v>7</v>
      </c>
    </row>
    <row r="520" spans="1:318" x14ac:dyDescent="0.25">
      <c r="A520" s="7">
        <v>3.7688730417113687</v>
      </c>
      <c r="B520"/>
      <c r="C520"/>
      <c r="D520"/>
      <c r="E520"/>
      <c r="FA520" s="27" t="s">
        <v>8</v>
      </c>
      <c r="FB520" s="27" t="s">
        <v>7</v>
      </c>
      <c r="FE520" s="27" t="s">
        <v>8</v>
      </c>
      <c r="FF520" s="27" t="s">
        <v>7</v>
      </c>
      <c r="FG520" s="27" t="s">
        <v>8</v>
      </c>
      <c r="FH520" s="27" t="s">
        <v>7</v>
      </c>
      <c r="FS520" s="27" t="s">
        <v>8</v>
      </c>
      <c r="FT520" s="27" t="s">
        <v>7</v>
      </c>
      <c r="FU520" s="27" t="s">
        <v>8</v>
      </c>
      <c r="FV520" s="27" t="s">
        <v>7</v>
      </c>
      <c r="FW520" s="27" t="s">
        <v>8</v>
      </c>
      <c r="GR520" s="27" t="s">
        <v>7</v>
      </c>
      <c r="GS520" s="27" t="s">
        <v>8</v>
      </c>
      <c r="HF520" s="27" t="s">
        <v>7</v>
      </c>
      <c r="HG520" s="27" t="s">
        <v>8</v>
      </c>
      <c r="HH520" s="27" t="s">
        <v>7</v>
      </c>
      <c r="HI520" s="27" t="s">
        <v>8</v>
      </c>
      <c r="HJ520" s="27" t="s">
        <v>7</v>
      </c>
      <c r="HM520" s="27" t="s">
        <v>8</v>
      </c>
      <c r="HN520" s="27" t="s">
        <v>7</v>
      </c>
      <c r="HO520" s="27" t="s">
        <v>8</v>
      </c>
      <c r="IO520" s="27" t="s">
        <v>8</v>
      </c>
      <c r="IP520" s="27" t="s">
        <v>7</v>
      </c>
      <c r="IQ520" s="27" t="s">
        <v>8</v>
      </c>
      <c r="IR520" s="27" t="s">
        <v>7</v>
      </c>
      <c r="IS520" s="27" t="s">
        <v>8</v>
      </c>
      <c r="IT520" s="27" t="s">
        <v>7</v>
      </c>
      <c r="JH520" s="27" t="s">
        <v>7</v>
      </c>
      <c r="JI520" s="27" t="s">
        <v>8</v>
      </c>
      <c r="JK520" s="27" t="s">
        <v>8</v>
      </c>
      <c r="JL520" s="27" t="s">
        <v>7</v>
      </c>
      <c r="JM520" s="27" t="s">
        <v>8</v>
      </c>
      <c r="KG520" s="27" t="s">
        <v>8</v>
      </c>
      <c r="KH520" s="27" t="s">
        <v>7</v>
      </c>
      <c r="KI520" s="27" t="s">
        <v>8</v>
      </c>
      <c r="KJ520" s="27" t="s">
        <v>7</v>
      </c>
      <c r="KO520" s="27" t="s">
        <v>8</v>
      </c>
      <c r="KU520" s="27" t="s">
        <v>8</v>
      </c>
      <c r="KY520" s="27" t="s">
        <v>8</v>
      </c>
      <c r="KZ520" s="27" t="s">
        <v>7</v>
      </c>
      <c r="LA520" s="27" t="s">
        <v>8</v>
      </c>
      <c r="LB520" s="27" t="s">
        <v>7</v>
      </c>
      <c r="LE520" s="27" t="s">
        <v>8</v>
      </c>
      <c r="LF520" s="27" t="s">
        <v>7</v>
      </c>
    </row>
    <row r="521" spans="1:318" x14ac:dyDescent="0.25">
      <c r="A521" s="7">
        <v>3.6949735703052635</v>
      </c>
      <c r="B521"/>
      <c r="C521"/>
      <c r="D521"/>
      <c r="E521"/>
      <c r="FA521" s="27" t="s">
        <v>8</v>
      </c>
      <c r="FB521" s="27" t="s">
        <v>7</v>
      </c>
      <c r="FE521" s="27" t="s">
        <v>8</v>
      </c>
      <c r="FF521" s="27" t="s">
        <v>7</v>
      </c>
      <c r="FG521" s="27" t="s">
        <v>8</v>
      </c>
      <c r="FH521" s="27" t="s">
        <v>7</v>
      </c>
      <c r="FS521" s="27" t="s">
        <v>8</v>
      </c>
      <c r="FT521" s="27" t="s">
        <v>7</v>
      </c>
      <c r="FU521" s="27" t="s">
        <v>8</v>
      </c>
      <c r="FV521" s="27" t="s">
        <v>7</v>
      </c>
      <c r="FW521" s="27" t="s">
        <v>8</v>
      </c>
      <c r="GR521" s="27" t="s">
        <v>7</v>
      </c>
      <c r="GS521" s="27" t="s">
        <v>8</v>
      </c>
      <c r="HF521" s="27" t="s">
        <v>7</v>
      </c>
      <c r="HG521" s="27" t="s">
        <v>8</v>
      </c>
      <c r="HH521" s="27" t="s">
        <v>7</v>
      </c>
      <c r="HI521" s="27" t="s">
        <v>8</v>
      </c>
      <c r="HJ521" s="27" t="s">
        <v>7</v>
      </c>
      <c r="HM521" s="27" t="s">
        <v>8</v>
      </c>
      <c r="HN521" s="27" t="s">
        <v>7</v>
      </c>
      <c r="HO521" s="27" t="s">
        <v>8</v>
      </c>
      <c r="HP521" s="27" t="s">
        <v>7</v>
      </c>
      <c r="IO521" s="27" t="s">
        <v>8</v>
      </c>
      <c r="IP521" s="27" t="s">
        <v>7</v>
      </c>
      <c r="IQ521" s="27" t="s">
        <v>8</v>
      </c>
      <c r="IR521" s="27" t="s">
        <v>7</v>
      </c>
      <c r="IS521" s="27" t="s">
        <v>8</v>
      </c>
      <c r="JH521" s="27" t="s">
        <v>7</v>
      </c>
      <c r="JI521" s="27" t="s">
        <v>8</v>
      </c>
      <c r="JJ521" s="27" t="s">
        <v>7</v>
      </c>
      <c r="JK521" s="27" t="s">
        <v>8</v>
      </c>
      <c r="JL521" s="27" t="s">
        <v>7</v>
      </c>
      <c r="JM521" s="27" t="s">
        <v>8</v>
      </c>
      <c r="JN521" s="27" t="s">
        <v>7</v>
      </c>
      <c r="JO521" s="27" t="s">
        <v>8</v>
      </c>
      <c r="JY521" s="27" t="s">
        <v>8</v>
      </c>
      <c r="KG521" s="27" t="s">
        <v>8</v>
      </c>
      <c r="KH521" s="27" t="s">
        <v>7</v>
      </c>
      <c r="KI521" s="27" t="s">
        <v>8</v>
      </c>
      <c r="KJ521" s="27" t="s">
        <v>7</v>
      </c>
      <c r="KM521" s="27" t="s">
        <v>8</v>
      </c>
      <c r="KO521" s="27" t="s">
        <v>8</v>
      </c>
      <c r="KP521" s="27" t="s">
        <v>7</v>
      </c>
      <c r="KU521" s="27" t="s">
        <v>8</v>
      </c>
      <c r="KV521" s="27" t="s">
        <v>7</v>
      </c>
      <c r="KW521" s="27" t="s">
        <v>8</v>
      </c>
      <c r="KY521" s="27" t="s">
        <v>8</v>
      </c>
      <c r="KZ521" s="27" t="s">
        <v>7</v>
      </c>
      <c r="LA521" s="27" t="s">
        <v>8</v>
      </c>
      <c r="LB521" s="27" t="s">
        <v>7</v>
      </c>
      <c r="LE521" s="27" t="s">
        <v>8</v>
      </c>
      <c r="LF521" s="27" t="s">
        <v>7</v>
      </c>
    </row>
    <row r="522" spans="1:318" x14ac:dyDescent="0.25">
      <c r="A522" s="7">
        <v>3.6225231081424152</v>
      </c>
      <c r="B522"/>
      <c r="C522"/>
      <c r="D522"/>
      <c r="E522"/>
      <c r="FA522" s="27" t="s">
        <v>8</v>
      </c>
      <c r="FB522" s="27" t="s">
        <v>7</v>
      </c>
      <c r="FE522" s="27" t="s">
        <v>8</v>
      </c>
      <c r="FF522" s="27" t="s">
        <v>7</v>
      </c>
      <c r="FG522" s="27" t="s">
        <v>8</v>
      </c>
      <c r="FH522" s="27" t="s">
        <v>7</v>
      </c>
      <c r="FK522" s="27" t="s">
        <v>8</v>
      </c>
      <c r="FQ522" s="27" t="s">
        <v>8</v>
      </c>
      <c r="FS522" s="27" t="s">
        <v>8</v>
      </c>
      <c r="FT522" s="27" t="s">
        <v>7</v>
      </c>
      <c r="FV522" s="27" t="s">
        <v>7</v>
      </c>
      <c r="GR522" s="27" t="s">
        <v>7</v>
      </c>
      <c r="GS522" s="27" t="s">
        <v>8</v>
      </c>
      <c r="HF522" s="27" t="s">
        <v>7</v>
      </c>
      <c r="HG522" s="27" t="s">
        <v>8</v>
      </c>
      <c r="HH522" s="27" t="s">
        <v>7</v>
      </c>
      <c r="HI522" s="27" t="s">
        <v>8</v>
      </c>
      <c r="HJ522" s="27" t="s">
        <v>7</v>
      </c>
      <c r="HK522" s="27" t="s">
        <v>8</v>
      </c>
      <c r="HM522" s="27" t="s">
        <v>8</v>
      </c>
      <c r="HN522" s="27" t="s">
        <v>7</v>
      </c>
      <c r="HO522" s="27" t="s">
        <v>8</v>
      </c>
      <c r="HP522" s="27" t="s">
        <v>7</v>
      </c>
      <c r="IO522" s="27" t="s">
        <v>8</v>
      </c>
      <c r="IP522" s="27" t="s">
        <v>7</v>
      </c>
      <c r="IQ522" s="27" t="s">
        <v>8</v>
      </c>
      <c r="IR522" s="27" t="s">
        <v>7</v>
      </c>
      <c r="JH522" s="27" t="s">
        <v>7</v>
      </c>
      <c r="JI522" s="27" t="s">
        <v>8</v>
      </c>
      <c r="JJ522" s="27" t="s">
        <v>7</v>
      </c>
      <c r="JK522" s="27" t="s">
        <v>8</v>
      </c>
      <c r="JL522" s="27" t="s">
        <v>7</v>
      </c>
      <c r="JM522" s="27" t="s">
        <v>8</v>
      </c>
      <c r="JN522" s="27" t="s">
        <v>7</v>
      </c>
      <c r="JO522" s="27" t="s">
        <v>8</v>
      </c>
      <c r="JP522" s="27" t="s">
        <v>7</v>
      </c>
      <c r="JY522" s="27" t="s">
        <v>8</v>
      </c>
      <c r="JZ522" s="27" t="s">
        <v>7</v>
      </c>
      <c r="KE522" s="27" t="s">
        <v>8</v>
      </c>
      <c r="KG522" s="27" t="s">
        <v>8</v>
      </c>
      <c r="KH522" s="27" t="s">
        <v>7</v>
      </c>
      <c r="KJ522" s="27" t="s">
        <v>7</v>
      </c>
      <c r="KM522" s="27" t="s">
        <v>8</v>
      </c>
      <c r="KN522" s="27" t="s">
        <v>7</v>
      </c>
      <c r="KO522" s="27" t="s">
        <v>8</v>
      </c>
      <c r="KP522" s="27" t="s">
        <v>7</v>
      </c>
      <c r="KQ522" s="27" t="s">
        <v>8</v>
      </c>
      <c r="KU522" s="27" t="s">
        <v>8</v>
      </c>
      <c r="KV522" s="27" t="s">
        <v>7</v>
      </c>
      <c r="KW522" s="27" t="s">
        <v>8</v>
      </c>
      <c r="KX522" s="27" t="s">
        <v>7</v>
      </c>
      <c r="KY522" s="27" t="s">
        <v>8</v>
      </c>
      <c r="KZ522" s="27" t="s">
        <v>7</v>
      </c>
      <c r="LA522" s="27" t="s">
        <v>8</v>
      </c>
      <c r="LB522" s="27" t="s">
        <v>7</v>
      </c>
      <c r="LC522" s="27" t="s">
        <v>8</v>
      </c>
      <c r="LE522" s="27" t="s">
        <v>8</v>
      </c>
      <c r="LF522" s="27" t="s">
        <v>7</v>
      </c>
    </row>
    <row r="523" spans="1:318" x14ac:dyDescent="0.25">
      <c r="A523" s="7">
        <v>3.5514932432768775</v>
      </c>
      <c r="B523"/>
      <c r="C523"/>
      <c r="D523"/>
      <c r="E523"/>
      <c r="FA523" s="27" t="s">
        <v>8</v>
      </c>
      <c r="FB523" s="27" t="s">
        <v>7</v>
      </c>
      <c r="FC523" s="27" t="s">
        <v>8</v>
      </c>
      <c r="FE523" s="27" t="s">
        <v>8</v>
      </c>
      <c r="FF523" s="27" t="s">
        <v>7</v>
      </c>
      <c r="FG523" s="27" t="s">
        <v>8</v>
      </c>
      <c r="FH523" s="27" t="s">
        <v>7</v>
      </c>
      <c r="FK523" s="27" t="s">
        <v>8</v>
      </c>
      <c r="FL523" s="27" t="s">
        <v>7</v>
      </c>
      <c r="FQ523" s="27" t="s">
        <v>8</v>
      </c>
      <c r="FR523" s="27" t="s">
        <v>7</v>
      </c>
      <c r="FS523" s="27" t="s">
        <v>8</v>
      </c>
      <c r="GR523" s="27" t="s">
        <v>7</v>
      </c>
      <c r="GS523" s="27" t="s">
        <v>8</v>
      </c>
      <c r="HF523" s="27" t="s">
        <v>7</v>
      </c>
      <c r="HG523" s="27" t="s">
        <v>8</v>
      </c>
      <c r="HH523" s="27" t="s">
        <v>7</v>
      </c>
      <c r="HI523" s="27" t="s">
        <v>8</v>
      </c>
      <c r="HJ523" s="27" t="s">
        <v>7</v>
      </c>
      <c r="HK523" s="27" t="s">
        <v>8</v>
      </c>
      <c r="HL523" s="27" t="s">
        <v>7</v>
      </c>
      <c r="HM523" s="27" t="s">
        <v>8</v>
      </c>
      <c r="HN523" s="27" t="s">
        <v>7</v>
      </c>
      <c r="HO523" s="27" t="s">
        <v>8</v>
      </c>
      <c r="HP523" s="27" t="s">
        <v>7</v>
      </c>
      <c r="IO523" s="27" t="s">
        <v>8</v>
      </c>
      <c r="IP523" s="27" t="s">
        <v>7</v>
      </c>
      <c r="IQ523" s="27" t="s">
        <v>8</v>
      </c>
      <c r="JH523" s="27" t="s">
        <v>7</v>
      </c>
      <c r="JI523" s="27" t="s">
        <v>8</v>
      </c>
      <c r="JJ523" s="27" t="s">
        <v>7</v>
      </c>
      <c r="JK523" s="27" t="s">
        <v>8</v>
      </c>
      <c r="JL523" s="27" t="s">
        <v>7</v>
      </c>
      <c r="JM523" s="27" t="s">
        <v>8</v>
      </c>
      <c r="JN523" s="27" t="s">
        <v>7</v>
      </c>
      <c r="JO523" s="27" t="s">
        <v>8</v>
      </c>
      <c r="JP523" s="27" t="s">
        <v>7</v>
      </c>
      <c r="JY523" s="27" t="s">
        <v>8</v>
      </c>
      <c r="JZ523" s="27" t="s">
        <v>7</v>
      </c>
      <c r="KC523" s="27" t="s">
        <v>8</v>
      </c>
      <c r="KE523" s="27" t="s">
        <v>8</v>
      </c>
      <c r="KF523" s="27" t="s">
        <v>7</v>
      </c>
      <c r="KG523" s="27" t="s">
        <v>8</v>
      </c>
      <c r="KJ523" s="27" t="s">
        <v>7</v>
      </c>
      <c r="KK523" s="27" t="s">
        <v>8</v>
      </c>
      <c r="KM523" s="27" t="s">
        <v>8</v>
      </c>
      <c r="KN523" s="27" t="s">
        <v>7</v>
      </c>
      <c r="KO523" s="27" t="s">
        <v>8</v>
      </c>
      <c r="KP523" s="27" t="s">
        <v>7</v>
      </c>
      <c r="KQ523" s="27" t="s">
        <v>8</v>
      </c>
      <c r="KR523" s="27" t="s">
        <v>7</v>
      </c>
      <c r="KU523" s="27" t="s">
        <v>8</v>
      </c>
      <c r="KV523" s="27" t="s">
        <v>7</v>
      </c>
      <c r="KW523" s="27" t="s">
        <v>8</v>
      </c>
      <c r="KX523" s="27" t="s">
        <v>7</v>
      </c>
      <c r="KY523" s="27" t="s">
        <v>8</v>
      </c>
      <c r="KZ523" s="27" t="s">
        <v>7</v>
      </c>
      <c r="LB523" s="27" t="s">
        <v>7</v>
      </c>
      <c r="LC523" s="27" t="s">
        <v>8</v>
      </c>
      <c r="LD523" s="27" t="s">
        <v>7</v>
      </c>
      <c r="LE523" s="27" t="s">
        <v>8</v>
      </c>
      <c r="LF523" s="27" t="s">
        <v>7</v>
      </c>
    </row>
    <row r="524" spans="1:318" x14ac:dyDescent="0.25">
      <c r="A524" s="7">
        <v>3.4818561208596837</v>
      </c>
      <c r="B524"/>
      <c r="C524"/>
      <c r="D524"/>
      <c r="E524"/>
      <c r="FA524" s="27" t="s">
        <v>8</v>
      </c>
      <c r="FB524" s="27" t="s">
        <v>7</v>
      </c>
      <c r="FC524" s="27" t="s">
        <v>8</v>
      </c>
      <c r="FD524" s="27" t="s">
        <v>7</v>
      </c>
      <c r="FE524" s="27" t="s">
        <v>8</v>
      </c>
      <c r="FF524" s="27" t="s">
        <v>7</v>
      </c>
      <c r="FG524" s="27" t="s">
        <v>8</v>
      </c>
      <c r="FH524" s="27" t="s">
        <v>7</v>
      </c>
      <c r="FK524" s="27" t="s">
        <v>8</v>
      </c>
      <c r="FL524" s="27" t="s">
        <v>7</v>
      </c>
      <c r="FQ524" s="27" t="s">
        <v>8</v>
      </c>
      <c r="FR524" s="27" t="s">
        <v>7</v>
      </c>
      <c r="FS524" s="27" t="s">
        <v>8</v>
      </c>
      <c r="GR524" s="27" t="s">
        <v>7</v>
      </c>
      <c r="GS524" s="27" t="s">
        <v>8</v>
      </c>
      <c r="HF524" s="27" t="s">
        <v>7</v>
      </c>
      <c r="HG524" s="27" t="s">
        <v>8</v>
      </c>
      <c r="HH524" s="27" t="s">
        <v>7</v>
      </c>
      <c r="HI524" s="27" t="s">
        <v>8</v>
      </c>
      <c r="HJ524" s="27" t="s">
        <v>7</v>
      </c>
      <c r="HK524" s="27" t="s">
        <v>8</v>
      </c>
      <c r="HL524" s="27" t="s">
        <v>7</v>
      </c>
      <c r="HM524" s="27" t="s">
        <v>8</v>
      </c>
      <c r="HN524" s="27" t="s">
        <v>7</v>
      </c>
      <c r="HO524" s="27" t="s">
        <v>8</v>
      </c>
      <c r="HP524" s="27" t="s">
        <v>7</v>
      </c>
      <c r="IO524" s="27" t="s">
        <v>8</v>
      </c>
      <c r="IP524" s="27" t="s">
        <v>7</v>
      </c>
      <c r="IQ524" s="27" t="s">
        <v>8</v>
      </c>
      <c r="JH524" s="27" t="s">
        <v>7</v>
      </c>
      <c r="JI524" s="27" t="s">
        <v>8</v>
      </c>
      <c r="JJ524" s="27" t="s">
        <v>7</v>
      </c>
      <c r="JK524" s="27" t="s">
        <v>8</v>
      </c>
      <c r="JL524" s="27" t="s">
        <v>7</v>
      </c>
      <c r="JM524" s="27" t="s">
        <v>8</v>
      </c>
      <c r="JN524" s="27" t="s">
        <v>7</v>
      </c>
      <c r="JP524" s="27" t="s">
        <v>7</v>
      </c>
      <c r="JY524" s="27" t="s">
        <v>8</v>
      </c>
      <c r="JZ524" s="27" t="s">
        <v>7</v>
      </c>
      <c r="KA524" s="27" t="s">
        <v>8</v>
      </c>
      <c r="KC524" s="27" t="s">
        <v>8</v>
      </c>
      <c r="KD524" s="27" t="s">
        <v>7</v>
      </c>
      <c r="KE524" s="27" t="s">
        <v>8</v>
      </c>
      <c r="KF524" s="27" t="s">
        <v>7</v>
      </c>
      <c r="KG524" s="27" t="s">
        <v>8</v>
      </c>
      <c r="KJ524" s="27" t="s">
        <v>7</v>
      </c>
      <c r="KK524" s="27" t="s">
        <v>8</v>
      </c>
      <c r="KL524" s="27" t="s">
        <v>7</v>
      </c>
      <c r="KM524" s="27" t="s">
        <v>8</v>
      </c>
      <c r="KN524" s="27" t="s">
        <v>7</v>
      </c>
      <c r="KO524" s="27" t="s">
        <v>8</v>
      </c>
      <c r="KP524" s="27" t="s">
        <v>7</v>
      </c>
      <c r="KQ524" s="27" t="s">
        <v>8</v>
      </c>
      <c r="KR524" s="27" t="s">
        <v>7</v>
      </c>
      <c r="KS524" s="27" t="s">
        <v>8</v>
      </c>
      <c r="KU524" s="27" t="s">
        <v>8</v>
      </c>
      <c r="KV524" s="27" t="s">
        <v>7</v>
      </c>
      <c r="KW524" s="27" t="s">
        <v>8</v>
      </c>
      <c r="KX524" s="27" t="s">
        <v>7</v>
      </c>
      <c r="KY524" s="27" t="s">
        <v>8</v>
      </c>
      <c r="LB524" s="27" t="s">
        <v>7</v>
      </c>
      <c r="LC524" s="27" t="s">
        <v>8</v>
      </c>
      <c r="LD524" s="27" t="s">
        <v>7</v>
      </c>
      <c r="LE524" s="27" t="s">
        <v>8</v>
      </c>
      <c r="LF524" s="27" t="s">
        <v>7</v>
      </c>
    </row>
    <row r="525" spans="1:318" x14ac:dyDescent="0.25">
      <c r="A525" s="7">
        <v>3.4135844322153761</v>
      </c>
      <c r="B525"/>
      <c r="C525"/>
      <c r="D525"/>
      <c r="E525"/>
      <c r="FA525" s="27" t="s">
        <v>8</v>
      </c>
      <c r="FB525" s="27" t="s">
        <v>7</v>
      </c>
      <c r="FC525" s="27" t="s">
        <v>8</v>
      </c>
      <c r="FD525" s="27" t="s">
        <v>7</v>
      </c>
      <c r="FE525" s="27" t="s">
        <v>8</v>
      </c>
      <c r="FF525" s="27" t="s">
        <v>7</v>
      </c>
      <c r="FG525" s="27" t="s">
        <v>8</v>
      </c>
      <c r="FH525" s="27" t="s">
        <v>7</v>
      </c>
      <c r="FK525" s="27" t="s">
        <v>8</v>
      </c>
      <c r="FL525" s="27" t="s">
        <v>7</v>
      </c>
      <c r="FM525" s="27" t="s">
        <v>8</v>
      </c>
      <c r="FQ525" s="27" t="s">
        <v>8</v>
      </c>
      <c r="FR525" s="27" t="s">
        <v>7</v>
      </c>
      <c r="FS525" s="27" t="s">
        <v>8</v>
      </c>
      <c r="GR525" s="27" t="s">
        <v>7</v>
      </c>
      <c r="GS525" s="27" t="s">
        <v>8</v>
      </c>
      <c r="HF525" s="27" t="s">
        <v>7</v>
      </c>
      <c r="HG525" s="27" t="s">
        <v>8</v>
      </c>
      <c r="HH525" s="27" t="s">
        <v>7</v>
      </c>
      <c r="HI525" s="27" t="s">
        <v>8</v>
      </c>
      <c r="HJ525" s="27" t="s">
        <v>7</v>
      </c>
      <c r="HK525" s="27" t="s">
        <v>8</v>
      </c>
      <c r="HL525" s="27" t="s">
        <v>7</v>
      </c>
      <c r="HM525" s="27" t="s">
        <v>8</v>
      </c>
      <c r="HN525" s="27" t="s">
        <v>7</v>
      </c>
      <c r="HO525" s="27" t="s">
        <v>8</v>
      </c>
      <c r="HP525" s="27" t="s">
        <v>7</v>
      </c>
      <c r="IO525" s="27" t="s">
        <v>8</v>
      </c>
      <c r="IP525" s="27" t="s">
        <v>7</v>
      </c>
      <c r="IQ525" s="27" t="s">
        <v>8</v>
      </c>
      <c r="JH525" s="27" t="s">
        <v>7</v>
      </c>
      <c r="JI525" s="27" t="s">
        <v>8</v>
      </c>
      <c r="JJ525" s="27" t="s">
        <v>7</v>
      </c>
      <c r="JK525" s="27" t="s">
        <v>8</v>
      </c>
      <c r="JL525" s="27" t="s">
        <v>7</v>
      </c>
      <c r="JM525" s="27" t="s">
        <v>8</v>
      </c>
      <c r="JP525" s="27" t="s">
        <v>7</v>
      </c>
      <c r="JY525" s="27" t="s">
        <v>8</v>
      </c>
      <c r="JZ525" s="27" t="s">
        <v>7</v>
      </c>
      <c r="KA525" s="27" t="s">
        <v>8</v>
      </c>
      <c r="KB525" s="27" t="s">
        <v>7</v>
      </c>
      <c r="KC525" s="27" t="s">
        <v>8</v>
      </c>
      <c r="KD525" s="27" t="s">
        <v>7</v>
      </c>
      <c r="KE525" s="27" t="s">
        <v>8</v>
      </c>
      <c r="KF525" s="27" t="s">
        <v>7</v>
      </c>
      <c r="KG525" s="27" t="s">
        <v>8</v>
      </c>
      <c r="KJ525" s="27" t="s">
        <v>7</v>
      </c>
      <c r="KK525" s="27" t="s">
        <v>8</v>
      </c>
      <c r="KL525" s="27" t="s">
        <v>7</v>
      </c>
      <c r="KM525" s="27" t="s">
        <v>8</v>
      </c>
      <c r="KN525" s="27" t="s">
        <v>7</v>
      </c>
      <c r="KP525" s="27" t="s">
        <v>7</v>
      </c>
      <c r="KQ525" s="27" t="s">
        <v>8</v>
      </c>
      <c r="KR525" s="27" t="s">
        <v>7</v>
      </c>
      <c r="KS525" s="27" t="s">
        <v>8</v>
      </c>
      <c r="KT525" s="27" t="s">
        <v>7</v>
      </c>
      <c r="KU525" s="27" t="s">
        <v>8</v>
      </c>
      <c r="KV525" s="27" t="s">
        <v>7</v>
      </c>
      <c r="KW525" s="27" t="s">
        <v>8</v>
      </c>
      <c r="KX525" s="27" t="s">
        <v>7</v>
      </c>
      <c r="KY525" s="27" t="s">
        <v>8</v>
      </c>
      <c r="LB525" s="27" t="s">
        <v>7</v>
      </c>
      <c r="LC525" s="27" t="s">
        <v>8</v>
      </c>
      <c r="LD525" s="27" t="s">
        <v>7</v>
      </c>
      <c r="LF525" s="27" t="s">
        <v>7</v>
      </c>
    </row>
    <row r="526" spans="1:318" x14ac:dyDescent="0.25">
      <c r="A526" s="7">
        <v>3.3466514041327216</v>
      </c>
      <c r="B526"/>
      <c r="C526"/>
      <c r="D526"/>
      <c r="E526"/>
      <c r="FA526" s="27" t="s">
        <v>8</v>
      </c>
      <c r="FB526" s="27" t="s">
        <v>7</v>
      </c>
      <c r="FC526" s="27" t="s">
        <v>8</v>
      </c>
      <c r="FD526" s="27" t="s">
        <v>7</v>
      </c>
      <c r="FE526" s="27" t="s">
        <v>8</v>
      </c>
      <c r="FF526" s="27" t="s">
        <v>7</v>
      </c>
      <c r="FG526" s="27" t="s">
        <v>8</v>
      </c>
      <c r="FH526" s="27" t="s">
        <v>7</v>
      </c>
      <c r="FK526" s="27" t="s">
        <v>8</v>
      </c>
      <c r="FL526" s="27" t="s">
        <v>7</v>
      </c>
      <c r="FM526" s="27" t="s">
        <v>8</v>
      </c>
      <c r="FN526" s="27" t="s">
        <v>7</v>
      </c>
      <c r="FQ526" s="27" t="s">
        <v>8</v>
      </c>
      <c r="FR526" s="27" t="s">
        <v>7</v>
      </c>
      <c r="FS526" s="27" t="s">
        <v>8</v>
      </c>
      <c r="GR526" s="27" t="s">
        <v>7</v>
      </c>
      <c r="GS526" s="27" t="s">
        <v>8</v>
      </c>
      <c r="HF526" s="27" t="s">
        <v>7</v>
      </c>
      <c r="HG526" s="27" t="s">
        <v>8</v>
      </c>
      <c r="HH526" s="27" t="s">
        <v>7</v>
      </c>
      <c r="HI526" s="27" t="s">
        <v>8</v>
      </c>
      <c r="HJ526" s="27" t="s">
        <v>7</v>
      </c>
      <c r="HK526" s="27" t="s">
        <v>8</v>
      </c>
      <c r="HL526" s="27" t="s">
        <v>7</v>
      </c>
      <c r="HM526" s="27" t="s">
        <v>8</v>
      </c>
      <c r="HN526" s="27" t="s">
        <v>7</v>
      </c>
      <c r="HO526" s="27" t="s">
        <v>8</v>
      </c>
      <c r="HP526" s="27" t="s">
        <v>7</v>
      </c>
      <c r="IO526" s="27" t="s">
        <v>8</v>
      </c>
      <c r="IP526" s="27" t="s">
        <v>7</v>
      </c>
      <c r="IQ526" s="27" t="s">
        <v>8</v>
      </c>
      <c r="JH526" s="27" t="s">
        <v>7</v>
      </c>
      <c r="JI526" s="27" t="s">
        <v>8</v>
      </c>
      <c r="JJ526" s="27" t="s">
        <v>7</v>
      </c>
      <c r="JK526" s="27" t="s">
        <v>8</v>
      </c>
      <c r="JL526" s="27" t="s">
        <v>7</v>
      </c>
      <c r="JM526" s="27" t="s">
        <v>8</v>
      </c>
      <c r="JP526" s="27" t="s">
        <v>7</v>
      </c>
      <c r="JW526" s="27" t="s">
        <v>8</v>
      </c>
      <c r="JY526" s="27" t="s">
        <v>8</v>
      </c>
      <c r="JZ526" s="27" t="s">
        <v>7</v>
      </c>
      <c r="KA526" s="27" t="s">
        <v>8</v>
      </c>
      <c r="KB526" s="27" t="s">
        <v>7</v>
      </c>
      <c r="KC526" s="27" t="s">
        <v>8</v>
      </c>
      <c r="KD526" s="27" t="s">
        <v>7</v>
      </c>
      <c r="KE526" s="27" t="s">
        <v>8</v>
      </c>
      <c r="KF526" s="27" t="s">
        <v>7</v>
      </c>
      <c r="KG526" s="27" t="s">
        <v>8</v>
      </c>
      <c r="KJ526" s="27" t="s">
        <v>7</v>
      </c>
      <c r="KK526" s="27" t="s">
        <v>8</v>
      </c>
      <c r="KL526" s="27" t="s">
        <v>7</v>
      </c>
      <c r="KP526" s="27" t="s">
        <v>7</v>
      </c>
      <c r="KR526" s="27" t="s">
        <v>7</v>
      </c>
      <c r="KS526" s="27" t="s">
        <v>8</v>
      </c>
      <c r="KT526" s="27" t="s">
        <v>7</v>
      </c>
      <c r="KU526" s="27" t="s">
        <v>8</v>
      </c>
      <c r="KV526" s="27" t="s">
        <v>7</v>
      </c>
      <c r="KX526" s="27" t="s">
        <v>7</v>
      </c>
      <c r="LB526" s="27" t="s">
        <v>7</v>
      </c>
      <c r="LF526" s="27" t="s">
        <v>7</v>
      </c>
    </row>
    <row r="527" spans="1:318" x14ac:dyDescent="0.25">
      <c r="A527" s="7">
        <v>3.2810307883654133</v>
      </c>
      <c r="B527"/>
      <c r="C527"/>
      <c r="D527"/>
      <c r="E527"/>
      <c r="FA527" s="27" t="s">
        <v>8</v>
      </c>
      <c r="FB527" s="27" t="s">
        <v>7</v>
      </c>
      <c r="FC527" s="27" t="s">
        <v>8</v>
      </c>
      <c r="FD527" s="27" t="s">
        <v>7</v>
      </c>
      <c r="FE527" s="27" t="s">
        <v>8</v>
      </c>
      <c r="FF527" s="27" t="s">
        <v>7</v>
      </c>
      <c r="FG527" s="27" t="s">
        <v>8</v>
      </c>
      <c r="FH527" s="27" t="s">
        <v>7</v>
      </c>
      <c r="FI527" s="27" t="s">
        <v>8</v>
      </c>
      <c r="FK527" s="27" t="s">
        <v>8</v>
      </c>
      <c r="FL527" s="27" t="s">
        <v>7</v>
      </c>
      <c r="FM527" s="27" t="s">
        <v>8</v>
      </c>
      <c r="FN527" s="27" t="s">
        <v>7</v>
      </c>
      <c r="FO527" s="27" t="s">
        <v>8</v>
      </c>
      <c r="FQ527" s="27" t="s">
        <v>8</v>
      </c>
      <c r="FR527" s="27" t="s">
        <v>7</v>
      </c>
      <c r="FS527" s="27" t="s">
        <v>8</v>
      </c>
      <c r="GR527" s="27" t="s">
        <v>7</v>
      </c>
      <c r="GS527" s="27" t="s">
        <v>8</v>
      </c>
      <c r="HF527" s="27" t="s">
        <v>7</v>
      </c>
      <c r="HG527" s="27" t="s">
        <v>8</v>
      </c>
      <c r="HH527" s="27" t="s">
        <v>7</v>
      </c>
      <c r="HI527" s="27" t="s">
        <v>8</v>
      </c>
      <c r="HJ527" s="27" t="s">
        <v>7</v>
      </c>
      <c r="HK527" s="27" t="s">
        <v>8</v>
      </c>
      <c r="HL527" s="27" t="s">
        <v>7</v>
      </c>
      <c r="HM527" s="27" t="s">
        <v>8</v>
      </c>
      <c r="HN527" s="27" t="s">
        <v>7</v>
      </c>
      <c r="HP527" s="27" t="s">
        <v>7</v>
      </c>
      <c r="IO527" s="27" t="s">
        <v>8</v>
      </c>
      <c r="IP527" s="27" t="s">
        <v>7</v>
      </c>
      <c r="IQ527" s="27" t="s">
        <v>8</v>
      </c>
      <c r="JH527" s="27" t="s">
        <v>7</v>
      </c>
      <c r="JI527" s="27" t="s">
        <v>8</v>
      </c>
      <c r="JJ527" s="27" t="s">
        <v>7</v>
      </c>
      <c r="JL527" s="27" t="s">
        <v>7</v>
      </c>
      <c r="JM527" s="27" t="s">
        <v>8</v>
      </c>
      <c r="JP527" s="27" t="s">
        <v>7</v>
      </c>
      <c r="JQ527" s="27" t="s">
        <v>8</v>
      </c>
      <c r="JW527" s="27" t="s">
        <v>8</v>
      </c>
      <c r="JX527" s="27" t="s">
        <v>7</v>
      </c>
      <c r="JY527" s="27" t="s">
        <v>8</v>
      </c>
      <c r="JZ527" s="27" t="s">
        <v>7</v>
      </c>
      <c r="KA527" s="27" t="s">
        <v>8</v>
      </c>
      <c r="KB527" s="27" t="s">
        <v>7</v>
      </c>
      <c r="KD527" s="27" t="s">
        <v>7</v>
      </c>
      <c r="KF527" s="27" t="s">
        <v>7</v>
      </c>
      <c r="KJ527" s="27" t="s">
        <v>7</v>
      </c>
      <c r="KR527" s="27" t="s">
        <v>7</v>
      </c>
      <c r="KS527" s="27" t="s">
        <v>8</v>
      </c>
      <c r="KT527" s="27" t="s">
        <v>7</v>
      </c>
      <c r="KU527" s="27" t="s">
        <v>8</v>
      </c>
      <c r="LF527" s="27" t="s">
        <v>7</v>
      </c>
    </row>
    <row r="528" spans="1:318" x14ac:dyDescent="0.25">
      <c r="A528" s="7">
        <v>3.2166968513386403</v>
      </c>
      <c r="B528"/>
      <c r="C528"/>
      <c r="D528"/>
      <c r="E528"/>
      <c r="FA528" s="27" t="s">
        <v>8</v>
      </c>
      <c r="FB528" s="27" t="s">
        <v>7</v>
      </c>
      <c r="FC528" s="27" t="s">
        <v>8</v>
      </c>
      <c r="FD528" s="27" t="s">
        <v>7</v>
      </c>
      <c r="FE528" s="27" t="s">
        <v>8</v>
      </c>
      <c r="FF528" s="27" t="s">
        <v>7</v>
      </c>
      <c r="FG528" s="27" t="s">
        <v>8</v>
      </c>
      <c r="FH528" s="27" t="s">
        <v>7</v>
      </c>
      <c r="FI528" s="27" t="s">
        <v>8</v>
      </c>
      <c r="FJ528" s="27" t="s">
        <v>7</v>
      </c>
      <c r="FK528" s="27" t="s">
        <v>8</v>
      </c>
      <c r="FL528" s="27" t="s">
        <v>7</v>
      </c>
      <c r="FM528" s="27" t="s">
        <v>8</v>
      </c>
      <c r="FN528" s="27" t="s">
        <v>7</v>
      </c>
      <c r="FO528" s="27" t="s">
        <v>8</v>
      </c>
      <c r="FP528" s="27" t="s">
        <v>7</v>
      </c>
      <c r="FQ528" s="27" t="s">
        <v>8</v>
      </c>
      <c r="FR528" s="27" t="s">
        <v>7</v>
      </c>
      <c r="FS528" s="27" t="s">
        <v>8</v>
      </c>
      <c r="GR528" s="27" t="s">
        <v>7</v>
      </c>
      <c r="GS528" s="27" t="s">
        <v>8</v>
      </c>
      <c r="HF528" s="27" t="s">
        <v>7</v>
      </c>
      <c r="HG528" s="27" t="s">
        <v>8</v>
      </c>
      <c r="HH528" s="27" t="s">
        <v>7</v>
      </c>
      <c r="HI528" s="27" t="s">
        <v>8</v>
      </c>
      <c r="HJ528" s="27" t="s">
        <v>7</v>
      </c>
      <c r="HK528" s="27" t="s">
        <v>8</v>
      </c>
      <c r="HL528" s="27" t="s">
        <v>7</v>
      </c>
      <c r="HM528" s="27" t="s">
        <v>8</v>
      </c>
      <c r="HP528" s="27" t="s">
        <v>7</v>
      </c>
      <c r="HQ528" s="27" t="s">
        <v>8</v>
      </c>
      <c r="IO528" s="27" t="s">
        <v>8</v>
      </c>
      <c r="IP528" s="27" t="s">
        <v>7</v>
      </c>
      <c r="IQ528" s="27" t="s">
        <v>8</v>
      </c>
      <c r="JH528" s="27" t="s">
        <v>7</v>
      </c>
      <c r="JL528" s="27" t="s">
        <v>7</v>
      </c>
      <c r="JP528" s="27" t="s">
        <v>7</v>
      </c>
      <c r="JQ528" s="27" t="s">
        <v>8</v>
      </c>
      <c r="JR528" s="27" t="s">
        <v>7</v>
      </c>
      <c r="JW528" s="27" t="s">
        <v>8</v>
      </c>
      <c r="JX528" s="27" t="s">
        <v>7</v>
      </c>
      <c r="JY528" s="27" t="s">
        <v>8</v>
      </c>
      <c r="JZ528" s="27" t="s">
        <v>7</v>
      </c>
      <c r="KA528" s="27" t="s">
        <v>8</v>
      </c>
      <c r="KR528" s="27" t="s">
        <v>7</v>
      </c>
      <c r="KS528" s="27" t="s">
        <v>8</v>
      </c>
      <c r="KT528" s="27" t="s">
        <v>7</v>
      </c>
      <c r="KU528" s="27" t="s">
        <v>8</v>
      </c>
      <c r="LF528" s="27" t="s">
        <v>7</v>
      </c>
    </row>
    <row r="529" spans="1:334" x14ac:dyDescent="0.25">
      <c r="A529" s="7">
        <v>3.1536243640574906</v>
      </c>
      <c r="B529"/>
      <c r="C529"/>
      <c r="D529"/>
      <c r="E529"/>
      <c r="FA529" s="27" t="s">
        <v>8</v>
      </c>
      <c r="FB529" s="27" t="s">
        <v>7</v>
      </c>
      <c r="FC529" s="27" t="s">
        <v>8</v>
      </c>
      <c r="FD529" s="27" t="s">
        <v>7</v>
      </c>
      <c r="FE529" s="27" t="s">
        <v>8</v>
      </c>
      <c r="FF529" s="27" t="s">
        <v>7</v>
      </c>
      <c r="FG529" s="27" t="s">
        <v>8</v>
      </c>
      <c r="FH529" s="27" t="s">
        <v>7</v>
      </c>
      <c r="FI529" s="27" t="s">
        <v>8</v>
      </c>
      <c r="FJ529" s="27" t="s">
        <v>7</v>
      </c>
      <c r="FK529" s="27" t="s">
        <v>8</v>
      </c>
      <c r="FL529" s="27" t="s">
        <v>7</v>
      </c>
      <c r="FM529" s="27" t="s">
        <v>8</v>
      </c>
      <c r="FN529" s="27" t="s">
        <v>7</v>
      </c>
      <c r="FO529" s="27" t="s">
        <v>8</v>
      </c>
      <c r="FP529" s="27" t="s">
        <v>7</v>
      </c>
      <c r="FQ529" s="27" t="s">
        <v>8</v>
      </c>
      <c r="FR529" s="27" t="s">
        <v>7</v>
      </c>
      <c r="FS529" s="27" t="s">
        <v>8</v>
      </c>
      <c r="GR529" s="27" t="s">
        <v>7</v>
      </c>
      <c r="HF529" s="27" t="s">
        <v>7</v>
      </c>
      <c r="HG529" s="27" t="s">
        <v>8</v>
      </c>
      <c r="HH529" s="27" t="s">
        <v>7</v>
      </c>
      <c r="HI529" s="27" t="s">
        <v>8</v>
      </c>
      <c r="HJ529" s="27" t="s">
        <v>7</v>
      </c>
      <c r="HK529" s="27" t="s">
        <v>8</v>
      </c>
      <c r="HL529" s="27" t="s">
        <v>7</v>
      </c>
      <c r="HM529" s="27" t="s">
        <v>8</v>
      </c>
      <c r="HP529" s="27" t="s">
        <v>7</v>
      </c>
      <c r="HQ529" s="27" t="s">
        <v>8</v>
      </c>
      <c r="HR529" s="27" t="s">
        <v>7</v>
      </c>
      <c r="HS529" s="27" t="s">
        <v>8</v>
      </c>
      <c r="IO529" s="27" t="s">
        <v>8</v>
      </c>
      <c r="IP529" s="27" t="s">
        <v>7</v>
      </c>
      <c r="IQ529" s="27" t="s">
        <v>8</v>
      </c>
      <c r="JP529" s="27" t="s">
        <v>7</v>
      </c>
      <c r="JQ529" s="27" t="s">
        <v>8</v>
      </c>
      <c r="JR529" s="27" t="s">
        <v>7</v>
      </c>
      <c r="JW529" s="27" t="s">
        <v>8</v>
      </c>
      <c r="JX529" s="27" t="s">
        <v>7</v>
      </c>
      <c r="JY529" s="27" t="s">
        <v>8</v>
      </c>
      <c r="JZ529" s="27" t="s">
        <v>7</v>
      </c>
      <c r="KA529" s="27" t="s">
        <v>8</v>
      </c>
      <c r="KR529" s="27" t="s">
        <v>7</v>
      </c>
      <c r="KS529" s="27" t="s">
        <v>8</v>
      </c>
      <c r="KT529" s="27" t="s">
        <v>7</v>
      </c>
      <c r="KU529" s="27" t="s">
        <v>8</v>
      </c>
      <c r="LF529" s="27" t="s">
        <v>7</v>
      </c>
    </row>
    <row r="530" spans="1:334" x14ac:dyDescent="0.25">
      <c r="A530" s="7">
        <v>3.0917885922132262</v>
      </c>
      <c r="B530"/>
      <c r="C530"/>
      <c r="D530"/>
      <c r="E530"/>
      <c r="FA530" s="27" t="s">
        <v>8</v>
      </c>
      <c r="FB530" s="27" t="s">
        <v>7</v>
      </c>
      <c r="FC530" s="27" t="s">
        <v>8</v>
      </c>
      <c r="FD530" s="27" t="s">
        <v>7</v>
      </c>
      <c r="FE530" s="27" t="s">
        <v>8</v>
      </c>
      <c r="FF530" s="27" t="s">
        <v>7</v>
      </c>
      <c r="FG530" s="27" t="s">
        <v>8</v>
      </c>
      <c r="FH530" s="27" t="s">
        <v>7</v>
      </c>
      <c r="FI530" s="27" t="s">
        <v>8</v>
      </c>
      <c r="FJ530" s="27" t="s">
        <v>7</v>
      </c>
      <c r="FK530" s="27" t="s">
        <v>8</v>
      </c>
      <c r="FL530" s="27" t="s">
        <v>7</v>
      </c>
      <c r="FM530" s="27" t="s">
        <v>8</v>
      </c>
      <c r="FN530" s="27" t="s">
        <v>7</v>
      </c>
      <c r="FP530" s="27" t="s">
        <v>7</v>
      </c>
      <c r="FQ530" s="27" t="s">
        <v>8</v>
      </c>
      <c r="FR530" s="27" t="s">
        <v>7</v>
      </c>
      <c r="HF530" s="27" t="s">
        <v>7</v>
      </c>
      <c r="HG530" s="27" t="s">
        <v>8</v>
      </c>
      <c r="HH530" s="27" t="s">
        <v>7</v>
      </c>
      <c r="HI530" s="27" t="s">
        <v>8</v>
      </c>
      <c r="HJ530" s="27" t="s">
        <v>7</v>
      </c>
      <c r="HK530" s="27" t="s">
        <v>8</v>
      </c>
      <c r="HL530" s="27" t="s">
        <v>7</v>
      </c>
      <c r="HP530" s="27" t="s">
        <v>7</v>
      </c>
      <c r="HQ530" s="27" t="s">
        <v>8</v>
      </c>
      <c r="HR530" s="27" t="s">
        <v>7</v>
      </c>
      <c r="HS530" s="27" t="s">
        <v>8</v>
      </c>
      <c r="HT530" s="27" t="s">
        <v>7</v>
      </c>
      <c r="IO530" s="27" t="s">
        <v>8</v>
      </c>
      <c r="IP530" s="27" t="s">
        <v>7</v>
      </c>
      <c r="JP530" s="27" t="s">
        <v>7</v>
      </c>
      <c r="JQ530" s="27" t="s">
        <v>8</v>
      </c>
      <c r="JR530" s="27" t="s">
        <v>7</v>
      </c>
      <c r="JS530" s="27" t="s">
        <v>8</v>
      </c>
      <c r="JW530" s="27" t="s">
        <v>8</v>
      </c>
      <c r="JX530" s="27" t="s">
        <v>7</v>
      </c>
      <c r="JY530" s="27" t="s">
        <v>8</v>
      </c>
      <c r="JZ530" s="27" t="s">
        <v>7</v>
      </c>
      <c r="KA530" s="27" t="s">
        <v>8</v>
      </c>
      <c r="KR530" s="27" t="s">
        <v>7</v>
      </c>
      <c r="KT530" s="27" t="s">
        <v>7</v>
      </c>
      <c r="KU530" s="27" t="s">
        <v>8</v>
      </c>
      <c r="LF530" s="27" t="s">
        <v>7</v>
      </c>
    </row>
    <row r="531" spans="1:334" x14ac:dyDescent="0.25">
      <c r="A531" s="7">
        <v>3.0311652864835552</v>
      </c>
      <c r="B531"/>
      <c r="C531"/>
      <c r="D531"/>
      <c r="E531"/>
      <c r="FA531" s="27" t="s">
        <v>8</v>
      </c>
      <c r="FB531" s="27" t="s">
        <v>7</v>
      </c>
      <c r="FC531" s="27" t="s">
        <v>8</v>
      </c>
      <c r="FD531" s="27" t="s">
        <v>7</v>
      </c>
      <c r="FE531" s="27" t="s">
        <v>8</v>
      </c>
      <c r="FF531" s="27" t="s">
        <v>7</v>
      </c>
      <c r="FG531" s="27" t="s">
        <v>8</v>
      </c>
      <c r="FH531" s="27" t="s">
        <v>7</v>
      </c>
      <c r="FI531" s="27" t="s">
        <v>8</v>
      </c>
      <c r="FJ531" s="27" t="s">
        <v>7</v>
      </c>
      <c r="FK531" s="27" t="s">
        <v>8</v>
      </c>
      <c r="FL531" s="27" t="s">
        <v>7</v>
      </c>
      <c r="FM531" s="27" t="s">
        <v>8</v>
      </c>
      <c r="FP531" s="27" t="s">
        <v>7</v>
      </c>
      <c r="HF531" s="27" t="s">
        <v>7</v>
      </c>
      <c r="HH531" s="27" t="s">
        <v>7</v>
      </c>
      <c r="HI531" s="27" t="s">
        <v>8</v>
      </c>
      <c r="HJ531" s="27" t="s">
        <v>7</v>
      </c>
      <c r="HP531" s="27" t="s">
        <v>7</v>
      </c>
      <c r="HQ531" s="27" t="s">
        <v>8</v>
      </c>
      <c r="HR531" s="27" t="s">
        <v>7</v>
      </c>
      <c r="HS531" s="27" t="s">
        <v>8</v>
      </c>
      <c r="HT531" s="27" t="s">
        <v>7</v>
      </c>
      <c r="IO531" s="27" t="s">
        <v>8</v>
      </c>
      <c r="JP531" s="27" t="s">
        <v>7</v>
      </c>
      <c r="JQ531" s="27" t="s">
        <v>8</v>
      </c>
      <c r="JR531" s="27" t="s">
        <v>7</v>
      </c>
      <c r="JS531" s="27" t="s">
        <v>8</v>
      </c>
      <c r="JT531" s="27" t="s">
        <v>7</v>
      </c>
      <c r="JW531" s="27" t="s">
        <v>8</v>
      </c>
      <c r="JX531" s="27" t="s">
        <v>7</v>
      </c>
      <c r="JY531" s="27" t="s">
        <v>8</v>
      </c>
      <c r="JZ531" s="27" t="s">
        <v>7</v>
      </c>
      <c r="KT531" s="27" t="s">
        <v>7</v>
      </c>
      <c r="LF531" s="27" t="s">
        <v>7</v>
      </c>
      <c r="LI531" s="27" t="s">
        <v>8</v>
      </c>
      <c r="LS531" s="27" t="s">
        <v>8</v>
      </c>
    </row>
    <row r="532" spans="1:334" x14ac:dyDescent="0.25">
      <c r="A532" s="7">
        <v>2.9717306730230932</v>
      </c>
      <c r="B532"/>
      <c r="C532"/>
      <c r="D532"/>
      <c r="E532"/>
      <c r="FA532" s="27" t="s">
        <v>8</v>
      </c>
      <c r="FB532" s="27" t="s">
        <v>7</v>
      </c>
      <c r="FC532" s="27" t="s">
        <v>8</v>
      </c>
      <c r="FD532" s="27" t="s">
        <v>7</v>
      </c>
      <c r="FF532" s="27" t="s">
        <v>7</v>
      </c>
      <c r="FG532" s="27" t="s">
        <v>8</v>
      </c>
      <c r="FH532" s="27" t="s">
        <v>7</v>
      </c>
      <c r="FI532" s="27" t="s">
        <v>8</v>
      </c>
      <c r="FJ532" s="27" t="s">
        <v>7</v>
      </c>
      <c r="FK532" s="27" t="s">
        <v>8</v>
      </c>
      <c r="FL532" s="27" t="s">
        <v>7</v>
      </c>
      <c r="FM532" s="27" t="s">
        <v>8</v>
      </c>
      <c r="HH532" s="27" t="s">
        <v>7</v>
      </c>
      <c r="HI532" s="27" t="s">
        <v>8</v>
      </c>
      <c r="HP532" s="27" t="s">
        <v>7</v>
      </c>
      <c r="HQ532" s="27" t="s">
        <v>8</v>
      </c>
      <c r="HR532" s="27" t="s">
        <v>7</v>
      </c>
      <c r="HS532" s="27" t="s">
        <v>8</v>
      </c>
      <c r="HT532" s="27" t="s">
        <v>7</v>
      </c>
      <c r="IC532" s="27" t="s">
        <v>8</v>
      </c>
      <c r="IO532" s="27" t="s">
        <v>8</v>
      </c>
      <c r="JP532" s="27" t="s">
        <v>7</v>
      </c>
      <c r="JQ532" s="27" t="s">
        <v>8</v>
      </c>
      <c r="JR532" s="27" t="s">
        <v>7</v>
      </c>
      <c r="JS532" s="27" t="s">
        <v>8</v>
      </c>
      <c r="JT532" s="27" t="s">
        <v>7</v>
      </c>
      <c r="JU532" s="27" t="s">
        <v>8</v>
      </c>
      <c r="JW532" s="27" t="s">
        <v>8</v>
      </c>
      <c r="JX532" s="27" t="s">
        <v>7</v>
      </c>
      <c r="LF532" s="27" t="s">
        <v>7</v>
      </c>
      <c r="LI532" s="27" t="s">
        <v>8</v>
      </c>
      <c r="LJ532" s="27" t="s">
        <v>7</v>
      </c>
      <c r="LS532" s="27" t="s">
        <v>8</v>
      </c>
      <c r="LT532" s="27" t="s">
        <v>7</v>
      </c>
    </row>
    <row r="533" spans="1:334" x14ac:dyDescent="0.25">
      <c r="A533" s="7">
        <v>2.9134614441402875</v>
      </c>
      <c r="B533"/>
      <c r="C533"/>
      <c r="D533"/>
      <c r="E533"/>
      <c r="FA533" s="27" t="s">
        <v>8</v>
      </c>
      <c r="FB533" s="27" t="s">
        <v>7</v>
      </c>
      <c r="FC533" s="27" t="s">
        <v>8</v>
      </c>
      <c r="FF533" s="27" t="s">
        <v>7</v>
      </c>
      <c r="FG533" s="27" t="s">
        <v>8</v>
      </c>
      <c r="FH533" s="27" t="s">
        <v>7</v>
      </c>
      <c r="FI533" s="27" t="s">
        <v>8</v>
      </c>
      <c r="FJ533" s="27" t="s">
        <v>7</v>
      </c>
      <c r="FK533" s="27" t="s">
        <v>8</v>
      </c>
      <c r="FL533" s="27" t="s">
        <v>7</v>
      </c>
      <c r="HH533" s="27" t="s">
        <v>7</v>
      </c>
      <c r="HI533" s="27" t="s">
        <v>8</v>
      </c>
      <c r="HP533" s="27" t="s">
        <v>7</v>
      </c>
      <c r="HQ533" s="27" t="s">
        <v>8</v>
      </c>
      <c r="HR533" s="27" t="s">
        <v>7</v>
      </c>
      <c r="HS533" s="27" t="s">
        <v>8</v>
      </c>
      <c r="HT533" s="27" t="s">
        <v>7</v>
      </c>
      <c r="IC533" s="27" t="s">
        <v>8</v>
      </c>
      <c r="ID533" s="27" t="s">
        <v>7</v>
      </c>
      <c r="IG533" s="27" t="s">
        <v>8</v>
      </c>
      <c r="IK533" s="27" t="s">
        <v>8</v>
      </c>
      <c r="IO533" s="27" t="s">
        <v>8</v>
      </c>
      <c r="JP533" s="27" t="s">
        <v>7</v>
      </c>
      <c r="JQ533" s="27" t="s">
        <v>8</v>
      </c>
      <c r="JR533" s="27" t="s">
        <v>7</v>
      </c>
      <c r="JS533" s="27" t="s">
        <v>8</v>
      </c>
      <c r="JT533" s="27" t="s">
        <v>7</v>
      </c>
      <c r="JU533" s="27" t="s">
        <v>8</v>
      </c>
      <c r="JV533" s="27" t="s">
        <v>7</v>
      </c>
      <c r="JW533" s="27" t="s">
        <v>8</v>
      </c>
      <c r="LF533" s="27" t="s">
        <v>7</v>
      </c>
      <c r="LG533" s="27" t="s">
        <v>8</v>
      </c>
      <c r="LI533" s="27" t="s">
        <v>8</v>
      </c>
      <c r="LJ533" s="27" t="s">
        <v>7</v>
      </c>
      <c r="LS533" s="27" t="s">
        <v>8</v>
      </c>
      <c r="LT533" s="27" t="s">
        <v>7</v>
      </c>
    </row>
    <row r="534" spans="1:334" x14ac:dyDescent="0.25">
      <c r="A534" s="7">
        <v>2.8563347491571447</v>
      </c>
      <c r="B534"/>
      <c r="C534"/>
      <c r="D534"/>
      <c r="E534" t="s">
        <v>8</v>
      </c>
      <c r="FA534" s="27" t="s">
        <v>8</v>
      </c>
      <c r="FB534" s="27" t="s">
        <v>7</v>
      </c>
      <c r="FC534" s="27" t="s">
        <v>8</v>
      </c>
      <c r="FF534" s="27" t="s">
        <v>7</v>
      </c>
      <c r="FG534" s="27" t="s">
        <v>8</v>
      </c>
      <c r="FH534" s="27" t="s">
        <v>7</v>
      </c>
      <c r="FI534" s="27" t="s">
        <v>8</v>
      </c>
      <c r="FJ534" s="27" t="s">
        <v>7</v>
      </c>
      <c r="FK534" s="27" t="s">
        <v>8</v>
      </c>
      <c r="HH534" s="27" t="s">
        <v>7</v>
      </c>
      <c r="HI534" s="27" t="s">
        <v>8</v>
      </c>
      <c r="HP534" s="27" t="s">
        <v>7</v>
      </c>
      <c r="HQ534" s="27" t="s">
        <v>8</v>
      </c>
      <c r="HR534" s="27" t="s">
        <v>7</v>
      </c>
      <c r="HS534" s="27" t="s">
        <v>8</v>
      </c>
      <c r="HT534" s="27" t="s">
        <v>7</v>
      </c>
      <c r="IC534" s="27" t="s">
        <v>8</v>
      </c>
      <c r="ID534" s="27" t="s">
        <v>7</v>
      </c>
      <c r="IG534" s="27" t="s">
        <v>8</v>
      </c>
      <c r="IH534" s="27" t="s">
        <v>7</v>
      </c>
      <c r="IK534" s="27" t="s">
        <v>8</v>
      </c>
      <c r="IL534" s="27" t="s">
        <v>7</v>
      </c>
      <c r="IO534" s="27" t="s">
        <v>8</v>
      </c>
      <c r="JP534" s="27" t="s">
        <v>7</v>
      </c>
      <c r="JQ534" s="27" t="s">
        <v>8</v>
      </c>
      <c r="JR534" s="27" t="s">
        <v>7</v>
      </c>
      <c r="JS534" s="27" t="s">
        <v>8</v>
      </c>
      <c r="JT534" s="27" t="s">
        <v>7</v>
      </c>
      <c r="JU534" s="27" t="s">
        <v>8</v>
      </c>
      <c r="JV534" s="27" t="s">
        <v>7</v>
      </c>
      <c r="JW534" s="27" t="s">
        <v>8</v>
      </c>
      <c r="LF534" s="27" t="s">
        <v>7</v>
      </c>
      <c r="LG534" s="27" t="s">
        <v>8</v>
      </c>
      <c r="LH534" s="27" t="s">
        <v>7</v>
      </c>
      <c r="LI534" s="27" t="s">
        <v>8</v>
      </c>
      <c r="LJ534" s="27" t="s">
        <v>7</v>
      </c>
      <c r="LS534" s="27" t="s">
        <v>8</v>
      </c>
      <c r="LT534" s="27" t="s">
        <v>7</v>
      </c>
    </row>
    <row r="535" spans="1:334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FA535" s="27" t="s">
        <v>8</v>
      </c>
      <c r="FB535" s="27" t="s">
        <v>7</v>
      </c>
      <c r="FF535" s="27" t="s">
        <v>7</v>
      </c>
      <c r="FG535" s="27" t="s">
        <v>8</v>
      </c>
      <c r="FH535" s="27" t="s">
        <v>7</v>
      </c>
      <c r="FJ535" s="27" t="s">
        <v>7</v>
      </c>
      <c r="FK535" s="27" t="s">
        <v>8</v>
      </c>
      <c r="HH535" s="27" t="s">
        <v>7</v>
      </c>
      <c r="HI535" s="27" t="s">
        <v>8</v>
      </c>
      <c r="HP535" s="27" t="s">
        <v>7</v>
      </c>
      <c r="HQ535" s="27" t="s">
        <v>8</v>
      </c>
      <c r="HR535" s="27" t="s">
        <v>7</v>
      </c>
      <c r="HS535" s="27" t="s">
        <v>8</v>
      </c>
      <c r="HT535" s="27" t="s">
        <v>7</v>
      </c>
      <c r="IC535" s="27" t="s">
        <v>8</v>
      </c>
      <c r="ID535" s="27" t="s">
        <v>7</v>
      </c>
      <c r="IE535" s="27" t="s">
        <v>8</v>
      </c>
      <c r="IG535" s="27" t="s">
        <v>8</v>
      </c>
      <c r="IH535" s="27" t="s">
        <v>7</v>
      </c>
      <c r="IK535" s="27" t="s">
        <v>8</v>
      </c>
      <c r="IL535" s="27" t="s">
        <v>7</v>
      </c>
      <c r="IO535" s="27" t="s">
        <v>8</v>
      </c>
      <c r="JP535" s="27" t="s">
        <v>7</v>
      </c>
      <c r="JQ535" s="27" t="s">
        <v>8</v>
      </c>
      <c r="JR535" s="27" t="s">
        <v>7</v>
      </c>
      <c r="JS535" s="27" t="s">
        <v>8</v>
      </c>
      <c r="JT535" s="27" t="s">
        <v>7</v>
      </c>
      <c r="JU535" s="27" t="s">
        <v>8</v>
      </c>
      <c r="JV535" s="27" t="s">
        <v>7</v>
      </c>
      <c r="JW535" s="27" t="s">
        <v>8</v>
      </c>
      <c r="LF535" s="27" t="s">
        <v>7</v>
      </c>
      <c r="LG535" s="27" t="s">
        <v>8</v>
      </c>
      <c r="LH535" s="27" t="s">
        <v>7</v>
      </c>
      <c r="LI535" s="27" t="s">
        <v>8</v>
      </c>
      <c r="LJ535" s="27" t="s">
        <v>7</v>
      </c>
      <c r="LS535" s="27" t="s">
        <v>8</v>
      </c>
      <c r="LT535" s="27" t="s">
        <v>7</v>
      </c>
    </row>
    <row r="536" spans="1:334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FA536" s="27" t="s">
        <v>8</v>
      </c>
      <c r="FF536" s="27" t="s">
        <v>7</v>
      </c>
      <c r="FG536" s="27" t="s">
        <v>8</v>
      </c>
      <c r="FJ536" s="27" t="s">
        <v>7</v>
      </c>
      <c r="FK536" s="27" t="s">
        <v>8</v>
      </c>
      <c r="HH536" s="27" t="s">
        <v>7</v>
      </c>
      <c r="HI536" s="27" t="s">
        <v>8</v>
      </c>
      <c r="HP536" s="27" t="s">
        <v>7</v>
      </c>
      <c r="HR536" s="27" t="s">
        <v>7</v>
      </c>
      <c r="HS536" s="27" t="s">
        <v>8</v>
      </c>
      <c r="HT536" s="27" t="s">
        <v>7</v>
      </c>
      <c r="IA536" s="27" t="s">
        <v>8</v>
      </c>
      <c r="IC536" s="27" t="s">
        <v>8</v>
      </c>
      <c r="ID536" s="27" t="s">
        <v>7</v>
      </c>
      <c r="IE536" s="27" t="s">
        <v>8</v>
      </c>
      <c r="IF536" s="27" t="s">
        <v>7</v>
      </c>
      <c r="IG536" s="27" t="s">
        <v>8</v>
      </c>
      <c r="IH536" s="27" t="s">
        <v>7</v>
      </c>
      <c r="IK536" s="27" t="s">
        <v>8</v>
      </c>
      <c r="IL536" s="27" t="s">
        <v>7</v>
      </c>
      <c r="IM536" s="27" t="s">
        <v>8</v>
      </c>
      <c r="IO536" s="27" t="s">
        <v>8</v>
      </c>
      <c r="JP536" s="27" t="s">
        <v>7</v>
      </c>
      <c r="JQ536" s="27" t="s">
        <v>8</v>
      </c>
      <c r="JR536" s="27" t="s">
        <v>7</v>
      </c>
      <c r="JS536" s="27" t="s">
        <v>8</v>
      </c>
      <c r="JT536" s="27" t="s">
        <v>7</v>
      </c>
      <c r="JU536" s="27" t="s">
        <v>8</v>
      </c>
      <c r="JV536" s="27" t="s">
        <v>7</v>
      </c>
      <c r="JW536" s="27" t="s">
        <v>8</v>
      </c>
      <c r="LF536" s="27" t="s">
        <v>7</v>
      </c>
      <c r="LG536" s="27" t="s">
        <v>8</v>
      </c>
      <c r="LH536" s="27" t="s">
        <v>7</v>
      </c>
      <c r="LI536" s="27" t="s">
        <v>8</v>
      </c>
      <c r="LJ536" s="27" t="s">
        <v>7</v>
      </c>
      <c r="LK536" s="27" t="s">
        <v>8</v>
      </c>
      <c r="LS536" s="27" t="s">
        <v>8</v>
      </c>
      <c r="LT536" s="27" t="s">
        <v>7</v>
      </c>
    </row>
    <row r="537" spans="1:334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FA537" s="27" t="s">
        <v>8</v>
      </c>
      <c r="FF537" s="27" t="s">
        <v>7</v>
      </c>
      <c r="FG537" s="27" t="s">
        <v>8</v>
      </c>
      <c r="FJ537" s="27" t="s">
        <v>7</v>
      </c>
      <c r="FK537" s="27" t="s">
        <v>8</v>
      </c>
      <c r="HH537" s="27" t="s">
        <v>7</v>
      </c>
      <c r="HI537" s="27" t="s">
        <v>8</v>
      </c>
      <c r="HR537" s="27" t="s">
        <v>7</v>
      </c>
      <c r="HS537" s="27" t="s">
        <v>8</v>
      </c>
      <c r="HT537" s="27" t="s">
        <v>7</v>
      </c>
      <c r="HU537" s="27" t="s">
        <v>8</v>
      </c>
      <c r="HY537" s="27" t="s">
        <v>8</v>
      </c>
      <c r="IA537" s="27" t="s">
        <v>8</v>
      </c>
      <c r="IB537" s="27" t="s">
        <v>7</v>
      </c>
      <c r="IC537" s="27" t="s">
        <v>8</v>
      </c>
      <c r="ID537" s="27" t="s">
        <v>7</v>
      </c>
      <c r="IE537" s="27" t="s">
        <v>8</v>
      </c>
      <c r="IF537" s="27" t="s">
        <v>7</v>
      </c>
      <c r="IG537" s="27" t="s">
        <v>8</v>
      </c>
      <c r="IH537" s="27" t="s">
        <v>7</v>
      </c>
      <c r="IK537" s="27" t="s">
        <v>8</v>
      </c>
      <c r="IL537" s="27" t="s">
        <v>7</v>
      </c>
      <c r="IM537" s="27" t="s">
        <v>8</v>
      </c>
      <c r="IN537" s="27" t="s">
        <v>7</v>
      </c>
      <c r="IO537" s="27" t="s">
        <v>8</v>
      </c>
      <c r="JP537" s="27" t="s">
        <v>7</v>
      </c>
      <c r="JR537" s="27" t="s">
        <v>7</v>
      </c>
      <c r="JT537" s="27" t="s">
        <v>7</v>
      </c>
      <c r="JU537" s="27" t="s">
        <v>8</v>
      </c>
      <c r="JV537" s="27" t="s">
        <v>7</v>
      </c>
      <c r="JW537" s="27" t="s">
        <v>8</v>
      </c>
      <c r="LF537" s="27" t="s">
        <v>7</v>
      </c>
      <c r="LG537" s="27" t="s">
        <v>8</v>
      </c>
      <c r="LH537" s="27" t="s">
        <v>7</v>
      </c>
      <c r="LI537" s="27" t="s">
        <v>8</v>
      </c>
      <c r="LJ537" s="27" t="s">
        <v>7</v>
      </c>
      <c r="LK537" s="27" t="s">
        <v>8</v>
      </c>
      <c r="LL537" s="27" t="s">
        <v>7</v>
      </c>
      <c r="LS537" s="27" t="s">
        <v>8</v>
      </c>
      <c r="LT537" s="27" t="s">
        <v>7</v>
      </c>
    </row>
    <row r="538" spans="1:334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EY538" s="27" t="s">
        <v>8</v>
      </c>
      <c r="FA538" s="27" t="s">
        <v>8</v>
      </c>
      <c r="FF538" s="27" t="s">
        <v>7</v>
      </c>
      <c r="FG538" s="27" t="s">
        <v>8</v>
      </c>
      <c r="FJ538" s="27" t="s">
        <v>7</v>
      </c>
      <c r="FK538" s="27" t="s">
        <v>8</v>
      </c>
      <c r="HH538" s="27" t="s">
        <v>7</v>
      </c>
      <c r="HR538" s="27" t="s">
        <v>7</v>
      </c>
      <c r="HS538" s="27" t="s">
        <v>8</v>
      </c>
      <c r="HT538" s="27" t="s">
        <v>7</v>
      </c>
      <c r="HU538" s="27" t="s">
        <v>8</v>
      </c>
      <c r="HV538" s="27" t="s">
        <v>7</v>
      </c>
      <c r="HY538" s="27" t="s">
        <v>8</v>
      </c>
      <c r="HZ538" s="27" t="s">
        <v>7</v>
      </c>
      <c r="IA538" s="27" t="s">
        <v>8</v>
      </c>
      <c r="IB538" s="27" t="s">
        <v>7</v>
      </c>
      <c r="IC538" s="27" t="s">
        <v>8</v>
      </c>
      <c r="ID538" s="27" t="s">
        <v>7</v>
      </c>
      <c r="IE538" s="27" t="s">
        <v>8</v>
      </c>
      <c r="IF538" s="27" t="s">
        <v>7</v>
      </c>
      <c r="IG538" s="27" t="s">
        <v>8</v>
      </c>
      <c r="IH538" s="27" t="s">
        <v>7</v>
      </c>
      <c r="IK538" s="27" t="s">
        <v>8</v>
      </c>
      <c r="IL538" s="27" t="s">
        <v>7</v>
      </c>
      <c r="IM538" s="27" t="s">
        <v>8</v>
      </c>
      <c r="IN538" s="27" t="s">
        <v>7</v>
      </c>
      <c r="IO538" s="27" t="s">
        <v>8</v>
      </c>
      <c r="JT538" s="27" t="s">
        <v>7</v>
      </c>
      <c r="JV538" s="27" t="s">
        <v>7</v>
      </c>
      <c r="JW538" s="27" t="s">
        <v>8</v>
      </c>
      <c r="LF538" s="27" t="s">
        <v>7</v>
      </c>
      <c r="LG538" s="27" t="s">
        <v>8</v>
      </c>
      <c r="LH538" s="27" t="s">
        <v>7</v>
      </c>
      <c r="LI538" s="27" t="s">
        <v>8</v>
      </c>
      <c r="LJ538" s="27" t="s">
        <v>7</v>
      </c>
      <c r="LK538" s="27" t="s">
        <v>8</v>
      </c>
      <c r="LL538" s="27" t="s">
        <v>7</v>
      </c>
      <c r="LS538" s="27" t="s">
        <v>8</v>
      </c>
      <c r="LT538" s="27" t="s">
        <v>7</v>
      </c>
    </row>
    <row r="539" spans="1:334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EY539" s="27" t="s">
        <v>8</v>
      </c>
      <c r="EZ539" s="27" t="s">
        <v>7</v>
      </c>
      <c r="FA539" s="27" t="s">
        <v>8</v>
      </c>
      <c r="FF539" s="27" t="s">
        <v>7</v>
      </c>
      <c r="FG539" s="27" t="s">
        <v>8</v>
      </c>
      <c r="FJ539" s="27" t="s">
        <v>7</v>
      </c>
      <c r="HR539" s="27" t="s">
        <v>7</v>
      </c>
      <c r="HT539" s="27" t="s">
        <v>7</v>
      </c>
      <c r="HU539" s="27" t="s">
        <v>8</v>
      </c>
      <c r="HV539" s="27" t="s">
        <v>7</v>
      </c>
      <c r="HY539" s="27" t="s">
        <v>8</v>
      </c>
      <c r="HZ539" s="27" t="s">
        <v>7</v>
      </c>
      <c r="IA539" s="27" t="s">
        <v>8</v>
      </c>
      <c r="IB539" s="27" t="s">
        <v>7</v>
      </c>
      <c r="IC539" s="27" t="s">
        <v>8</v>
      </c>
      <c r="ID539" s="27" t="s">
        <v>7</v>
      </c>
      <c r="IE539" s="27" t="s">
        <v>8</v>
      </c>
      <c r="IF539" s="27" t="s">
        <v>7</v>
      </c>
      <c r="IG539" s="27" t="s">
        <v>8</v>
      </c>
      <c r="IH539" s="27" t="s">
        <v>7</v>
      </c>
      <c r="II539" s="27" t="s">
        <v>8</v>
      </c>
      <c r="IK539" s="27" t="s">
        <v>8</v>
      </c>
      <c r="IL539" s="27" t="s">
        <v>7</v>
      </c>
      <c r="IM539" s="27" t="s">
        <v>8</v>
      </c>
      <c r="IN539" s="27" t="s">
        <v>7</v>
      </c>
      <c r="IO539" s="27" t="s">
        <v>8</v>
      </c>
      <c r="JV539" s="27" t="s">
        <v>7</v>
      </c>
      <c r="JW539" s="27" t="s">
        <v>8</v>
      </c>
      <c r="LF539" s="27" t="s">
        <v>7</v>
      </c>
      <c r="LG539" s="27" t="s">
        <v>8</v>
      </c>
      <c r="LH539" s="27" t="s">
        <v>7</v>
      </c>
      <c r="LI539" s="27" t="s">
        <v>8</v>
      </c>
      <c r="LJ539" s="27" t="s">
        <v>7</v>
      </c>
      <c r="LK539" s="27" t="s">
        <v>8</v>
      </c>
      <c r="LL539" s="27" t="s">
        <v>7</v>
      </c>
      <c r="LS539" s="27" t="s">
        <v>8</v>
      </c>
      <c r="LT539" s="27" t="s">
        <v>7</v>
      </c>
    </row>
    <row r="540" spans="1:334" x14ac:dyDescent="0.25">
      <c r="A540" s="7">
        <v>2.53634351519552</v>
      </c>
      <c r="B540"/>
      <c r="C540"/>
      <c r="D540"/>
      <c r="E540" t="s">
        <v>8</v>
      </c>
      <c r="F540" s="27" t="s">
        <v>7</v>
      </c>
      <c r="EY540" s="27" t="s">
        <v>8</v>
      </c>
      <c r="EZ540" s="27" t="s">
        <v>7</v>
      </c>
      <c r="FA540" s="27" t="s">
        <v>8</v>
      </c>
      <c r="FF540" s="27" t="s">
        <v>7</v>
      </c>
      <c r="FG540" s="27" t="s">
        <v>8</v>
      </c>
      <c r="HT540" s="27" t="s">
        <v>7</v>
      </c>
      <c r="HV540" s="27" t="s">
        <v>7</v>
      </c>
      <c r="HY540" s="27" t="s">
        <v>8</v>
      </c>
      <c r="HZ540" s="27" t="s">
        <v>7</v>
      </c>
      <c r="IA540" s="27" t="s">
        <v>8</v>
      </c>
      <c r="IB540" s="27" t="s">
        <v>7</v>
      </c>
      <c r="IC540" s="27" t="s">
        <v>8</v>
      </c>
      <c r="ID540" s="27" t="s">
        <v>7</v>
      </c>
      <c r="IF540" s="27" t="s">
        <v>7</v>
      </c>
      <c r="IG540" s="27" t="s">
        <v>8</v>
      </c>
      <c r="IH540" s="27" t="s">
        <v>7</v>
      </c>
      <c r="II540" s="27" t="s">
        <v>8</v>
      </c>
      <c r="IJ540" s="27" t="s">
        <v>7</v>
      </c>
      <c r="IK540" s="27" t="s">
        <v>8</v>
      </c>
      <c r="IL540" s="27" t="s">
        <v>7</v>
      </c>
      <c r="IM540" s="27" t="s">
        <v>8</v>
      </c>
      <c r="IN540" s="27" t="s">
        <v>7</v>
      </c>
      <c r="IO540" s="27" t="s">
        <v>8</v>
      </c>
      <c r="JV540" s="27" t="s">
        <v>7</v>
      </c>
      <c r="LF540" s="27" t="s">
        <v>7</v>
      </c>
      <c r="LG540" s="27" t="s">
        <v>8</v>
      </c>
      <c r="LH540" s="27" t="s">
        <v>7</v>
      </c>
      <c r="LI540" s="27" t="s">
        <v>8</v>
      </c>
      <c r="LJ540" s="27" t="s">
        <v>7</v>
      </c>
      <c r="LK540" s="27" t="s">
        <v>8</v>
      </c>
      <c r="LL540" s="27" t="s">
        <v>7</v>
      </c>
      <c r="LS540" s="27" t="s">
        <v>8</v>
      </c>
      <c r="LT540" s="27" t="s">
        <v>7</v>
      </c>
      <c r="LU540" s="27" t="s">
        <v>8</v>
      </c>
    </row>
    <row r="541" spans="1:334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EY541" s="27" t="s">
        <v>8</v>
      </c>
      <c r="EZ541" s="27" t="s">
        <v>7</v>
      </c>
      <c r="FA541" s="27" t="s">
        <v>8</v>
      </c>
      <c r="FF541" s="27" t="s">
        <v>7</v>
      </c>
      <c r="FG541" s="27" t="s">
        <v>8</v>
      </c>
      <c r="HV541" s="27" t="s">
        <v>7</v>
      </c>
      <c r="HY541" s="27" t="s">
        <v>8</v>
      </c>
      <c r="HZ541" s="27" t="s">
        <v>7</v>
      </c>
      <c r="IA541" s="27" t="s">
        <v>8</v>
      </c>
      <c r="IB541" s="27" t="s">
        <v>7</v>
      </c>
      <c r="IC541" s="27" t="s">
        <v>8</v>
      </c>
      <c r="IF541" s="27" t="s">
        <v>7</v>
      </c>
      <c r="IG541" s="27" t="s">
        <v>8</v>
      </c>
      <c r="IH541" s="27" t="s">
        <v>7</v>
      </c>
      <c r="II541" s="27" t="s">
        <v>8</v>
      </c>
      <c r="IJ541" s="27" t="s">
        <v>7</v>
      </c>
      <c r="IK541" s="27" t="s">
        <v>8</v>
      </c>
      <c r="IL541" s="27" t="s">
        <v>7</v>
      </c>
      <c r="IM541" s="27" t="s">
        <v>8</v>
      </c>
      <c r="IN541" s="27" t="s">
        <v>7</v>
      </c>
      <c r="LF541" s="27" t="s">
        <v>7</v>
      </c>
      <c r="LG541" s="27" t="s">
        <v>8</v>
      </c>
      <c r="LH541" s="27" t="s">
        <v>7</v>
      </c>
      <c r="LI541" s="27" t="s">
        <v>8</v>
      </c>
      <c r="LJ541" s="27" t="s">
        <v>7</v>
      </c>
      <c r="LK541" s="27" t="s">
        <v>8</v>
      </c>
      <c r="LL541" s="27" t="s">
        <v>7</v>
      </c>
      <c r="LO541" s="27" t="s">
        <v>8</v>
      </c>
      <c r="LS541" s="27" t="s">
        <v>8</v>
      </c>
      <c r="LT541" s="27" t="s">
        <v>7</v>
      </c>
      <c r="LU541" s="27" t="s">
        <v>8</v>
      </c>
      <c r="LV541" s="27" t="s">
        <v>7</v>
      </c>
    </row>
    <row r="542" spans="1:334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EY542" s="27" t="s">
        <v>8</v>
      </c>
      <c r="EZ542" s="27" t="s">
        <v>7</v>
      </c>
      <c r="FA542" s="27" t="s">
        <v>8</v>
      </c>
      <c r="FF542" s="27" t="s">
        <v>7</v>
      </c>
      <c r="FG542" s="27" t="s">
        <v>8</v>
      </c>
      <c r="HV542" s="27" t="s">
        <v>7</v>
      </c>
      <c r="HY542" s="27" t="s">
        <v>8</v>
      </c>
      <c r="HZ542" s="27" t="s">
        <v>7</v>
      </c>
      <c r="IA542" s="27" t="s">
        <v>8</v>
      </c>
      <c r="IB542" s="27" t="s">
        <v>7</v>
      </c>
      <c r="IC542" s="27" t="s">
        <v>8</v>
      </c>
      <c r="IF542" s="27" t="s">
        <v>7</v>
      </c>
      <c r="IG542" s="27" t="s">
        <v>8</v>
      </c>
      <c r="IH542" s="27" t="s">
        <v>7</v>
      </c>
      <c r="II542" s="27" t="s">
        <v>8</v>
      </c>
      <c r="IJ542" s="27" t="s">
        <v>7</v>
      </c>
      <c r="IK542" s="27" t="s">
        <v>8</v>
      </c>
      <c r="IL542" s="27" t="s">
        <v>7</v>
      </c>
      <c r="IM542" s="27" t="s">
        <v>8</v>
      </c>
      <c r="LF542" s="27" t="s">
        <v>7</v>
      </c>
      <c r="LH542" s="27" t="s">
        <v>7</v>
      </c>
      <c r="LI542" s="27" t="s">
        <v>8</v>
      </c>
      <c r="LJ542" s="27" t="s">
        <v>7</v>
      </c>
      <c r="LK542" s="27" t="s">
        <v>8</v>
      </c>
      <c r="LL542" s="27" t="s">
        <v>7</v>
      </c>
      <c r="LM542" s="27" t="s">
        <v>8</v>
      </c>
      <c r="LO542" s="27" t="s">
        <v>8</v>
      </c>
      <c r="LP542" s="27" t="s">
        <v>7</v>
      </c>
      <c r="LS542" s="27" t="s">
        <v>8</v>
      </c>
      <c r="LT542" s="27" t="s">
        <v>7</v>
      </c>
      <c r="LU542" s="27" t="s">
        <v>8</v>
      </c>
      <c r="LV542" s="27" t="s">
        <v>7</v>
      </c>
    </row>
    <row r="543" spans="1:334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EY543" s="27" t="s">
        <v>8</v>
      </c>
      <c r="EZ543" s="27" t="s">
        <v>7</v>
      </c>
      <c r="FA543" s="27" t="s">
        <v>8</v>
      </c>
      <c r="FF543" s="27" t="s">
        <v>7</v>
      </c>
      <c r="FG543" s="27" t="s">
        <v>8</v>
      </c>
      <c r="HV543" s="27" t="s">
        <v>7</v>
      </c>
      <c r="HY543" s="27" t="s">
        <v>8</v>
      </c>
      <c r="HZ543" s="27" t="s">
        <v>7</v>
      </c>
      <c r="IA543" s="27" t="s">
        <v>8</v>
      </c>
      <c r="IB543" s="27" t="s">
        <v>7</v>
      </c>
      <c r="IF543" s="27" t="s">
        <v>7</v>
      </c>
      <c r="IG543" s="27" t="s">
        <v>8</v>
      </c>
      <c r="IH543" s="27" t="s">
        <v>7</v>
      </c>
      <c r="II543" s="27" t="s">
        <v>8</v>
      </c>
      <c r="IJ543" s="27" t="s">
        <v>7</v>
      </c>
      <c r="IK543" s="27" t="s">
        <v>8</v>
      </c>
      <c r="IL543" s="27" t="s">
        <v>7</v>
      </c>
      <c r="IM543" s="27" t="s">
        <v>8</v>
      </c>
      <c r="LH543" s="27" t="s">
        <v>7</v>
      </c>
      <c r="LJ543" s="27" t="s">
        <v>7</v>
      </c>
      <c r="LK543" s="27" t="s">
        <v>8</v>
      </c>
      <c r="LL543" s="27" t="s">
        <v>7</v>
      </c>
      <c r="LM543" s="27" t="s">
        <v>8</v>
      </c>
      <c r="LN543" s="27" t="s">
        <v>7</v>
      </c>
      <c r="LO543" s="27" t="s">
        <v>8</v>
      </c>
      <c r="LP543" s="27" t="s">
        <v>7</v>
      </c>
      <c r="LS543" s="27" t="s">
        <v>8</v>
      </c>
      <c r="LT543" s="27" t="s">
        <v>7</v>
      </c>
      <c r="LU543" s="27" t="s">
        <v>8</v>
      </c>
      <c r="LV543" s="27" t="s">
        <v>7</v>
      </c>
    </row>
    <row r="544" spans="1:334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EY544" s="27" t="s">
        <v>8</v>
      </c>
      <c r="EZ544" s="27" t="s">
        <v>7</v>
      </c>
      <c r="FA544" s="27" t="s">
        <v>8</v>
      </c>
      <c r="FF544" s="27" t="s">
        <v>7</v>
      </c>
      <c r="FG544" s="27" t="s">
        <v>8</v>
      </c>
      <c r="HV544" s="27" t="s">
        <v>7</v>
      </c>
      <c r="HY544" s="27" t="s">
        <v>8</v>
      </c>
      <c r="HZ544" s="27" t="s">
        <v>7</v>
      </c>
      <c r="IF544" s="27" t="s">
        <v>7</v>
      </c>
      <c r="IH544" s="27" t="s">
        <v>7</v>
      </c>
      <c r="IJ544" s="27" t="s">
        <v>7</v>
      </c>
      <c r="IK544" s="27" t="s">
        <v>8</v>
      </c>
      <c r="IL544" s="27" t="s">
        <v>7</v>
      </c>
      <c r="IM544" s="27" t="s">
        <v>8</v>
      </c>
      <c r="LJ544" s="27" t="s">
        <v>7</v>
      </c>
      <c r="LL544" s="27" t="s">
        <v>7</v>
      </c>
      <c r="LM544" s="27" t="s">
        <v>8</v>
      </c>
      <c r="LN544" s="27" t="s">
        <v>7</v>
      </c>
      <c r="LO544" s="27" t="s">
        <v>8</v>
      </c>
      <c r="LP544" s="27" t="s">
        <v>7</v>
      </c>
      <c r="LQ544" s="27" t="s">
        <v>8</v>
      </c>
      <c r="LS544" s="27" t="s">
        <v>8</v>
      </c>
      <c r="LT544" s="27" t="s">
        <v>7</v>
      </c>
      <c r="LU544" s="27" t="s">
        <v>8</v>
      </c>
      <c r="LV544" s="27" t="s">
        <v>7</v>
      </c>
    </row>
    <row r="545" spans="1:341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EY545" s="27" t="s">
        <v>8</v>
      </c>
      <c r="EZ545" s="27" t="s">
        <v>7</v>
      </c>
      <c r="FA545" s="27" t="s">
        <v>8</v>
      </c>
      <c r="FF545" s="27" t="s">
        <v>7</v>
      </c>
      <c r="FG545" s="27" t="s">
        <v>8</v>
      </c>
      <c r="HV545" s="27" t="s">
        <v>7</v>
      </c>
      <c r="HY545" s="27" t="s">
        <v>8</v>
      </c>
      <c r="IJ545" s="27" t="s">
        <v>7</v>
      </c>
      <c r="IK545" s="27" t="s">
        <v>8</v>
      </c>
      <c r="IL545" s="18" t="s">
        <v>7</v>
      </c>
      <c r="IM545" s="27" t="s">
        <v>8</v>
      </c>
      <c r="LL545" s="27" t="s">
        <v>7</v>
      </c>
      <c r="LM545" s="27" t="s">
        <v>8</v>
      </c>
      <c r="LN545" s="27" t="s">
        <v>7</v>
      </c>
      <c r="LO545" s="27" t="s">
        <v>8</v>
      </c>
      <c r="LP545" s="27" t="s">
        <v>7</v>
      </c>
      <c r="LQ545" s="27" t="s">
        <v>8</v>
      </c>
      <c r="LR545" s="27" t="s">
        <v>7</v>
      </c>
      <c r="LS545" s="27" t="s">
        <v>8</v>
      </c>
      <c r="LT545" s="27" t="s">
        <v>7</v>
      </c>
      <c r="LV545" s="27" t="s">
        <v>7</v>
      </c>
    </row>
    <row r="546" spans="1:341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EY546" s="27" t="s">
        <v>8</v>
      </c>
      <c r="EZ546" s="27" t="s">
        <v>7</v>
      </c>
      <c r="FF546" s="27" t="s">
        <v>7</v>
      </c>
      <c r="FG546" s="27" t="s">
        <v>8</v>
      </c>
      <c r="HV546" s="27" t="s">
        <v>7</v>
      </c>
      <c r="HY546" s="27" t="s">
        <v>8</v>
      </c>
      <c r="IJ546" s="27" t="s">
        <v>7</v>
      </c>
      <c r="IK546" s="27" t="s">
        <v>8</v>
      </c>
      <c r="IL546" s="27" t="s">
        <v>7</v>
      </c>
      <c r="IM546" s="27" t="s">
        <v>8</v>
      </c>
      <c r="LL546" s="27" t="s">
        <v>7</v>
      </c>
      <c r="LM546" s="27" t="s">
        <v>8</v>
      </c>
      <c r="LN546" s="27" t="s">
        <v>7</v>
      </c>
      <c r="LP546" s="27" t="s">
        <v>7</v>
      </c>
      <c r="LQ546" s="27" t="s">
        <v>8</v>
      </c>
      <c r="LR546" s="27" t="s">
        <v>7</v>
      </c>
      <c r="LS546" s="27" t="s">
        <v>8</v>
      </c>
      <c r="LV546" s="27" t="s">
        <v>7</v>
      </c>
      <c r="LY546" s="27" t="s">
        <v>8</v>
      </c>
    </row>
    <row r="547" spans="1:341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EY547" s="27" t="s">
        <v>8</v>
      </c>
      <c r="FF547" s="27" t="s">
        <v>7</v>
      </c>
      <c r="FG547" s="27" t="s">
        <v>8</v>
      </c>
      <c r="HV547" s="27" t="s">
        <v>7</v>
      </c>
      <c r="HY547" s="27" t="s">
        <v>8</v>
      </c>
      <c r="IJ547" s="27" t="s">
        <v>7</v>
      </c>
      <c r="IL547" s="27" t="s">
        <v>7</v>
      </c>
      <c r="IM547" s="27" t="s">
        <v>8</v>
      </c>
      <c r="LL547" s="27" t="s">
        <v>7</v>
      </c>
      <c r="LM547" s="27" t="s">
        <v>8</v>
      </c>
      <c r="LP547" s="27" t="s">
        <v>7</v>
      </c>
      <c r="LR547" s="27" t="s">
        <v>7</v>
      </c>
      <c r="LS547" s="27" t="s">
        <v>8</v>
      </c>
      <c r="LV547" s="27" t="s">
        <v>7</v>
      </c>
      <c r="LY547" s="27" t="s">
        <v>8</v>
      </c>
      <c r="LZ547" s="27" t="s">
        <v>7</v>
      </c>
    </row>
    <row r="548" spans="1:341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EY548" s="27" t="s">
        <v>8</v>
      </c>
      <c r="FF548" s="27" t="s">
        <v>7</v>
      </c>
      <c r="HV548" s="27" t="s">
        <v>7</v>
      </c>
      <c r="HY548" s="27" t="s">
        <v>8</v>
      </c>
      <c r="IL548" s="27" t="s">
        <v>7</v>
      </c>
      <c r="IM548" s="27" t="s">
        <v>8</v>
      </c>
      <c r="LL548" s="27" t="s">
        <v>7</v>
      </c>
      <c r="LR548" s="27" t="s">
        <v>7</v>
      </c>
      <c r="LV548" s="27" t="s">
        <v>7</v>
      </c>
      <c r="LW548" s="27" t="s">
        <v>8</v>
      </c>
      <c r="LY548" s="27" t="s">
        <v>8</v>
      </c>
      <c r="LZ548" s="27" t="s">
        <v>7</v>
      </c>
    </row>
    <row r="549" spans="1:341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CC549" s="27" t="s">
        <v>8</v>
      </c>
      <c r="EY549" s="27" t="s">
        <v>8</v>
      </c>
      <c r="HV549" s="27" t="s">
        <v>7</v>
      </c>
      <c r="HW549" s="27" t="s">
        <v>8</v>
      </c>
      <c r="HY549" s="27" t="s">
        <v>8</v>
      </c>
      <c r="IL549" s="27" t="s">
        <v>7</v>
      </c>
      <c r="IM549" s="27" t="s">
        <v>8</v>
      </c>
      <c r="LV549" s="27" t="s">
        <v>7</v>
      </c>
      <c r="LW549" s="27" t="s">
        <v>8</v>
      </c>
      <c r="LX549" s="27" t="s">
        <v>7</v>
      </c>
      <c r="LY549" s="27" t="s">
        <v>8</v>
      </c>
      <c r="LZ549" s="27" t="s">
        <v>7</v>
      </c>
    </row>
    <row r="550" spans="1:341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CC550" s="27" t="s">
        <v>8</v>
      </c>
      <c r="CD550" s="27" t="s">
        <v>7</v>
      </c>
      <c r="EY550" s="27" t="s">
        <v>8</v>
      </c>
      <c r="HV550" s="27" t="s">
        <v>7</v>
      </c>
      <c r="HW550" s="27" t="s">
        <v>8</v>
      </c>
      <c r="HX550" s="27" t="s">
        <v>7</v>
      </c>
      <c r="HY550" s="27" t="s">
        <v>8</v>
      </c>
      <c r="IL550" s="27" t="s">
        <v>7</v>
      </c>
      <c r="IM550" s="27" t="s">
        <v>8</v>
      </c>
      <c r="LV550" s="27" t="s">
        <v>7</v>
      </c>
      <c r="LW550" s="27" t="s">
        <v>8</v>
      </c>
      <c r="LX550" s="27" t="s">
        <v>7</v>
      </c>
      <c r="LY550" s="27" t="s">
        <v>8</v>
      </c>
      <c r="LZ550" s="27" t="s">
        <v>7</v>
      </c>
    </row>
    <row r="551" spans="1:341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CC551" s="27" t="s">
        <v>8</v>
      </c>
      <c r="CD551" s="27" t="s">
        <v>7</v>
      </c>
      <c r="EY551" s="27" t="s">
        <v>8</v>
      </c>
      <c r="HV551" s="27" t="s">
        <v>7</v>
      </c>
      <c r="HW551" s="27" t="s">
        <v>8</v>
      </c>
      <c r="HX551" s="27" t="s">
        <v>7</v>
      </c>
      <c r="HY551" s="27" t="s">
        <v>8</v>
      </c>
      <c r="IL551" s="27" t="s">
        <v>7</v>
      </c>
      <c r="LV551" s="27" t="s">
        <v>7</v>
      </c>
      <c r="LW551" s="27" t="s">
        <v>8</v>
      </c>
      <c r="LX551" s="27" t="s">
        <v>7</v>
      </c>
      <c r="LY551" s="27" t="s">
        <v>8</v>
      </c>
      <c r="LZ551" s="27" t="s">
        <v>7</v>
      </c>
    </row>
    <row r="552" spans="1:341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H552" s="27" t="s">
        <v>7</v>
      </c>
      <c r="I552" s="27" t="s">
        <v>8</v>
      </c>
      <c r="CC552" s="27" t="s">
        <v>8</v>
      </c>
      <c r="CD552" s="27" t="s">
        <v>7</v>
      </c>
      <c r="EY552" s="27" t="s">
        <v>8</v>
      </c>
      <c r="HV552" s="27" t="s">
        <v>7</v>
      </c>
      <c r="HW552" s="27" t="s">
        <v>8</v>
      </c>
      <c r="HX552" s="27" t="s">
        <v>7</v>
      </c>
      <c r="HY552" s="27" t="s">
        <v>8</v>
      </c>
      <c r="LV552" s="27" t="s">
        <v>7</v>
      </c>
      <c r="LW552" s="27" t="s">
        <v>8</v>
      </c>
      <c r="LX552" s="27" t="s">
        <v>7</v>
      </c>
      <c r="LY552" s="27" t="s">
        <v>8</v>
      </c>
      <c r="LZ552" s="27" t="s">
        <v>7</v>
      </c>
    </row>
    <row r="553" spans="1:341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H553" s="27" t="s">
        <v>7</v>
      </c>
      <c r="I553" s="27" t="s">
        <v>8</v>
      </c>
      <c r="J553" s="27" t="s">
        <v>7</v>
      </c>
      <c r="CC553" s="27" t="s">
        <v>8</v>
      </c>
      <c r="CD553" s="27" t="s">
        <v>7</v>
      </c>
      <c r="CE553" s="27" t="s">
        <v>8</v>
      </c>
      <c r="CK553" s="27" t="s">
        <v>8</v>
      </c>
      <c r="EY553" s="27" t="s">
        <v>8</v>
      </c>
      <c r="HV553" s="27" t="s">
        <v>7</v>
      </c>
      <c r="HW553" s="27" t="s">
        <v>8</v>
      </c>
      <c r="HX553" s="27" t="s">
        <v>7</v>
      </c>
      <c r="HY553" s="27" t="s">
        <v>8</v>
      </c>
      <c r="LV553" s="27" t="s">
        <v>7</v>
      </c>
      <c r="LX553" s="27" t="s">
        <v>7</v>
      </c>
      <c r="LY553" s="27" t="s">
        <v>8</v>
      </c>
      <c r="LZ553" s="27" t="s">
        <v>7</v>
      </c>
    </row>
    <row r="554" spans="1:341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I554" s="27" t="s">
        <v>8</v>
      </c>
      <c r="J554" s="27" t="s">
        <v>7</v>
      </c>
      <c r="CC554" s="27" t="s">
        <v>8</v>
      </c>
      <c r="CD554" s="27" t="s">
        <v>7</v>
      </c>
      <c r="CE554" s="27" t="s">
        <v>8</v>
      </c>
      <c r="CF554" s="27" t="s">
        <v>7</v>
      </c>
      <c r="CK554" s="27" t="s">
        <v>8</v>
      </c>
      <c r="CL554" s="27" t="s">
        <v>7</v>
      </c>
      <c r="EY554" s="27" t="s">
        <v>8</v>
      </c>
      <c r="HV554" s="27" t="s">
        <v>7</v>
      </c>
      <c r="HW554" s="27" t="s">
        <v>8</v>
      </c>
      <c r="HX554" s="27" t="s">
        <v>7</v>
      </c>
      <c r="HY554" s="27" t="s">
        <v>8</v>
      </c>
      <c r="LX554" s="27" t="s">
        <v>7</v>
      </c>
      <c r="LZ554" s="27" t="s">
        <v>7</v>
      </c>
    </row>
    <row r="555" spans="1:341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G555" s="27" t="s">
        <v>8</v>
      </c>
      <c r="H555" s="27" t="s">
        <v>7</v>
      </c>
      <c r="I555" s="27" t="s">
        <v>8</v>
      </c>
      <c r="J555" s="27" t="s">
        <v>7</v>
      </c>
      <c r="CA555" s="27" t="s">
        <v>8</v>
      </c>
      <c r="CC555" s="27" t="s">
        <v>8</v>
      </c>
      <c r="CD555" s="27" t="s">
        <v>7</v>
      </c>
      <c r="CE555" s="27" t="s">
        <v>8</v>
      </c>
      <c r="CF555" s="27" t="s">
        <v>7</v>
      </c>
      <c r="CI555" s="27" t="s">
        <v>8</v>
      </c>
      <c r="CK555" s="27" t="s">
        <v>8</v>
      </c>
      <c r="CL555" s="27" t="s">
        <v>7</v>
      </c>
      <c r="EY555" s="27" t="s">
        <v>8</v>
      </c>
      <c r="HV555" s="27" t="s">
        <v>7</v>
      </c>
      <c r="HW555" s="27" t="s">
        <v>8</v>
      </c>
      <c r="HX555" s="27" t="s">
        <v>7</v>
      </c>
      <c r="HY555" s="27" t="s">
        <v>8</v>
      </c>
      <c r="LZ555" s="27" t="s">
        <v>7</v>
      </c>
    </row>
    <row r="556" spans="1:341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H556" s="27" t="s">
        <v>7</v>
      </c>
      <c r="I556" s="27" t="s">
        <v>8</v>
      </c>
      <c r="J556" s="27" t="s">
        <v>7</v>
      </c>
      <c r="K556" s="27" t="s">
        <v>8</v>
      </c>
      <c r="CA556" s="27" t="s">
        <v>8</v>
      </c>
      <c r="CB556" s="27" t="s">
        <v>7</v>
      </c>
      <c r="CC556" s="27" t="s">
        <v>8</v>
      </c>
      <c r="CD556" s="27" t="s">
        <v>7</v>
      </c>
      <c r="CE556" s="27" t="s">
        <v>8</v>
      </c>
      <c r="CF556" s="27" t="s">
        <v>7</v>
      </c>
      <c r="CG556" s="27" t="s">
        <v>8</v>
      </c>
      <c r="CI556" s="27" t="s">
        <v>8</v>
      </c>
      <c r="CJ556" s="27" t="s">
        <v>7</v>
      </c>
      <c r="CK556" s="27" t="s">
        <v>8</v>
      </c>
      <c r="CL556" s="27" t="s">
        <v>7</v>
      </c>
      <c r="EY556" s="27" t="s">
        <v>8</v>
      </c>
      <c r="HV556" s="27" t="s">
        <v>7</v>
      </c>
      <c r="HW556" s="27" t="s">
        <v>8</v>
      </c>
      <c r="HX556" s="27" t="s">
        <v>7</v>
      </c>
      <c r="LZ556" s="27" t="s">
        <v>7</v>
      </c>
    </row>
    <row r="557" spans="1:341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I557" s="27" t="s">
        <v>8</v>
      </c>
      <c r="J557" s="27" t="s">
        <v>7</v>
      </c>
      <c r="K557" s="27" t="s">
        <v>8</v>
      </c>
      <c r="L557" s="27" t="s">
        <v>7</v>
      </c>
      <c r="BY557" s="27" t="s">
        <v>8</v>
      </c>
      <c r="CA557" s="27" t="s">
        <v>8</v>
      </c>
      <c r="CB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CG557" s="27" t="s">
        <v>8</v>
      </c>
      <c r="CH557" s="27" t="s">
        <v>7</v>
      </c>
      <c r="CI557" s="27" t="s">
        <v>8</v>
      </c>
      <c r="CJ557" s="27" t="s">
        <v>7</v>
      </c>
      <c r="CK557" s="27" t="s">
        <v>8</v>
      </c>
      <c r="CL557" s="27" t="s">
        <v>7</v>
      </c>
      <c r="EY557" s="27" t="s">
        <v>8</v>
      </c>
      <c r="HV557" s="27" t="s">
        <v>7</v>
      </c>
      <c r="HW557" s="27" t="s">
        <v>8</v>
      </c>
      <c r="LZ557" s="27" t="s">
        <v>7</v>
      </c>
    </row>
    <row r="558" spans="1:341" x14ac:dyDescent="0.25">
      <c r="A558" s="7">
        <v>1.7758446902974065</v>
      </c>
      <c r="B558"/>
      <c r="C558"/>
      <c r="D558"/>
      <c r="E558" t="s">
        <v>8</v>
      </c>
      <c r="H558" s="27" t="s">
        <v>7</v>
      </c>
      <c r="I558" s="27" t="s">
        <v>8</v>
      </c>
      <c r="J558" s="27" t="s">
        <v>7</v>
      </c>
      <c r="K558" s="27" t="s">
        <v>8</v>
      </c>
      <c r="L558" s="27" t="s">
        <v>7</v>
      </c>
      <c r="BY558" s="27" t="s">
        <v>8</v>
      </c>
      <c r="BZ558" s="27" t="s">
        <v>7</v>
      </c>
      <c r="CA558" s="27" t="s">
        <v>8</v>
      </c>
      <c r="CB558" s="27" t="s">
        <v>7</v>
      </c>
      <c r="CC558" s="27" t="s">
        <v>8</v>
      </c>
      <c r="CD558" s="27" t="s">
        <v>7</v>
      </c>
      <c r="CE558" s="27" t="s">
        <v>8</v>
      </c>
      <c r="CF558" s="27" t="s">
        <v>7</v>
      </c>
      <c r="CG558" s="27" t="s">
        <v>8</v>
      </c>
      <c r="CH558" s="27" t="s">
        <v>7</v>
      </c>
      <c r="CI558" s="27" t="s">
        <v>8</v>
      </c>
      <c r="CJ558" s="27" t="s">
        <v>7</v>
      </c>
      <c r="CK558" s="27" t="s">
        <v>8</v>
      </c>
      <c r="CL558" s="27" t="s">
        <v>7</v>
      </c>
      <c r="EW558" s="27" t="s">
        <v>8</v>
      </c>
      <c r="EY558" s="27" t="s">
        <v>8</v>
      </c>
      <c r="HV558" s="27" t="s">
        <v>7</v>
      </c>
      <c r="HW558" s="27" t="s">
        <v>8</v>
      </c>
      <c r="LZ558" s="27" t="s">
        <v>7</v>
      </c>
    </row>
    <row r="559" spans="1:341" x14ac:dyDescent="0.25">
      <c r="A559" s="7">
        <v>1.7410242061739281</v>
      </c>
      <c r="B559"/>
      <c r="C559"/>
      <c r="D559"/>
      <c r="E559" t="s">
        <v>8</v>
      </c>
      <c r="H559" s="27" t="s">
        <v>7</v>
      </c>
      <c r="J559" s="27" t="s">
        <v>7</v>
      </c>
      <c r="K559" s="27" t="s">
        <v>8</v>
      </c>
      <c r="L559" s="27" t="s">
        <v>7</v>
      </c>
      <c r="BY559" s="27" t="s">
        <v>8</v>
      </c>
      <c r="BZ559" s="27" t="s">
        <v>7</v>
      </c>
      <c r="CA559" s="27" t="s">
        <v>8</v>
      </c>
      <c r="CB559" s="27" t="s">
        <v>7</v>
      </c>
      <c r="CC559" s="27" t="s">
        <v>8</v>
      </c>
      <c r="CD559" s="27" t="s">
        <v>7</v>
      </c>
      <c r="CE559" s="27" t="s">
        <v>8</v>
      </c>
      <c r="CF559" s="27" t="s">
        <v>7</v>
      </c>
      <c r="CG559" s="27" t="s">
        <v>8</v>
      </c>
      <c r="CH559" s="27" t="s">
        <v>7</v>
      </c>
      <c r="CI559" s="27" t="s">
        <v>8</v>
      </c>
      <c r="CJ559" s="27" t="s">
        <v>7</v>
      </c>
      <c r="CL559" s="27" t="s">
        <v>7</v>
      </c>
      <c r="EW559" s="27" t="s">
        <v>8</v>
      </c>
      <c r="EX559" s="27" t="s">
        <v>7</v>
      </c>
      <c r="EY559" s="27" t="s">
        <v>8</v>
      </c>
      <c r="HV559" s="27" t="s">
        <v>7</v>
      </c>
      <c r="HW559" s="27" t="s">
        <v>8</v>
      </c>
      <c r="LZ559" s="27" t="s">
        <v>7</v>
      </c>
    </row>
    <row r="560" spans="1:341" x14ac:dyDescent="0.25">
      <c r="A560" s="7">
        <v>1.7068864766411058</v>
      </c>
      <c r="B560"/>
      <c r="C560"/>
      <c r="D560"/>
      <c r="E560" t="s">
        <v>8</v>
      </c>
      <c r="J560" s="27" t="s">
        <v>7</v>
      </c>
      <c r="K560" s="27" t="s">
        <v>8</v>
      </c>
      <c r="L560" s="27" t="s">
        <v>7</v>
      </c>
      <c r="BY560" s="27" t="s">
        <v>8</v>
      </c>
      <c r="BZ560" s="27" t="s">
        <v>7</v>
      </c>
      <c r="CA560" s="27" t="s">
        <v>8</v>
      </c>
      <c r="CB560" s="27" t="s">
        <v>7</v>
      </c>
      <c r="CC560" s="27" t="s">
        <v>8</v>
      </c>
      <c r="CD560" s="27" t="s">
        <v>7</v>
      </c>
      <c r="CF560" s="27" t="s">
        <v>7</v>
      </c>
      <c r="CG560" s="27" t="s">
        <v>8</v>
      </c>
      <c r="CH560" s="27" t="s">
        <v>7</v>
      </c>
      <c r="CI560" s="27" t="s">
        <v>8</v>
      </c>
      <c r="CL560" s="27" t="s">
        <v>7</v>
      </c>
      <c r="EW560" s="27" t="s">
        <v>8</v>
      </c>
      <c r="EX560" s="27" t="s">
        <v>7</v>
      </c>
      <c r="EY560" s="27" t="s">
        <v>8</v>
      </c>
      <c r="HV560" s="27" t="s">
        <v>7</v>
      </c>
      <c r="HW560" s="27" t="s">
        <v>8</v>
      </c>
      <c r="LZ560" s="27" t="s">
        <v>7</v>
      </c>
      <c r="MA560" s="27" t="s">
        <v>8</v>
      </c>
      <c r="MC560" s="27" t="s">
        <v>8</v>
      </c>
    </row>
    <row r="561" spans="1:342" x14ac:dyDescent="0.25">
      <c r="A561" s="7">
        <v>1.6734181143540252</v>
      </c>
      <c r="B561"/>
      <c r="C561"/>
      <c r="D561"/>
      <c r="E561" t="s">
        <v>8</v>
      </c>
      <c r="J561" s="27" t="s">
        <v>7</v>
      </c>
      <c r="K561" s="27" t="s">
        <v>8</v>
      </c>
      <c r="L561" s="27" t="s">
        <v>7</v>
      </c>
      <c r="BY561" s="27" t="s">
        <v>8</v>
      </c>
      <c r="BZ561" s="27" t="s">
        <v>7</v>
      </c>
      <c r="CA561" s="27" t="s">
        <v>8</v>
      </c>
      <c r="CB561" s="27" t="s">
        <v>7</v>
      </c>
      <c r="CC561" s="27" t="s">
        <v>8</v>
      </c>
      <c r="CF561" s="27" t="s">
        <v>7</v>
      </c>
      <c r="CG561" s="27" t="s">
        <v>8</v>
      </c>
      <c r="CH561" s="27" t="s">
        <v>7</v>
      </c>
      <c r="CI561" s="27" t="s">
        <v>8</v>
      </c>
      <c r="CL561" s="27" t="s">
        <v>7</v>
      </c>
      <c r="EW561" s="27" t="s">
        <v>8</v>
      </c>
      <c r="EX561" s="27" t="s">
        <v>7</v>
      </c>
      <c r="EY561" s="27" t="s">
        <v>8</v>
      </c>
      <c r="HV561" s="27" t="s">
        <v>7</v>
      </c>
      <c r="HW561" s="27" t="s">
        <v>8</v>
      </c>
      <c r="LZ561" s="27" t="s">
        <v>7</v>
      </c>
      <c r="MA561" s="27" t="s">
        <v>8</v>
      </c>
      <c r="MB561" s="27" t="s">
        <v>7</v>
      </c>
      <c r="MC561" s="27" t="s">
        <v>8</v>
      </c>
      <c r="MD561" s="27" t="s">
        <v>7</v>
      </c>
    </row>
    <row r="562" spans="1:342" x14ac:dyDescent="0.25">
      <c r="A562" s="7">
        <v>1.6406059944647307</v>
      </c>
      <c r="B562"/>
      <c r="C562"/>
      <c r="D562"/>
      <c r="E562" t="s">
        <v>8</v>
      </c>
      <c r="J562" s="27" t="s">
        <v>7</v>
      </c>
      <c r="K562" s="27" t="s">
        <v>8</v>
      </c>
      <c r="L562" s="27" t="s">
        <v>7</v>
      </c>
      <c r="M562" s="27" t="s">
        <v>8</v>
      </c>
      <c r="BY562" s="27" t="s">
        <v>8</v>
      </c>
      <c r="BZ562" s="27" t="s">
        <v>7</v>
      </c>
      <c r="CB562" s="27" t="s">
        <v>7</v>
      </c>
      <c r="CC562" s="27" t="s">
        <v>8</v>
      </c>
      <c r="CF562" s="27" t="s">
        <v>7</v>
      </c>
      <c r="CG562" s="27" t="s">
        <v>8</v>
      </c>
      <c r="CH562" s="27" t="s">
        <v>7</v>
      </c>
      <c r="CL562" s="27" t="s">
        <v>7</v>
      </c>
      <c r="DO562" s="27" t="s">
        <v>8</v>
      </c>
      <c r="EW562" s="27" t="s">
        <v>8</v>
      </c>
      <c r="EX562" s="27" t="s">
        <v>7</v>
      </c>
      <c r="EY562" s="27" t="s">
        <v>8</v>
      </c>
      <c r="HV562" s="27" t="s">
        <v>7</v>
      </c>
      <c r="HW562" s="27" t="s">
        <v>8</v>
      </c>
      <c r="LZ562" s="27" t="s">
        <v>7</v>
      </c>
      <c r="MA562" s="27" t="s">
        <v>8</v>
      </c>
      <c r="MB562" s="27" t="s">
        <v>7</v>
      </c>
      <c r="MC562" s="27" t="s">
        <v>8</v>
      </c>
      <c r="MD562" s="27" t="s">
        <v>7</v>
      </c>
    </row>
    <row r="563" spans="1:342" x14ac:dyDescent="0.25">
      <c r="A563" s="7">
        <v>1.6084372494752261</v>
      </c>
      <c r="B563"/>
      <c r="C563"/>
      <c r="D563"/>
      <c r="E563" t="s">
        <v>8</v>
      </c>
      <c r="J563" s="27" t="s">
        <v>7</v>
      </c>
      <c r="L563" s="27" t="s">
        <v>7</v>
      </c>
      <c r="M563" s="27" t="s">
        <v>8</v>
      </c>
      <c r="N563" s="27" t="s">
        <v>7</v>
      </c>
      <c r="BY563" s="27" t="s">
        <v>8</v>
      </c>
      <c r="CB563" s="27" t="s">
        <v>7</v>
      </c>
      <c r="CC563" s="27" t="s">
        <v>8</v>
      </c>
      <c r="CF563" s="27" t="s">
        <v>7</v>
      </c>
      <c r="CG563" s="27" t="s">
        <v>8</v>
      </c>
      <c r="CL563" s="27" t="s">
        <v>7</v>
      </c>
      <c r="DO563" s="27" t="s">
        <v>8</v>
      </c>
      <c r="DP563" s="27" t="s">
        <v>7</v>
      </c>
      <c r="EI563" s="27" t="s">
        <v>8</v>
      </c>
      <c r="EW563" s="27" t="s">
        <v>8</v>
      </c>
      <c r="EX563" s="27" t="s">
        <v>7</v>
      </c>
      <c r="EY563" s="27" t="s">
        <v>8</v>
      </c>
      <c r="HV563" s="27" t="s">
        <v>7</v>
      </c>
      <c r="HW563" s="27" t="s">
        <v>8</v>
      </c>
      <c r="LZ563" s="27" t="s">
        <v>7</v>
      </c>
      <c r="MA563" s="27" t="s">
        <v>8</v>
      </c>
      <c r="MB563" s="27" t="s">
        <v>7</v>
      </c>
      <c r="MC563" s="27" t="s">
        <v>8</v>
      </c>
      <c r="MD563" s="27" t="s">
        <v>7</v>
      </c>
    </row>
    <row r="564" spans="1:342" x14ac:dyDescent="0.25">
      <c r="A564" s="7">
        <v>1.5768992641913981</v>
      </c>
      <c r="B564"/>
      <c r="C564"/>
      <c r="D564"/>
      <c r="E564" t="s">
        <v>8</v>
      </c>
      <c r="L564" s="27" t="s">
        <v>7</v>
      </c>
      <c r="M564" s="27" t="s">
        <v>8</v>
      </c>
      <c r="N564" s="27" t="s">
        <v>7</v>
      </c>
      <c r="BW564" s="27" t="s">
        <v>8</v>
      </c>
      <c r="BY564" s="27" t="s">
        <v>8</v>
      </c>
      <c r="CB564" s="27" t="s">
        <v>7</v>
      </c>
      <c r="CC564" s="27" t="s">
        <v>8</v>
      </c>
      <c r="CF564" s="27" t="s">
        <v>7</v>
      </c>
      <c r="CG564" s="27" t="s">
        <v>8</v>
      </c>
      <c r="CL564" s="27" t="s">
        <v>7</v>
      </c>
      <c r="DO564" s="27" t="s">
        <v>8</v>
      </c>
      <c r="DP564" s="27" t="s">
        <v>7</v>
      </c>
      <c r="EI564" s="27" t="s">
        <v>8</v>
      </c>
      <c r="EJ564" s="27" t="s">
        <v>7</v>
      </c>
      <c r="EW564" s="27" t="s">
        <v>8</v>
      </c>
      <c r="EX564" s="27" t="s">
        <v>7</v>
      </c>
      <c r="EY564" s="27" t="s">
        <v>8</v>
      </c>
      <c r="HV564" s="27" t="s">
        <v>7</v>
      </c>
      <c r="HW564" s="27" t="s">
        <v>8</v>
      </c>
      <c r="LZ564" s="27" t="s">
        <v>7</v>
      </c>
      <c r="MA564" s="27" t="s">
        <v>8</v>
      </c>
      <c r="MB564" s="27" t="s">
        <v>7</v>
      </c>
      <c r="MC564" s="27" t="s">
        <v>8</v>
      </c>
      <c r="MD564" s="27" t="s">
        <v>7</v>
      </c>
    </row>
    <row r="565" spans="1:342" x14ac:dyDescent="0.25">
      <c r="A565" s="7">
        <v>1.5459796707758806</v>
      </c>
      <c r="B565"/>
      <c r="C565"/>
      <c r="D565"/>
      <c r="E565" t="s">
        <v>8</v>
      </c>
      <c r="L565" s="27" t="s">
        <v>7</v>
      </c>
      <c r="M565" s="27" t="s">
        <v>8</v>
      </c>
      <c r="N565" s="27" t="s">
        <v>7</v>
      </c>
      <c r="BW565" s="27" t="s">
        <v>8</v>
      </c>
      <c r="BX565" s="27" t="s">
        <v>7</v>
      </c>
      <c r="BY565" s="27" t="s">
        <v>8</v>
      </c>
      <c r="CB565" s="27" t="s">
        <v>7</v>
      </c>
      <c r="CC565" s="27" t="s">
        <v>8</v>
      </c>
      <c r="CF565" s="27" t="s">
        <v>7</v>
      </c>
      <c r="CG565" s="27" t="s">
        <v>8</v>
      </c>
      <c r="CL565" s="27" t="s">
        <v>7</v>
      </c>
      <c r="DO565" s="27" t="s">
        <v>8</v>
      </c>
      <c r="DP565" s="27" t="s">
        <v>7</v>
      </c>
      <c r="EI565" s="27" t="s">
        <v>8</v>
      </c>
      <c r="EJ565" s="27" t="s">
        <v>7</v>
      </c>
      <c r="EU565" s="27" t="s">
        <v>8</v>
      </c>
      <c r="EW565" s="27" t="s">
        <v>8</v>
      </c>
      <c r="EX565" s="27" t="s">
        <v>7</v>
      </c>
      <c r="EY565" s="27" t="s">
        <v>8</v>
      </c>
      <c r="HV565" s="27" t="s">
        <v>7</v>
      </c>
      <c r="HW565" s="27" t="s">
        <v>8</v>
      </c>
      <c r="LZ565" s="27" t="s">
        <v>7</v>
      </c>
      <c r="MA565" s="27" t="s">
        <v>8</v>
      </c>
      <c r="MB565" s="27" t="s">
        <v>7</v>
      </c>
      <c r="MC565" s="27" t="s">
        <v>8</v>
      </c>
    </row>
    <row r="566" spans="1:342" x14ac:dyDescent="0.25">
      <c r="A566" s="7">
        <v>1.5156663438979221</v>
      </c>
      <c r="B566"/>
      <c r="C566"/>
      <c r="D566"/>
      <c r="E566" t="s">
        <v>8</v>
      </c>
      <c r="L566" s="27" t="s">
        <v>7</v>
      </c>
      <c r="M566" s="27" t="s">
        <v>8</v>
      </c>
      <c r="N566" s="27" t="s">
        <v>7</v>
      </c>
      <c r="S566" s="27" t="s">
        <v>8</v>
      </c>
      <c r="BW566" s="27" t="s">
        <v>8</v>
      </c>
      <c r="BX566" s="27" t="s">
        <v>7</v>
      </c>
      <c r="BY566" s="27" t="s">
        <v>8</v>
      </c>
      <c r="CB566" s="27" t="s">
        <v>7</v>
      </c>
      <c r="CC566" s="27" t="s">
        <v>8</v>
      </c>
      <c r="CF566" s="27" t="s">
        <v>7</v>
      </c>
      <c r="CL566" s="27" t="s">
        <v>7</v>
      </c>
      <c r="DO566" s="27" t="s">
        <v>8</v>
      </c>
      <c r="DP566" s="27" t="s">
        <v>7</v>
      </c>
      <c r="EI566" s="27" t="s">
        <v>8</v>
      </c>
      <c r="EJ566" s="27" t="s">
        <v>7</v>
      </c>
      <c r="EO566" s="27" t="s">
        <v>8</v>
      </c>
      <c r="EU566" s="27" t="s">
        <v>8</v>
      </c>
      <c r="EV566" s="27" t="s">
        <v>7</v>
      </c>
      <c r="EW566" s="27" t="s">
        <v>8</v>
      </c>
      <c r="EX566" s="27" t="s">
        <v>7</v>
      </c>
      <c r="EY566" s="27" t="s">
        <v>8</v>
      </c>
      <c r="HV566" s="27" t="s">
        <v>7</v>
      </c>
      <c r="LZ566" s="27" t="s">
        <v>7</v>
      </c>
      <c r="MA566" s="27" t="s">
        <v>8</v>
      </c>
      <c r="MB566" s="27" t="s">
        <v>7</v>
      </c>
      <c r="MC566" s="27" t="s">
        <v>8</v>
      </c>
    </row>
    <row r="567" spans="1:342" x14ac:dyDescent="0.25">
      <c r="A567" s="7">
        <v>1.4859473959783549</v>
      </c>
      <c r="B567"/>
      <c r="C567"/>
      <c r="D567"/>
      <c r="E567" t="s">
        <v>8</v>
      </c>
      <c r="L567" s="27" t="s">
        <v>7</v>
      </c>
      <c r="M567" s="27" t="s">
        <v>8</v>
      </c>
      <c r="N567" s="27" t="s">
        <v>7</v>
      </c>
      <c r="O567" s="27" t="s">
        <v>8</v>
      </c>
      <c r="S567" s="27" t="s">
        <v>8</v>
      </c>
      <c r="T567" s="27" t="s">
        <v>7</v>
      </c>
      <c r="U567" s="27" t="s">
        <v>8</v>
      </c>
      <c r="BW567" s="27" t="s">
        <v>8</v>
      </c>
      <c r="BX567" s="27" t="s">
        <v>7</v>
      </c>
      <c r="BY567" s="27" t="s">
        <v>8</v>
      </c>
      <c r="CB567" s="27" t="s">
        <v>7</v>
      </c>
      <c r="CL567" s="27" t="s">
        <v>7</v>
      </c>
      <c r="CO567" s="27" t="s">
        <v>8</v>
      </c>
      <c r="CQ567" s="27" t="s">
        <v>8</v>
      </c>
      <c r="DO567" s="27" t="s">
        <v>8</v>
      </c>
      <c r="DP567" s="27" t="s">
        <v>7</v>
      </c>
      <c r="DS567" s="27" t="s">
        <v>8</v>
      </c>
      <c r="DY567" s="27" t="s">
        <v>8</v>
      </c>
      <c r="EI567" s="27" t="s">
        <v>8</v>
      </c>
      <c r="EJ567" s="27" t="s">
        <v>7</v>
      </c>
      <c r="EO567" s="27" t="s">
        <v>8</v>
      </c>
      <c r="EP567" s="27" t="s">
        <v>7</v>
      </c>
      <c r="EQ567" s="27" t="s">
        <v>8</v>
      </c>
      <c r="EU567" s="27" t="s">
        <v>8</v>
      </c>
      <c r="EV567" s="27" t="s">
        <v>7</v>
      </c>
      <c r="EW567" s="27" t="s">
        <v>8</v>
      </c>
      <c r="EX567" s="27" t="s">
        <v>7</v>
      </c>
      <c r="LZ567" s="27" t="s">
        <v>7</v>
      </c>
      <c r="MB567" s="27" t="s">
        <v>7</v>
      </c>
      <c r="MC567" s="27" t="s">
        <v>8</v>
      </c>
    </row>
    <row r="568" spans="1:342" x14ac:dyDescent="0.25">
      <c r="A568" s="7">
        <v>1.4568111725277988</v>
      </c>
      <c r="B568"/>
      <c r="C568"/>
      <c r="D568"/>
      <c r="E568" t="s">
        <v>8</v>
      </c>
      <c r="L568" s="27" t="s">
        <v>7</v>
      </c>
      <c r="M568" s="27" t="s">
        <v>8</v>
      </c>
      <c r="N568" s="27" t="s">
        <v>7</v>
      </c>
      <c r="O568" s="27" t="s">
        <v>8</v>
      </c>
      <c r="P568" s="27" t="s">
        <v>7</v>
      </c>
      <c r="S568" s="27" t="s">
        <v>8</v>
      </c>
      <c r="T568" s="27" t="s">
        <v>7</v>
      </c>
      <c r="U568" s="27" t="s">
        <v>8</v>
      </c>
      <c r="V568" s="27" t="s">
        <v>7</v>
      </c>
      <c r="BW568" s="27" t="s">
        <v>8</v>
      </c>
      <c r="BX568" s="27" t="s">
        <v>7</v>
      </c>
      <c r="BY568" s="27" t="s">
        <v>8</v>
      </c>
      <c r="CL568" s="27" t="s">
        <v>7</v>
      </c>
      <c r="CM568" s="27" t="s">
        <v>8</v>
      </c>
      <c r="CO568" s="27" t="s">
        <v>8</v>
      </c>
      <c r="CP568" s="27" t="s">
        <v>7</v>
      </c>
      <c r="CQ568" s="27" t="s">
        <v>8</v>
      </c>
      <c r="CR568" s="27" t="s">
        <v>7</v>
      </c>
      <c r="DO568" s="27" t="s">
        <v>8</v>
      </c>
      <c r="DP568" s="27" t="s">
        <v>7</v>
      </c>
      <c r="DS568" s="27" t="s">
        <v>8</v>
      </c>
      <c r="DT568" s="27" t="s">
        <v>7</v>
      </c>
      <c r="DY568" s="27" t="s">
        <v>8</v>
      </c>
      <c r="DZ568" s="27" t="s">
        <v>7</v>
      </c>
      <c r="EG568" s="27" t="s">
        <v>8</v>
      </c>
      <c r="EI568" s="27" t="s">
        <v>8</v>
      </c>
      <c r="EJ568" s="27" t="s">
        <v>7</v>
      </c>
      <c r="EO568" s="27" t="s">
        <v>8</v>
      </c>
      <c r="EP568" s="27" t="s">
        <v>7</v>
      </c>
      <c r="EQ568" s="27" t="s">
        <v>8</v>
      </c>
      <c r="ER568" s="27" t="s">
        <v>7</v>
      </c>
      <c r="EU568" s="27" t="s">
        <v>8</v>
      </c>
      <c r="EV568" s="27" t="s">
        <v>7</v>
      </c>
      <c r="EW568" s="27" t="s">
        <v>8</v>
      </c>
      <c r="MB568" s="27" t="s">
        <v>7</v>
      </c>
      <c r="MC568" s="27" t="s">
        <v>8</v>
      </c>
    </row>
    <row r="569" spans="1:342" x14ac:dyDescent="0.25">
      <c r="A569" s="7">
        <v>1.4282462475762734</v>
      </c>
      <c r="B569"/>
      <c r="C569"/>
      <c r="D569"/>
      <c r="E569" t="s">
        <v>8</v>
      </c>
      <c r="L569" s="27" t="s">
        <v>7</v>
      </c>
      <c r="M569" s="27" t="s">
        <v>8</v>
      </c>
      <c r="N569" s="27" t="s">
        <v>7</v>
      </c>
      <c r="O569" s="27" t="s">
        <v>8</v>
      </c>
      <c r="P569" s="27" t="s">
        <v>7</v>
      </c>
      <c r="S569" s="27" t="s">
        <v>8</v>
      </c>
      <c r="T569" s="27" t="s">
        <v>7</v>
      </c>
      <c r="U569" s="27" t="s">
        <v>8</v>
      </c>
      <c r="V569" s="27" t="s">
        <v>7</v>
      </c>
      <c r="BC569" s="27" t="s">
        <v>8</v>
      </c>
      <c r="BW569" s="27" t="s">
        <v>8</v>
      </c>
      <c r="BX569" s="27" t="s">
        <v>7</v>
      </c>
      <c r="BY569" s="27" t="s">
        <v>8</v>
      </c>
      <c r="CL569" s="27" t="s">
        <v>7</v>
      </c>
      <c r="CM569" s="27" t="s">
        <v>8</v>
      </c>
      <c r="CN569" s="27" t="s">
        <v>7</v>
      </c>
      <c r="CO569" s="27" t="s">
        <v>8</v>
      </c>
      <c r="CP569" s="27" t="s">
        <v>7</v>
      </c>
      <c r="CQ569" s="27" t="s">
        <v>8</v>
      </c>
      <c r="CR569" s="27" t="s">
        <v>7</v>
      </c>
      <c r="CS569" s="27" t="s">
        <v>8</v>
      </c>
      <c r="DO569" s="27" t="s">
        <v>8</v>
      </c>
      <c r="DP569" s="27" t="s">
        <v>7</v>
      </c>
      <c r="DS569" s="27" t="s">
        <v>8</v>
      </c>
      <c r="DT569" s="27" t="s">
        <v>7</v>
      </c>
      <c r="DY569" s="27" t="s">
        <v>8</v>
      </c>
      <c r="DZ569" s="27" t="s">
        <v>7</v>
      </c>
      <c r="EG569" s="27" t="s">
        <v>8</v>
      </c>
      <c r="EH569" s="27" t="s">
        <v>7</v>
      </c>
      <c r="EI569" s="27" t="s">
        <v>8</v>
      </c>
      <c r="EJ569" s="27" t="s">
        <v>7</v>
      </c>
      <c r="EK569" s="27" t="s">
        <v>8</v>
      </c>
      <c r="EM569" s="27" t="s">
        <v>8</v>
      </c>
      <c r="EO569" s="27" t="s">
        <v>8</v>
      </c>
      <c r="EP569" s="27" t="s">
        <v>7</v>
      </c>
      <c r="EQ569" s="27" t="s">
        <v>8</v>
      </c>
      <c r="ER569" s="27" t="s">
        <v>7</v>
      </c>
      <c r="EU569" s="27" t="s">
        <v>8</v>
      </c>
      <c r="EV569" s="27" t="s">
        <v>7</v>
      </c>
      <c r="EW569" s="27" t="s">
        <v>8</v>
      </c>
      <c r="MB569" s="27" t="s">
        <v>7</v>
      </c>
    </row>
    <row r="570" spans="1:342" x14ac:dyDescent="0.25">
      <c r="A570" s="7">
        <v>1.4002414191924248</v>
      </c>
      <c r="B570"/>
      <c r="C570"/>
      <c r="D570"/>
      <c r="E570" t="s">
        <v>8</v>
      </c>
      <c r="L570" s="27" t="s">
        <v>7</v>
      </c>
      <c r="N570" s="27" t="s">
        <v>7</v>
      </c>
      <c r="O570" s="27" t="s">
        <v>8</v>
      </c>
      <c r="P570" s="27" t="s">
        <v>7</v>
      </c>
      <c r="Q570" s="27" t="s">
        <v>8</v>
      </c>
      <c r="S570" s="27" t="s">
        <v>8</v>
      </c>
      <c r="T570" s="27" t="s">
        <v>7</v>
      </c>
      <c r="U570" s="27" t="s">
        <v>8</v>
      </c>
      <c r="V570" s="27" t="s">
        <v>7</v>
      </c>
      <c r="BC570" s="27" t="s">
        <v>8</v>
      </c>
      <c r="BD570" s="27" t="s">
        <v>7</v>
      </c>
      <c r="BW570" s="27" t="s">
        <v>8</v>
      </c>
      <c r="BX570" s="27" t="s">
        <v>7</v>
      </c>
      <c r="CL570" s="27" t="s">
        <v>7</v>
      </c>
      <c r="CM570" s="27" t="s">
        <v>8</v>
      </c>
      <c r="CN570" s="27" t="s">
        <v>7</v>
      </c>
      <c r="CO570" s="27" t="s">
        <v>8</v>
      </c>
      <c r="CP570" s="27" t="s">
        <v>7</v>
      </c>
      <c r="CQ570" s="27" t="s">
        <v>8</v>
      </c>
      <c r="CR570" s="27" t="s">
        <v>7</v>
      </c>
      <c r="CS570" s="27" t="s">
        <v>8</v>
      </c>
      <c r="CT570" s="27" t="s">
        <v>7</v>
      </c>
      <c r="DO570" s="27" t="s">
        <v>8</v>
      </c>
      <c r="DP570" s="27" t="s">
        <v>7</v>
      </c>
      <c r="DS570" s="27" t="s">
        <v>8</v>
      </c>
      <c r="DT570" s="27" t="s">
        <v>7</v>
      </c>
      <c r="DU570" s="27" t="s">
        <v>8</v>
      </c>
      <c r="DY570" s="27" t="s">
        <v>8</v>
      </c>
      <c r="DZ570" s="27" t="s">
        <v>7</v>
      </c>
      <c r="EG570" s="27" t="s">
        <v>8</v>
      </c>
      <c r="EH570" s="27" t="s">
        <v>7</v>
      </c>
      <c r="EI570" s="27" t="s">
        <v>8</v>
      </c>
      <c r="EJ570" s="27" t="s">
        <v>7</v>
      </c>
      <c r="EK570" s="27" t="s">
        <v>8</v>
      </c>
      <c r="EL570" s="27" t="s">
        <v>7</v>
      </c>
      <c r="EM570" s="27" t="s">
        <v>8</v>
      </c>
      <c r="EN570" s="27" t="s">
        <v>7</v>
      </c>
      <c r="EO570" s="27" t="s">
        <v>8</v>
      </c>
      <c r="EP570" s="27" t="s">
        <v>7</v>
      </c>
      <c r="EQ570" s="27" t="s">
        <v>8</v>
      </c>
      <c r="ER570" s="27" t="s">
        <v>7</v>
      </c>
      <c r="ES570" s="27" t="s">
        <v>8</v>
      </c>
      <c r="EU570" s="27" t="s">
        <v>8</v>
      </c>
      <c r="EV570" s="27" t="s">
        <v>7</v>
      </c>
      <c r="EW570" s="27" t="s">
        <v>8</v>
      </c>
    </row>
    <row r="571" spans="1:342" x14ac:dyDescent="0.25">
      <c r="A571" s="7">
        <v>1.3727857050906125</v>
      </c>
      <c r="B571"/>
      <c r="C571"/>
      <c r="D571"/>
      <c r="E571" t="s">
        <v>8</v>
      </c>
      <c r="N571" s="27" t="s">
        <v>7</v>
      </c>
      <c r="O571" s="27" t="s">
        <v>8</v>
      </c>
      <c r="P571" s="27" t="s">
        <v>7</v>
      </c>
      <c r="Q571" s="27" t="s">
        <v>8</v>
      </c>
      <c r="R571" s="27" t="s">
        <v>7</v>
      </c>
      <c r="S571" s="27" t="s">
        <v>8</v>
      </c>
      <c r="T571" s="27" t="s">
        <v>7</v>
      </c>
      <c r="U571" s="27" t="s">
        <v>8</v>
      </c>
      <c r="V571" s="27" t="s">
        <v>7</v>
      </c>
      <c r="BC571" s="27" t="s">
        <v>8</v>
      </c>
      <c r="BD571" s="27" t="s">
        <v>7</v>
      </c>
      <c r="BW571" s="27" t="s">
        <v>8</v>
      </c>
      <c r="CL571" s="27" t="s">
        <v>7</v>
      </c>
      <c r="CM571" s="27" t="s">
        <v>8</v>
      </c>
      <c r="CN571" s="27" t="s">
        <v>7</v>
      </c>
      <c r="CO571" s="27" t="s">
        <v>8</v>
      </c>
      <c r="CP571" s="27" t="s">
        <v>7</v>
      </c>
      <c r="CR571" s="27" t="s">
        <v>7</v>
      </c>
      <c r="CS571" s="27" t="s">
        <v>8</v>
      </c>
      <c r="CT571" s="27" t="s">
        <v>7</v>
      </c>
      <c r="DO571" s="27" t="s">
        <v>8</v>
      </c>
      <c r="DP571" s="27" t="s">
        <v>7</v>
      </c>
      <c r="DS571" s="27" t="s">
        <v>8</v>
      </c>
      <c r="DT571" s="27" t="s">
        <v>7</v>
      </c>
      <c r="DU571" s="27" t="s">
        <v>8</v>
      </c>
      <c r="DV571" s="27" t="s">
        <v>7</v>
      </c>
      <c r="DY571" s="27" t="s">
        <v>8</v>
      </c>
      <c r="DZ571" s="27" t="s">
        <v>7</v>
      </c>
      <c r="EG571" s="27" t="s">
        <v>8</v>
      </c>
      <c r="EH571" s="27" t="s">
        <v>7</v>
      </c>
      <c r="EI571" s="27" t="s">
        <v>8</v>
      </c>
      <c r="EJ571" s="27" t="s">
        <v>7</v>
      </c>
      <c r="EK571" s="27" t="s">
        <v>8</v>
      </c>
      <c r="EL571" s="27" t="s">
        <v>7</v>
      </c>
      <c r="EM571" s="27" t="s">
        <v>8</v>
      </c>
      <c r="EN571" s="27" t="s">
        <v>7</v>
      </c>
      <c r="EO571" s="27" t="s">
        <v>8</v>
      </c>
      <c r="EP571" s="27" t="s">
        <v>7</v>
      </c>
      <c r="EQ571" s="27" t="s">
        <v>8</v>
      </c>
      <c r="ER571" s="27" t="s">
        <v>7</v>
      </c>
      <c r="ES571" s="27" t="s">
        <v>8</v>
      </c>
      <c r="ET571" s="27" t="s">
        <v>7</v>
      </c>
      <c r="EU571" s="27" t="s">
        <v>8</v>
      </c>
      <c r="EV571" s="27" t="s">
        <v>7</v>
      </c>
    </row>
    <row r="572" spans="1:342" x14ac:dyDescent="0.25">
      <c r="A572" s="7">
        <v>1.3458683383241299</v>
      </c>
      <c r="B572"/>
      <c r="C572"/>
      <c r="D572"/>
      <c r="E572" t="s">
        <v>8</v>
      </c>
      <c r="N572" s="27" t="s">
        <v>7</v>
      </c>
      <c r="O572" s="27" t="s">
        <v>8</v>
      </c>
      <c r="P572" s="27" t="s">
        <v>7</v>
      </c>
      <c r="Q572" s="27" t="s">
        <v>8</v>
      </c>
      <c r="R572" s="27" t="s">
        <v>7</v>
      </c>
      <c r="S572" s="27" t="s">
        <v>8</v>
      </c>
      <c r="T572" s="27" t="s">
        <v>7</v>
      </c>
      <c r="U572" s="27" t="s">
        <v>8</v>
      </c>
      <c r="V572" s="27" t="s">
        <v>7</v>
      </c>
      <c r="BC572" s="27" t="s">
        <v>8</v>
      </c>
      <c r="BD572" s="27" t="s">
        <v>7</v>
      </c>
      <c r="BE572" s="27" t="s">
        <v>8</v>
      </c>
      <c r="BS572" s="27" t="s">
        <v>8</v>
      </c>
      <c r="BW572" s="27" t="s">
        <v>8</v>
      </c>
      <c r="CL572" s="27" t="s">
        <v>7</v>
      </c>
      <c r="CM572" s="27" t="s">
        <v>8</v>
      </c>
      <c r="CN572" s="27" t="s">
        <v>7</v>
      </c>
      <c r="CO572" s="27" t="s">
        <v>8</v>
      </c>
      <c r="CR572" s="27" t="s">
        <v>7</v>
      </c>
      <c r="CS572" s="27" t="s">
        <v>8</v>
      </c>
      <c r="CT572" s="27" t="s">
        <v>7</v>
      </c>
      <c r="DO572" s="27" t="s">
        <v>8</v>
      </c>
      <c r="DP572" s="27" t="s">
        <v>7</v>
      </c>
      <c r="DQ572" s="27" t="s">
        <v>8</v>
      </c>
      <c r="DS572" s="27" t="s">
        <v>8</v>
      </c>
      <c r="DT572" s="27" t="s">
        <v>7</v>
      </c>
      <c r="DU572" s="27" t="s">
        <v>8</v>
      </c>
      <c r="DV572" s="27" t="s">
        <v>7</v>
      </c>
      <c r="DY572" s="27" t="s">
        <v>8</v>
      </c>
      <c r="DZ572" s="27" t="s">
        <v>7</v>
      </c>
      <c r="EG572" s="27" t="s">
        <v>8</v>
      </c>
      <c r="EH572" s="27" t="s">
        <v>7</v>
      </c>
      <c r="EI572" s="27" t="s">
        <v>8</v>
      </c>
      <c r="EJ572" s="27" t="s">
        <v>7</v>
      </c>
      <c r="EK572" s="27" t="s">
        <v>8</v>
      </c>
      <c r="EL572" s="27" t="s">
        <v>7</v>
      </c>
      <c r="EM572" s="27" t="s">
        <v>8</v>
      </c>
      <c r="EN572" s="27" t="s">
        <v>7</v>
      </c>
      <c r="EP572" s="27" t="s">
        <v>7</v>
      </c>
      <c r="EQ572" s="27" t="s">
        <v>8</v>
      </c>
      <c r="ER572" s="27" t="s">
        <v>7</v>
      </c>
      <c r="ES572" s="27" t="s">
        <v>8</v>
      </c>
      <c r="ET572" s="27" t="s">
        <v>7</v>
      </c>
      <c r="EU572" s="27" t="s">
        <v>8</v>
      </c>
    </row>
    <row r="573" spans="1:342" x14ac:dyDescent="0.25">
      <c r="A573" s="7">
        <v>1.3194787630628724</v>
      </c>
      <c r="B573"/>
      <c r="C573"/>
      <c r="D573"/>
      <c r="E573" t="s">
        <v>8</v>
      </c>
      <c r="N573" s="27" t="s">
        <v>7</v>
      </c>
      <c r="O573" s="27" t="s">
        <v>8</v>
      </c>
      <c r="P573" s="27" t="s">
        <v>7</v>
      </c>
      <c r="Q573" s="27" t="s">
        <v>8</v>
      </c>
      <c r="R573" s="27" t="s">
        <v>7</v>
      </c>
      <c r="S573" s="27" t="s">
        <v>8</v>
      </c>
      <c r="T573" s="27" t="s">
        <v>7</v>
      </c>
      <c r="V573" s="27" t="s">
        <v>7</v>
      </c>
      <c r="AQ573" s="27" t="s">
        <v>8</v>
      </c>
      <c r="AY573" s="27" t="s">
        <v>8</v>
      </c>
      <c r="BC573" s="27" t="s">
        <v>8</v>
      </c>
      <c r="BD573" s="27" t="s">
        <v>7</v>
      </c>
      <c r="BE573" s="27" t="s">
        <v>8</v>
      </c>
      <c r="BF573" s="27" t="s">
        <v>7</v>
      </c>
      <c r="BS573" s="27" t="s">
        <v>8</v>
      </c>
      <c r="BT573" s="27" t="s">
        <v>7</v>
      </c>
      <c r="BU573" s="27" t="s">
        <v>8</v>
      </c>
      <c r="BW573" s="27" t="s">
        <v>8</v>
      </c>
      <c r="CL573" s="27" t="s">
        <v>7</v>
      </c>
      <c r="CM573" s="27" t="s">
        <v>8</v>
      </c>
      <c r="CN573" s="27" t="s">
        <v>7</v>
      </c>
      <c r="CO573" s="27" t="s">
        <v>8</v>
      </c>
      <c r="CR573" s="27" t="s">
        <v>7</v>
      </c>
      <c r="CT573" s="27" t="s">
        <v>7</v>
      </c>
      <c r="DO573" s="27" t="s">
        <v>8</v>
      </c>
      <c r="DP573" s="27" t="s">
        <v>7</v>
      </c>
      <c r="DQ573" s="27" t="s">
        <v>8</v>
      </c>
      <c r="DR573" s="27" t="s">
        <v>7</v>
      </c>
      <c r="DS573" s="27" t="s">
        <v>8</v>
      </c>
      <c r="DT573" s="27" t="s">
        <v>7</v>
      </c>
      <c r="DU573" s="27" t="s">
        <v>8</v>
      </c>
      <c r="DV573" s="27" t="s">
        <v>7</v>
      </c>
      <c r="DY573" s="27" t="s">
        <v>8</v>
      </c>
      <c r="DZ573" s="27" t="s">
        <v>7</v>
      </c>
      <c r="EG573" s="27" t="s">
        <v>8</v>
      </c>
      <c r="EH573" s="27" t="s">
        <v>7</v>
      </c>
      <c r="EI573" s="27" t="s">
        <v>8</v>
      </c>
      <c r="EJ573" s="27" t="s">
        <v>7</v>
      </c>
      <c r="EK573" s="27" t="s">
        <v>8</v>
      </c>
      <c r="EL573" s="27" t="s">
        <v>7</v>
      </c>
      <c r="EM573" s="27" t="s">
        <v>8</v>
      </c>
      <c r="EP573" s="27" t="s">
        <v>7</v>
      </c>
      <c r="EQ573" s="27" t="s">
        <v>8</v>
      </c>
      <c r="ER573" s="27" t="s">
        <v>7</v>
      </c>
      <c r="ES573" s="27" t="s">
        <v>8</v>
      </c>
      <c r="ET573" s="27" t="s">
        <v>7</v>
      </c>
      <c r="EU573" s="27" t="s">
        <v>8</v>
      </c>
    </row>
    <row r="574" spans="1:342" x14ac:dyDescent="0.25">
      <c r="A574" s="7">
        <v>1.2936066304537963</v>
      </c>
      <c r="B574"/>
      <c r="C574"/>
      <c r="D574"/>
      <c r="E574" t="s">
        <v>8</v>
      </c>
      <c r="N574" s="27" t="s">
        <v>7</v>
      </c>
      <c r="O574" s="27" t="s">
        <v>8</v>
      </c>
      <c r="P574" s="27" t="s">
        <v>7</v>
      </c>
      <c r="Q574" s="27" t="s">
        <v>8</v>
      </c>
      <c r="R574" s="27" t="s">
        <v>7</v>
      </c>
      <c r="V574" s="27" t="s">
        <v>7</v>
      </c>
      <c r="AQ574" s="27" t="s">
        <v>8</v>
      </c>
      <c r="AR574" s="27" t="s">
        <v>7</v>
      </c>
      <c r="AS574" s="27" t="s">
        <v>8</v>
      </c>
      <c r="AY574" s="27" t="s">
        <v>8</v>
      </c>
      <c r="AZ574" s="27" t="s">
        <v>7</v>
      </c>
      <c r="BC574" s="27" t="s">
        <v>8</v>
      </c>
      <c r="BD574" s="27" t="s">
        <v>7</v>
      </c>
      <c r="BE574" s="27" t="s">
        <v>8</v>
      </c>
      <c r="BF574" s="27" t="s">
        <v>7</v>
      </c>
      <c r="BO574" s="27" t="s">
        <v>8</v>
      </c>
      <c r="BQ574" s="27" t="s">
        <v>8</v>
      </c>
      <c r="BS574" s="27" t="s">
        <v>8</v>
      </c>
      <c r="BT574" s="27" t="s">
        <v>7</v>
      </c>
      <c r="BU574" s="27" t="s">
        <v>8</v>
      </c>
      <c r="BV574" s="27" t="s">
        <v>7</v>
      </c>
      <c r="BW574" s="27" t="s">
        <v>8</v>
      </c>
      <c r="CL574" s="27" t="s">
        <v>7</v>
      </c>
      <c r="CM574" s="27" t="s">
        <v>8</v>
      </c>
      <c r="CN574" s="27" t="s">
        <v>7</v>
      </c>
      <c r="CT574" s="27" t="s">
        <v>7</v>
      </c>
      <c r="DO574" s="27" t="s">
        <v>8</v>
      </c>
      <c r="DP574" s="27" t="s">
        <v>7</v>
      </c>
      <c r="DQ574" s="27" t="s">
        <v>8</v>
      </c>
      <c r="DR574" s="27" t="s">
        <v>7</v>
      </c>
      <c r="DS574" s="27" t="s">
        <v>8</v>
      </c>
      <c r="DT574" s="27" t="s">
        <v>7</v>
      </c>
      <c r="DV574" s="27" t="s">
        <v>7</v>
      </c>
      <c r="DY574" s="27" t="s">
        <v>8</v>
      </c>
      <c r="DZ574" s="27" t="s">
        <v>7</v>
      </c>
      <c r="EA574" s="27" t="s">
        <v>8</v>
      </c>
      <c r="EE574" s="27" t="s">
        <v>8</v>
      </c>
      <c r="EG574" s="27" t="s">
        <v>8</v>
      </c>
      <c r="EH574" s="27" t="s">
        <v>7</v>
      </c>
      <c r="EI574" s="27" t="s">
        <v>8</v>
      </c>
      <c r="EJ574" s="27" t="s">
        <v>7</v>
      </c>
      <c r="EK574" s="27" t="s">
        <v>8</v>
      </c>
      <c r="EL574" s="27" t="s">
        <v>7</v>
      </c>
      <c r="EM574" s="27" t="s">
        <v>8</v>
      </c>
      <c r="EP574" s="27" t="s">
        <v>7</v>
      </c>
      <c r="EQ574" s="27" t="s">
        <v>8</v>
      </c>
      <c r="ER574" s="27" t="s">
        <v>7</v>
      </c>
      <c r="ES574" s="27" t="s">
        <v>8</v>
      </c>
      <c r="ET574" s="27" t="s">
        <v>7</v>
      </c>
      <c r="EU574" s="27" t="s">
        <v>8</v>
      </c>
    </row>
    <row r="575" spans="1:342" x14ac:dyDescent="0.25">
      <c r="A575" s="7">
        <v>1.2682417945625455</v>
      </c>
      <c r="B575"/>
      <c r="C575"/>
      <c r="D575"/>
      <c r="E575" t="s">
        <v>8</v>
      </c>
      <c r="N575" s="27" t="s">
        <v>7</v>
      </c>
      <c r="O575" s="27" t="s">
        <v>8</v>
      </c>
      <c r="P575" s="27" t="s">
        <v>7</v>
      </c>
      <c r="Q575" s="27" t="s">
        <v>8</v>
      </c>
      <c r="V575" s="27" t="s">
        <v>7</v>
      </c>
      <c r="W575" s="27" t="s">
        <v>8</v>
      </c>
      <c r="AQ575" s="27" t="s">
        <v>8</v>
      </c>
      <c r="AR575" s="27" t="s">
        <v>7</v>
      </c>
      <c r="AS575" s="27" t="s">
        <v>8</v>
      </c>
      <c r="AT575" s="27" t="s">
        <v>7</v>
      </c>
      <c r="AY575" s="27" t="s">
        <v>8</v>
      </c>
      <c r="AZ575" s="27" t="s">
        <v>7</v>
      </c>
      <c r="BA575" s="27" t="s">
        <v>8</v>
      </c>
      <c r="BC575" s="27" t="s">
        <v>8</v>
      </c>
      <c r="BD575" s="27" t="s">
        <v>7</v>
      </c>
      <c r="BF575" s="27" t="s">
        <v>7</v>
      </c>
      <c r="BI575" s="27" t="s">
        <v>8</v>
      </c>
      <c r="BM575" s="27" t="s">
        <v>8</v>
      </c>
      <c r="BO575" s="27" t="s">
        <v>8</v>
      </c>
      <c r="BP575" s="27" t="s">
        <v>7</v>
      </c>
      <c r="BQ575" s="27" t="s">
        <v>8</v>
      </c>
      <c r="BR575" s="27" t="s">
        <v>7</v>
      </c>
      <c r="BS575" s="27" t="s">
        <v>8</v>
      </c>
      <c r="BT575" s="27" t="s">
        <v>7</v>
      </c>
      <c r="BU575" s="27" t="s">
        <v>8</v>
      </c>
      <c r="BV575" s="27" t="s">
        <v>7</v>
      </c>
      <c r="BW575" s="27" t="s">
        <v>8</v>
      </c>
      <c r="CL575" s="27" t="s">
        <v>7</v>
      </c>
      <c r="CM575" s="27" t="s">
        <v>8</v>
      </c>
      <c r="CT575" s="27" t="s">
        <v>7</v>
      </c>
      <c r="CU575" s="27" t="s">
        <v>8</v>
      </c>
      <c r="DO575" s="27" t="s">
        <v>8</v>
      </c>
      <c r="DP575" s="27" t="s">
        <v>7</v>
      </c>
      <c r="DQ575" s="27" t="s">
        <v>8</v>
      </c>
      <c r="DR575" s="27" t="s">
        <v>7</v>
      </c>
      <c r="DS575" s="27" t="s">
        <v>8</v>
      </c>
      <c r="DV575" s="27" t="s">
        <v>7</v>
      </c>
      <c r="DY575" s="27" t="s">
        <v>8</v>
      </c>
      <c r="DZ575" s="27" t="s">
        <v>7</v>
      </c>
      <c r="EA575" s="27" t="s">
        <v>8</v>
      </c>
      <c r="EB575" s="27" t="s">
        <v>7</v>
      </c>
      <c r="EE575" s="27" t="s">
        <v>8</v>
      </c>
      <c r="EF575" s="27" t="s">
        <v>7</v>
      </c>
      <c r="EG575" s="27" t="s">
        <v>8</v>
      </c>
      <c r="EH575" s="27" t="s">
        <v>7</v>
      </c>
      <c r="EI575" s="27" t="s">
        <v>8</v>
      </c>
      <c r="EJ575" s="27" t="s">
        <v>7</v>
      </c>
      <c r="EK575" s="27" t="s">
        <v>8</v>
      </c>
      <c r="EL575" s="27" t="s">
        <v>7</v>
      </c>
      <c r="EM575" s="27" t="s">
        <v>8</v>
      </c>
      <c r="EP575" s="27" t="s">
        <v>7</v>
      </c>
      <c r="EQ575" s="27" t="s">
        <v>8</v>
      </c>
      <c r="ER575" s="27" t="s">
        <v>7</v>
      </c>
      <c r="ES575" s="27" t="s">
        <v>8</v>
      </c>
      <c r="ET575" s="27" t="s">
        <v>7</v>
      </c>
    </row>
    <row r="576" spans="1:342" x14ac:dyDescent="0.25">
      <c r="A576" s="7">
        <v>1.2433743083946525</v>
      </c>
      <c r="B576"/>
      <c r="C576"/>
      <c r="D576"/>
      <c r="E576" t="s">
        <v>8</v>
      </c>
      <c r="N576" s="27" t="s">
        <v>7</v>
      </c>
      <c r="O576" s="27" t="s">
        <v>8</v>
      </c>
      <c r="P576" s="27" t="s">
        <v>7</v>
      </c>
      <c r="V576" s="27" t="s">
        <v>7</v>
      </c>
      <c r="W576" s="27" t="s">
        <v>8</v>
      </c>
      <c r="X576" s="27" t="s">
        <v>7</v>
      </c>
      <c r="AQ576" s="27" t="s">
        <v>8</v>
      </c>
      <c r="AR576" s="27" t="s">
        <v>7</v>
      </c>
      <c r="AS576" s="27" t="s">
        <v>8</v>
      </c>
      <c r="AT576" s="27" t="s">
        <v>7</v>
      </c>
      <c r="AY576" s="27" t="s">
        <v>8</v>
      </c>
      <c r="AZ576" s="27" t="s">
        <v>7</v>
      </c>
      <c r="BA576" s="27" t="s">
        <v>8</v>
      </c>
      <c r="BB576" s="27" t="s">
        <v>7</v>
      </c>
      <c r="BC576" s="27" t="s">
        <v>8</v>
      </c>
      <c r="BF576" s="27" t="s">
        <v>7</v>
      </c>
      <c r="BG576" s="27" t="s">
        <v>8</v>
      </c>
      <c r="BI576" s="27" t="s">
        <v>8</v>
      </c>
      <c r="BJ576" s="27" t="s">
        <v>7</v>
      </c>
      <c r="BM576" s="27" t="s">
        <v>8</v>
      </c>
      <c r="BN576" s="27" t="s">
        <v>7</v>
      </c>
      <c r="BO576" s="27" t="s">
        <v>8</v>
      </c>
      <c r="BP576" s="27" t="s">
        <v>7</v>
      </c>
      <c r="BQ576" s="27" t="s">
        <v>8</v>
      </c>
      <c r="BR576" s="27" t="s">
        <v>7</v>
      </c>
      <c r="BS576" s="27" t="s">
        <v>8</v>
      </c>
      <c r="BT576" s="27" t="s">
        <v>7</v>
      </c>
      <c r="BV576" s="27" t="s">
        <v>7</v>
      </c>
      <c r="CL576" s="27" t="s">
        <v>7</v>
      </c>
      <c r="CT576" s="27" t="s">
        <v>7</v>
      </c>
      <c r="CU576" s="27" t="s">
        <v>8</v>
      </c>
      <c r="CV576" s="27" t="s">
        <v>7</v>
      </c>
      <c r="CW576" s="27" t="s">
        <v>8</v>
      </c>
      <c r="DO576" s="27" t="s">
        <v>8</v>
      </c>
      <c r="DP576" s="27" t="s">
        <v>7</v>
      </c>
      <c r="DQ576" s="27" t="s">
        <v>8</v>
      </c>
      <c r="DR576" s="27" t="s">
        <v>7</v>
      </c>
      <c r="DV576" s="27" t="s">
        <v>7</v>
      </c>
      <c r="DW576" s="27" t="s">
        <v>8</v>
      </c>
      <c r="DY576" s="27" t="s">
        <v>8</v>
      </c>
      <c r="DZ576" s="27" t="s">
        <v>7</v>
      </c>
      <c r="EA576" s="27" t="s">
        <v>8</v>
      </c>
      <c r="EB576" s="27" t="s">
        <v>7</v>
      </c>
      <c r="EE576" s="27" t="s">
        <v>8</v>
      </c>
      <c r="EF576" s="27" t="s">
        <v>7</v>
      </c>
      <c r="EG576" s="27" t="s">
        <v>8</v>
      </c>
      <c r="EH576" s="27" t="s">
        <v>7</v>
      </c>
      <c r="EI576" s="27" t="s">
        <v>8</v>
      </c>
      <c r="EJ576" s="27" t="s">
        <v>7</v>
      </c>
      <c r="EK576" s="27" t="s">
        <v>8</v>
      </c>
      <c r="EL576" s="27" t="s">
        <v>7</v>
      </c>
      <c r="EP576" s="27" t="s">
        <v>7</v>
      </c>
      <c r="EQ576" s="27" t="s">
        <v>8</v>
      </c>
      <c r="ER576" s="27" t="s">
        <v>7</v>
      </c>
      <c r="ES576" s="27" t="s">
        <v>8</v>
      </c>
    </row>
    <row r="577" spans="1:149" x14ac:dyDescent="0.25">
      <c r="A577" s="7">
        <v>1.2189944199947573</v>
      </c>
      <c r="B577"/>
      <c r="C577"/>
      <c r="D577"/>
      <c r="E577" t="s">
        <v>8</v>
      </c>
      <c r="N577" s="27" t="s">
        <v>7</v>
      </c>
      <c r="O577" s="27" t="s">
        <v>8</v>
      </c>
      <c r="V577" s="27" t="s">
        <v>7</v>
      </c>
      <c r="W577" s="27" t="s">
        <v>8</v>
      </c>
      <c r="X577" s="27" t="s">
        <v>7</v>
      </c>
      <c r="AA577" s="27" t="s">
        <v>8</v>
      </c>
      <c r="AK577" s="27" t="s">
        <v>8</v>
      </c>
      <c r="AQ577" s="27" t="s">
        <v>8</v>
      </c>
      <c r="AR577" s="27" t="s">
        <v>7</v>
      </c>
      <c r="AT577" s="27" t="s">
        <v>7</v>
      </c>
      <c r="AY577" s="27" t="s">
        <v>8</v>
      </c>
      <c r="AZ577" s="27" t="s">
        <v>7</v>
      </c>
      <c r="BA577" s="27" t="s">
        <v>8</v>
      </c>
      <c r="BB577" s="27" t="s">
        <v>7</v>
      </c>
      <c r="BC577" s="27" t="s">
        <v>8</v>
      </c>
      <c r="BF577" s="27" t="s">
        <v>7</v>
      </c>
      <c r="BG577" s="27" t="s">
        <v>8</v>
      </c>
      <c r="BH577" s="27" t="s">
        <v>7</v>
      </c>
      <c r="BI577" s="27" t="s">
        <v>8</v>
      </c>
      <c r="BJ577" s="27" t="s">
        <v>7</v>
      </c>
      <c r="BM577" s="27" t="s">
        <v>8</v>
      </c>
      <c r="BN577" s="27" t="s">
        <v>7</v>
      </c>
      <c r="BO577" s="27" t="s">
        <v>8</v>
      </c>
      <c r="BP577" s="27" t="s">
        <v>7</v>
      </c>
      <c r="BQ577" s="27" t="s">
        <v>8</v>
      </c>
      <c r="BR577" s="27" t="s">
        <v>7</v>
      </c>
      <c r="BS577" s="27" t="s">
        <v>8</v>
      </c>
      <c r="CT577" s="27" t="s">
        <v>7</v>
      </c>
      <c r="CU577" s="27" t="s">
        <v>8</v>
      </c>
      <c r="CV577" s="27" t="s">
        <v>7</v>
      </c>
      <c r="CW577" s="27" t="s">
        <v>8</v>
      </c>
      <c r="CX577" s="27" t="s">
        <v>7</v>
      </c>
      <c r="DM577" s="27" t="s">
        <v>8</v>
      </c>
      <c r="DO577" s="27" t="s">
        <v>8</v>
      </c>
      <c r="DP577" s="27" t="s">
        <v>7</v>
      </c>
      <c r="DQ577" s="27" t="s">
        <v>8</v>
      </c>
      <c r="DV577" s="27" t="s">
        <v>7</v>
      </c>
      <c r="DW577" s="27" t="s">
        <v>8</v>
      </c>
      <c r="DX577" s="27" t="s">
        <v>7</v>
      </c>
      <c r="DY577" s="27" t="s">
        <v>8</v>
      </c>
      <c r="DZ577" s="27" t="s">
        <v>7</v>
      </c>
      <c r="EA577" s="27" t="s">
        <v>8</v>
      </c>
      <c r="EB577" s="27" t="s">
        <v>7</v>
      </c>
      <c r="EC577" s="27" t="s">
        <v>8</v>
      </c>
      <c r="EE577" s="27" t="s">
        <v>8</v>
      </c>
      <c r="EF577" s="27" t="s">
        <v>7</v>
      </c>
      <c r="EG577" s="27" t="s">
        <v>8</v>
      </c>
      <c r="EH577" s="27" t="s">
        <v>7</v>
      </c>
      <c r="EJ577" s="27" t="s">
        <v>7</v>
      </c>
      <c r="EK577" s="27" t="s">
        <v>8</v>
      </c>
      <c r="EP577" s="27" t="s">
        <v>7</v>
      </c>
      <c r="EQ577" s="27" t="s">
        <v>8</v>
      </c>
      <c r="ER577" s="27" t="s">
        <v>7</v>
      </c>
      <c r="ES577" s="27" t="s">
        <v>8</v>
      </c>
    </row>
    <row r="578" spans="1:149" x14ac:dyDescent="0.25">
      <c r="A578" s="7">
        <v>1.1950925686223111</v>
      </c>
      <c r="B578"/>
      <c r="C578"/>
      <c r="D578"/>
      <c r="E578" t="s">
        <v>8</v>
      </c>
      <c r="N578" s="27" t="s">
        <v>7</v>
      </c>
      <c r="O578" s="27" t="s">
        <v>8</v>
      </c>
      <c r="V578" s="27" t="s">
        <v>7</v>
      </c>
      <c r="W578" s="27" t="s">
        <v>8</v>
      </c>
      <c r="X578" s="27" t="s">
        <v>7</v>
      </c>
      <c r="AA578" s="27" t="s">
        <v>8</v>
      </c>
      <c r="AB578" s="27" t="s">
        <v>7</v>
      </c>
      <c r="AK578" s="27" t="s">
        <v>8</v>
      </c>
      <c r="AL578" s="27" t="s">
        <v>7</v>
      </c>
      <c r="AQ578" s="27" t="s">
        <v>8</v>
      </c>
      <c r="AT578" s="27" t="s">
        <v>7</v>
      </c>
      <c r="AY578" s="27" t="s">
        <v>8</v>
      </c>
      <c r="AZ578" s="27" t="s">
        <v>7</v>
      </c>
      <c r="BA578" s="27" t="s">
        <v>8</v>
      </c>
      <c r="BB578" s="27" t="s">
        <v>7</v>
      </c>
      <c r="BF578" s="27" t="s">
        <v>7</v>
      </c>
      <c r="BG578" s="27" t="s">
        <v>8</v>
      </c>
      <c r="BH578" s="27" t="s">
        <v>7</v>
      </c>
      <c r="BI578" s="27" t="s">
        <v>8</v>
      </c>
      <c r="BJ578" s="27" t="s">
        <v>7</v>
      </c>
      <c r="BM578" s="27" t="s">
        <v>8</v>
      </c>
      <c r="BN578" s="27" t="s">
        <v>7</v>
      </c>
      <c r="BO578" s="27" t="s">
        <v>8</v>
      </c>
      <c r="BP578" s="27" t="s">
        <v>7</v>
      </c>
      <c r="BQ578" s="27" t="s">
        <v>8</v>
      </c>
      <c r="BR578" s="27" t="s">
        <v>7</v>
      </c>
      <c r="BS578" s="27" t="s">
        <v>8</v>
      </c>
      <c r="CT578" s="27" t="s">
        <v>7</v>
      </c>
      <c r="CU578" s="27" t="s">
        <v>8</v>
      </c>
      <c r="CV578" s="27" t="s">
        <v>7</v>
      </c>
      <c r="CW578" s="27" t="s">
        <v>8</v>
      </c>
      <c r="CX578" s="27" t="s">
        <v>7</v>
      </c>
      <c r="CY578" s="27" t="s">
        <v>8</v>
      </c>
      <c r="DE578" s="27" t="s">
        <v>8</v>
      </c>
      <c r="DK578" s="27" t="s">
        <v>8</v>
      </c>
      <c r="DM578" s="27" t="s">
        <v>8</v>
      </c>
      <c r="DN578" s="27" t="s">
        <v>7</v>
      </c>
      <c r="DO578" s="27" t="s">
        <v>8</v>
      </c>
      <c r="DP578" s="27" t="s">
        <v>7</v>
      </c>
      <c r="DQ578" s="27" t="s">
        <v>8</v>
      </c>
      <c r="DV578" s="27" t="s">
        <v>7</v>
      </c>
      <c r="DW578" s="27" t="s">
        <v>8</v>
      </c>
      <c r="DX578" s="27" t="s">
        <v>7</v>
      </c>
      <c r="DY578" s="27" t="s">
        <v>8</v>
      </c>
      <c r="DZ578" s="27" t="s">
        <v>7</v>
      </c>
      <c r="EA578" s="27" t="s">
        <v>8</v>
      </c>
      <c r="EB578" s="27" t="s">
        <v>7</v>
      </c>
      <c r="EC578" s="27" t="s">
        <v>8</v>
      </c>
      <c r="ED578" s="27" t="s">
        <v>7</v>
      </c>
      <c r="EE578" s="27" t="s">
        <v>8</v>
      </c>
      <c r="EF578" s="27" t="s">
        <v>7</v>
      </c>
      <c r="EG578" s="27" t="s">
        <v>8</v>
      </c>
      <c r="EJ578" s="27" t="s">
        <v>7</v>
      </c>
      <c r="EK578" s="27" t="s">
        <v>8</v>
      </c>
      <c r="EP578" s="27" t="s">
        <v>7</v>
      </c>
      <c r="ER578" s="27" t="s">
        <v>7</v>
      </c>
    </row>
    <row r="579" spans="1:149" x14ac:dyDescent="0.25">
      <c r="A579" s="7">
        <v>1.1716593810022657</v>
      </c>
      <c r="B579"/>
      <c r="C579"/>
      <c r="D579"/>
      <c r="E579" t="s">
        <v>8</v>
      </c>
      <c r="N579" s="27" t="s">
        <v>7</v>
      </c>
      <c r="O579" s="27" t="s">
        <v>8</v>
      </c>
      <c r="V579" s="27" t="s">
        <v>7</v>
      </c>
      <c r="W579" s="27" t="s">
        <v>8</v>
      </c>
      <c r="X579" s="27" t="s">
        <v>7</v>
      </c>
      <c r="AA579" s="27" t="s">
        <v>8</v>
      </c>
      <c r="AB579" s="27" t="s">
        <v>7</v>
      </c>
      <c r="AK579" s="27" t="s">
        <v>8</v>
      </c>
      <c r="AL579" s="27" t="s">
        <v>7</v>
      </c>
      <c r="AQ579" s="27" t="s">
        <v>8</v>
      </c>
      <c r="AT579" s="27" t="s">
        <v>7</v>
      </c>
      <c r="AU579" s="27" t="s">
        <v>8</v>
      </c>
      <c r="AW579" s="27" t="s">
        <v>8</v>
      </c>
      <c r="AY579" s="27" t="s">
        <v>8</v>
      </c>
      <c r="AZ579" s="27" t="s">
        <v>7</v>
      </c>
      <c r="BA579" s="27" t="s">
        <v>8</v>
      </c>
      <c r="BF579" s="27" t="s">
        <v>7</v>
      </c>
      <c r="BG579" s="27" t="s">
        <v>8</v>
      </c>
      <c r="BH579" s="27" t="s">
        <v>7</v>
      </c>
      <c r="BI579" s="27" t="s">
        <v>8</v>
      </c>
      <c r="BJ579" s="27" t="s">
        <v>7</v>
      </c>
      <c r="BM579" s="27" t="s">
        <v>8</v>
      </c>
      <c r="BN579" s="27" t="s">
        <v>7</v>
      </c>
      <c r="BO579" s="27" t="s">
        <v>8</v>
      </c>
      <c r="BP579" s="27" t="s">
        <v>7</v>
      </c>
      <c r="BQ579" s="27" t="s">
        <v>8</v>
      </c>
      <c r="BR579" s="27" t="s">
        <v>7</v>
      </c>
      <c r="BS579" s="27" t="s">
        <v>8</v>
      </c>
      <c r="CT579" s="27" t="s">
        <v>7</v>
      </c>
      <c r="CU579" s="27" t="s">
        <v>8</v>
      </c>
      <c r="CV579" s="27" t="s">
        <v>7</v>
      </c>
      <c r="CW579" s="27" t="s">
        <v>8</v>
      </c>
      <c r="CX579" s="27" t="s">
        <v>7</v>
      </c>
      <c r="CY579" s="27" t="s">
        <v>8</v>
      </c>
      <c r="CZ579" s="27" t="s">
        <v>7</v>
      </c>
      <c r="DE579" s="27" t="s">
        <v>8</v>
      </c>
      <c r="DF579" s="27" t="s">
        <v>7</v>
      </c>
      <c r="DK579" s="27" t="s">
        <v>8</v>
      </c>
      <c r="DL579" s="27" t="s">
        <v>7</v>
      </c>
      <c r="DM579" s="27" t="s">
        <v>8</v>
      </c>
      <c r="DN579" s="27" t="s">
        <v>7</v>
      </c>
      <c r="DO579" s="27" t="s">
        <v>8</v>
      </c>
      <c r="DP579" s="27" t="s">
        <v>7</v>
      </c>
      <c r="DV579" s="27" t="s">
        <v>7</v>
      </c>
      <c r="DX579" s="27" t="s">
        <v>7</v>
      </c>
      <c r="DZ579" s="27" t="s">
        <v>7</v>
      </c>
      <c r="EA579" s="27" t="s">
        <v>8</v>
      </c>
      <c r="EB579" s="27" t="s">
        <v>7</v>
      </c>
      <c r="EC579" s="27" t="s">
        <v>8</v>
      </c>
      <c r="ED579" s="27" t="s">
        <v>7</v>
      </c>
      <c r="EE579" s="27" t="s">
        <v>8</v>
      </c>
      <c r="EF579" s="27" t="s">
        <v>7</v>
      </c>
      <c r="EG579" s="27" t="s">
        <v>8</v>
      </c>
      <c r="EJ579" s="27" t="s">
        <v>7</v>
      </c>
    </row>
    <row r="580" spans="1:149" x14ac:dyDescent="0.25">
      <c r="A580" s="7">
        <v>1.14868566764928</v>
      </c>
      <c r="B580"/>
      <c r="C580"/>
      <c r="D580"/>
      <c r="E580" t="s">
        <v>8</v>
      </c>
      <c r="N580" s="27" t="s">
        <v>7</v>
      </c>
      <c r="V580" s="27" t="s">
        <v>7</v>
      </c>
      <c r="W580" s="27" t="s">
        <v>8</v>
      </c>
      <c r="X580" s="27" t="s">
        <v>7</v>
      </c>
      <c r="AA580" s="27" t="s">
        <v>8</v>
      </c>
      <c r="AB580" s="27" t="s">
        <v>7</v>
      </c>
      <c r="AK580" s="27" t="s">
        <v>8</v>
      </c>
      <c r="AL580" s="27" t="s">
        <v>7</v>
      </c>
      <c r="AQ580" s="27" t="s">
        <v>8</v>
      </c>
      <c r="AT580" s="27" t="s">
        <v>7</v>
      </c>
      <c r="AU580" s="27" t="s">
        <v>8</v>
      </c>
      <c r="AV580" s="27" t="s">
        <v>7</v>
      </c>
      <c r="AW580" s="27" t="s">
        <v>8</v>
      </c>
      <c r="AX580" s="27" t="s">
        <v>7</v>
      </c>
      <c r="AY580" s="27" t="s">
        <v>8</v>
      </c>
      <c r="AZ580" s="27" t="s">
        <v>7</v>
      </c>
      <c r="BF580" s="27" t="s">
        <v>7</v>
      </c>
      <c r="BH580" s="27" t="s">
        <v>7</v>
      </c>
      <c r="BI580" s="27" t="s">
        <v>8</v>
      </c>
      <c r="BJ580" s="27" t="s">
        <v>7</v>
      </c>
      <c r="BK580" s="27" t="s">
        <v>8</v>
      </c>
      <c r="BM580" s="27" t="s">
        <v>8</v>
      </c>
      <c r="BN580" s="27" t="s">
        <v>7</v>
      </c>
      <c r="BO580" s="27" t="s">
        <v>8</v>
      </c>
      <c r="BP580" s="27" t="s">
        <v>7</v>
      </c>
      <c r="BR580" s="27" t="s">
        <v>7</v>
      </c>
      <c r="BS580" s="27" t="s">
        <v>8</v>
      </c>
      <c r="CT580" s="27" t="s">
        <v>7</v>
      </c>
      <c r="CV580" s="27" t="s">
        <v>7</v>
      </c>
      <c r="CW580" s="27" t="s">
        <v>8</v>
      </c>
      <c r="CX580" s="27" t="s">
        <v>7</v>
      </c>
      <c r="CY580" s="27" t="s">
        <v>8</v>
      </c>
      <c r="CZ580" s="27" t="s">
        <v>7</v>
      </c>
      <c r="DE580" s="27" t="s">
        <v>8</v>
      </c>
      <c r="DF580" s="27" t="s">
        <v>7</v>
      </c>
      <c r="DI580" s="27" t="s">
        <v>8</v>
      </c>
      <c r="DK580" s="27" t="s">
        <v>8</v>
      </c>
      <c r="DL580" s="27" t="s">
        <v>7</v>
      </c>
      <c r="DM580" s="27" t="s">
        <v>8</v>
      </c>
      <c r="DN580" s="27" t="s">
        <v>7</v>
      </c>
      <c r="DO580" s="27" t="s">
        <v>8</v>
      </c>
      <c r="DZ580" s="27" t="s">
        <v>7</v>
      </c>
      <c r="EA580" s="27" t="s">
        <v>8</v>
      </c>
      <c r="EB580" s="27" t="s">
        <v>7</v>
      </c>
      <c r="ED580" s="27" t="s">
        <v>7</v>
      </c>
      <c r="EE580" s="27" t="s">
        <v>8</v>
      </c>
      <c r="EF580" s="27" t="s">
        <v>7</v>
      </c>
    </row>
    <row r="581" spans="1:149" x14ac:dyDescent="0.25">
      <c r="A581" s="7">
        <v>1.1261624192640001</v>
      </c>
      <c r="B581"/>
      <c r="C581"/>
      <c r="D581"/>
      <c r="E581" t="s">
        <v>8</v>
      </c>
      <c r="V581" s="27" t="s">
        <v>7</v>
      </c>
      <c r="W581" s="27" t="s">
        <v>8</v>
      </c>
      <c r="X581" s="27" t="s">
        <v>7</v>
      </c>
      <c r="AA581" s="27" t="s">
        <v>8</v>
      </c>
      <c r="AB581" s="27" t="s">
        <v>7</v>
      </c>
      <c r="AK581" s="27" t="s">
        <v>8</v>
      </c>
      <c r="AL581" s="27" t="s">
        <v>7</v>
      </c>
      <c r="AQ581" s="27" t="s">
        <v>8</v>
      </c>
      <c r="AT581" s="27" t="s">
        <v>7</v>
      </c>
      <c r="AU581" s="27" t="s">
        <v>8</v>
      </c>
      <c r="AV581" s="27" t="s">
        <v>7</v>
      </c>
      <c r="AW581" s="27" t="s">
        <v>8</v>
      </c>
      <c r="AX581" s="27" t="s">
        <v>7</v>
      </c>
      <c r="AY581" s="27" t="s">
        <v>8</v>
      </c>
      <c r="BH581" s="27" t="s">
        <v>7</v>
      </c>
      <c r="BI581" s="27" t="s">
        <v>8</v>
      </c>
      <c r="BJ581" s="27" t="s">
        <v>7</v>
      </c>
      <c r="BK581" s="27" t="s">
        <v>8</v>
      </c>
      <c r="BL581" s="27" t="s">
        <v>7</v>
      </c>
      <c r="BM581" s="27" t="s">
        <v>8</v>
      </c>
      <c r="BN581" s="27" t="s">
        <v>7</v>
      </c>
      <c r="BO581" s="27" t="s">
        <v>8</v>
      </c>
      <c r="BR581" s="27" t="s">
        <v>7</v>
      </c>
      <c r="BS581" s="27" t="s">
        <v>8</v>
      </c>
      <c r="CV581" s="27" t="s">
        <v>7</v>
      </c>
      <c r="CX581" s="27" t="s">
        <v>7</v>
      </c>
      <c r="CY581" s="27" t="s">
        <v>8</v>
      </c>
      <c r="CZ581" s="27" t="s">
        <v>7</v>
      </c>
      <c r="DA581" s="27" t="s">
        <v>8</v>
      </c>
      <c r="DC581" s="27" t="s">
        <v>8</v>
      </c>
      <c r="DE581" s="27" t="s">
        <v>8</v>
      </c>
      <c r="DF581" s="27" t="s">
        <v>7</v>
      </c>
      <c r="DG581" s="27" t="s">
        <v>8</v>
      </c>
      <c r="DI581" s="27" t="s">
        <v>8</v>
      </c>
      <c r="DJ581" s="27" t="s">
        <v>7</v>
      </c>
      <c r="DK581" s="27" t="s">
        <v>8</v>
      </c>
      <c r="DL581" s="27" t="s">
        <v>7</v>
      </c>
      <c r="DM581" s="27" t="s">
        <v>8</v>
      </c>
      <c r="DN581" s="27" t="s">
        <v>7</v>
      </c>
      <c r="DZ581" s="27" t="s">
        <v>7</v>
      </c>
      <c r="EA581" s="27" t="s">
        <v>8</v>
      </c>
      <c r="ED581" s="27" t="s">
        <v>7</v>
      </c>
      <c r="EE581" s="27" t="s">
        <v>8</v>
      </c>
    </row>
    <row r="582" spans="1:149" x14ac:dyDescent="0.25">
      <c r="A582" s="7">
        <v>1.1040808032</v>
      </c>
      <c r="B582"/>
      <c r="C582"/>
      <c r="D582"/>
      <c r="E582" t="s">
        <v>8</v>
      </c>
      <c r="V582" s="27" t="s">
        <v>7</v>
      </c>
      <c r="W582" s="27" t="s">
        <v>8</v>
      </c>
      <c r="X582" s="27" t="s">
        <v>7</v>
      </c>
      <c r="AA582" s="27" t="s">
        <v>8</v>
      </c>
      <c r="AB582" s="27" t="s">
        <v>7</v>
      </c>
      <c r="AC582" s="27" t="s">
        <v>8</v>
      </c>
      <c r="AI582" s="27" t="s">
        <v>8</v>
      </c>
      <c r="AK582" s="27" t="s">
        <v>8</v>
      </c>
      <c r="AL582" s="27" t="s">
        <v>7</v>
      </c>
      <c r="AQ582" s="27" t="s">
        <v>8</v>
      </c>
      <c r="AT582" s="27" t="s">
        <v>7</v>
      </c>
      <c r="AU582" s="27" t="s">
        <v>8</v>
      </c>
      <c r="AV582" s="27" t="s">
        <v>7</v>
      </c>
      <c r="AX582" s="27" t="s">
        <v>7</v>
      </c>
      <c r="AY582" s="27" t="s">
        <v>8</v>
      </c>
      <c r="BH582" s="27" t="s">
        <v>7</v>
      </c>
      <c r="BJ582" s="27" t="s">
        <v>7</v>
      </c>
      <c r="BK582" s="27" t="s">
        <v>8</v>
      </c>
      <c r="BL582" s="27" t="s">
        <v>7</v>
      </c>
      <c r="BM582" s="27" t="s">
        <v>8</v>
      </c>
      <c r="BN582" s="27" t="s">
        <v>7</v>
      </c>
      <c r="BO582" s="27" t="s">
        <v>8</v>
      </c>
      <c r="BR582" s="27" t="s">
        <v>7</v>
      </c>
      <c r="BS582" s="27" t="s">
        <v>8</v>
      </c>
      <c r="CX582" s="27" t="s">
        <v>7</v>
      </c>
      <c r="CY582" s="27" t="s">
        <v>8</v>
      </c>
      <c r="CZ582" s="27" t="s">
        <v>7</v>
      </c>
      <c r="DA582" s="27" t="s">
        <v>8</v>
      </c>
      <c r="DB582" s="27" t="s">
        <v>7</v>
      </c>
      <c r="DC582" s="27" t="s">
        <v>8</v>
      </c>
      <c r="DD582" s="27" t="s">
        <v>7</v>
      </c>
      <c r="DE582" s="27" t="s">
        <v>8</v>
      </c>
      <c r="DF582" s="27" t="s">
        <v>7</v>
      </c>
      <c r="DG582" s="27" t="s">
        <v>8</v>
      </c>
      <c r="DH582" s="27" t="s">
        <v>7</v>
      </c>
      <c r="DI582" s="27" t="s">
        <v>8</v>
      </c>
      <c r="DJ582" s="27" t="s">
        <v>7</v>
      </c>
      <c r="DK582" s="27" t="s">
        <v>8</v>
      </c>
      <c r="DL582" s="27" t="s">
        <v>7</v>
      </c>
      <c r="DM582" s="27" t="s">
        <v>8</v>
      </c>
      <c r="DZ582" s="27" t="s">
        <v>7</v>
      </c>
      <c r="EA582" s="27" t="s">
        <v>8</v>
      </c>
      <c r="ED582" s="27" t="s">
        <v>7</v>
      </c>
      <c r="EE582" s="27" t="s">
        <v>8</v>
      </c>
    </row>
    <row r="583" spans="1:149" x14ac:dyDescent="0.25">
      <c r="A583" s="7">
        <v>1.08243216</v>
      </c>
      <c r="B583"/>
      <c r="C583"/>
      <c r="D583"/>
      <c r="E583" t="s">
        <v>8</v>
      </c>
      <c r="V583" s="27" t="s">
        <v>7</v>
      </c>
      <c r="W583" s="27" t="s">
        <v>8</v>
      </c>
      <c r="X583" s="27" t="s">
        <v>7</v>
      </c>
      <c r="AA583" s="27" t="s">
        <v>8</v>
      </c>
      <c r="AB583" s="27" t="s">
        <v>7</v>
      </c>
      <c r="AC583" s="27" t="s">
        <v>8</v>
      </c>
      <c r="AD583" s="27" t="s">
        <v>7</v>
      </c>
      <c r="AI583" s="27" t="s">
        <v>8</v>
      </c>
      <c r="AJ583" s="27" t="s">
        <v>7</v>
      </c>
      <c r="AK583" s="27" t="s">
        <v>8</v>
      </c>
      <c r="AL583" s="27" t="s">
        <v>7</v>
      </c>
      <c r="AQ583" s="27" t="s">
        <v>8</v>
      </c>
      <c r="AT583" s="27" t="s">
        <v>7</v>
      </c>
      <c r="AU583" s="27" t="s">
        <v>8</v>
      </c>
      <c r="AX583" s="27" t="s">
        <v>7</v>
      </c>
      <c r="BJ583" s="27" t="s">
        <v>7</v>
      </c>
      <c r="BL583" s="27" t="s">
        <v>7</v>
      </c>
      <c r="BN583" s="27" t="s">
        <v>7</v>
      </c>
      <c r="BO583" s="27" t="s">
        <v>8</v>
      </c>
      <c r="BR583" s="27" t="s">
        <v>7</v>
      </c>
      <c r="BS583" s="27" t="s">
        <v>8</v>
      </c>
      <c r="CX583" s="27" t="s">
        <v>7</v>
      </c>
      <c r="CY583" s="27" t="s">
        <v>8</v>
      </c>
      <c r="CZ583" s="27" t="s">
        <v>7</v>
      </c>
      <c r="DA583" s="27" t="s">
        <v>8</v>
      </c>
      <c r="DB583" s="27" t="s">
        <v>7</v>
      </c>
      <c r="DC583" s="27" t="s">
        <v>8</v>
      </c>
      <c r="DD583" s="27" t="s">
        <v>7</v>
      </c>
      <c r="DE583" s="27" t="s">
        <v>8</v>
      </c>
      <c r="DF583" s="27" t="s">
        <v>7</v>
      </c>
      <c r="DG583" s="27" t="s">
        <v>8</v>
      </c>
      <c r="DH583" s="27" t="s">
        <v>7</v>
      </c>
      <c r="DI583" s="27" t="s">
        <v>8</v>
      </c>
      <c r="DJ583" s="27" t="s">
        <v>7</v>
      </c>
      <c r="DL583" s="27" t="s">
        <v>7</v>
      </c>
      <c r="DM583" s="27" t="s">
        <v>8</v>
      </c>
      <c r="DZ583" s="27" t="s">
        <v>7</v>
      </c>
      <c r="ED583" s="27" t="s">
        <v>7</v>
      </c>
      <c r="EE583" s="27" t="s">
        <v>8</v>
      </c>
    </row>
    <row r="584" spans="1:149" x14ac:dyDescent="0.25">
      <c r="A584" s="7">
        <v>1.0612079999999999</v>
      </c>
      <c r="B584"/>
      <c r="C584"/>
      <c r="D584"/>
      <c r="E584" t="s">
        <v>8</v>
      </c>
      <c r="V584" s="27" t="s">
        <v>7</v>
      </c>
      <c r="W584" s="27" t="s">
        <v>8</v>
      </c>
      <c r="X584" s="27" t="s">
        <v>7</v>
      </c>
      <c r="AA584" s="27" t="s">
        <v>8</v>
      </c>
      <c r="AB584" s="27" t="s">
        <v>7</v>
      </c>
      <c r="AC584" s="27" t="s">
        <v>8</v>
      </c>
      <c r="AD584" s="27" t="s">
        <v>7</v>
      </c>
      <c r="AE584" s="27" t="s">
        <v>8</v>
      </c>
      <c r="AG584" s="27" t="s">
        <v>8</v>
      </c>
      <c r="AI584" s="27" t="s">
        <v>8</v>
      </c>
      <c r="AJ584" s="27" t="s">
        <v>7</v>
      </c>
      <c r="AK584" s="27" t="s">
        <v>8</v>
      </c>
      <c r="AL584" s="27" t="s">
        <v>7</v>
      </c>
      <c r="AM584" s="27" t="s">
        <v>8</v>
      </c>
      <c r="AO584" s="27" t="s">
        <v>8</v>
      </c>
      <c r="AQ584" s="27" t="s">
        <v>8</v>
      </c>
      <c r="AT584" s="27" t="s">
        <v>7</v>
      </c>
      <c r="AU584" s="27" t="s">
        <v>8</v>
      </c>
      <c r="BN584" s="27" t="s">
        <v>7</v>
      </c>
      <c r="BO584" s="27" t="s">
        <v>8</v>
      </c>
      <c r="BR584" s="27" t="s">
        <v>7</v>
      </c>
      <c r="CX584" s="27" t="s">
        <v>7</v>
      </c>
      <c r="CY584" s="27" t="s">
        <v>8</v>
      </c>
      <c r="CZ584" s="27" t="s">
        <v>7</v>
      </c>
      <c r="DB584" s="27" t="s">
        <v>7</v>
      </c>
      <c r="DD584" s="27" t="s">
        <v>7</v>
      </c>
      <c r="DE584" s="27" t="s">
        <v>8</v>
      </c>
      <c r="DF584" s="27" t="s">
        <v>7</v>
      </c>
      <c r="DH584" s="27" t="s">
        <v>7</v>
      </c>
      <c r="DL584" s="27" t="s">
        <v>7</v>
      </c>
      <c r="ED584" s="27" t="s">
        <v>7</v>
      </c>
    </row>
    <row r="585" spans="1:149" x14ac:dyDescent="0.25">
      <c r="A585" s="7">
        <v>1.0404</v>
      </c>
      <c r="B585"/>
      <c r="C585"/>
      <c r="D585"/>
      <c r="E585" t="s">
        <v>8</v>
      </c>
      <c r="V585" s="27" t="s">
        <v>7</v>
      </c>
      <c r="X585" s="27" t="s">
        <v>7</v>
      </c>
      <c r="AA585" s="27" t="s">
        <v>8</v>
      </c>
      <c r="AB585" s="27" t="s">
        <v>7</v>
      </c>
      <c r="AC585" s="27" t="s">
        <v>8</v>
      </c>
      <c r="AD585" s="27" t="s">
        <v>7</v>
      </c>
      <c r="AE585" s="27" t="s">
        <v>8</v>
      </c>
      <c r="AF585" s="27" t="s">
        <v>7</v>
      </c>
      <c r="AG585" s="27" t="s">
        <v>8</v>
      </c>
      <c r="AH585" s="27" t="s">
        <v>7</v>
      </c>
      <c r="AI585" s="27" t="s">
        <v>8</v>
      </c>
      <c r="AJ585" s="27" t="s">
        <v>7</v>
      </c>
      <c r="AK585" s="27" t="s">
        <v>8</v>
      </c>
      <c r="AL585" s="27" t="s">
        <v>7</v>
      </c>
      <c r="AM585" s="27" t="s">
        <v>8</v>
      </c>
      <c r="AN585" s="27" t="s">
        <v>7</v>
      </c>
      <c r="AO585" s="27" t="s">
        <v>8</v>
      </c>
      <c r="AP585" s="27" t="s">
        <v>7</v>
      </c>
      <c r="AQ585" s="27" t="s">
        <v>8</v>
      </c>
      <c r="AT585" s="27" t="s">
        <v>7</v>
      </c>
      <c r="AU585" s="27" t="s">
        <v>8</v>
      </c>
      <c r="BN585" s="27" t="s">
        <v>7</v>
      </c>
      <c r="BO585" s="27" t="s">
        <v>8</v>
      </c>
      <c r="CX585" s="27" t="s">
        <v>7</v>
      </c>
      <c r="CY585" s="27" t="s">
        <v>8</v>
      </c>
      <c r="DD585" s="27" t="s">
        <v>7</v>
      </c>
      <c r="DE585" s="27" t="s">
        <v>8</v>
      </c>
    </row>
    <row r="586" spans="1:149" x14ac:dyDescent="0.25">
      <c r="A586" s="7">
        <v>1.02</v>
      </c>
      <c r="B586"/>
      <c r="C586"/>
      <c r="D586"/>
      <c r="E586" t="s">
        <v>8</v>
      </c>
      <c r="X586" s="27" t="s">
        <v>7</v>
      </c>
      <c r="AA586" s="27" t="s">
        <v>8</v>
      </c>
      <c r="AB586" s="27" t="s">
        <v>7</v>
      </c>
      <c r="AC586" s="27" t="s">
        <v>8</v>
      </c>
      <c r="AD586" s="27" t="s">
        <v>7</v>
      </c>
      <c r="AE586" s="27" t="s">
        <v>8</v>
      </c>
      <c r="AF586" s="27" t="s">
        <v>7</v>
      </c>
      <c r="AG586" s="27" t="s">
        <v>8</v>
      </c>
      <c r="AH586" s="27" t="s">
        <v>7</v>
      </c>
      <c r="AI586" s="27" t="s">
        <v>8</v>
      </c>
      <c r="AJ586" s="27" t="s">
        <v>7</v>
      </c>
      <c r="AK586" s="27" t="s">
        <v>8</v>
      </c>
      <c r="AL586" s="27" t="s">
        <v>7</v>
      </c>
      <c r="AM586" s="27" t="s">
        <v>8</v>
      </c>
      <c r="AN586" s="27" t="s">
        <v>7</v>
      </c>
      <c r="AO586" s="27" t="s">
        <v>8</v>
      </c>
      <c r="AP586" s="27" t="s">
        <v>7</v>
      </c>
      <c r="AQ586" s="27" t="s">
        <v>8</v>
      </c>
      <c r="AT586" s="27" t="s">
        <v>7</v>
      </c>
      <c r="BN586" s="27" t="s">
        <v>7</v>
      </c>
      <c r="BO586" s="27" t="s">
        <v>8</v>
      </c>
      <c r="CX586" s="27" t="s">
        <v>7</v>
      </c>
      <c r="DD586" s="27" t="s">
        <v>7</v>
      </c>
      <c r="DE586" s="27" t="s">
        <v>8</v>
      </c>
    </row>
    <row r="587" spans="1:149" x14ac:dyDescent="0.25">
      <c r="A587" s="7">
        <v>1</v>
      </c>
      <c r="B587"/>
      <c r="C587"/>
      <c r="D587"/>
      <c r="E587" s="29" t="s">
        <v>8</v>
      </c>
      <c r="X587" s="27" t="s">
        <v>7</v>
      </c>
      <c r="AA587" s="27" t="s">
        <v>8</v>
      </c>
      <c r="AB587" s="27" t="s">
        <v>7</v>
      </c>
      <c r="AC587" s="27" t="s">
        <v>8</v>
      </c>
      <c r="AD587" s="27" t="s">
        <v>7</v>
      </c>
      <c r="AE587" s="27" t="s">
        <v>8</v>
      </c>
      <c r="AF587" s="27" t="s">
        <v>7</v>
      </c>
      <c r="AH587" s="27" t="s">
        <v>7</v>
      </c>
      <c r="AI587" s="27" t="s">
        <v>8</v>
      </c>
      <c r="AJ587" s="27" t="s">
        <v>7</v>
      </c>
      <c r="AK587" s="27" t="s">
        <v>8</v>
      </c>
      <c r="AL587" s="27" t="s">
        <v>7</v>
      </c>
      <c r="AM587" s="27" t="s">
        <v>8</v>
      </c>
      <c r="AN587" s="27" t="s">
        <v>7</v>
      </c>
      <c r="AO587" s="27" t="s">
        <v>8</v>
      </c>
      <c r="AP587" s="27" t="s">
        <v>7</v>
      </c>
      <c r="AQ587" s="27" t="s">
        <v>8</v>
      </c>
      <c r="BN587" s="27" t="s">
        <v>7</v>
      </c>
      <c r="BO587" s="27" t="s">
        <v>8</v>
      </c>
      <c r="DD587" s="27" t="s">
        <v>7</v>
      </c>
      <c r="DE587" s="27" t="s">
        <v>8</v>
      </c>
    </row>
    <row r="588" spans="1:149" x14ac:dyDescent="0.25">
      <c r="A588" s="7">
        <v>0.98039215686274506</v>
      </c>
      <c r="B588"/>
      <c r="C588"/>
      <c r="D588"/>
      <c r="E588"/>
      <c r="X588" s="27" t="s">
        <v>7</v>
      </c>
      <c r="AA588" s="27" t="s">
        <v>8</v>
      </c>
      <c r="AB588" s="27" t="s">
        <v>7</v>
      </c>
      <c r="AC588" s="27" t="s">
        <v>8</v>
      </c>
      <c r="AD588" s="27" t="s">
        <v>7</v>
      </c>
      <c r="AE588" s="27" t="s">
        <v>8</v>
      </c>
      <c r="AH588" s="27" t="s">
        <v>7</v>
      </c>
      <c r="AI588" s="27" t="s">
        <v>8</v>
      </c>
      <c r="AJ588" s="27" t="s">
        <v>7</v>
      </c>
      <c r="AK588" s="27" t="s">
        <v>8</v>
      </c>
      <c r="AL588" s="27" t="s">
        <v>7</v>
      </c>
      <c r="AN588" s="27" t="s">
        <v>7</v>
      </c>
      <c r="AO588" s="27" t="s">
        <v>8</v>
      </c>
      <c r="AP588" s="27" t="s">
        <v>7</v>
      </c>
      <c r="AQ588" s="27" t="s">
        <v>8</v>
      </c>
      <c r="BN588" s="27" t="s">
        <v>7</v>
      </c>
      <c r="BO588" s="27" t="s">
        <v>8</v>
      </c>
      <c r="DD588" s="27" t="s">
        <v>7</v>
      </c>
      <c r="DE588" s="27" t="s">
        <v>8</v>
      </c>
    </row>
    <row r="589" spans="1:149" x14ac:dyDescent="0.25">
      <c r="A589" s="7">
        <v>0.96116878123798544</v>
      </c>
      <c r="B589"/>
      <c r="C589"/>
      <c r="D589"/>
      <c r="E589"/>
      <c r="X589" s="27" t="s">
        <v>7</v>
      </c>
      <c r="AA589" s="27" t="s">
        <v>8</v>
      </c>
      <c r="AB589" s="27" t="s">
        <v>7</v>
      </c>
      <c r="AD589" s="27" t="s">
        <v>7</v>
      </c>
      <c r="AE589" s="27" t="s">
        <v>8</v>
      </c>
      <c r="AH589" s="27" t="s">
        <v>7</v>
      </c>
      <c r="AI589" s="27" t="s">
        <v>8</v>
      </c>
      <c r="AJ589" s="27" t="s">
        <v>7</v>
      </c>
      <c r="AK589" s="27" t="s">
        <v>8</v>
      </c>
      <c r="AN589" s="27" t="s">
        <v>7</v>
      </c>
      <c r="AO589" s="27" t="s">
        <v>8</v>
      </c>
      <c r="AP589" s="27" t="s">
        <v>7</v>
      </c>
      <c r="AQ589" s="27" t="s">
        <v>8</v>
      </c>
      <c r="BN589" s="27" t="s">
        <v>7</v>
      </c>
      <c r="BO589" s="27" t="s">
        <v>8</v>
      </c>
      <c r="DD589" s="27" t="s">
        <v>7</v>
      </c>
      <c r="DE589" s="27" t="s">
        <v>8</v>
      </c>
    </row>
    <row r="590" spans="1:149" x14ac:dyDescent="0.25">
      <c r="A590" s="7">
        <v>0.94232233454704462</v>
      </c>
      <c r="B590"/>
      <c r="C590"/>
      <c r="D590"/>
      <c r="E590"/>
      <c r="X590" s="27" t="s">
        <v>7</v>
      </c>
      <c r="AA590" s="27" t="s">
        <v>8</v>
      </c>
      <c r="AD590" s="27" t="s">
        <v>7</v>
      </c>
      <c r="AH590" s="27" t="s">
        <v>7</v>
      </c>
      <c r="AI590" s="27" t="s">
        <v>8</v>
      </c>
      <c r="AJ590" s="27" t="s">
        <v>7</v>
      </c>
      <c r="AN590" s="27" t="s">
        <v>7</v>
      </c>
      <c r="AP590" s="27" t="s">
        <v>7</v>
      </c>
      <c r="BN590" s="27" t="s">
        <v>7</v>
      </c>
      <c r="BO590" s="27" t="s">
        <v>8</v>
      </c>
      <c r="DD590" s="27" t="s">
        <v>7</v>
      </c>
    </row>
    <row r="591" spans="1:149" x14ac:dyDescent="0.25">
      <c r="A591" s="7">
        <v>0.92384542602651432</v>
      </c>
      <c r="B591"/>
      <c r="C591"/>
      <c r="D591"/>
      <c r="E591"/>
      <c r="X591" s="27" t="s">
        <v>7</v>
      </c>
      <c r="Y591" s="27" t="s">
        <v>8</v>
      </c>
      <c r="AA591" s="27" t="s">
        <v>8</v>
      </c>
      <c r="AH591" s="27" t="s">
        <v>7</v>
      </c>
      <c r="AI591" s="27" t="s">
        <v>8</v>
      </c>
      <c r="BN591" s="27" t="s">
        <v>7</v>
      </c>
      <c r="BO591" s="27" t="s">
        <v>8</v>
      </c>
    </row>
    <row r="592" spans="1:149" x14ac:dyDescent="0.25">
      <c r="A592" s="7">
        <v>0.90573080982991594</v>
      </c>
      <c r="B592"/>
      <c r="C592"/>
      <c r="D592"/>
      <c r="E592"/>
      <c r="X592" s="27" t="s">
        <v>7</v>
      </c>
      <c r="Y592" s="27" t="s">
        <v>8</v>
      </c>
      <c r="Z592" s="27" t="s">
        <v>7</v>
      </c>
      <c r="AA592" s="27" t="s">
        <v>8</v>
      </c>
      <c r="AH592" s="27" t="s">
        <v>7</v>
      </c>
      <c r="BN592" s="27" t="s">
        <v>7</v>
      </c>
      <c r="BO592" s="27" t="s">
        <v>8</v>
      </c>
    </row>
    <row r="593" spans="1:67" x14ac:dyDescent="0.25">
      <c r="A593" s="7">
        <v>0.8879713821861922</v>
      </c>
      <c r="B593"/>
      <c r="C593"/>
      <c r="D593"/>
      <c r="E593"/>
      <c r="X593" s="27" t="s">
        <v>7</v>
      </c>
      <c r="Y593" s="27" t="s">
        <v>8</v>
      </c>
      <c r="Z593" s="27" t="s">
        <v>7</v>
      </c>
      <c r="AA593" s="27" t="s">
        <v>8</v>
      </c>
      <c r="BN593" s="27" t="s">
        <v>7</v>
      </c>
      <c r="BO593" s="27" t="s">
        <v>8</v>
      </c>
    </row>
    <row r="594" spans="1:67" x14ac:dyDescent="0.25">
      <c r="A594" s="7">
        <v>0.87056017861391399</v>
      </c>
      <c r="B594"/>
      <c r="C594"/>
      <c r="D594"/>
      <c r="E594"/>
      <c r="X594" s="27" t="s">
        <v>7</v>
      </c>
      <c r="Y594" s="27" t="s">
        <v>8</v>
      </c>
      <c r="Z594" s="27" t="s">
        <v>7</v>
      </c>
      <c r="AA594" s="27" t="s">
        <v>8</v>
      </c>
      <c r="BN594" s="27" t="s">
        <v>7</v>
      </c>
      <c r="BO594" s="27" t="s">
        <v>8</v>
      </c>
    </row>
    <row r="595" spans="1:67" x14ac:dyDescent="0.25">
      <c r="A595" s="7">
        <v>0.85349037119011173</v>
      </c>
      <c r="B595"/>
      <c r="C595"/>
      <c r="D595"/>
      <c r="E595"/>
      <c r="X595" s="27" t="s">
        <v>7</v>
      </c>
      <c r="Y595" s="27" t="s">
        <v>8</v>
      </c>
      <c r="Z595" s="27" t="s">
        <v>7</v>
      </c>
      <c r="AA595" s="27" t="s">
        <v>8</v>
      </c>
      <c r="BN595" s="27" t="s">
        <v>7</v>
      </c>
      <c r="BO595" s="27" t="s">
        <v>8</v>
      </c>
    </row>
    <row r="596" spans="1:67" x14ac:dyDescent="0.25">
      <c r="A596" s="7">
        <v>0.83675526587265858</v>
      </c>
      <c r="B596"/>
      <c r="C596"/>
      <c r="D596"/>
      <c r="E596"/>
      <c r="X596" s="27" t="s">
        <v>7</v>
      </c>
      <c r="Y596" s="27" t="s">
        <v>8</v>
      </c>
      <c r="Z596" s="27" t="s">
        <v>7</v>
      </c>
      <c r="AA596" s="27" t="s">
        <v>8</v>
      </c>
      <c r="BN596" s="27" t="s">
        <v>7</v>
      </c>
      <c r="BO596" s="27" t="s">
        <v>8</v>
      </c>
    </row>
    <row r="597" spans="1:67" x14ac:dyDescent="0.25">
      <c r="A597" s="7">
        <v>0.82034829987515545</v>
      </c>
      <c r="B597"/>
      <c r="C597"/>
      <c r="D597"/>
      <c r="E597"/>
      <c r="X597" s="27" t="s">
        <v>7</v>
      </c>
      <c r="Y597" s="27" t="s">
        <v>8</v>
      </c>
      <c r="Z597" s="27" t="s">
        <v>7</v>
      </c>
      <c r="AA597" s="27" t="s">
        <v>8</v>
      </c>
      <c r="BN597" s="27" t="s">
        <v>7</v>
      </c>
      <c r="BO597" s="27" t="s">
        <v>8</v>
      </c>
    </row>
    <row r="598" spans="1:67" x14ac:dyDescent="0.25">
      <c r="A598" s="7">
        <v>0.80426303909328967</v>
      </c>
      <c r="B598"/>
      <c r="C598"/>
      <c r="D598"/>
      <c r="E598"/>
      <c r="X598" s="27" t="s">
        <v>7</v>
      </c>
      <c r="Y598" s="27" t="s">
        <v>8</v>
      </c>
      <c r="Z598" s="27" t="s">
        <v>7</v>
      </c>
      <c r="AA598" s="27" t="s">
        <v>8</v>
      </c>
      <c r="BN598" s="27" t="s">
        <v>7</v>
      </c>
      <c r="BO598" s="27" t="s">
        <v>8</v>
      </c>
    </row>
    <row r="599" spans="1:67" x14ac:dyDescent="0.25">
      <c r="A599" s="7">
        <v>0.78849317558165644</v>
      </c>
      <c r="B599"/>
      <c r="C599"/>
      <c r="D599"/>
      <c r="E599"/>
      <c r="X599" s="27" t="s">
        <v>7</v>
      </c>
      <c r="Y599" s="27" t="s">
        <v>8</v>
      </c>
      <c r="Z599" s="27" t="s">
        <v>7</v>
      </c>
      <c r="AA599" s="27" t="s">
        <v>8</v>
      </c>
      <c r="BN599" s="27" t="s">
        <v>7</v>
      </c>
      <c r="BO599" s="27" t="s">
        <v>8</v>
      </c>
    </row>
    <row r="600" spans="1:67" x14ac:dyDescent="0.25">
      <c r="A600" s="7">
        <v>0.77303252508005538</v>
      </c>
      <c r="B600"/>
      <c r="C600"/>
      <c r="D600"/>
      <c r="E600"/>
      <c r="X600" s="27" t="s">
        <v>7</v>
      </c>
      <c r="Y600" s="27" t="s">
        <v>8</v>
      </c>
      <c r="Z600" s="27" t="s">
        <v>7</v>
      </c>
      <c r="AA600" s="27" t="s">
        <v>8</v>
      </c>
      <c r="BN600" s="27" t="s">
        <v>7</v>
      </c>
      <c r="BO600" s="27" t="s">
        <v>8</v>
      </c>
    </row>
    <row r="601" spans="1:67" x14ac:dyDescent="0.25">
      <c r="A601" s="7">
        <v>0.75787502458828959</v>
      </c>
      <c r="B601"/>
      <c r="C601"/>
      <c r="D601"/>
      <c r="E601"/>
      <c r="X601" s="27" t="s">
        <v>7</v>
      </c>
      <c r="Y601" s="27" t="s">
        <v>8</v>
      </c>
      <c r="Z601" s="27" t="s">
        <v>7</v>
      </c>
      <c r="AA601" s="27" t="s">
        <v>8</v>
      </c>
      <c r="BN601" s="27" t="s">
        <v>7</v>
      </c>
      <c r="BO601" s="27" t="s">
        <v>8</v>
      </c>
    </row>
    <row r="602" spans="1:67" x14ac:dyDescent="0.25">
      <c r="A602" s="7">
        <v>0.74301472998851925</v>
      </c>
      <c r="B602"/>
      <c r="C602"/>
      <c r="D602"/>
      <c r="E602"/>
      <c r="X602" s="27" t="s">
        <v>7</v>
      </c>
      <c r="Y602" s="27" t="s">
        <v>8</v>
      </c>
      <c r="Z602" s="27" t="s">
        <v>7</v>
      </c>
      <c r="AA602" s="27" t="s">
        <v>8</v>
      </c>
      <c r="BN602" s="27" t="s">
        <v>7</v>
      </c>
      <c r="BO602" s="27" t="s">
        <v>8</v>
      </c>
    </row>
    <row r="603" spans="1:67" x14ac:dyDescent="0.25">
      <c r="A603" s="7">
        <v>0.72844581371423456</v>
      </c>
      <c r="B603"/>
      <c r="C603"/>
      <c r="D603"/>
      <c r="E603"/>
      <c r="X603" s="27" t="s">
        <v>7</v>
      </c>
      <c r="Y603" s="27" t="s">
        <v>8</v>
      </c>
      <c r="Z603" s="27" t="s">
        <v>7</v>
      </c>
      <c r="AA603" s="27" t="s">
        <v>8</v>
      </c>
      <c r="BN603" s="27" t="s">
        <v>7</v>
      </c>
      <c r="BO603" s="27" t="s">
        <v>8</v>
      </c>
    </row>
    <row r="604" spans="1:67" x14ac:dyDescent="0.25">
      <c r="A604" s="7">
        <v>0.71416256246493581</v>
      </c>
      <c r="B604"/>
      <c r="C604"/>
      <c r="D604"/>
      <c r="E604"/>
      <c r="X604" s="27" t="s">
        <v>7</v>
      </c>
      <c r="Y604" s="27" t="s">
        <v>8</v>
      </c>
      <c r="Z604" s="27" t="s">
        <v>7</v>
      </c>
      <c r="AA604" s="27" t="s">
        <v>8</v>
      </c>
      <c r="BN604" s="27" t="s">
        <v>7</v>
      </c>
      <c r="BO604" s="27" t="s">
        <v>8</v>
      </c>
    </row>
    <row r="605" spans="1:67" x14ac:dyDescent="0.25">
      <c r="A605" s="7">
        <v>0.7001593749656233</v>
      </c>
      <c r="B605"/>
      <c r="C605"/>
      <c r="D605"/>
      <c r="E605"/>
      <c r="X605" s="27" t="s">
        <v>7</v>
      </c>
      <c r="Y605" s="27" t="s">
        <v>8</v>
      </c>
      <c r="Z605" s="27" t="s">
        <v>7</v>
      </c>
      <c r="BN605" s="27" t="s">
        <v>7</v>
      </c>
      <c r="BO605" s="27" t="s">
        <v>8</v>
      </c>
    </row>
    <row r="606" spans="1:67" x14ac:dyDescent="0.25">
      <c r="A606" s="7">
        <v>0.68643075977021883</v>
      </c>
      <c r="B606"/>
      <c r="C606"/>
      <c r="D606"/>
      <c r="E606"/>
      <c r="X606" s="27" t="s">
        <v>7</v>
      </c>
      <c r="Y606" s="27" t="s">
        <v>8</v>
      </c>
      <c r="BN606" s="27" t="s">
        <v>7</v>
      </c>
      <c r="BO606" s="27" t="s">
        <v>8</v>
      </c>
    </row>
    <row r="607" spans="1:67" x14ac:dyDescent="0.25">
      <c r="A607" s="7">
        <v>0.67297133310805768</v>
      </c>
      <c r="B607"/>
      <c r="C607"/>
      <c r="D607"/>
      <c r="E607"/>
      <c r="X607" s="27" t="s">
        <v>7</v>
      </c>
      <c r="Y607" s="27" t="s">
        <v>8</v>
      </c>
      <c r="BN607" s="27" t="s">
        <v>7</v>
      </c>
      <c r="BO607" s="27" t="s">
        <v>8</v>
      </c>
    </row>
    <row r="608" spans="1:67" x14ac:dyDescent="0.25">
      <c r="A608" s="7">
        <v>0.65977581677260566</v>
      </c>
      <c r="B608"/>
      <c r="C608"/>
      <c r="D608"/>
      <c r="E608"/>
      <c r="X608" s="27" t="s">
        <v>7</v>
      </c>
      <c r="Y608" s="27" t="s">
        <v>8</v>
      </c>
      <c r="BN608" s="27" t="s">
        <v>7</v>
      </c>
      <c r="BO608" s="27" t="s">
        <v>8</v>
      </c>
    </row>
    <row r="609" spans="1:67" x14ac:dyDescent="0.25">
      <c r="A609" s="7">
        <v>0.64683903605157422</v>
      </c>
      <c r="B609"/>
      <c r="C609"/>
      <c r="D609"/>
      <c r="E609"/>
      <c r="X609" s="27" t="s">
        <v>7</v>
      </c>
      <c r="Y609" s="27" t="s">
        <v>8</v>
      </c>
      <c r="BN609" s="27" t="s">
        <v>7</v>
      </c>
      <c r="BO609" s="27" t="s">
        <v>8</v>
      </c>
    </row>
    <row r="610" spans="1:67" x14ac:dyDescent="0.25">
      <c r="A610" s="7">
        <v>0.63415591769762181</v>
      </c>
      <c r="B610"/>
      <c r="C610"/>
      <c r="D610"/>
      <c r="E610"/>
      <c r="X610" s="27" t="s">
        <v>7</v>
      </c>
      <c r="Y610" s="27" t="s">
        <v>8</v>
      </c>
      <c r="BN610" s="27" t="s">
        <v>7</v>
      </c>
      <c r="BO610" s="27" t="s">
        <v>8</v>
      </c>
    </row>
    <row r="611" spans="1:67" x14ac:dyDescent="0.25">
      <c r="A611" s="7">
        <v>0.62172148793884496</v>
      </c>
      <c r="B611"/>
      <c r="C611"/>
      <c r="D611"/>
      <c r="E611"/>
      <c r="X611" s="27" t="s">
        <v>7</v>
      </c>
      <c r="Y611" s="27" t="s">
        <v>8</v>
      </c>
      <c r="BN611" s="27" t="s">
        <v>7</v>
      </c>
    </row>
    <row r="612" spans="1:67" x14ac:dyDescent="0.25">
      <c r="A612" s="7">
        <v>0.60953087052827937</v>
      </c>
      <c r="B612"/>
      <c r="C612"/>
      <c r="D612"/>
      <c r="E612"/>
      <c r="X612" s="27" t="s">
        <v>7</v>
      </c>
      <c r="Y612" s="27" t="s">
        <v>8</v>
      </c>
    </row>
    <row r="613" spans="1:67" x14ac:dyDescent="0.25">
      <c r="A613" s="7">
        <v>0.59757928483164646</v>
      </c>
      <c r="B613"/>
      <c r="C613"/>
      <c r="D613"/>
      <c r="E613"/>
      <c r="X613" s="27" t="s">
        <v>7</v>
      </c>
      <c r="Y613" s="27" t="s">
        <v>8</v>
      </c>
    </row>
    <row r="614" spans="1:67" x14ac:dyDescent="0.25">
      <c r="A614" s="7">
        <v>0.58586204395259456</v>
      </c>
      <c r="B614"/>
      <c r="C614"/>
      <c r="D614"/>
      <c r="E614"/>
      <c r="X614" s="27" t="s">
        <v>7</v>
      </c>
      <c r="Y614" s="27" t="s">
        <v>8</v>
      </c>
    </row>
    <row r="615" spans="1:67" x14ac:dyDescent="0.25">
      <c r="A615" s="7">
        <v>0.57437455289470052</v>
      </c>
      <c r="B615"/>
      <c r="C615"/>
      <c r="D615"/>
      <c r="E615"/>
      <c r="X615" s="27" t="s">
        <v>7</v>
      </c>
      <c r="Y615" s="27" t="s">
        <v>8</v>
      </c>
    </row>
    <row r="616" spans="1:67" x14ac:dyDescent="0.25">
      <c r="A616" s="7">
        <v>0.56311230675951029</v>
      </c>
      <c r="B616"/>
      <c r="C616"/>
      <c r="D616"/>
      <c r="E616"/>
      <c r="X616" s="27" t="s">
        <v>7</v>
      </c>
      <c r="Y616" s="27" t="s">
        <v>8</v>
      </c>
    </row>
    <row r="617" spans="1:67" x14ac:dyDescent="0.25">
      <c r="A617" s="7">
        <v>0.55207088897991208</v>
      </c>
      <c r="B617"/>
      <c r="C617"/>
      <c r="D617"/>
      <c r="E617"/>
      <c r="X617" s="27" t="s">
        <v>7</v>
      </c>
      <c r="Y617" s="27" t="s">
        <v>8</v>
      </c>
    </row>
    <row r="618" spans="1:67" x14ac:dyDescent="0.25">
      <c r="A618" s="7">
        <v>0.54124596958814908</v>
      </c>
      <c r="B618"/>
      <c r="C618"/>
      <c r="D618"/>
      <c r="E618"/>
      <c r="X618" s="27" t="s">
        <v>7</v>
      </c>
      <c r="Y618" s="27" t="s">
        <v>8</v>
      </c>
    </row>
    <row r="619" spans="1:67" x14ac:dyDescent="0.25">
      <c r="A619" s="7">
        <v>0.53063330351779314</v>
      </c>
      <c r="B619"/>
      <c r="C619"/>
      <c r="D619"/>
      <c r="E619"/>
      <c r="X619" s="27" t="s">
        <v>7</v>
      </c>
      <c r="Y619" s="27" t="s">
        <v>8</v>
      </c>
    </row>
    <row r="620" spans="1:67" x14ac:dyDescent="0.25">
      <c r="A620" s="7">
        <v>0.52022872893901284</v>
      </c>
      <c r="B620"/>
      <c r="C620"/>
      <c r="D620"/>
      <c r="E620"/>
      <c r="X620" s="27" t="s">
        <v>7</v>
      </c>
    </row>
    <row r="621" spans="1:67" x14ac:dyDescent="0.25">
      <c r="A621" s="7">
        <v>0.51002816562648323</v>
      </c>
      <c r="B621"/>
      <c r="C621"/>
      <c r="D621"/>
      <c r="E621"/>
    </row>
    <row r="622" spans="1:67" x14ac:dyDescent="0.25">
      <c r="A622" s="7">
        <v>0.50002761335929735</v>
      </c>
      <c r="B622"/>
      <c r="C622"/>
      <c r="D622"/>
      <c r="E622"/>
    </row>
    <row r="623" spans="1:67" x14ac:dyDescent="0.25">
      <c r="A623" s="7">
        <v>0.49022315035225228</v>
      </c>
      <c r="B623"/>
      <c r="C623"/>
      <c r="D623"/>
      <c r="E623"/>
    </row>
    <row r="624" spans="1:67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27" operator="equal">
      <formula>$U$1</formula>
    </cfRule>
    <cfRule type="cellIs" dxfId="89" priority="1128" operator="equal">
      <formula>$S$1</formula>
    </cfRule>
  </conditionalFormatting>
  <conditionalFormatting sqref="D27">
    <cfRule type="cellIs" dxfId="88" priority="1125" operator="equal">
      <formula>$S$1</formula>
    </cfRule>
    <cfRule type="cellIs" dxfId="87" priority="1126" operator="equal">
      <formula>$U$1</formula>
    </cfRule>
  </conditionalFormatting>
  <conditionalFormatting sqref="C164">
    <cfRule type="cellIs" dxfId="86" priority="1123" operator="equal">
      <formula>$U$1</formula>
    </cfRule>
    <cfRule type="cellIs" dxfId="85" priority="1124" operator="equal">
      <formula>$S$1</formula>
    </cfRule>
  </conditionalFormatting>
  <conditionalFormatting sqref="D164">
    <cfRule type="cellIs" dxfId="84" priority="1121" operator="equal">
      <formula>$S$1</formula>
    </cfRule>
    <cfRule type="cellIs" dxfId="83" priority="1122" operator="equal">
      <formula>$U$1</formula>
    </cfRule>
  </conditionalFormatting>
  <conditionalFormatting sqref="C55">
    <cfRule type="cellIs" dxfId="82" priority="1119" operator="equal">
      <formula>$U$1</formula>
    </cfRule>
    <cfRule type="cellIs" dxfId="81" priority="1120" operator="equal">
      <formula>$S$1</formula>
    </cfRule>
  </conditionalFormatting>
  <conditionalFormatting sqref="D55">
    <cfRule type="cellIs" dxfId="80" priority="1117" operator="equal">
      <formula>$S$1</formula>
    </cfRule>
    <cfRule type="cellIs" dxfId="79" priority="1118" operator="equal">
      <formula>$U$1</formula>
    </cfRule>
  </conditionalFormatting>
  <conditionalFormatting sqref="C89">
    <cfRule type="cellIs" dxfId="78" priority="1115" operator="equal">
      <formula>$U$1</formula>
    </cfRule>
    <cfRule type="cellIs" dxfId="77" priority="1116" operator="equal">
      <formula>$S$1</formula>
    </cfRule>
  </conditionalFormatting>
  <conditionalFormatting sqref="D89">
    <cfRule type="cellIs" dxfId="76" priority="1113" operator="equal">
      <formula>$S$1</formula>
    </cfRule>
    <cfRule type="cellIs" dxfId="75" priority="1114" operator="equal">
      <formula>$U$1</formula>
    </cfRule>
  </conditionalFormatting>
  <conditionalFormatting sqref="C136">
    <cfRule type="cellIs" dxfId="74" priority="1111" operator="equal">
      <formula>$U$1</formula>
    </cfRule>
    <cfRule type="cellIs" dxfId="73" priority="1112" operator="equal">
      <formula>$S$1</formula>
    </cfRule>
  </conditionalFormatting>
  <conditionalFormatting sqref="D136">
    <cfRule type="cellIs" dxfId="72" priority="1109" operator="equal">
      <formula>$S$1</formula>
    </cfRule>
    <cfRule type="cellIs" dxfId="71" priority="1110" operator="equal">
      <formula>$U$1</formula>
    </cfRule>
  </conditionalFormatting>
  <conditionalFormatting sqref="C1">
    <cfRule type="cellIs" dxfId="70" priority="110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U229" sqref="EU22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$A$228</v>
      </c>
      <c r="D111" s="1" t="str">
        <f>ADDRESS(C121-1,D121,1,1)</f>
        <v>$EU$228</v>
      </c>
      <c r="E111"/>
    </row>
    <row r="112" spans="1:5" x14ac:dyDescent="0.25">
      <c r="A112" s="30">
        <v>515.50191262726139</v>
      </c>
      <c r="C112" s="1" t="str">
        <f>ADDRESS(C121,1,1,1)</f>
        <v>$A$229</v>
      </c>
      <c r="D112" s="1" t="str">
        <f>ADDRESS(C121,D121-1,1,1)</f>
        <v>$ET$229</v>
      </c>
      <c r="E112"/>
    </row>
    <row r="113" spans="1:5" x14ac:dyDescent="0.25">
      <c r="A113" s="30">
        <v>490.95420250215363</v>
      </c>
      <c r="C113" s="1" t="str">
        <f>ADDRESS(C121+1,1,1,1)</f>
        <v>$A$230</v>
      </c>
      <c r="D113" s="1" t="str">
        <f>ADDRESS(C121-1,D121+1,1,1)</f>
        <v>$EV$228</v>
      </c>
    </row>
    <row r="114" spans="1:5" x14ac:dyDescent="0.25">
      <c r="A114" s="30">
        <v>467.57543095443202</v>
      </c>
      <c r="C114" s="1" t="str">
        <f>ADDRESS(C121,D121,1,1)</f>
        <v>$EU$229</v>
      </c>
      <c r="D114" s="1" t="str">
        <f>ADDRESS(C121+1,D121+1,1,1)</f>
        <v>$EV$230</v>
      </c>
    </row>
    <row r="115" spans="1:5" x14ac:dyDescent="0.25">
      <c r="A115" s="30">
        <v>445.30993424231622</v>
      </c>
      <c r="C115" s="1" t="str">
        <f>ADDRESS(C121+1,D121,1,1)</f>
        <v>$EU$230</v>
      </c>
    </row>
    <row r="116" spans="1:5" x14ac:dyDescent="0.25">
      <c r="A116" s="30">
        <v>424.10469927839637</v>
      </c>
      <c r="C116" s="1">
        <f>C117-1</f>
        <v>228</v>
      </c>
    </row>
    <row r="117" spans="1:5" x14ac:dyDescent="0.25">
      <c r="A117" s="30">
        <v>403.9092374079965</v>
      </c>
      <c r="C117" s="1">
        <f>C121</f>
        <v>229</v>
      </c>
      <c r="D117" s="1">
        <f>D121</f>
        <v>151</v>
      </c>
    </row>
    <row r="118" spans="1:5" x14ac:dyDescent="0.25">
      <c r="A118" s="30">
        <v>384.6754641980919</v>
      </c>
      <c r="C118" s="1">
        <f>C117+1</f>
        <v>230</v>
      </c>
      <c r="D118" s="1">
        <f>D117+1</f>
        <v>152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229</v>
      </c>
      <c r="D121" s="19">
        <v>151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R229</v>
      </c>
      <c r="D123" s="1" t="str">
        <f>"C"&amp;D121</f>
        <v>C151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1.7103393581163142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98" x14ac:dyDescent="0.25">
      <c r="A177" s="30">
        <v>21.623492570684135</v>
      </c>
      <c r="E177"/>
    </row>
    <row r="178" spans="1:98" x14ac:dyDescent="0.25">
      <c r="A178" s="30">
        <v>20.593802448270605</v>
      </c>
      <c r="C178" s="7"/>
      <c r="D178"/>
      <c r="E178"/>
    </row>
    <row r="179" spans="1:98" x14ac:dyDescent="0.25">
      <c r="A179" s="30">
        <v>19.613145188829147</v>
      </c>
      <c r="E179"/>
    </row>
    <row r="180" spans="1:98" x14ac:dyDescent="0.25">
      <c r="A180" s="30">
        <v>18.679185894122998</v>
      </c>
      <c r="E180"/>
    </row>
    <row r="181" spans="1:98" x14ac:dyDescent="0.25">
      <c r="A181" s="30">
        <v>17.78970085154571</v>
      </c>
      <c r="C181"/>
      <c r="D181"/>
      <c r="E181"/>
    </row>
    <row r="182" spans="1:98" x14ac:dyDescent="0.25">
      <c r="A182" s="30">
        <v>16.942572239567344</v>
      </c>
      <c r="E182"/>
    </row>
    <row r="183" spans="1:98" x14ac:dyDescent="0.25">
      <c r="A183" s="30">
        <v>16.135783085302233</v>
      </c>
      <c r="E183"/>
    </row>
    <row r="184" spans="1:98" x14ac:dyDescent="0.25">
      <c r="A184" s="30">
        <v>15.367412462192602</v>
      </c>
      <c r="E184"/>
    </row>
    <row r="185" spans="1:98" x14ac:dyDescent="0.25">
      <c r="A185" s="30">
        <v>14.635630916373906</v>
      </c>
      <c r="C185"/>
      <c r="E185"/>
    </row>
    <row r="186" spans="1:98" x14ac:dyDescent="0.25">
      <c r="A186" s="30">
        <v>13.938696110832291</v>
      </c>
      <c r="E186"/>
    </row>
    <row r="187" spans="1:9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98" x14ac:dyDescent="0.25">
      <c r="A188" s="30">
        <v>12.64280826379346</v>
      </c>
      <c r="E188"/>
    </row>
    <row r="189" spans="1:98" x14ac:dyDescent="0.25">
      <c r="A189" s="30">
        <v>12.04076977504139</v>
      </c>
      <c r="E189"/>
    </row>
    <row r="190" spans="1:98" x14ac:dyDescent="0.25">
      <c r="A190" s="30">
        <v>11.467399785753704</v>
      </c>
      <c r="E190"/>
      <c r="CQ190" s="27" t="s">
        <v>8</v>
      </c>
    </row>
    <row r="191" spans="1:98" x14ac:dyDescent="0.25">
      <c r="A191" s="30">
        <v>10.921333129289241</v>
      </c>
      <c r="E191"/>
      <c r="CQ191" s="27" t="s">
        <v>8</v>
      </c>
      <c r="CR191" s="27" t="s">
        <v>7</v>
      </c>
      <c r="CS191" s="27" t="s">
        <v>8</v>
      </c>
    </row>
    <row r="192" spans="1:98" x14ac:dyDescent="0.25">
      <c r="A192" s="30">
        <v>10.401269646942135</v>
      </c>
      <c r="E192"/>
      <c r="CQ192" s="27" t="s">
        <v>8</v>
      </c>
      <c r="CR192" s="27" t="s">
        <v>7</v>
      </c>
      <c r="CS192" s="27" t="s">
        <v>8</v>
      </c>
      <c r="CT192" s="27" t="s">
        <v>7</v>
      </c>
    </row>
    <row r="193" spans="1:126" x14ac:dyDescent="0.25">
      <c r="A193" s="30">
        <v>9.9059710923258422</v>
      </c>
      <c r="E193"/>
      <c r="CQ193" s="27" t="s">
        <v>8</v>
      </c>
      <c r="CR193" s="27" t="s">
        <v>7</v>
      </c>
      <c r="CS193" s="27" t="s">
        <v>8</v>
      </c>
      <c r="CT193" s="27" t="s">
        <v>7</v>
      </c>
    </row>
    <row r="194" spans="1:126" x14ac:dyDescent="0.25">
      <c r="A194" s="30">
        <v>9.4342581831674686</v>
      </c>
      <c r="E194"/>
      <c r="CQ194" s="27" t="s">
        <v>8</v>
      </c>
      <c r="CR194" s="27" t="s">
        <v>7</v>
      </c>
      <c r="CS194" s="27" t="s">
        <v>8</v>
      </c>
      <c r="CT194" s="27" t="s">
        <v>7</v>
      </c>
    </row>
    <row r="195" spans="1:126" x14ac:dyDescent="0.25">
      <c r="A195" s="30">
        <v>8.9850077934928265</v>
      </c>
      <c r="E195"/>
      <c r="CQ195" s="27" t="s">
        <v>8</v>
      </c>
      <c r="CR195" s="27" t="s">
        <v>7</v>
      </c>
      <c r="CS195" s="27" t="s">
        <v>8</v>
      </c>
      <c r="CT195" s="27" t="s">
        <v>7</v>
      </c>
    </row>
    <row r="196" spans="1:126" x14ac:dyDescent="0.25">
      <c r="A196" s="30">
        <v>8.5571502795169767</v>
      </c>
      <c r="E196"/>
      <c r="CQ196" s="27" t="s">
        <v>8</v>
      </c>
      <c r="CR196" s="27" t="s">
        <v>7</v>
      </c>
      <c r="CS196" s="27" t="s">
        <v>8</v>
      </c>
      <c r="CT196" s="27" t="s">
        <v>7</v>
      </c>
    </row>
    <row r="197" spans="1:126" x14ac:dyDescent="0.25">
      <c r="A197" s="30">
        <v>8.1496669328733109</v>
      </c>
      <c r="E197"/>
      <c r="CQ197" s="27" t="s">
        <v>8</v>
      </c>
      <c r="CR197" s="27" t="s">
        <v>7</v>
      </c>
      <c r="CS197" s="27" t="s">
        <v>8</v>
      </c>
      <c r="CT197" s="27" t="s">
        <v>7</v>
      </c>
    </row>
    <row r="198" spans="1:126" x14ac:dyDescent="0.25">
      <c r="A198" s="30">
        <v>7.7615875551174378</v>
      </c>
      <c r="E198"/>
      <c r="CQ198" s="27" t="s">
        <v>8</v>
      </c>
      <c r="CR198" s="27" t="s">
        <v>7</v>
      </c>
      <c r="CT198" s="27" t="s">
        <v>7</v>
      </c>
    </row>
    <row r="199" spans="1:126" x14ac:dyDescent="0.25">
      <c r="A199" s="30">
        <v>7.3919881477308929</v>
      </c>
      <c r="E199"/>
      <c r="CE199" s="27" t="s">
        <v>8</v>
      </c>
      <c r="CQ199" s="27" t="s">
        <v>8</v>
      </c>
      <c r="CT199" s="27" t="s">
        <v>7</v>
      </c>
      <c r="CU199" s="27" t="s">
        <v>8</v>
      </c>
    </row>
    <row r="200" spans="1:126" x14ac:dyDescent="0.25">
      <c r="A200" s="30">
        <v>7.0399887121246598</v>
      </c>
      <c r="E200"/>
      <c r="CE200" s="27" t="s">
        <v>8</v>
      </c>
      <c r="CF200" s="27" t="s">
        <v>7</v>
      </c>
      <c r="CG200" s="27" t="s">
        <v>8</v>
      </c>
      <c r="CQ200" s="27" t="s">
        <v>8</v>
      </c>
      <c r="CT200" s="27" t="s">
        <v>7</v>
      </c>
      <c r="CU200" s="27" t="s">
        <v>8</v>
      </c>
      <c r="CV200" s="27" t="s">
        <v>7</v>
      </c>
    </row>
    <row r="201" spans="1:126" x14ac:dyDescent="0.25">
      <c r="A201" s="30">
        <v>6.7047511544044376</v>
      </c>
      <c r="E201"/>
      <c r="CC201" s="27" t="s">
        <v>8</v>
      </c>
      <c r="CE201" s="27" t="s">
        <v>8</v>
      </c>
      <c r="CF201" s="27" t="s">
        <v>7</v>
      </c>
      <c r="CG201" s="27" t="s">
        <v>8</v>
      </c>
      <c r="CH201" s="27" t="s">
        <v>7</v>
      </c>
      <c r="CQ201" s="27" t="s">
        <v>8</v>
      </c>
      <c r="CT201" s="27" t="s">
        <v>7</v>
      </c>
      <c r="CU201" s="27" t="s">
        <v>8</v>
      </c>
      <c r="CV201" s="27" t="s">
        <v>7</v>
      </c>
    </row>
    <row r="202" spans="1:126" x14ac:dyDescent="0.25">
      <c r="A202" s="30">
        <v>6.3854772899089882</v>
      </c>
      <c r="E202"/>
      <c r="CC202" s="27" t="s">
        <v>8</v>
      </c>
      <c r="CD202" s="27" t="s">
        <v>7</v>
      </c>
      <c r="CE202" s="27" t="s">
        <v>8</v>
      </c>
      <c r="CF202" s="27" t="s">
        <v>7</v>
      </c>
      <c r="CG202" s="27" t="s">
        <v>8</v>
      </c>
      <c r="CH202" s="27" t="s">
        <v>7</v>
      </c>
      <c r="CO202" s="27" t="s">
        <v>8</v>
      </c>
      <c r="CQ202" s="27" t="s">
        <v>8</v>
      </c>
      <c r="CT202" s="27" t="s">
        <v>7</v>
      </c>
      <c r="CU202" s="27" t="s">
        <v>8</v>
      </c>
      <c r="CV202" s="27" t="s">
        <v>7</v>
      </c>
      <c r="CW202" s="27" t="s">
        <v>8</v>
      </c>
    </row>
    <row r="203" spans="1:126" x14ac:dyDescent="0.25">
      <c r="A203" s="30">
        <v>6.0814069427704647</v>
      </c>
      <c r="C203" s="7"/>
      <c r="D203"/>
      <c r="E203"/>
      <c r="CC203" s="27" t="s">
        <v>8</v>
      </c>
      <c r="CD203" s="27" t="s">
        <v>7</v>
      </c>
      <c r="CE203" s="27" t="s">
        <v>8</v>
      </c>
      <c r="CF203" s="27" t="s">
        <v>7</v>
      </c>
      <c r="CH203" s="27" t="s">
        <v>7</v>
      </c>
      <c r="CO203" s="27" t="s">
        <v>8</v>
      </c>
      <c r="CP203" s="27" t="s">
        <v>7</v>
      </c>
      <c r="CQ203" s="27" t="s">
        <v>8</v>
      </c>
      <c r="CT203" s="27" t="s">
        <v>7</v>
      </c>
      <c r="CV203" s="27" t="s">
        <v>7</v>
      </c>
      <c r="CW203" s="27" t="s">
        <v>8</v>
      </c>
      <c r="CX203" s="27" t="s">
        <v>7</v>
      </c>
    </row>
    <row r="204" spans="1:126" x14ac:dyDescent="0.25">
      <c r="A204" s="30">
        <v>5.7918161359718709</v>
      </c>
      <c r="E204"/>
      <c r="CC204" s="27" t="s">
        <v>8</v>
      </c>
      <c r="CD204" s="27" t="s">
        <v>7</v>
      </c>
      <c r="CE204" s="27" t="s">
        <v>8</v>
      </c>
      <c r="CH204" s="27" t="s">
        <v>7</v>
      </c>
      <c r="CI204" s="27" t="s">
        <v>8</v>
      </c>
      <c r="CM204" s="27" t="s">
        <v>8</v>
      </c>
      <c r="CO204" s="27" t="s">
        <v>8</v>
      </c>
      <c r="CP204" s="27" t="s">
        <v>7</v>
      </c>
      <c r="CQ204" s="27" t="s">
        <v>8</v>
      </c>
      <c r="CV204" s="27" t="s">
        <v>7</v>
      </c>
      <c r="CW204" s="27" t="s">
        <v>8</v>
      </c>
      <c r="CX204" s="27" t="s">
        <v>7</v>
      </c>
    </row>
    <row r="205" spans="1:126" x14ac:dyDescent="0.25">
      <c r="A205" s="30">
        <v>5.5160153675922574</v>
      </c>
      <c r="E205"/>
      <c r="CA205" s="27" t="s">
        <v>8</v>
      </c>
      <c r="CC205" s="27" t="s">
        <v>8</v>
      </c>
      <c r="CD205" s="27" t="s">
        <v>7</v>
      </c>
      <c r="CH205" s="27" t="s">
        <v>7</v>
      </c>
      <c r="CI205" s="27" t="s">
        <v>8</v>
      </c>
      <c r="CJ205" s="27" t="s">
        <v>7</v>
      </c>
      <c r="CK205" s="27" t="s">
        <v>8</v>
      </c>
      <c r="CM205" s="27" t="s">
        <v>8</v>
      </c>
      <c r="CN205" s="27" t="s">
        <v>7</v>
      </c>
      <c r="CO205" s="27" t="s">
        <v>8</v>
      </c>
      <c r="CP205" s="27" t="s">
        <v>7</v>
      </c>
      <c r="CQ205" s="27" t="s">
        <v>8</v>
      </c>
      <c r="CV205" s="27" t="s">
        <v>7</v>
      </c>
      <c r="CX205" s="27" t="s">
        <v>7</v>
      </c>
    </row>
    <row r="206" spans="1:126" x14ac:dyDescent="0.25">
      <c r="A206" s="30">
        <v>5.2533479691354827</v>
      </c>
      <c r="C206"/>
      <c r="D206"/>
      <c r="E206"/>
      <c r="CA206" s="27" t="s">
        <v>8</v>
      </c>
      <c r="CB206" s="27" t="s">
        <v>7</v>
      </c>
      <c r="CC206" s="27" t="s">
        <v>8</v>
      </c>
      <c r="CH206" s="27" t="s">
        <v>7</v>
      </c>
      <c r="CI206" s="27" t="s">
        <v>8</v>
      </c>
      <c r="CJ206" s="27" t="s">
        <v>7</v>
      </c>
      <c r="CK206" s="27" t="s">
        <v>8</v>
      </c>
      <c r="CL206" s="27" t="s">
        <v>7</v>
      </c>
      <c r="CM206" s="27" t="s">
        <v>8</v>
      </c>
      <c r="CN206" s="27" t="s">
        <v>7</v>
      </c>
      <c r="CO206" s="27" t="s">
        <v>8</v>
      </c>
      <c r="CP206" s="27" t="s">
        <v>7</v>
      </c>
      <c r="CX206" s="27" t="s">
        <v>7</v>
      </c>
      <c r="CY206" s="27" t="s">
        <v>8</v>
      </c>
      <c r="DU206" s="27" t="s">
        <v>8</v>
      </c>
    </row>
    <row r="207" spans="1:126" x14ac:dyDescent="0.25">
      <c r="A207" s="30">
        <v>5.0031885420337927</v>
      </c>
      <c r="E207"/>
      <c r="BY207" s="27" t="s">
        <v>8</v>
      </c>
      <c r="CA207" s="27" t="s">
        <v>8</v>
      </c>
      <c r="CB207" s="27" t="s">
        <v>7</v>
      </c>
      <c r="CC207" s="27" t="s">
        <v>8</v>
      </c>
      <c r="CH207" s="27" t="s">
        <v>7</v>
      </c>
      <c r="CJ207" s="27" t="s">
        <v>7</v>
      </c>
      <c r="CK207" s="27" t="s">
        <v>8</v>
      </c>
      <c r="CL207" s="27" t="s">
        <v>7</v>
      </c>
      <c r="CM207" s="27" t="s">
        <v>8</v>
      </c>
      <c r="CN207" s="27" t="s">
        <v>7</v>
      </c>
      <c r="CX207" s="27" t="s">
        <v>7</v>
      </c>
      <c r="CY207" s="27" t="s">
        <v>8</v>
      </c>
      <c r="CZ207" s="27" t="s">
        <v>7</v>
      </c>
      <c r="DU207" s="27" t="s">
        <v>8</v>
      </c>
      <c r="DV207" s="27" t="s">
        <v>7</v>
      </c>
    </row>
    <row r="208" spans="1:126" x14ac:dyDescent="0.25">
      <c r="A208" s="30">
        <v>4.7649414686036122</v>
      </c>
      <c r="E208"/>
      <c r="BY208" s="27" t="s">
        <v>8</v>
      </c>
      <c r="BZ208" s="27" t="s">
        <v>7</v>
      </c>
      <c r="CA208" s="27" t="s">
        <v>8</v>
      </c>
      <c r="CB208" s="27" t="s">
        <v>7</v>
      </c>
      <c r="CJ208" s="27" t="s">
        <v>7</v>
      </c>
      <c r="CL208" s="27" t="s">
        <v>7</v>
      </c>
      <c r="CM208" s="27" t="s">
        <v>8</v>
      </c>
      <c r="CX208" s="27" t="s">
        <v>7</v>
      </c>
      <c r="CY208" s="27" t="s">
        <v>8</v>
      </c>
      <c r="CZ208" s="27" t="s">
        <v>7</v>
      </c>
      <c r="DS208" s="27" t="s">
        <v>8</v>
      </c>
      <c r="DU208" s="27" t="s">
        <v>8</v>
      </c>
      <c r="DV208" s="27" t="s">
        <v>7</v>
      </c>
    </row>
    <row r="209" spans="1:150" x14ac:dyDescent="0.25">
      <c r="A209" s="30">
        <v>4.5380394939082018</v>
      </c>
      <c r="E209"/>
      <c r="BK209" s="27" t="s">
        <v>8</v>
      </c>
      <c r="BW209" s="27" t="s">
        <v>8</v>
      </c>
      <c r="BY209" s="27" t="s">
        <v>8</v>
      </c>
      <c r="BZ209" s="27" t="s">
        <v>7</v>
      </c>
      <c r="CA209" s="27" t="s">
        <v>8</v>
      </c>
      <c r="CL209" s="27" t="s">
        <v>7</v>
      </c>
      <c r="CM209" s="27" t="s">
        <v>8</v>
      </c>
      <c r="CX209" s="27" t="s">
        <v>7</v>
      </c>
      <c r="CY209" s="27" t="s">
        <v>8</v>
      </c>
      <c r="CZ209" s="27" t="s">
        <v>7</v>
      </c>
      <c r="DA209" s="27" t="s">
        <v>8</v>
      </c>
      <c r="DS209" s="27" t="s">
        <v>8</v>
      </c>
      <c r="DT209" s="27" t="s">
        <v>7</v>
      </c>
      <c r="DU209" s="27" t="s">
        <v>8</v>
      </c>
      <c r="DV209" s="27" t="s">
        <v>7</v>
      </c>
      <c r="DW209" s="27" t="s">
        <v>8</v>
      </c>
      <c r="EK209" s="27" t="s">
        <v>8</v>
      </c>
    </row>
    <row r="210" spans="1:150" x14ac:dyDescent="0.25">
      <c r="A210" s="30">
        <v>4.3219423751506678</v>
      </c>
      <c r="C210"/>
      <c r="E210"/>
      <c r="BK210" s="27" t="s">
        <v>8</v>
      </c>
      <c r="BL210" s="27" t="s">
        <v>7</v>
      </c>
      <c r="BO210" s="27" t="s">
        <v>8</v>
      </c>
      <c r="BW210" s="27" t="s">
        <v>8</v>
      </c>
      <c r="BX210" s="27" t="s">
        <v>7</v>
      </c>
      <c r="BY210" s="27" t="s">
        <v>8</v>
      </c>
      <c r="BZ210" s="27" t="s">
        <v>7</v>
      </c>
      <c r="CA210" s="27" t="s">
        <v>8</v>
      </c>
      <c r="CL210" s="27" t="s">
        <v>7</v>
      </c>
      <c r="CM210" s="27" t="s">
        <v>8</v>
      </c>
      <c r="CX210" s="27" t="s">
        <v>7</v>
      </c>
      <c r="CY210" s="27" t="s">
        <v>8</v>
      </c>
      <c r="CZ210" s="27" t="s">
        <v>7</v>
      </c>
      <c r="DA210" s="27" t="s">
        <v>8</v>
      </c>
      <c r="DB210" s="27" t="s">
        <v>7</v>
      </c>
      <c r="DQ210" s="27" t="s">
        <v>8</v>
      </c>
      <c r="DS210" s="27" t="s">
        <v>8</v>
      </c>
      <c r="DT210" s="27" t="s">
        <v>7</v>
      </c>
      <c r="DU210" s="27" t="s">
        <v>8</v>
      </c>
      <c r="DV210" s="27" t="s">
        <v>7</v>
      </c>
      <c r="DW210" s="27" t="s">
        <v>8</v>
      </c>
      <c r="DX210" s="27" t="s">
        <v>7</v>
      </c>
      <c r="EI210" s="27" t="s">
        <v>8</v>
      </c>
      <c r="EK210" s="27" t="s">
        <v>8</v>
      </c>
      <c r="EL210" s="27" t="s">
        <v>7</v>
      </c>
    </row>
    <row r="211" spans="1:150" x14ac:dyDescent="0.25">
      <c r="A211" s="30">
        <v>4.1161355953815884</v>
      </c>
      <c r="E211"/>
      <c r="BK211" s="27" t="s">
        <v>8</v>
      </c>
      <c r="BL211" s="27" t="s">
        <v>7</v>
      </c>
      <c r="BO211" s="27" t="s">
        <v>8</v>
      </c>
      <c r="BP211" s="27" t="s">
        <v>7</v>
      </c>
      <c r="BQ211" s="27" t="s">
        <v>8</v>
      </c>
      <c r="BW211" s="27" t="s">
        <v>8</v>
      </c>
      <c r="BX211" s="27" t="s">
        <v>7</v>
      </c>
      <c r="BY211" s="27" t="s">
        <v>8</v>
      </c>
      <c r="BZ211" s="27" t="s">
        <v>7</v>
      </c>
      <c r="CA211" s="27" t="s">
        <v>8</v>
      </c>
      <c r="CL211" s="27" t="s">
        <v>7</v>
      </c>
      <c r="CM211" s="27" t="s">
        <v>8</v>
      </c>
      <c r="CX211" s="27" t="s">
        <v>7</v>
      </c>
      <c r="CY211" s="27" t="s">
        <v>8</v>
      </c>
      <c r="CZ211" s="27" t="s">
        <v>7</v>
      </c>
      <c r="DA211" s="27" t="s">
        <v>8</v>
      </c>
      <c r="DB211" s="27" t="s">
        <v>7</v>
      </c>
      <c r="DQ211" s="27" t="s">
        <v>8</v>
      </c>
      <c r="DR211" s="27" t="s">
        <v>7</v>
      </c>
      <c r="DS211" s="27" t="s">
        <v>8</v>
      </c>
      <c r="DT211" s="27" t="s">
        <v>7</v>
      </c>
      <c r="DV211" s="27" t="s">
        <v>7</v>
      </c>
      <c r="DW211" s="27" t="s">
        <v>8</v>
      </c>
      <c r="DX211" s="27" t="s">
        <v>7</v>
      </c>
      <c r="EI211" s="27" t="s">
        <v>8</v>
      </c>
      <c r="EJ211" s="27" t="s">
        <v>7</v>
      </c>
      <c r="EK211" s="27" t="s">
        <v>8</v>
      </c>
      <c r="EL211" s="27" t="s">
        <v>7</v>
      </c>
    </row>
    <row r="212" spans="1:150" x14ac:dyDescent="0.25">
      <c r="A212" s="30">
        <v>3.9201291384586554</v>
      </c>
      <c r="E212"/>
      <c r="BK212" s="27" t="s">
        <v>8</v>
      </c>
      <c r="BL212" s="27" t="s">
        <v>7</v>
      </c>
      <c r="BO212" s="27" t="s">
        <v>8</v>
      </c>
      <c r="BP212" s="27" t="s">
        <v>7</v>
      </c>
      <c r="BQ212" s="27" t="s">
        <v>8</v>
      </c>
      <c r="BR212" s="27" t="s">
        <v>7</v>
      </c>
      <c r="BW212" s="27" t="s">
        <v>8</v>
      </c>
      <c r="BX212" s="27" t="s">
        <v>7</v>
      </c>
      <c r="BY212" s="27" t="s">
        <v>8</v>
      </c>
      <c r="BZ212" s="27" t="s">
        <v>7</v>
      </c>
      <c r="CL212" s="27" t="s">
        <v>7</v>
      </c>
      <c r="CM212" s="27" t="s">
        <v>8</v>
      </c>
      <c r="CX212" s="27" t="s">
        <v>7</v>
      </c>
      <c r="CY212" s="27" t="s">
        <v>8</v>
      </c>
      <c r="CZ212" s="27" t="s">
        <v>7</v>
      </c>
      <c r="DA212" s="27" t="s">
        <v>8</v>
      </c>
      <c r="DB212" s="27" t="s">
        <v>7</v>
      </c>
      <c r="DE212" s="27" t="s">
        <v>8</v>
      </c>
      <c r="DQ212" s="27" t="s">
        <v>8</v>
      </c>
      <c r="DR212" s="27" t="s">
        <v>7</v>
      </c>
      <c r="DS212" s="27" t="s">
        <v>8</v>
      </c>
      <c r="DV212" s="27" t="s">
        <v>7</v>
      </c>
      <c r="DX212" s="27" t="s">
        <v>7</v>
      </c>
      <c r="DY212" s="27" t="s">
        <v>8</v>
      </c>
      <c r="EG212" s="27" t="s">
        <v>8</v>
      </c>
      <c r="EI212" s="27" t="s">
        <v>8</v>
      </c>
      <c r="EJ212" s="27" t="s">
        <v>7</v>
      </c>
      <c r="EK212" s="27" t="s">
        <v>8</v>
      </c>
      <c r="EL212" s="27" t="s">
        <v>7</v>
      </c>
    </row>
    <row r="213" spans="1:150" x14ac:dyDescent="0.25">
      <c r="A213" s="30">
        <v>3.7334563223415764</v>
      </c>
      <c r="E213"/>
      <c r="BK213" s="27" t="s">
        <v>8</v>
      </c>
      <c r="BL213" s="27" t="s">
        <v>7</v>
      </c>
      <c r="BO213" s="27" t="s">
        <v>8</v>
      </c>
      <c r="BP213" s="27" t="s">
        <v>7</v>
      </c>
      <c r="BQ213" s="27" t="s">
        <v>8</v>
      </c>
      <c r="BR213" s="27" t="s">
        <v>7</v>
      </c>
      <c r="BW213" s="27" t="s">
        <v>8</v>
      </c>
      <c r="BX213" s="27" t="s">
        <v>7</v>
      </c>
      <c r="CL213" s="27" t="s">
        <v>7</v>
      </c>
      <c r="CM213" s="27" t="s">
        <v>8</v>
      </c>
      <c r="CX213" s="27" t="s">
        <v>7</v>
      </c>
      <c r="CY213" s="27" t="s">
        <v>8</v>
      </c>
      <c r="CZ213" s="27" t="s">
        <v>7</v>
      </c>
      <c r="DA213" s="27" t="s">
        <v>8</v>
      </c>
      <c r="DB213" s="27" t="s">
        <v>7</v>
      </c>
      <c r="DE213" s="27" t="s">
        <v>8</v>
      </c>
      <c r="DF213" s="27" t="s">
        <v>7</v>
      </c>
      <c r="DQ213" s="27" t="s">
        <v>8</v>
      </c>
      <c r="DR213" s="27" t="s">
        <v>7</v>
      </c>
      <c r="DS213" s="27" t="s">
        <v>8</v>
      </c>
      <c r="DX213" s="27" t="s">
        <v>7</v>
      </c>
      <c r="DY213" s="27" t="s">
        <v>8</v>
      </c>
      <c r="DZ213" s="27" t="s">
        <v>7</v>
      </c>
      <c r="EA213" s="27" t="s">
        <v>8</v>
      </c>
      <c r="EG213" s="27" t="s">
        <v>8</v>
      </c>
      <c r="EH213" s="27" t="s">
        <v>7</v>
      </c>
      <c r="EI213" s="27" t="s">
        <v>8</v>
      </c>
      <c r="EJ213" s="27" t="s">
        <v>7</v>
      </c>
      <c r="EK213" s="27" t="s">
        <v>8</v>
      </c>
      <c r="EL213" s="27" t="s">
        <v>7</v>
      </c>
    </row>
    <row r="214" spans="1:150" x14ac:dyDescent="0.25">
      <c r="A214" s="30">
        <v>3.5556726879443583</v>
      </c>
      <c r="E214"/>
      <c r="BK214" s="27" t="s">
        <v>8</v>
      </c>
      <c r="BL214" s="27" t="s">
        <v>7</v>
      </c>
      <c r="BM214" s="27" t="s">
        <v>8</v>
      </c>
      <c r="BO214" s="27" t="s">
        <v>8</v>
      </c>
      <c r="BP214" s="27" t="s">
        <v>7</v>
      </c>
      <c r="BQ214" s="27" t="s">
        <v>8</v>
      </c>
      <c r="BR214" s="27" t="s">
        <v>7</v>
      </c>
      <c r="BS214" s="27" t="s">
        <v>8</v>
      </c>
      <c r="BU214" s="27" t="s">
        <v>8</v>
      </c>
      <c r="BW214" s="27" t="s">
        <v>8</v>
      </c>
      <c r="CL214" s="27" t="s">
        <v>7</v>
      </c>
      <c r="CM214" s="27" t="s">
        <v>8</v>
      </c>
      <c r="CX214" s="27" t="s">
        <v>7</v>
      </c>
      <c r="CY214" s="27" t="s">
        <v>8</v>
      </c>
      <c r="CZ214" s="27" t="s">
        <v>7</v>
      </c>
      <c r="DA214" s="27" t="s">
        <v>8</v>
      </c>
      <c r="DB214" s="27" t="s">
        <v>7</v>
      </c>
      <c r="DC214" s="27" t="s">
        <v>8</v>
      </c>
      <c r="DE214" s="27" t="s">
        <v>8</v>
      </c>
      <c r="DF214" s="27" t="s">
        <v>7</v>
      </c>
      <c r="DQ214" s="27" t="s">
        <v>8</v>
      </c>
      <c r="DR214" s="27" t="s">
        <v>7</v>
      </c>
      <c r="DS214" s="27" t="s">
        <v>8</v>
      </c>
      <c r="DX214" s="27" t="s">
        <v>7</v>
      </c>
      <c r="DY214" s="27" t="s">
        <v>8</v>
      </c>
      <c r="DZ214" s="27" t="s">
        <v>7</v>
      </c>
      <c r="EA214" s="27" t="s">
        <v>8</v>
      </c>
      <c r="EB214" s="27" t="s">
        <v>7</v>
      </c>
      <c r="EE214" s="27" t="s">
        <v>8</v>
      </c>
      <c r="EG214" s="27" t="s">
        <v>8</v>
      </c>
      <c r="EH214" s="27" t="s">
        <v>7</v>
      </c>
      <c r="EI214" s="27" t="s">
        <v>8</v>
      </c>
      <c r="EJ214" s="27" t="s">
        <v>7</v>
      </c>
      <c r="EK214" s="27" t="s">
        <v>8</v>
      </c>
      <c r="EL214" s="27" t="s">
        <v>7</v>
      </c>
    </row>
    <row r="215" spans="1:150" x14ac:dyDescent="0.25">
      <c r="A215" s="30">
        <v>3.3863549408993889</v>
      </c>
      <c r="E215"/>
      <c r="BK215" s="27" t="s">
        <v>8</v>
      </c>
      <c r="BL215" s="27" t="s">
        <v>7</v>
      </c>
      <c r="BM215" s="27" t="s">
        <v>8</v>
      </c>
      <c r="BN215" s="27" t="s">
        <v>7</v>
      </c>
      <c r="BO215" s="27" t="s">
        <v>8</v>
      </c>
      <c r="BP215" s="27" t="s">
        <v>7</v>
      </c>
      <c r="BQ215" s="27" t="s">
        <v>8</v>
      </c>
      <c r="BR215" s="27" t="s">
        <v>7</v>
      </c>
      <c r="BS215" s="27" t="s">
        <v>8</v>
      </c>
      <c r="BT215" s="27" t="s">
        <v>7</v>
      </c>
      <c r="BU215" s="27" t="s">
        <v>8</v>
      </c>
      <c r="BV215" s="27" t="s">
        <v>7</v>
      </c>
      <c r="BW215" s="27" t="s">
        <v>8</v>
      </c>
      <c r="CL215" s="27" t="s">
        <v>7</v>
      </c>
      <c r="CM215" s="27" t="s">
        <v>8</v>
      </c>
      <c r="CX215" s="27" t="s">
        <v>7</v>
      </c>
      <c r="CY215" s="27" t="s">
        <v>8</v>
      </c>
      <c r="CZ215" s="27" t="s">
        <v>7</v>
      </c>
      <c r="DA215" s="27" t="s">
        <v>8</v>
      </c>
      <c r="DB215" s="27" t="s">
        <v>7</v>
      </c>
      <c r="DC215" s="27" t="s">
        <v>8</v>
      </c>
      <c r="DD215" s="27" t="s">
        <v>7</v>
      </c>
      <c r="DE215" s="27" t="s">
        <v>8</v>
      </c>
      <c r="DF215" s="27" t="s">
        <v>7</v>
      </c>
      <c r="DQ215" s="27" t="s">
        <v>8</v>
      </c>
      <c r="DR215" s="27" t="s">
        <v>7</v>
      </c>
      <c r="DS215" s="27" t="s">
        <v>8</v>
      </c>
      <c r="DX215" s="27" t="s">
        <v>7</v>
      </c>
      <c r="DY215" s="27" t="s">
        <v>8</v>
      </c>
      <c r="DZ215" s="27" t="s">
        <v>7</v>
      </c>
      <c r="EA215" s="27" t="s">
        <v>8</v>
      </c>
      <c r="EB215" s="27" t="s">
        <v>7</v>
      </c>
      <c r="EE215" s="27" t="s">
        <v>8</v>
      </c>
      <c r="EF215" s="27" t="s">
        <v>7</v>
      </c>
      <c r="EG215" s="27" t="s">
        <v>8</v>
      </c>
      <c r="EH215" s="27" t="s">
        <v>7</v>
      </c>
      <c r="EI215" s="27" t="s">
        <v>8</v>
      </c>
      <c r="EJ215" s="27" t="s">
        <v>7</v>
      </c>
      <c r="EL215" s="27" t="s">
        <v>7</v>
      </c>
    </row>
    <row r="216" spans="1:150" x14ac:dyDescent="0.25">
      <c r="A216" s="30">
        <v>3.2250999437137038</v>
      </c>
      <c r="E216"/>
      <c r="BK216" s="27" t="s">
        <v>8</v>
      </c>
      <c r="BL216" s="27" t="s">
        <v>7</v>
      </c>
      <c r="BM216" s="27" t="s">
        <v>8</v>
      </c>
      <c r="BN216" s="27" t="s">
        <v>7</v>
      </c>
      <c r="BO216" s="27" t="s">
        <v>8</v>
      </c>
      <c r="BP216" s="27" t="s">
        <v>7</v>
      </c>
      <c r="BQ216" s="27" t="s">
        <v>8</v>
      </c>
      <c r="BR216" s="27" t="s">
        <v>7</v>
      </c>
      <c r="BS216" s="27" t="s">
        <v>8</v>
      </c>
      <c r="BT216" s="27" t="s">
        <v>7</v>
      </c>
      <c r="BU216" s="27" t="s">
        <v>8</v>
      </c>
      <c r="BV216" s="27" t="s">
        <v>7</v>
      </c>
      <c r="BW216" s="27" t="s">
        <v>8</v>
      </c>
      <c r="CL216" s="27" t="s">
        <v>7</v>
      </c>
      <c r="CX216" s="27" t="s">
        <v>7</v>
      </c>
      <c r="CY216" s="27" t="s">
        <v>8</v>
      </c>
      <c r="CZ216" s="27" t="s">
        <v>7</v>
      </c>
      <c r="DA216" s="27" t="s">
        <v>8</v>
      </c>
      <c r="DB216" s="27" t="s">
        <v>7</v>
      </c>
      <c r="DC216" s="27" t="s">
        <v>8</v>
      </c>
      <c r="DD216" s="27" t="s">
        <v>7</v>
      </c>
      <c r="DE216" s="27" t="s">
        <v>8</v>
      </c>
      <c r="DF216" s="27" t="s">
        <v>7</v>
      </c>
      <c r="DG216" s="27" t="s">
        <v>8</v>
      </c>
      <c r="DQ216" s="27" t="s">
        <v>8</v>
      </c>
      <c r="DR216" s="27" t="s">
        <v>7</v>
      </c>
      <c r="DS216" s="27" t="s">
        <v>8</v>
      </c>
      <c r="DX216" s="27" t="s">
        <v>7</v>
      </c>
      <c r="DZ216" s="27" t="s">
        <v>7</v>
      </c>
      <c r="EB216" s="27" t="s">
        <v>7</v>
      </c>
      <c r="EC216" s="27" t="s">
        <v>8</v>
      </c>
      <c r="EE216" s="27" t="s">
        <v>8</v>
      </c>
      <c r="EF216" s="27" t="s">
        <v>7</v>
      </c>
      <c r="EG216" s="27" t="s">
        <v>8</v>
      </c>
      <c r="EH216" s="27" t="s">
        <v>7</v>
      </c>
      <c r="EI216" s="27" t="s">
        <v>8</v>
      </c>
      <c r="EL216" s="27" t="s">
        <v>7</v>
      </c>
    </row>
    <row r="217" spans="1:150" x14ac:dyDescent="0.25">
      <c r="A217" s="30">
        <v>3.0715237559178128</v>
      </c>
      <c r="E217"/>
      <c r="BK217" s="27" t="s">
        <v>8</v>
      </c>
      <c r="BL217" s="27" t="s">
        <v>7</v>
      </c>
      <c r="BM217" s="27" t="s">
        <v>8</v>
      </c>
      <c r="BN217" s="27" t="s">
        <v>7</v>
      </c>
      <c r="BP217" s="27" t="s">
        <v>7</v>
      </c>
      <c r="BQ217" s="27" t="s">
        <v>8</v>
      </c>
      <c r="BR217" s="27" t="s">
        <v>7</v>
      </c>
      <c r="BS217" s="27" t="s">
        <v>8</v>
      </c>
      <c r="BT217" s="27" t="s">
        <v>7</v>
      </c>
      <c r="BU217" s="27" t="s">
        <v>8</v>
      </c>
      <c r="BV217" s="27" t="s">
        <v>7</v>
      </c>
      <c r="CX217" s="27" t="s">
        <v>7</v>
      </c>
      <c r="CZ217" s="27" t="s">
        <v>7</v>
      </c>
      <c r="DA217" s="27" t="s">
        <v>8</v>
      </c>
      <c r="DB217" s="27" t="s">
        <v>7</v>
      </c>
      <c r="DD217" s="27" t="s">
        <v>7</v>
      </c>
      <c r="DF217" s="27" t="s">
        <v>7</v>
      </c>
      <c r="DG217" s="27" t="s">
        <v>8</v>
      </c>
      <c r="DH217" s="27" t="s">
        <v>7</v>
      </c>
      <c r="DI217" s="27" t="s">
        <v>8</v>
      </c>
      <c r="DQ217" s="27" t="s">
        <v>8</v>
      </c>
      <c r="DR217" s="27" t="s">
        <v>7</v>
      </c>
      <c r="EB217" s="27" t="s">
        <v>7</v>
      </c>
      <c r="EC217" s="27" t="s">
        <v>8</v>
      </c>
      <c r="ED217" s="27" t="s">
        <v>7</v>
      </c>
      <c r="EE217" s="27" t="s">
        <v>8</v>
      </c>
      <c r="EF217" s="27" t="s">
        <v>7</v>
      </c>
      <c r="EH217" s="27" t="s">
        <v>7</v>
      </c>
      <c r="EL217" s="27" t="s">
        <v>7</v>
      </c>
      <c r="ES217" s="27" t="s">
        <v>8</v>
      </c>
    </row>
    <row r="218" spans="1:150" x14ac:dyDescent="0.25">
      <c r="A218" s="30">
        <v>2.9252607199217264</v>
      </c>
      <c r="E218"/>
      <c r="BK218" s="27" t="s">
        <v>8</v>
      </c>
      <c r="BL218" s="27" t="s">
        <v>7</v>
      </c>
      <c r="BM218" s="27" t="s">
        <v>8</v>
      </c>
      <c r="BP218" s="27" t="s">
        <v>7</v>
      </c>
      <c r="BQ218" s="27" t="s">
        <v>8</v>
      </c>
      <c r="BR218" s="27" t="s">
        <v>7</v>
      </c>
      <c r="BS218" s="27" t="s">
        <v>8</v>
      </c>
      <c r="BT218" s="27" t="s">
        <v>7</v>
      </c>
      <c r="CZ218" s="27" t="s">
        <v>7</v>
      </c>
      <c r="DA218" s="27" t="s">
        <v>8</v>
      </c>
      <c r="DF218" s="27" t="s">
        <v>7</v>
      </c>
      <c r="DG218" s="27" t="s">
        <v>8</v>
      </c>
      <c r="DH218" s="27" t="s">
        <v>7</v>
      </c>
      <c r="DI218" s="27" t="s">
        <v>8</v>
      </c>
      <c r="DJ218" s="27" t="s">
        <v>7</v>
      </c>
      <c r="DK218" s="27" t="s">
        <v>8</v>
      </c>
      <c r="DM218" s="27" t="s">
        <v>8</v>
      </c>
      <c r="DQ218" s="27" t="s">
        <v>8</v>
      </c>
      <c r="EB218" s="27" t="s">
        <v>7</v>
      </c>
      <c r="EC218" s="27" t="s">
        <v>8</v>
      </c>
      <c r="ED218" s="27" t="s">
        <v>7</v>
      </c>
      <c r="EE218" s="27" t="s">
        <v>8</v>
      </c>
      <c r="EL218" s="27" t="s">
        <v>7</v>
      </c>
      <c r="EM218" s="27" t="s">
        <v>8</v>
      </c>
      <c r="EO218" s="27" t="s">
        <v>8</v>
      </c>
      <c r="ES218" s="27" t="s">
        <v>8</v>
      </c>
      <c r="ET218" s="27" t="s">
        <v>7</v>
      </c>
    </row>
    <row r="219" spans="1:150" x14ac:dyDescent="0.25">
      <c r="A219" s="30">
        <v>2.7859625904016441</v>
      </c>
      <c r="E219" t="s">
        <v>8</v>
      </c>
      <c r="BK219" s="27" t="s">
        <v>8</v>
      </c>
      <c r="BL219" s="27" t="s">
        <v>7</v>
      </c>
      <c r="BP219" s="27" t="s">
        <v>7</v>
      </c>
      <c r="BQ219" s="27" t="s">
        <v>8</v>
      </c>
      <c r="BR219" s="27" t="s">
        <v>7</v>
      </c>
      <c r="BS219" s="27" t="s">
        <v>8</v>
      </c>
      <c r="CZ219" s="27" t="s">
        <v>7</v>
      </c>
      <c r="DA219" s="27" t="s">
        <v>8</v>
      </c>
      <c r="DF219" s="27" t="s">
        <v>7</v>
      </c>
      <c r="DH219" s="27" t="s">
        <v>7</v>
      </c>
      <c r="DI219" s="27" t="s">
        <v>8</v>
      </c>
      <c r="DJ219" s="27" t="s">
        <v>7</v>
      </c>
      <c r="DK219" s="27" t="s">
        <v>8</v>
      </c>
      <c r="DL219" s="27" t="s">
        <v>7</v>
      </c>
      <c r="DM219" s="27" t="s">
        <v>8</v>
      </c>
      <c r="DN219" s="27" t="s">
        <v>7</v>
      </c>
      <c r="DO219" s="27" t="s">
        <v>8</v>
      </c>
      <c r="DQ219" s="27" t="s">
        <v>8</v>
      </c>
      <c r="EB219" s="27" t="s">
        <v>7</v>
      </c>
      <c r="ED219" s="27" t="s">
        <v>7</v>
      </c>
      <c r="EE219" s="27" t="s">
        <v>8</v>
      </c>
      <c r="EL219" s="27" t="s">
        <v>7</v>
      </c>
      <c r="EM219" s="27" t="s">
        <v>8</v>
      </c>
      <c r="EN219" s="27" t="s">
        <v>7</v>
      </c>
      <c r="EO219" s="27" t="s">
        <v>8</v>
      </c>
      <c r="EP219" s="27" t="s">
        <v>7</v>
      </c>
      <c r="ES219" s="27" t="s">
        <v>8</v>
      </c>
      <c r="ET219" s="27" t="s">
        <v>7</v>
      </c>
    </row>
    <row r="220" spans="1:150" x14ac:dyDescent="0.25">
      <c r="A220" s="30">
        <v>2.6532977051444226</v>
      </c>
      <c r="E220" t="s">
        <v>8</v>
      </c>
      <c r="F220" s="27" t="s">
        <v>7</v>
      </c>
      <c r="BK220" s="27" t="s">
        <v>8</v>
      </c>
      <c r="BP220" s="27" t="s">
        <v>7</v>
      </c>
      <c r="BQ220" s="27" t="s">
        <v>8</v>
      </c>
      <c r="BR220" s="27" t="s">
        <v>7</v>
      </c>
      <c r="CZ220" s="27" t="s">
        <v>7</v>
      </c>
      <c r="DH220" s="27" t="s">
        <v>7</v>
      </c>
      <c r="DJ220" s="27" t="s">
        <v>7</v>
      </c>
      <c r="DK220" s="27" t="s">
        <v>8</v>
      </c>
      <c r="DL220" s="27" t="s">
        <v>7</v>
      </c>
      <c r="DM220" s="27" t="s">
        <v>8</v>
      </c>
      <c r="DN220" s="27" t="s">
        <v>7</v>
      </c>
      <c r="DO220" s="27" t="s">
        <v>8</v>
      </c>
      <c r="DP220" s="27" t="s">
        <v>7</v>
      </c>
      <c r="DQ220" s="27" t="s">
        <v>8</v>
      </c>
      <c r="ED220" s="27" t="s">
        <v>7</v>
      </c>
      <c r="EL220" s="27" t="s">
        <v>7</v>
      </c>
      <c r="EM220" s="27" t="s">
        <v>8</v>
      </c>
      <c r="EN220" s="27" t="s">
        <v>7</v>
      </c>
      <c r="EO220" s="27" t="s">
        <v>8</v>
      </c>
      <c r="EP220" s="27" t="s">
        <v>7</v>
      </c>
      <c r="ES220" s="27" t="s">
        <v>8</v>
      </c>
      <c r="ET220" s="27" t="s">
        <v>7</v>
      </c>
    </row>
    <row r="221" spans="1:150" x14ac:dyDescent="0.25">
      <c r="A221" s="30">
        <v>2.5269501953756404</v>
      </c>
      <c r="E221" t="s">
        <v>8</v>
      </c>
      <c r="F221" s="27" t="s">
        <v>7</v>
      </c>
      <c r="BK221" s="27" t="s">
        <v>8</v>
      </c>
      <c r="BP221" s="27" t="s">
        <v>7</v>
      </c>
      <c r="BQ221" s="27" t="s">
        <v>8</v>
      </c>
      <c r="DJ221" s="27" t="s">
        <v>7</v>
      </c>
      <c r="DK221" s="27" t="s">
        <v>8</v>
      </c>
      <c r="DL221" s="27" t="s">
        <v>7</v>
      </c>
      <c r="DM221" s="27" t="s">
        <v>8</v>
      </c>
      <c r="DN221" s="27" t="s">
        <v>7</v>
      </c>
      <c r="DO221" s="27" t="s">
        <v>8</v>
      </c>
      <c r="DP221" s="27" t="s">
        <v>7</v>
      </c>
      <c r="DQ221" s="27" t="s">
        <v>8</v>
      </c>
      <c r="EL221" s="27" t="s">
        <v>7</v>
      </c>
      <c r="EN221" s="27" t="s">
        <v>7</v>
      </c>
      <c r="EO221" s="27" t="s">
        <v>8</v>
      </c>
      <c r="EP221" s="27" t="s">
        <v>7</v>
      </c>
      <c r="EQ221" s="27" t="s">
        <v>8</v>
      </c>
      <c r="ES221" s="27" t="s">
        <v>8</v>
      </c>
      <c r="ET221" s="27" t="s">
        <v>7</v>
      </c>
    </row>
    <row r="222" spans="1:150" x14ac:dyDescent="0.25">
      <c r="A222" s="30">
        <v>2.4066192336910861</v>
      </c>
      <c r="E222" t="s">
        <v>8</v>
      </c>
      <c r="F222" s="27" t="s">
        <v>7</v>
      </c>
      <c r="BK222" s="27" t="s">
        <v>8</v>
      </c>
      <c r="BP222" s="27" t="s">
        <v>7</v>
      </c>
      <c r="BQ222" s="27" t="s">
        <v>8</v>
      </c>
      <c r="DJ222" s="27" t="s">
        <v>7</v>
      </c>
      <c r="DK222" s="27" t="s">
        <v>8</v>
      </c>
      <c r="DL222" s="27" t="s">
        <v>7</v>
      </c>
      <c r="DN222" s="27" t="s">
        <v>7</v>
      </c>
      <c r="DO222" s="27" t="s">
        <v>8</v>
      </c>
      <c r="DP222" s="27" t="s">
        <v>7</v>
      </c>
      <c r="DQ222" s="27" t="s">
        <v>8</v>
      </c>
      <c r="EN222" s="27" t="s">
        <v>7</v>
      </c>
      <c r="EP222" s="27" t="s">
        <v>7</v>
      </c>
      <c r="EQ222" s="27" t="s">
        <v>8</v>
      </c>
      <c r="ER222" s="27" t="s">
        <v>7</v>
      </c>
      <c r="ES222" s="27" t="s">
        <v>8</v>
      </c>
      <c r="ET222" s="27" t="s">
        <v>7</v>
      </c>
    </row>
    <row r="223" spans="1:150" x14ac:dyDescent="0.25">
      <c r="A223" s="30">
        <v>2.2920183178010345</v>
      </c>
      <c r="E223" t="s">
        <v>8</v>
      </c>
      <c r="F223" s="27" t="s">
        <v>7</v>
      </c>
      <c r="BK223" s="27" t="s">
        <v>8</v>
      </c>
      <c r="BP223" s="27" t="s">
        <v>7</v>
      </c>
      <c r="BQ223" s="27" t="s">
        <v>8</v>
      </c>
      <c r="DJ223" s="27" t="s">
        <v>7</v>
      </c>
      <c r="DK223" s="27" t="s">
        <v>8</v>
      </c>
      <c r="DN223" s="27" t="s">
        <v>7</v>
      </c>
      <c r="DO223" s="27" t="s">
        <v>8</v>
      </c>
      <c r="DP223" s="18" t="s">
        <v>7</v>
      </c>
      <c r="DQ223" s="27" t="s">
        <v>8</v>
      </c>
      <c r="EP223" s="27" t="s">
        <v>7</v>
      </c>
      <c r="EQ223" s="27" t="s">
        <v>8</v>
      </c>
      <c r="ER223" s="27" t="s">
        <v>7</v>
      </c>
      <c r="ES223" s="27" t="s">
        <v>8</v>
      </c>
      <c r="ET223" s="27" t="s">
        <v>7</v>
      </c>
    </row>
    <row r="224" spans="1:150" x14ac:dyDescent="0.25">
      <c r="A224" s="30">
        <v>2.1828745883819374</v>
      </c>
      <c r="E224" t="s">
        <v>8</v>
      </c>
      <c r="F224" s="27" t="s">
        <v>7</v>
      </c>
      <c r="BK224" s="27" t="s">
        <v>8</v>
      </c>
      <c r="BP224" s="27" t="s">
        <v>7</v>
      </c>
      <c r="DJ224" s="27" t="s">
        <v>7</v>
      </c>
      <c r="DK224" s="27" t="s">
        <v>8</v>
      </c>
      <c r="DN224" s="27" t="s">
        <v>7</v>
      </c>
      <c r="DP224" s="27" t="s">
        <v>7</v>
      </c>
      <c r="DQ224" s="27" t="s">
        <v>8</v>
      </c>
      <c r="EP224" s="27" t="s">
        <v>7</v>
      </c>
      <c r="ER224" s="27" t="s">
        <v>7</v>
      </c>
      <c r="ET224" s="27" t="s">
        <v>7</v>
      </c>
    </row>
    <row r="225" spans="1:151" x14ac:dyDescent="0.25">
      <c r="A225" s="30">
        <v>2.0789281794113688</v>
      </c>
      <c r="E225" t="s">
        <v>8</v>
      </c>
      <c r="F225" s="27" t="s">
        <v>7</v>
      </c>
      <c r="AK225" s="27" t="s">
        <v>8</v>
      </c>
      <c r="BK225" s="27" t="s">
        <v>8</v>
      </c>
      <c r="DJ225" s="27" t="s">
        <v>7</v>
      </c>
      <c r="DK225" s="27" t="s">
        <v>8</v>
      </c>
      <c r="DP225" s="27" t="s">
        <v>7</v>
      </c>
      <c r="ET225" s="27" t="s">
        <v>7</v>
      </c>
    </row>
    <row r="226" spans="1:151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AK226" s="27" t="s">
        <v>8</v>
      </c>
      <c r="AL226" s="27" t="s">
        <v>7</v>
      </c>
      <c r="AM226" s="27" t="s">
        <v>8</v>
      </c>
      <c r="BK226" s="27" t="s">
        <v>8</v>
      </c>
      <c r="DJ226" s="27" t="s">
        <v>7</v>
      </c>
      <c r="DK226" s="27" t="s">
        <v>8</v>
      </c>
      <c r="ET226" s="27" t="s">
        <v>7</v>
      </c>
    </row>
    <row r="227" spans="1:151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H227" s="27" t="s">
        <v>7</v>
      </c>
      <c r="AI227" s="27" t="s">
        <v>8</v>
      </c>
      <c r="AK227" s="27" t="s">
        <v>8</v>
      </c>
      <c r="AL227" s="27" t="s">
        <v>7</v>
      </c>
      <c r="AM227" s="27" t="s">
        <v>8</v>
      </c>
      <c r="AN227" s="27" t="s">
        <v>7</v>
      </c>
      <c r="AO227" s="27" t="s">
        <v>8</v>
      </c>
      <c r="BK227" s="27" t="s">
        <v>8</v>
      </c>
      <c r="DJ227" s="27" t="s">
        <v>7</v>
      </c>
      <c r="DK227" s="27" t="s">
        <v>8</v>
      </c>
      <c r="ET227" s="27" t="s">
        <v>7</v>
      </c>
    </row>
    <row r="228" spans="1:151" x14ac:dyDescent="0.25">
      <c r="A228" s="30">
        <v>1.7958563260221301</v>
      </c>
      <c r="C228" s="7"/>
      <c r="D228"/>
      <c r="E228" t="s">
        <v>8</v>
      </c>
      <c r="F228" s="27" t="s">
        <v>7</v>
      </c>
      <c r="G228" s="27" t="s">
        <v>8</v>
      </c>
      <c r="H228" s="27" t="s">
        <v>7</v>
      </c>
      <c r="AI228" s="27" t="s">
        <v>8</v>
      </c>
      <c r="AJ228" s="27" t="s">
        <v>7</v>
      </c>
      <c r="AK228" s="27" t="s">
        <v>8</v>
      </c>
      <c r="AL228" s="27" t="s">
        <v>7</v>
      </c>
      <c r="AM228" s="27" t="s">
        <v>8</v>
      </c>
      <c r="AN228" s="27" t="s">
        <v>7</v>
      </c>
      <c r="AO228" s="27" t="s">
        <v>8</v>
      </c>
      <c r="AP228" s="27" t="s">
        <v>7</v>
      </c>
      <c r="BI228" s="27" t="s">
        <v>8</v>
      </c>
      <c r="BK228" s="27" t="s">
        <v>8</v>
      </c>
      <c r="DJ228" s="27" t="s">
        <v>7</v>
      </c>
      <c r="DK228" s="27" t="s">
        <v>8</v>
      </c>
      <c r="ET228" s="27" t="s">
        <v>7</v>
      </c>
    </row>
    <row r="229" spans="1:151" x14ac:dyDescent="0.25">
      <c r="A229" s="30">
        <v>1.7103393581163142</v>
      </c>
      <c r="E229" t="s">
        <v>8</v>
      </c>
      <c r="F229" s="27" t="s">
        <v>7</v>
      </c>
      <c r="H229" s="27" t="s">
        <v>7</v>
      </c>
      <c r="AI229" s="27" t="s">
        <v>8</v>
      </c>
      <c r="AJ229" s="27" t="s">
        <v>7</v>
      </c>
      <c r="AK229" s="27" t="s">
        <v>8</v>
      </c>
      <c r="AL229" s="27" t="s">
        <v>7</v>
      </c>
      <c r="AN229" s="27" t="s">
        <v>7</v>
      </c>
      <c r="AO229" s="27" t="s">
        <v>8</v>
      </c>
      <c r="AP229" s="27" t="s">
        <v>7</v>
      </c>
      <c r="BI229" s="27" t="s">
        <v>8</v>
      </c>
      <c r="BJ229" s="27" t="s">
        <v>7</v>
      </c>
      <c r="BK229" s="27" t="s">
        <v>8</v>
      </c>
      <c r="DJ229" s="27" t="s">
        <v>7</v>
      </c>
      <c r="DK229" s="27" t="s">
        <v>8</v>
      </c>
      <c r="ET229" s="27" t="s">
        <v>7</v>
      </c>
      <c r="EU229" s="27" t="s">
        <v>8</v>
      </c>
    </row>
    <row r="230" spans="1:151" x14ac:dyDescent="0.25">
      <c r="A230" s="30">
        <v>1.628894626777442</v>
      </c>
      <c r="E230" t="s">
        <v>8</v>
      </c>
      <c r="H230" s="27" t="s">
        <v>7</v>
      </c>
      <c r="I230" s="27" t="s">
        <v>8</v>
      </c>
      <c r="AI230" s="27" t="s">
        <v>8</v>
      </c>
      <c r="AJ230" s="27" t="s">
        <v>7</v>
      </c>
      <c r="AK230" s="27" t="s">
        <v>8</v>
      </c>
      <c r="AN230" s="27" t="s">
        <v>7</v>
      </c>
      <c r="AO230" s="27" t="s">
        <v>8</v>
      </c>
      <c r="AP230" s="27" t="s">
        <v>7</v>
      </c>
      <c r="AS230" s="27" t="s">
        <v>8</v>
      </c>
      <c r="BC230" s="27" t="s">
        <v>8</v>
      </c>
      <c r="BI230" s="27" t="s">
        <v>8</v>
      </c>
      <c r="BJ230" s="27" t="s">
        <v>7</v>
      </c>
      <c r="BK230" s="27" t="s">
        <v>8</v>
      </c>
      <c r="DJ230" s="27" t="s">
        <v>7</v>
      </c>
      <c r="DK230" s="27" t="s">
        <v>8</v>
      </c>
      <c r="ET230" s="27" t="s">
        <v>7</v>
      </c>
      <c r="EU230" s="27" t="s">
        <v>8</v>
      </c>
    </row>
    <row r="231" spans="1:151" x14ac:dyDescent="0.25">
      <c r="A231" s="30">
        <v>1.5513282159785162</v>
      </c>
      <c r="C231"/>
      <c r="D231"/>
      <c r="E231" t="s">
        <v>8</v>
      </c>
      <c r="H231" s="27" t="s">
        <v>7</v>
      </c>
      <c r="I231" s="27" t="s">
        <v>8</v>
      </c>
      <c r="J231" s="27" t="s">
        <v>7</v>
      </c>
      <c r="AI231" s="27" t="s">
        <v>8</v>
      </c>
      <c r="AJ231" s="27" t="s">
        <v>7</v>
      </c>
      <c r="AN231" s="27" t="s">
        <v>7</v>
      </c>
      <c r="AP231" s="27" t="s">
        <v>7</v>
      </c>
      <c r="AS231" s="27" t="s">
        <v>8</v>
      </c>
      <c r="AT231" s="27" t="s">
        <v>7</v>
      </c>
      <c r="BC231" s="27" t="s">
        <v>8</v>
      </c>
      <c r="BD231" s="27" t="s">
        <v>7</v>
      </c>
      <c r="BI231" s="27" t="s">
        <v>8</v>
      </c>
      <c r="BJ231" s="27" t="s">
        <v>7</v>
      </c>
      <c r="BK231" s="27" t="s">
        <v>8</v>
      </c>
      <c r="DJ231" s="27" t="s">
        <v>7</v>
      </c>
      <c r="ET231" s="27" t="s">
        <v>7</v>
      </c>
      <c r="EU231" s="27" t="s">
        <v>8</v>
      </c>
    </row>
    <row r="232" spans="1:151" x14ac:dyDescent="0.25">
      <c r="A232" s="30">
        <v>1.477455443789063</v>
      </c>
      <c r="E232" t="s">
        <v>8</v>
      </c>
      <c r="H232" s="27" t="s">
        <v>7</v>
      </c>
      <c r="I232" s="27" t="s">
        <v>8</v>
      </c>
      <c r="J232" s="27" t="s">
        <v>7</v>
      </c>
      <c r="K232" s="27" t="s">
        <v>8</v>
      </c>
      <c r="M232" s="27" t="s">
        <v>8</v>
      </c>
      <c r="AI232" s="27" t="s">
        <v>8</v>
      </c>
      <c r="AP232" s="27" t="s">
        <v>7</v>
      </c>
      <c r="AQ232" s="27" t="s">
        <v>8</v>
      </c>
      <c r="AS232" s="27" t="s">
        <v>8</v>
      </c>
      <c r="AT232" s="27" t="s">
        <v>7</v>
      </c>
      <c r="AU232" s="27" t="s">
        <v>8</v>
      </c>
      <c r="AW232" s="27" t="s">
        <v>8</v>
      </c>
      <c r="BC232" s="27" t="s">
        <v>8</v>
      </c>
      <c r="BD232" s="27" t="s">
        <v>7</v>
      </c>
      <c r="BE232" s="27" t="s">
        <v>8</v>
      </c>
      <c r="BG232" s="27" t="s">
        <v>8</v>
      </c>
      <c r="BI232" s="27" t="s">
        <v>8</v>
      </c>
      <c r="BJ232" s="27" t="s">
        <v>7</v>
      </c>
      <c r="ET232" s="27" t="s">
        <v>7</v>
      </c>
    </row>
    <row r="233" spans="1:151" x14ac:dyDescent="0.25">
      <c r="A233" s="30">
        <v>1.4071004226562505</v>
      </c>
      <c r="E233" t="s">
        <v>8</v>
      </c>
      <c r="H233" s="27" t="s">
        <v>7</v>
      </c>
      <c r="J233" s="27" t="s">
        <v>7</v>
      </c>
      <c r="K233" s="27" t="s">
        <v>8</v>
      </c>
      <c r="L233" s="27" t="s">
        <v>7</v>
      </c>
      <c r="M233" s="27" t="s">
        <v>8</v>
      </c>
      <c r="N233" s="27" t="s">
        <v>7</v>
      </c>
      <c r="AC233" s="27" t="s">
        <v>8</v>
      </c>
      <c r="AI233" s="27" t="s">
        <v>8</v>
      </c>
      <c r="AP233" s="27" t="s">
        <v>7</v>
      </c>
      <c r="AQ233" s="27" t="s">
        <v>8</v>
      </c>
      <c r="AR233" s="27" t="s">
        <v>7</v>
      </c>
      <c r="AS233" s="27" t="s">
        <v>8</v>
      </c>
      <c r="AT233" s="27" t="s">
        <v>7</v>
      </c>
      <c r="AU233" s="27" t="s">
        <v>8</v>
      </c>
      <c r="AV233" s="27" t="s">
        <v>7</v>
      </c>
      <c r="AW233" s="27" t="s">
        <v>8</v>
      </c>
      <c r="AX233" s="27" t="s">
        <v>7</v>
      </c>
      <c r="BA233" s="27" t="s">
        <v>8</v>
      </c>
      <c r="BC233" s="27" t="s">
        <v>8</v>
      </c>
      <c r="BD233" s="27" t="s">
        <v>7</v>
      </c>
      <c r="BE233" s="27" t="s">
        <v>8</v>
      </c>
      <c r="BF233" s="27" t="s">
        <v>7</v>
      </c>
      <c r="BG233" s="27" t="s">
        <v>8</v>
      </c>
      <c r="BH233" s="27" t="s">
        <v>7</v>
      </c>
      <c r="BI233" s="27" t="s">
        <v>8</v>
      </c>
    </row>
    <row r="234" spans="1:151" x14ac:dyDescent="0.25">
      <c r="A234" s="30">
        <v>1.3400956406250004</v>
      </c>
      <c r="E234" t="s">
        <v>8</v>
      </c>
      <c r="J234" s="27" t="s">
        <v>7</v>
      </c>
      <c r="K234" s="27" t="s">
        <v>8</v>
      </c>
      <c r="L234" s="27" t="s">
        <v>7</v>
      </c>
      <c r="M234" s="27" t="s">
        <v>8</v>
      </c>
      <c r="N234" s="27" t="s">
        <v>7</v>
      </c>
      <c r="AA234" s="27" t="s">
        <v>8</v>
      </c>
      <c r="AC234" s="27" t="s">
        <v>8</v>
      </c>
      <c r="AD234" s="27" t="s">
        <v>7</v>
      </c>
      <c r="AI234" s="27" t="s">
        <v>8</v>
      </c>
      <c r="AP234" s="27" t="s">
        <v>7</v>
      </c>
      <c r="AQ234" s="27" t="s">
        <v>8</v>
      </c>
      <c r="AR234" s="27" t="s">
        <v>7</v>
      </c>
      <c r="AS234" s="27" t="s">
        <v>8</v>
      </c>
      <c r="AT234" s="27" t="s">
        <v>7</v>
      </c>
      <c r="AU234" s="27" t="s">
        <v>8</v>
      </c>
      <c r="AV234" s="27" t="s">
        <v>7</v>
      </c>
      <c r="AW234" s="27" t="s">
        <v>8</v>
      </c>
      <c r="AX234" s="27" t="s">
        <v>7</v>
      </c>
      <c r="BA234" s="27" t="s">
        <v>8</v>
      </c>
      <c r="BB234" s="27" t="s">
        <v>7</v>
      </c>
      <c r="BC234" s="27" t="s">
        <v>8</v>
      </c>
      <c r="BD234" s="27" t="s">
        <v>7</v>
      </c>
      <c r="BE234" s="27" t="s">
        <v>8</v>
      </c>
      <c r="BF234" s="27" t="s">
        <v>7</v>
      </c>
      <c r="BG234" s="27" t="s">
        <v>8</v>
      </c>
      <c r="BH234" s="27" t="s">
        <v>7</v>
      </c>
      <c r="BI234" s="27" t="s">
        <v>8</v>
      </c>
    </row>
    <row r="235" spans="1:151" x14ac:dyDescent="0.25">
      <c r="A235" s="30">
        <v>1.2762815625000004</v>
      </c>
      <c r="C235"/>
      <c r="E235" t="s">
        <v>8</v>
      </c>
      <c r="J235" s="27" t="s">
        <v>7</v>
      </c>
      <c r="K235" s="27" t="s">
        <v>8</v>
      </c>
      <c r="L235" s="27" t="s">
        <v>7</v>
      </c>
      <c r="N235" s="27" t="s">
        <v>7</v>
      </c>
      <c r="O235" s="27" t="s">
        <v>8</v>
      </c>
      <c r="AA235" s="27" t="s">
        <v>8</v>
      </c>
      <c r="AB235" s="27" t="s">
        <v>7</v>
      </c>
      <c r="AC235" s="27" t="s">
        <v>8</v>
      </c>
      <c r="AD235" s="27" t="s">
        <v>7</v>
      </c>
      <c r="AE235" s="27" t="s">
        <v>8</v>
      </c>
      <c r="AG235" s="27" t="s">
        <v>8</v>
      </c>
      <c r="AI235" s="27" t="s">
        <v>8</v>
      </c>
      <c r="AP235" s="27" t="s">
        <v>7</v>
      </c>
      <c r="AR235" s="27" t="s">
        <v>7</v>
      </c>
      <c r="AS235" s="27" t="s">
        <v>8</v>
      </c>
      <c r="AT235" s="27" t="s">
        <v>7</v>
      </c>
      <c r="AU235" s="27" t="s">
        <v>8</v>
      </c>
      <c r="AV235" s="27" t="s">
        <v>7</v>
      </c>
      <c r="AW235" s="27" t="s">
        <v>8</v>
      </c>
      <c r="AX235" s="27" t="s">
        <v>7</v>
      </c>
      <c r="AY235" s="27" t="s">
        <v>8</v>
      </c>
      <c r="BA235" s="27" t="s">
        <v>8</v>
      </c>
      <c r="BB235" s="27" t="s">
        <v>7</v>
      </c>
      <c r="BC235" s="27" t="s">
        <v>8</v>
      </c>
      <c r="BD235" s="27" t="s">
        <v>7</v>
      </c>
      <c r="BE235" s="27" t="s">
        <v>8</v>
      </c>
      <c r="BF235" s="27" t="s">
        <v>7</v>
      </c>
      <c r="BG235" s="27" t="s">
        <v>8</v>
      </c>
      <c r="BH235" s="27" t="s">
        <v>7</v>
      </c>
      <c r="BI235" s="27" t="s">
        <v>8</v>
      </c>
    </row>
    <row r="236" spans="1:151" x14ac:dyDescent="0.25">
      <c r="A236" s="30">
        <v>1.2155062500000002</v>
      </c>
      <c r="E236" t="s">
        <v>8</v>
      </c>
      <c r="J236" s="27" t="s">
        <v>7</v>
      </c>
      <c r="K236" s="27" t="s">
        <v>8</v>
      </c>
      <c r="N236" s="27" t="s">
        <v>7</v>
      </c>
      <c r="O236" s="27" t="s">
        <v>8</v>
      </c>
      <c r="P236" s="27" t="s">
        <v>7</v>
      </c>
      <c r="S236" s="27" t="s">
        <v>8</v>
      </c>
      <c r="Y236" s="27" t="s">
        <v>8</v>
      </c>
      <c r="AA236" s="27" t="s">
        <v>8</v>
      </c>
      <c r="AB236" s="27" t="s">
        <v>7</v>
      </c>
      <c r="AC236" s="27" t="s">
        <v>8</v>
      </c>
      <c r="AD236" s="27" t="s">
        <v>7</v>
      </c>
      <c r="AE236" s="27" t="s">
        <v>8</v>
      </c>
      <c r="AF236" s="27" t="s">
        <v>7</v>
      </c>
      <c r="AG236" s="27" t="s">
        <v>8</v>
      </c>
      <c r="AH236" s="27" t="s">
        <v>7</v>
      </c>
      <c r="AI236" s="27" t="s">
        <v>8</v>
      </c>
      <c r="AR236" s="27" t="s">
        <v>7</v>
      </c>
      <c r="AS236" s="27" t="s">
        <v>8</v>
      </c>
      <c r="AT236" s="27" t="s">
        <v>7</v>
      </c>
      <c r="AU236" s="27" t="s">
        <v>8</v>
      </c>
      <c r="AV236" s="27" t="s">
        <v>7</v>
      </c>
      <c r="AW236" s="27" t="s">
        <v>8</v>
      </c>
      <c r="AX236" s="27" t="s">
        <v>7</v>
      </c>
      <c r="AY236" s="27" t="s">
        <v>8</v>
      </c>
      <c r="AZ236" s="27" t="s">
        <v>7</v>
      </c>
      <c r="BA236" s="27" t="s">
        <v>8</v>
      </c>
      <c r="BB236" s="27" t="s">
        <v>7</v>
      </c>
      <c r="BD236" s="27" t="s">
        <v>7</v>
      </c>
      <c r="BE236" s="27" t="s">
        <v>8</v>
      </c>
      <c r="BF236" s="27" t="s">
        <v>7</v>
      </c>
      <c r="BH236" s="27" t="s">
        <v>7</v>
      </c>
    </row>
    <row r="237" spans="1:15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J237" s="27" t="s">
        <v>7</v>
      </c>
      <c r="N237" s="27" t="s">
        <v>7</v>
      </c>
      <c r="O237" s="27" t="s">
        <v>8</v>
      </c>
      <c r="P237" s="27" t="s">
        <v>7</v>
      </c>
      <c r="S237" s="27" t="s">
        <v>8</v>
      </c>
      <c r="T237" s="27" t="s">
        <v>7</v>
      </c>
      <c r="Y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D237" s="27" t="s">
        <v>7</v>
      </c>
      <c r="AE237" s="27" t="s">
        <v>8</v>
      </c>
      <c r="AF237" s="27" t="s">
        <v>7</v>
      </c>
      <c r="AG237" s="27" t="s">
        <v>8</v>
      </c>
      <c r="AH237" s="27" t="s">
        <v>7</v>
      </c>
      <c r="AI237" s="27" t="s">
        <v>8</v>
      </c>
      <c r="AR237" s="27" t="s">
        <v>7</v>
      </c>
      <c r="AS237" s="27" t="s">
        <v>8</v>
      </c>
      <c r="AT237" s="27" t="s">
        <v>7</v>
      </c>
      <c r="AV237" s="27" t="s">
        <v>7</v>
      </c>
      <c r="AX237" s="27" t="s">
        <v>7</v>
      </c>
      <c r="AY237" s="27" t="s">
        <v>8</v>
      </c>
      <c r="AZ237" s="27" t="s">
        <v>7</v>
      </c>
      <c r="BA237" s="27" t="s">
        <v>8</v>
      </c>
      <c r="BD237" s="27" t="s">
        <v>7</v>
      </c>
    </row>
    <row r="238" spans="1:151" x14ac:dyDescent="0.25">
      <c r="A238" s="30">
        <v>1.1025</v>
      </c>
      <c r="E238" t="s">
        <v>8</v>
      </c>
      <c r="N238" s="27" t="s">
        <v>7</v>
      </c>
      <c r="O238" s="27" t="s">
        <v>8</v>
      </c>
      <c r="P238" s="27" t="s">
        <v>7</v>
      </c>
      <c r="S238" s="27" t="s">
        <v>8</v>
      </c>
      <c r="T238" s="27" t="s">
        <v>7</v>
      </c>
      <c r="U238" s="27" t="s">
        <v>8</v>
      </c>
      <c r="W238" s="27" t="s">
        <v>8</v>
      </c>
      <c r="Y238" s="27" t="s">
        <v>8</v>
      </c>
      <c r="Z238" s="27" t="s">
        <v>7</v>
      </c>
      <c r="AA238" s="27" t="s">
        <v>8</v>
      </c>
      <c r="AB238" s="27" t="s">
        <v>7</v>
      </c>
      <c r="AC238" s="27" t="s">
        <v>8</v>
      </c>
      <c r="AD238" s="27" t="s">
        <v>7</v>
      </c>
      <c r="AF238" s="27" t="s">
        <v>7</v>
      </c>
      <c r="AG238" s="27" t="s">
        <v>8</v>
      </c>
      <c r="AH238" s="27" t="s">
        <v>7</v>
      </c>
      <c r="AI238" s="27" t="s">
        <v>8</v>
      </c>
      <c r="AR238" s="27" t="s">
        <v>7</v>
      </c>
      <c r="AS238" s="27" t="s">
        <v>8</v>
      </c>
      <c r="AX238" s="27" t="s">
        <v>7</v>
      </c>
      <c r="AZ238" s="27" t="s">
        <v>7</v>
      </c>
    </row>
    <row r="239" spans="1:151" x14ac:dyDescent="0.25">
      <c r="A239" s="30">
        <v>1.05</v>
      </c>
      <c r="E239" t="s">
        <v>8</v>
      </c>
      <c r="N239" s="27" t="s">
        <v>7</v>
      </c>
      <c r="P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W239" s="27" t="s">
        <v>8</v>
      </c>
      <c r="X239" s="27" t="s">
        <v>7</v>
      </c>
      <c r="Y239" s="27" t="s">
        <v>8</v>
      </c>
      <c r="Z239" s="27" t="s">
        <v>7</v>
      </c>
      <c r="AA239" s="27" t="s">
        <v>8</v>
      </c>
      <c r="AB239" s="27" t="s">
        <v>7</v>
      </c>
      <c r="AF239" s="27" t="s">
        <v>7</v>
      </c>
      <c r="AG239" s="27" t="s">
        <v>8</v>
      </c>
      <c r="AH239" s="27" t="s">
        <v>7</v>
      </c>
      <c r="AR239" s="27" t="s">
        <v>7</v>
      </c>
      <c r="AS239" s="27" t="s">
        <v>8</v>
      </c>
    </row>
    <row r="240" spans="1:151" x14ac:dyDescent="0.25">
      <c r="A240" s="30">
        <v>1</v>
      </c>
      <c r="E240" s="29" t="s">
        <v>8</v>
      </c>
      <c r="P240" s="27" t="s">
        <v>7</v>
      </c>
      <c r="S240" s="27" t="s">
        <v>8</v>
      </c>
      <c r="T240" s="27" t="s">
        <v>7</v>
      </c>
      <c r="U240" s="27" t="s">
        <v>8</v>
      </c>
      <c r="V240" s="27" t="s">
        <v>7</v>
      </c>
      <c r="W240" s="27" t="s">
        <v>8</v>
      </c>
      <c r="X240" s="27" t="s">
        <v>7</v>
      </c>
      <c r="Y240" s="27" t="s">
        <v>8</v>
      </c>
      <c r="Z240" s="27" t="s">
        <v>7</v>
      </c>
      <c r="AA240" s="27" t="s">
        <v>8</v>
      </c>
      <c r="AF240" s="27" t="s">
        <v>7</v>
      </c>
      <c r="AG240" s="27" t="s">
        <v>8</v>
      </c>
      <c r="AR240" s="27" t="s">
        <v>7</v>
      </c>
      <c r="AS240" s="27" t="s">
        <v>8</v>
      </c>
    </row>
    <row r="241" spans="1:44" x14ac:dyDescent="0.25">
      <c r="A241" s="30">
        <v>0.952380952380952</v>
      </c>
      <c r="B241"/>
      <c r="C241"/>
      <c r="D241"/>
      <c r="E241"/>
      <c r="P241" s="27" t="s">
        <v>7</v>
      </c>
      <c r="S241" s="27" t="s">
        <v>8</v>
      </c>
      <c r="T241" s="27" t="s">
        <v>7</v>
      </c>
      <c r="V241" s="27" t="s">
        <v>7</v>
      </c>
      <c r="W241" s="27" t="s">
        <v>8</v>
      </c>
      <c r="X241" s="27" t="s">
        <v>7</v>
      </c>
      <c r="Z241" s="27" t="s">
        <v>7</v>
      </c>
      <c r="AF241" s="27" t="s">
        <v>7</v>
      </c>
      <c r="AG241" s="27" t="s">
        <v>8</v>
      </c>
      <c r="AR241" s="27" t="s">
        <v>7</v>
      </c>
    </row>
    <row r="242" spans="1:44" x14ac:dyDescent="0.25">
      <c r="A242" s="30">
        <v>0.90702947845804915</v>
      </c>
      <c r="B242"/>
      <c r="C242"/>
      <c r="D242"/>
      <c r="E242"/>
      <c r="P242" s="27" t="s">
        <v>7</v>
      </c>
      <c r="Q242" s="27" t="s">
        <v>8</v>
      </c>
      <c r="S242" s="27" t="s">
        <v>8</v>
      </c>
      <c r="V242" s="27" t="s">
        <v>7</v>
      </c>
      <c r="AF242" s="27" t="s">
        <v>7</v>
      </c>
      <c r="AG242" s="27" t="s">
        <v>8</v>
      </c>
    </row>
    <row r="243" spans="1:44" x14ac:dyDescent="0.25">
      <c r="A243" s="30">
        <v>0.86383759853147501</v>
      </c>
      <c r="B243"/>
      <c r="C243"/>
      <c r="D243"/>
      <c r="E243"/>
      <c r="P243" s="27" t="s">
        <v>7</v>
      </c>
      <c r="Q243" s="27" t="s">
        <v>8</v>
      </c>
      <c r="R243" s="27" t="s">
        <v>7</v>
      </c>
      <c r="S243" s="27" t="s">
        <v>8</v>
      </c>
      <c r="AF243" s="27" t="s">
        <v>7</v>
      </c>
      <c r="AG243" s="27" t="s">
        <v>8</v>
      </c>
    </row>
    <row r="244" spans="1:44" x14ac:dyDescent="0.25">
      <c r="A244" s="30">
        <v>0.82270247479188063</v>
      </c>
      <c r="B244"/>
      <c r="C244"/>
      <c r="D244"/>
      <c r="E244"/>
      <c r="P244" s="27" t="s">
        <v>7</v>
      </c>
      <c r="Q244" s="27" t="s">
        <v>8</v>
      </c>
      <c r="R244" s="27" t="s">
        <v>7</v>
      </c>
      <c r="S244" s="27" t="s">
        <v>8</v>
      </c>
      <c r="AF244" s="27" t="s">
        <v>7</v>
      </c>
      <c r="AG244" s="27" t="s">
        <v>8</v>
      </c>
    </row>
    <row r="245" spans="1:44" x14ac:dyDescent="0.25">
      <c r="A245" s="30">
        <v>0.78352616646845741</v>
      </c>
      <c r="B245"/>
      <c r="C245"/>
      <c r="D245"/>
      <c r="E245"/>
      <c r="P245" s="27" t="s">
        <v>7</v>
      </c>
      <c r="Q245" s="27" t="s">
        <v>8</v>
      </c>
      <c r="R245" s="27" t="s">
        <v>7</v>
      </c>
      <c r="S245" s="27" t="s">
        <v>8</v>
      </c>
      <c r="AF245" s="27" t="s">
        <v>7</v>
      </c>
      <c r="AG245" s="27" t="s">
        <v>8</v>
      </c>
    </row>
    <row r="246" spans="1:44" x14ac:dyDescent="0.25">
      <c r="A246" s="30">
        <v>0.74621539663662584</v>
      </c>
      <c r="B246"/>
      <c r="C246"/>
      <c r="D246"/>
      <c r="E246"/>
      <c r="P246" s="27" t="s">
        <v>7</v>
      </c>
      <c r="Q246" s="27" t="s">
        <v>8</v>
      </c>
      <c r="R246" s="27" t="s">
        <v>7</v>
      </c>
      <c r="S246" s="27" t="s">
        <v>8</v>
      </c>
      <c r="AF246" s="27" t="s">
        <v>7</v>
      </c>
      <c r="AG246" s="27" t="s">
        <v>8</v>
      </c>
    </row>
    <row r="247" spans="1:44" x14ac:dyDescent="0.25">
      <c r="A247" s="30">
        <v>0.71068133013011958</v>
      </c>
      <c r="B247"/>
      <c r="C247"/>
      <c r="D247"/>
      <c r="E247"/>
      <c r="P247" s="27" t="s">
        <v>7</v>
      </c>
      <c r="Q247" s="27" t="s">
        <v>8</v>
      </c>
      <c r="R247" s="27" t="s">
        <v>7</v>
      </c>
      <c r="AF247" s="27" t="s">
        <v>7</v>
      </c>
      <c r="AG247" s="27" t="s">
        <v>8</v>
      </c>
    </row>
    <row r="248" spans="1:44" x14ac:dyDescent="0.25">
      <c r="A248" s="30">
        <v>0.676839362028685</v>
      </c>
      <c r="B248"/>
      <c r="C248"/>
      <c r="D248"/>
      <c r="E248"/>
      <c r="P248" s="27" t="s">
        <v>7</v>
      </c>
      <c r="Q248" s="27" t="s">
        <v>8</v>
      </c>
      <c r="AF248" s="27" t="s">
        <v>7</v>
      </c>
      <c r="AG248" s="27" t="s">
        <v>8</v>
      </c>
    </row>
    <row r="249" spans="1:44" x14ac:dyDescent="0.25">
      <c r="A249" s="30">
        <v>0.64460891621779492</v>
      </c>
      <c r="B249"/>
      <c r="C249"/>
      <c r="D249"/>
      <c r="E249"/>
      <c r="P249" s="27" t="s">
        <v>7</v>
      </c>
      <c r="Q249" s="27" t="s">
        <v>8</v>
      </c>
      <c r="AF249" s="27" t="s">
        <v>7</v>
      </c>
    </row>
    <row r="250" spans="1:44" x14ac:dyDescent="0.25">
      <c r="A250" s="30">
        <v>0.61391325354075688</v>
      </c>
      <c r="B250"/>
      <c r="C250"/>
      <c r="D250"/>
      <c r="E250"/>
      <c r="P250" s="27" t="s">
        <v>7</v>
      </c>
      <c r="Q250" s="27" t="s">
        <v>8</v>
      </c>
    </row>
    <row r="251" spans="1:44" x14ac:dyDescent="0.25">
      <c r="A251" s="30">
        <v>0.58467928908643485</v>
      </c>
      <c r="B251"/>
      <c r="C251"/>
      <c r="D251"/>
      <c r="E251"/>
      <c r="P251" s="27" t="s">
        <v>7</v>
      </c>
      <c r="Q251" s="27" t="s">
        <v>8</v>
      </c>
    </row>
    <row r="252" spans="1:44" x14ac:dyDescent="0.25">
      <c r="A252" s="30">
        <v>0.55683741817755672</v>
      </c>
      <c r="B252"/>
      <c r="C252"/>
      <c r="D252"/>
      <c r="E252"/>
      <c r="P252" s="27" t="s">
        <v>7</v>
      </c>
      <c r="Q252" s="27" t="s">
        <v>8</v>
      </c>
    </row>
    <row r="253" spans="1:44" x14ac:dyDescent="0.25">
      <c r="A253" s="30">
        <v>0.53032135064529184</v>
      </c>
      <c r="B253"/>
      <c r="C253"/>
      <c r="D253"/>
      <c r="E253"/>
      <c r="P253" s="27" t="s">
        <v>7</v>
      </c>
    </row>
    <row r="254" spans="1:44" x14ac:dyDescent="0.25">
      <c r="A254" s="30">
        <v>0.50506795299551588</v>
      </c>
      <c r="B254"/>
      <c r="C254"/>
      <c r="D254"/>
      <c r="E254"/>
    </row>
    <row r="255" spans="1:44" x14ac:dyDescent="0.25">
      <c r="A255" s="30">
        <v>0.48101709809096732</v>
      </c>
      <c r="E255"/>
    </row>
    <row r="256" spans="1:44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42" operator="equal">
      <formula>$U$1</formula>
    </cfRule>
    <cfRule type="cellIs" dxfId="67" priority="1143" operator="equal">
      <formula>$S$1</formula>
    </cfRule>
  </conditionalFormatting>
  <conditionalFormatting sqref="D136">
    <cfRule type="cellIs" dxfId="66" priority="1140" operator="equal">
      <formula>$S$1</formula>
    </cfRule>
    <cfRule type="cellIs" dxfId="65" priority="1141" operator="equal">
      <formula>$U$1</formula>
    </cfRule>
  </conditionalFormatting>
  <conditionalFormatting sqref="C162">
    <cfRule type="cellIs" dxfId="64" priority="1138" operator="equal">
      <formula>$U$1</formula>
    </cfRule>
    <cfRule type="cellIs" dxfId="63" priority="1139" operator="equal">
      <formula>$S$1</formula>
    </cfRule>
  </conditionalFormatting>
  <conditionalFormatting sqref="D162">
    <cfRule type="cellIs" dxfId="62" priority="1136" operator="equal">
      <formula>$S$1</formula>
    </cfRule>
    <cfRule type="cellIs" dxfId="61" priority="1137" operator="equal">
      <formula>$U$1</formula>
    </cfRule>
  </conditionalFormatting>
  <conditionalFormatting sqref="C187">
    <cfRule type="cellIs" dxfId="60" priority="1134" operator="equal">
      <formula>$U$1</formula>
    </cfRule>
    <cfRule type="cellIs" dxfId="59" priority="1135" operator="equal">
      <formula>$S$1</formula>
    </cfRule>
  </conditionalFormatting>
  <conditionalFormatting sqref="D187">
    <cfRule type="cellIs" dxfId="58" priority="1132" operator="equal">
      <formula>$S$1</formula>
    </cfRule>
    <cfRule type="cellIs" dxfId="57" priority="1133" operator="equal">
      <formula>$U$1</formula>
    </cfRule>
  </conditionalFormatting>
  <conditionalFormatting sqref="C212">
    <cfRule type="cellIs" dxfId="56" priority="1130" operator="equal">
      <formula>$U$1</formula>
    </cfRule>
    <cfRule type="cellIs" dxfId="55" priority="1131" operator="equal">
      <formula>$S$1</formula>
    </cfRule>
  </conditionalFormatting>
  <conditionalFormatting sqref="D212">
    <cfRule type="cellIs" dxfId="54" priority="1128" operator="equal">
      <formula>$S$1</formula>
    </cfRule>
    <cfRule type="cellIs" dxfId="53" priority="1129" operator="equal">
      <formula>$U$1</formula>
    </cfRule>
  </conditionalFormatting>
  <conditionalFormatting sqref="C237">
    <cfRule type="cellIs" dxfId="52" priority="1126" operator="equal">
      <formula>$U$1</formula>
    </cfRule>
    <cfRule type="cellIs" dxfId="51" priority="1127" operator="equal">
      <formula>$S$1</formula>
    </cfRule>
  </conditionalFormatting>
  <conditionalFormatting sqref="D237">
    <cfRule type="cellIs" dxfId="50" priority="1124" operator="equal">
      <formula>$S$1</formula>
    </cfRule>
    <cfRule type="cellIs" dxfId="49" priority="1125" operator="equal">
      <formula>$U$1</formula>
    </cfRule>
  </conditionalFormatting>
  <conditionalFormatting sqref="C106">
    <cfRule type="cellIs" dxfId="48" priority="1122" operator="equal">
      <formula>$U$1</formula>
    </cfRule>
    <cfRule type="cellIs" dxfId="47" priority="1123" operator="equal">
      <formula>$S$1</formula>
    </cfRule>
  </conditionalFormatting>
  <conditionalFormatting sqref="D106">
    <cfRule type="cellIs" dxfId="46" priority="1120" operator="equal">
      <formula>$S$1</formula>
    </cfRule>
    <cfRule type="cellIs" dxfId="45" priority="1121" operator="equal">
      <formula>$U$1</formula>
    </cfRule>
  </conditionalFormatting>
  <conditionalFormatting sqref="C81">
    <cfRule type="cellIs" dxfId="44" priority="1118" operator="equal">
      <formula>$U$1</formula>
    </cfRule>
    <cfRule type="cellIs" dxfId="43" priority="1119" operator="equal">
      <formula>$S$1</formula>
    </cfRule>
  </conditionalFormatting>
  <conditionalFormatting sqref="D81">
    <cfRule type="cellIs" dxfId="42" priority="1116" operator="equal">
      <formula>$S$1</formula>
    </cfRule>
    <cfRule type="cellIs" dxfId="41" priority="1117" operator="equal">
      <formula>$U$1</formula>
    </cfRule>
  </conditionalFormatting>
  <conditionalFormatting sqref="C56">
    <cfRule type="cellIs" dxfId="40" priority="1114" operator="equal">
      <formula>$U$1</formula>
    </cfRule>
    <cfRule type="cellIs" dxfId="39" priority="1115" operator="equal">
      <formula>$S$1</formula>
    </cfRule>
  </conditionalFormatting>
  <conditionalFormatting sqref="D56">
    <cfRule type="cellIs" dxfId="38" priority="1112" operator="equal">
      <formula>$S$1</formula>
    </cfRule>
    <cfRule type="cellIs" dxfId="37" priority="1113" operator="equal">
      <formula>$U$1</formula>
    </cfRule>
  </conditionalFormatting>
  <conditionalFormatting sqref="C31">
    <cfRule type="cellIs" dxfId="36" priority="1110" operator="equal">
      <formula>$U$1</formula>
    </cfRule>
    <cfRule type="cellIs" dxfId="35" priority="1111" operator="equal">
      <formula>$S$1</formula>
    </cfRule>
  </conditionalFormatting>
  <conditionalFormatting sqref="D31">
    <cfRule type="cellIs" dxfId="34" priority="1108" operator="equal">
      <formula>$S$1</formula>
    </cfRule>
    <cfRule type="cellIs" dxfId="33" priority="110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N117" sqref="AN11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27" x14ac:dyDescent="0.25">
      <c r="A81" s="30">
        <v>45.259255568176073</v>
      </c>
      <c r="E81"/>
    </row>
    <row r="82" spans="1:27" x14ac:dyDescent="0.25">
      <c r="A82" s="30">
        <v>41.144777789250973</v>
      </c>
      <c r="E82"/>
    </row>
    <row r="83" spans="1:27" x14ac:dyDescent="0.25">
      <c r="A83" s="30">
        <v>37.404343444773609</v>
      </c>
      <c r="E83"/>
    </row>
    <row r="84" spans="1:27" x14ac:dyDescent="0.25">
      <c r="A84" s="30">
        <v>34.003948586157826</v>
      </c>
      <c r="E84"/>
    </row>
    <row r="85" spans="1:27" x14ac:dyDescent="0.25">
      <c r="A85" s="30">
        <v>30.912680532870748</v>
      </c>
      <c r="E85"/>
    </row>
    <row r="86" spans="1:27" x14ac:dyDescent="0.25">
      <c r="A86" s="30">
        <v>28.102436848064315</v>
      </c>
      <c r="E86"/>
    </row>
    <row r="87" spans="1:27" x14ac:dyDescent="0.25">
      <c r="A87" s="30">
        <v>25.547669861876649</v>
      </c>
      <c r="E87"/>
    </row>
    <row r="88" spans="1:27" x14ac:dyDescent="0.25">
      <c r="A88" s="30">
        <v>23.225154419887861</v>
      </c>
      <c r="E88"/>
    </row>
    <row r="89" spans="1:27" x14ac:dyDescent="0.25">
      <c r="A89" s="30">
        <v>21.113776745352599</v>
      </c>
      <c r="E89"/>
    </row>
    <row r="90" spans="1:27" x14ac:dyDescent="0.25">
      <c r="A90" s="30">
        <v>19.194342495775089</v>
      </c>
      <c r="E90"/>
    </row>
    <row r="91" spans="1:27" x14ac:dyDescent="0.25">
      <c r="A91" s="30">
        <v>17.449402268886445</v>
      </c>
      <c r="E91"/>
    </row>
    <row r="92" spans="1:27" x14ac:dyDescent="0.25">
      <c r="A92" s="30">
        <v>15.863092971714948</v>
      </c>
      <c r="C92" s="1" t="s">
        <v>15</v>
      </c>
      <c r="E92"/>
    </row>
    <row r="93" spans="1:27" x14ac:dyDescent="0.25">
      <c r="A93" s="30">
        <v>14.420993610649951</v>
      </c>
      <c r="C93" s="7">
        <v>0.11167815779424731</v>
      </c>
      <c r="D93"/>
      <c r="E93"/>
    </row>
    <row r="94" spans="1:27" x14ac:dyDescent="0.25">
      <c r="A94" s="30">
        <v>13.109994191499954</v>
      </c>
      <c r="E94"/>
    </row>
    <row r="95" spans="1:27" x14ac:dyDescent="0.25">
      <c r="A95" s="30">
        <v>11.918176537727231</v>
      </c>
      <c r="C95" s="1" t="s">
        <v>11</v>
      </c>
      <c r="D95" s="1" t="s">
        <v>12</v>
      </c>
      <c r="E95"/>
    </row>
    <row r="96" spans="1:27" x14ac:dyDescent="0.25">
      <c r="A96" s="30">
        <v>10.834705943388391</v>
      </c>
      <c r="C96"/>
      <c r="D96"/>
      <c r="E96"/>
      <c r="Y96" s="27" t="s">
        <v>8</v>
      </c>
      <c r="AA96" s="27" t="s">
        <v>8</v>
      </c>
    </row>
    <row r="97" spans="1:40" x14ac:dyDescent="0.25">
      <c r="A97" s="30">
        <v>9.849732675807628</v>
      </c>
      <c r="E97"/>
      <c r="Y97" s="27" t="s">
        <v>8</v>
      </c>
      <c r="Z97" s="27" t="s">
        <v>7</v>
      </c>
      <c r="AA97" s="27" t="s">
        <v>8</v>
      </c>
      <c r="AB97" s="27" t="s">
        <v>7</v>
      </c>
    </row>
    <row r="98" spans="1:40" x14ac:dyDescent="0.25">
      <c r="A98" s="30">
        <v>8.9543024325523888</v>
      </c>
      <c r="C98" s="1" t="s">
        <v>13</v>
      </c>
      <c r="E98"/>
      <c r="Y98" s="27" t="s">
        <v>8</v>
      </c>
      <c r="Z98" s="27" t="s">
        <v>7</v>
      </c>
      <c r="AA98" s="27" t="s">
        <v>8</v>
      </c>
      <c r="AB98" s="27" t="s">
        <v>7</v>
      </c>
    </row>
    <row r="99" spans="1:40" x14ac:dyDescent="0.25">
      <c r="A99" s="30">
        <v>8.140274938683989</v>
      </c>
      <c r="C99" s="1">
        <f>C88</f>
        <v>0</v>
      </c>
      <c r="E99"/>
      <c r="Y99" s="27" t="s">
        <v>8</v>
      </c>
      <c r="Z99" s="27" t="s">
        <v>7</v>
      </c>
      <c r="AB99" s="27" t="s">
        <v>7</v>
      </c>
    </row>
    <row r="100" spans="1:40" x14ac:dyDescent="0.25">
      <c r="A100" s="30">
        <v>7.4002499442581717</v>
      </c>
      <c r="C100"/>
      <c r="D100"/>
      <c r="E100"/>
      <c r="W100" s="27" t="s">
        <v>8</v>
      </c>
      <c r="Y100" s="27" t="s">
        <v>8</v>
      </c>
      <c r="AB100" s="27" t="s">
        <v>7</v>
      </c>
    </row>
    <row r="101" spans="1:40" x14ac:dyDescent="0.25">
      <c r="A101" s="30">
        <v>6.72749994932561</v>
      </c>
      <c r="C101" s="1" t="s">
        <v>14</v>
      </c>
      <c r="E101"/>
      <c r="W101" s="27" t="s">
        <v>8</v>
      </c>
      <c r="X101" s="27" t="s">
        <v>7</v>
      </c>
      <c r="Y101" s="27" t="s">
        <v>8</v>
      </c>
      <c r="AB101" s="27" t="s">
        <v>7</v>
      </c>
    </row>
    <row r="102" spans="1:4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W102" s="27" t="s">
        <v>8</v>
      </c>
      <c r="X102" s="27" t="s">
        <v>7</v>
      </c>
      <c r="Y102" s="27" t="s">
        <v>8</v>
      </c>
      <c r="AB102" s="27" t="s">
        <v>7</v>
      </c>
    </row>
    <row r="103" spans="1:40" x14ac:dyDescent="0.25">
      <c r="A103" s="30">
        <v>5.5599173134922388</v>
      </c>
      <c r="E103"/>
      <c r="W103" s="27" t="s">
        <v>8</v>
      </c>
      <c r="X103" s="27" t="s">
        <v>7</v>
      </c>
      <c r="Y103" s="27" t="s">
        <v>8</v>
      </c>
      <c r="AB103" s="27" t="s">
        <v>7</v>
      </c>
    </row>
    <row r="104" spans="1:40" x14ac:dyDescent="0.25">
      <c r="A104" s="30">
        <v>5.0544702849929442</v>
      </c>
      <c r="E104"/>
      <c r="W104" s="27" t="s">
        <v>8</v>
      </c>
      <c r="X104" s="27" t="s">
        <v>7</v>
      </c>
      <c r="Y104" s="27" t="s">
        <v>8</v>
      </c>
      <c r="AB104" s="27" t="s">
        <v>7</v>
      </c>
      <c r="AC104" s="27" t="s">
        <v>8</v>
      </c>
      <c r="AK104" s="27" t="s">
        <v>8</v>
      </c>
    </row>
    <row r="105" spans="1:40" x14ac:dyDescent="0.25">
      <c r="A105" s="30">
        <v>4.594972986357222</v>
      </c>
      <c r="E105"/>
      <c r="Q105" s="27" t="s">
        <v>8</v>
      </c>
      <c r="W105" s="27" t="s">
        <v>8</v>
      </c>
      <c r="X105" s="27" t="s">
        <v>7</v>
      </c>
      <c r="Y105" s="27" t="s">
        <v>8</v>
      </c>
      <c r="AB105" s="27" t="s">
        <v>7</v>
      </c>
      <c r="AC105" s="27" t="s">
        <v>8</v>
      </c>
      <c r="AD105" s="27" t="s">
        <v>7</v>
      </c>
      <c r="AE105" s="27" t="s">
        <v>8</v>
      </c>
      <c r="AK105" s="27" t="s">
        <v>8</v>
      </c>
      <c r="AL105" s="27" t="s">
        <v>7</v>
      </c>
    </row>
    <row r="106" spans="1:40" x14ac:dyDescent="0.25">
      <c r="A106" s="30">
        <v>4.1772481694156562</v>
      </c>
      <c r="E106"/>
      <c r="Q106" s="27" t="s">
        <v>8</v>
      </c>
      <c r="R106" s="27" t="s">
        <v>7</v>
      </c>
      <c r="S106" s="27" t="s">
        <v>8</v>
      </c>
      <c r="U106" s="27" t="s">
        <v>8</v>
      </c>
      <c r="W106" s="27" t="s">
        <v>8</v>
      </c>
      <c r="X106" s="27" t="s">
        <v>7</v>
      </c>
      <c r="Y106" s="27" t="s">
        <v>8</v>
      </c>
      <c r="AB106" s="27" t="s">
        <v>7</v>
      </c>
      <c r="AC106" s="27" t="s">
        <v>8</v>
      </c>
      <c r="AD106" s="27" t="s">
        <v>7</v>
      </c>
      <c r="AE106" s="27" t="s">
        <v>8</v>
      </c>
      <c r="AF106" s="27" t="s">
        <v>7</v>
      </c>
      <c r="AI106" s="27" t="s">
        <v>8</v>
      </c>
      <c r="AK106" s="27" t="s">
        <v>8</v>
      </c>
      <c r="AL106" s="27" t="s">
        <v>7</v>
      </c>
      <c r="AM106" s="27" t="s">
        <v>8</v>
      </c>
    </row>
    <row r="107" spans="1:40" x14ac:dyDescent="0.25">
      <c r="A107" s="30">
        <v>3.7974983358324148</v>
      </c>
      <c r="E107"/>
      <c r="Q107" s="27" t="s">
        <v>8</v>
      </c>
      <c r="R107" s="27" t="s">
        <v>7</v>
      </c>
      <c r="S107" s="27" t="s">
        <v>8</v>
      </c>
      <c r="T107" s="27" t="s">
        <v>7</v>
      </c>
      <c r="U107" s="27" t="s">
        <v>8</v>
      </c>
      <c r="V107" s="27" t="s">
        <v>7</v>
      </c>
      <c r="W107" s="27" t="s">
        <v>8</v>
      </c>
      <c r="X107" s="27" t="s">
        <v>7</v>
      </c>
      <c r="Y107" s="27" t="s">
        <v>8</v>
      </c>
      <c r="AB107" s="27" t="s">
        <v>7</v>
      </c>
      <c r="AC107" s="27" t="s">
        <v>8</v>
      </c>
      <c r="AD107" s="27" t="s">
        <v>7</v>
      </c>
      <c r="AE107" s="27" t="s">
        <v>8</v>
      </c>
      <c r="AF107" s="27" t="s">
        <v>7</v>
      </c>
      <c r="AI107" s="27" t="s">
        <v>8</v>
      </c>
      <c r="AJ107" s="27" t="s">
        <v>7</v>
      </c>
      <c r="AK107" s="27" t="s">
        <v>8</v>
      </c>
      <c r="AL107" s="27" t="s">
        <v>7</v>
      </c>
      <c r="AM107" s="27" t="s">
        <v>8</v>
      </c>
      <c r="AN107" s="27" t="s">
        <v>7</v>
      </c>
    </row>
    <row r="108" spans="1:40" x14ac:dyDescent="0.25">
      <c r="A108" s="30">
        <v>3.4522712143931042</v>
      </c>
      <c r="E108"/>
      <c r="Q108" s="27" t="s">
        <v>8</v>
      </c>
      <c r="R108" s="27" t="s">
        <v>7</v>
      </c>
      <c r="S108" s="27" t="s">
        <v>8</v>
      </c>
      <c r="T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  <c r="AB108" s="27" t="s">
        <v>7</v>
      </c>
      <c r="AC108" s="27" t="s">
        <v>8</v>
      </c>
      <c r="AD108" s="27" t="s">
        <v>7</v>
      </c>
      <c r="AE108" s="27" t="s">
        <v>8</v>
      </c>
      <c r="AF108" s="27" t="s">
        <v>7</v>
      </c>
      <c r="AI108" s="27" t="s">
        <v>8</v>
      </c>
      <c r="AJ108" s="27" t="s">
        <v>7</v>
      </c>
      <c r="AK108" s="27" t="s">
        <v>8</v>
      </c>
      <c r="AL108" s="27" t="s">
        <v>7</v>
      </c>
      <c r="AM108" s="27" t="s">
        <v>8</v>
      </c>
      <c r="AN108" s="27" t="s">
        <v>7</v>
      </c>
    </row>
    <row r="109" spans="1:40" x14ac:dyDescent="0.25">
      <c r="A109" s="30">
        <v>3.1384283767210035</v>
      </c>
      <c r="E109"/>
      <c r="Q109" s="27" t="s">
        <v>8</v>
      </c>
      <c r="R109" s="27" t="s">
        <v>7</v>
      </c>
      <c r="S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AB109" s="27" t="s">
        <v>7</v>
      </c>
      <c r="AD109" s="27" t="s">
        <v>7</v>
      </c>
      <c r="AE109" s="27" t="s">
        <v>8</v>
      </c>
      <c r="AF109" s="27" t="s">
        <v>7</v>
      </c>
      <c r="AI109" s="27" t="s">
        <v>8</v>
      </c>
      <c r="AJ109" s="27" t="s">
        <v>7</v>
      </c>
      <c r="AL109" s="27" t="s">
        <v>7</v>
      </c>
      <c r="AM109" s="27" t="s">
        <v>8</v>
      </c>
      <c r="AN109" s="27" t="s">
        <v>7</v>
      </c>
    </row>
    <row r="110" spans="1:40" x14ac:dyDescent="0.25">
      <c r="A110" s="30">
        <v>2.8531167061100029</v>
      </c>
      <c r="E110" t="s">
        <v>8</v>
      </c>
      <c r="Q110" s="27" t="s">
        <v>8</v>
      </c>
      <c r="R110" s="27" t="s">
        <v>7</v>
      </c>
      <c r="T110" s="27" t="s">
        <v>7</v>
      </c>
      <c r="U110" s="27" t="s">
        <v>8</v>
      </c>
      <c r="V110" s="27" t="s">
        <v>7</v>
      </c>
      <c r="W110" s="27" t="s">
        <v>8</v>
      </c>
      <c r="AD110" s="27" t="s">
        <v>7</v>
      </c>
      <c r="AF110" s="27" t="s">
        <v>7</v>
      </c>
      <c r="AG110" s="18" t="s">
        <v>8</v>
      </c>
      <c r="AI110" s="27" t="s">
        <v>8</v>
      </c>
      <c r="AL110" s="27" t="s">
        <v>7</v>
      </c>
      <c r="AM110" s="27" t="s">
        <v>8</v>
      </c>
      <c r="AN110" s="27" t="s">
        <v>7</v>
      </c>
    </row>
    <row r="111" spans="1:40" x14ac:dyDescent="0.25">
      <c r="A111" s="30">
        <v>2.5937424601000023</v>
      </c>
      <c r="C111" s="1" t="str">
        <f>ADDRESS(C121-1,1,1,1)</f>
        <v>$A$116</v>
      </c>
      <c r="D111" s="1" t="str">
        <f>ADDRESS(C121-1,D121,1,1)</f>
        <v>$AN$116</v>
      </c>
      <c r="E111" t="s">
        <v>8</v>
      </c>
      <c r="F111" s="27" t="s">
        <v>7</v>
      </c>
      <c r="Q111" s="27" t="s">
        <v>8</v>
      </c>
      <c r="T111" s="27" t="s">
        <v>7</v>
      </c>
      <c r="U111" s="27" t="s">
        <v>8</v>
      </c>
      <c r="V111" s="27" t="s">
        <v>7</v>
      </c>
      <c r="AF111" s="27" t="s">
        <v>7</v>
      </c>
      <c r="AG111" s="27" t="s">
        <v>8</v>
      </c>
      <c r="AH111" s="27" t="s">
        <v>7</v>
      </c>
      <c r="AI111" s="27" t="s">
        <v>8</v>
      </c>
      <c r="AL111" s="27" t="s">
        <v>7</v>
      </c>
      <c r="AN111" s="27" t="s">
        <v>7</v>
      </c>
    </row>
    <row r="112" spans="1:40" x14ac:dyDescent="0.25">
      <c r="A112" s="30">
        <v>2.3579476910000019</v>
      </c>
      <c r="C112" s="1" t="str">
        <f>ADDRESS(C121,1,1,1)</f>
        <v>$A$117</v>
      </c>
      <c r="D112" s="1" t="str">
        <f>ADDRESS(C121,D121-1,1,1)</f>
        <v>$AM$117</v>
      </c>
      <c r="E112" t="s">
        <v>8</v>
      </c>
      <c r="F112" s="27" t="s">
        <v>7</v>
      </c>
      <c r="Q112" s="27" t="s">
        <v>8</v>
      </c>
      <c r="T112" s="27" t="s">
        <v>7</v>
      </c>
      <c r="AF112" s="27" t="s">
        <v>7</v>
      </c>
      <c r="AG112" s="27" t="s">
        <v>8</v>
      </c>
      <c r="AH112" s="27" t="s">
        <v>7</v>
      </c>
      <c r="AI112" s="27" t="s">
        <v>8</v>
      </c>
      <c r="AN112" s="27" t="s">
        <v>7</v>
      </c>
    </row>
    <row r="113" spans="1:40" x14ac:dyDescent="0.25">
      <c r="A113" s="30">
        <v>2.1435888100000016</v>
      </c>
      <c r="C113" s="1" t="str">
        <f>ADDRESS(C121+1,1,1,1)</f>
        <v>$A$118</v>
      </c>
      <c r="D113" s="1" t="str">
        <f>ADDRESS(C121-1,D121+1,1,1)</f>
        <v>$AO$116</v>
      </c>
      <c r="E113" s="1" t="s">
        <v>8</v>
      </c>
      <c r="F113" s="27" t="s">
        <v>7</v>
      </c>
      <c r="K113" s="27" t="s">
        <v>8</v>
      </c>
      <c r="Q113" s="27" t="s">
        <v>8</v>
      </c>
      <c r="AF113" s="27" t="s">
        <v>7</v>
      </c>
      <c r="AG113" s="27" t="s">
        <v>8</v>
      </c>
      <c r="AH113" s="27" t="s">
        <v>7</v>
      </c>
      <c r="AN113" s="27" t="s">
        <v>7</v>
      </c>
    </row>
    <row r="114" spans="1:40" x14ac:dyDescent="0.25">
      <c r="A114" s="30">
        <v>1.9487171000000014</v>
      </c>
      <c r="C114" s="1" t="str">
        <f>ADDRESS(C121,D121,1,1)</f>
        <v>$AN$117</v>
      </c>
      <c r="D114" s="1" t="str">
        <f>ADDRESS(C121+1,D121+1,1,1)</f>
        <v>$AO$118</v>
      </c>
      <c r="E114" s="1" t="s">
        <v>8</v>
      </c>
      <c r="F114" s="27" t="s">
        <v>7</v>
      </c>
      <c r="K114" s="27" t="s">
        <v>8</v>
      </c>
      <c r="L114" s="27" t="s">
        <v>7</v>
      </c>
      <c r="Q114" s="27" t="s">
        <v>8</v>
      </c>
      <c r="AF114" s="27" t="s">
        <v>7</v>
      </c>
      <c r="AG114" s="27" t="s">
        <v>8</v>
      </c>
      <c r="AN114" s="27" t="s">
        <v>7</v>
      </c>
    </row>
    <row r="115" spans="1:40" x14ac:dyDescent="0.25">
      <c r="A115" s="30">
        <v>1.7715610000000011</v>
      </c>
      <c r="C115" s="1" t="str">
        <f>ADDRESS(C121+1,D121,1,1)</f>
        <v>$AN$118</v>
      </c>
      <c r="E115" s="1" t="s">
        <v>8</v>
      </c>
      <c r="F115" s="27" t="s">
        <v>7</v>
      </c>
      <c r="K115" s="27" t="s">
        <v>8</v>
      </c>
      <c r="L115" s="27" t="s">
        <v>7</v>
      </c>
      <c r="Q115" s="27" t="s">
        <v>8</v>
      </c>
      <c r="AF115" s="27" t="s">
        <v>7</v>
      </c>
      <c r="AG115" s="27" t="s">
        <v>8</v>
      </c>
      <c r="AN115" s="27" t="s">
        <v>7</v>
      </c>
    </row>
    <row r="116" spans="1:40" x14ac:dyDescent="0.25">
      <c r="A116" s="30">
        <v>1.6105100000000008</v>
      </c>
      <c r="C116" s="1">
        <f>C117-1</f>
        <v>116</v>
      </c>
      <c r="E116" s="1" t="s">
        <v>8</v>
      </c>
      <c r="F116" s="27" t="s">
        <v>7</v>
      </c>
      <c r="K116" s="27" t="s">
        <v>8</v>
      </c>
      <c r="L116" s="27" t="s">
        <v>7</v>
      </c>
      <c r="M116" s="27" t="s">
        <v>8</v>
      </c>
      <c r="O116" s="27" t="s">
        <v>8</v>
      </c>
      <c r="Q116" s="27" t="s">
        <v>8</v>
      </c>
      <c r="AF116" s="27" t="s">
        <v>7</v>
      </c>
      <c r="AN116" s="27" t="s">
        <v>7</v>
      </c>
    </row>
    <row r="117" spans="1:40" x14ac:dyDescent="0.25">
      <c r="A117" s="30">
        <v>1.4641000000000006</v>
      </c>
      <c r="C117" s="1">
        <f>C121</f>
        <v>117</v>
      </c>
      <c r="D117" s="1">
        <f>D121</f>
        <v>40</v>
      </c>
      <c r="E117" s="1" t="s">
        <v>8</v>
      </c>
      <c r="F117" s="27" t="s">
        <v>7</v>
      </c>
      <c r="K117" s="27" t="s">
        <v>8</v>
      </c>
      <c r="L117" s="27" t="s">
        <v>7</v>
      </c>
      <c r="M117" s="27" t="s">
        <v>8</v>
      </c>
      <c r="N117" s="27" t="s">
        <v>7</v>
      </c>
      <c r="O117" s="27" t="s">
        <v>8</v>
      </c>
      <c r="P117" s="27" t="s">
        <v>7</v>
      </c>
      <c r="Q117" s="27" t="s">
        <v>8</v>
      </c>
      <c r="AN117" s="27" t="s">
        <v>7</v>
      </c>
    </row>
    <row r="118" spans="1:40" x14ac:dyDescent="0.25">
      <c r="A118" s="30">
        <v>1.3310000000000004</v>
      </c>
      <c r="C118" s="1">
        <f>C117+1</f>
        <v>118</v>
      </c>
      <c r="D118" s="1">
        <f>D117+1</f>
        <v>41</v>
      </c>
      <c r="E118" s="1" t="s">
        <v>8</v>
      </c>
      <c r="F118" s="27" t="s">
        <v>7</v>
      </c>
      <c r="I118" s="27" t="s">
        <v>8</v>
      </c>
      <c r="K118" s="27" t="s">
        <v>8</v>
      </c>
      <c r="L118" s="27" t="s">
        <v>7</v>
      </c>
      <c r="M118" s="27" t="s">
        <v>8</v>
      </c>
      <c r="N118" s="27" t="s">
        <v>7</v>
      </c>
      <c r="O118" s="27" t="s">
        <v>8</v>
      </c>
      <c r="P118" s="27" t="s">
        <v>7</v>
      </c>
      <c r="Q118" s="27" t="s">
        <v>8</v>
      </c>
    </row>
    <row r="119" spans="1:40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  <c r="I119" s="27" t="s">
        <v>8</v>
      </c>
      <c r="J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O119" s="27" t="s">
        <v>8</v>
      </c>
      <c r="P119" s="27" t="s">
        <v>7</v>
      </c>
    </row>
    <row r="120" spans="1:40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  <c r="N120" s="27" t="s">
        <v>7</v>
      </c>
    </row>
    <row r="121" spans="1:40" x14ac:dyDescent="0.25">
      <c r="A121" s="30">
        <v>1</v>
      </c>
      <c r="C121" s="18">
        <v>117</v>
      </c>
      <c r="D121" s="19">
        <v>40</v>
      </c>
      <c r="E121" s="18" t="s">
        <v>8</v>
      </c>
      <c r="F121" s="27" t="s">
        <v>7</v>
      </c>
      <c r="G121" s="27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L121" s="27" t="s">
        <v>7</v>
      </c>
    </row>
    <row r="122" spans="1:40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J122" s="27" t="s">
        <v>7</v>
      </c>
      <c r="K122" s="27" t="s">
        <v>8</v>
      </c>
    </row>
    <row r="123" spans="1:40" x14ac:dyDescent="0.25">
      <c r="A123" s="30">
        <v>0.82644628099173523</v>
      </c>
      <c r="C123" s="1" t="str">
        <f>"R"&amp;C121</f>
        <v>R117</v>
      </c>
      <c r="D123" s="1" t="str">
        <f>"C"&amp;D121</f>
        <v>C40</v>
      </c>
      <c r="F123" s="27" t="s">
        <v>7</v>
      </c>
      <c r="G123" s="27" t="s">
        <v>8</v>
      </c>
      <c r="J123" s="27" t="s">
        <v>7</v>
      </c>
      <c r="K123" s="27" t="s">
        <v>8</v>
      </c>
    </row>
    <row r="124" spans="1:4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J124" s="27" t="s">
        <v>7</v>
      </c>
      <c r="K124" s="27" t="s">
        <v>8</v>
      </c>
    </row>
    <row r="125" spans="1:40" x14ac:dyDescent="0.25">
      <c r="A125" s="30">
        <v>0.68301345536507019</v>
      </c>
      <c r="F125" s="27" t="s">
        <v>7</v>
      </c>
      <c r="G125" s="27" t="s">
        <v>8</v>
      </c>
      <c r="J125" s="27" t="s">
        <v>7</v>
      </c>
      <c r="K125" s="27" t="s">
        <v>8</v>
      </c>
    </row>
    <row r="126" spans="1:40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J126" s="27" t="s">
        <v>7</v>
      </c>
    </row>
    <row r="127" spans="1:40" x14ac:dyDescent="0.25">
      <c r="A127" s="30">
        <v>0.56447393005377677</v>
      </c>
      <c r="C127" s="30">
        <v>1.4641000000000006</v>
      </c>
      <c r="D127"/>
      <c r="F127" s="27" t="s">
        <v>7</v>
      </c>
      <c r="G127" s="27" t="s">
        <v>8</v>
      </c>
    </row>
    <row r="128" spans="1:40" x14ac:dyDescent="0.25">
      <c r="A128" s="30">
        <v>0.51315811823070612</v>
      </c>
      <c r="F128" s="27" t="s">
        <v>7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26" operator="equal">
      <formula>$U$1</formula>
    </cfRule>
    <cfRule type="cellIs" dxfId="30" priority="1127" operator="equal">
      <formula>$S$1</formula>
    </cfRule>
  </conditionalFormatting>
  <conditionalFormatting sqref="D136">
    <cfRule type="cellIs" dxfId="29" priority="1124" operator="equal">
      <formula>$S$1</formula>
    </cfRule>
    <cfRule type="cellIs" dxfId="28" priority="1125" operator="equal">
      <formula>$U$1</formula>
    </cfRule>
  </conditionalFormatting>
  <conditionalFormatting sqref="C102">
    <cfRule type="cellIs" dxfId="27" priority="1122" operator="equal">
      <formula>$U$1</formula>
    </cfRule>
    <cfRule type="cellIs" dxfId="26" priority="1123" operator="equal">
      <formula>$S$1</formula>
    </cfRule>
  </conditionalFormatting>
  <conditionalFormatting sqref="D102">
    <cfRule type="cellIs" dxfId="25" priority="1120" operator="equal">
      <formula>$S$1</formula>
    </cfRule>
    <cfRule type="cellIs" dxfId="24" priority="1121" operator="equal">
      <formula>$U$1</formula>
    </cfRule>
  </conditionalFormatting>
  <conditionalFormatting sqref="C77">
    <cfRule type="cellIs" dxfId="23" priority="1118" operator="equal">
      <formula>$U$1</formula>
    </cfRule>
    <cfRule type="cellIs" dxfId="22" priority="1119" operator="equal">
      <formula>$S$1</formula>
    </cfRule>
  </conditionalFormatting>
  <conditionalFormatting sqref="D77">
    <cfRule type="cellIs" dxfId="21" priority="1116" operator="equal">
      <formula>$S$1</formula>
    </cfRule>
    <cfRule type="cellIs" dxfId="20" priority="1117" operator="equal">
      <formula>$U$1</formula>
    </cfRule>
  </conditionalFormatting>
  <conditionalFormatting sqref="C52">
    <cfRule type="cellIs" dxfId="19" priority="1114" operator="equal">
      <formula>$U$1</formula>
    </cfRule>
    <cfRule type="cellIs" dxfId="18" priority="1115" operator="equal">
      <formula>$S$1</formula>
    </cfRule>
  </conditionalFormatting>
  <conditionalFormatting sqref="D52">
    <cfRule type="cellIs" dxfId="17" priority="1112" operator="equal">
      <formula>$S$1</formula>
    </cfRule>
    <cfRule type="cellIs" dxfId="16" priority="1113" operator="equal">
      <formula>$U$1</formula>
    </cfRule>
  </conditionalFormatting>
  <conditionalFormatting sqref="C26">
    <cfRule type="cellIs" dxfId="15" priority="1110" operator="equal">
      <formula>$U$1</formula>
    </cfRule>
    <cfRule type="cellIs" dxfId="14" priority="1111" operator="equal">
      <formula>$S$1</formula>
    </cfRule>
  </conditionalFormatting>
  <conditionalFormatting sqref="D26">
    <cfRule type="cellIs" dxfId="13" priority="1108" operator="equal">
      <formula>$S$1</formula>
    </cfRule>
    <cfRule type="cellIs" dxfId="12" priority="110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2022-01-28T01:18:33Z</dcterms:modified>
</cp:coreProperties>
</file>