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FDCEEB76-3B90-4F9E-9F63-8EBEAE425699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915" i="1"/>
  <c r="Q915" i="1" s="1"/>
  <c r="R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915" i="1"/>
  <c r="T91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18" i="4"/>
  <c r="C116" i="3"/>
  <c r="C122" i="4"/>
  <c r="C133" i="4" s="1"/>
  <c r="C136" i="4" s="1"/>
  <c r="C122" i="3"/>
  <c r="C133" i="3" s="1"/>
  <c r="D136" i="3" s="1"/>
  <c r="R914" i="1"/>
  <c r="D136" i="5" l="1"/>
  <c r="C138" i="5" s="1"/>
  <c r="D136" i="4"/>
  <c r="C138" i="4" s="1"/>
  <c r="C136" i="3"/>
  <c r="C138" i="3" s="1"/>
  <c r="R913" i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<sst xmlns="http://schemas.openxmlformats.org/spreadsheetml/2006/main" count="6134" uniqueCount="34">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</sst>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3.0239999999999998E-4</c:v>
                </c:pt>
                <c:pt idx="1">
                  <c:v>3.0830000000000001E-4</c:v>
                </c:pt>
                <c:pt idx="2">
                  <c:v>2.8959999999999999E-4</c:v>
                </c:pt>
                <c:pt idx="3">
                  <c:v>2.901E-4</c:v>
                </c:pt>
                <c:pt idx="4">
                  <c:v>3.0370000000000001E-4</c:v>
                </c:pt>
                <c:pt idx="5">
                  <c:v>3.0269999999999999E-4</c:v>
                </c:pt>
                <c:pt idx="6">
                  <c:v>3.2749999999999999E-4</c:v>
                </c:pt>
                <c:pt idx="7">
                  <c:v>3.8089999999999999E-4</c:v>
                </c:pt>
                <c:pt idx="8">
                  <c:v>3.948E-4</c:v>
                </c:pt>
                <c:pt idx="9">
                  <c:v>4.0509999999999998E-4</c:v>
                </c:pt>
                <c:pt idx="10">
                  <c:v>4.0759999999999999E-4</c:v>
                </c:pt>
                <c:pt idx="11">
                  <c:v>4.172E-4</c:v>
                </c:pt>
                <c:pt idx="12">
                  <c:v>4.2329999999999999E-4</c:v>
                </c:pt>
                <c:pt idx="13">
                  <c:v>3.8890000000000002E-4</c:v>
                </c:pt>
                <c:pt idx="14">
                  <c:v>3.8620000000000001E-4</c:v>
                </c:pt>
                <c:pt idx="15">
                  <c:v>4.0670000000000002E-4</c:v>
                </c:pt>
                <c:pt idx="16">
                  <c:v>3.7819999999999998E-4</c:v>
                </c:pt>
                <c:pt idx="17">
                  <c:v>3.6089999999999999E-4</c:v>
                </c:pt>
                <c:pt idx="18">
                  <c:v>3.793E-4</c:v>
                </c:pt>
                <c:pt idx="19">
                  <c:v>3.7589999999999998E-4</c:v>
                </c:pt>
                <c:pt idx="20">
                  <c:v>3.9229999999999999E-4</c:v>
                </c:pt>
                <c:pt idx="21">
                  <c:v>4.1389999999999998E-4</c:v>
                </c:pt>
                <c:pt idx="22">
                  <c:v>4.147E-4</c:v>
                </c:pt>
                <c:pt idx="23">
                  <c:v>4.4190000000000001E-4</c:v>
                </c:pt>
                <c:pt idx="24">
                  <c:v>4.5009999999999999E-4</c:v>
                </c:pt>
                <c:pt idx="25">
                  <c:v>4.5980000000000001E-4</c:v>
                </c:pt>
                <c:pt idx="26">
                  <c:v>4.6460000000000002E-4</c:v>
                </c:pt>
                <c:pt idx="27">
                  <c:v>4.5389999999999997E-4</c:v>
                </c:pt>
                <c:pt idx="28">
                  <c:v>4.7310000000000001E-4</c:v>
                </c:pt>
                <c:pt idx="29">
                  <c:v>4.6109999999999999E-4</c:v>
                </c:pt>
                <c:pt idx="30">
                  <c:v>4.66E-4</c:v>
                </c:pt>
                <c:pt idx="31">
                  <c:v>5.1029999999999999E-4</c:v>
                </c:pt>
                <c:pt idx="32">
                  <c:v>5.0770000000000003E-4</c:v>
                </c:pt>
                <c:pt idx="33">
                  <c:v>5.1769999999999995E-4</c:v>
                </c:pt>
                <c:pt idx="34">
                  <c:v>5.0109999999999998E-4</c:v>
                </c:pt>
                <c:pt idx="35">
                  <c:v>4.9600000000000002E-4</c:v>
                </c:pt>
                <c:pt idx="36">
                  <c:v>4.7120000000000002E-4</c:v>
                </c:pt>
                <c:pt idx="37">
                  <c:v>4.6020000000000002E-4</c:v>
                </c:pt>
                <c:pt idx="38">
                  <c:v>4.4099999999999999E-4</c:v>
                </c:pt>
                <c:pt idx="39">
                  <c:v>4.5399999999999998E-4</c:v>
                </c:pt>
                <c:pt idx="40">
                  <c:v>4.615E-4</c:v>
                </c:pt>
                <c:pt idx="41">
                  <c:v>4.5550000000000001E-4</c:v>
                </c:pt>
                <c:pt idx="42">
                  <c:v>4.9689999999999999E-4</c:v>
                </c:pt>
                <c:pt idx="43">
                  <c:v>4.7849999999999998E-4</c:v>
                </c:pt>
                <c:pt idx="44">
                  <c:v>4.6940000000000003E-4</c:v>
                </c:pt>
                <c:pt idx="45">
                  <c:v>4.6589999999999999E-4</c:v>
                </c:pt>
                <c:pt idx="46">
                  <c:v>5.1920000000000004E-4</c:v>
                </c:pt>
                <c:pt idx="47">
                  <c:v>5.0449999999999996E-4</c:v>
                </c:pt>
                <c:pt idx="48">
                  <c:v>4.996E-4</c:v>
                </c:pt>
                <c:pt idx="49">
                  <c:v>5.1960000000000005E-4</c:v>
                </c:pt>
                <c:pt idx="50">
                  <c:v>5.7430000000000003E-4</c:v>
                </c:pt>
                <c:pt idx="51">
                  <c:v>5.643E-4</c:v>
                </c:pt>
                <c:pt idx="52">
                  <c:v>5.71E-4</c:v>
                </c:pt>
                <c:pt idx="53">
                  <c:v>5.4089999999999997E-4</c:v>
                </c:pt>
                <c:pt idx="54">
                  <c:v>5.7140000000000001E-4</c:v>
                </c:pt>
                <c:pt idx="55">
                  <c:v>6.6259999999999995E-4</c:v>
                </c:pt>
                <c:pt idx="56">
                  <c:v>7.1100000000000004E-4</c:v>
                </c:pt>
                <c:pt idx="57">
                  <c:v>6.8499999999999995E-4</c:v>
                </c:pt>
                <c:pt idx="58">
                  <c:v>6.8429999999999999E-4</c:v>
                </c:pt>
                <c:pt idx="59">
                  <c:v>6.8950000000000001E-4</c:v>
                </c:pt>
                <c:pt idx="60">
                  <c:v>6.9459999999999997E-4</c:v>
                </c:pt>
                <c:pt idx="61">
                  <c:v>6.9130000000000005E-4</c:v>
                </c:pt>
                <c:pt idx="62">
                  <c:v>6.8300000000000001E-4</c:v>
                </c:pt>
                <c:pt idx="63">
                  <c:v>7.8339999999999996E-4</c:v>
                </c:pt>
                <c:pt idx="64">
                  <c:v>8.0369999999999997E-4</c:v>
                </c:pt>
                <c:pt idx="65">
                  <c:v>8.1990000000000003E-4</c:v>
                </c:pt>
                <c:pt idx="66">
                  <c:v>8.1419999999999995E-4</c:v>
                </c:pt>
                <c:pt idx="67">
                  <c:v>8.5340000000000004E-4</c:v>
                </c:pt>
                <c:pt idx="68">
                  <c:v>8.1859999999999995E-4</c:v>
                </c:pt>
                <c:pt idx="69">
                  <c:v>8.298E-4</c:v>
                </c:pt>
                <c:pt idx="70">
                  <c:v>7.6360000000000002E-4</c:v>
                </c:pt>
                <c:pt idx="71">
                  <c:v>8.3960000000000003E-4</c:v>
                </c:pt>
                <c:pt idx="72">
                  <c:v>8.5360000000000004E-4</c:v>
                </c:pt>
                <c:pt idx="73">
                  <c:v>9.6049999999999998E-4</c:v>
                </c:pt>
                <c:pt idx="74">
                  <c:v>8.2660000000000003E-4</c:v>
                </c:pt>
                <c:pt idx="75">
                  <c:v>7.0629999999999998E-4</c:v>
                </c:pt>
                <c:pt idx="76">
                  <c:v>6.9410000000000001E-4</c:v>
                </c:pt>
                <c:pt idx="77">
                  <c:v>7.2579999999999997E-4</c:v>
                </c:pt>
                <c:pt idx="78">
                  <c:v>7.0339999999999997E-4</c:v>
                </c:pt>
                <c:pt idx="79">
                  <c:v>7.4819999999999997E-4</c:v>
                </c:pt>
                <c:pt idx="80">
                  <c:v>7.7050000000000003E-4</c:v>
                </c:pt>
                <c:pt idx="81">
                  <c:v>7.339E-4</c:v>
                </c:pt>
                <c:pt idx="82">
                  <c:v>7.2999999999999996E-4</c:v>
                </c:pt>
                <c:pt idx="83">
                  <c:v>7.2760000000000001E-4</c:v>
                </c:pt>
                <c:pt idx="84">
                  <c:v>7.1170000000000001E-4</c:v>
                </c:pt>
                <c:pt idx="85">
                  <c:v>7.406E-4</c:v>
                </c:pt>
                <c:pt idx="86">
                  <c:v>8.0079999999999995E-4</c:v>
                </c:pt>
                <c:pt idx="87">
                  <c:v>7.963E-4</c:v>
                </c:pt>
                <c:pt idx="88">
                  <c:v>7.9370000000000005E-4</c:v>
                </c:pt>
                <c:pt idx="89">
                  <c:v>7.804E-4</c:v>
                </c:pt>
                <c:pt idx="90">
                  <c:v>6.3889999999999997E-4</c:v>
                </c:pt>
                <c:pt idx="91">
                  <c:v>5.8549999999999997E-4</c:v>
                </c:pt>
                <c:pt idx="92">
                  <c:v>5.6119999999999998E-4</c:v>
                </c:pt>
                <c:pt idx="93">
                  <c:v>6.288E-4</c:v>
                </c:pt>
                <c:pt idx="94">
                  <c:v>6.3529999999999999E-4</c:v>
                </c:pt>
                <c:pt idx="95">
                  <c:v>6.0050000000000001E-4</c:v>
                </c:pt>
                <c:pt idx="96">
                  <c:v>6.1850000000000002E-4</c:v>
                </c:pt>
                <c:pt idx="97">
                  <c:v>6.0800000000000003E-4</c:v>
                </c:pt>
                <c:pt idx="98">
                  <c:v>6.2040000000000001E-4</c:v>
                </c:pt>
                <c:pt idx="99">
                  <c:v>6.5129999999999995E-4</c:v>
                </c:pt>
                <c:pt idx="100">
                  <c:v>6.3400000000000001E-4</c:v>
                </c:pt>
                <c:pt idx="101">
                  <c:v>6.4320000000000002E-4</c:v>
                </c:pt>
                <c:pt idx="102">
                  <c:v>6.3619999999999996E-4</c:v>
                </c:pt>
                <c:pt idx="103">
                  <c:v>5.8299999999999997E-4</c:v>
                </c:pt>
                <c:pt idx="104">
                  <c:v>5.6749999999999997E-4</c:v>
                </c:pt>
                <c:pt idx="105">
                  <c:v>5.7430000000000003E-4</c:v>
                </c:pt>
                <c:pt idx="106">
                  <c:v>5.3939999999999999E-4</c:v>
                </c:pt>
                <c:pt idx="107">
                  <c:v>5.218E-4</c:v>
                </c:pt>
                <c:pt idx="108">
                  <c:v>5.4580000000000004E-4</c:v>
                </c:pt>
                <c:pt idx="109">
                  <c:v>5.285E-4</c:v>
                </c:pt>
                <c:pt idx="110">
                  <c:v>5.6490000000000002E-4</c:v>
                </c:pt>
                <c:pt idx="111">
                  <c:v>5.4779999999999998E-4</c:v>
                </c:pt>
                <c:pt idx="112">
                  <c:v>5.5690000000000004E-4</c:v>
                </c:pt>
                <c:pt idx="113">
                  <c:v>5.8870000000000005E-4</c:v>
                </c:pt>
                <c:pt idx="114">
                  <c:v>6.0409999999999999E-4</c:v>
                </c:pt>
                <c:pt idx="115">
                  <c:v>4.6539999999999998E-4</c:v>
                </c:pt>
                <c:pt idx="116">
                  <c:v>4.7090000000000001E-4</c:v>
                </c:pt>
                <c:pt idx="117">
                  <c:v>4.5409999999999998E-4</c:v>
                </c:pt>
                <c:pt idx="118">
                  <c:v>4.46E-4</c:v>
                </c:pt>
                <c:pt idx="119">
                  <c:v>4.0779999999999999E-4</c:v>
                </c:pt>
                <c:pt idx="120">
                  <c:v>3.9439999999999999E-4</c:v>
                </c:pt>
                <c:pt idx="121">
                  <c:v>3.8769999999999999E-4</c:v>
                </c:pt>
                <c:pt idx="122">
                  <c:v>3.9080000000000001E-4</c:v>
                </c:pt>
                <c:pt idx="123">
                  <c:v>3.9770000000000002E-4</c:v>
                </c:pt>
                <c:pt idx="124">
                  <c:v>4.0789999999999999E-4</c:v>
                </c:pt>
                <c:pt idx="125">
                  <c:v>4.149E-4</c:v>
                </c:pt>
                <c:pt idx="126">
                  <c:v>4.5100000000000001E-4</c:v>
                </c:pt>
                <c:pt idx="127">
                  <c:v>4.462E-4</c:v>
                </c:pt>
                <c:pt idx="128">
                  <c:v>4.0180000000000001E-4</c:v>
                </c:pt>
                <c:pt idx="129">
                  <c:v>4.6030000000000002E-4</c:v>
                </c:pt>
                <c:pt idx="130">
                  <c:v>4.9039999999999999E-4</c:v>
                </c:pt>
                <c:pt idx="131">
                  <c:v>5.0940000000000002E-4</c:v>
                </c:pt>
                <c:pt idx="132">
                  <c:v>5.04E-4</c:v>
                </c:pt>
                <c:pt idx="133">
                  <c:v>5.1900000000000004E-4</c:v>
                </c:pt>
                <c:pt idx="134">
                  <c:v>5.398E-4</c:v>
                </c:pt>
                <c:pt idx="135">
                  <c:v>5.241E-4</c:v>
                </c:pt>
                <c:pt idx="136">
                  <c:v>5.0949999999999997E-4</c:v>
                </c:pt>
                <c:pt idx="137">
                  <c:v>5.4339999999999998E-4</c:v>
                </c:pt>
                <c:pt idx="138">
                  <c:v>5.1210000000000003E-4</c:v>
                </c:pt>
                <c:pt idx="139">
                  <c:v>4.9709999999999999E-4</c:v>
                </c:pt>
                <c:pt idx="140">
                  <c:v>5.3339999999999995E-4</c:v>
                </c:pt>
                <c:pt idx="141">
                  <c:v>5.3620000000000002E-4</c:v>
                </c:pt>
                <c:pt idx="142">
                  <c:v>5.306E-4</c:v>
                </c:pt>
                <c:pt idx="143">
                  <c:v>6.8789999999999997E-4</c:v>
                </c:pt>
                <c:pt idx="144">
                  <c:v>7.0600000000000003E-4</c:v>
                </c:pt>
                <c:pt idx="145">
                  <c:v>6.6359999999999998E-4</c:v>
                </c:pt>
                <c:pt idx="146">
                  <c:v>6.759E-4</c:v>
                </c:pt>
                <c:pt idx="147">
                  <c:v>6.6850000000000004E-4</c:v>
                </c:pt>
                <c:pt idx="148">
                  <c:v>6.4919999999999995E-4</c:v>
                </c:pt>
                <c:pt idx="149">
                  <c:v>6.2480000000000001E-4</c:v>
                </c:pt>
                <c:pt idx="150">
                  <c:v>6.3029999999999998E-4</c:v>
                </c:pt>
                <c:pt idx="151">
                  <c:v>6.7750000000000004E-4</c:v>
                </c:pt>
                <c:pt idx="152">
                  <c:v>7.157E-4</c:v>
                </c:pt>
                <c:pt idx="153">
                  <c:v>6.2120000000000003E-4</c:v>
                </c:pt>
                <c:pt idx="154">
                  <c:v>5.9060000000000004E-4</c:v>
                </c:pt>
                <c:pt idx="155">
                  <c:v>6.3440000000000002E-4</c:v>
                </c:pt>
                <c:pt idx="156">
                  <c:v>6.177E-4</c:v>
                </c:pt>
                <c:pt idx="157">
                  <c:v>6.7730000000000004E-4</c:v>
                </c:pt>
                <c:pt idx="158">
                  <c:v>6.7299999999999999E-4</c:v>
                </c:pt>
                <c:pt idx="159">
                  <c:v>6.5850000000000001E-4</c:v>
                </c:pt>
                <c:pt idx="160">
                  <c:v>6.9209999999999996E-4</c:v>
                </c:pt>
                <c:pt idx="161">
                  <c:v>6.7900000000000002E-4</c:v>
                </c:pt>
                <c:pt idx="162">
                  <c:v>6.3670000000000003E-4</c:v>
                </c:pt>
                <c:pt idx="163">
                  <c:v>6.288E-4</c:v>
                </c:pt>
                <c:pt idx="164">
                  <c:v>6.9629999999999996E-4</c:v>
                </c:pt>
                <c:pt idx="165">
                  <c:v>7.2780000000000002E-4</c:v>
                </c:pt>
                <c:pt idx="166">
                  <c:v>7.5100000000000004E-4</c:v>
                </c:pt>
                <c:pt idx="167">
                  <c:v>7.716E-4</c:v>
                </c:pt>
                <c:pt idx="168">
                  <c:v>7.1109999999999999E-4</c:v>
                </c:pt>
                <c:pt idx="169">
                  <c:v>7.3090000000000004E-4</c:v>
                </c:pt>
                <c:pt idx="170">
                  <c:v>5.0409999999999995E-4</c:v>
                </c:pt>
                <c:pt idx="171">
                  <c:v>4.7360000000000002E-4</c:v>
                </c:pt>
                <c:pt idx="172">
                  <c:v>4.4920000000000002E-4</c:v>
                </c:pt>
                <c:pt idx="173">
                  <c:v>4.2489999999999997E-4</c:v>
                </c:pt>
                <c:pt idx="174">
                  <c:v>4.236E-4</c:v>
                </c:pt>
                <c:pt idx="175">
                  <c:v>3.9619999999999998E-4</c:v>
                </c:pt>
                <c:pt idx="176">
                  <c:v>3.8249999999999997E-4</c:v>
                </c:pt>
                <c:pt idx="177">
                  <c:v>3.4190000000000002E-4</c:v>
                </c:pt>
                <c:pt idx="178">
                  <c:v>3.5770000000000002E-4</c:v>
                </c:pt>
                <c:pt idx="179">
                  <c:v>3.5750000000000002E-4</c:v>
                </c:pt>
                <c:pt idx="180">
                  <c:v>3.5770000000000002E-4</c:v>
                </c:pt>
                <c:pt idx="181">
                  <c:v>3.6089999999999999E-4</c:v>
                </c:pt>
                <c:pt idx="182">
                  <c:v>3.5799999999999997E-4</c:v>
                </c:pt>
                <c:pt idx="183">
                  <c:v>3.5639999999999999E-4</c:v>
                </c:pt>
                <c:pt idx="184">
                  <c:v>3.6269999999999998E-4</c:v>
                </c:pt>
                <c:pt idx="185">
                  <c:v>3.548E-4</c:v>
                </c:pt>
                <c:pt idx="186">
                  <c:v>3.501E-4</c:v>
                </c:pt>
                <c:pt idx="187">
                  <c:v>3.168E-4</c:v>
                </c:pt>
                <c:pt idx="188">
                  <c:v>3.2289999999999999E-4</c:v>
                </c:pt>
                <c:pt idx="189">
                  <c:v>2.9409999999999999E-4</c:v>
                </c:pt>
                <c:pt idx="190">
                  <c:v>2.944E-4</c:v>
                </c:pt>
                <c:pt idx="191">
                  <c:v>2.7399999999999999E-4</c:v>
                </c:pt>
                <c:pt idx="192">
                  <c:v>2.9859999999999999E-4</c:v>
                </c:pt>
                <c:pt idx="193">
                  <c:v>3.1290000000000002E-4</c:v>
                </c:pt>
                <c:pt idx="194">
                  <c:v>3.1300000000000002E-4</c:v>
                </c:pt>
                <c:pt idx="195">
                  <c:v>3.1300000000000002E-4</c:v>
                </c:pt>
                <c:pt idx="196">
                  <c:v>3.3159999999999998E-4</c:v>
                </c:pt>
                <c:pt idx="197">
                  <c:v>3.4489999999999998E-4</c:v>
                </c:pt>
                <c:pt idx="198">
                  <c:v>3.4289999999999999E-4</c:v>
                </c:pt>
                <c:pt idx="199">
                  <c:v>3.525E-4</c:v>
                </c:pt>
                <c:pt idx="200">
                  <c:v>3.6979999999999999E-4</c:v>
                </c:pt>
                <c:pt idx="201">
                  <c:v>3.614E-4</c:v>
                </c:pt>
                <c:pt idx="202">
                  <c:v>3.6670000000000002E-4</c:v>
                </c:pt>
                <c:pt idx="203">
                  <c:v>3.6170000000000001E-4</c:v>
                </c:pt>
                <c:pt idx="204">
                  <c:v>3.9140000000000003E-4</c:v>
                </c:pt>
                <c:pt idx="205">
                  <c:v>3.9070000000000001E-4</c:v>
                </c:pt>
                <c:pt idx="206">
                  <c:v>3.8200000000000002E-4</c:v>
                </c:pt>
                <c:pt idx="207">
                  <c:v>3.991E-4</c:v>
                </c:pt>
                <c:pt idx="208">
                  <c:v>3.9639999999999999E-4</c:v>
                </c:pt>
                <c:pt idx="209">
                  <c:v>3.9720000000000001E-4</c:v>
                </c:pt>
                <c:pt idx="210">
                  <c:v>3.879E-4</c:v>
                </c:pt>
                <c:pt idx="211">
                  <c:v>4.1669999999999999E-4</c:v>
                </c:pt>
                <c:pt idx="212">
                  <c:v>4.2769999999999999E-4</c:v>
                </c:pt>
                <c:pt idx="213">
                  <c:v>3.9580000000000003E-4</c:v>
                </c:pt>
                <c:pt idx="214">
                  <c:v>3.901E-4</c:v>
                </c:pt>
                <c:pt idx="215">
                  <c:v>3.7990000000000002E-4</c:v>
                </c:pt>
                <c:pt idx="216">
                  <c:v>3.704E-4</c:v>
                </c:pt>
                <c:pt idx="217">
                  <c:v>4.171E-4</c:v>
                </c:pt>
                <c:pt idx="218">
                  <c:v>3.857E-4</c:v>
                </c:pt>
                <c:pt idx="219">
                  <c:v>3.3480000000000001E-4</c:v>
                </c:pt>
                <c:pt idx="220">
                  <c:v>3.59E-4</c:v>
                </c:pt>
                <c:pt idx="221">
                  <c:v>4.571E-4</c:v>
                </c:pt>
                <c:pt idx="222">
                  <c:v>4.5629999999999998E-4</c:v>
                </c:pt>
                <c:pt idx="223">
                  <c:v>4.7019999999999999E-4</c:v>
                </c:pt>
                <c:pt idx="224">
                  <c:v>5.2070000000000003E-4</c:v>
                </c:pt>
                <c:pt idx="225">
                  <c:v>4.5419999999999998E-4</c:v>
                </c:pt>
                <c:pt idx="226">
                  <c:v>4.6870000000000001E-4</c:v>
                </c:pt>
                <c:pt idx="227">
                  <c:v>4.6279999999999997E-4</c:v>
                </c:pt>
                <c:pt idx="228">
                  <c:v>4.548E-4</c:v>
                </c:pt>
                <c:pt idx="229">
                  <c:v>4.2489999999999997E-4</c:v>
                </c:pt>
                <c:pt idx="230">
                  <c:v>4.3990000000000001E-4</c:v>
                </c:pt>
                <c:pt idx="231">
                  <c:v>4.5110000000000001E-4</c:v>
                </c:pt>
                <c:pt idx="232">
                  <c:v>4.8270000000000002E-4</c:v>
                </c:pt>
                <c:pt idx="233">
                  <c:v>4.5419999999999998E-4</c:v>
                </c:pt>
                <c:pt idx="234">
                  <c:v>4.6119999999999999E-4</c:v>
                </c:pt>
                <c:pt idx="235">
                  <c:v>5.1079999999999995E-4</c:v>
                </c:pt>
                <c:pt idx="236">
                  <c:v>5.0140000000000004E-4</c:v>
                </c:pt>
                <c:pt idx="237">
                  <c:v>5.1230000000000004E-4</c:v>
                </c:pt>
                <c:pt idx="238">
                  <c:v>5.798E-4</c:v>
                </c:pt>
                <c:pt idx="239">
                  <c:v>5.2320000000000003E-4</c:v>
                </c:pt>
                <c:pt idx="240">
                  <c:v>5.1440000000000004E-4</c:v>
                </c:pt>
                <c:pt idx="241">
                  <c:v>5.2999999999999998E-4</c:v>
                </c:pt>
                <c:pt idx="242">
                  <c:v>4.9660000000000004E-4</c:v>
                </c:pt>
                <c:pt idx="243">
                  <c:v>4.7659999999999998E-4</c:v>
                </c:pt>
                <c:pt idx="244">
                  <c:v>4.9629999999999997E-4</c:v>
                </c:pt>
                <c:pt idx="245">
                  <c:v>5.6229999999999995E-4</c:v>
                </c:pt>
                <c:pt idx="246">
                  <c:v>6.4170000000000004E-4</c:v>
                </c:pt>
                <c:pt idx="247">
                  <c:v>5.3039999999999999E-4</c:v>
                </c:pt>
                <c:pt idx="248">
                  <c:v>5.2660000000000001E-4</c:v>
                </c:pt>
                <c:pt idx="249">
                  <c:v>4.2499999999999998E-4</c:v>
                </c:pt>
                <c:pt idx="250">
                  <c:v>5.1440000000000004E-4</c:v>
                </c:pt>
                <c:pt idx="251">
                  <c:v>5.2010000000000001E-4</c:v>
                </c:pt>
                <c:pt idx="252">
                  <c:v>6.2870000000000005E-4</c:v>
                </c:pt>
                <c:pt idx="253">
                  <c:v>5.4230000000000001E-4</c:v>
                </c:pt>
                <c:pt idx="254">
                  <c:v>8.3540000000000003E-4</c:v>
                </c:pt>
                <c:pt idx="255">
                  <c:v>8.5899999999999995E-4</c:v>
                </c:pt>
                <c:pt idx="256">
                  <c:v>9.3050000000000001E-4</c:v>
                </c:pt>
                <c:pt idx="257">
                  <c:v>8.3960000000000003E-4</c:v>
                </c:pt>
                <c:pt idx="258">
                  <c:v>9.2489999999999998E-4</c:v>
                </c:pt>
                <c:pt idx="259">
                  <c:v>8.9709999999999996E-4</c:v>
                </c:pt>
                <c:pt idx="260">
                  <c:v>8.9340000000000003E-4</c:v>
                </c:pt>
                <c:pt idx="261">
                  <c:v>1.1103E-3</c:v>
                </c:pt>
                <c:pt idx="262">
                  <c:v>1.0778000000000001E-3</c:v>
                </c:pt>
                <c:pt idx="263">
                  <c:v>1.2444999999999999E-3</c:v>
                </c:pt>
                <c:pt idx="264">
                  <c:v>1.279E-3</c:v>
                </c:pt>
                <c:pt idx="265">
                  <c:v>1.3117000000000001E-3</c:v>
                </c:pt>
                <c:pt idx="266">
                  <c:v>1.3159999999999999E-3</c:v>
                </c:pt>
                <c:pt idx="267">
                  <c:v>1.2501999999999999E-3</c:v>
                </c:pt>
                <c:pt idx="268">
                  <c:v>1.1532999999999999E-3</c:v>
                </c:pt>
                <c:pt idx="269">
                  <c:v>1.2987000000000001E-3</c:v>
                </c:pt>
                <c:pt idx="270">
                  <c:v>1.3171000000000001E-3</c:v>
                </c:pt>
                <c:pt idx="271">
                  <c:v>1.3335E-3</c:v>
                </c:pt>
                <c:pt idx="272">
                  <c:v>1.3659E-3</c:v>
                </c:pt>
                <c:pt idx="273">
                  <c:v>1.3179999999999999E-3</c:v>
                </c:pt>
                <c:pt idx="274">
                  <c:v>1.3378000000000001E-3</c:v>
                </c:pt>
                <c:pt idx="275">
                  <c:v>1.4273999999999999E-3</c:v>
                </c:pt>
                <c:pt idx="276">
                  <c:v>1.2581000000000001E-3</c:v>
                </c:pt>
                <c:pt idx="277">
                  <c:v>1.0640000000000001E-3</c:v>
                </c:pt>
                <c:pt idx="278">
                  <c:v>1.10223E-3</c:v>
                </c:pt>
                <c:pt idx="279">
                  <c:v>1.22276E-3</c:v>
                </c:pt>
                <c:pt idx="280">
                  <c:v>9.7157000000000005E-4</c:v>
                </c:pt>
                <c:pt idx="281">
                  <c:v>1.1689999999999999E-3</c:v>
                </c:pt>
                <c:pt idx="282">
                  <c:v>1.2999999999999999E-3</c:v>
                </c:pt>
                <c:pt idx="283">
                  <c:v>1.3078899999999999E-3</c:v>
                </c:pt>
                <c:pt idx="284">
                  <c:v>1.4089300000000001E-3</c:v>
                </c:pt>
                <c:pt idx="285">
                  <c:v>1.57836E-3</c:v>
                </c:pt>
                <c:pt idx="286">
                  <c:v>1.5087E-3</c:v>
                </c:pt>
                <c:pt idx="287">
                  <c:v>1.6530200000000001E-3</c:v>
                </c:pt>
                <c:pt idx="288">
                  <c:v>1.4610000000000001E-3</c:v>
                </c:pt>
                <c:pt idx="289">
                  <c:v>1.5322199999999999E-3</c:v>
                </c:pt>
                <c:pt idx="290">
                  <c:v>1.5175E-3</c:v>
                </c:pt>
                <c:pt idx="291">
                  <c:v>1.70152E-3</c:v>
                </c:pt>
                <c:pt idx="292">
                  <c:v>1.4709300000000001E-3</c:v>
                </c:pt>
                <c:pt idx="293">
                  <c:v>1.6659999999999999E-3</c:v>
                </c:pt>
                <c:pt idx="294">
                  <c:v>1.8890300000000001E-3</c:v>
                </c:pt>
                <c:pt idx="295">
                  <c:v>1.6307100000000001E-3</c:v>
                </c:pt>
                <c:pt idx="296">
                  <c:v>2.0063300000000002E-3</c:v>
                </c:pt>
                <c:pt idx="297">
                  <c:v>2.6889800000000001E-3</c:v>
                </c:pt>
                <c:pt idx="298">
                  <c:v>2.2684599999999999E-3</c:v>
                </c:pt>
                <c:pt idx="299">
                  <c:v>1.13897E-3</c:v>
                </c:pt>
                <c:pt idx="300">
                  <c:v>6.3613000000000005E-4</c:v>
                </c:pt>
                <c:pt idx="301">
                  <c:v>5.6181000000000004E-4</c:v>
                </c:pt>
                <c:pt idx="302">
                  <c:v>6.5415999999999998E-4</c:v>
                </c:pt>
                <c:pt idx="303">
                  <c:v>3.9339000000000003E-4</c:v>
                </c:pt>
                <c:pt idx="304">
                  <c:v>3.7247000000000002E-4</c:v>
                </c:pt>
                <c:pt idx="305">
                  <c:v>3.6749999999999999E-4</c:v>
                </c:pt>
                <c:pt idx="306">
                  <c:v>3.768E-4</c:v>
                </c:pt>
                <c:pt idx="307">
                  <c:v>3.8500999999999997E-4</c:v>
                </c:pt>
                <c:pt idx="308">
                  <c:v>3.2589000000000001E-4</c:v>
                </c:pt>
                <c:pt idx="309">
                  <c:v>3.302E-4</c:v>
                </c:pt>
                <c:pt idx="310">
                  <c:v>3.5593000000000002E-4</c:v>
                </c:pt>
                <c:pt idx="311">
                  <c:v>3.7532E-4</c:v>
                </c:pt>
                <c:pt idx="312">
                  <c:v>4.1208999999999999E-4</c:v>
                </c:pt>
                <c:pt idx="313">
                  <c:v>3.4850000000000001E-4</c:v>
                </c:pt>
                <c:pt idx="314">
                  <c:v>3.4558000000000001E-4</c:v>
                </c:pt>
                <c:pt idx="315">
                  <c:v>2.5792000000000002E-4</c:v>
                </c:pt>
                <c:pt idx="316">
                  <c:v>2.6919999999999998E-4</c:v>
                </c:pt>
                <c:pt idx="317">
                  <c:v>2.6075000000000002E-4</c:v>
                </c:pt>
                <c:pt idx="318">
                  <c:v>2.6488E-4</c:v>
                </c:pt>
                <c:pt idx="319">
                  <c:v>2.7999999999999998E-4</c:v>
                </c:pt>
                <c:pt idx="320">
                  <c:v>2.6722999999999997E-4</c:v>
                </c:pt>
                <c:pt idx="321">
                  <c:v>2.1848000000000001E-4</c:v>
                </c:pt>
                <c:pt idx="322">
                  <c:v>2.3047000000000001E-4</c:v>
                </c:pt>
                <c:pt idx="323">
                  <c:v>2.3282000000000001E-4</c:v>
                </c:pt>
                <c:pt idx="324">
                  <c:v>2.3759000000000001E-4</c:v>
                </c:pt>
                <c:pt idx="325">
                  <c:v>2.1713E-4</c:v>
                </c:pt>
                <c:pt idx="326">
                  <c:v>2.1383E-4</c:v>
                </c:pt>
                <c:pt idx="327">
                  <c:v>2.0845E-4</c:v>
                </c:pt>
                <c:pt idx="328">
                  <c:v>2.119E-4</c:v>
                </c:pt>
                <c:pt idx="329">
                  <c:v>2.1649000000000001E-4</c:v>
                </c:pt>
                <c:pt idx="330">
                  <c:v>2.0615999999999999E-4</c:v>
                </c:pt>
                <c:pt idx="331">
                  <c:v>2.0227E-4</c:v>
                </c:pt>
                <c:pt idx="332">
                  <c:v>2.0848000000000001E-4</c:v>
                </c:pt>
                <c:pt idx="333">
                  <c:v>1.9914999999999999E-4</c:v>
                </c:pt>
                <c:pt idx="334">
                  <c:v>2.0568E-4</c:v>
                </c:pt>
                <c:pt idx="335">
                  <c:v>1.9785000000000001E-4</c:v>
                </c:pt>
                <c:pt idx="336">
                  <c:v>1.9782999999999999E-4</c:v>
                </c:pt>
                <c:pt idx="337">
                  <c:v>2.0840999999999999E-4</c:v>
                </c:pt>
                <c:pt idx="338">
                  <c:v>1.9804999999999999E-4</c:v>
                </c:pt>
                <c:pt idx="339">
                  <c:v>2.3332E-4</c:v>
                </c:pt>
                <c:pt idx="340">
                  <c:v>2.5726999999999998E-4</c:v>
                </c:pt>
                <c:pt idx="341">
                  <c:v>2.4324000000000001E-4</c:v>
                </c:pt>
                <c:pt idx="342">
                  <c:v>2.5484999999999999E-4</c:v>
                </c:pt>
                <c:pt idx="343">
                  <c:v>2.3840999999999999E-4</c:v>
                </c:pt>
                <c:pt idx="344">
                  <c:v>2.3425E-4</c:v>
                </c:pt>
                <c:pt idx="345">
                  <c:v>2.197E-4</c:v>
                </c:pt>
                <c:pt idx="346">
                  <c:v>2.2368E-4</c:v>
                </c:pt>
                <c:pt idx="347">
                  <c:v>2.4811000000000001E-4</c:v>
                </c:pt>
                <c:pt idx="348">
                  <c:v>2.8380000000000001E-4</c:v>
                </c:pt>
                <c:pt idx="349">
                  <c:v>2.4138E-4</c:v>
                </c:pt>
                <c:pt idx="350">
                  <c:v>2.3622000000000001E-4</c:v>
                </c:pt>
                <c:pt idx="351">
                  <c:v>1.9326E-4</c:v>
                </c:pt>
                <c:pt idx="352">
                  <c:v>1.8848000000000001E-4</c:v>
                </c:pt>
                <c:pt idx="353">
                  <c:v>1.4001000000000001E-4</c:v>
                </c:pt>
                <c:pt idx="354">
                  <c:v>1.2825E-4</c:v>
                </c:pt>
                <c:pt idx="355">
                  <c:v>1.2463E-4</c:v>
                </c:pt>
                <c:pt idx="356">
                  <c:v>1.317E-4</c:v>
                </c:pt>
                <c:pt idx="357">
                  <c:v>1.2725E-4</c:v>
                </c:pt>
                <c:pt idx="358">
                  <c:v>1.3804E-4</c:v>
                </c:pt>
                <c:pt idx="359">
                  <c:v>1.1232E-4</c:v>
                </c:pt>
                <c:pt idx="360">
                  <c:v>1.0941E-4</c:v>
                </c:pt>
                <c:pt idx="361">
                  <c:v>1.0564E-4</c:v>
                </c:pt>
                <c:pt idx="362">
                  <c:v>1.1221E-4</c:v>
                </c:pt>
                <c:pt idx="363">
                  <c:v>1.0279E-4</c:v>
                </c:pt>
                <c:pt idx="364">
                  <c:v>9.815E-5</c:v>
                </c:pt>
                <c:pt idx="365">
                  <c:v>8.852E-5</c:v>
                </c:pt>
                <c:pt idx="366">
                  <c:v>9.4539999999999999E-5</c:v>
                </c:pt>
                <c:pt idx="367">
                  <c:v>9.3449999999999995E-5</c:v>
                </c:pt>
                <c:pt idx="368">
                  <c:v>9.679E-5</c:v>
                </c:pt>
                <c:pt idx="369">
                  <c:v>9.1879999999999994E-5</c:v>
                </c:pt>
                <c:pt idx="370">
                  <c:v>8.4389999999999997E-5</c:v>
                </c:pt>
                <c:pt idx="371">
                  <c:v>7.9629999999999995E-5</c:v>
                </c:pt>
                <c:pt idx="372">
                  <c:v>8.7570000000000004E-5</c:v>
                </c:pt>
                <c:pt idx="373">
                  <c:v>8.9460000000000001E-5</c:v>
                </c:pt>
                <c:pt idx="374">
                  <c:v>9.1630000000000002E-5</c:v>
                </c:pt>
                <c:pt idx="375">
                  <c:v>8.8609999999999994E-5</c:v>
                </c:pt>
                <c:pt idx="376">
                  <c:v>9.2130000000000001E-5</c:v>
                </c:pt>
                <c:pt idx="377">
                  <c:v>8.8220000000000006E-5</c:v>
                </c:pt>
                <c:pt idx="378">
                  <c:v>8.7000000000000001E-5</c:v>
                </c:pt>
                <c:pt idx="379">
                  <c:v>8.3350000000000007E-5</c:v>
                </c:pt>
                <c:pt idx="380">
                  <c:v>7.3029999999999997E-5</c:v>
                </c:pt>
                <c:pt idx="381">
                  <c:v>7.2200000000000007E-5</c:v>
                </c:pt>
                <c:pt idx="382">
                  <c:v>8.0679999999999993E-5</c:v>
                </c:pt>
                <c:pt idx="383">
                  <c:v>8.6570000000000006E-5</c:v>
                </c:pt>
                <c:pt idx="384">
                  <c:v>7.5210000000000007E-5</c:v>
                </c:pt>
                <c:pt idx="385">
                  <c:v>7.5099999999999996E-5</c:v>
                </c:pt>
                <c:pt idx="386">
                  <c:v>7.2869999999999999E-5</c:v>
                </c:pt>
                <c:pt idx="387">
                  <c:v>6.7150000000000006E-5</c:v>
                </c:pt>
                <c:pt idx="388">
                  <c:v>7.0710000000000006E-5</c:v>
                </c:pt>
                <c:pt idx="389">
                  <c:v>6.6459999999999997E-5</c:v>
                </c:pt>
                <c:pt idx="390">
                  <c:v>6.0409999999999999E-5</c:v>
                </c:pt>
                <c:pt idx="391">
                  <c:v>5.9190000000000001E-5</c:v>
                </c:pt>
                <c:pt idx="392">
                  <c:v>5.8829999999999997E-5</c:v>
                </c:pt>
                <c:pt idx="393">
                  <c:v>6.1020000000000002E-5</c:v>
                </c:pt>
                <c:pt idx="394">
                  <c:v>5.9030000000000002E-5</c:v>
                </c:pt>
                <c:pt idx="395">
                  <c:v>6.0859999999999997E-5</c:v>
                </c:pt>
                <c:pt idx="396">
                  <c:v>6.3250000000000006E-5</c:v>
                </c:pt>
                <c:pt idx="397">
                  <c:v>6.7910000000000005E-5</c:v>
                </c:pt>
                <c:pt idx="398">
                  <c:v>7.4060000000000006E-5</c:v>
                </c:pt>
                <c:pt idx="399">
                  <c:v>7.2780000000000005E-5</c:v>
                </c:pt>
                <c:pt idx="400">
                  <c:v>6.826E-5</c:v>
                </c:pt>
                <c:pt idx="401">
                  <c:v>7.5829999999999997E-5</c:v>
                </c:pt>
                <c:pt idx="402">
                  <c:v>7.6500000000000003E-5</c:v>
                </c:pt>
                <c:pt idx="403">
                  <c:v>7.9259999999999997E-5</c:v>
                </c:pt>
                <c:pt idx="404">
                  <c:v>7.9330000000000001E-5</c:v>
                </c:pt>
                <c:pt idx="405">
                  <c:v>7.8679999999999999E-5</c:v>
                </c:pt>
                <c:pt idx="406">
                  <c:v>7.7550000000000001E-5</c:v>
                </c:pt>
                <c:pt idx="407">
                  <c:v>8.0980000000000001E-5</c:v>
                </c:pt>
                <c:pt idx="408">
                  <c:v>7.7319999999999998E-5</c:v>
                </c:pt>
                <c:pt idx="409">
                  <c:v>7.8100000000000001E-5</c:v>
                </c:pt>
                <c:pt idx="410">
                  <c:v>8.0309999999999995E-5</c:v>
                </c:pt>
                <c:pt idx="411">
                  <c:v>8.0550000000000006E-5</c:v>
                </c:pt>
                <c:pt idx="412">
                  <c:v>7.7479999999999997E-5</c:v>
                </c:pt>
                <c:pt idx="413">
                  <c:v>7.8200000000000003E-5</c:v>
                </c:pt>
                <c:pt idx="414">
                  <c:v>7.9099999999999998E-5</c:v>
                </c:pt>
                <c:pt idx="415">
                  <c:v>8.2349999999999996E-5</c:v>
                </c:pt>
                <c:pt idx="416">
                  <c:v>8.9690000000000004E-5</c:v>
                </c:pt>
                <c:pt idx="417">
                  <c:v>7.6290000000000003E-5</c:v>
                </c:pt>
                <c:pt idx="418">
                  <c:v>7.4980000000000004E-5</c:v>
                </c:pt>
                <c:pt idx="419">
                  <c:v>7.3300000000000006E-5</c:v>
                </c:pt>
                <c:pt idx="420">
                  <c:v>7.6160000000000003E-5</c:v>
                </c:pt>
                <c:pt idx="421">
                  <c:v>7.8430000000000006E-5</c:v>
                </c:pt>
                <c:pt idx="422">
                  <c:v>7.7860000000000003E-5</c:v>
                </c:pt>
                <c:pt idx="423">
                  <c:v>7.9729999999999997E-5</c:v>
                </c:pt>
                <c:pt idx="424">
                  <c:v>7.7830000000000005E-5</c:v>
                </c:pt>
                <c:pt idx="425">
                  <c:v>8.2219999999999995E-5</c:v>
                </c:pt>
                <c:pt idx="426">
                  <c:v>8.0000000000000007E-5</c:v>
                </c:pt>
                <c:pt idx="427">
                  <c:v>7.9480000000000005E-5</c:v>
                </c:pt>
                <c:pt idx="428">
                  <c:v>8.933E-5</c:v>
                </c:pt>
                <c:pt idx="429">
                  <c:v>9.3969999999999996E-5</c:v>
                </c:pt>
                <c:pt idx="430">
                  <c:v>9.3529999999999994E-5</c:v>
                </c:pt>
                <c:pt idx="431">
                  <c:v>9.221E-5</c:v>
                </c:pt>
                <c:pt idx="432">
                  <c:v>9.9790000000000005E-5</c:v>
                </c:pt>
                <c:pt idx="433">
                  <c:v>9.6000000000000002E-5</c:v>
                </c:pt>
                <c:pt idx="434">
                  <c:v>9.6150000000000006E-5</c:v>
                </c:pt>
                <c:pt idx="435">
                  <c:v>9.7899999999999994E-5</c:v>
                </c:pt>
                <c:pt idx="436">
                  <c:v>9.5299999999999999E-5</c:v>
                </c:pt>
                <c:pt idx="437">
                  <c:v>9.2899999999999995E-5</c:v>
                </c:pt>
                <c:pt idx="438">
                  <c:v>8.9300000000000002E-5</c:v>
                </c:pt>
                <c:pt idx="439">
                  <c:v>8.8499999999999996E-5</c:v>
                </c:pt>
                <c:pt idx="440">
                  <c:v>8.7499999999999999E-5</c:v>
                </c:pt>
                <c:pt idx="441">
                  <c:v>8.6299999999999997E-5</c:v>
                </c:pt>
                <c:pt idx="442">
                  <c:v>8.92E-5</c:v>
                </c:pt>
                <c:pt idx="443">
                  <c:v>9.0099999999999995E-5</c:v>
                </c:pt>
                <c:pt idx="444">
                  <c:v>8.9499999999999994E-5</c:v>
                </c:pt>
                <c:pt idx="445">
                  <c:v>9.2E-5</c:v>
                </c:pt>
                <c:pt idx="446">
                  <c:v>8.8200000000000003E-5</c:v>
                </c:pt>
                <c:pt idx="447">
                  <c:v>9.7399999999999996E-5</c:v>
                </c:pt>
                <c:pt idx="448">
                  <c:v>8.9699999999999998E-5</c:v>
                </c:pt>
                <c:pt idx="449">
                  <c:v>8.7700000000000004E-5</c:v>
                </c:pt>
                <c:pt idx="450">
                  <c:v>9.2800000000000006E-5</c:v>
                </c:pt>
                <c:pt idx="451">
                  <c:v>9.0000000000000006E-5</c:v>
                </c:pt>
                <c:pt idx="452">
                  <c:v>9.5299999999999999E-5</c:v>
                </c:pt>
                <c:pt idx="453">
                  <c:v>8.2999999999999998E-5</c:v>
                </c:pt>
                <c:pt idx="454">
                  <c:v>8.0000000000000007E-5</c:v>
                </c:pt>
                <c:pt idx="455">
                  <c:v>8.2000000000000001E-5</c:v>
                </c:pt>
                <c:pt idx="456">
                  <c:v>8.1500000000000002E-5</c:v>
                </c:pt>
                <c:pt idx="457">
                  <c:v>8.2200000000000006E-5</c:v>
                </c:pt>
                <c:pt idx="458">
                  <c:v>8.0699999999999996E-5</c:v>
                </c:pt>
                <c:pt idx="459">
                  <c:v>8.2700000000000004E-5</c:v>
                </c:pt>
                <c:pt idx="460">
                  <c:v>8.2899999999999996E-5</c:v>
                </c:pt>
                <c:pt idx="461">
                  <c:v>8.2200000000000006E-5</c:v>
                </c:pt>
                <c:pt idx="462">
                  <c:v>8.3200000000000003E-5</c:v>
                </c:pt>
                <c:pt idx="463">
                  <c:v>8.2000000000000001E-5</c:v>
                </c:pt>
                <c:pt idx="464">
                  <c:v>7.9699999999999999E-5</c:v>
                </c:pt>
                <c:pt idx="465">
                  <c:v>7.8399999999999995E-5</c:v>
                </c:pt>
                <c:pt idx="466">
                  <c:v>7.6799999999999997E-5</c:v>
                </c:pt>
                <c:pt idx="467">
                  <c:v>7.6299999999999998E-5</c:v>
                </c:pt>
                <c:pt idx="468">
                  <c:v>7.8300000000000006E-5</c:v>
                </c:pt>
                <c:pt idx="469">
                  <c:v>7.8700000000000002E-5</c:v>
                </c:pt>
                <c:pt idx="470">
                  <c:v>7.6500000000000003E-5</c:v>
                </c:pt>
                <c:pt idx="471">
                  <c:v>8.0400000000000003E-5</c:v>
                </c:pt>
                <c:pt idx="472">
                  <c:v>8.1299999999999997E-5</c:v>
                </c:pt>
                <c:pt idx="473">
                  <c:v>8.1199999999999995E-5</c:v>
                </c:pt>
                <c:pt idx="474">
                  <c:v>8.1000000000000004E-5</c:v>
                </c:pt>
                <c:pt idx="475">
                  <c:v>8.1799999999999996E-5</c:v>
                </c:pt>
                <c:pt idx="476">
                  <c:v>8.0500000000000005E-5</c:v>
                </c:pt>
                <c:pt idx="477">
                  <c:v>7.9499999999999994E-5</c:v>
                </c:pt>
                <c:pt idx="478">
                  <c:v>8.03E-5</c:v>
                </c:pt>
                <c:pt idx="479">
                  <c:v>8.2799999999999993E-5</c:v>
                </c:pt>
                <c:pt idx="480">
                  <c:v>8.2999999999999998E-5</c:v>
                </c:pt>
                <c:pt idx="481">
                  <c:v>8.2899999999999996E-5</c:v>
                </c:pt>
                <c:pt idx="482">
                  <c:v>8.0099999999999995E-5</c:v>
                </c:pt>
                <c:pt idx="483">
                  <c:v>8.3700000000000002E-5</c:v>
                </c:pt>
                <c:pt idx="484">
                  <c:v>8.7399999999999997E-5</c:v>
                </c:pt>
                <c:pt idx="485">
                  <c:v>8.1299999999999997E-5</c:v>
                </c:pt>
                <c:pt idx="486">
                  <c:v>8.1199999999999995E-5</c:v>
                </c:pt>
                <c:pt idx="487">
                  <c:v>8.5500000000000005E-5</c:v>
                </c:pt>
                <c:pt idx="488">
                  <c:v>8.8999999999999995E-5</c:v>
                </c:pt>
                <c:pt idx="489">
                  <c:v>8.2399999999999997E-5</c:v>
                </c:pt>
                <c:pt idx="490">
                  <c:v>8.2799999999999993E-5</c:v>
                </c:pt>
                <c:pt idx="491">
                  <c:v>7.9400000000000006E-5</c:v>
                </c:pt>
                <c:pt idx="492">
                  <c:v>8.1799999999999996E-5</c:v>
                </c:pt>
                <c:pt idx="493">
                  <c:v>8.3499999999999997E-5</c:v>
                </c:pt>
                <c:pt idx="494">
                  <c:v>8.7100000000000003E-5</c:v>
                </c:pt>
                <c:pt idx="495">
                  <c:v>9.1600000000000004E-5</c:v>
                </c:pt>
                <c:pt idx="496">
                  <c:v>9.2899999999999995E-5</c:v>
                </c:pt>
                <c:pt idx="497">
                  <c:v>9.9099999999999996E-5</c:v>
                </c:pt>
                <c:pt idx="498">
                  <c:v>9.7299999999999993E-5</c:v>
                </c:pt>
                <c:pt idx="499">
                  <c:v>1.07E-4</c:v>
                </c:pt>
                <c:pt idx="500">
                  <c:v>1.058E-4</c:v>
                </c:pt>
                <c:pt idx="501">
                  <c:v>1.0509999999999999E-4</c:v>
                </c:pt>
                <c:pt idx="502">
                  <c:v>1.1959999999999999E-4</c:v>
                </c:pt>
                <c:pt idx="503">
                  <c:v>1.184E-4</c:v>
                </c:pt>
                <c:pt idx="504">
                  <c:v>1.2239999999999999E-4</c:v>
                </c:pt>
                <c:pt idx="505">
                  <c:v>1.1290000000000001E-4</c:v>
                </c:pt>
                <c:pt idx="506">
                  <c:v>1.164E-4</c:v>
                </c:pt>
                <c:pt idx="507">
                  <c:v>1.097E-4</c:v>
                </c:pt>
                <c:pt idx="508">
                  <c:v>1.127E-4</c:v>
                </c:pt>
                <c:pt idx="509">
                  <c:v>1.0670000000000001E-4</c:v>
                </c:pt>
                <c:pt idx="510">
                  <c:v>1.092E-4</c:v>
                </c:pt>
                <c:pt idx="511">
                  <c:v>1.2430000000000001E-4</c:v>
                </c:pt>
                <c:pt idx="512">
                  <c:v>1.2990000000000001E-4</c:v>
                </c:pt>
                <c:pt idx="513">
                  <c:v>1.225E-4</c:v>
                </c:pt>
                <c:pt idx="514">
                  <c:v>1.3070000000000001E-4</c:v>
                </c:pt>
                <c:pt idx="515">
                  <c:v>1.1959999999999999E-4</c:v>
                </c:pt>
                <c:pt idx="516">
                  <c:v>1.116E-4</c:v>
                </c:pt>
                <c:pt idx="517">
                  <c:v>1.1400000000000001E-4</c:v>
                </c:pt>
                <c:pt idx="518">
                  <c:v>1.026E-4</c:v>
                </c:pt>
                <c:pt idx="519">
                  <c:v>1.0670000000000001E-4</c:v>
                </c:pt>
                <c:pt idx="520">
                  <c:v>1.0179999999999999E-4</c:v>
                </c:pt>
                <c:pt idx="521">
                  <c:v>1.1E-4</c:v>
                </c:pt>
                <c:pt idx="522">
                  <c:v>1.089E-4</c:v>
                </c:pt>
                <c:pt idx="523">
                  <c:v>1.0620000000000001E-4</c:v>
                </c:pt>
                <c:pt idx="524">
                  <c:v>1.0349999999999999E-4</c:v>
                </c:pt>
                <c:pt idx="525">
                  <c:v>1.109E-4</c:v>
                </c:pt>
                <c:pt idx="526">
                  <c:v>1.083E-4</c:v>
                </c:pt>
                <c:pt idx="527">
                  <c:v>1.198E-4</c:v>
                </c:pt>
                <c:pt idx="528">
                  <c:v>1.3789999999999999E-4</c:v>
                </c:pt>
                <c:pt idx="529">
                  <c:v>1.178E-4</c:v>
                </c:pt>
                <c:pt idx="530">
                  <c:v>1.187E-4</c:v>
                </c:pt>
                <c:pt idx="531">
                  <c:v>1.137E-4</c:v>
                </c:pt>
                <c:pt idx="532">
                  <c:v>1.177E-4</c:v>
                </c:pt>
                <c:pt idx="533">
                  <c:v>1.2129999999999999E-4</c:v>
                </c:pt>
                <c:pt idx="534">
                  <c:v>1.15E-4</c:v>
                </c:pt>
                <c:pt idx="535">
                  <c:v>1.12E-4</c:v>
                </c:pt>
                <c:pt idx="536">
                  <c:v>1.195E-4</c:v>
                </c:pt>
                <c:pt idx="537">
                  <c:v>1.2850000000000001E-4</c:v>
                </c:pt>
                <c:pt idx="538">
                  <c:v>9.9900000000000002E-5</c:v>
                </c:pt>
                <c:pt idx="539">
                  <c:v>8.1899999999999999E-5</c:v>
                </c:pt>
                <c:pt idx="540">
                  <c:v>7.8100000000000001E-5</c:v>
                </c:pt>
                <c:pt idx="541">
                  <c:v>7.9099999999999998E-5</c:v>
                </c:pt>
                <c:pt idx="542">
                  <c:v>7.8399999999999995E-5</c:v>
                </c:pt>
                <c:pt idx="543">
                  <c:v>7.7899999999999996E-5</c:v>
                </c:pt>
                <c:pt idx="544">
                  <c:v>8.4599999999999996E-5</c:v>
                </c:pt>
                <c:pt idx="545">
                  <c:v>7.9800000000000002E-5</c:v>
                </c:pt>
                <c:pt idx="546">
                  <c:v>7.9499999999999994E-5</c:v>
                </c:pt>
                <c:pt idx="547">
                  <c:v>7.75E-5</c:v>
                </c:pt>
                <c:pt idx="548">
                  <c:v>7.9599999999999997E-5</c:v>
                </c:pt>
                <c:pt idx="549">
                  <c:v>7.6199999999999995E-5</c:v>
                </c:pt>
                <c:pt idx="550">
                  <c:v>7.9800000000000002E-5</c:v>
                </c:pt>
                <c:pt idx="551">
                  <c:v>8.0199999999999998E-5</c:v>
                </c:pt>
                <c:pt idx="552">
                  <c:v>8.3700000000000002E-5</c:v>
                </c:pt>
                <c:pt idx="553">
                  <c:v>7.9699999999999999E-5</c:v>
                </c:pt>
                <c:pt idx="554">
                  <c:v>7.9099999999999998E-5</c:v>
                </c:pt>
                <c:pt idx="555">
                  <c:v>7.7200000000000006E-5</c:v>
                </c:pt>
                <c:pt idx="556">
                  <c:v>7.7399999999999998E-5</c:v>
                </c:pt>
                <c:pt idx="557">
                  <c:v>7.3700000000000002E-5</c:v>
                </c:pt>
                <c:pt idx="558">
                  <c:v>7.3700000000000002E-5</c:v>
                </c:pt>
                <c:pt idx="559">
                  <c:v>7.2000000000000002E-5</c:v>
                </c:pt>
                <c:pt idx="560">
                  <c:v>7.2100000000000004E-5</c:v>
                </c:pt>
                <c:pt idx="561">
                  <c:v>7.3800000000000005E-5</c:v>
                </c:pt>
                <c:pt idx="562">
                  <c:v>7.4499999999999995E-5</c:v>
                </c:pt>
                <c:pt idx="563">
                  <c:v>7.4200000000000001E-5</c:v>
                </c:pt>
                <c:pt idx="564">
                  <c:v>7.5699999999999997E-5</c:v>
                </c:pt>
                <c:pt idx="565">
                  <c:v>7.8499999999999997E-5</c:v>
                </c:pt>
                <c:pt idx="566">
                  <c:v>7.6699999999999994E-5</c:v>
                </c:pt>
                <c:pt idx="567">
                  <c:v>7.4999999999999993E-5</c:v>
                </c:pt>
                <c:pt idx="568">
                  <c:v>7.5599999999999994E-5</c:v>
                </c:pt>
                <c:pt idx="569">
                  <c:v>7.36E-5</c:v>
                </c:pt>
                <c:pt idx="570">
                  <c:v>7.4300000000000004E-5</c:v>
                </c:pt>
                <c:pt idx="571">
                  <c:v>7.2899999999999997E-5</c:v>
                </c:pt>
                <c:pt idx="572">
                  <c:v>7.2999999999999999E-5</c:v>
                </c:pt>
                <c:pt idx="573">
                  <c:v>7.2200000000000007E-5</c:v>
                </c:pt>
                <c:pt idx="574">
                  <c:v>7.2399999999999998E-5</c:v>
                </c:pt>
                <c:pt idx="575">
                  <c:v>7.1199999999999996E-5</c:v>
                </c:pt>
                <c:pt idx="576">
                  <c:v>7.1199999999999996E-5</c:v>
                </c:pt>
                <c:pt idx="577">
                  <c:v>7.1600000000000006E-5</c:v>
                </c:pt>
                <c:pt idx="578">
                  <c:v>7.1899999999999999E-5</c:v>
                </c:pt>
                <c:pt idx="579">
                  <c:v>7.3100000000000001E-5</c:v>
                </c:pt>
                <c:pt idx="580">
                  <c:v>7.1000000000000005E-5</c:v>
                </c:pt>
                <c:pt idx="581">
                  <c:v>7.2899999999999997E-5</c:v>
                </c:pt>
                <c:pt idx="582">
                  <c:v>7.3499999999999998E-5</c:v>
                </c:pt>
                <c:pt idx="583">
                  <c:v>7.7399999999999998E-5</c:v>
                </c:pt>
                <c:pt idx="584">
                  <c:v>7.6000000000000004E-5</c:v>
                </c:pt>
                <c:pt idx="585">
                  <c:v>7.4499999999999995E-5</c:v>
                </c:pt>
                <c:pt idx="586">
                  <c:v>7.4599999999999997E-5</c:v>
                </c:pt>
                <c:pt idx="587">
                  <c:v>7.4300000000000004E-5</c:v>
                </c:pt>
                <c:pt idx="588">
                  <c:v>7.6299999999999998E-5</c:v>
                </c:pt>
                <c:pt idx="589">
                  <c:v>7.7399999999999998E-5</c:v>
                </c:pt>
                <c:pt idx="590">
                  <c:v>7.7100000000000004E-5</c:v>
                </c:pt>
                <c:pt idx="591">
                  <c:v>7.8399999999999995E-5</c:v>
                </c:pt>
                <c:pt idx="592">
                  <c:v>7.8499999999999997E-5</c:v>
                </c:pt>
                <c:pt idx="593">
                  <c:v>8.1199999999999995E-5</c:v>
                </c:pt>
                <c:pt idx="594">
                  <c:v>8.1199999999999995E-5</c:v>
                </c:pt>
                <c:pt idx="595">
                  <c:v>7.9300000000000003E-5</c:v>
                </c:pt>
                <c:pt idx="596">
                  <c:v>8.4499999999999994E-5</c:v>
                </c:pt>
                <c:pt idx="597">
                  <c:v>8.7000000000000001E-5</c:v>
                </c:pt>
                <c:pt idx="598">
                  <c:v>8.9900000000000003E-5</c:v>
                </c:pt>
                <c:pt idx="599">
                  <c:v>8.9400000000000005E-5</c:v>
                </c:pt>
                <c:pt idx="600">
                  <c:v>8.7600000000000002E-5</c:v>
                </c:pt>
                <c:pt idx="601">
                  <c:v>8.8499999999999996E-5</c:v>
                </c:pt>
                <c:pt idx="602">
                  <c:v>8.8800000000000004E-5</c:v>
                </c:pt>
                <c:pt idx="603">
                  <c:v>8.6299999999999997E-5</c:v>
                </c:pt>
                <c:pt idx="604">
                  <c:v>8.6100000000000006E-5</c:v>
                </c:pt>
                <c:pt idx="605">
                  <c:v>8.7700000000000004E-5</c:v>
                </c:pt>
                <c:pt idx="606">
                  <c:v>8.4400000000000005E-5</c:v>
                </c:pt>
                <c:pt idx="607">
                  <c:v>8.5400000000000002E-5</c:v>
                </c:pt>
                <c:pt idx="608">
                  <c:v>8.1600000000000005E-5</c:v>
                </c:pt>
                <c:pt idx="609">
                  <c:v>8.1299999999999997E-5</c:v>
                </c:pt>
                <c:pt idx="610">
                  <c:v>7.9300000000000003E-5</c:v>
                </c:pt>
                <c:pt idx="611">
                  <c:v>7.9499999999999994E-5</c:v>
                </c:pt>
                <c:pt idx="612">
                  <c:v>8.2399999999999997E-5</c:v>
                </c:pt>
                <c:pt idx="613">
                  <c:v>7.9400000000000006E-5</c:v>
                </c:pt>
                <c:pt idx="614">
                  <c:v>7.5099999999999996E-5</c:v>
                </c:pt>
                <c:pt idx="615">
                  <c:v>7.3899999999999994E-5</c:v>
                </c:pt>
                <c:pt idx="616">
                  <c:v>7.2000000000000002E-5</c:v>
                </c:pt>
                <c:pt idx="617">
                  <c:v>7.3100000000000001E-5</c:v>
                </c:pt>
                <c:pt idx="618">
                  <c:v>7.5500000000000006E-5</c:v>
                </c:pt>
                <c:pt idx="619">
                  <c:v>7.4300000000000004E-5</c:v>
                </c:pt>
                <c:pt idx="620">
                  <c:v>7.2899999999999997E-5</c:v>
                </c:pt>
                <c:pt idx="621">
                  <c:v>7.2600000000000003E-5</c:v>
                </c:pt>
                <c:pt idx="622">
                  <c:v>7.2100000000000004E-5</c:v>
                </c:pt>
                <c:pt idx="623">
                  <c:v>7.4599999999999997E-5</c:v>
                </c:pt>
                <c:pt idx="624">
                  <c:v>7.36E-5</c:v>
                </c:pt>
                <c:pt idx="625">
                  <c:v>7.2399999999999998E-5</c:v>
                </c:pt>
                <c:pt idx="626">
                  <c:v>7.2200000000000007E-5</c:v>
                </c:pt>
                <c:pt idx="627">
                  <c:v>7.4300000000000004E-5</c:v>
                </c:pt>
                <c:pt idx="628">
                  <c:v>8.0599999999999994E-5</c:v>
                </c:pt>
                <c:pt idx="629">
                  <c:v>8.3200000000000003E-5</c:v>
                </c:pt>
                <c:pt idx="630">
                  <c:v>8.3399999999999994E-5</c:v>
                </c:pt>
                <c:pt idx="631">
                  <c:v>8.3200000000000003E-5</c:v>
                </c:pt>
                <c:pt idx="632">
                  <c:v>8.53E-5</c:v>
                </c:pt>
                <c:pt idx="633">
                  <c:v>8.6700000000000007E-5</c:v>
                </c:pt>
                <c:pt idx="634">
                  <c:v>8.6700000000000007E-5</c:v>
                </c:pt>
                <c:pt idx="635">
                  <c:v>8.8399999999999994E-5</c:v>
                </c:pt>
                <c:pt idx="636">
                  <c:v>8.7299999999999994E-5</c:v>
                </c:pt>
                <c:pt idx="637">
                  <c:v>8.6199999999999995E-5</c:v>
                </c:pt>
                <c:pt idx="638">
                  <c:v>8.9499999999999994E-5</c:v>
                </c:pt>
                <c:pt idx="639">
                  <c:v>8.5400000000000002E-5</c:v>
                </c:pt>
                <c:pt idx="640">
                  <c:v>8.5099999999999995E-5</c:v>
                </c:pt>
                <c:pt idx="641">
                  <c:v>8.8900000000000006E-5</c:v>
                </c:pt>
                <c:pt idx="642">
                  <c:v>8.8399999999999994E-5</c:v>
                </c:pt>
                <c:pt idx="643">
                  <c:v>8.7700000000000004E-5</c:v>
                </c:pt>
                <c:pt idx="644">
                  <c:v>8.6500000000000002E-5</c:v>
                </c:pt>
                <c:pt idx="645">
                  <c:v>8.4900000000000004E-5</c:v>
                </c:pt>
                <c:pt idx="646">
                  <c:v>8.4400000000000005E-5</c:v>
                </c:pt>
                <c:pt idx="647">
                  <c:v>8.42E-5</c:v>
                </c:pt>
                <c:pt idx="648">
                  <c:v>8.7000000000000001E-5</c:v>
                </c:pt>
                <c:pt idx="649">
                  <c:v>8.6799999999999996E-5</c:v>
                </c:pt>
                <c:pt idx="650">
                  <c:v>8.5799999999999998E-5</c:v>
                </c:pt>
                <c:pt idx="651">
                  <c:v>8.5699999999999996E-5</c:v>
                </c:pt>
                <c:pt idx="652">
                  <c:v>8.2700000000000004E-5</c:v>
                </c:pt>
                <c:pt idx="653">
                  <c:v>8.5400000000000002E-5</c:v>
                </c:pt>
                <c:pt idx="654">
                  <c:v>8.2000000000000001E-5</c:v>
                </c:pt>
                <c:pt idx="655">
                  <c:v>8.3300000000000005E-5</c:v>
                </c:pt>
                <c:pt idx="656">
                  <c:v>8.3700000000000002E-5</c:v>
                </c:pt>
                <c:pt idx="657">
                  <c:v>8.1799999999999996E-5</c:v>
                </c:pt>
                <c:pt idx="658">
                  <c:v>8.7399999999999997E-5</c:v>
                </c:pt>
                <c:pt idx="659">
                  <c:v>8.7299999999999994E-5</c:v>
                </c:pt>
                <c:pt idx="660">
                  <c:v>8.5199999999999997E-5</c:v>
                </c:pt>
                <c:pt idx="661">
                  <c:v>8.6600000000000004E-5</c:v>
                </c:pt>
                <c:pt idx="662">
                  <c:v>8.25E-5</c:v>
                </c:pt>
                <c:pt idx="663">
                  <c:v>8.2399999999999997E-5</c:v>
                </c:pt>
                <c:pt idx="664">
                  <c:v>8.2399999999999997E-5</c:v>
                </c:pt>
                <c:pt idx="665">
                  <c:v>8.3300000000000005E-5</c:v>
                </c:pt>
                <c:pt idx="666">
                  <c:v>8.2100000000000003E-5</c:v>
                </c:pt>
                <c:pt idx="667">
                  <c:v>8.5199999999999997E-5</c:v>
                </c:pt>
                <c:pt idx="668">
                  <c:v>7.7899999999999996E-5</c:v>
                </c:pt>
                <c:pt idx="669">
                  <c:v>7.4200000000000001E-5</c:v>
                </c:pt>
                <c:pt idx="670">
                  <c:v>7.7799999999999994E-5</c:v>
                </c:pt>
                <c:pt idx="671">
                  <c:v>8.3999999999999995E-5</c:v>
                </c:pt>
                <c:pt idx="672">
                  <c:v>8.6199999999999995E-5</c:v>
                </c:pt>
                <c:pt idx="673">
                  <c:v>6.8700000000000003E-5</c:v>
                </c:pt>
                <c:pt idx="674">
                  <c:v>6.9900000000000005E-5</c:v>
                </c:pt>
                <c:pt idx="675">
                  <c:v>7.0599999999999995E-5</c:v>
                </c:pt>
                <c:pt idx="676">
                  <c:v>6.7399999999999998E-5</c:v>
                </c:pt>
                <c:pt idx="677">
                  <c:v>7.0500000000000006E-5</c:v>
                </c:pt>
                <c:pt idx="678">
                  <c:v>7.3300000000000006E-5</c:v>
                </c:pt>
                <c:pt idx="679">
                  <c:v>7.6899999999999999E-5</c:v>
                </c:pt>
                <c:pt idx="680">
                  <c:v>7.08E-5</c:v>
                </c:pt>
                <c:pt idx="681">
                  <c:v>6.9800000000000003E-5</c:v>
                </c:pt>
                <c:pt idx="682">
                  <c:v>6.4200000000000002E-5</c:v>
                </c:pt>
                <c:pt idx="683">
                  <c:v>7.6199999999999995E-5</c:v>
                </c:pt>
                <c:pt idx="684">
                  <c:v>6.7299999999999996E-5</c:v>
                </c:pt>
                <c:pt idx="685">
                  <c:v>6.6799999999999997E-5</c:v>
                </c:pt>
                <c:pt idx="686">
                  <c:v>4.9299999999999999E-5</c:v>
                </c:pt>
                <c:pt idx="687">
                  <c:v>8.7899999999999995E-5</c:v>
                </c:pt>
                <c:pt idx="688">
                  <c:v>8.9300000000000002E-5</c:v>
                </c:pt>
                <c:pt idx="689">
                  <c:v>8.6899999999999998E-5</c:v>
                </c:pt>
                <c:pt idx="690">
                  <c:v>8.5199999999999997E-5</c:v>
                </c:pt>
                <c:pt idx="691">
                  <c:v>9.6600000000000003E-5</c:v>
                </c:pt>
                <c:pt idx="692">
                  <c:v>1.004E-4</c:v>
                </c:pt>
                <c:pt idx="693">
                  <c:v>1.0230000000000001E-4</c:v>
                </c:pt>
                <c:pt idx="694">
                  <c:v>1.0230000000000001E-4</c:v>
                </c:pt>
                <c:pt idx="695">
                  <c:v>9.6299999999999996E-5</c:v>
                </c:pt>
                <c:pt idx="696">
                  <c:v>9.6000000000000002E-5</c:v>
                </c:pt>
                <c:pt idx="697">
                  <c:v>9.3200000000000002E-5</c:v>
                </c:pt>
                <c:pt idx="698">
                  <c:v>9.3700000000000001E-5</c:v>
                </c:pt>
                <c:pt idx="699">
                  <c:v>9.5699999999999995E-5</c:v>
                </c:pt>
                <c:pt idx="700">
                  <c:v>9.5699999999999995E-5</c:v>
                </c:pt>
                <c:pt idx="701">
                  <c:v>9.0099999999999995E-5</c:v>
                </c:pt>
                <c:pt idx="702">
                  <c:v>1E-4</c:v>
                </c:pt>
                <c:pt idx="703">
                  <c:v>1.069E-4</c:v>
                </c:pt>
                <c:pt idx="704">
                  <c:v>1.125E-4</c:v>
                </c:pt>
                <c:pt idx="705">
                  <c:v>1.047E-4</c:v>
                </c:pt>
                <c:pt idx="706">
                  <c:v>1.0399999999999999E-4</c:v>
                </c:pt>
                <c:pt idx="707">
                  <c:v>1.0340000000000001E-4</c:v>
                </c:pt>
                <c:pt idx="708">
                  <c:v>1.086E-4</c:v>
                </c:pt>
                <c:pt idx="709">
                  <c:v>1.192E-4</c:v>
                </c:pt>
                <c:pt idx="710">
                  <c:v>1.144E-4</c:v>
                </c:pt>
                <c:pt idx="711">
                  <c:v>1.166E-4</c:v>
                </c:pt>
                <c:pt idx="712">
                  <c:v>1.247E-4</c:v>
                </c:pt>
                <c:pt idx="713">
                  <c:v>1.418E-4</c:v>
                </c:pt>
                <c:pt idx="714">
                  <c:v>1.3310000000000001E-4</c:v>
                </c:pt>
                <c:pt idx="715">
                  <c:v>1.361E-4</c:v>
                </c:pt>
                <c:pt idx="716">
                  <c:v>1.2909999999999999E-4</c:v>
                </c:pt>
                <c:pt idx="717">
                  <c:v>1.206E-4</c:v>
                </c:pt>
                <c:pt idx="718">
                  <c:v>1.2430000000000001E-4</c:v>
                </c:pt>
                <c:pt idx="719">
                  <c:v>1.197E-4</c:v>
                </c:pt>
                <c:pt idx="720">
                  <c:v>1.2510000000000001E-4</c:v>
                </c:pt>
                <c:pt idx="721">
                  <c:v>1.2310000000000001E-4</c:v>
                </c:pt>
                <c:pt idx="722">
                  <c:v>1.1459999999999999E-4</c:v>
                </c:pt>
                <c:pt idx="723">
                  <c:v>1.094E-4</c:v>
                </c:pt>
                <c:pt idx="724">
                  <c:v>1.1290000000000001E-4</c:v>
                </c:pt>
                <c:pt idx="725">
                  <c:v>1.136E-4</c:v>
                </c:pt>
                <c:pt idx="726">
                  <c:v>1.12E-4</c:v>
                </c:pt>
                <c:pt idx="727">
                  <c:v>1.097E-4</c:v>
                </c:pt>
                <c:pt idx="728">
                  <c:v>1.1120000000000001E-4</c:v>
                </c:pt>
                <c:pt idx="729">
                  <c:v>1.0789999999999999E-4</c:v>
                </c:pt>
                <c:pt idx="730">
                  <c:v>1.022E-4</c:v>
                </c:pt>
                <c:pt idx="731">
                  <c:v>1.038E-4</c:v>
                </c:pt>
                <c:pt idx="732">
                  <c:v>1.0349999999999999E-4</c:v>
                </c:pt>
                <c:pt idx="733">
                  <c:v>1.042E-4</c:v>
                </c:pt>
                <c:pt idx="734">
                  <c:v>1.0230000000000001E-4</c:v>
                </c:pt>
                <c:pt idx="735">
                  <c:v>1.019E-4</c:v>
                </c:pt>
                <c:pt idx="736">
                  <c:v>1.037E-4</c:v>
                </c:pt>
                <c:pt idx="737">
                  <c:v>9.7899999999999994E-5</c:v>
                </c:pt>
                <c:pt idx="738">
                  <c:v>9.7399999999999996E-5</c:v>
                </c:pt>
                <c:pt idx="739">
                  <c:v>9.59E-5</c:v>
                </c:pt>
                <c:pt idx="740">
                  <c:v>1.0849999999999999E-4</c:v>
                </c:pt>
                <c:pt idx="741">
                  <c:v>1.009E-4</c:v>
                </c:pt>
                <c:pt idx="742">
                  <c:v>9.6299999999999996E-5</c:v>
                </c:pt>
                <c:pt idx="743">
                  <c:v>1E-4</c:v>
                </c:pt>
                <c:pt idx="744">
                  <c:v>9.5699999999999995E-5</c:v>
                </c:pt>
                <c:pt idx="745">
                  <c:v>9.0799999999999998E-5</c:v>
                </c:pt>
                <c:pt idx="746">
                  <c:v>9.2800000000000006E-5</c:v>
                </c:pt>
                <c:pt idx="747">
                  <c:v>9.1899999999999998E-5</c:v>
                </c:pt>
                <c:pt idx="748">
                  <c:v>9.1600000000000004E-5</c:v>
                </c:pt>
                <c:pt idx="749">
                  <c:v>9.0600000000000007E-5</c:v>
                </c:pt>
                <c:pt idx="750">
                  <c:v>8.8700000000000001E-5</c:v>
                </c:pt>
                <c:pt idx="751">
                  <c:v>9.3399999999999993E-5</c:v>
                </c:pt>
                <c:pt idx="752">
                  <c:v>9.5000000000000005E-5</c:v>
                </c:pt>
                <c:pt idx="753">
                  <c:v>9.2299999999999994E-5</c:v>
                </c:pt>
                <c:pt idx="754">
                  <c:v>9.1100000000000005E-5</c:v>
                </c:pt>
                <c:pt idx="755">
                  <c:v>9.1100000000000005E-5</c:v>
                </c:pt>
                <c:pt idx="756">
                  <c:v>8.8499999999999996E-5</c:v>
                </c:pt>
                <c:pt idx="757">
                  <c:v>9.2999999999999997E-5</c:v>
                </c:pt>
                <c:pt idx="758">
                  <c:v>9.2299999999999994E-5</c:v>
                </c:pt>
                <c:pt idx="759">
                  <c:v>9.2999999999999997E-5</c:v>
                </c:pt>
                <c:pt idx="760">
                  <c:v>9.2999999999999997E-5</c:v>
                </c:pt>
                <c:pt idx="761">
                  <c:v>9.1799999999999995E-5</c:v>
                </c:pt>
                <c:pt idx="762">
                  <c:v>9.3499999999999996E-5</c:v>
                </c:pt>
                <c:pt idx="763">
                  <c:v>9.3399999999999993E-5</c:v>
                </c:pt>
                <c:pt idx="764">
                  <c:v>9.3700000000000001E-5</c:v>
                </c:pt>
                <c:pt idx="765">
                  <c:v>9.4699999999999998E-5</c:v>
                </c:pt>
                <c:pt idx="766">
                  <c:v>9.59E-5</c:v>
                </c:pt>
                <c:pt idx="767">
                  <c:v>9.7100000000000002E-5</c:v>
                </c:pt>
                <c:pt idx="768">
                  <c:v>9.4400000000000004E-5</c:v>
                </c:pt>
                <c:pt idx="769">
                  <c:v>9.59E-5</c:v>
                </c:pt>
                <c:pt idx="770">
                  <c:v>9.7499999999999998E-5</c:v>
                </c:pt>
                <c:pt idx="771">
                  <c:v>1.049E-4</c:v>
                </c:pt>
                <c:pt idx="772">
                  <c:v>9.8800000000000003E-5</c:v>
                </c:pt>
                <c:pt idx="773">
                  <c:v>9.2399999999999996E-5</c:v>
                </c:pt>
                <c:pt idx="774">
                  <c:v>9.6000000000000002E-5</c:v>
                </c:pt>
                <c:pt idx="775">
                  <c:v>9.4199999999999999E-5</c:v>
                </c:pt>
                <c:pt idx="776">
                  <c:v>9.6799999999999995E-5</c:v>
                </c:pt>
                <c:pt idx="777">
                  <c:v>9.3499999999999996E-5</c:v>
                </c:pt>
                <c:pt idx="778">
                  <c:v>9.5600000000000006E-5</c:v>
                </c:pt>
                <c:pt idx="779">
                  <c:v>9.5500000000000004E-5</c:v>
                </c:pt>
                <c:pt idx="780">
                  <c:v>1.003E-4</c:v>
                </c:pt>
                <c:pt idx="781">
                  <c:v>1.078E-4</c:v>
                </c:pt>
                <c:pt idx="782">
                  <c:v>1.0280000000000001E-4</c:v>
                </c:pt>
                <c:pt idx="783">
                  <c:v>1.036E-4</c:v>
                </c:pt>
                <c:pt idx="784">
                  <c:v>1.019E-4</c:v>
                </c:pt>
                <c:pt idx="785">
                  <c:v>1.009E-4</c:v>
                </c:pt>
                <c:pt idx="786">
                  <c:v>1.0009999999999999E-4</c:v>
                </c:pt>
                <c:pt idx="787">
                  <c:v>9.9900000000000002E-5</c:v>
                </c:pt>
                <c:pt idx="788">
                  <c:v>1.03E-4</c:v>
                </c:pt>
                <c:pt idx="789">
                  <c:v>1.0620000000000001E-4</c:v>
                </c:pt>
                <c:pt idx="790">
                  <c:v>1.1290000000000001E-4</c:v>
                </c:pt>
                <c:pt idx="791">
                  <c:v>1.128E-4</c:v>
                </c:pt>
                <c:pt idx="792">
                  <c:v>1.066E-4</c:v>
                </c:pt>
                <c:pt idx="793">
                  <c:v>1.0900000000000001E-4</c:v>
                </c:pt>
                <c:pt idx="794">
                  <c:v>1.08E-4</c:v>
                </c:pt>
                <c:pt idx="795">
                  <c:v>1.1290000000000001E-4</c:v>
                </c:pt>
                <c:pt idx="796">
                  <c:v>1.262E-4</c:v>
                </c:pt>
                <c:pt idx="797">
                  <c:v>1.261E-4</c:v>
                </c:pt>
                <c:pt idx="798">
                  <c:v>1.338E-4</c:v>
                </c:pt>
                <c:pt idx="799">
                  <c:v>1.5100000000000001E-4</c:v>
                </c:pt>
                <c:pt idx="800">
                  <c:v>1.552E-4</c:v>
                </c:pt>
                <c:pt idx="801">
                  <c:v>1.584E-4</c:v>
                </c:pt>
                <c:pt idx="802">
                  <c:v>1.717E-4</c:v>
                </c:pt>
                <c:pt idx="803">
                  <c:v>1.751E-4</c:v>
                </c:pt>
                <c:pt idx="804">
                  <c:v>1.7469999999999999E-4</c:v>
                </c:pt>
                <c:pt idx="805">
                  <c:v>1.7789999999999999E-4</c:v>
                </c:pt>
                <c:pt idx="806">
                  <c:v>1.827E-4</c:v>
                </c:pt>
                <c:pt idx="807">
                  <c:v>1.819E-4</c:v>
                </c:pt>
                <c:pt idx="808">
                  <c:v>1.8090000000000001E-4</c:v>
                </c:pt>
                <c:pt idx="809">
                  <c:v>1.875E-4</c:v>
                </c:pt>
                <c:pt idx="810">
                  <c:v>1.794E-4</c:v>
                </c:pt>
                <c:pt idx="811">
                  <c:v>1.7149999999999999E-4</c:v>
                </c:pt>
                <c:pt idx="812">
                  <c:v>1.7310000000000001E-4</c:v>
                </c:pt>
                <c:pt idx="813">
                  <c:v>1.7689999999999999E-4</c:v>
                </c:pt>
                <c:pt idx="814">
                  <c:v>1.797E-4</c:v>
                </c:pt>
                <c:pt idx="815">
                  <c:v>1.8000000000000001E-4</c:v>
                </c:pt>
                <c:pt idx="816">
                  <c:v>1.8139999999999999E-4</c:v>
                </c:pt>
                <c:pt idx="817">
                  <c:v>1.8799999999999999E-4</c:v>
                </c:pt>
                <c:pt idx="818">
                  <c:v>1.916E-4</c:v>
                </c:pt>
                <c:pt idx="819">
                  <c:v>1.974E-4</c:v>
                </c:pt>
                <c:pt idx="820">
                  <c:v>1.6449999999999999E-4</c:v>
                </c:pt>
                <c:pt idx="821">
                  <c:v>1.6019999999999999E-4</c:v>
                </c:pt>
                <c:pt idx="822">
                  <c:v>1.495E-4</c:v>
                </c:pt>
                <c:pt idx="823">
                  <c:v>1.526E-4</c:v>
                </c:pt>
                <c:pt idx="824">
                  <c:v>1.3860000000000001E-4</c:v>
                </c:pt>
                <c:pt idx="825">
                  <c:v>1.406E-4</c:v>
                </c:pt>
                <c:pt idx="826">
                  <c:v>1.3459999999999999E-4</c:v>
                </c:pt>
                <c:pt idx="827">
                  <c:v>1.273E-4</c:v>
                </c:pt>
                <c:pt idx="828">
                  <c:v>1.381E-4</c:v>
                </c:pt>
                <c:pt idx="829">
                  <c:v>1.4440000000000001E-4</c:v>
                </c:pt>
                <c:pt idx="830">
                  <c:v>1.427E-4</c:v>
                </c:pt>
                <c:pt idx="831">
                  <c:v>1.438E-4</c:v>
                </c:pt>
                <c:pt idx="832">
                  <c:v>1.4889999999999999E-4</c:v>
                </c:pt>
                <c:pt idx="833">
                  <c:v>1.5430000000000001E-4</c:v>
                </c:pt>
                <c:pt idx="834">
                  <c:v>1.393E-4</c:v>
                </c:pt>
                <c:pt idx="835">
                  <c:v>1.5359999999999999E-4</c:v>
                </c:pt>
                <c:pt idx="836">
                  <c:v>1.63E-4</c:v>
                </c:pt>
                <c:pt idx="837">
                  <c:v>1.5080000000000001E-4</c:v>
                </c:pt>
                <c:pt idx="838">
                  <c:v>1.5090000000000001E-4</c:v>
                </c:pt>
                <c:pt idx="839">
                  <c:v>1.5249999999999999E-4</c:v>
                </c:pt>
                <c:pt idx="840">
                  <c:v>1.4660000000000001E-4</c:v>
                </c:pt>
                <c:pt idx="841">
                  <c:v>1.5119999999999999E-4</c:v>
                </c:pt>
                <c:pt idx="842">
                  <c:v>1.4770000000000001E-4</c:v>
                </c:pt>
                <c:pt idx="843">
                  <c:v>1.4100000000000001E-4</c:v>
                </c:pt>
                <c:pt idx="844">
                  <c:v>1.362E-4</c:v>
                </c:pt>
                <c:pt idx="845">
                  <c:v>1.439E-4</c:v>
                </c:pt>
                <c:pt idx="846">
                  <c:v>1.4760000000000001E-4</c:v>
                </c:pt>
                <c:pt idx="847">
                  <c:v>1.4129999999999999E-4</c:v>
                </c:pt>
                <c:pt idx="848">
                  <c:v>1.3630000000000001E-4</c:v>
                </c:pt>
                <c:pt idx="849">
                  <c:v>1.4109999999999999E-4</c:v>
                </c:pt>
                <c:pt idx="850">
                  <c:v>1.4789999999999999E-4</c:v>
                </c:pt>
                <c:pt idx="851">
                  <c:v>1.66E-4</c:v>
                </c:pt>
                <c:pt idx="852">
                  <c:v>1.7259999999999999E-4</c:v>
                </c:pt>
                <c:pt idx="853">
                  <c:v>1.6870000000000001E-4</c:v>
                </c:pt>
                <c:pt idx="854">
                  <c:v>1.6640000000000001E-4</c:v>
                </c:pt>
                <c:pt idx="855">
                  <c:v>1.738E-4</c:v>
                </c:pt>
                <c:pt idx="856">
                  <c:v>1.7569999999999999E-4</c:v>
                </c:pt>
                <c:pt idx="857">
                  <c:v>2.141E-4</c:v>
                </c:pt>
                <c:pt idx="858">
                  <c:v>2.3269999999999999E-4</c:v>
                </c:pt>
                <c:pt idx="859">
                  <c:v>2.455E-4</c:v>
                </c:pt>
                <c:pt idx="860">
                  <c:v>2.3780000000000001E-4</c:v>
                </c:pt>
                <c:pt idx="861">
                  <c:v>2.418E-4</c:v>
                </c:pt>
                <c:pt idx="862">
                  <c:v>2.4140000000000001E-4</c:v>
                </c:pt>
                <c:pt idx="863">
                  <c:v>2.3149999999999999E-4</c:v>
                </c:pt>
                <c:pt idx="864">
                  <c:v>2.207E-4</c:v>
                </c:pt>
                <c:pt idx="865">
                  <c:v>2.251E-4</c:v>
                </c:pt>
                <c:pt idx="866">
                  <c:v>2.296E-4</c:v>
                </c:pt>
                <c:pt idx="867">
                  <c:v>2.262E-4</c:v>
                </c:pt>
                <c:pt idx="868">
                  <c:v>2.2359999999999999E-4</c:v>
                </c:pt>
                <c:pt idx="869">
                  <c:v>2.2670000000000001E-4</c:v>
                </c:pt>
                <c:pt idx="870">
                  <c:v>2.4049999999999999E-4</c:v>
                </c:pt>
                <c:pt idx="871">
                  <c:v>2.474E-4</c:v>
                </c:pt>
                <c:pt idx="872">
                  <c:v>2.497E-4</c:v>
                </c:pt>
                <c:pt idx="873">
                  <c:v>2.6009999999999998E-4</c:v>
                </c:pt>
                <c:pt idx="874">
                  <c:v>2.5670000000000001E-4</c:v>
                </c:pt>
                <c:pt idx="875">
                  <c:v>2.8620000000000002E-4</c:v>
                </c:pt>
                <c:pt idx="876">
                  <c:v>2.9710000000000001E-4</c:v>
                </c:pt>
                <c:pt idx="877">
                  <c:v>3.0430000000000002E-4</c:v>
                </c:pt>
                <c:pt idx="878">
                  <c:v>3.1139999999999998E-4</c:v>
                </c:pt>
                <c:pt idx="879">
                  <c:v>3.0600000000000001E-4</c:v>
                </c:pt>
                <c:pt idx="880">
                  <c:v>3.1080000000000002E-4</c:v>
                </c:pt>
                <c:pt idx="881">
                  <c:v>3.2289999999999999E-4</c:v>
                </c:pt>
                <c:pt idx="882">
                  <c:v>3.1320000000000002E-4</c:v>
                </c:pt>
                <c:pt idx="883">
                  <c:v>3.1710000000000001E-4</c:v>
                </c:pt>
                <c:pt idx="884">
                  <c:v>3.4830000000000001E-4</c:v>
                </c:pt>
                <c:pt idx="885">
                  <c:v>3.1740000000000002E-4</c:v>
                </c:pt>
                <c:pt idx="886">
                  <c:v>3.1490000000000001E-4</c:v>
                </c:pt>
                <c:pt idx="887">
                  <c:v>3.211E-4</c:v>
                </c:pt>
                <c:pt idx="888">
                  <c:v>3.2180000000000002E-4</c:v>
                </c:pt>
                <c:pt idx="889">
                  <c:v>3.2000000000000003E-4</c:v>
                </c:pt>
                <c:pt idx="890">
                  <c:v>3.1500000000000001E-4</c:v>
                </c:pt>
                <c:pt idx="891">
                  <c:v>3.2400000000000001E-4</c:v>
                </c:pt>
                <c:pt idx="892">
                  <c:v>3.4049999999999998E-4</c:v>
                </c:pt>
                <c:pt idx="893">
                  <c:v>3.413E-4</c:v>
                </c:pt>
                <c:pt idx="894">
                  <c:v>3.3280000000000001E-4</c:v>
                </c:pt>
                <c:pt idx="895">
                  <c:v>3.3789999999999997E-4</c:v>
                </c:pt>
                <c:pt idx="896">
                  <c:v>3.2089999999999999E-4</c:v>
                </c:pt>
                <c:pt idx="897">
                  <c:v>3.1510000000000002E-4</c:v>
                </c:pt>
                <c:pt idx="898">
                  <c:v>3.522E-4</c:v>
                </c:pt>
                <c:pt idx="899">
                  <c:v>3.7990000000000002E-4</c:v>
                </c:pt>
                <c:pt idx="900">
                  <c:v>3.0479999999999998E-4</c:v>
                </c:pt>
                <c:pt idx="901">
                  <c:v>3.1829999999999998E-4</c:v>
                </c:pt>
                <c:pt idx="902">
                  <c:v>3.0049999999999999E-4</c:v>
                </c:pt>
                <c:pt idx="903">
                  <c:v>3.6039999999999998E-4</c:v>
                </c:pt>
                <c:pt idx="904">
                  <c:v>3.635E-4</c:v>
                </c:pt>
                <c:pt idx="905">
                  <c:v>3.657E-4</c:v>
                </c:pt>
                <c:pt idx="906">
                  <c:v>3.681E-4</c:v>
                </c:pt>
                <c:pt idx="907">
                  <c:v>3.7070000000000001E-4</c:v>
                </c:pt>
                <c:pt idx="908">
                  <c:v>3.6430000000000002E-4</c:v>
                </c:pt>
                <c:pt idx="909">
                  <c:v>3.9580000000000003E-4</c:v>
                </c:pt>
                <c:pt idx="910">
                  <c:v>4.4309999999999998E-4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1-4D63-8560-3DE60F0A426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-24892.964519179633</c:v>
                </c:pt>
                <c:pt idx="1">
                  <c:v>-24837.614644383862</c:v>
                </c:pt>
                <c:pt idx="2">
                  <c:v>-24565.530610734975</c:v>
                </c:pt>
                <c:pt idx="3">
                  <c:v>-25011.70720952022</c:v>
                </c:pt>
                <c:pt idx="4">
                  <c:v>-25278.579405557633</c:v>
                </c:pt>
                <c:pt idx="5">
                  <c:v>-25305.282929845362</c:v>
                </c:pt>
                <c:pt idx="6">
                  <c:v>-25290.454545991939</c:v>
                </c:pt>
                <c:pt idx="7">
                  <c:v>-24620.986654059765</c:v>
                </c:pt>
                <c:pt idx="8">
                  <c:v>-24165.353305171302</c:v>
                </c:pt>
                <c:pt idx="9">
                  <c:v>-23921.125176349768</c:v>
                </c:pt>
                <c:pt idx="10">
                  <c:v>-23375.113365141533</c:v>
                </c:pt>
                <c:pt idx="11">
                  <c:v>-23367.11592679867</c:v>
                </c:pt>
                <c:pt idx="12">
                  <c:v>-22083.237471817283</c:v>
                </c:pt>
                <c:pt idx="13">
                  <c:v>-22601.207663795823</c:v>
                </c:pt>
                <c:pt idx="14">
                  <c:v>-22760.051357272496</c:v>
                </c:pt>
                <c:pt idx="15">
                  <c:v>-22093.438794302947</c:v>
                </c:pt>
                <c:pt idx="16">
                  <c:v>-22772.053498398949</c:v>
                </c:pt>
                <c:pt idx="17">
                  <c:v>-23549.660551965459</c:v>
                </c:pt>
                <c:pt idx="18">
                  <c:v>-23190.107919476119</c:v>
                </c:pt>
                <c:pt idx="19">
                  <c:v>-23364.042725968848</c:v>
                </c:pt>
                <c:pt idx="20">
                  <c:v>-23049.121781721577</c:v>
                </c:pt>
                <c:pt idx="21">
                  <c:v>-22478.272700602553</c:v>
                </c:pt>
                <c:pt idx="22">
                  <c:v>-22339.675910423477</c:v>
                </c:pt>
                <c:pt idx="23">
                  <c:v>-21845.538347487669</c:v>
                </c:pt>
                <c:pt idx="24">
                  <c:v>-21336.096634155347</c:v>
                </c:pt>
                <c:pt idx="25">
                  <c:v>-21063.892683481856</c:v>
                </c:pt>
                <c:pt idx="26">
                  <c:v>-20955.524434286646</c:v>
                </c:pt>
                <c:pt idx="27">
                  <c:v>-21553.56421551016</c:v>
                </c:pt>
                <c:pt idx="28">
                  <c:v>-21175.826527981637</c:v>
                </c:pt>
                <c:pt idx="29">
                  <c:v>-21515.91005499833</c:v>
                </c:pt>
                <c:pt idx="30">
                  <c:v>-21325.288353260454</c:v>
                </c:pt>
                <c:pt idx="31">
                  <c:v>-20581.086260758897</c:v>
                </c:pt>
                <c:pt idx="32">
                  <c:v>-20197.294972347947</c:v>
                </c:pt>
                <c:pt idx="33">
                  <c:v>-20167.663255105923</c:v>
                </c:pt>
                <c:pt idx="34">
                  <c:v>-20455.232909927196</c:v>
                </c:pt>
                <c:pt idx="35">
                  <c:v>-19912.47164282568</c:v>
                </c:pt>
                <c:pt idx="36">
                  <c:v>-20305.060827786067</c:v>
                </c:pt>
                <c:pt idx="37">
                  <c:v>-20077.376254894865</c:v>
                </c:pt>
                <c:pt idx="38">
                  <c:v>-20444.180505735447</c:v>
                </c:pt>
                <c:pt idx="39">
                  <c:v>-20417.533980393877</c:v>
                </c:pt>
                <c:pt idx="40">
                  <c:v>-19746.283761998227</c:v>
                </c:pt>
                <c:pt idx="41">
                  <c:v>-19654.451372554842</c:v>
                </c:pt>
                <c:pt idx="42">
                  <c:v>-18895.098554850196</c:v>
                </c:pt>
                <c:pt idx="43">
                  <c:v>-18763.788591125762</c:v>
                </c:pt>
                <c:pt idx="44">
                  <c:v>-19075.723571313047</c:v>
                </c:pt>
                <c:pt idx="45">
                  <c:v>-19477.430922856413</c:v>
                </c:pt>
                <c:pt idx="46">
                  <c:v>-18909.839502192877</c:v>
                </c:pt>
                <c:pt idx="47">
                  <c:v>-19048.084778285305</c:v>
                </c:pt>
                <c:pt idx="48">
                  <c:v>-19050.39168509264</c:v>
                </c:pt>
                <c:pt idx="49">
                  <c:v>-18449.948311846285</c:v>
                </c:pt>
                <c:pt idx="50">
                  <c:v>-17897.350032591254</c:v>
                </c:pt>
                <c:pt idx="51">
                  <c:v>-18118.230654755502</c:v>
                </c:pt>
                <c:pt idx="52">
                  <c:v>-17535.132758462867</c:v>
                </c:pt>
                <c:pt idx="53">
                  <c:v>-17770.116479779426</c:v>
                </c:pt>
                <c:pt idx="54">
                  <c:v>-17566.214729429939</c:v>
                </c:pt>
                <c:pt idx="55">
                  <c:v>-17403.854175942903</c:v>
                </c:pt>
                <c:pt idx="56">
                  <c:v>-16892.322389378536</c:v>
                </c:pt>
                <c:pt idx="57">
                  <c:v>-17439.094973301177</c:v>
                </c:pt>
                <c:pt idx="58">
                  <c:v>-17058.961383869242</c:v>
                </c:pt>
                <c:pt idx="59">
                  <c:v>-16640.853144986402</c:v>
                </c:pt>
                <c:pt idx="60">
                  <c:v>-16023.825482413429</c:v>
                </c:pt>
                <c:pt idx="61">
                  <c:v>-16914.172317636534</c:v>
                </c:pt>
                <c:pt idx="62">
                  <c:v>-16509.10270956418</c:v>
                </c:pt>
                <c:pt idx="63">
                  <c:v>-15990.489904918721</c:v>
                </c:pt>
                <c:pt idx="64">
                  <c:v>-16091.342606907732</c:v>
                </c:pt>
                <c:pt idx="65">
                  <c:v>-16156.138331334943</c:v>
                </c:pt>
                <c:pt idx="66">
                  <c:v>-16025.112072888043</c:v>
                </c:pt>
                <c:pt idx="67">
                  <c:v>-15780.772348821039</c:v>
                </c:pt>
                <c:pt idx="68">
                  <c:v>-15407.178052925785</c:v>
                </c:pt>
                <c:pt idx="69">
                  <c:v>-15469.21826412167</c:v>
                </c:pt>
                <c:pt idx="70">
                  <c:v>-15703.974948252926</c:v>
                </c:pt>
                <c:pt idx="71">
                  <c:v>-15263.849092095752</c:v>
                </c:pt>
                <c:pt idx="72">
                  <c:v>-15046.921397859904</c:v>
                </c:pt>
                <c:pt idx="73">
                  <c:v>-14089.057684163239</c:v>
                </c:pt>
                <c:pt idx="74">
                  <c:v>-14130.690104322084</c:v>
                </c:pt>
                <c:pt idx="75">
                  <c:v>-14746.061915241338</c:v>
                </c:pt>
                <c:pt idx="76">
                  <c:v>-14642.287983162138</c:v>
                </c:pt>
                <c:pt idx="77">
                  <c:v>-14377.731486127946</c:v>
                </c:pt>
                <c:pt idx="78">
                  <c:v>-14686.769716786341</c:v>
                </c:pt>
                <c:pt idx="79">
                  <c:v>-14397.578419592497</c:v>
                </c:pt>
                <c:pt idx="80">
                  <c:v>-14225.04671875565</c:v>
                </c:pt>
                <c:pt idx="81">
                  <c:v>-14392.358249077824</c:v>
                </c:pt>
                <c:pt idx="82">
                  <c:v>-14324.103940816938</c:v>
                </c:pt>
                <c:pt idx="83">
                  <c:v>-14245.432714414483</c:v>
                </c:pt>
                <c:pt idx="84">
                  <c:v>-13900.27808006462</c:v>
                </c:pt>
                <c:pt idx="85">
                  <c:v>-13791.719751331802</c:v>
                </c:pt>
                <c:pt idx="86">
                  <c:v>-13309.725365756245</c:v>
                </c:pt>
                <c:pt idx="87">
                  <c:v>-12897.303864776586</c:v>
                </c:pt>
                <c:pt idx="88">
                  <c:v>-12698.442918270288</c:v>
                </c:pt>
                <c:pt idx="89">
                  <c:v>-10651.634269162641</c:v>
                </c:pt>
                <c:pt idx="90">
                  <c:v>-9941.7663020115888</c:v>
                </c:pt>
                <c:pt idx="91">
                  <c:v>-10670.541330315304</c:v>
                </c:pt>
                <c:pt idx="92">
                  <c:v>-10814.422210471103</c:v>
                </c:pt>
                <c:pt idx="93">
                  <c:v>-10400.220718803035</c:v>
                </c:pt>
                <c:pt idx="94">
                  <c:v>-10070.072307436121</c:v>
                </c:pt>
                <c:pt idx="95">
                  <c:v>-10127.455243764976</c:v>
                </c:pt>
                <c:pt idx="96">
                  <c:v>-10035.608106735217</c:v>
                </c:pt>
                <c:pt idx="97">
                  <c:v>-10163.954050216036</c:v>
                </c:pt>
                <c:pt idx="98">
                  <c:v>-9949.3241460409427</c:v>
                </c:pt>
                <c:pt idx="99">
                  <c:v>-9426.2535300500513</c:v>
                </c:pt>
                <c:pt idx="100">
                  <c:v>-9319.3990774519807</c:v>
                </c:pt>
                <c:pt idx="101">
                  <c:v>-9160.4597666186492</c:v>
                </c:pt>
                <c:pt idx="102">
                  <c:v>-8475.5007052980181</c:v>
                </c:pt>
                <c:pt idx="103">
                  <c:v>-7769.6096459526671</c:v>
                </c:pt>
                <c:pt idx="104">
                  <c:v>-7686.8192384647364</c:v>
                </c:pt>
                <c:pt idx="105">
                  <c:v>-7331.9715528966262</c:v>
                </c:pt>
                <c:pt idx="106">
                  <c:v>-7293.4718631608175</c:v>
                </c:pt>
                <c:pt idx="107">
                  <c:v>-7538.3933722607017</c:v>
                </c:pt>
                <c:pt idx="108">
                  <c:v>-7543.5272168380989</c:v>
                </c:pt>
                <c:pt idx="109">
                  <c:v>-7645.4795978656384</c:v>
                </c:pt>
                <c:pt idx="110">
                  <c:v>-7365.6970928165792</c:v>
                </c:pt>
                <c:pt idx="111">
                  <c:v>-7332.2909083906216</c:v>
                </c:pt>
                <c:pt idx="112">
                  <c:v>-6962.4170446108274</c:v>
                </c:pt>
                <c:pt idx="113">
                  <c:v>-6130.6576464119571</c:v>
                </c:pt>
                <c:pt idx="114">
                  <c:v>-6036.0396165939874</c:v>
                </c:pt>
                <c:pt idx="115">
                  <c:v>-7183.8294621149889</c:v>
                </c:pt>
                <c:pt idx="116">
                  <c:v>-7293.4312077224513</c:v>
                </c:pt>
                <c:pt idx="117">
                  <c:v>-7382.8920810766767</c:v>
                </c:pt>
                <c:pt idx="118">
                  <c:v>-7344.5027018055662</c:v>
                </c:pt>
                <c:pt idx="119">
                  <c:v>-7671.6688864609023</c:v>
                </c:pt>
                <c:pt idx="120">
                  <c:v>-7833.9503928085542</c:v>
                </c:pt>
                <c:pt idx="121">
                  <c:v>-7770.4234278185531</c:v>
                </c:pt>
                <c:pt idx="122">
                  <c:v>-7624.2579878195411</c:v>
                </c:pt>
                <c:pt idx="123">
                  <c:v>-7457.2690763877681</c:v>
                </c:pt>
                <c:pt idx="124">
                  <c:v>-7513.3272237111532</c:v>
                </c:pt>
                <c:pt idx="125">
                  <c:v>-7504.0112537112918</c:v>
                </c:pt>
                <c:pt idx="126">
                  <c:v>-7456.1468542790326</c:v>
                </c:pt>
                <c:pt idx="127">
                  <c:v>-7494.0914716117923</c:v>
                </c:pt>
                <c:pt idx="128">
                  <c:v>-7711.0506594086528</c:v>
                </c:pt>
                <c:pt idx="129">
                  <c:v>-7492.6244715453477</c:v>
                </c:pt>
                <c:pt idx="130">
                  <c:v>-7430.0106535799696</c:v>
                </c:pt>
                <c:pt idx="131">
                  <c:v>-7306.3702234817556</c:v>
                </c:pt>
                <c:pt idx="132">
                  <c:v>-7265.0935324524153</c:v>
                </c:pt>
                <c:pt idx="133">
                  <c:v>-6843.6122280262362</c:v>
                </c:pt>
                <c:pt idx="134">
                  <c:v>-6712.1336067584716</c:v>
                </c:pt>
                <c:pt idx="135">
                  <c:v>-6829.5579774357439</c:v>
                </c:pt>
                <c:pt idx="136">
                  <c:v>-6835.575106979838</c:v>
                </c:pt>
                <c:pt idx="137">
                  <c:v>-6730.36165477958</c:v>
                </c:pt>
                <c:pt idx="138">
                  <c:v>-6686.4549389887561</c:v>
                </c:pt>
                <c:pt idx="139">
                  <c:v>-6585.5925952057696</c:v>
                </c:pt>
                <c:pt idx="140">
                  <c:v>-6417.7634545741566</c:v>
                </c:pt>
                <c:pt idx="141">
                  <c:v>-6354.371428078076</c:v>
                </c:pt>
                <c:pt idx="142">
                  <c:v>-6639.6866704411959</c:v>
                </c:pt>
                <c:pt idx="143">
                  <c:v>-6625.7294867999872</c:v>
                </c:pt>
                <c:pt idx="144">
                  <c:v>-6555.7490941499382</c:v>
                </c:pt>
                <c:pt idx="145">
                  <c:v>-6924.5981805941283</c:v>
                </c:pt>
                <c:pt idx="146">
                  <c:v>-6704.7982330235018</c:v>
                </c:pt>
                <c:pt idx="147">
                  <c:v>-6648.0616981778412</c:v>
                </c:pt>
                <c:pt idx="148">
                  <c:v>-6602.3304640721071</c:v>
                </c:pt>
                <c:pt idx="149">
                  <c:v>-6835.2353593805274</c:v>
                </c:pt>
                <c:pt idx="150">
                  <c:v>-6748.0774275444501</c:v>
                </c:pt>
                <c:pt idx="151">
                  <c:v>-6347.9125862817818</c:v>
                </c:pt>
                <c:pt idx="152">
                  <c:v>-5578.8555478251083</c:v>
                </c:pt>
                <c:pt idx="153">
                  <c:v>-6046.7900271722938</c:v>
                </c:pt>
                <c:pt idx="154">
                  <c:v>-6314.9974586563176</c:v>
                </c:pt>
                <c:pt idx="155">
                  <c:v>-6088.8858988952979</c:v>
                </c:pt>
                <c:pt idx="156">
                  <c:v>-6283.4010565123508</c:v>
                </c:pt>
                <c:pt idx="157">
                  <c:v>-5942.6090078148809</c:v>
                </c:pt>
                <c:pt idx="158">
                  <c:v>-5988.4170286812359</c:v>
                </c:pt>
                <c:pt idx="159">
                  <c:v>-6064.615077802262</c:v>
                </c:pt>
                <c:pt idx="160">
                  <c:v>-5672.8810565716021</c:v>
                </c:pt>
                <c:pt idx="161">
                  <c:v>-5787.666098925667</c:v>
                </c:pt>
                <c:pt idx="162">
                  <c:v>-6166.3558491641634</c:v>
                </c:pt>
                <c:pt idx="163">
                  <c:v>-6210.2171039822533</c:v>
                </c:pt>
                <c:pt idx="164">
                  <c:v>-5751.025529244097</c:v>
                </c:pt>
                <c:pt idx="165">
                  <c:v>-5187.5761679682937</c:v>
                </c:pt>
                <c:pt idx="166">
                  <c:v>-5069.4334262960565</c:v>
                </c:pt>
                <c:pt idx="167">
                  <c:v>-4445.6671684034245</c:v>
                </c:pt>
                <c:pt idx="168">
                  <c:v>-4862.8407491532544</c:v>
                </c:pt>
                <c:pt idx="169">
                  <c:v>-4422.7709188168865</c:v>
                </c:pt>
                <c:pt idx="170">
                  <c:v>-6378.0529631432109</c:v>
                </c:pt>
                <c:pt idx="171">
                  <c:v>-6923.5139313129775</c:v>
                </c:pt>
                <c:pt idx="172">
                  <c:v>-7661.9128426922434</c:v>
                </c:pt>
                <c:pt idx="173">
                  <c:v>-7571.7279366925213</c:v>
                </c:pt>
                <c:pt idx="174">
                  <c:v>-7897.1174768531309</c:v>
                </c:pt>
                <c:pt idx="175">
                  <c:v>-8391.4077908780091</c:v>
                </c:pt>
                <c:pt idx="176">
                  <c:v>-8553.5864335847364</c:v>
                </c:pt>
                <c:pt idx="177">
                  <c:v>-8665.7964576110371</c:v>
                </c:pt>
                <c:pt idx="178">
                  <c:v>-8474.5213938889337</c:v>
                </c:pt>
                <c:pt idx="179">
                  <c:v>-8421.3375361383605</c:v>
                </c:pt>
                <c:pt idx="180">
                  <c:v>-8020.1041901934632</c:v>
                </c:pt>
                <c:pt idx="181">
                  <c:v>-7955.5613030442328</c:v>
                </c:pt>
                <c:pt idx="182">
                  <c:v>-8283.8652248951912</c:v>
                </c:pt>
                <c:pt idx="183">
                  <c:v>-8329.768337893267</c:v>
                </c:pt>
                <c:pt idx="184">
                  <c:v>-8197.0678773104228</c:v>
                </c:pt>
                <c:pt idx="185">
                  <c:v>-8420.0717295281247</c:v>
                </c:pt>
                <c:pt idx="186">
                  <c:v>-7375.2709490662</c:v>
                </c:pt>
                <c:pt idx="187">
                  <c:v>-7855.8726527525823</c:v>
                </c:pt>
                <c:pt idx="188">
                  <c:v>-7894.7030625844336</c:v>
                </c:pt>
                <c:pt idx="189">
                  <c:v>-8227.0132586601485</c:v>
                </c:pt>
                <c:pt idx="190">
                  <c:v>-8115.8588695700237</c:v>
                </c:pt>
                <c:pt idx="191">
                  <c:v>-8230.5108945356242</c:v>
                </c:pt>
                <c:pt idx="192">
                  <c:v>-8129.0858337986929</c:v>
                </c:pt>
                <c:pt idx="193">
                  <c:v>-7927.4883114707782</c:v>
                </c:pt>
                <c:pt idx="194">
                  <c:v>-7775.3330832270176</c:v>
                </c:pt>
                <c:pt idx="195">
                  <c:v>-7776.9949117517663</c:v>
                </c:pt>
                <c:pt idx="196">
                  <c:v>-7521.8819415457829</c:v>
                </c:pt>
                <c:pt idx="197">
                  <c:v>-7419.4811948046063</c:v>
                </c:pt>
                <c:pt idx="198">
                  <c:v>-7504.5382310639807</c:v>
                </c:pt>
                <c:pt idx="199">
                  <c:v>-7453.9113562929915</c:v>
                </c:pt>
                <c:pt idx="200">
                  <c:v>-7353.2570498082823</c:v>
                </c:pt>
                <c:pt idx="201">
                  <c:v>-7418.9297223718577</c:v>
                </c:pt>
                <c:pt idx="202">
                  <c:v>-7366.4223767836238</c:v>
                </c:pt>
                <c:pt idx="203">
                  <c:v>-7445.5010382105429</c:v>
                </c:pt>
                <c:pt idx="204">
                  <c:v>-7128.2926839305937</c:v>
                </c:pt>
                <c:pt idx="205">
                  <c:v>-6913.5973315270076</c:v>
                </c:pt>
                <c:pt idx="206">
                  <c:v>-6903.1115761249748</c:v>
                </c:pt>
                <c:pt idx="207">
                  <c:v>-6767.2608510353521</c:v>
                </c:pt>
                <c:pt idx="208">
                  <c:v>-6899.0759751378373</c:v>
                </c:pt>
                <c:pt idx="209">
                  <c:v>-7001.193255987695</c:v>
                </c:pt>
                <c:pt idx="210">
                  <c:v>-7265.1797636940537</c:v>
                </c:pt>
                <c:pt idx="211">
                  <c:v>-6944.0404236812647</c:v>
                </c:pt>
                <c:pt idx="212">
                  <c:v>-7214.959558777743</c:v>
                </c:pt>
                <c:pt idx="213">
                  <c:v>-7455.3287671166408</c:v>
                </c:pt>
                <c:pt idx="214">
                  <c:v>-7457.6164604538344</c:v>
                </c:pt>
                <c:pt idx="215">
                  <c:v>-7738.5904494593506</c:v>
                </c:pt>
                <c:pt idx="216">
                  <c:v>-7980.692581057835</c:v>
                </c:pt>
                <c:pt idx="217">
                  <c:v>-7602.2994392674455</c:v>
                </c:pt>
                <c:pt idx="218">
                  <c:v>-7641.9932814879749</c:v>
                </c:pt>
                <c:pt idx="219">
                  <c:v>-7934.3304449343977</c:v>
                </c:pt>
                <c:pt idx="220">
                  <c:v>-7917.8872307037063</c:v>
                </c:pt>
                <c:pt idx="221">
                  <c:v>-7186.3790037360941</c:v>
                </c:pt>
                <c:pt idx="222">
                  <c:v>-7563.3882722486096</c:v>
                </c:pt>
                <c:pt idx="223">
                  <c:v>-6977.7327072604867</c:v>
                </c:pt>
                <c:pt idx="224">
                  <c:v>-5855.7982284697655</c:v>
                </c:pt>
                <c:pt idx="225">
                  <c:v>-6060.5939606164056</c:v>
                </c:pt>
                <c:pt idx="226">
                  <c:v>-5454.7597169731007</c:v>
                </c:pt>
                <c:pt idx="227">
                  <c:v>-5519.8443300165864</c:v>
                </c:pt>
                <c:pt idx="228">
                  <c:v>-5792.3988144502919</c:v>
                </c:pt>
                <c:pt idx="229">
                  <c:v>-6080.3763657886648</c:v>
                </c:pt>
                <c:pt idx="230">
                  <c:v>-6051.6733040547015</c:v>
                </c:pt>
                <c:pt idx="231">
                  <c:v>-5655.7484935388411</c:v>
                </c:pt>
                <c:pt idx="232">
                  <c:v>-5270.6250195627636</c:v>
                </c:pt>
                <c:pt idx="233">
                  <c:v>-5989.3932908067482</c:v>
                </c:pt>
                <c:pt idx="234">
                  <c:v>-6278.4210977012281</c:v>
                </c:pt>
                <c:pt idx="235">
                  <c:v>-5814.6995068862279</c:v>
                </c:pt>
                <c:pt idx="236">
                  <c:v>-5901.0642226572472</c:v>
                </c:pt>
                <c:pt idx="237">
                  <c:v>-5672.1213368115696</c:v>
                </c:pt>
                <c:pt idx="238">
                  <c:v>-5319.5575541537282</c:v>
                </c:pt>
                <c:pt idx="239">
                  <c:v>-5924.010407621221</c:v>
                </c:pt>
                <c:pt idx="240">
                  <c:v>-5996.355326576032</c:v>
                </c:pt>
                <c:pt idx="241">
                  <c:v>-5813.4821877984259</c:v>
                </c:pt>
                <c:pt idx="242">
                  <c:v>-6200.3313901482215</c:v>
                </c:pt>
                <c:pt idx="243">
                  <c:v>-6364.8990027768023</c:v>
                </c:pt>
                <c:pt idx="244">
                  <c:v>-6205.4429970510892</c:v>
                </c:pt>
                <c:pt idx="245">
                  <c:v>-5842.1945981539284</c:v>
                </c:pt>
                <c:pt idx="246">
                  <c:v>-5225.5324008641937</c:v>
                </c:pt>
                <c:pt idx="247">
                  <c:v>-6385.474027771651</c:v>
                </c:pt>
                <c:pt idx="248">
                  <c:v>-6510.5667454943996</c:v>
                </c:pt>
                <c:pt idx="249">
                  <c:v>-7463.5683332113495</c:v>
                </c:pt>
                <c:pt idx="250">
                  <c:v>-7267.9190934572498</c:v>
                </c:pt>
                <c:pt idx="251">
                  <c:v>-7221.1660354696241</c:v>
                </c:pt>
                <c:pt idx="252">
                  <c:v>-6872.4832647998746</c:v>
                </c:pt>
                <c:pt idx="253">
                  <c:v>-7282.9615339125712</c:v>
                </c:pt>
                <c:pt idx="254">
                  <c:v>-6560.3138865788824</c:v>
                </c:pt>
                <c:pt idx="255">
                  <c:v>-6208.4485887750971</c:v>
                </c:pt>
                <c:pt idx="256">
                  <c:v>-5953.1426839495152</c:v>
                </c:pt>
                <c:pt idx="257">
                  <c:v>-5561.1725790584042</c:v>
                </c:pt>
                <c:pt idx="258">
                  <c:v>-4927.7967067228483</c:v>
                </c:pt>
                <c:pt idx="259">
                  <c:v>-4849.8227649220216</c:v>
                </c:pt>
                <c:pt idx="260">
                  <c:v>-4773.3798574399116</c:v>
                </c:pt>
                <c:pt idx="261">
                  <c:v>-3950.281059935995</c:v>
                </c:pt>
                <c:pt idx="262">
                  <c:v>-4427.4808201874957</c:v>
                </c:pt>
                <c:pt idx="263">
                  <c:v>-3809.1427764444197</c:v>
                </c:pt>
                <c:pt idx="264">
                  <c:v>-3847.9387630166088</c:v>
                </c:pt>
                <c:pt idx="265">
                  <c:v>-3196.7611873370342</c:v>
                </c:pt>
                <c:pt idx="266">
                  <c:v>-1711.7859687574078</c:v>
                </c:pt>
                <c:pt idx="267">
                  <c:v>-2552.6887440845112</c:v>
                </c:pt>
                <c:pt idx="268">
                  <c:v>-3063.6483560786032</c:v>
                </c:pt>
                <c:pt idx="269">
                  <c:v>-2079.1585094535462</c:v>
                </c:pt>
                <c:pt idx="270">
                  <c:v>-1256.5562410152572</c:v>
                </c:pt>
                <c:pt idx="271">
                  <c:v>-1146.7675021735938</c:v>
                </c:pt>
                <c:pt idx="272">
                  <c:v>-811.08511398079565</c:v>
                </c:pt>
                <c:pt idx="273">
                  <c:v>-1457.5590706624043</c:v>
                </c:pt>
                <c:pt idx="274">
                  <c:v>-1034.1772507914966</c:v>
                </c:pt>
                <c:pt idx="275">
                  <c:v>-1273.8713412773709</c:v>
                </c:pt>
                <c:pt idx="276">
                  <c:v>-2350.1296349993404</c:v>
                </c:pt>
                <c:pt idx="277">
                  <c:v>-4383.8863356934435</c:v>
                </c:pt>
                <c:pt idx="278">
                  <c:v>-3964.7817978799403</c:v>
                </c:pt>
                <c:pt idx="279">
                  <c:v>1077.6512684876816</c:v>
                </c:pt>
                <c:pt idx="280">
                  <c:v>-832.37817216871986</c:v>
                </c:pt>
                <c:pt idx="281">
                  <c:v>252.52669134193391</c:v>
                </c:pt>
                <c:pt idx="282">
                  <c:v>1582.0520537412772</c:v>
                </c:pt>
                <c:pt idx="283">
                  <c:v>-47.737995863400577</c:v>
                </c:pt>
                <c:pt idx="284">
                  <c:v>1840.0866207031604</c:v>
                </c:pt>
                <c:pt idx="285">
                  <c:v>2484.564998792609</c:v>
                </c:pt>
                <c:pt idx="286">
                  <c:v>4380.9909068589723</c:v>
                </c:pt>
                <c:pt idx="287">
                  <c:v>6371.0389702372513</c:v>
                </c:pt>
                <c:pt idx="288">
                  <c:v>5758.6393565830895</c:v>
                </c:pt>
                <c:pt idx="289">
                  <c:v>6767.9876989855275</c:v>
                </c:pt>
                <c:pt idx="290">
                  <c:v>7957.7966269654135</c:v>
                </c:pt>
                <c:pt idx="291">
                  <c:v>11374.764019801138</c:v>
                </c:pt>
                <c:pt idx="292">
                  <c:v>8543.9771458979285</c:v>
                </c:pt>
                <c:pt idx="293">
                  <c:v>9376.7905911769067</c:v>
                </c:pt>
                <c:pt idx="294">
                  <c:v>11623.046142822059</c:v>
                </c:pt>
                <c:pt idx="295">
                  <c:v>11246.731909300448</c:v>
                </c:pt>
                <c:pt idx="296">
                  <c:v>14363.294771305649</c:v>
                </c:pt>
                <c:pt idx="297">
                  <c:v>19724.779294136726</c:v>
                </c:pt>
                <c:pt idx="298">
                  <c:v>15308.716896120102</c:v>
                </c:pt>
                <c:pt idx="299">
                  <c:v>-224.85538650407287</c:v>
                </c:pt>
                <c:pt idx="300">
                  <c:v>-3291.0937924623868</c:v>
                </c:pt>
                <c:pt idx="301">
                  <c:v>-6629.5934298771999</c:v>
                </c:pt>
                <c:pt idx="302">
                  <c:v>-3770.1680581657083</c:v>
                </c:pt>
                <c:pt idx="303">
                  <c:v>-9608.7339544649221</c:v>
                </c:pt>
                <c:pt idx="304">
                  <c:v>-9482.6155620581467</c:v>
                </c:pt>
                <c:pt idx="305">
                  <c:v>-9629.6226118321738</c:v>
                </c:pt>
                <c:pt idx="306">
                  <c:v>-9543.6941574423454</c:v>
                </c:pt>
                <c:pt idx="307">
                  <c:v>-8069.2541815676277</c:v>
                </c:pt>
                <c:pt idx="308">
                  <c:v>-9059.9038227396868</c:v>
                </c:pt>
                <c:pt idx="309">
                  <c:v>-8973.3552864629273</c:v>
                </c:pt>
                <c:pt idx="310">
                  <c:v>-8004.6441971463155</c:v>
                </c:pt>
                <c:pt idx="311">
                  <c:v>-7369.0874959981029</c:v>
                </c:pt>
                <c:pt idx="312">
                  <c:v>-6162.0107116719537</c:v>
                </c:pt>
                <c:pt idx="313">
                  <c:v>-6927.9741256735779</c:v>
                </c:pt>
                <c:pt idx="314">
                  <c:v>-3639.0327575699412</c:v>
                </c:pt>
                <c:pt idx="315">
                  <c:v>-4014.8221631876418</c:v>
                </c:pt>
                <c:pt idx="316">
                  <c:v>-3908.330921780213</c:v>
                </c:pt>
                <c:pt idx="317">
                  <c:v>-3934.3187360885099</c:v>
                </c:pt>
                <c:pt idx="318">
                  <c:v>-3834.0330588974475</c:v>
                </c:pt>
                <c:pt idx="319">
                  <c:v>-3657.7591831556047</c:v>
                </c:pt>
                <c:pt idx="320">
                  <c:v>-3033.7770283439618</c:v>
                </c:pt>
                <c:pt idx="321">
                  <c:v>-3377.7220087050728</c:v>
                </c:pt>
                <c:pt idx="322">
                  <c:v>-3290.4968344661975</c:v>
                </c:pt>
                <c:pt idx="323">
                  <c:v>-3363.5537469575183</c:v>
                </c:pt>
                <c:pt idx="324">
                  <c:v>-3343.1524132355571</c:v>
                </c:pt>
                <c:pt idx="325">
                  <c:v>-3636.2218694003145</c:v>
                </c:pt>
                <c:pt idx="326">
                  <c:v>-3725.4946479297892</c:v>
                </c:pt>
                <c:pt idx="327">
                  <c:v>-3739.0063718081278</c:v>
                </c:pt>
                <c:pt idx="328">
                  <c:v>-3735.7049087581618</c:v>
                </c:pt>
                <c:pt idx="329">
                  <c:v>-3754.2940763952101</c:v>
                </c:pt>
                <c:pt idx="330">
                  <c:v>-3777.8901721128709</c:v>
                </c:pt>
                <c:pt idx="331">
                  <c:v>-3746.628534199815</c:v>
                </c:pt>
                <c:pt idx="332">
                  <c:v>-3731.2311146368347</c:v>
                </c:pt>
                <c:pt idx="333">
                  <c:v>-3834.6948639397369</c:v>
                </c:pt>
                <c:pt idx="334">
                  <c:v>-3866.8389288260678</c:v>
                </c:pt>
                <c:pt idx="335">
                  <c:v>-3873.5499465225121</c:v>
                </c:pt>
                <c:pt idx="336">
                  <c:v>-3900.7749877314623</c:v>
                </c:pt>
                <c:pt idx="337">
                  <c:v>-3742.5410399978919</c:v>
                </c:pt>
                <c:pt idx="338">
                  <c:v>-3843.0638682349136</c:v>
                </c:pt>
                <c:pt idx="339">
                  <c:v>-3844.8322478396749</c:v>
                </c:pt>
                <c:pt idx="340">
                  <c:v>-3884.8736440982548</c:v>
                </c:pt>
                <c:pt idx="341">
                  <c:v>-4033.6462749029147</c:v>
                </c:pt>
                <c:pt idx="342">
                  <c:v>-3864.3634080980632</c:v>
                </c:pt>
                <c:pt idx="343">
                  <c:v>-4008.4204628059656</c:v>
                </c:pt>
                <c:pt idx="344">
                  <c:v>-4081.4183012287335</c:v>
                </c:pt>
                <c:pt idx="345">
                  <c:v>-4253.6990451571264</c:v>
                </c:pt>
                <c:pt idx="346">
                  <c:v>-4171.3799152105939</c:v>
                </c:pt>
                <c:pt idx="347">
                  <c:v>-4201.1981269450152</c:v>
                </c:pt>
                <c:pt idx="348">
                  <c:v>-4017.0324403935997</c:v>
                </c:pt>
                <c:pt idx="349">
                  <c:v>-4421.1908153410795</c:v>
                </c:pt>
                <c:pt idx="350">
                  <c:v>-4567.4724817014712</c:v>
                </c:pt>
                <c:pt idx="351">
                  <c:v>-5023.3725003204745</c:v>
                </c:pt>
                <c:pt idx="352">
                  <c:v>-4614.001705450487</c:v>
                </c:pt>
                <c:pt idx="353">
                  <c:v>-3270.8845940868096</c:v>
                </c:pt>
                <c:pt idx="354">
                  <c:v>-3214.3254530804243</c:v>
                </c:pt>
                <c:pt idx="355">
                  <c:v>-3284.1896076052453</c:v>
                </c:pt>
                <c:pt idx="356">
                  <c:v>-3184.5317274586255</c:v>
                </c:pt>
                <c:pt idx="357">
                  <c:v>-3133.7050586997702</c:v>
                </c:pt>
                <c:pt idx="358">
                  <c:v>-3002.1171091336132</c:v>
                </c:pt>
                <c:pt idx="359">
                  <c:v>-3474.9776811282586</c:v>
                </c:pt>
                <c:pt idx="360">
                  <c:v>-3564.3397166531831</c:v>
                </c:pt>
                <c:pt idx="361">
                  <c:v>-3533.9442401936726</c:v>
                </c:pt>
                <c:pt idx="362">
                  <c:v>-3234.9799505452397</c:v>
                </c:pt>
                <c:pt idx="363">
                  <c:v>-3386.7821650971823</c:v>
                </c:pt>
                <c:pt idx="364">
                  <c:v>-2956.8617544907547</c:v>
                </c:pt>
                <c:pt idx="365">
                  <c:v>-3169.6116996610081</c:v>
                </c:pt>
                <c:pt idx="366">
                  <c:v>-2924.476407258614</c:v>
                </c:pt>
                <c:pt idx="367">
                  <c:v>-3077.247075233473</c:v>
                </c:pt>
                <c:pt idx="368">
                  <c:v>-2822.5934691711532</c:v>
                </c:pt>
                <c:pt idx="369">
                  <c:v>-2729.2278322919356</c:v>
                </c:pt>
                <c:pt idx="370">
                  <c:v>-2974.8281876704214</c:v>
                </c:pt>
                <c:pt idx="371">
                  <c:v>-3284.6280154651004</c:v>
                </c:pt>
                <c:pt idx="372">
                  <c:v>-3121.7468449356402</c:v>
                </c:pt>
                <c:pt idx="373">
                  <c:v>-3163.8268043956086</c:v>
                </c:pt>
                <c:pt idx="374">
                  <c:v>-3057.3718180925584</c:v>
                </c:pt>
                <c:pt idx="375">
                  <c:v>-3205.1375877533847</c:v>
                </c:pt>
                <c:pt idx="376">
                  <c:v>-3105.1032876490499</c:v>
                </c:pt>
                <c:pt idx="377">
                  <c:v>-3334.4004614352361</c:v>
                </c:pt>
                <c:pt idx="378">
                  <c:v>-3618.3301327401973</c:v>
                </c:pt>
                <c:pt idx="379">
                  <c:v>-3775.489841558594</c:v>
                </c:pt>
                <c:pt idx="380">
                  <c:v>-4136.2324391669499</c:v>
                </c:pt>
                <c:pt idx="381">
                  <c:v>-4081.3297384273496</c:v>
                </c:pt>
                <c:pt idx="382">
                  <c:v>-4070.3059800828878</c:v>
                </c:pt>
                <c:pt idx="383">
                  <c:v>-4021.9170960483552</c:v>
                </c:pt>
                <c:pt idx="384">
                  <c:v>-4054.4506569533382</c:v>
                </c:pt>
                <c:pt idx="385">
                  <c:v>-4080.844453850757</c:v>
                </c:pt>
                <c:pt idx="386">
                  <c:v>-4050.950108942649</c:v>
                </c:pt>
                <c:pt idx="387">
                  <c:v>-4170.2974852317966</c:v>
                </c:pt>
                <c:pt idx="388">
                  <c:v>-4168.2753482756052</c:v>
                </c:pt>
                <c:pt idx="389">
                  <c:v>-4283.9589570225871</c:v>
                </c:pt>
                <c:pt idx="390">
                  <c:v>-4395.1043220465644</c:v>
                </c:pt>
                <c:pt idx="391">
                  <c:v>-4442.3641225453748</c:v>
                </c:pt>
                <c:pt idx="392">
                  <c:v>-4377.7572169683663</c:v>
                </c:pt>
                <c:pt idx="393">
                  <c:v>-4306.0732151951115</c:v>
                </c:pt>
                <c:pt idx="394">
                  <c:v>-4337.8039961544782</c:v>
                </c:pt>
                <c:pt idx="395">
                  <c:v>-4347.300708689113</c:v>
                </c:pt>
                <c:pt idx="396">
                  <c:v>-4294.2612564415103</c:v>
                </c:pt>
                <c:pt idx="397">
                  <c:v>-4229.6417470316637</c:v>
                </c:pt>
                <c:pt idx="398">
                  <c:v>-4133.8216610297522</c:v>
                </c:pt>
                <c:pt idx="399">
                  <c:v>-4148.3788818872526</c:v>
                </c:pt>
                <c:pt idx="400">
                  <c:v>-4233.8611947782711</c:v>
                </c:pt>
                <c:pt idx="401">
                  <c:v>-4165.9611673264162</c:v>
                </c:pt>
                <c:pt idx="402">
                  <c:v>-4152.8174729285638</c:v>
                </c:pt>
                <c:pt idx="403">
                  <c:v>-4118.9291278079609</c:v>
                </c:pt>
                <c:pt idx="404">
                  <c:v>-4077.3545447031902</c:v>
                </c:pt>
                <c:pt idx="405">
                  <c:v>-4038.0435766762243</c:v>
                </c:pt>
                <c:pt idx="406">
                  <c:v>-4096.8742564011563</c:v>
                </c:pt>
                <c:pt idx="407">
                  <c:v>-4007.5153423538327</c:v>
                </c:pt>
                <c:pt idx="408">
                  <c:v>-4115.4849360338003</c:v>
                </c:pt>
                <c:pt idx="409">
                  <c:v>-4111.1182711027068</c:v>
                </c:pt>
                <c:pt idx="410">
                  <c:v>-4091.822149923707</c:v>
                </c:pt>
                <c:pt idx="411">
                  <c:v>-4079.9805057689891</c:v>
                </c:pt>
                <c:pt idx="412">
                  <c:v>-4133.9069723502789</c:v>
                </c:pt>
                <c:pt idx="413">
                  <c:v>-4040.6029718292134</c:v>
                </c:pt>
                <c:pt idx="414">
                  <c:v>-4056.1207637532134</c:v>
                </c:pt>
                <c:pt idx="415">
                  <c:v>-4049.6154542651443</c:v>
                </c:pt>
                <c:pt idx="416">
                  <c:v>-3986.6176065811346</c:v>
                </c:pt>
                <c:pt idx="417">
                  <c:v>-4093.3097337359432</c:v>
                </c:pt>
                <c:pt idx="418">
                  <c:v>-4115.1709646759427</c:v>
                </c:pt>
                <c:pt idx="419">
                  <c:v>-4175.6709590745604</c:v>
                </c:pt>
                <c:pt idx="420">
                  <c:v>-4119.6673590101755</c:v>
                </c:pt>
                <c:pt idx="421">
                  <c:v>-4113.9928244500043</c:v>
                </c:pt>
                <c:pt idx="422">
                  <c:v>-4171.0871801724052</c:v>
                </c:pt>
                <c:pt idx="423">
                  <c:v>-4082.707088526518</c:v>
                </c:pt>
                <c:pt idx="424">
                  <c:v>-4067.5286110391662</c:v>
                </c:pt>
                <c:pt idx="425">
                  <c:v>-4023.1912138218299</c:v>
                </c:pt>
                <c:pt idx="426">
                  <c:v>-4053.5011361461447</c:v>
                </c:pt>
                <c:pt idx="427">
                  <c:v>-4063.4703190546461</c:v>
                </c:pt>
                <c:pt idx="428">
                  <c:v>-4032.7848638469209</c:v>
                </c:pt>
                <c:pt idx="429">
                  <c:v>-3984.0059980923415</c:v>
                </c:pt>
                <c:pt idx="430">
                  <c:v>-3949.0886160214154</c:v>
                </c:pt>
                <c:pt idx="431">
                  <c:v>-4025.4949438916092</c:v>
                </c:pt>
                <c:pt idx="432">
                  <c:v>-3951.817584369549</c:v>
                </c:pt>
                <c:pt idx="433">
                  <c:v>-3979.535109610476</c:v>
                </c:pt>
                <c:pt idx="434">
                  <c:v>-3927.8958298504199</c:v>
                </c:pt>
                <c:pt idx="435">
                  <c:v>-3928.9960122647235</c:v>
                </c:pt>
                <c:pt idx="436">
                  <c:v>-3988.9696686836928</c:v>
                </c:pt>
                <c:pt idx="437">
                  <c:v>-4019.2234336570259</c:v>
                </c:pt>
                <c:pt idx="438">
                  <c:v>-4018.4888974584865</c:v>
                </c:pt>
                <c:pt idx="439">
                  <c:v>-3995.0914201655132</c:v>
                </c:pt>
                <c:pt idx="440">
                  <c:v>-3992.0382357488465</c:v>
                </c:pt>
                <c:pt idx="441">
                  <c:v>-4012.3991792627348</c:v>
                </c:pt>
                <c:pt idx="442">
                  <c:v>-3954.959138737735</c:v>
                </c:pt>
                <c:pt idx="443">
                  <c:v>-3947.4282821391639</c:v>
                </c:pt>
                <c:pt idx="444">
                  <c:v>-3998.3316921716632</c:v>
                </c:pt>
                <c:pt idx="445">
                  <c:v>-3814.9975699176898</c:v>
                </c:pt>
                <c:pt idx="446">
                  <c:v>-3961.7459173933421</c:v>
                </c:pt>
                <c:pt idx="447">
                  <c:v>-3916.0173303820698</c:v>
                </c:pt>
                <c:pt idx="448">
                  <c:v>-4130.4955366965023</c:v>
                </c:pt>
                <c:pt idx="449">
                  <c:v>-4182.6043814747882</c:v>
                </c:pt>
                <c:pt idx="450">
                  <c:v>-4115.0435080536618</c:v>
                </c:pt>
                <c:pt idx="451">
                  <c:v>-4194.1811779875752</c:v>
                </c:pt>
                <c:pt idx="452">
                  <c:v>-4084.5397268743327</c:v>
                </c:pt>
                <c:pt idx="453">
                  <c:v>-4138.6898091513749</c:v>
                </c:pt>
                <c:pt idx="454">
                  <c:v>-4189.57207524348</c:v>
                </c:pt>
                <c:pt idx="455">
                  <c:v>-4143.1052615243498</c:v>
                </c:pt>
                <c:pt idx="456">
                  <c:v>-4120.3878664843496</c:v>
                </c:pt>
                <c:pt idx="457">
                  <c:v>-4116.943881326285</c:v>
                </c:pt>
                <c:pt idx="458">
                  <c:v>-4140.9429012358514</c:v>
                </c:pt>
                <c:pt idx="459">
                  <c:v>-4117.9578763477548</c:v>
                </c:pt>
                <c:pt idx="460">
                  <c:v>-4117.9578763477557</c:v>
                </c:pt>
                <c:pt idx="461">
                  <c:v>-4150.5720059617552</c:v>
                </c:pt>
                <c:pt idx="462">
                  <c:v>-4181.6307627484221</c:v>
                </c:pt>
                <c:pt idx="463">
                  <c:v>-4218.5971554574226</c:v>
                </c:pt>
                <c:pt idx="464">
                  <c:v>-4273.5606507529228</c:v>
                </c:pt>
                <c:pt idx="465">
                  <c:v>-4231.158328839434</c:v>
                </c:pt>
                <c:pt idx="466">
                  <c:v>-4279.450553136634</c:v>
                </c:pt>
                <c:pt idx="467">
                  <c:v>-4255.6065814699659</c:v>
                </c:pt>
                <c:pt idx="468">
                  <c:v>-4217.3916676159661</c:v>
                </c:pt>
                <c:pt idx="469">
                  <c:v>-4248.6417105988548</c:v>
                </c:pt>
                <c:pt idx="470">
                  <c:v>-4313.4321789265023</c:v>
                </c:pt>
                <c:pt idx="471">
                  <c:v>-4258.9350570675551</c:v>
                </c:pt>
                <c:pt idx="472">
                  <c:v>-4228.0322579884642</c:v>
                </c:pt>
                <c:pt idx="473">
                  <c:v>-4219.6789342823113</c:v>
                </c:pt>
                <c:pt idx="474">
                  <c:v>-4211.4936012513108</c:v>
                </c:pt>
                <c:pt idx="475">
                  <c:v>-4125.4139050543417</c:v>
                </c:pt>
                <c:pt idx="476">
                  <c:v>-4156.085611122523</c:v>
                </c:pt>
                <c:pt idx="477">
                  <c:v>-4231.1387746563159</c:v>
                </c:pt>
                <c:pt idx="478">
                  <c:v>-4235.4837380128374</c:v>
                </c:pt>
                <c:pt idx="479">
                  <c:v>-4176.1035603760374</c:v>
                </c:pt>
                <c:pt idx="480">
                  <c:v>-4152.5004600431103</c:v>
                </c:pt>
                <c:pt idx="481">
                  <c:v>-4214.6838462825845</c:v>
                </c:pt>
                <c:pt idx="482">
                  <c:v>-4212.2838293299365</c:v>
                </c:pt>
                <c:pt idx="483">
                  <c:v>-4227.1853771885371</c:v>
                </c:pt>
                <c:pt idx="484">
                  <c:v>-4192.8186479303968</c:v>
                </c:pt>
                <c:pt idx="485">
                  <c:v>-4240.3484849943961</c:v>
                </c:pt>
                <c:pt idx="486">
                  <c:v>-4272.4960377713669</c:v>
                </c:pt>
                <c:pt idx="487">
                  <c:v>-4207.1640893484155</c:v>
                </c:pt>
                <c:pt idx="488">
                  <c:v>-4188.364171026531</c:v>
                </c:pt>
                <c:pt idx="489">
                  <c:v>-4245.7225185205316</c:v>
                </c:pt>
                <c:pt idx="490">
                  <c:v>-4222.4491372142811</c:v>
                </c:pt>
                <c:pt idx="491">
                  <c:v>-4286.0276992221243</c:v>
                </c:pt>
                <c:pt idx="492">
                  <c:v>-4257.0656667689536</c:v>
                </c:pt>
                <c:pt idx="493">
                  <c:v>-4230.4464610322866</c:v>
                </c:pt>
                <c:pt idx="494">
                  <c:v>-4207.9696715558648</c:v>
                </c:pt>
                <c:pt idx="495">
                  <c:v>-4175.6451534992484</c:v>
                </c:pt>
                <c:pt idx="496">
                  <c:v>-4186.040017507582</c:v>
                </c:pt>
                <c:pt idx="497">
                  <c:v>-4117.0664372998126</c:v>
                </c:pt>
                <c:pt idx="498">
                  <c:v>-4172.334223976176</c:v>
                </c:pt>
                <c:pt idx="499">
                  <c:v>-4092.2545727080274</c:v>
                </c:pt>
                <c:pt idx="500">
                  <c:v>-4100.6068761108845</c:v>
                </c:pt>
                <c:pt idx="501">
                  <c:v>-4073.6627229086894</c:v>
                </c:pt>
                <c:pt idx="502">
                  <c:v>-4043.106403417863</c:v>
                </c:pt>
                <c:pt idx="503">
                  <c:v>-4061.1916938553632</c:v>
                </c:pt>
                <c:pt idx="504">
                  <c:v>-4058.9277819055956</c:v>
                </c:pt>
                <c:pt idx="505">
                  <c:v>-4112.0954770378185</c:v>
                </c:pt>
                <c:pt idx="506">
                  <c:v>-4080.2251002870489</c:v>
                </c:pt>
                <c:pt idx="507">
                  <c:v>-4103.2618766250043</c:v>
                </c:pt>
                <c:pt idx="508">
                  <c:v>-4118.5743563983378</c:v>
                </c:pt>
                <c:pt idx="509">
                  <c:v>-4173.4809742292191</c:v>
                </c:pt>
                <c:pt idx="510">
                  <c:v>-4112.3957158003532</c:v>
                </c:pt>
                <c:pt idx="511">
                  <c:v>-4024.5622762189737</c:v>
                </c:pt>
                <c:pt idx="512">
                  <c:v>-3757.2944218319949</c:v>
                </c:pt>
                <c:pt idx="513">
                  <c:v>-3801.8988101725008</c:v>
                </c:pt>
                <c:pt idx="514">
                  <c:v>-3716.2421433791683</c:v>
                </c:pt>
                <c:pt idx="515">
                  <c:v>-3736.465294927677</c:v>
                </c:pt>
                <c:pt idx="516">
                  <c:v>-3784.8420983896772</c:v>
                </c:pt>
                <c:pt idx="517">
                  <c:v>-3683.9227714584272</c:v>
                </c:pt>
                <c:pt idx="518">
                  <c:v>-3741.289348312936</c:v>
                </c:pt>
                <c:pt idx="519">
                  <c:v>-3715.1579267800785</c:v>
                </c:pt>
                <c:pt idx="520">
                  <c:v>-3748.4271908358564</c:v>
                </c:pt>
                <c:pt idx="521">
                  <c:v>-3717.3450989167582</c:v>
                </c:pt>
                <c:pt idx="522">
                  <c:v>-3724.8470543074832</c:v>
                </c:pt>
                <c:pt idx="523">
                  <c:v>-3758.2629486282149</c:v>
                </c:pt>
                <c:pt idx="524">
                  <c:v>-3749.9030813425406</c:v>
                </c:pt>
                <c:pt idx="525">
                  <c:v>-3693.3873664625407</c:v>
                </c:pt>
                <c:pt idx="526">
                  <c:v>-3673.0225693586585</c:v>
                </c:pt>
                <c:pt idx="527">
                  <c:v>-3593.4493535228094</c:v>
                </c:pt>
                <c:pt idx="528">
                  <c:v>-3456.9490392430821</c:v>
                </c:pt>
                <c:pt idx="529">
                  <c:v>-3568.1376750105924</c:v>
                </c:pt>
                <c:pt idx="530">
                  <c:v>-3578.2610467371373</c:v>
                </c:pt>
                <c:pt idx="531">
                  <c:v>-3615.901435349781</c:v>
                </c:pt>
                <c:pt idx="532">
                  <c:v>-3599.2476849729574</c:v>
                </c:pt>
                <c:pt idx="533">
                  <c:v>-3599.2476849729574</c:v>
                </c:pt>
                <c:pt idx="534">
                  <c:v>-3729.4118948954833</c:v>
                </c:pt>
                <c:pt idx="535">
                  <c:v>-3638.7965496279558</c:v>
                </c:pt>
                <c:pt idx="536">
                  <c:v>-3531.0272114654549</c:v>
                </c:pt>
                <c:pt idx="537">
                  <c:v>-3473.8569984129554</c:v>
                </c:pt>
                <c:pt idx="538">
                  <c:v>-3679.9688793709465</c:v>
                </c:pt>
                <c:pt idx="539">
                  <c:v>-3927.6225540332148</c:v>
                </c:pt>
                <c:pt idx="540">
                  <c:v>-4069.4697224570446</c:v>
                </c:pt>
                <c:pt idx="541">
                  <c:v>-4041.1560342370449</c:v>
                </c:pt>
                <c:pt idx="542">
                  <c:v>-4091.0455080437109</c:v>
                </c:pt>
                <c:pt idx="543">
                  <c:v>-4067.2651384212973</c:v>
                </c:pt>
                <c:pt idx="544">
                  <c:v>-4025.1367824286885</c:v>
                </c:pt>
                <c:pt idx="545">
                  <c:v>-4195.3814194686884</c:v>
                </c:pt>
                <c:pt idx="546">
                  <c:v>-4230.7035349412972</c:v>
                </c:pt>
                <c:pt idx="547">
                  <c:v>-4265.428025158858</c:v>
                </c:pt>
                <c:pt idx="548">
                  <c:v>-4174.8579579743755</c:v>
                </c:pt>
                <c:pt idx="549">
                  <c:v>-4235.9415192976412</c:v>
                </c:pt>
                <c:pt idx="550">
                  <c:v>-4182.0545339701694</c:v>
                </c:pt>
                <c:pt idx="551">
                  <c:v>-4205.7514564346138</c:v>
                </c:pt>
                <c:pt idx="552">
                  <c:v>-4119.1757414952799</c:v>
                </c:pt>
                <c:pt idx="553">
                  <c:v>-4160.4087503375877</c:v>
                </c:pt>
                <c:pt idx="554">
                  <c:v>-4194.7151205188384</c:v>
                </c:pt>
                <c:pt idx="555">
                  <c:v>-4267.0813609139996</c:v>
                </c:pt>
                <c:pt idx="556">
                  <c:v>-4233.2700267876835</c:v>
                </c:pt>
                <c:pt idx="557">
                  <c:v>-4260.5307463167746</c:v>
                </c:pt>
                <c:pt idx="558">
                  <c:v>-4276.8800069947747</c:v>
                </c:pt>
                <c:pt idx="559">
                  <c:v>-4334.1511964282527</c:v>
                </c:pt>
                <c:pt idx="560">
                  <c:v>-4354.9878059259445</c:v>
                </c:pt>
                <c:pt idx="561">
                  <c:v>-4311.7451561954185</c:v>
                </c:pt>
                <c:pt idx="562">
                  <c:v>-4238.523371517641</c:v>
                </c:pt>
                <c:pt idx="563">
                  <c:v>-4238.523371517641</c:v>
                </c:pt>
                <c:pt idx="564">
                  <c:v>-4179.9388328681816</c:v>
                </c:pt>
                <c:pt idx="565">
                  <c:v>-4135.9825676651817</c:v>
                </c:pt>
                <c:pt idx="566">
                  <c:v>-4190.2002409151819</c:v>
                </c:pt>
                <c:pt idx="567">
                  <c:v>-4159.5551893700385</c:v>
                </c:pt>
                <c:pt idx="568">
                  <c:v>-4162.1053399815019</c:v>
                </c:pt>
                <c:pt idx="569">
                  <c:v>-4194.4516458163589</c:v>
                </c:pt>
                <c:pt idx="570">
                  <c:v>-4144.5924215413579</c:v>
                </c:pt>
                <c:pt idx="571">
                  <c:v>-4239.1407103253587</c:v>
                </c:pt>
                <c:pt idx="572">
                  <c:v>-4223.7270294022001</c:v>
                </c:pt>
                <c:pt idx="573">
                  <c:v>-4246.4927306083546</c:v>
                </c:pt>
                <c:pt idx="574">
                  <c:v>-4186.3005862646514</c:v>
                </c:pt>
                <c:pt idx="575">
                  <c:v>-4109.0673597757623</c:v>
                </c:pt>
                <c:pt idx="576">
                  <c:v>-4127.8385464957619</c:v>
                </c:pt>
                <c:pt idx="577">
                  <c:v>-4059.0342001915947</c:v>
                </c:pt>
                <c:pt idx="578">
                  <c:v>-4038.6934519177489</c:v>
                </c:pt>
                <c:pt idx="579">
                  <c:v>-3974.0541268316383</c:v>
                </c:pt>
                <c:pt idx="580">
                  <c:v>-3925.2777070685215</c:v>
                </c:pt>
                <c:pt idx="581">
                  <c:v>-3881.5776318055809</c:v>
                </c:pt>
                <c:pt idx="582">
                  <c:v>-3916.9175492271188</c:v>
                </c:pt>
                <c:pt idx="583">
                  <c:v>-3880.1404807737863</c:v>
                </c:pt>
                <c:pt idx="584">
                  <c:v>-3929.2593539150362</c:v>
                </c:pt>
                <c:pt idx="585">
                  <c:v>-3978.9278730410365</c:v>
                </c:pt>
                <c:pt idx="586">
                  <c:v>-3947.3650875747867</c:v>
                </c:pt>
                <c:pt idx="587">
                  <c:v>-3966.8424167325643</c:v>
                </c:pt>
                <c:pt idx="588">
                  <c:v>-3904.0263160178974</c:v>
                </c:pt>
                <c:pt idx="589">
                  <c:v>-3938.4589680406093</c:v>
                </c:pt>
                <c:pt idx="590">
                  <c:v>-3968.8122485422086</c:v>
                </c:pt>
                <c:pt idx="591">
                  <c:v>-3946.5428187085731</c:v>
                </c:pt>
                <c:pt idx="592">
                  <c:v>-4045.6489284351887</c:v>
                </c:pt>
                <c:pt idx="593">
                  <c:v>-4020.5500380738254</c:v>
                </c:pt>
                <c:pt idx="594">
                  <c:v>-4024.2258847778985</c:v>
                </c:pt>
                <c:pt idx="595">
                  <c:v>-4022.7772376972321</c:v>
                </c:pt>
                <c:pt idx="596">
                  <c:v>-3974.8145393265104</c:v>
                </c:pt>
                <c:pt idx="597">
                  <c:v>-3933.1633008415097</c:v>
                </c:pt>
                <c:pt idx="598">
                  <c:v>-3864.256852912938</c:v>
                </c:pt>
                <c:pt idx="599">
                  <c:v>-3862.0379126517951</c:v>
                </c:pt>
                <c:pt idx="600">
                  <c:v>-3886.4350905227047</c:v>
                </c:pt>
                <c:pt idx="601">
                  <c:v>-3882.6049124150854</c:v>
                </c:pt>
                <c:pt idx="602">
                  <c:v>-3845.4036979183111</c:v>
                </c:pt>
                <c:pt idx="603">
                  <c:v>-3881.5788527468826</c:v>
                </c:pt>
                <c:pt idx="604">
                  <c:v>-3897.8220403125965</c:v>
                </c:pt>
                <c:pt idx="605">
                  <c:v>-3855.7313760368665</c:v>
                </c:pt>
                <c:pt idx="606">
                  <c:v>-3916.5400680858666</c:v>
                </c:pt>
                <c:pt idx="607">
                  <c:v>-3818.8132781476197</c:v>
                </c:pt>
                <c:pt idx="608">
                  <c:v>-3850.909680225745</c:v>
                </c:pt>
                <c:pt idx="609">
                  <c:v>-3904.7412360616272</c:v>
                </c:pt>
                <c:pt idx="610">
                  <c:v>-3930.5079173306749</c:v>
                </c:pt>
                <c:pt idx="611">
                  <c:v>-3878.2140933735318</c:v>
                </c:pt>
                <c:pt idx="612">
                  <c:v>-3819.1346276451009</c:v>
                </c:pt>
                <c:pt idx="613">
                  <c:v>-3859.5849638468862</c:v>
                </c:pt>
                <c:pt idx="614">
                  <c:v>-3863.6469154477099</c:v>
                </c:pt>
                <c:pt idx="615">
                  <c:v>-3902.3888158137097</c:v>
                </c:pt>
                <c:pt idx="616">
                  <c:v>-3923.8685078137096</c:v>
                </c:pt>
                <c:pt idx="617">
                  <c:v>-3946.1318220017097</c:v>
                </c:pt>
                <c:pt idx="618">
                  <c:v>-3927.7134965027617</c:v>
                </c:pt>
                <c:pt idx="619">
                  <c:v>-3980.5240767794289</c:v>
                </c:pt>
                <c:pt idx="620">
                  <c:v>-3983.2008562442675</c:v>
                </c:pt>
                <c:pt idx="621">
                  <c:v>-3948.369513910789</c:v>
                </c:pt>
                <c:pt idx="622">
                  <c:v>-3953.8222866197893</c:v>
                </c:pt>
                <c:pt idx="623">
                  <c:v>-3912.6588481269687</c:v>
                </c:pt>
                <c:pt idx="624">
                  <c:v>-4003.0846648390739</c:v>
                </c:pt>
                <c:pt idx="625">
                  <c:v>-3997.1129241703643</c:v>
                </c:pt>
                <c:pt idx="626">
                  <c:v>-3951.9108365836978</c:v>
                </c:pt>
                <c:pt idx="627">
                  <c:v>-3961.4289650720852</c:v>
                </c:pt>
                <c:pt idx="628">
                  <c:v>-3957.6825202695045</c:v>
                </c:pt>
                <c:pt idx="629">
                  <c:v>-3889.7418896000304</c:v>
                </c:pt>
                <c:pt idx="630">
                  <c:v>-3869.659735402136</c:v>
                </c:pt>
                <c:pt idx="631">
                  <c:v>-3867.4055601570076</c:v>
                </c:pt>
                <c:pt idx="632">
                  <c:v>-3780.7478360760078</c:v>
                </c:pt>
                <c:pt idx="633">
                  <c:v>-3739.9963176833412</c:v>
                </c:pt>
                <c:pt idx="634">
                  <c:v>-3800.3843810910339</c:v>
                </c:pt>
                <c:pt idx="635">
                  <c:v>-3762.7020507442153</c:v>
                </c:pt>
                <c:pt idx="636">
                  <c:v>-3803.6621458982154</c:v>
                </c:pt>
                <c:pt idx="637">
                  <c:v>-3793.5766762942148</c:v>
                </c:pt>
                <c:pt idx="638">
                  <c:v>-3697.0233669982149</c:v>
                </c:pt>
                <c:pt idx="639">
                  <c:v>-3809.8465253168188</c:v>
                </c:pt>
                <c:pt idx="640">
                  <c:v>-3825.5031816188189</c:v>
                </c:pt>
                <c:pt idx="641">
                  <c:v>-3784.5524652713771</c:v>
                </c:pt>
                <c:pt idx="642">
                  <c:v>-3755.4641927476273</c:v>
                </c:pt>
                <c:pt idx="643">
                  <c:v>-3761.5921795420718</c:v>
                </c:pt>
                <c:pt idx="644">
                  <c:v>-3801.7222331320722</c:v>
                </c:pt>
                <c:pt idx="645">
                  <c:v>-3821.6037217312619</c:v>
                </c:pt>
                <c:pt idx="646">
                  <c:v>-3800.5440413205952</c:v>
                </c:pt>
                <c:pt idx="647">
                  <c:v>-3788.041327522948</c:v>
                </c:pt>
                <c:pt idx="648">
                  <c:v>-3733.0922181896149</c:v>
                </c:pt>
                <c:pt idx="649">
                  <c:v>-3719.112974771615</c:v>
                </c:pt>
                <c:pt idx="650">
                  <c:v>-3751.8513087707452</c:v>
                </c:pt>
                <c:pt idx="651">
                  <c:v>-3779.3595914143816</c:v>
                </c:pt>
                <c:pt idx="652">
                  <c:v>-3794.9882783691646</c:v>
                </c:pt>
                <c:pt idx="653">
                  <c:v>-3736.2805795312702</c:v>
                </c:pt>
                <c:pt idx="654">
                  <c:v>-3788.362052124739</c:v>
                </c:pt>
                <c:pt idx="655">
                  <c:v>-3801.0220355858501</c:v>
                </c:pt>
                <c:pt idx="656">
                  <c:v>-3762.9062855958509</c:v>
                </c:pt>
                <c:pt idx="657">
                  <c:v>-3794.543256455851</c:v>
                </c:pt>
                <c:pt idx="658">
                  <c:v>-3750.6431604219874</c:v>
                </c:pt>
                <c:pt idx="659">
                  <c:v>-3759.2526704644874</c:v>
                </c:pt>
                <c:pt idx="660">
                  <c:v>-3790.4076056813296</c:v>
                </c:pt>
                <c:pt idx="661">
                  <c:v>-3735.8853578397907</c:v>
                </c:pt>
                <c:pt idx="662">
                  <c:v>-3766.6705924532976</c:v>
                </c:pt>
                <c:pt idx="663">
                  <c:v>-3760.4228498760249</c:v>
                </c:pt>
                <c:pt idx="664">
                  <c:v>-3738.2895887858358</c:v>
                </c:pt>
                <c:pt idx="665">
                  <c:v>-3680.4690620981009</c:v>
                </c:pt>
                <c:pt idx="666">
                  <c:v>-3637.5438409092121</c:v>
                </c:pt>
                <c:pt idx="667">
                  <c:v>-3636.2148832570579</c:v>
                </c:pt>
                <c:pt idx="668">
                  <c:v>-3689.3347957362889</c:v>
                </c:pt>
                <c:pt idx="669">
                  <c:v>-3741.9855982835766</c:v>
                </c:pt>
                <c:pt idx="670">
                  <c:v>-3703.8460897111131</c:v>
                </c:pt>
                <c:pt idx="671">
                  <c:v>-3633.6629689497136</c:v>
                </c:pt>
                <c:pt idx="672">
                  <c:v>-3556.8553378144966</c:v>
                </c:pt>
                <c:pt idx="673">
                  <c:v>-3629.9606361635288</c:v>
                </c:pt>
                <c:pt idx="674">
                  <c:v>-3616.0855493316139</c:v>
                </c:pt>
                <c:pt idx="675">
                  <c:v>-3526.8711573482806</c:v>
                </c:pt>
                <c:pt idx="676">
                  <c:v>-3587.5295560148475</c:v>
                </c:pt>
                <c:pt idx="677">
                  <c:v>-3552.0716376348473</c:v>
                </c:pt>
                <c:pt idx="678">
                  <c:v>-3506.8974490064352</c:v>
                </c:pt>
                <c:pt idx="679">
                  <c:v>-3478.8918946636932</c:v>
                </c:pt>
                <c:pt idx="680">
                  <c:v>-3513.206122534637</c:v>
                </c:pt>
                <c:pt idx="681">
                  <c:v>-3548.0369531004017</c:v>
                </c:pt>
                <c:pt idx="682">
                  <c:v>-3589.3668764806034</c:v>
                </c:pt>
                <c:pt idx="683">
                  <c:v>-3527.7508719065577</c:v>
                </c:pt>
                <c:pt idx="684">
                  <c:v>-3518.4742147288121</c:v>
                </c:pt>
                <c:pt idx="685">
                  <c:v>-3503.1448454736396</c:v>
                </c:pt>
                <c:pt idx="686">
                  <c:v>-3651.7058917106274</c:v>
                </c:pt>
                <c:pt idx="687">
                  <c:v>-3525.0802490173946</c:v>
                </c:pt>
                <c:pt idx="688">
                  <c:v>-3570.8322273588228</c:v>
                </c:pt>
                <c:pt idx="689">
                  <c:v>-3619.3250910709357</c:v>
                </c:pt>
                <c:pt idx="690">
                  <c:v>-3582.8327720129078</c:v>
                </c:pt>
                <c:pt idx="691">
                  <c:v>-3473.9735462885483</c:v>
                </c:pt>
                <c:pt idx="692">
                  <c:v>-3423.5752906887128</c:v>
                </c:pt>
                <c:pt idx="693">
                  <c:v>-3384.2260042750759</c:v>
                </c:pt>
                <c:pt idx="694">
                  <c:v>-3322.662663500686</c:v>
                </c:pt>
                <c:pt idx="695">
                  <c:v>-3342.2385592658375</c:v>
                </c:pt>
                <c:pt idx="696">
                  <c:v>-3350.787393810353</c:v>
                </c:pt>
                <c:pt idx="697">
                  <c:v>-3390.8837422032107</c:v>
                </c:pt>
                <c:pt idx="698">
                  <c:v>-3365.6095669335741</c:v>
                </c:pt>
                <c:pt idx="699">
                  <c:v>-3330.5706377831298</c:v>
                </c:pt>
                <c:pt idx="700">
                  <c:v>-3348.7367022466892</c:v>
                </c:pt>
                <c:pt idx="701">
                  <c:v>-3373.3302667228681</c:v>
                </c:pt>
                <c:pt idx="702">
                  <c:v>-3332.4558806971631</c:v>
                </c:pt>
                <c:pt idx="703">
                  <c:v>-3298.5583108439027</c:v>
                </c:pt>
                <c:pt idx="704">
                  <c:v>-3281.0433251739028</c:v>
                </c:pt>
                <c:pt idx="705">
                  <c:v>-3316.163280465903</c:v>
                </c:pt>
                <c:pt idx="706">
                  <c:v>-3324.3818515895864</c:v>
                </c:pt>
                <c:pt idx="707">
                  <c:v>-3320.9133287788172</c:v>
                </c:pt>
                <c:pt idx="708">
                  <c:v>-3304.7174280956692</c:v>
                </c:pt>
                <c:pt idx="709">
                  <c:v>-3264.9745974022267</c:v>
                </c:pt>
                <c:pt idx="710">
                  <c:v>-3307.8691012997519</c:v>
                </c:pt>
                <c:pt idx="711">
                  <c:v>-3314.4749889605368</c:v>
                </c:pt>
                <c:pt idx="712">
                  <c:v>-3279.1462246991359</c:v>
                </c:pt>
                <c:pt idx="713">
                  <c:v>-3231.9949003069341</c:v>
                </c:pt>
                <c:pt idx="714">
                  <c:v>-3305.0974081111403</c:v>
                </c:pt>
                <c:pt idx="715">
                  <c:v>-3293.2270634701404</c:v>
                </c:pt>
                <c:pt idx="716">
                  <c:v>-3330.0248523310679</c:v>
                </c:pt>
                <c:pt idx="717">
                  <c:v>-3456.2409527002269</c:v>
                </c:pt>
                <c:pt idx="718">
                  <c:v>-3458.9874909664768</c:v>
                </c:pt>
                <c:pt idx="719">
                  <c:v>-3487.5521999382013</c:v>
                </c:pt>
                <c:pt idx="720">
                  <c:v>-3423.9775357834183</c:v>
                </c:pt>
                <c:pt idx="721">
                  <c:v>-3409.4158619404775</c:v>
                </c:pt>
                <c:pt idx="722">
                  <c:v>-3445.5292273868772</c:v>
                </c:pt>
                <c:pt idx="723">
                  <c:v>-3578.7125443868767</c:v>
                </c:pt>
                <c:pt idx="724">
                  <c:v>-3537.8515820705134</c:v>
                </c:pt>
                <c:pt idx="725">
                  <c:v>-3466.2775027646048</c:v>
                </c:pt>
                <c:pt idx="726">
                  <c:v>-3487.1075789115434</c:v>
                </c:pt>
                <c:pt idx="727">
                  <c:v>-3522.4685977483523</c:v>
                </c:pt>
                <c:pt idx="728">
                  <c:v>-3391.8045435378253</c:v>
                </c:pt>
                <c:pt idx="729">
                  <c:v>-3482.2148656778254</c:v>
                </c:pt>
                <c:pt idx="730">
                  <c:v>-3515.3002736656217</c:v>
                </c:pt>
                <c:pt idx="731">
                  <c:v>-3413.819831876433</c:v>
                </c:pt>
                <c:pt idx="732">
                  <c:v>-3625.769114864434</c:v>
                </c:pt>
                <c:pt idx="733">
                  <c:v>-3638.4512466229244</c:v>
                </c:pt>
                <c:pt idx="734">
                  <c:v>-3668.4993624407812</c:v>
                </c:pt>
                <c:pt idx="735">
                  <c:v>-3787.9346054857824</c:v>
                </c:pt>
                <c:pt idx="736">
                  <c:v>-3673.9051428316552</c:v>
                </c:pt>
                <c:pt idx="737">
                  <c:v>-3849.0097354146851</c:v>
                </c:pt>
                <c:pt idx="738">
                  <c:v>-3817.2676979718271</c:v>
                </c:pt>
                <c:pt idx="739">
                  <c:v>-3687.0289501659936</c:v>
                </c:pt>
                <c:pt idx="740">
                  <c:v>-3509.0089488407689</c:v>
                </c:pt>
                <c:pt idx="741">
                  <c:v>-3667.243959559727</c:v>
                </c:pt>
                <c:pt idx="742">
                  <c:v>-3806.0006511919664</c:v>
                </c:pt>
                <c:pt idx="743">
                  <c:v>-3725.5742233436054</c:v>
                </c:pt>
                <c:pt idx="744">
                  <c:v>-3744.1360393606788</c:v>
                </c:pt>
                <c:pt idx="745">
                  <c:v>-3951.2535962089537</c:v>
                </c:pt>
                <c:pt idx="746">
                  <c:v>-3751.6635083089532</c:v>
                </c:pt>
                <c:pt idx="747">
                  <c:v>-3908.1800453604942</c:v>
                </c:pt>
                <c:pt idx="748">
                  <c:v>-4004.2420515712638</c:v>
                </c:pt>
                <c:pt idx="749">
                  <c:v>-4040.9156336193905</c:v>
                </c:pt>
                <c:pt idx="750">
                  <c:v>-4169.0909005281783</c:v>
                </c:pt>
                <c:pt idx="751">
                  <c:v>-4073.6825779794904</c:v>
                </c:pt>
                <c:pt idx="752">
                  <c:v>-4014.2300801809188</c:v>
                </c:pt>
                <c:pt idx="753">
                  <c:v>-4299.875520633419</c:v>
                </c:pt>
                <c:pt idx="754">
                  <c:v>-4179.1694132425091</c:v>
                </c:pt>
                <c:pt idx="755">
                  <c:v>-4161.8864788067949</c:v>
                </c:pt>
                <c:pt idx="756">
                  <c:v>-4345.3179426295228</c:v>
                </c:pt>
                <c:pt idx="757">
                  <c:v>-3811.5797255540369</c:v>
                </c:pt>
                <c:pt idx="758">
                  <c:v>-3838.4951463140374</c:v>
                </c:pt>
                <c:pt idx="759">
                  <c:v>-3964.5940460422944</c:v>
                </c:pt>
                <c:pt idx="760">
                  <c:v>-3757.4040808118762</c:v>
                </c:pt>
                <c:pt idx="761">
                  <c:v>-4223.9290567827811</c:v>
                </c:pt>
                <c:pt idx="762">
                  <c:v>-3656.2937159140274</c:v>
                </c:pt>
                <c:pt idx="763">
                  <c:v>-4039.3525671303883</c:v>
                </c:pt>
                <c:pt idx="764">
                  <c:v>-3748.490494514233</c:v>
                </c:pt>
                <c:pt idx="765">
                  <c:v>-3597.0225509552001</c:v>
                </c:pt>
                <c:pt idx="766">
                  <c:v>-2920.4567859409131</c:v>
                </c:pt>
                <c:pt idx="767">
                  <c:v>-2826.3359427134847</c:v>
                </c:pt>
                <c:pt idx="768">
                  <c:v>-2883.6350341190846</c:v>
                </c:pt>
                <c:pt idx="769">
                  <c:v>-2745.2406681421289</c:v>
                </c:pt>
                <c:pt idx="770">
                  <c:v>-2722.0835285735561</c:v>
                </c:pt>
                <c:pt idx="771">
                  <c:v>-2555.7458043717379</c:v>
                </c:pt>
                <c:pt idx="772">
                  <c:v>-2681.9506167025852</c:v>
                </c:pt>
                <c:pt idx="773">
                  <c:v>-2635.669249348141</c:v>
                </c:pt>
                <c:pt idx="774">
                  <c:v>-2371.1985546673709</c:v>
                </c:pt>
                <c:pt idx="775">
                  <c:v>-2394.1685232650639</c:v>
                </c:pt>
                <c:pt idx="776">
                  <c:v>-2063.5945263145877</c:v>
                </c:pt>
                <c:pt idx="777">
                  <c:v>-2261.4969887095863</c:v>
                </c:pt>
                <c:pt idx="778">
                  <c:v>-2229.3984734348032</c:v>
                </c:pt>
                <c:pt idx="779">
                  <c:v>-2239.834107543209</c:v>
                </c:pt>
                <c:pt idx="780">
                  <c:v>-2220.8347493882507</c:v>
                </c:pt>
                <c:pt idx="781">
                  <c:v>-2165.7370467683477</c:v>
                </c:pt>
                <c:pt idx="782">
                  <c:v>-2224.1167385985805</c:v>
                </c:pt>
                <c:pt idx="783">
                  <c:v>-2200.4127543645809</c:v>
                </c:pt>
                <c:pt idx="784">
                  <c:v>-2262.4443496163985</c:v>
                </c:pt>
                <c:pt idx="785">
                  <c:v>-2245.5740610763983</c:v>
                </c:pt>
                <c:pt idx="786">
                  <c:v>-2242.9754615199431</c:v>
                </c:pt>
                <c:pt idx="787">
                  <c:v>-2250.875260899943</c:v>
                </c:pt>
                <c:pt idx="788">
                  <c:v>-2236.5426987525962</c:v>
                </c:pt>
                <c:pt idx="789">
                  <c:v>-2241.0319636354902</c:v>
                </c:pt>
                <c:pt idx="790">
                  <c:v>-2222.799351299127</c:v>
                </c:pt>
                <c:pt idx="791">
                  <c:v>-2219.0050543400362</c:v>
                </c:pt>
                <c:pt idx="792">
                  <c:v>-2216.6058788922178</c:v>
                </c:pt>
                <c:pt idx="793">
                  <c:v>-2240.6484555693191</c:v>
                </c:pt>
                <c:pt idx="794">
                  <c:v>-2251.4477218518191</c:v>
                </c:pt>
                <c:pt idx="795">
                  <c:v>-2250.9390850791006</c:v>
                </c:pt>
                <c:pt idx="796">
                  <c:v>-2223.7692248742396</c:v>
                </c:pt>
                <c:pt idx="797">
                  <c:v>-2249.6638414742397</c:v>
                </c:pt>
                <c:pt idx="798">
                  <c:v>-2247.6717049303388</c:v>
                </c:pt>
                <c:pt idx="799">
                  <c:v>-2216.6862246554633</c:v>
                </c:pt>
                <c:pt idx="800">
                  <c:v>-2207.0941532521301</c:v>
                </c:pt>
                <c:pt idx="801">
                  <c:v>-2210.7869576049875</c:v>
                </c:pt>
                <c:pt idx="802">
                  <c:v>-2154.1469481992426</c:v>
                </c:pt>
                <c:pt idx="803">
                  <c:v>-2124.6041946178143</c:v>
                </c:pt>
                <c:pt idx="804">
                  <c:v>-2107.5542533911475</c:v>
                </c:pt>
                <c:pt idx="805">
                  <c:v>-2090.1377457215476</c:v>
                </c:pt>
                <c:pt idx="806">
                  <c:v>-2084.4577358529336</c:v>
                </c:pt>
                <c:pt idx="807">
                  <c:v>-2088.5765979002804</c:v>
                </c:pt>
                <c:pt idx="808">
                  <c:v>-2110.623191393614</c:v>
                </c:pt>
                <c:pt idx="809">
                  <c:v>-2117.5795894874918</c:v>
                </c:pt>
                <c:pt idx="810">
                  <c:v>-2063.5041089697311</c:v>
                </c:pt>
                <c:pt idx="811">
                  <c:v>-2094.4321620997312</c:v>
                </c:pt>
                <c:pt idx="812">
                  <c:v>-2094.4321620997312</c:v>
                </c:pt>
                <c:pt idx="813">
                  <c:v>-2076.9580900330648</c:v>
                </c:pt>
                <c:pt idx="814">
                  <c:v>-2044.8950424534682</c:v>
                </c:pt>
                <c:pt idx="815">
                  <c:v>-2108.7513666702425</c:v>
                </c:pt>
                <c:pt idx="816">
                  <c:v>-2069.0113362140746</c:v>
                </c:pt>
                <c:pt idx="817">
                  <c:v>-2032.2890283177383</c:v>
                </c:pt>
                <c:pt idx="818">
                  <c:v>-1954.783288481824</c:v>
                </c:pt>
                <c:pt idx="819">
                  <c:v>-1890.4642287838753</c:v>
                </c:pt>
                <c:pt idx="820">
                  <c:v>-1875.3252011181048</c:v>
                </c:pt>
                <c:pt idx="821">
                  <c:v>-1904.3476892438189</c:v>
                </c:pt>
                <c:pt idx="822">
                  <c:v>-1933.5771885816209</c:v>
                </c:pt>
                <c:pt idx="823">
                  <c:v>-1864.4889595432646</c:v>
                </c:pt>
                <c:pt idx="824">
                  <c:v>-1921.4052939367164</c:v>
                </c:pt>
                <c:pt idx="825">
                  <c:v>-1881.7098548094436</c:v>
                </c:pt>
                <c:pt idx="826">
                  <c:v>-1954.2823687709822</c:v>
                </c:pt>
                <c:pt idx="827">
                  <c:v>-2018.6990401193152</c:v>
                </c:pt>
                <c:pt idx="828">
                  <c:v>-2002.5648841736395</c:v>
                </c:pt>
                <c:pt idx="829">
                  <c:v>-1972.3457746289337</c:v>
                </c:pt>
                <c:pt idx="830">
                  <c:v>-2018.5147192454342</c:v>
                </c:pt>
                <c:pt idx="831">
                  <c:v>-2054.3971469041007</c:v>
                </c:pt>
                <c:pt idx="832">
                  <c:v>-2009.9878456636757</c:v>
                </c:pt>
                <c:pt idx="833">
                  <c:v>-1972.5306361896869</c:v>
                </c:pt>
                <c:pt idx="834">
                  <c:v>-2008.0060701575765</c:v>
                </c:pt>
                <c:pt idx="835">
                  <c:v>-1993.6237801075763</c:v>
                </c:pt>
                <c:pt idx="836">
                  <c:v>-1963.1747520523129</c:v>
                </c:pt>
                <c:pt idx="837">
                  <c:v>-1990.519598236313</c:v>
                </c:pt>
                <c:pt idx="838">
                  <c:v>-1958.6814323862077</c:v>
                </c:pt>
                <c:pt idx="839">
                  <c:v>-1935.5692545684112</c:v>
                </c:pt>
                <c:pt idx="840">
                  <c:v>-1962.0352529534882</c:v>
                </c:pt>
                <c:pt idx="841">
                  <c:v>-1948.3260478022487</c:v>
                </c:pt>
                <c:pt idx="842">
                  <c:v>-1954.8758369543748</c:v>
                </c:pt>
                <c:pt idx="843">
                  <c:v>-2025.1760532201813</c:v>
                </c:pt>
                <c:pt idx="844">
                  <c:v>-2062.3317399775146</c:v>
                </c:pt>
                <c:pt idx="845">
                  <c:v>-2008.8367956697828</c:v>
                </c:pt>
                <c:pt idx="846">
                  <c:v>-2011.7784605624336</c:v>
                </c:pt>
                <c:pt idx="847">
                  <c:v>-2063.5706230741985</c:v>
                </c:pt>
                <c:pt idx="848">
                  <c:v>-2085.3620437185118</c:v>
                </c:pt>
                <c:pt idx="849">
                  <c:v>-2041.0254678397064</c:v>
                </c:pt>
                <c:pt idx="850">
                  <c:v>-1966.6211420247766</c:v>
                </c:pt>
                <c:pt idx="851">
                  <c:v>-1897.6903476747766</c:v>
                </c:pt>
                <c:pt idx="852">
                  <c:v>-1822.6822658307401</c:v>
                </c:pt>
                <c:pt idx="853">
                  <c:v>-1912.6809688040732</c:v>
                </c:pt>
                <c:pt idx="854">
                  <c:v>-1914.5788080754066</c:v>
                </c:pt>
                <c:pt idx="855">
                  <c:v>-1909.276254514092</c:v>
                </c:pt>
                <c:pt idx="856">
                  <c:v>-1915.1043327526102</c:v>
                </c:pt>
                <c:pt idx="857">
                  <c:v>-1845.3881528471634</c:v>
                </c:pt>
                <c:pt idx="858">
                  <c:v>-1698.5480974832128</c:v>
                </c:pt>
                <c:pt idx="859">
                  <c:v>-1645.8577341032128</c:v>
                </c:pt>
                <c:pt idx="860">
                  <c:v>-1660.4487742219628</c:v>
                </c:pt>
                <c:pt idx="861">
                  <c:v>-1688.9677558850065</c:v>
                </c:pt>
                <c:pt idx="862">
                  <c:v>-1786.2709821601918</c:v>
                </c:pt>
                <c:pt idx="863">
                  <c:v>-1843.5348598199801</c:v>
                </c:pt>
                <c:pt idx="864">
                  <c:v>-1901.3420895755476</c:v>
                </c:pt>
                <c:pt idx="865">
                  <c:v>-1844.5580755395799</c:v>
                </c:pt>
                <c:pt idx="866">
                  <c:v>-1772.5963005749638</c:v>
                </c:pt>
                <c:pt idx="867">
                  <c:v>-1806.8662599622558</c:v>
                </c:pt>
                <c:pt idx="868">
                  <c:v>-1862.5632396297258</c:v>
                </c:pt>
                <c:pt idx="869">
                  <c:v>-1944.2146968227948</c:v>
                </c:pt>
                <c:pt idx="870">
                  <c:v>-1851.357510200487</c:v>
                </c:pt>
                <c:pt idx="871">
                  <c:v>-1789.4706433312274</c:v>
                </c:pt>
                <c:pt idx="872">
                  <c:v>-1780.4037076241743</c:v>
                </c:pt>
                <c:pt idx="873">
                  <c:v>-1749.824911458385</c:v>
                </c:pt>
                <c:pt idx="874">
                  <c:v>-1787.2102720919529</c:v>
                </c:pt>
                <c:pt idx="875">
                  <c:v>-1699.9384017820676</c:v>
                </c:pt>
                <c:pt idx="876">
                  <c:v>-1662.3187281284058</c:v>
                </c:pt>
                <c:pt idx="877">
                  <c:v>-1626.0886144489666</c:v>
                </c:pt>
                <c:pt idx="878">
                  <c:v>-1401.8802941725446</c:v>
                </c:pt>
                <c:pt idx="879">
                  <c:v>-1738.7947942754854</c:v>
                </c:pt>
                <c:pt idx="880">
                  <c:v>-1733.5143225084084</c:v>
                </c:pt>
                <c:pt idx="881">
                  <c:v>-1584.0084539031925</c:v>
                </c:pt>
                <c:pt idx="882">
                  <c:v>-1795.0717594694647</c:v>
                </c:pt>
                <c:pt idx="883">
                  <c:v>-1855.2994144154609</c:v>
                </c:pt>
                <c:pt idx="884">
                  <c:v>-1592.8643397965429</c:v>
                </c:pt>
                <c:pt idx="885">
                  <c:v>-1652.3359480279494</c:v>
                </c:pt>
                <c:pt idx="886">
                  <c:v>-1657.024583308616</c:v>
                </c:pt>
                <c:pt idx="887">
                  <c:v>-1645.2236876109112</c:v>
                </c:pt>
                <c:pt idx="888">
                  <c:v>-1635.0520734813872</c:v>
                </c:pt>
                <c:pt idx="889">
                  <c:v>-1632.6295053364754</c:v>
                </c:pt>
                <c:pt idx="890">
                  <c:v>-1664.3244031097202</c:v>
                </c:pt>
                <c:pt idx="891">
                  <c:v>-1674.2268322487676</c:v>
                </c:pt>
                <c:pt idx="892">
                  <c:v>-1639.9746339952542</c:v>
                </c:pt>
                <c:pt idx="893">
                  <c:v>-1632.9045822833637</c:v>
                </c:pt>
                <c:pt idx="894">
                  <c:v>-1617.3604196196313</c:v>
                </c:pt>
                <c:pt idx="895">
                  <c:v>-1611.0710452219705</c:v>
                </c:pt>
                <c:pt idx="896">
                  <c:v>-1626.046303089887</c:v>
                </c:pt>
                <c:pt idx="897">
                  <c:v>-1623.4294767234207</c:v>
                </c:pt>
                <c:pt idx="898">
                  <c:v>-1475.6351482061871</c:v>
                </c:pt>
                <c:pt idx="899">
                  <c:v>-1354.8221524922562</c:v>
                </c:pt>
                <c:pt idx="900">
                  <c:v>-1420.9083516585176</c:v>
                </c:pt>
                <c:pt idx="901">
                  <c:v>-1349.8747292587541</c:v>
                </c:pt>
                <c:pt idx="902">
                  <c:v>-1372.2044603910765</c:v>
                </c:pt>
                <c:pt idx="903">
                  <c:v>-1224.6340366973316</c:v>
                </c:pt>
                <c:pt idx="904">
                  <c:v>-1234.6415317891549</c:v>
                </c:pt>
                <c:pt idx="905">
                  <c:v>-1087.5282691946352</c:v>
                </c:pt>
                <c:pt idx="906">
                  <c:v>-1117.6397203625759</c:v>
                </c:pt>
                <c:pt idx="907">
                  <c:v>-862.08703814129126</c:v>
                </c:pt>
                <c:pt idx="908">
                  <c:v>-539.84933175899653</c:v>
                </c:pt>
                <c:pt idx="909">
                  <c:v>-467.48965398783577</c:v>
                </c:pt>
                <c:pt idx="910">
                  <c:v>-411.9502148731508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91-4D63-8560-3DE60F0A4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26463"/>
        <c:axId val="39129375"/>
      </c:lineChart>
      <c:dateAx>
        <c:axId val="391264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9375"/>
        <c:crosses val="autoZero"/>
        <c:auto val="1"/>
        <c:lblOffset val="100"/>
        <c:baseTimeUnit val="days"/>
      </c:dateAx>
      <c:valAx>
        <c:axId val="3912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26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CE2333-8C1D-43C9-BEA9-03EE238A0A07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F51EA6-7A48-4F51-AB46-A196069F1C9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2.97E-3</v>
      </c>
      <c r="D2" s="4">
        <f>MIN(D3:D1912)</f>
        <v>3.68E-5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3.0850000000000002E-4</v>
      </c>
      <c r="C5">
        <v>3.1159999999999998E-4</v>
      </c>
      <c r="D5">
        <v>3.0190000000000002E-4</v>
      </c>
      <c r="E5">
        <v>3.0239999999999998E-4</v>
      </c>
      <c r="F5">
        <v>6171192937</v>
      </c>
      <c r="G5">
        <v>3.0239999999999998E-4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-0.89690721649485361</v>
      </c>
      <c r="Q5">
        <f t="shared" ref="Q5" si="1">F5*P5</f>
        <v>-5534987479.5773706</v>
      </c>
      <c r="R5">
        <f t="shared" ref="R5" si="2">R6+Q5</f>
        <v>-2489296451917.9634</v>
      </c>
      <c r="S5">
        <f t="shared" ref="S5" si="3">R5/100000</f>
        <v>-24892964.519179635</v>
      </c>
      <c r="T5">
        <f t="shared" ref="T5" si="4">S5/1000</f>
        <v>-24892.964519179633</v>
      </c>
    </row>
    <row r="6" spans="1:20" x14ac:dyDescent="0.25">
      <c r="A6" s="5">
        <v>44587</v>
      </c>
      <c r="B6">
        <v>2.898E-4</v>
      </c>
      <c r="C6">
        <v>3.4239999999999997E-4</v>
      </c>
      <c r="D6">
        <v>2.8659999999999997E-4</v>
      </c>
      <c r="E6">
        <v>3.0830000000000001E-4</v>
      </c>
      <c r="F6">
        <v>122437815142</v>
      </c>
      <c r="G6">
        <v>3.0830000000000001E-4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-0.22222222222222082</v>
      </c>
      <c r="Q6">
        <f t="shared" ref="Q6" si="6">F6*P6</f>
        <v>-27208403364.888718</v>
      </c>
      <c r="R6">
        <f t="shared" ref="R6" si="7">R7+Q6</f>
        <v>-2483761464438.3862</v>
      </c>
      <c r="S6">
        <f t="shared" ref="S6" si="8">R6/100000</f>
        <v>-24837614.644383863</v>
      </c>
      <c r="T6">
        <f t="shared" ref="T6" si="9">S6/1000</f>
        <v>-24837.614644383862</v>
      </c>
    </row>
    <row r="7" spans="1:20" x14ac:dyDescent="0.25">
      <c r="A7" s="5">
        <v>44586</v>
      </c>
      <c r="B7">
        <v>2.9E-4</v>
      </c>
      <c r="C7">
        <v>2.9389999999999999E-4</v>
      </c>
      <c r="D7">
        <v>2.7750000000000002E-4</v>
      </c>
      <c r="E7">
        <v>2.8959999999999999E-4</v>
      </c>
      <c r="F7">
        <v>93811490001</v>
      </c>
      <c r="G7">
        <v>2.8959999999999999E-4</v>
      </c>
      <c r="L7" t="s">
        <v>7</v>
      </c>
      <c r="M7" t="s">
        <v>7</v>
      </c>
      <c r="N7" t="s">
        <v>7</v>
      </c>
      <c r="P7">
        <f t="shared" ref="P7" si="10">IF(C7=D7,0,((E7-D7)-(C7-E7))/(C7-D7))</f>
        <v>0.47560975609756034</v>
      </c>
      <c r="Q7">
        <f t="shared" ref="Q7" si="11">F7*P7</f>
        <v>44617659878.52433</v>
      </c>
      <c r="R7">
        <f t="shared" ref="R7" si="12">R8+Q7</f>
        <v>-2456553061073.4976</v>
      </c>
      <c r="S7">
        <f t="shared" ref="S7" si="13">R7/100000</f>
        <v>-24565530.610734977</v>
      </c>
      <c r="T7">
        <f t="shared" ref="T7" si="14">S7/1000</f>
        <v>-24565.530610734975</v>
      </c>
    </row>
    <row r="8" spans="1:20" x14ac:dyDescent="0.25">
      <c r="A8" s="5">
        <v>44585</v>
      </c>
      <c r="B8">
        <v>3.0370000000000001E-4</v>
      </c>
      <c r="C8">
        <v>3.0380000000000001E-4</v>
      </c>
      <c r="D8">
        <v>2.6360000000000001E-4</v>
      </c>
      <c r="E8">
        <v>2.901E-4</v>
      </c>
      <c r="F8">
        <v>83814549068</v>
      </c>
      <c r="G8">
        <v>2.901E-4</v>
      </c>
      <c r="L8" t="s">
        <v>8</v>
      </c>
      <c r="M8" t="s">
        <v>7</v>
      </c>
      <c r="N8" t="s">
        <v>7</v>
      </c>
      <c r="P8">
        <f t="shared" ref="P8" si="15">IF(C8=D8,0,((E8-D8)-(C8-E8))/(C8-D8))</f>
        <v>0.31840796019900464</v>
      </c>
      <c r="Q8">
        <f t="shared" ref="Q8" si="16">F8*P8</f>
        <v>26687219603.741264</v>
      </c>
      <c r="R8">
        <f t="shared" ref="R8" si="17">R9+Q8</f>
        <v>-2501170720952.022</v>
      </c>
      <c r="S8">
        <f t="shared" ref="S8" si="18">R8/100000</f>
        <v>-25011707.209520221</v>
      </c>
      <c r="T8">
        <f t="shared" ref="T8" si="19">S8/1000</f>
        <v>-25011.70720952022</v>
      </c>
    </row>
    <row r="9" spans="1:20" x14ac:dyDescent="0.25">
      <c r="A9" s="5">
        <v>44584</v>
      </c>
      <c r="B9">
        <v>3.0289999999999999E-4</v>
      </c>
      <c r="C9">
        <v>3.1520000000000002E-4</v>
      </c>
      <c r="D9">
        <v>2.9139999999999998E-4</v>
      </c>
      <c r="E9">
        <v>3.0370000000000001E-4</v>
      </c>
      <c r="F9">
        <v>79442984756</v>
      </c>
      <c r="G9">
        <v>3.0370000000000001E-4</v>
      </c>
      <c r="L9" t="s">
        <v>7</v>
      </c>
      <c r="M9" t="s">
        <v>7</v>
      </c>
      <c r="N9" t="s">
        <v>7</v>
      </c>
      <c r="P9">
        <f t="shared" ref="P9" si="20">IF(C9=D9,0,((E9-D9)-(C9-E9))/(C9-D9))</f>
        <v>3.3613445378152029E-2</v>
      </c>
      <c r="Q9">
        <f t="shared" ref="Q9" si="21">F9*P9</f>
        <v>2670352428.7731705</v>
      </c>
      <c r="R9">
        <f t="shared" ref="R9" si="22">R10+Q9</f>
        <v>-2527857940555.7632</v>
      </c>
      <c r="S9">
        <f t="shared" ref="S9" si="23">R9/100000</f>
        <v>-25278579.405557632</v>
      </c>
      <c r="T9">
        <f t="shared" ref="T9" si="24">S9/1000</f>
        <v>-25278.579405557633</v>
      </c>
    </row>
    <row r="10" spans="1:20" x14ac:dyDescent="0.25">
      <c r="A10" s="5">
        <v>44583</v>
      </c>
      <c r="B10">
        <v>3.2729999999999999E-4</v>
      </c>
      <c r="C10">
        <v>3.3389999999999998E-4</v>
      </c>
      <c r="D10">
        <v>2.7250000000000001E-4</v>
      </c>
      <c r="E10">
        <v>3.0269999999999999E-4</v>
      </c>
      <c r="F10">
        <v>91046276860</v>
      </c>
      <c r="G10">
        <v>3.0269999999999999E-4</v>
      </c>
      <c r="L10" t="s">
        <v>8</v>
      </c>
      <c r="M10" t="s">
        <v>7</v>
      </c>
      <c r="N10" t="s">
        <v>7</v>
      </c>
      <c r="P10">
        <f t="shared" ref="P10" si="25">IF(C10=D10,0,((E10-D10)-(C10-E10))/(C10-D10))</f>
        <v>-1.6286644951140468E-2</v>
      </c>
      <c r="Q10">
        <f t="shared" ref="Q10" si="26">F10*P10</f>
        <v>-1482838385.3420563</v>
      </c>
      <c r="R10">
        <f t="shared" ref="R10" si="27">R11+Q10</f>
        <v>-2530528292984.5361</v>
      </c>
      <c r="S10">
        <f t="shared" ref="S10" si="28">R10/100000</f>
        <v>-25305282.929845363</v>
      </c>
      <c r="T10">
        <f t="shared" ref="T10" si="29">S10/1000</f>
        <v>-25305.282929845362</v>
      </c>
    </row>
    <row r="11" spans="1:20" x14ac:dyDescent="0.25">
      <c r="A11" s="5">
        <v>44582</v>
      </c>
      <c r="B11">
        <v>3.813E-4</v>
      </c>
      <c r="C11">
        <v>3.8549999999999999E-4</v>
      </c>
      <c r="D11">
        <v>3.211E-4</v>
      </c>
      <c r="E11">
        <v>3.2749999999999999E-4</v>
      </c>
      <c r="F11">
        <v>83553744652</v>
      </c>
      <c r="G11">
        <v>3.2749999999999999E-4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-0.8012422360248449</v>
      </c>
      <c r="Q11">
        <f t="shared" ref="Q11" si="31">F11*P11</f>
        <v>-66946789193.217407</v>
      </c>
      <c r="R11">
        <f t="shared" ref="R11" si="32">R12+Q11</f>
        <v>-2529045454599.1938</v>
      </c>
      <c r="S11">
        <f t="shared" ref="S11" si="33">R11/100000</f>
        <v>-25290454.545991939</v>
      </c>
      <c r="T11">
        <f t="shared" ref="T11" si="34">S11/1000</f>
        <v>-25290.454545991939</v>
      </c>
    </row>
    <row r="12" spans="1:20" x14ac:dyDescent="0.25">
      <c r="A12" s="5">
        <v>44581</v>
      </c>
      <c r="B12">
        <v>3.948E-4</v>
      </c>
      <c r="C12">
        <v>4.103E-4</v>
      </c>
      <c r="D12">
        <v>3.791E-4</v>
      </c>
      <c r="E12">
        <v>3.8089999999999999E-4</v>
      </c>
      <c r="F12">
        <v>51506378570</v>
      </c>
      <c r="G12">
        <v>3.8089999999999999E-4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-0.88461538461538525</v>
      </c>
      <c r="Q12">
        <f t="shared" ref="Q12" si="36">F12*P12</f>
        <v>-45563334888.846184</v>
      </c>
      <c r="R12">
        <f t="shared" ref="R12" si="37">R13+Q12</f>
        <v>-2462098665405.9766</v>
      </c>
      <c r="S12">
        <f t="shared" ref="S12" si="38">R12/100000</f>
        <v>-24620986.654059764</v>
      </c>
      <c r="T12">
        <f t="shared" ref="T12" si="39">S12/1000</f>
        <v>-24620.986654059765</v>
      </c>
    </row>
    <row r="13" spans="1:20" x14ac:dyDescent="0.25">
      <c r="A13" s="5">
        <v>44580</v>
      </c>
      <c r="B13">
        <v>4.0499999999999998E-4</v>
      </c>
      <c r="C13">
        <v>4.0999999999999999E-4</v>
      </c>
      <c r="D13">
        <v>3.8919999999999997E-4</v>
      </c>
      <c r="E13">
        <v>3.948E-4</v>
      </c>
      <c r="F13">
        <v>52916094578</v>
      </c>
      <c r="G13">
        <v>3.948E-4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-0.46153846153845934</v>
      </c>
      <c r="Q13">
        <f t="shared" ref="Q13" si="41">F13*P13</f>
        <v>-24422812882.153728</v>
      </c>
      <c r="R13">
        <f t="shared" ref="R13" si="42">R14+Q13</f>
        <v>-2416535330517.1304</v>
      </c>
      <c r="S13">
        <f t="shared" ref="S13" si="43">R13/100000</f>
        <v>-24165353.305171303</v>
      </c>
      <c r="T13">
        <f t="shared" ref="T13" si="44">S13/1000</f>
        <v>-24165.353305171302</v>
      </c>
    </row>
    <row r="14" spans="1:20" x14ac:dyDescent="0.25">
      <c r="A14" s="5">
        <v>44579</v>
      </c>
      <c r="B14">
        <v>4.0759999999999999E-4</v>
      </c>
      <c r="C14">
        <v>4.4279999999999998E-4</v>
      </c>
      <c r="D14">
        <v>3.9809999999999997E-4</v>
      </c>
      <c r="E14">
        <v>4.0509999999999998E-4</v>
      </c>
      <c r="F14">
        <v>79500742544</v>
      </c>
      <c r="G14">
        <v>4.0509999999999998E-4</v>
      </c>
      <c r="L14" t="s">
        <v>8</v>
      </c>
      <c r="M14" t="s">
        <v>8</v>
      </c>
      <c r="N14" t="s">
        <v>7</v>
      </c>
      <c r="P14">
        <f t="shared" ref="P14" si="45">IF(C14=D14,0,((E14-D14)-(C14-E14))/(C14-D14))</f>
        <v>-0.68680089485458584</v>
      </c>
      <c r="Q14">
        <f t="shared" ref="Q14" si="46">F14*P14</f>
        <v>-54601181120.823242</v>
      </c>
      <c r="R14">
        <f t="shared" ref="R14" si="47">R15+Q14</f>
        <v>-2392112517634.9766</v>
      </c>
      <c r="S14">
        <f t="shared" ref="S14" si="48">R14/100000</f>
        <v>-23921125.176349767</v>
      </c>
      <c r="T14">
        <f t="shared" ref="T14" si="49">S14/1000</f>
        <v>-23921.125176349768</v>
      </c>
    </row>
    <row r="15" spans="1:20" x14ac:dyDescent="0.25">
      <c r="A15" s="5">
        <v>44578</v>
      </c>
      <c r="B15">
        <v>4.172E-4</v>
      </c>
      <c r="C15">
        <v>4.1980000000000001E-4</v>
      </c>
      <c r="D15">
        <v>3.9570000000000002E-4</v>
      </c>
      <c r="E15">
        <v>4.0759999999999999E-4</v>
      </c>
      <c r="F15">
        <v>64246088021</v>
      </c>
      <c r="G15">
        <v>4.0759999999999999E-4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-1.2448132780085545E-2</v>
      </c>
      <c r="Q15">
        <f t="shared" ref="Q15" si="51">F15*P15</f>
        <v>-799743834.28647137</v>
      </c>
      <c r="R15">
        <f t="shared" ref="R15" si="52">R16+Q15</f>
        <v>-2337511336514.1533</v>
      </c>
      <c r="S15">
        <f t="shared" ref="S15" si="53">R15/100000</f>
        <v>-23375113.365141533</v>
      </c>
      <c r="T15">
        <f t="shared" ref="T15" si="54">S15/1000</f>
        <v>-23375.113365141533</v>
      </c>
    </row>
    <row r="16" spans="1:20" x14ac:dyDescent="0.25">
      <c r="A16" s="5">
        <v>44577</v>
      </c>
      <c r="B16">
        <v>4.2349999999999999E-4</v>
      </c>
      <c r="C16">
        <v>4.7409999999999998E-4</v>
      </c>
      <c r="D16">
        <v>4.1399999999999998E-4</v>
      </c>
      <c r="E16">
        <v>4.172E-4</v>
      </c>
      <c r="F16">
        <v>143689190213</v>
      </c>
      <c r="G16">
        <v>4.172E-4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-0.89351081530781951</v>
      </c>
      <c r="Q16">
        <f t="shared" ref="Q16" si="56">F16*P16</f>
        <v>-128387845498.13799</v>
      </c>
      <c r="R16">
        <f t="shared" ref="R16" si="57">R17+Q16</f>
        <v>-2336711592679.8667</v>
      </c>
      <c r="S16">
        <f t="shared" ref="S16" si="58">R16/100000</f>
        <v>-23367115.926798668</v>
      </c>
      <c r="T16">
        <f t="shared" ref="T16" si="59">S16/1000</f>
        <v>-23367.11592679867</v>
      </c>
    </row>
    <row r="17" spans="1:20" x14ac:dyDescent="0.25">
      <c r="A17" s="5">
        <v>44576</v>
      </c>
      <c r="B17">
        <v>3.8870000000000002E-4</v>
      </c>
      <c r="C17">
        <v>4.3320000000000001E-4</v>
      </c>
      <c r="D17">
        <v>3.8240000000000003E-4</v>
      </c>
      <c r="E17">
        <v>4.2329999999999999E-4</v>
      </c>
      <c r="F17">
        <v>84880276621</v>
      </c>
      <c r="G17">
        <v>4.2329999999999999E-4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0.61023622047243986</v>
      </c>
      <c r="Q17">
        <f t="shared" ref="Q17" si="61">F17*P17</f>
        <v>51797019197.85424</v>
      </c>
      <c r="R17">
        <f t="shared" ref="R17" si="62">R18+Q17</f>
        <v>-2208323747181.7285</v>
      </c>
      <c r="S17">
        <f t="shared" ref="S17" si="63">R17/100000</f>
        <v>-22083237.471817285</v>
      </c>
      <c r="T17">
        <f t="shared" ref="T17" si="64">S17/1000</f>
        <v>-22083.237471817283</v>
      </c>
    </row>
    <row r="18" spans="1:20" x14ac:dyDescent="0.25">
      <c r="A18" s="5">
        <v>44575</v>
      </c>
      <c r="B18">
        <v>3.8640000000000001E-4</v>
      </c>
      <c r="C18">
        <v>3.9589999999999997E-4</v>
      </c>
      <c r="D18">
        <v>3.7819999999999998E-4</v>
      </c>
      <c r="E18">
        <v>3.8890000000000002E-4</v>
      </c>
      <c r="F18">
        <v>75987388501</v>
      </c>
      <c r="G18">
        <v>3.8890000000000002E-4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0.20903954802260399</v>
      </c>
      <c r="Q18">
        <f t="shared" ref="Q18" si="66">F18*P18</f>
        <v>15884369347.667055</v>
      </c>
      <c r="R18">
        <f t="shared" ref="R18" si="67">R19+Q18</f>
        <v>-2260120766379.5825</v>
      </c>
      <c r="S18">
        <f t="shared" ref="S18" si="68">R18/100000</f>
        <v>-22601207.663795825</v>
      </c>
      <c r="T18">
        <f t="shared" ref="T18" si="69">S18/1000</f>
        <v>-22601.207663795823</v>
      </c>
    </row>
    <row r="19" spans="1:20" x14ac:dyDescent="0.25">
      <c r="A19" s="5">
        <v>44574</v>
      </c>
      <c r="B19">
        <v>4.0690000000000002E-4</v>
      </c>
      <c r="C19">
        <v>4.0999999999999999E-4</v>
      </c>
      <c r="D19">
        <v>3.836E-4</v>
      </c>
      <c r="E19">
        <v>3.8620000000000001E-4</v>
      </c>
      <c r="F19">
        <v>83012130483</v>
      </c>
      <c r="G19">
        <v>3.8620000000000001E-4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-0.80303030303030232</v>
      </c>
      <c r="Q19">
        <f t="shared" ref="Q19" si="71">F19*P19</f>
        <v>-66661256296.954483</v>
      </c>
      <c r="R19">
        <f t="shared" ref="R19" si="72">R20+Q19</f>
        <v>-2276005135727.2495</v>
      </c>
      <c r="S19">
        <f t="shared" ref="S19" si="73">R19/100000</f>
        <v>-22760051.357272495</v>
      </c>
      <c r="T19">
        <f t="shared" ref="T19" si="74">S19/1000</f>
        <v>-22760.051357272496</v>
      </c>
    </row>
    <row r="20" spans="1:20" x14ac:dyDescent="0.25">
      <c r="A20" s="5">
        <v>44573</v>
      </c>
      <c r="B20">
        <v>3.7829999999999998E-4</v>
      </c>
      <c r="C20">
        <v>4.0999999999999999E-4</v>
      </c>
      <c r="D20">
        <v>3.77E-4</v>
      </c>
      <c r="E20">
        <v>4.0670000000000002E-4</v>
      </c>
      <c r="F20">
        <v>84826838012</v>
      </c>
      <c r="G20">
        <v>4.0670000000000002E-4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0.8000000000000016</v>
      </c>
      <c r="Q20">
        <f t="shared" ref="Q20" si="76">F20*P20</f>
        <v>67861470409.600136</v>
      </c>
      <c r="R20">
        <f t="shared" ref="R20" si="77">R21+Q20</f>
        <v>-2209343879430.2949</v>
      </c>
      <c r="S20">
        <f t="shared" ref="S20" si="78">R20/100000</f>
        <v>-22093438.794302948</v>
      </c>
      <c r="T20">
        <f t="shared" ref="T20" si="79">S20/1000</f>
        <v>-22093.438794302947</v>
      </c>
    </row>
    <row r="21" spans="1:20" x14ac:dyDescent="0.25">
      <c r="A21" s="5">
        <v>44572</v>
      </c>
      <c r="B21">
        <v>3.6099999999999999E-4</v>
      </c>
      <c r="C21">
        <v>3.7960000000000001E-4</v>
      </c>
      <c r="D21">
        <v>3.5780000000000002E-4</v>
      </c>
      <c r="E21">
        <v>3.7819999999999998E-4</v>
      </c>
      <c r="F21">
        <v>89220177725</v>
      </c>
      <c r="G21">
        <v>3.7819999999999998E-4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0.87155963302751971</v>
      </c>
      <c r="Q21">
        <f t="shared" ref="Q21" si="81">F21*P21</f>
        <v>77760705356.651093</v>
      </c>
      <c r="R21">
        <f t="shared" ref="R21" si="82">R22+Q21</f>
        <v>-2277205349839.895</v>
      </c>
      <c r="S21">
        <f t="shared" ref="S21" si="83">R21/100000</f>
        <v>-22772053.498398948</v>
      </c>
      <c r="T21">
        <f t="shared" ref="T21" si="84">S21/1000</f>
        <v>-22772.053498398949</v>
      </c>
    </row>
    <row r="22" spans="1:20" x14ac:dyDescent="0.25">
      <c r="A22" s="5">
        <v>44571</v>
      </c>
      <c r="B22">
        <v>3.793E-4</v>
      </c>
      <c r="C22">
        <v>3.8670000000000002E-4</v>
      </c>
      <c r="D22">
        <v>3.5040000000000001E-4</v>
      </c>
      <c r="E22">
        <v>3.6089999999999999E-4</v>
      </c>
      <c r="F22">
        <v>85305624571</v>
      </c>
      <c r="G22">
        <v>3.6089999999999999E-4</v>
      </c>
      <c r="L22" t="s">
        <v>8</v>
      </c>
      <c r="M22" t="s">
        <v>7</v>
      </c>
      <c r="N22" t="s">
        <v>7</v>
      </c>
      <c r="P22">
        <f t="shared" ref="P22" si="85">IF(C22=D22,0,((E22-D22)-(C22-E22))/(C22-D22))</f>
        <v>-0.42148760330578622</v>
      </c>
      <c r="Q22">
        <f t="shared" ref="Q22" si="86">F22*P22</f>
        <v>-35955263248.933975</v>
      </c>
      <c r="R22">
        <f t="shared" ref="R22" si="87">R23+Q22</f>
        <v>-2354966055196.5459</v>
      </c>
      <c r="S22">
        <f t="shared" ref="S22" si="88">R22/100000</f>
        <v>-23549660.55196546</v>
      </c>
      <c r="T22">
        <f t="shared" ref="T22" si="89">S22/1000</f>
        <v>-23549.660551965459</v>
      </c>
    </row>
    <row r="23" spans="1:20" x14ac:dyDescent="0.25">
      <c r="A23" s="5">
        <v>44570</v>
      </c>
      <c r="B23">
        <v>3.7589999999999998E-4</v>
      </c>
      <c r="C23">
        <v>3.8739999999999998E-4</v>
      </c>
      <c r="D23">
        <v>3.6759999999999999E-4</v>
      </c>
      <c r="E23">
        <v>3.793E-4</v>
      </c>
      <c r="F23">
        <v>95664143571</v>
      </c>
      <c r="G23">
        <v>3.793E-4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0.18181818181818357</v>
      </c>
      <c r="Q23">
        <f t="shared" ref="Q23" si="91">F23*P23</f>
        <v>17393480649.272896</v>
      </c>
      <c r="R23">
        <f t="shared" ref="R23" si="92">R24+Q23</f>
        <v>-2319010791947.6118</v>
      </c>
      <c r="S23">
        <f t="shared" ref="S23" si="93">R23/100000</f>
        <v>-23190107.919476118</v>
      </c>
      <c r="T23">
        <f t="shared" ref="T23" si="94">S23/1000</f>
        <v>-23190.107919476119</v>
      </c>
    </row>
    <row r="24" spans="1:20" x14ac:dyDescent="0.25">
      <c r="A24" s="5">
        <v>44569</v>
      </c>
      <c r="B24">
        <v>3.9229999999999999E-4</v>
      </c>
      <c r="C24">
        <v>4.0099999999999999E-4</v>
      </c>
      <c r="D24">
        <v>3.6220000000000002E-4</v>
      </c>
      <c r="E24">
        <v>3.7589999999999998E-4</v>
      </c>
      <c r="F24">
        <v>107183619621</v>
      </c>
      <c r="G24">
        <v>3.7589999999999998E-4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-0.29381443298969251</v>
      </c>
      <c r="Q24">
        <f t="shared" ref="Q24" si="96">F24*P24</f>
        <v>-31492094424.726997</v>
      </c>
      <c r="R24">
        <f t="shared" ref="R24" si="97">R25+Q24</f>
        <v>-2336404272596.8848</v>
      </c>
      <c r="S24">
        <f t="shared" ref="S24" si="98">R24/100000</f>
        <v>-23364042.725968849</v>
      </c>
      <c r="T24">
        <f t="shared" ref="T24" si="99">S24/1000</f>
        <v>-23364.042725968848</v>
      </c>
    </row>
    <row r="25" spans="1:20" x14ac:dyDescent="0.25">
      <c r="A25" s="5">
        <v>44568</v>
      </c>
      <c r="B25">
        <v>4.1379999999999998E-4</v>
      </c>
      <c r="C25">
        <v>4.149E-4</v>
      </c>
      <c r="D25">
        <v>3.8519999999999998E-4</v>
      </c>
      <c r="E25">
        <v>3.9229999999999999E-4</v>
      </c>
      <c r="F25">
        <v>109382049737</v>
      </c>
      <c r="G25">
        <v>3.9229999999999999E-4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-0.52188552188552151</v>
      </c>
      <c r="Q25">
        <f t="shared" ref="Q25" si="101">F25*P25</f>
        <v>-57084908111.902313</v>
      </c>
      <c r="R25">
        <f t="shared" ref="R25" si="102">R26+Q25</f>
        <v>-2304912178172.1577</v>
      </c>
      <c r="S25">
        <f t="shared" ref="S25" si="103">R25/100000</f>
        <v>-23049121.781721577</v>
      </c>
      <c r="T25">
        <f t="shared" ref="T25" si="104">S25/1000</f>
        <v>-23049.121781721577</v>
      </c>
    </row>
    <row r="26" spans="1:20" x14ac:dyDescent="0.25">
      <c r="A26" s="5">
        <v>44567</v>
      </c>
      <c r="B26">
        <v>4.148E-4</v>
      </c>
      <c r="C26">
        <v>4.2870000000000001E-4</v>
      </c>
      <c r="D26">
        <v>4.0269999999999998E-4</v>
      </c>
      <c r="E26">
        <v>4.1389999999999998E-4</v>
      </c>
      <c r="F26">
        <v>100097681796</v>
      </c>
      <c r="G26">
        <v>4.1389999999999998E-4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-0.13846153846153955</v>
      </c>
      <c r="Q26">
        <f t="shared" ref="Q26" si="106">F26*P26</f>
        <v>-13859679017.907801</v>
      </c>
      <c r="R26">
        <f t="shared" ref="R26" si="107">R27+Q26</f>
        <v>-2247827270060.2554</v>
      </c>
      <c r="S26">
        <f t="shared" ref="S26" si="108">R26/100000</f>
        <v>-22478272.700602554</v>
      </c>
      <c r="T26">
        <f t="shared" ref="T26" si="109">S26/1000</f>
        <v>-22478.272700602553</v>
      </c>
    </row>
    <row r="27" spans="1:20" x14ac:dyDescent="0.25">
      <c r="A27" s="5">
        <v>44566</v>
      </c>
      <c r="B27">
        <v>4.4210000000000001E-4</v>
      </c>
      <c r="C27">
        <v>4.6779999999999999E-4</v>
      </c>
      <c r="D27">
        <v>4.0200000000000001E-4</v>
      </c>
      <c r="E27">
        <v>4.147E-4</v>
      </c>
      <c r="F27">
        <v>80480820894</v>
      </c>
      <c r="G27">
        <v>4.147E-4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-0.61398176291793349</v>
      </c>
      <c r="Q27">
        <f t="shared" ref="Q27" si="111">F27*P27</f>
        <v>-49413756293.580574</v>
      </c>
      <c r="R27">
        <f t="shared" ref="R27" si="112">R28+Q27</f>
        <v>-2233967591042.3477</v>
      </c>
      <c r="S27">
        <f t="shared" ref="S27" si="113">R27/100000</f>
        <v>-22339675.910423476</v>
      </c>
      <c r="T27">
        <f t="shared" ref="T27" si="114">S27/1000</f>
        <v>-22339.675910423477</v>
      </c>
    </row>
    <row r="28" spans="1:20" x14ac:dyDescent="0.25">
      <c r="A28" s="5">
        <v>44565</v>
      </c>
      <c r="B28">
        <v>4.5019999999999999E-4</v>
      </c>
      <c r="C28">
        <v>4.5659999999999999E-4</v>
      </c>
      <c r="D28">
        <v>4.4109999999999999E-4</v>
      </c>
      <c r="E28">
        <v>4.4190000000000001E-4</v>
      </c>
      <c r="F28">
        <v>56808248609</v>
      </c>
      <c r="G28">
        <v>4.4190000000000001E-4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-0.89677419354838461</v>
      </c>
      <c r="Q28">
        <f t="shared" ref="Q28" si="116">F28*P28</f>
        <v>-50944171333.232117</v>
      </c>
      <c r="R28">
        <f t="shared" ref="R28" si="117">R29+Q28</f>
        <v>-2184553834748.7668</v>
      </c>
      <c r="S28">
        <f t="shared" ref="S28" si="118">R28/100000</f>
        <v>-21845538.347487669</v>
      </c>
      <c r="T28">
        <f t="shared" ref="T28" si="119">S28/1000</f>
        <v>-21845.538347487669</v>
      </c>
    </row>
    <row r="29" spans="1:20" x14ac:dyDescent="0.25">
      <c r="A29" s="5">
        <v>44564</v>
      </c>
      <c r="B29">
        <v>4.596E-4</v>
      </c>
      <c r="C29">
        <v>4.6539999999999998E-4</v>
      </c>
      <c r="D29">
        <v>4.4420000000000001E-4</v>
      </c>
      <c r="E29">
        <v>4.5009999999999999E-4</v>
      </c>
      <c r="F29">
        <v>61390678237</v>
      </c>
      <c r="G29">
        <v>4.5009999999999999E-4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-0.44339622641509546</v>
      </c>
      <c r="Q29">
        <f t="shared" ref="Q29" si="121">F29*P29</f>
        <v>-27220395067.349125</v>
      </c>
      <c r="R29">
        <f t="shared" ref="R29" si="122">R30+Q29</f>
        <v>-2133609663415.5347</v>
      </c>
      <c r="S29">
        <f t="shared" ref="S29" si="123">R29/100000</f>
        <v>-21336096.634155348</v>
      </c>
      <c r="T29">
        <f t="shared" ref="T29" si="124">S29/1000</f>
        <v>-21336.096634155347</v>
      </c>
    </row>
    <row r="30" spans="1:20" x14ac:dyDescent="0.25">
      <c r="A30" s="5">
        <v>44563</v>
      </c>
      <c r="B30">
        <v>4.6470000000000002E-4</v>
      </c>
      <c r="C30">
        <v>4.6690000000000002E-4</v>
      </c>
      <c r="D30">
        <v>4.55E-4</v>
      </c>
      <c r="E30">
        <v>4.5980000000000001E-4</v>
      </c>
      <c r="F30">
        <v>56068789801</v>
      </c>
      <c r="G30">
        <v>4.5980000000000001E-4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-0.19327731092436959</v>
      </c>
      <c r="Q30">
        <f t="shared" ref="Q30" si="126">F30*P30</f>
        <v>-10836824919.521</v>
      </c>
      <c r="R30">
        <f t="shared" ref="R30" si="127">R31+Q30</f>
        <v>-2106389268348.1855</v>
      </c>
      <c r="S30">
        <f t="shared" ref="S30" si="128">R30/100000</f>
        <v>-21063892.683481857</v>
      </c>
      <c r="T30">
        <f t="shared" ref="T30" si="129">S30/1000</f>
        <v>-21063.892683481856</v>
      </c>
    </row>
    <row r="31" spans="1:20" x14ac:dyDescent="0.25">
      <c r="A31" s="5">
        <v>44562</v>
      </c>
      <c r="B31">
        <v>4.5380000000000003E-4</v>
      </c>
      <c r="C31">
        <v>4.6589999999999999E-4</v>
      </c>
      <c r="D31">
        <v>4.5110000000000001E-4</v>
      </c>
      <c r="E31">
        <v>4.6460000000000002E-4</v>
      </c>
      <c r="F31">
        <v>72549088214</v>
      </c>
      <c r="G31">
        <v>4.6460000000000002E-4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0.82432432432432712</v>
      </c>
      <c r="Q31">
        <f t="shared" ref="Q31" si="131">F31*P31</f>
        <v>59803978122.351555</v>
      </c>
      <c r="R31">
        <f t="shared" ref="R31" si="132">R32+Q31</f>
        <v>-2095552443428.6646</v>
      </c>
      <c r="S31">
        <f t="shared" ref="S31" si="133">R31/100000</f>
        <v>-20955524.434286647</v>
      </c>
      <c r="T31">
        <f t="shared" ref="T31" si="134">S31/1000</f>
        <v>-20955.524434286646</v>
      </c>
    </row>
    <row r="32" spans="1:20" x14ac:dyDescent="0.25">
      <c r="A32" s="5">
        <v>44561</v>
      </c>
      <c r="B32">
        <v>4.73E-4</v>
      </c>
      <c r="C32">
        <v>4.7590000000000002E-4</v>
      </c>
      <c r="D32">
        <v>4.4539999999999998E-4</v>
      </c>
      <c r="E32">
        <v>4.5389999999999997E-4</v>
      </c>
      <c r="F32">
        <v>85340736812</v>
      </c>
      <c r="G32">
        <v>4.5389999999999997E-4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-0.44262295081967346</v>
      </c>
      <c r="Q32">
        <f t="shared" ref="Q32" si="136">F32*P32</f>
        <v>-37773768752.85257</v>
      </c>
      <c r="R32">
        <f t="shared" ref="R32" si="137">R33+Q32</f>
        <v>-2155356421551.0161</v>
      </c>
      <c r="S32">
        <f t="shared" ref="S32" si="138">R32/100000</f>
        <v>-21553564.21551016</v>
      </c>
      <c r="T32">
        <f t="shared" ref="T32" si="139">S32/1000</f>
        <v>-21553.56421551016</v>
      </c>
    </row>
    <row r="33" spans="1:20" x14ac:dyDescent="0.25">
      <c r="A33" s="5">
        <v>44560</v>
      </c>
      <c r="B33">
        <v>4.6119999999999999E-4</v>
      </c>
      <c r="C33">
        <v>4.7839999999999997E-4</v>
      </c>
      <c r="D33">
        <v>4.5449999999999999E-4</v>
      </c>
      <c r="E33">
        <v>4.7310000000000001E-4</v>
      </c>
      <c r="F33">
        <v>61112754103</v>
      </c>
      <c r="G33">
        <v>4.7310000000000001E-4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0.55648535564853807</v>
      </c>
      <c r="Q33">
        <f t="shared" ref="Q33" si="141">F33*P33</f>
        <v>34008352701.669609</v>
      </c>
      <c r="R33">
        <f t="shared" ref="R33" si="142">R34+Q33</f>
        <v>-2117582652798.1636</v>
      </c>
      <c r="S33">
        <f t="shared" ref="S33" si="143">R33/100000</f>
        <v>-21175826.527981635</v>
      </c>
      <c r="T33">
        <f t="shared" ref="T33" si="144">S33/1000</f>
        <v>-21175.826527981637</v>
      </c>
    </row>
    <row r="34" spans="1:20" x14ac:dyDescent="0.25">
      <c r="A34" s="5">
        <v>44559</v>
      </c>
      <c r="B34">
        <v>4.66E-4</v>
      </c>
      <c r="C34">
        <v>4.9319999999999995E-4</v>
      </c>
      <c r="D34">
        <v>4.5360000000000002E-4</v>
      </c>
      <c r="E34">
        <v>4.6109999999999999E-4</v>
      </c>
      <c r="F34">
        <v>30685444670</v>
      </c>
      <c r="G34">
        <v>4.6109999999999999E-4</v>
      </c>
      <c r="L34" t="s">
        <v>8</v>
      </c>
      <c r="M34" t="s">
        <v>7</v>
      </c>
      <c r="N34" t="s">
        <v>7</v>
      </c>
      <c r="P34">
        <f t="shared" ref="P34" si="145">IF(C34=D34,0,((E34-D34)-(C34-E34))/(C34-D34))</f>
        <v>-0.62121212121212233</v>
      </c>
      <c r="Q34">
        <f t="shared" ref="Q34" si="146">F34*P34</f>
        <v>-19062170173.787914</v>
      </c>
      <c r="R34">
        <f t="shared" ref="R34" si="147">R35+Q34</f>
        <v>-2151591005499.8333</v>
      </c>
      <c r="S34">
        <f t="shared" ref="S34" si="148">R34/100000</f>
        <v>-21515910.054998331</v>
      </c>
      <c r="T34">
        <f t="shared" ref="T34" si="149">S34/1000</f>
        <v>-21515.91005499833</v>
      </c>
    </row>
    <row r="35" spans="1:20" x14ac:dyDescent="0.25">
      <c r="A35" s="5">
        <v>44558</v>
      </c>
      <c r="B35">
        <v>5.107E-4</v>
      </c>
      <c r="C35">
        <v>5.1139999999999996E-4</v>
      </c>
      <c r="D35">
        <v>4.64E-4</v>
      </c>
      <c r="E35">
        <v>4.66E-4</v>
      </c>
      <c r="F35">
        <v>81279214711</v>
      </c>
      <c r="G35">
        <v>4.66E-4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-0.9156118143459917</v>
      </c>
      <c r="Q35">
        <f t="shared" ref="Q35" si="151">F35*P35</f>
        <v>-74420209250.156128</v>
      </c>
      <c r="R35">
        <f t="shared" ref="R35" si="152">R36+Q35</f>
        <v>-2132528835326.0454</v>
      </c>
      <c r="S35">
        <f t="shared" ref="S35" si="153">R35/100000</f>
        <v>-21325288.353260454</v>
      </c>
      <c r="T35">
        <f t="shared" ref="T35" si="154">S35/1000</f>
        <v>-21325.288353260454</v>
      </c>
    </row>
    <row r="36" spans="1:20" x14ac:dyDescent="0.25">
      <c r="A36" s="5">
        <v>44557</v>
      </c>
      <c r="B36">
        <v>5.0770000000000003E-4</v>
      </c>
      <c r="C36">
        <v>5.3600000000000002E-4</v>
      </c>
      <c r="D36">
        <v>5.0310000000000003E-4</v>
      </c>
      <c r="E36">
        <v>5.1029999999999999E-4</v>
      </c>
      <c r="F36">
        <v>68252612912</v>
      </c>
      <c r="G36">
        <v>5.1029999999999999E-4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-0.56231003039513916</v>
      </c>
      <c r="Q36">
        <f t="shared" ref="Q36" si="156">F36*P36</f>
        <v>-38379128841.094391</v>
      </c>
      <c r="R36">
        <f t="shared" ref="R36" si="157">R37+Q36</f>
        <v>-2058108626075.8894</v>
      </c>
      <c r="S36">
        <f t="shared" ref="S36" si="158">R36/100000</f>
        <v>-20581086.260758895</v>
      </c>
      <c r="T36">
        <f t="shared" ref="T36" si="159">S36/1000</f>
        <v>-20581.086260758897</v>
      </c>
    </row>
    <row r="37" spans="1:20" x14ac:dyDescent="0.25">
      <c r="A37" s="5">
        <v>44556</v>
      </c>
      <c r="B37">
        <v>5.1809999999999996E-4</v>
      </c>
      <c r="C37">
        <v>5.1809999999999996E-4</v>
      </c>
      <c r="D37">
        <v>4.9839999999999997E-4</v>
      </c>
      <c r="E37">
        <v>5.0770000000000003E-4</v>
      </c>
      <c r="F37">
        <v>53067711788</v>
      </c>
      <c r="G37">
        <v>5.0770000000000003E-4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-5.5837563451769774E-2</v>
      </c>
      <c r="Q37">
        <f t="shared" ref="Q37" si="161">F37*P37</f>
        <v>-2963171724.2026806</v>
      </c>
      <c r="R37">
        <f t="shared" ref="R37" si="162">R38+Q37</f>
        <v>-2019729497234.7949</v>
      </c>
      <c r="S37">
        <f t="shared" ref="S37" si="163">R37/100000</f>
        <v>-20197294.972347949</v>
      </c>
      <c r="T37">
        <f t="shared" ref="T37" si="164">S37/1000</f>
        <v>-20197.294972347947</v>
      </c>
    </row>
    <row r="38" spans="1:20" x14ac:dyDescent="0.25">
      <c r="A38" s="5">
        <v>44555</v>
      </c>
      <c r="B38">
        <v>5.0120000000000004E-4</v>
      </c>
      <c r="C38">
        <v>5.2579999999999999E-4</v>
      </c>
      <c r="D38">
        <v>4.9759999999999995E-4</v>
      </c>
      <c r="E38">
        <v>5.1769999999999995E-4</v>
      </c>
      <c r="F38">
        <v>67578868883</v>
      </c>
      <c r="G38">
        <v>5.1769999999999995E-4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0.4255319148936153</v>
      </c>
      <c r="Q38">
        <f t="shared" ref="Q38" si="166">F38*P38</f>
        <v>28756965482.127544</v>
      </c>
      <c r="R38">
        <f t="shared" ref="R38" si="167">R39+Q38</f>
        <v>-2016766325510.5923</v>
      </c>
      <c r="S38">
        <f t="shared" ref="S38" si="168">R38/100000</f>
        <v>-20167663.255105924</v>
      </c>
      <c r="T38">
        <f t="shared" ref="T38" si="169">S38/1000</f>
        <v>-20167.663255105923</v>
      </c>
    </row>
    <row r="39" spans="1:20" x14ac:dyDescent="0.25">
      <c r="A39" s="5">
        <v>44554</v>
      </c>
      <c r="B39">
        <v>4.9589999999999996E-4</v>
      </c>
      <c r="C39">
        <v>5.4370000000000004E-4</v>
      </c>
      <c r="D39">
        <v>4.9229999999999999E-4</v>
      </c>
      <c r="E39">
        <v>5.0109999999999998E-4</v>
      </c>
      <c r="F39">
        <v>82538251861</v>
      </c>
      <c r="G39">
        <v>5.0109999999999998E-4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-0.65758754863813274</v>
      </c>
      <c r="Q39">
        <f t="shared" ref="Q39" si="171">F39*P39</f>
        <v>-54276126710.151787</v>
      </c>
      <c r="R39">
        <f t="shared" ref="R39" si="172">R40+Q39</f>
        <v>-2045523290992.7197</v>
      </c>
      <c r="S39">
        <f t="shared" ref="S39" si="173">R39/100000</f>
        <v>-20455232.909927197</v>
      </c>
      <c r="T39">
        <f t="shared" ref="T39" si="174">S39/1000</f>
        <v>-20455.232909927196</v>
      </c>
    </row>
    <row r="40" spans="1:20" x14ac:dyDescent="0.25">
      <c r="A40" s="5">
        <v>44553</v>
      </c>
      <c r="B40">
        <v>4.7120000000000002E-4</v>
      </c>
      <c r="C40">
        <v>5.0549999999999998E-4</v>
      </c>
      <c r="D40">
        <v>4.638E-4</v>
      </c>
      <c r="E40">
        <v>4.9600000000000002E-4</v>
      </c>
      <c r="F40">
        <v>72118806224</v>
      </c>
      <c r="G40">
        <v>4.9600000000000002E-4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0.54436450839328709</v>
      </c>
      <c r="Q40">
        <f t="shared" ref="Q40" si="176">F40*P40</f>
        <v>39258918496.03849</v>
      </c>
      <c r="R40">
        <f t="shared" ref="R40" si="177">R41+Q40</f>
        <v>-1991247164282.5679</v>
      </c>
      <c r="S40">
        <f t="shared" ref="S40" si="178">R40/100000</f>
        <v>-19912471.642825678</v>
      </c>
      <c r="T40">
        <f t="shared" ref="T40" si="179">S40/1000</f>
        <v>-19912.47164282568</v>
      </c>
    </row>
    <row r="41" spans="1:20" x14ac:dyDescent="0.25">
      <c r="A41" s="5">
        <v>44552</v>
      </c>
      <c r="B41">
        <v>4.6020000000000002E-4</v>
      </c>
      <c r="C41">
        <v>4.9200000000000003E-4</v>
      </c>
      <c r="D41">
        <v>4.5869999999999998E-4</v>
      </c>
      <c r="E41">
        <v>4.7120000000000002E-4</v>
      </c>
      <c r="F41">
        <v>91348147919</v>
      </c>
      <c r="G41">
        <v>4.7120000000000002E-4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-0.24924924924924841</v>
      </c>
      <c r="Q41">
        <f t="shared" ref="Q41" si="181">F41*P41</f>
        <v>-22768457289.120045</v>
      </c>
      <c r="R41">
        <f t="shared" ref="R41" si="182">R42+Q41</f>
        <v>-2030506082778.6064</v>
      </c>
      <c r="S41">
        <f t="shared" ref="S41" si="183">R41/100000</f>
        <v>-20305060.827786066</v>
      </c>
      <c r="T41">
        <f t="shared" ref="T41" si="184">S41/1000</f>
        <v>-20305.060827786067</v>
      </c>
    </row>
    <row r="42" spans="1:20" x14ac:dyDescent="0.25">
      <c r="A42" s="5">
        <v>44551</v>
      </c>
      <c r="B42">
        <v>4.4129999999999999E-4</v>
      </c>
      <c r="C42">
        <v>4.6519999999999998E-4</v>
      </c>
      <c r="D42">
        <v>4.3760000000000001E-4</v>
      </c>
      <c r="E42">
        <v>4.6020000000000002E-4</v>
      </c>
      <c r="F42">
        <v>57521575700</v>
      </c>
      <c r="G42">
        <v>4.6020000000000002E-4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0.63768115942029235</v>
      </c>
      <c r="Q42">
        <f t="shared" ref="Q42" si="186">F42*P42</f>
        <v>36680425084.058113</v>
      </c>
      <c r="R42">
        <f t="shared" ref="R42" si="187">R43+Q42</f>
        <v>-2007737625489.4863</v>
      </c>
      <c r="S42">
        <f t="shared" ref="S42" si="188">R42/100000</f>
        <v>-20077376.254894864</v>
      </c>
      <c r="T42">
        <f t="shared" ref="T42" si="189">S42/1000</f>
        <v>-20077.376254894865</v>
      </c>
    </row>
    <row r="43" spans="1:20" x14ac:dyDescent="0.25">
      <c r="A43" s="5">
        <v>44550</v>
      </c>
      <c r="B43">
        <v>4.5399999999999998E-4</v>
      </c>
      <c r="C43">
        <v>4.5869999999999998E-4</v>
      </c>
      <c r="D43">
        <v>4.2430000000000001E-4</v>
      </c>
      <c r="E43">
        <v>4.4099999999999999E-4</v>
      </c>
      <c r="F43">
        <v>91664047175</v>
      </c>
      <c r="G43">
        <v>4.4099999999999999E-4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-2.9069767441861197E-2</v>
      </c>
      <c r="Q43">
        <f t="shared" ref="Q43" si="191">F43*P43</f>
        <v>-2664652534.1570439</v>
      </c>
      <c r="R43">
        <f t="shared" ref="R43" si="192">R44+Q43</f>
        <v>-2044418050573.5444</v>
      </c>
      <c r="S43">
        <f t="shared" ref="S43" si="193">R43/100000</f>
        <v>-20444180.505735446</v>
      </c>
      <c r="T43">
        <f t="shared" ref="T43" si="194">S43/1000</f>
        <v>-20444.180505735447</v>
      </c>
    </row>
    <row r="44" spans="1:20" x14ac:dyDescent="0.25">
      <c r="A44" s="5">
        <v>44549</v>
      </c>
      <c r="B44">
        <v>4.617E-4</v>
      </c>
      <c r="C44">
        <v>4.727E-4</v>
      </c>
      <c r="D44">
        <v>4.5249999999999999E-4</v>
      </c>
      <c r="E44">
        <v>4.5399999999999998E-4</v>
      </c>
      <c r="F44">
        <v>78832874486</v>
      </c>
      <c r="G44">
        <v>4.5399999999999998E-4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-0.85148514851485324</v>
      </c>
      <c r="Q44">
        <f t="shared" ref="Q44" si="196">F44*P44</f>
        <v>-67125021839.564491</v>
      </c>
      <c r="R44">
        <f t="shared" ref="R44" si="197">R45+Q44</f>
        <v>-2041753398039.3875</v>
      </c>
      <c r="S44">
        <f t="shared" ref="S44" si="198">R44/100000</f>
        <v>-20417533.980393875</v>
      </c>
      <c r="T44">
        <f t="shared" ref="T44" si="199">S44/1000</f>
        <v>-20417.533980393877</v>
      </c>
    </row>
    <row r="45" spans="1:20" x14ac:dyDescent="0.25">
      <c r="A45" s="5">
        <v>44548</v>
      </c>
      <c r="B45">
        <v>4.5540000000000001E-4</v>
      </c>
      <c r="C45">
        <v>4.7659999999999998E-4</v>
      </c>
      <c r="D45">
        <v>4.5090000000000001E-4</v>
      </c>
      <c r="E45">
        <v>4.615E-4</v>
      </c>
      <c r="F45">
        <v>52446497971</v>
      </c>
      <c r="G45">
        <v>4.615E-4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-0.17509727626459165</v>
      </c>
      <c r="Q45">
        <f t="shared" ref="Q45" si="201">F45*P45</f>
        <v>-9183238944.3385315</v>
      </c>
      <c r="R45">
        <f t="shared" ref="R45" si="202">R46+Q45</f>
        <v>-1974628376199.823</v>
      </c>
      <c r="S45">
        <f t="shared" ref="S45" si="203">R45/100000</f>
        <v>-19746283.761998229</v>
      </c>
      <c r="T45">
        <f t="shared" ref="T45" si="204">S45/1000</f>
        <v>-19746.283761998227</v>
      </c>
    </row>
    <row r="46" spans="1:20" x14ac:dyDescent="0.25">
      <c r="A46" s="5">
        <v>44547</v>
      </c>
      <c r="B46">
        <v>4.9669999999999998E-4</v>
      </c>
      <c r="C46">
        <v>5.13E-4</v>
      </c>
      <c r="D46">
        <v>4.5169999999999997E-4</v>
      </c>
      <c r="E46">
        <v>4.5550000000000001E-4</v>
      </c>
      <c r="F46">
        <v>86682174535</v>
      </c>
      <c r="G46">
        <v>4.5550000000000001E-4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-0.87601957585644252</v>
      </c>
      <c r="Q46">
        <f t="shared" ref="Q46" si="206">F46*P46</f>
        <v>-75935281770.464828</v>
      </c>
      <c r="R46">
        <f t="shared" ref="R46" si="207">R47+Q46</f>
        <v>-1965445137255.4844</v>
      </c>
      <c r="S46">
        <f t="shared" ref="S46" si="208">R46/100000</f>
        <v>-19654451.372554842</v>
      </c>
      <c r="T46">
        <f t="shared" ref="T46" si="209">S46/1000</f>
        <v>-19654.451372554842</v>
      </c>
    </row>
    <row r="47" spans="1:20" x14ac:dyDescent="0.25">
      <c r="A47" s="5">
        <v>44546</v>
      </c>
      <c r="B47">
        <v>4.7859999999999998E-4</v>
      </c>
      <c r="C47">
        <v>5.2820000000000005E-4</v>
      </c>
      <c r="D47">
        <v>4.75E-4</v>
      </c>
      <c r="E47">
        <v>4.9689999999999999E-4</v>
      </c>
      <c r="F47">
        <v>74315851810</v>
      </c>
      <c r="G47">
        <v>4.9689999999999999E-4</v>
      </c>
      <c r="L47" t="s">
        <v>7</v>
      </c>
      <c r="M47" t="s">
        <v>8</v>
      </c>
      <c r="N47" t="s">
        <v>7</v>
      </c>
      <c r="P47">
        <f t="shared" ref="P47" si="210">IF(C47=D47,0,((E47-D47)-(C47-E47))/(C47-D47))</f>
        <v>-0.17669172932330934</v>
      </c>
      <c r="Q47">
        <f t="shared" ref="Q47" si="211">F47*P47</f>
        <v>-13130996372.443689</v>
      </c>
      <c r="R47">
        <f t="shared" ref="R47" si="212">R48+Q47</f>
        <v>-1889509855485.0195</v>
      </c>
      <c r="S47">
        <f t="shared" ref="S47" si="213">R47/100000</f>
        <v>-18895098.554850195</v>
      </c>
      <c r="T47">
        <f t="shared" ref="T47" si="214">S47/1000</f>
        <v>-18895.098554850196</v>
      </c>
    </row>
    <row r="48" spans="1:20" x14ac:dyDescent="0.25">
      <c r="A48" s="5">
        <v>44545</v>
      </c>
      <c r="B48">
        <v>4.6930000000000002E-4</v>
      </c>
      <c r="C48">
        <v>4.8809999999999999E-4</v>
      </c>
      <c r="D48">
        <v>4.4420000000000001E-4</v>
      </c>
      <c r="E48">
        <v>4.7849999999999998E-4</v>
      </c>
      <c r="F48">
        <v>55441075426</v>
      </c>
      <c r="G48">
        <v>4.7849999999999998E-4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0.56264236902050024</v>
      </c>
      <c r="Q48">
        <f t="shared" ref="Q48" si="216">F48*P48</f>
        <v>31193498018.728878</v>
      </c>
      <c r="R48">
        <f t="shared" ref="R48" si="217">R49+Q48</f>
        <v>-1876378859112.5759</v>
      </c>
      <c r="S48">
        <f t="shared" ref="S48" si="218">R48/100000</f>
        <v>-18763788.59112576</v>
      </c>
      <c r="T48">
        <f t="shared" ref="T48" si="219">S48/1000</f>
        <v>-18763.788591125762</v>
      </c>
    </row>
    <row r="49" spans="1:20" x14ac:dyDescent="0.25">
      <c r="A49" s="5">
        <v>44544</v>
      </c>
      <c r="B49">
        <v>4.6589999999999999E-4</v>
      </c>
      <c r="C49">
        <v>4.7399999999999997E-4</v>
      </c>
      <c r="D49">
        <v>4.5019999999999999E-4</v>
      </c>
      <c r="E49">
        <v>4.6940000000000003E-4</v>
      </c>
      <c r="F49">
        <v>65483801142</v>
      </c>
      <c r="G49">
        <v>4.6940000000000003E-4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0.61344537815126443</v>
      </c>
      <c r="Q49">
        <f t="shared" ref="Q49" si="221">F49*P49</f>
        <v>40170735154.336395</v>
      </c>
      <c r="R49">
        <f t="shared" ref="R49" si="222">R50+Q49</f>
        <v>-1907572357131.3047</v>
      </c>
      <c r="S49">
        <f t="shared" ref="S49" si="223">R49/100000</f>
        <v>-19075723.571313046</v>
      </c>
      <c r="T49">
        <f t="shared" ref="T49" si="224">S49/1000</f>
        <v>-19075.723571313047</v>
      </c>
    </row>
    <row r="50" spans="1:20" x14ac:dyDescent="0.25">
      <c r="A50" s="5">
        <v>44543</v>
      </c>
      <c r="B50">
        <v>5.1920000000000004E-4</v>
      </c>
      <c r="C50">
        <v>5.241E-4</v>
      </c>
      <c r="D50">
        <v>4.6240000000000002E-4</v>
      </c>
      <c r="E50">
        <v>4.6589999999999999E-4</v>
      </c>
      <c r="F50">
        <v>64022652020</v>
      </c>
      <c r="G50">
        <v>4.6589999999999999E-4</v>
      </c>
      <c r="L50" t="s">
        <v>8</v>
      </c>
      <c r="M50" t="s">
        <v>7</v>
      </c>
      <c r="N50" t="s">
        <v>7</v>
      </c>
      <c r="P50">
        <f t="shared" ref="P50" si="225">IF(C50=D50,0,((E50-D50)-(C50-E50))/(C50-D50))</f>
        <v>-0.88654781199351773</v>
      </c>
      <c r="Q50">
        <f t="shared" ref="Q50" si="226">F50*P50</f>
        <v>-56759142066.353371</v>
      </c>
      <c r="R50">
        <f t="shared" ref="R50" si="227">R51+Q50</f>
        <v>-1947743092285.6411</v>
      </c>
      <c r="S50">
        <f t="shared" ref="S50" si="228">R50/100000</f>
        <v>-19477430.922856413</v>
      </c>
      <c r="T50">
        <f t="shared" ref="T50" si="229">S50/1000</f>
        <v>-19477.430922856413</v>
      </c>
    </row>
    <row r="51" spans="1:20" x14ac:dyDescent="0.25">
      <c r="A51" s="5">
        <v>44542</v>
      </c>
      <c r="B51">
        <v>5.1670000000000004E-4</v>
      </c>
      <c r="C51">
        <v>5.2910000000000001E-4</v>
      </c>
      <c r="D51">
        <v>5.019E-4</v>
      </c>
      <c r="E51">
        <v>5.1920000000000004E-4</v>
      </c>
      <c r="F51">
        <v>50814479861</v>
      </c>
      <c r="G51">
        <v>5.1920000000000004E-4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0.2720588235294143</v>
      </c>
      <c r="Q51">
        <f t="shared" ref="Q51" si="231">F51*P51</f>
        <v>13824527609.242775</v>
      </c>
      <c r="R51">
        <f t="shared" ref="R51" si="232">R52+Q51</f>
        <v>-1890983950219.2878</v>
      </c>
      <c r="S51">
        <f t="shared" ref="S51" si="233">R51/100000</f>
        <v>-18909839.502192877</v>
      </c>
      <c r="T51">
        <f t="shared" ref="T51" si="234">S51/1000</f>
        <v>-18909.839502192877</v>
      </c>
    </row>
    <row r="52" spans="1:20" x14ac:dyDescent="0.25">
      <c r="A52" s="5">
        <v>44541</v>
      </c>
      <c r="B52">
        <v>4.9969999999999995E-4</v>
      </c>
      <c r="C52">
        <v>5.1020000000000004E-4</v>
      </c>
      <c r="D52">
        <v>4.9669999999999998E-4</v>
      </c>
      <c r="E52">
        <v>5.0449999999999996E-4</v>
      </c>
      <c r="F52">
        <v>1483011519</v>
      </c>
      <c r="G52">
        <v>5.0449999999999996E-4</v>
      </c>
      <c r="L52" t="s">
        <v>8</v>
      </c>
      <c r="M52" t="s">
        <v>7</v>
      </c>
      <c r="N52" t="s">
        <v>7</v>
      </c>
      <c r="P52">
        <f t="shared" ref="P52" si="235">IF(C52=D52,0,((E52-D52)-(C52-E52))/(C52-D52))</f>
        <v>0.15555555555554662</v>
      </c>
      <c r="Q52">
        <f t="shared" ref="Q52" si="236">F52*P52</f>
        <v>230690680.73332009</v>
      </c>
      <c r="R52">
        <f t="shared" ref="R52" si="237">R53+Q52</f>
        <v>-1904808477828.5305</v>
      </c>
      <c r="S52">
        <f t="shared" ref="S52" si="238">R52/100000</f>
        <v>-19048084.778285306</v>
      </c>
      <c r="T52">
        <f t="shared" ref="T52" si="239">S52/1000</f>
        <v>-19048.084778285305</v>
      </c>
    </row>
    <row r="53" spans="1:20" x14ac:dyDescent="0.25">
      <c r="A53" s="5">
        <v>44540</v>
      </c>
      <c r="B53">
        <v>5.1900000000000004E-4</v>
      </c>
      <c r="C53">
        <v>5.442E-4</v>
      </c>
      <c r="D53">
        <v>4.9870000000000003E-4</v>
      </c>
      <c r="E53">
        <v>4.996E-4</v>
      </c>
      <c r="F53">
        <v>62517559457</v>
      </c>
      <c r="G53">
        <v>4.996E-4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-0.9604395604395618</v>
      </c>
      <c r="Q53">
        <f t="shared" ref="Q53" si="241">F53*P53</f>
        <v>-60044337324.635246</v>
      </c>
      <c r="R53">
        <f t="shared" ref="R53" si="242">R54+Q53</f>
        <v>-1905039168509.2639</v>
      </c>
      <c r="S53">
        <f t="shared" ref="S53" si="243">R53/100000</f>
        <v>-19050391.685092639</v>
      </c>
      <c r="T53">
        <f t="shared" ref="T53" si="244">S53/1000</f>
        <v>-19050.39168509264</v>
      </c>
    </row>
    <row r="54" spans="1:20" x14ac:dyDescent="0.25">
      <c r="A54" s="5">
        <v>44539</v>
      </c>
      <c r="B54">
        <v>5.7430000000000003E-4</v>
      </c>
      <c r="C54">
        <v>5.798E-4</v>
      </c>
      <c r="D54">
        <v>5.1699999999999999E-4</v>
      </c>
      <c r="E54">
        <v>5.1960000000000005E-4</v>
      </c>
      <c r="F54">
        <v>60248562391</v>
      </c>
      <c r="G54">
        <v>5.1960000000000005E-4</v>
      </c>
      <c r="L54" t="s">
        <v>8</v>
      </c>
      <c r="M54" t="s">
        <v>7</v>
      </c>
      <c r="N54" t="s">
        <v>7</v>
      </c>
      <c r="P54">
        <f t="shared" ref="P54" si="245">IF(C54=D54,0,((E54-D54)-(C54-E54))/(C54-D54))</f>
        <v>-0.91719745222929738</v>
      </c>
      <c r="Q54">
        <f t="shared" ref="Q54" si="246">F54*P54</f>
        <v>-55259827925.503067</v>
      </c>
      <c r="R54">
        <f t="shared" ref="R54" si="247">R55+Q54</f>
        <v>-1844994831184.6287</v>
      </c>
      <c r="S54">
        <f t="shared" ref="S54" si="248">R54/100000</f>
        <v>-18449948.311846286</v>
      </c>
      <c r="T54">
        <f t="shared" ref="T54" si="249">S54/1000</f>
        <v>-18449.948311846285</v>
      </c>
    </row>
    <row r="55" spans="1:20" x14ac:dyDescent="0.25">
      <c r="A55" s="5">
        <v>44538</v>
      </c>
      <c r="B55">
        <v>5.6450000000000001E-4</v>
      </c>
      <c r="C55">
        <v>5.8690000000000001E-4</v>
      </c>
      <c r="D55">
        <v>5.4310000000000003E-4</v>
      </c>
      <c r="E55">
        <v>5.7430000000000003E-4</v>
      </c>
      <c r="F55">
        <v>52013823929</v>
      </c>
      <c r="G55">
        <v>5.7430000000000003E-4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0.42465753424657593</v>
      </c>
      <c r="Q55">
        <f t="shared" ref="Q55" si="251">F55*P55</f>
        <v>22088062216.424686</v>
      </c>
      <c r="R55">
        <f t="shared" ref="R55" si="252">R56+Q55</f>
        <v>-1789735003259.1255</v>
      </c>
      <c r="S55">
        <f t="shared" ref="S55" si="253">R55/100000</f>
        <v>-17897350.032591254</v>
      </c>
      <c r="T55">
        <f t="shared" ref="T55" si="254">S55/1000</f>
        <v>-17897.350032591254</v>
      </c>
    </row>
    <row r="56" spans="1:20" x14ac:dyDescent="0.25">
      <c r="A56" s="5">
        <v>44537</v>
      </c>
      <c r="B56">
        <v>5.7070000000000005E-4</v>
      </c>
      <c r="C56">
        <v>6.2290000000000002E-4</v>
      </c>
      <c r="D56">
        <v>5.5380000000000002E-4</v>
      </c>
      <c r="E56">
        <v>5.643E-4</v>
      </c>
      <c r="F56">
        <v>83767286141</v>
      </c>
      <c r="G56">
        <v>5.643E-4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-0.6960926193921857</v>
      </c>
      <c r="Q56">
        <f t="shared" ref="Q56" si="256">F56*P56</f>
        <v>-58309789629.263428</v>
      </c>
      <c r="R56">
        <f t="shared" ref="R56" si="257">R57+Q56</f>
        <v>-1811823065475.5503</v>
      </c>
      <c r="S56">
        <f t="shared" ref="S56" si="258">R56/100000</f>
        <v>-18118230.654755503</v>
      </c>
      <c r="T56">
        <f t="shared" ref="T56" si="259">S56/1000</f>
        <v>-18118.230654755502</v>
      </c>
    </row>
    <row r="57" spans="1:20" x14ac:dyDescent="0.25">
      <c r="A57" s="5">
        <v>44536</v>
      </c>
      <c r="B57">
        <v>5.4089999999999997E-4</v>
      </c>
      <c r="C57">
        <v>6.3699999999999998E-4</v>
      </c>
      <c r="D57">
        <v>4.7669999999999999E-4</v>
      </c>
      <c r="E57">
        <v>5.71E-4</v>
      </c>
      <c r="F57">
        <v>133102086668</v>
      </c>
      <c r="G57">
        <v>5.71E-4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0.17654398003743005</v>
      </c>
      <c r="Q57">
        <f t="shared" ref="Q57" si="261">F57*P57</f>
        <v>23498372131.655678</v>
      </c>
      <c r="R57">
        <f t="shared" ref="R57" si="262">R58+Q57</f>
        <v>-1753513275846.2869</v>
      </c>
      <c r="S57">
        <f t="shared" ref="S57" si="263">R57/100000</f>
        <v>-17535132.758462869</v>
      </c>
      <c r="T57">
        <f t="shared" ref="T57" si="264">S57/1000</f>
        <v>-17535.132758462867</v>
      </c>
    </row>
    <row r="58" spans="1:20" x14ac:dyDescent="0.25">
      <c r="A58" s="5">
        <v>44535</v>
      </c>
      <c r="B58">
        <v>5.7120000000000001E-4</v>
      </c>
      <c r="C58">
        <v>5.8600000000000004E-4</v>
      </c>
      <c r="D58">
        <v>5.0949999999999997E-4</v>
      </c>
      <c r="E58">
        <v>5.4089999999999997E-4</v>
      </c>
      <c r="F58">
        <v>113857546728</v>
      </c>
      <c r="G58">
        <v>5.4089999999999997E-4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-0.17908496732026208</v>
      </c>
      <c r="Q58">
        <f t="shared" ref="Q58" si="266">F58*P58</f>
        <v>-20390175034.949093</v>
      </c>
      <c r="R58">
        <f t="shared" ref="R58" si="267">R59+Q58</f>
        <v>-1777011647977.9426</v>
      </c>
      <c r="S58">
        <f t="shared" ref="S58" si="268">R58/100000</f>
        <v>-17770116.479779426</v>
      </c>
      <c r="T58">
        <f t="shared" ref="T58" si="269">S58/1000</f>
        <v>-17770.116479779426</v>
      </c>
    </row>
    <row r="59" spans="1:20" x14ac:dyDescent="0.25">
      <c r="A59" s="5">
        <v>44534</v>
      </c>
      <c r="B59">
        <v>6.6049999999999995E-4</v>
      </c>
      <c r="C59">
        <v>6.6140000000000003E-4</v>
      </c>
      <c r="D59">
        <v>4.9830000000000002E-4</v>
      </c>
      <c r="E59">
        <v>5.7140000000000001E-4</v>
      </c>
      <c r="F59">
        <v>156692344815</v>
      </c>
      <c r="G59">
        <v>5.7140000000000001E-4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-0.10361741263028836</v>
      </c>
      <c r="Q59">
        <f t="shared" ref="Q59" si="271">F59*P59</f>
        <v>-16236055348.703279</v>
      </c>
      <c r="R59">
        <f t="shared" ref="R59" si="272">R60+Q59</f>
        <v>-1756621472942.9937</v>
      </c>
      <c r="S59">
        <f t="shared" ref="S59" si="273">R59/100000</f>
        <v>-17566214.729429938</v>
      </c>
      <c r="T59">
        <f t="shared" ref="T59" si="274">S59/1000</f>
        <v>-17566.214729429939</v>
      </c>
    </row>
    <row r="60" spans="1:20" x14ac:dyDescent="0.25">
      <c r="A60" s="5">
        <v>44533</v>
      </c>
      <c r="B60">
        <v>7.1109999999999999E-4</v>
      </c>
      <c r="C60">
        <v>7.1790000000000005E-4</v>
      </c>
      <c r="D60">
        <v>6.4090000000000002E-4</v>
      </c>
      <c r="E60">
        <v>6.6259999999999995E-4</v>
      </c>
      <c r="F60">
        <v>117226034421</v>
      </c>
      <c r="G60">
        <v>6.6259999999999995E-4</v>
      </c>
      <c r="L60" t="s">
        <v>8</v>
      </c>
      <c r="M60" t="s">
        <v>7</v>
      </c>
      <c r="N60" t="s">
        <v>7</v>
      </c>
      <c r="P60">
        <f t="shared" ref="P60" si="275">IF(C60=D60,0,((E60-D60)-(C60-E60))/(C60-D60))</f>
        <v>-0.43636363636363834</v>
      </c>
      <c r="Q60">
        <f t="shared" ref="Q60" si="276">F60*P60</f>
        <v>-51153178656.436592</v>
      </c>
      <c r="R60">
        <f t="shared" ref="R60" si="277">R61+Q60</f>
        <v>-1740385417594.2903</v>
      </c>
      <c r="S60">
        <f t="shared" ref="S60" si="278">R60/100000</f>
        <v>-17403854.175942902</v>
      </c>
      <c r="T60">
        <f t="shared" ref="T60" si="279">S60/1000</f>
        <v>-17403.854175942903</v>
      </c>
    </row>
    <row r="61" spans="1:20" x14ac:dyDescent="0.25">
      <c r="A61" s="5">
        <v>44532</v>
      </c>
      <c r="B61">
        <v>6.8499999999999995E-4</v>
      </c>
      <c r="C61">
        <v>7.4549999999999996E-4</v>
      </c>
      <c r="D61">
        <v>6.4079999999999996E-4</v>
      </c>
      <c r="E61">
        <v>7.1100000000000004E-4</v>
      </c>
      <c r="F61">
        <v>160355993100</v>
      </c>
      <c r="G61">
        <v>7.1100000000000004E-4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0.34097421203438549</v>
      </c>
      <c r="Q61">
        <f t="shared" ref="Q61" si="281">F61*P61</f>
        <v>54677258392.263855</v>
      </c>
      <c r="R61">
        <f t="shared" ref="R61" si="282">R62+Q61</f>
        <v>-1689232238937.8538</v>
      </c>
      <c r="S61">
        <f t="shared" ref="S61" si="283">R61/100000</f>
        <v>-16892322.389378536</v>
      </c>
      <c r="T61">
        <f t="shared" ref="T61" si="284">S61/1000</f>
        <v>-16892.322389378536</v>
      </c>
    </row>
    <row r="62" spans="1:20" x14ac:dyDescent="0.25">
      <c r="A62" s="5">
        <v>44531</v>
      </c>
      <c r="B62">
        <v>6.8519999999999996E-4</v>
      </c>
      <c r="C62">
        <v>7.2159999999999998E-4</v>
      </c>
      <c r="D62">
        <v>6.7400000000000001E-4</v>
      </c>
      <c r="E62">
        <v>6.8499999999999995E-4</v>
      </c>
      <c r="F62">
        <v>70681089285</v>
      </c>
      <c r="G62">
        <v>6.8499999999999995E-4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-0.53781512605042225</v>
      </c>
      <c r="Q62">
        <f t="shared" ref="Q62" si="286">F62*P62</f>
        <v>-38013358943.193428</v>
      </c>
      <c r="R62">
        <f t="shared" ref="R62" si="287">R63+Q62</f>
        <v>-1743909497330.1177</v>
      </c>
      <c r="S62">
        <f t="shared" ref="S62" si="288">R62/100000</f>
        <v>-17439094.973301176</v>
      </c>
      <c r="T62">
        <f t="shared" ref="T62" si="289">S62/1000</f>
        <v>-17439.094973301177</v>
      </c>
    </row>
    <row r="63" spans="1:20" x14ac:dyDescent="0.25">
      <c r="A63" s="5">
        <v>44530</v>
      </c>
      <c r="B63">
        <v>6.8950000000000001E-4</v>
      </c>
      <c r="C63">
        <v>7.4770000000000001E-4</v>
      </c>
      <c r="D63">
        <v>6.7029999999999998E-4</v>
      </c>
      <c r="E63">
        <v>6.8429999999999999E-4</v>
      </c>
      <c r="F63">
        <v>65509266578</v>
      </c>
      <c r="G63">
        <v>6.8429999999999999E-4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-0.63824289405684731</v>
      </c>
      <c r="Q63">
        <f t="shared" ref="Q63" si="291">F63*P63</f>
        <v>-41810823888.284225</v>
      </c>
      <c r="R63">
        <f t="shared" ref="R63" si="292">R64+Q63</f>
        <v>-1705896138386.9243</v>
      </c>
      <c r="S63">
        <f t="shared" ref="S63" si="293">R63/100000</f>
        <v>-17058961.383869242</v>
      </c>
      <c r="T63">
        <f t="shared" ref="T63" si="294">S63/1000</f>
        <v>-17058.961383869242</v>
      </c>
    </row>
    <row r="64" spans="1:20" x14ac:dyDescent="0.25">
      <c r="A64" s="5">
        <v>44529</v>
      </c>
      <c r="B64">
        <v>6.9419999999999996E-4</v>
      </c>
      <c r="C64">
        <v>7.2769999999999996E-4</v>
      </c>
      <c r="D64">
        <v>6.8329999999999997E-4</v>
      </c>
      <c r="E64">
        <v>6.8950000000000001E-4</v>
      </c>
      <c r="F64">
        <v>85612588182</v>
      </c>
      <c r="G64">
        <v>6.8950000000000001E-4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-0.7207207207207188</v>
      </c>
      <c r="Q64">
        <f t="shared" ref="Q64" si="296">F64*P64</f>
        <v>-61702766257.297134</v>
      </c>
      <c r="R64">
        <f t="shared" ref="R64" si="297">R65+Q64</f>
        <v>-1664085314498.6401</v>
      </c>
      <c r="S64">
        <f t="shared" ref="S64" si="298">R64/100000</f>
        <v>-16640853.144986402</v>
      </c>
      <c r="T64">
        <f t="shared" ref="T64" si="299">S64/1000</f>
        <v>-16640.853144986402</v>
      </c>
    </row>
    <row r="65" spans="1:20" x14ac:dyDescent="0.25">
      <c r="A65" s="5">
        <v>44528</v>
      </c>
      <c r="B65">
        <v>6.9099999999999999E-4</v>
      </c>
      <c r="C65">
        <v>6.9870000000000002E-4</v>
      </c>
      <c r="D65">
        <v>6.2819999999999998E-4</v>
      </c>
      <c r="E65">
        <v>6.9459999999999997E-4</v>
      </c>
      <c r="F65">
        <v>100753534323</v>
      </c>
      <c r="G65">
        <v>6.9459999999999997E-4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0.88368794326241007</v>
      </c>
      <c r="Q65">
        <f t="shared" ref="Q65" si="301">F65*P65</f>
        <v>89034683522.310516</v>
      </c>
      <c r="R65">
        <f t="shared" ref="R65" si="302">R66+Q65</f>
        <v>-1602382548241.343</v>
      </c>
      <c r="S65">
        <f t="shared" ref="S65" si="303">R65/100000</f>
        <v>-16023825.48241343</v>
      </c>
      <c r="T65">
        <f t="shared" ref="T65" si="304">S65/1000</f>
        <v>-16023.825482413429</v>
      </c>
    </row>
    <row r="66" spans="1:20" x14ac:dyDescent="0.25">
      <c r="A66" s="5">
        <v>44527</v>
      </c>
      <c r="B66">
        <v>6.8309999999999996E-4</v>
      </c>
      <c r="C66">
        <v>7.3189999999999996E-4</v>
      </c>
      <c r="D66">
        <v>6.7849999999999996E-4</v>
      </c>
      <c r="E66">
        <v>6.9130000000000005E-4</v>
      </c>
      <c r="F66">
        <v>77808334788</v>
      </c>
      <c r="G66">
        <v>6.9130000000000005E-4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-0.52059925093632597</v>
      </c>
      <c r="Q66">
        <f t="shared" ref="Q66" si="306">F66*P66</f>
        <v>-40506960807.235672</v>
      </c>
      <c r="R66">
        <f t="shared" ref="R66" si="307">R67+Q66</f>
        <v>-1691417231763.6536</v>
      </c>
      <c r="S66">
        <f t="shared" ref="S66" si="308">R66/100000</f>
        <v>-16914172.317636535</v>
      </c>
      <c r="T66">
        <f t="shared" ref="T66" si="309">S66/1000</f>
        <v>-16914.172317636534</v>
      </c>
    </row>
    <row r="67" spans="1:20" x14ac:dyDescent="0.25">
      <c r="A67" s="5">
        <v>44526</v>
      </c>
      <c r="B67">
        <v>7.8350000000000002E-4</v>
      </c>
      <c r="C67">
        <v>7.8509999999999995E-4</v>
      </c>
      <c r="D67">
        <v>6.6839999999999998E-4</v>
      </c>
      <c r="E67">
        <v>6.8300000000000001E-4</v>
      </c>
      <c r="F67">
        <v>69168130631</v>
      </c>
      <c r="G67">
        <v>6.8300000000000001E-4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-0.74978577549271574</v>
      </c>
      <c r="Q67">
        <f t="shared" ref="Q67" si="311">F67*P67</f>
        <v>-51861280464.545799</v>
      </c>
      <c r="R67">
        <f t="shared" ref="R67" si="312">R68+Q67</f>
        <v>-1650910270956.418</v>
      </c>
      <c r="S67">
        <f t="shared" ref="S67" si="313">R67/100000</f>
        <v>-16509102.709564179</v>
      </c>
      <c r="T67">
        <f t="shared" ref="T67" si="314">S67/1000</f>
        <v>-16509.10270956418</v>
      </c>
    </row>
    <row r="68" spans="1:20" x14ac:dyDescent="0.25">
      <c r="A68" s="5">
        <v>44525</v>
      </c>
      <c r="B68">
        <v>7.5759999999999998E-4</v>
      </c>
      <c r="C68">
        <v>8.0999999999999996E-4</v>
      </c>
      <c r="D68">
        <v>7.4629999999999998E-4</v>
      </c>
      <c r="E68">
        <v>7.8339999999999996E-4</v>
      </c>
      <c r="F68">
        <v>61183972540</v>
      </c>
      <c r="G68">
        <v>7.8339999999999996E-4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0.16483516483516464</v>
      </c>
      <c r="Q68">
        <f t="shared" ref="Q68" si="316">F68*P68</f>
        <v>10085270198.901087</v>
      </c>
      <c r="R68">
        <f t="shared" ref="R68" si="317">R69+Q68</f>
        <v>-1599048990491.8721</v>
      </c>
      <c r="S68">
        <f t="shared" ref="S68" si="318">R68/100000</f>
        <v>-15990489.904918721</v>
      </c>
      <c r="T68">
        <f t="shared" ref="T68" si="319">S68/1000</f>
        <v>-15990.489904918721</v>
      </c>
    </row>
    <row r="69" spans="1:20" x14ac:dyDescent="0.25">
      <c r="A69" s="5">
        <v>44524</v>
      </c>
      <c r="B69">
        <v>8.1970000000000003E-4</v>
      </c>
      <c r="C69">
        <v>8.2149999999999996E-4</v>
      </c>
      <c r="D69">
        <v>7.7130000000000005E-4</v>
      </c>
      <c r="E69">
        <v>8.0369999999999997E-4</v>
      </c>
      <c r="F69">
        <v>22279077851</v>
      </c>
      <c r="G69">
        <v>8.0369999999999997E-4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0.29083665338645309</v>
      </c>
      <c r="Q69">
        <f t="shared" ref="Q69" si="321">F69*P69</f>
        <v>6479572442.7210913</v>
      </c>
      <c r="R69">
        <f t="shared" ref="R69" si="322">R70+Q69</f>
        <v>-1609134260690.7732</v>
      </c>
      <c r="S69">
        <f t="shared" ref="S69" si="323">R69/100000</f>
        <v>-16091342.606907733</v>
      </c>
      <c r="T69">
        <f t="shared" ref="T69" si="324">S69/1000</f>
        <v>-16091.342606907732</v>
      </c>
    </row>
    <row r="70" spans="1:20" x14ac:dyDescent="0.25">
      <c r="A70" s="5">
        <v>44523</v>
      </c>
      <c r="B70">
        <v>8.1450000000000001E-4</v>
      </c>
      <c r="C70">
        <v>8.6390000000000002E-4</v>
      </c>
      <c r="D70">
        <v>7.9290000000000003E-4</v>
      </c>
      <c r="E70">
        <v>8.1990000000000003E-4</v>
      </c>
      <c r="F70">
        <v>54722731469</v>
      </c>
      <c r="G70">
        <v>8.1990000000000003E-4</v>
      </c>
      <c r="L70" t="s">
        <v>8</v>
      </c>
      <c r="M70" t="s">
        <v>7</v>
      </c>
      <c r="N70" t="s">
        <v>8</v>
      </c>
      <c r="P70">
        <f t="shared" ref="P70" si="325">IF(C70=D70,0,((E70-D70)-(C70-E70))/(C70-D70))</f>
        <v>-0.2394366197183096</v>
      </c>
      <c r="Q70">
        <f t="shared" ref="Q70" si="326">F70*P70</f>
        <v>-13102625844.690126</v>
      </c>
      <c r="R70">
        <f t="shared" ref="R70" si="327">R71+Q70</f>
        <v>-1615613833133.4944</v>
      </c>
      <c r="S70">
        <f t="shared" ref="S70" si="328">R70/100000</f>
        <v>-16156138.331334943</v>
      </c>
      <c r="T70">
        <f t="shared" ref="T70" si="329">S70/1000</f>
        <v>-16156.138331334943</v>
      </c>
    </row>
    <row r="71" spans="1:20" x14ac:dyDescent="0.25">
      <c r="A71" s="5">
        <v>44522</v>
      </c>
      <c r="B71">
        <v>8.5360000000000004E-4</v>
      </c>
      <c r="C71">
        <v>8.6260000000000004E-4</v>
      </c>
      <c r="D71">
        <v>7.9690000000000002E-4</v>
      </c>
      <c r="E71">
        <v>8.1419999999999995E-4</v>
      </c>
      <c r="F71">
        <v>51617748782</v>
      </c>
      <c r="G71">
        <v>8.1419999999999995E-4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-0.47336377473364</v>
      </c>
      <c r="Q71">
        <f t="shared" ref="Q71" si="331">F71*P71</f>
        <v>-24433972406.700268</v>
      </c>
      <c r="R71">
        <f t="shared" ref="R71" si="332">R72+Q71</f>
        <v>-1602511207288.8042</v>
      </c>
      <c r="S71">
        <f t="shared" ref="S71" si="333">R71/100000</f>
        <v>-16025112.072888043</v>
      </c>
      <c r="T71">
        <f t="shared" ref="T71" si="334">S71/1000</f>
        <v>-16025.112072888043</v>
      </c>
    </row>
    <row r="72" spans="1:20" x14ac:dyDescent="0.25">
      <c r="A72" s="5">
        <v>44521</v>
      </c>
      <c r="B72">
        <v>8.1840000000000005E-4</v>
      </c>
      <c r="C72">
        <v>9.5129999999999998E-4</v>
      </c>
      <c r="D72">
        <v>8.0060000000000005E-4</v>
      </c>
      <c r="E72">
        <v>8.5340000000000004E-4</v>
      </c>
      <c r="F72">
        <v>124835167165</v>
      </c>
      <c r="G72">
        <v>8.5340000000000004E-4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-0.29927007299270059</v>
      </c>
      <c r="Q72">
        <f t="shared" ref="Q72" si="336">F72*P72</f>
        <v>-37359429589.525528</v>
      </c>
      <c r="R72">
        <f t="shared" ref="R72" si="337">R73+Q72</f>
        <v>-1578077234882.104</v>
      </c>
      <c r="S72">
        <f t="shared" ref="S72" si="338">R72/100000</f>
        <v>-15780772.34882104</v>
      </c>
      <c r="T72">
        <f t="shared" ref="T72" si="339">S72/1000</f>
        <v>-15780.772348821039</v>
      </c>
    </row>
    <row r="73" spans="1:20" x14ac:dyDescent="0.25">
      <c r="A73" s="5">
        <v>44520</v>
      </c>
      <c r="B73">
        <v>8.2969999999999995E-4</v>
      </c>
      <c r="C73">
        <v>8.4999999999999995E-4</v>
      </c>
      <c r="D73">
        <v>7.7999999999999999E-4</v>
      </c>
      <c r="E73">
        <v>8.1859999999999995E-4</v>
      </c>
      <c r="F73">
        <v>60316871996</v>
      </c>
      <c r="G73">
        <v>8.1859999999999995E-4</v>
      </c>
      <c r="L73" t="s">
        <v>7</v>
      </c>
      <c r="M73" t="s">
        <v>8</v>
      </c>
      <c r="N73" t="s">
        <v>7</v>
      </c>
      <c r="P73">
        <f t="shared" ref="P73" si="340">IF(C73=D73,0,((E73-D73)-(C73-E73))/(C73-D73))</f>
        <v>0.10285714285714231</v>
      </c>
      <c r="Q73">
        <f t="shared" ref="Q73" si="341">F73*P73</f>
        <v>6204021119.5885391</v>
      </c>
      <c r="R73">
        <f t="shared" ref="R73" si="342">R74+Q73</f>
        <v>-1540717805292.5784</v>
      </c>
      <c r="S73">
        <f t="shared" ref="S73" si="343">R73/100000</f>
        <v>-15407178.052925784</v>
      </c>
      <c r="T73">
        <f t="shared" ref="T73" si="344">S73/1000</f>
        <v>-15407.178052925785</v>
      </c>
    </row>
    <row r="74" spans="1:20" x14ac:dyDescent="0.25">
      <c r="A74" s="5">
        <v>44519</v>
      </c>
      <c r="B74">
        <v>7.6389999999999997E-4</v>
      </c>
      <c r="C74">
        <v>8.8940000000000004E-4</v>
      </c>
      <c r="D74">
        <v>7.2999999999999996E-4</v>
      </c>
      <c r="E74">
        <v>8.298E-4</v>
      </c>
      <c r="F74">
        <v>93085113061</v>
      </c>
      <c r="G74">
        <v>8.298E-4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0.25219573400250928</v>
      </c>
      <c r="Q74">
        <f t="shared" ref="Q74" si="346">F74*P74</f>
        <v>23475668413.125458</v>
      </c>
      <c r="R74">
        <f t="shared" ref="R74" si="347">R75+Q74</f>
        <v>-1546921826412.167</v>
      </c>
      <c r="S74">
        <f t="shared" ref="S74" si="348">R74/100000</f>
        <v>-15469218.26412167</v>
      </c>
      <c r="T74">
        <f t="shared" ref="T74" si="349">S74/1000</f>
        <v>-15469.21826412167</v>
      </c>
    </row>
    <row r="75" spans="1:20" x14ac:dyDescent="0.25">
      <c r="A75" s="5">
        <v>44518</v>
      </c>
      <c r="B75">
        <v>8.3920000000000002E-4</v>
      </c>
      <c r="C75">
        <v>8.9800000000000004E-4</v>
      </c>
      <c r="D75">
        <v>7.1120000000000005E-4</v>
      </c>
      <c r="E75">
        <v>7.6360000000000002E-4</v>
      </c>
      <c r="F75">
        <v>100262816988</v>
      </c>
      <c r="G75">
        <v>7.6360000000000002E-4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-0.43897216274089962</v>
      </c>
      <c r="Q75">
        <f t="shared" ref="Q75" si="351">F75*P75</f>
        <v>-44012585615.717369</v>
      </c>
      <c r="R75">
        <f t="shared" ref="R75" si="352">R76+Q75</f>
        <v>-1570397494825.2925</v>
      </c>
      <c r="S75">
        <f t="shared" ref="S75" si="353">R75/100000</f>
        <v>-15703974.948252926</v>
      </c>
      <c r="T75">
        <f t="shared" ref="T75" si="354">S75/1000</f>
        <v>-15703.974948252926</v>
      </c>
    </row>
    <row r="76" spans="1:20" x14ac:dyDescent="0.25">
      <c r="A76" s="5">
        <v>44517</v>
      </c>
      <c r="B76">
        <v>8.5369999999999999E-4</v>
      </c>
      <c r="C76">
        <v>9.2800000000000001E-4</v>
      </c>
      <c r="D76">
        <v>7.8249999999999999E-4</v>
      </c>
      <c r="E76">
        <v>8.3960000000000003E-4</v>
      </c>
      <c r="F76">
        <v>100840190132</v>
      </c>
      <c r="G76">
        <v>8.3960000000000003E-4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-0.21512027491408897</v>
      </c>
      <c r="Q76">
        <f t="shared" ref="Q76" si="356">F76*P76</f>
        <v>-21692769423.584843</v>
      </c>
      <c r="R76">
        <f t="shared" ref="R76" si="357">R77+Q76</f>
        <v>-1526384909209.5752</v>
      </c>
      <c r="S76">
        <f t="shared" ref="S76" si="358">R76/100000</f>
        <v>-15263849.092095751</v>
      </c>
      <c r="T76">
        <f t="shared" ref="T76" si="359">S76/1000</f>
        <v>-15263.849092095752</v>
      </c>
    </row>
    <row r="77" spans="1:20" x14ac:dyDescent="0.25">
      <c r="A77" s="5">
        <v>44516</v>
      </c>
      <c r="B77">
        <v>9.6069999999999999E-4</v>
      </c>
      <c r="C77">
        <v>9.7000000000000005E-4</v>
      </c>
      <c r="D77">
        <v>8.2470000000000004E-4</v>
      </c>
      <c r="E77">
        <v>8.5360000000000004E-4</v>
      </c>
      <c r="F77">
        <v>159060111543</v>
      </c>
      <c r="G77">
        <v>8.5360000000000004E-4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-0.6022023399862354</v>
      </c>
      <c r="Q77">
        <f t="shared" ref="Q77" si="361">F77*P77</f>
        <v>-95786371369.666214</v>
      </c>
      <c r="R77">
        <f t="shared" ref="R77" si="362">R78+Q77</f>
        <v>-1504692139785.9902</v>
      </c>
      <c r="S77">
        <f t="shared" ref="S77" si="363">R77/100000</f>
        <v>-15046921.397859903</v>
      </c>
      <c r="T77">
        <f t="shared" ref="T77" si="364">S77/1000</f>
        <v>-15046.921397859904</v>
      </c>
    </row>
    <row r="78" spans="1:20" x14ac:dyDescent="0.25">
      <c r="A78" s="5">
        <v>44515</v>
      </c>
      <c r="B78">
        <v>8.2649999999999998E-4</v>
      </c>
      <c r="C78">
        <v>1.0935000000000001E-3</v>
      </c>
      <c r="D78">
        <v>8.25E-4</v>
      </c>
      <c r="E78">
        <v>9.6049999999999998E-4</v>
      </c>
      <c r="F78">
        <v>447132192506</v>
      </c>
      <c r="G78">
        <v>9.6049999999999998E-4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9.3109869646178667E-3</v>
      </c>
      <c r="Q78">
        <f t="shared" ref="Q78" si="366">F78*P78</f>
        <v>4163242015.8843727</v>
      </c>
      <c r="R78">
        <f t="shared" ref="R78" si="367">R79+Q78</f>
        <v>-1408905768416.324</v>
      </c>
      <c r="S78">
        <f t="shared" ref="S78" si="368">R78/100000</f>
        <v>-14089057.684163239</v>
      </c>
      <c r="T78">
        <f t="shared" ref="T78" si="369">S78/1000</f>
        <v>-14089.057684163239</v>
      </c>
    </row>
    <row r="79" spans="1:20" x14ac:dyDescent="0.25">
      <c r="A79" s="5">
        <v>44514</v>
      </c>
      <c r="B79">
        <v>7.0580000000000003E-4</v>
      </c>
      <c r="C79">
        <v>8.9849999999999999E-4</v>
      </c>
      <c r="D79">
        <v>7.0399999999999998E-4</v>
      </c>
      <c r="E79">
        <v>8.2660000000000003E-4</v>
      </c>
      <c r="F79">
        <v>236074590185</v>
      </c>
      <c r="G79">
        <v>8.2660000000000003E-4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0.26066838046272539</v>
      </c>
      <c r="Q79">
        <f t="shared" ref="Q79" si="371">F79*P79</f>
        <v>61537181091.92556</v>
      </c>
      <c r="R79">
        <f t="shared" ref="R79" si="372">R80+Q79</f>
        <v>-1413069010432.2083</v>
      </c>
      <c r="S79">
        <f t="shared" ref="S79" si="373">R79/100000</f>
        <v>-14130690.104322083</v>
      </c>
      <c r="T79">
        <f t="shared" ref="T79" si="374">S79/1000</f>
        <v>-14130.690104322084</v>
      </c>
    </row>
    <row r="80" spans="1:20" x14ac:dyDescent="0.25">
      <c r="A80" s="5">
        <v>44513</v>
      </c>
      <c r="B80">
        <v>6.9410000000000001E-4</v>
      </c>
      <c r="C80">
        <v>7.3590000000000005E-4</v>
      </c>
      <c r="D80">
        <v>6.8590000000000003E-4</v>
      </c>
      <c r="E80">
        <v>7.0629999999999998E-4</v>
      </c>
      <c r="F80">
        <v>56398876130</v>
      </c>
      <c r="G80">
        <v>7.0629999999999998E-4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-0.18400000000000222</v>
      </c>
      <c r="Q80">
        <f t="shared" ref="Q80" si="376">F80*P80</f>
        <v>-10377393207.920126</v>
      </c>
      <c r="R80">
        <f t="shared" ref="R80" si="377">R81+Q80</f>
        <v>-1474606191524.1338</v>
      </c>
      <c r="S80">
        <f t="shared" ref="S80" si="378">R80/100000</f>
        <v>-14746061.915241338</v>
      </c>
      <c r="T80">
        <f t="shared" ref="T80" si="379">S80/1000</f>
        <v>-14746.061915241338</v>
      </c>
    </row>
    <row r="81" spans="1:20" x14ac:dyDescent="0.25">
      <c r="A81" s="5">
        <v>44512</v>
      </c>
      <c r="B81">
        <v>7.2579999999999997E-4</v>
      </c>
      <c r="C81">
        <v>7.2769999999999996E-4</v>
      </c>
      <c r="D81">
        <v>6.8020000000000005E-4</v>
      </c>
      <c r="E81">
        <v>6.9410000000000001E-4</v>
      </c>
      <c r="F81">
        <v>63789003092</v>
      </c>
      <c r="G81">
        <v>6.9410000000000001E-4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-0.41473684210526379</v>
      </c>
      <c r="Q81">
        <f t="shared" ref="Q81" si="381">F81*P81</f>
        <v>-26455649703.418987</v>
      </c>
      <c r="R81">
        <f t="shared" ref="R81" si="382">R82+Q81</f>
        <v>-1464228798316.2136</v>
      </c>
      <c r="S81">
        <f t="shared" ref="S81" si="383">R81/100000</f>
        <v>-14642287.983162137</v>
      </c>
      <c r="T81">
        <f t="shared" ref="T81" si="384">S81/1000</f>
        <v>-14642.287983162138</v>
      </c>
    </row>
    <row r="82" spans="1:20" x14ac:dyDescent="0.25">
      <c r="A82" s="5">
        <v>44511</v>
      </c>
      <c r="B82">
        <v>7.0319999999999996E-4</v>
      </c>
      <c r="C82">
        <v>7.4350000000000002E-4</v>
      </c>
      <c r="D82">
        <v>6.9240000000000002E-4</v>
      </c>
      <c r="E82">
        <v>7.2579999999999997E-4</v>
      </c>
      <c r="F82">
        <v>100585054692</v>
      </c>
      <c r="G82">
        <v>7.2579999999999997E-4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0.3072407045009764</v>
      </c>
      <c r="Q82">
        <f t="shared" ref="Q82" si="386">F82*P82</f>
        <v>30903823065.839321</v>
      </c>
      <c r="R82">
        <f t="shared" ref="R82" si="387">R83+Q82</f>
        <v>-1437773148612.7947</v>
      </c>
      <c r="S82">
        <f t="shared" ref="S82" si="388">R82/100000</f>
        <v>-14377731.486127947</v>
      </c>
      <c r="T82">
        <f t="shared" ref="T82" si="389">S82/1000</f>
        <v>-14377.731486127946</v>
      </c>
    </row>
    <row r="83" spans="1:20" x14ac:dyDescent="0.25">
      <c r="A83" s="5">
        <v>44510</v>
      </c>
      <c r="B83">
        <v>7.4899999999999999E-4</v>
      </c>
      <c r="C83">
        <v>7.7110000000000004E-4</v>
      </c>
      <c r="D83">
        <v>6.7690000000000003E-4</v>
      </c>
      <c r="E83">
        <v>7.0339999999999997E-4</v>
      </c>
      <c r="F83">
        <v>66120922805</v>
      </c>
      <c r="G83">
        <v>7.0339999999999997E-4</v>
      </c>
      <c r="L83" t="s">
        <v>8</v>
      </c>
      <c r="M83" t="s">
        <v>7</v>
      </c>
      <c r="N83" t="s">
        <v>7</v>
      </c>
      <c r="P83">
        <f t="shared" ref="P83" si="390">IF(C83=D83,0,((E83-D83)-(C83-E83))/(C83-D83))</f>
        <v>-0.43736730360934317</v>
      </c>
      <c r="Q83">
        <f t="shared" ref="Q83" si="391">F83*P83</f>
        <v>-28919129719.384377</v>
      </c>
      <c r="R83">
        <f t="shared" ref="R83" si="392">R84+Q83</f>
        <v>-1468676971678.634</v>
      </c>
      <c r="S83">
        <f t="shared" ref="S83" si="393">R83/100000</f>
        <v>-14686769.71678634</v>
      </c>
      <c r="T83">
        <f t="shared" ref="T83" si="394">S83/1000</f>
        <v>-14686.769716786341</v>
      </c>
    </row>
    <row r="84" spans="1:20" x14ac:dyDescent="0.25">
      <c r="A84" s="5">
        <v>44509</v>
      </c>
      <c r="B84">
        <v>7.7039999999999997E-4</v>
      </c>
      <c r="C84">
        <v>7.94E-4</v>
      </c>
      <c r="D84">
        <v>7.2800000000000002E-4</v>
      </c>
      <c r="E84">
        <v>7.4819999999999997E-4</v>
      </c>
      <c r="F84">
        <v>44480829122</v>
      </c>
      <c r="G84">
        <v>7.4819999999999997E-4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-0.38787878787878921</v>
      </c>
      <c r="Q84">
        <f t="shared" ref="Q84" si="396">F84*P84</f>
        <v>-17253170083.684906</v>
      </c>
      <c r="R84">
        <f t="shared" ref="R84" si="397">R85+Q84</f>
        <v>-1439757841959.2498</v>
      </c>
      <c r="S84">
        <f t="shared" ref="S84" si="398">R84/100000</f>
        <v>-14397578.419592498</v>
      </c>
      <c r="T84">
        <f t="shared" ref="T84" si="399">S84/1000</f>
        <v>-14397.578419592497</v>
      </c>
    </row>
    <row r="85" spans="1:20" x14ac:dyDescent="0.25">
      <c r="A85" s="5">
        <v>44508</v>
      </c>
      <c r="B85">
        <v>7.339E-4</v>
      </c>
      <c r="C85">
        <v>7.9989999999999998E-4</v>
      </c>
      <c r="D85">
        <v>7.2400000000000003E-4</v>
      </c>
      <c r="E85">
        <v>7.7050000000000003E-4</v>
      </c>
      <c r="F85">
        <v>74262837143</v>
      </c>
      <c r="G85">
        <v>7.7050000000000003E-4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0.22529644268774768</v>
      </c>
      <c r="Q85">
        <f t="shared" ref="Q85" si="401">F85*P85</f>
        <v>16731153032.21744</v>
      </c>
      <c r="R85">
        <f t="shared" ref="R85" si="402">R86+Q85</f>
        <v>-1422504671875.5649</v>
      </c>
      <c r="S85">
        <f t="shared" ref="S85" si="403">R85/100000</f>
        <v>-14225046.718755649</v>
      </c>
      <c r="T85">
        <f t="shared" ref="T85" si="404">S85/1000</f>
        <v>-14225.04671875565</v>
      </c>
    </row>
    <row r="86" spans="1:20" x14ac:dyDescent="0.25">
      <c r="A86" s="5">
        <v>44507</v>
      </c>
      <c r="B86">
        <v>7.2990000000000001E-4</v>
      </c>
      <c r="C86">
        <v>7.5259999999999997E-4</v>
      </c>
      <c r="D86">
        <v>7.2099999999999996E-4</v>
      </c>
      <c r="E86">
        <v>7.339E-4</v>
      </c>
      <c r="F86">
        <v>37186830018</v>
      </c>
      <c r="G86">
        <v>7.339E-4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-0.18354430379746589</v>
      </c>
      <c r="Q86">
        <f t="shared" ref="Q86" si="406">F86*P86</f>
        <v>-6825430826.0885162</v>
      </c>
      <c r="R86">
        <f t="shared" ref="R86" si="407">R87+Q86</f>
        <v>-1439235824907.7825</v>
      </c>
      <c r="S86">
        <f t="shared" ref="S86" si="408">R86/100000</f>
        <v>-14392358.249077825</v>
      </c>
      <c r="T86">
        <f t="shared" ref="T86" si="409">S86/1000</f>
        <v>-14392.358249077824</v>
      </c>
    </row>
    <row r="87" spans="1:20" x14ac:dyDescent="0.25">
      <c r="A87" s="5">
        <v>44506</v>
      </c>
      <c r="B87">
        <v>7.2729999999999995E-4</v>
      </c>
      <c r="C87">
        <v>7.6499999999999995E-4</v>
      </c>
      <c r="D87">
        <v>7.0430000000000004E-4</v>
      </c>
      <c r="E87">
        <v>7.2999999999999996E-4</v>
      </c>
      <c r="F87">
        <v>51347778953</v>
      </c>
      <c r="G87">
        <v>7.2999999999999996E-4</v>
      </c>
      <c r="L87" t="s">
        <v>8</v>
      </c>
      <c r="M87" t="s">
        <v>8</v>
      </c>
      <c r="N87" t="s">
        <v>7</v>
      </c>
      <c r="P87">
        <f t="shared" ref="P87" si="410">IF(C87=D87,0,((E87-D87)-(C87-E87))/(C87-D87))</f>
        <v>-0.15321252059308202</v>
      </c>
      <c r="Q87">
        <f t="shared" ref="Q87" si="411">F87*P87</f>
        <v>-7867122640.2455359</v>
      </c>
      <c r="R87">
        <f t="shared" ref="R87" si="412">R88+Q87</f>
        <v>-1432410394081.6938</v>
      </c>
      <c r="S87">
        <f t="shared" ref="S87" si="413">R87/100000</f>
        <v>-14324103.940816939</v>
      </c>
      <c r="T87">
        <f t="shared" ref="T87" si="414">S87/1000</f>
        <v>-14324.103940816938</v>
      </c>
    </row>
    <row r="88" spans="1:20" x14ac:dyDescent="0.25">
      <c r="A88" s="5">
        <v>44505</v>
      </c>
      <c r="B88">
        <v>7.1170000000000001E-4</v>
      </c>
      <c r="C88">
        <v>8.0000000000000004E-4</v>
      </c>
      <c r="D88">
        <v>6.9700000000000003E-4</v>
      </c>
      <c r="E88">
        <v>7.2760000000000001E-4</v>
      </c>
      <c r="F88">
        <v>85050065402</v>
      </c>
      <c r="G88">
        <v>7.2760000000000001E-4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-0.40582524271844694</v>
      </c>
      <c r="Q88">
        <f t="shared" ref="Q88" si="416">F88*P88</f>
        <v>-34515463434.986435</v>
      </c>
      <c r="R88">
        <f t="shared" ref="R88" si="417">R89+Q88</f>
        <v>-1424543271441.4482</v>
      </c>
      <c r="S88">
        <f t="shared" ref="S88" si="418">R88/100000</f>
        <v>-14245432.714414483</v>
      </c>
      <c r="T88">
        <f t="shared" ref="T88" si="419">S88/1000</f>
        <v>-14245.432714414483</v>
      </c>
    </row>
    <row r="89" spans="1:20" x14ac:dyDescent="0.25">
      <c r="A89" s="5">
        <v>44504</v>
      </c>
      <c r="B89">
        <v>7.406E-4</v>
      </c>
      <c r="C89">
        <v>7.5880000000000001E-4</v>
      </c>
      <c r="D89">
        <v>6.8000000000000005E-4</v>
      </c>
      <c r="E89">
        <v>7.1170000000000001E-4</v>
      </c>
      <c r="F89">
        <v>55548027949</v>
      </c>
      <c r="G89">
        <v>7.1170000000000001E-4</v>
      </c>
      <c r="L89" t="s">
        <v>8</v>
      </c>
      <c r="M89" t="s">
        <v>7</v>
      </c>
      <c r="N89" t="s">
        <v>7</v>
      </c>
      <c r="P89">
        <f t="shared" ref="P89" si="420">IF(C89=D89,0,((E89-D89)-(C89-E89))/(C89-D89))</f>
        <v>-0.195431472081219</v>
      </c>
      <c r="Q89">
        <f t="shared" ref="Q89" si="421">F89*P89</f>
        <v>-10855832873.281767</v>
      </c>
      <c r="R89">
        <f t="shared" ref="R89" si="422">R90+Q89</f>
        <v>-1390027808006.4619</v>
      </c>
      <c r="S89">
        <f t="shared" ref="S89" si="423">R89/100000</f>
        <v>-13900278.080064619</v>
      </c>
      <c r="T89">
        <f t="shared" ref="T89" si="424">S89/1000</f>
        <v>-13900.27808006462</v>
      </c>
    </row>
    <row r="90" spans="1:20" x14ac:dyDescent="0.25">
      <c r="A90" s="5">
        <v>44503</v>
      </c>
      <c r="B90">
        <v>8.007E-4</v>
      </c>
      <c r="C90">
        <v>8.2280000000000005E-4</v>
      </c>
      <c r="D90">
        <v>7.3499999999999998E-4</v>
      </c>
      <c r="E90">
        <v>7.406E-4</v>
      </c>
      <c r="F90">
        <v>55246876049</v>
      </c>
      <c r="G90">
        <v>7.406E-4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-0.87243735763097896</v>
      </c>
      <c r="Q90">
        <f t="shared" ref="Q90" si="426">F90*P90</f>
        <v>-48199438557.555779</v>
      </c>
      <c r="R90">
        <f t="shared" ref="R90" si="427">R91+Q90</f>
        <v>-1379171975133.1802</v>
      </c>
      <c r="S90">
        <f t="shared" ref="S90" si="428">R90/100000</f>
        <v>-13791719.751331802</v>
      </c>
      <c r="T90">
        <f t="shared" ref="T90" si="429">S90/1000</f>
        <v>-13791.719751331802</v>
      </c>
    </row>
    <row r="91" spans="1:20" x14ac:dyDescent="0.25">
      <c r="A91" s="5">
        <v>44502</v>
      </c>
      <c r="B91">
        <v>7.9639999999999995E-4</v>
      </c>
      <c r="C91">
        <v>8.5269999999999996E-4</v>
      </c>
      <c r="D91">
        <v>7.8189999999999998E-4</v>
      </c>
      <c r="E91">
        <v>8.0079999999999995E-4</v>
      </c>
      <c r="F91">
        <v>88483158392</v>
      </c>
      <c r="G91">
        <v>8.0079999999999995E-4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-0.46610169491525494</v>
      </c>
      <c r="Q91">
        <f t="shared" ref="Q91" si="431">F91*P91</f>
        <v>-41242150097.966164</v>
      </c>
      <c r="R91">
        <f t="shared" ref="R91" si="432">R92+Q91</f>
        <v>-1330972536575.6245</v>
      </c>
      <c r="S91">
        <f t="shared" ref="S91" si="433">R91/100000</f>
        <v>-13309725.365756245</v>
      </c>
      <c r="T91">
        <f t="shared" ref="T91" si="434">S91/1000</f>
        <v>-13309.725365756245</v>
      </c>
    </row>
    <row r="92" spans="1:20" x14ac:dyDescent="0.25">
      <c r="A92" s="5">
        <v>44501</v>
      </c>
      <c r="B92">
        <v>7.9469999999999996E-4</v>
      </c>
      <c r="C92">
        <v>8.6499999999999999E-4</v>
      </c>
      <c r="D92">
        <v>7.5000000000000002E-4</v>
      </c>
      <c r="E92">
        <v>7.963E-4</v>
      </c>
      <c r="F92">
        <v>102093789501</v>
      </c>
      <c r="G92">
        <v>7.963E-4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-0.19478260869565223</v>
      </c>
      <c r="Q92">
        <f t="shared" ref="Q92" si="436">F92*P92</f>
        <v>-19886094650.62957</v>
      </c>
      <c r="R92">
        <f t="shared" ref="R92" si="437">R93+Q92</f>
        <v>-1289730386477.6584</v>
      </c>
      <c r="S92">
        <f t="shared" ref="S92" si="438">R92/100000</f>
        <v>-12897303.864776585</v>
      </c>
      <c r="T92">
        <f t="shared" ref="T92" si="439">S92/1000</f>
        <v>-12897.303864776586</v>
      </c>
    </row>
    <row r="93" spans="1:20" x14ac:dyDescent="0.25">
      <c r="A93" s="5">
        <v>44500</v>
      </c>
      <c r="B93">
        <v>7.8050000000000005E-4</v>
      </c>
      <c r="C93">
        <v>9.8499999999999998E-4</v>
      </c>
      <c r="D93">
        <v>7.4439999999999999E-4</v>
      </c>
      <c r="E93">
        <v>7.9370000000000005E-4</v>
      </c>
      <c r="F93">
        <v>346804338715</v>
      </c>
      <c r="G93">
        <v>7.9370000000000005E-4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-0.59019118869492881</v>
      </c>
      <c r="Q93">
        <f t="shared" ref="Q93" si="441">F93*P93</f>
        <v>-204680864910.76456</v>
      </c>
      <c r="R93">
        <f t="shared" ref="R93" si="442">R94+Q93</f>
        <v>-1269844291827.0288</v>
      </c>
      <c r="S93">
        <f t="shared" ref="S93" si="443">R93/100000</f>
        <v>-12698442.918270288</v>
      </c>
      <c r="T93">
        <f t="shared" ref="T93" si="444">S93/1000</f>
        <v>-12698.442918270288</v>
      </c>
    </row>
    <row r="94" spans="1:20" x14ac:dyDescent="0.25">
      <c r="A94" s="5">
        <v>44499</v>
      </c>
      <c r="B94">
        <v>6.3889999999999997E-4</v>
      </c>
      <c r="C94">
        <v>9.8999999999999999E-4</v>
      </c>
      <c r="D94">
        <v>6.1850000000000002E-4</v>
      </c>
      <c r="E94">
        <v>7.804E-4</v>
      </c>
      <c r="F94">
        <v>552863626408</v>
      </c>
      <c r="G94">
        <v>7.804E-4</v>
      </c>
      <c r="L94" t="s">
        <v>7</v>
      </c>
      <c r="M94" t="s">
        <v>8</v>
      </c>
      <c r="N94" t="s">
        <v>8</v>
      </c>
      <c r="P94">
        <f t="shared" ref="P94" si="445">IF(C94=D94,0,((E94-D94)-(C94-E94))/(C94-D94))</f>
        <v>-0.12839838492597583</v>
      </c>
      <c r="Q94">
        <f t="shared" ref="Q94" si="446">F94*P94</f>
        <v>-70986796715.105286</v>
      </c>
      <c r="R94">
        <f t="shared" ref="R94" si="447">R95+Q94</f>
        <v>-1065163426916.2642</v>
      </c>
      <c r="S94">
        <f t="shared" ref="S94" si="448">R94/100000</f>
        <v>-10651634.269162642</v>
      </c>
      <c r="T94">
        <f t="shared" ref="T94" si="449">S94/1000</f>
        <v>-10651.634269162641</v>
      </c>
    </row>
    <row r="95" spans="1:20" x14ac:dyDescent="0.25">
      <c r="A95" s="5">
        <v>44498</v>
      </c>
      <c r="B95">
        <v>5.8529999999999997E-4</v>
      </c>
      <c r="C95">
        <v>6.4000000000000005E-4</v>
      </c>
      <c r="D95">
        <v>5.7760000000000005E-4</v>
      </c>
      <c r="E95">
        <v>6.3889999999999997E-4</v>
      </c>
      <c r="F95">
        <v>75540800276</v>
      </c>
      <c r="G95">
        <v>6.3889999999999997E-4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0.96474358974358709</v>
      </c>
      <c r="Q95">
        <f t="shared" ref="Q95" si="451">F95*P95</f>
        <v>72877502830.371597</v>
      </c>
      <c r="R95">
        <f t="shared" ref="R95" si="452">R96+Q95</f>
        <v>-994176630201.15881</v>
      </c>
      <c r="S95">
        <f t="shared" ref="S95" si="453">R95/100000</f>
        <v>-9941766.3020115886</v>
      </c>
      <c r="T95">
        <f t="shared" ref="T95" si="454">S95/1000</f>
        <v>-9941.7663020115888</v>
      </c>
    </row>
    <row r="96" spans="1:20" x14ac:dyDescent="0.25">
      <c r="A96" s="5">
        <v>44497</v>
      </c>
      <c r="B96">
        <v>5.6119999999999998E-4</v>
      </c>
      <c r="C96">
        <v>6.089E-4</v>
      </c>
      <c r="D96">
        <v>5.5199999999999997E-4</v>
      </c>
      <c r="E96">
        <v>5.8549999999999997E-4</v>
      </c>
      <c r="F96">
        <v>81057644365</v>
      </c>
      <c r="G96">
        <v>5.8549999999999997E-4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0.17750439367311019</v>
      </c>
      <c r="Q96">
        <f t="shared" ref="Q96" si="456">F96*P96</f>
        <v>14388088015.579922</v>
      </c>
      <c r="R96">
        <f t="shared" ref="R96" si="457">R97+Q96</f>
        <v>-1067054133031.5304</v>
      </c>
      <c r="S96">
        <f t="shared" ref="S96" si="458">R96/100000</f>
        <v>-10670541.330315303</v>
      </c>
      <c r="T96">
        <f t="shared" ref="T96" si="459">S96/1000</f>
        <v>-10670.541330315304</v>
      </c>
    </row>
    <row r="97" spans="1:20" x14ac:dyDescent="0.25">
      <c r="A97" s="5">
        <v>44496</v>
      </c>
      <c r="B97">
        <v>6.288E-4</v>
      </c>
      <c r="C97">
        <v>6.4000000000000005E-4</v>
      </c>
      <c r="D97">
        <v>5.4060000000000002E-4</v>
      </c>
      <c r="E97">
        <v>5.6119999999999998E-4</v>
      </c>
      <c r="F97">
        <v>70741629333</v>
      </c>
      <c r="G97">
        <v>5.6119999999999998E-4</v>
      </c>
      <c r="L97" t="s">
        <v>8</v>
      </c>
      <c r="M97" t="s">
        <v>7</v>
      </c>
      <c r="N97" t="s">
        <v>8</v>
      </c>
      <c r="P97">
        <f t="shared" ref="P97" si="460">IF(C97=D97,0,((E97-D97)-(C97-E97))/(C97-D97))</f>
        <v>-0.5855130784708259</v>
      </c>
      <c r="Q97">
        <f t="shared" ref="Q97" si="461">F97*P97</f>
        <v>-41420149166.806908</v>
      </c>
      <c r="R97">
        <f t="shared" ref="R97" si="462">R98+Q97</f>
        <v>-1081442221047.1104</v>
      </c>
      <c r="S97">
        <f t="shared" ref="S97" si="463">R97/100000</f>
        <v>-10814422.210471103</v>
      </c>
      <c r="T97">
        <f t="shared" ref="T97" si="464">S97/1000</f>
        <v>-10814.422210471103</v>
      </c>
    </row>
    <row r="98" spans="1:20" x14ac:dyDescent="0.25">
      <c r="A98" s="5">
        <v>44495</v>
      </c>
      <c r="B98">
        <v>6.355E-4</v>
      </c>
      <c r="C98">
        <v>6.6049999999999995E-4</v>
      </c>
      <c r="D98">
        <v>6.2E-4</v>
      </c>
      <c r="E98">
        <v>6.288E-4</v>
      </c>
      <c r="F98">
        <v>58388692840</v>
      </c>
      <c r="G98">
        <v>6.288E-4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-0.56543209876543177</v>
      </c>
      <c r="Q98">
        <f t="shared" ref="Q98" si="466">F98*P98</f>
        <v>-33014841136.691338</v>
      </c>
      <c r="R98">
        <f t="shared" ref="R98" si="467">R99+Q98</f>
        <v>-1040022071880.3035</v>
      </c>
      <c r="S98">
        <f t="shared" ref="S98" si="468">R98/100000</f>
        <v>-10400220.718803035</v>
      </c>
      <c r="T98">
        <f t="shared" ref="T98" si="469">S98/1000</f>
        <v>-10400.220718803035</v>
      </c>
    </row>
    <row r="99" spans="1:20" x14ac:dyDescent="0.25">
      <c r="A99" s="5">
        <v>44494</v>
      </c>
      <c r="B99">
        <v>6.0079999999999997E-4</v>
      </c>
      <c r="C99">
        <v>6.7000000000000002E-4</v>
      </c>
      <c r="D99">
        <v>5.9409999999999997E-4</v>
      </c>
      <c r="E99">
        <v>6.3529999999999999E-4</v>
      </c>
      <c r="F99">
        <v>67005613344</v>
      </c>
      <c r="G99">
        <v>6.3529999999999999E-4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8.5638998682476819E-2</v>
      </c>
      <c r="Q99">
        <f t="shared" ref="Q99" si="471">F99*P99</f>
        <v>5738293632.8853674</v>
      </c>
      <c r="R99">
        <f t="shared" ref="R99" si="472">R100+Q99</f>
        <v>-1007007230743.6122</v>
      </c>
      <c r="S99">
        <f t="shared" ref="S99" si="473">R99/100000</f>
        <v>-10070072.307436122</v>
      </c>
      <c r="T99">
        <f t="shared" ref="T99" si="474">S99/1000</f>
        <v>-10070.072307436121</v>
      </c>
    </row>
    <row r="100" spans="1:20" x14ac:dyDescent="0.25">
      <c r="A100" s="5">
        <v>44493</v>
      </c>
      <c r="B100">
        <v>6.1839999999999996E-4</v>
      </c>
      <c r="C100">
        <v>6.2500000000000001E-4</v>
      </c>
      <c r="D100">
        <v>5.8359999999999998E-4</v>
      </c>
      <c r="E100">
        <v>6.0050000000000001E-4</v>
      </c>
      <c r="F100">
        <v>50032519382</v>
      </c>
      <c r="G100">
        <v>6.0050000000000001E-4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-0.18357487922705223</v>
      </c>
      <c r="Q100">
        <f t="shared" ref="Q100" si="476">F100*P100</f>
        <v>-9184713702.9757996</v>
      </c>
      <c r="R100">
        <f t="shared" ref="R100" si="477">R101+Q100</f>
        <v>-1012745524376.4976</v>
      </c>
      <c r="S100">
        <f t="shared" ref="S100" si="478">R100/100000</f>
        <v>-10127455.243764976</v>
      </c>
      <c r="T100">
        <f t="shared" ref="T100" si="479">S100/1000</f>
        <v>-10127.455243764976</v>
      </c>
    </row>
    <row r="101" spans="1:20" x14ac:dyDescent="0.25">
      <c r="A101" s="5">
        <v>44492</v>
      </c>
      <c r="B101">
        <v>6.0800000000000003E-4</v>
      </c>
      <c r="C101">
        <v>6.2850000000000004E-4</v>
      </c>
      <c r="D101">
        <v>5.9920000000000004E-4</v>
      </c>
      <c r="E101">
        <v>6.1850000000000002E-4</v>
      </c>
      <c r="F101">
        <v>40435872516</v>
      </c>
      <c r="G101">
        <v>6.1850000000000002E-4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0.31740614334470829</v>
      </c>
      <c r="Q101">
        <f t="shared" ref="Q101" si="481">F101*P101</f>
        <v>12834594348.081846</v>
      </c>
      <c r="R101">
        <f t="shared" ref="R101" si="482">R102+Q101</f>
        <v>-1003560810673.5217</v>
      </c>
      <c r="S101">
        <f t="shared" ref="S101" si="483">R101/100000</f>
        <v>-10035608.106735216</v>
      </c>
      <c r="T101">
        <f t="shared" ref="T101" si="484">S101/1000</f>
        <v>-10035.608106735217</v>
      </c>
    </row>
    <row r="102" spans="1:20" x14ac:dyDescent="0.25">
      <c r="A102" s="5">
        <v>44491</v>
      </c>
      <c r="B102">
        <v>6.2029999999999995E-4</v>
      </c>
      <c r="C102">
        <v>6.3599999999999996E-4</v>
      </c>
      <c r="D102">
        <v>5.9889999999999997E-4</v>
      </c>
      <c r="E102">
        <v>6.0800000000000003E-4</v>
      </c>
      <c r="F102">
        <v>42131055264</v>
      </c>
      <c r="G102">
        <v>6.0800000000000003E-4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-0.5094339622641475</v>
      </c>
      <c r="Q102">
        <f t="shared" ref="Q102" si="486">F102*P102</f>
        <v>-21462990417.509289</v>
      </c>
      <c r="R102">
        <f t="shared" ref="R102" si="487">R103+Q102</f>
        <v>-1016395405021.6035</v>
      </c>
      <c r="S102">
        <f t="shared" ref="S102" si="488">R102/100000</f>
        <v>-10163954.050216036</v>
      </c>
      <c r="T102">
        <f t="shared" ref="T102" si="489">S102/1000</f>
        <v>-10163.954050216036</v>
      </c>
    </row>
    <row r="103" spans="1:20" x14ac:dyDescent="0.25">
      <c r="A103" s="5">
        <v>44490</v>
      </c>
      <c r="B103">
        <v>6.514E-4</v>
      </c>
      <c r="C103">
        <v>6.7069999999999999E-4</v>
      </c>
      <c r="D103">
        <v>6.1910000000000003E-4</v>
      </c>
      <c r="E103">
        <v>6.2040000000000001E-4</v>
      </c>
      <c r="F103">
        <v>55082538337</v>
      </c>
      <c r="G103">
        <v>6.2040000000000001E-4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-0.94961240310077599</v>
      </c>
      <c r="Q103">
        <f t="shared" ref="Q103" si="491">F103*P103</f>
        <v>-52307061599.089188</v>
      </c>
      <c r="R103">
        <f t="shared" ref="R103" si="492">R104+Q103</f>
        <v>-994932414604.09424</v>
      </c>
      <c r="S103">
        <f t="shared" ref="S103" si="493">R103/100000</f>
        <v>-9949324.1460409425</v>
      </c>
      <c r="T103">
        <f t="shared" ref="T103" si="494">S103/1000</f>
        <v>-9949.3241460409427</v>
      </c>
    </row>
    <row r="104" spans="1:20" x14ac:dyDescent="0.25">
      <c r="A104" s="5">
        <v>44489</v>
      </c>
      <c r="B104">
        <v>6.3409999999999996E-4</v>
      </c>
      <c r="C104">
        <v>6.8499999999999995E-4</v>
      </c>
      <c r="D104">
        <v>6.2699999999999995E-4</v>
      </c>
      <c r="E104">
        <v>6.5129999999999995E-4</v>
      </c>
      <c r="F104">
        <v>65931470752</v>
      </c>
      <c r="G104">
        <v>6.5129999999999995E-4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-0.16206896551724159</v>
      </c>
      <c r="Q104">
        <f t="shared" ref="Q104" si="496">F104*P104</f>
        <v>-10685445259.806911</v>
      </c>
      <c r="R104">
        <f t="shared" ref="R104" si="497">R105+Q104</f>
        <v>-942625353005.005</v>
      </c>
      <c r="S104">
        <f t="shared" ref="S104" si="498">R104/100000</f>
        <v>-9426253.5300500505</v>
      </c>
      <c r="T104">
        <f t="shared" ref="T104" si="499">S104/1000</f>
        <v>-9426.2535300500513</v>
      </c>
    </row>
    <row r="105" spans="1:20" x14ac:dyDescent="0.25">
      <c r="A105" s="5">
        <v>44488</v>
      </c>
      <c r="B105">
        <v>6.4309999999999997E-4</v>
      </c>
      <c r="C105">
        <v>6.5399999999999996E-4</v>
      </c>
      <c r="D105">
        <v>6.2399999999999999E-4</v>
      </c>
      <c r="E105">
        <v>6.3400000000000001E-4</v>
      </c>
      <c r="F105">
        <v>47681793250</v>
      </c>
      <c r="G105">
        <v>6.3400000000000001E-4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-0.33333333333333093</v>
      </c>
      <c r="Q105">
        <f t="shared" ref="Q105" si="501">F105*P105</f>
        <v>-15893931083.33322</v>
      </c>
      <c r="R105">
        <f t="shared" ref="R105" si="502">R106+Q105</f>
        <v>-931939907745.19812</v>
      </c>
      <c r="S105">
        <f t="shared" ref="S105" si="503">R105/100000</f>
        <v>-9319399.0774519816</v>
      </c>
      <c r="T105">
        <f t="shared" ref="T105" si="504">S105/1000</f>
        <v>-9319.3990774519807</v>
      </c>
    </row>
    <row r="106" spans="1:20" x14ac:dyDescent="0.25">
      <c r="A106" s="5">
        <v>44487</v>
      </c>
      <c r="B106">
        <v>6.3619999999999996E-4</v>
      </c>
      <c r="C106">
        <v>7.2000000000000005E-4</v>
      </c>
      <c r="D106">
        <v>6.1879999999999997E-4</v>
      </c>
      <c r="E106">
        <v>6.4320000000000002E-4</v>
      </c>
      <c r="F106">
        <v>132285986652</v>
      </c>
      <c r="G106">
        <v>6.4320000000000002E-4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-0.51778656126482148</v>
      </c>
      <c r="Q106">
        <f t="shared" ref="Q106" si="506">F106*P106</f>
        <v>-68495906132.063156</v>
      </c>
      <c r="R106">
        <f t="shared" ref="R106" si="507">R107+Q106</f>
        <v>-916045976661.86487</v>
      </c>
      <c r="S106">
        <f t="shared" ref="S106" si="508">R106/100000</f>
        <v>-9160459.7666186485</v>
      </c>
      <c r="T106">
        <f t="shared" ref="T106" si="509">S106/1000</f>
        <v>-9160.4597666186492</v>
      </c>
    </row>
    <row r="107" spans="1:20" x14ac:dyDescent="0.25">
      <c r="A107" s="5">
        <v>44486</v>
      </c>
      <c r="B107">
        <v>5.8279999999999996E-4</v>
      </c>
      <c r="C107">
        <v>7.45E-4</v>
      </c>
      <c r="D107">
        <v>5.7899999999999998E-4</v>
      </c>
      <c r="E107">
        <v>6.3619999999999996E-4</v>
      </c>
      <c r="F107">
        <v>227088984208</v>
      </c>
      <c r="G107">
        <v>6.3619999999999996E-4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-0.31084337349397623</v>
      </c>
      <c r="Q107">
        <f t="shared" ref="Q107" si="511">F107*P107</f>
        <v>-70589105934.535019</v>
      </c>
      <c r="R107">
        <f t="shared" ref="R107" si="512">R108+Q107</f>
        <v>-847550070529.80176</v>
      </c>
      <c r="S107">
        <f t="shared" ref="S107" si="513">R107/100000</f>
        <v>-8475500.7052980177</v>
      </c>
      <c r="T107">
        <f t="shared" ref="T107" si="514">S107/1000</f>
        <v>-8475.5007052980181</v>
      </c>
    </row>
    <row r="108" spans="1:20" x14ac:dyDescent="0.25">
      <c r="A108" s="5">
        <v>44485</v>
      </c>
      <c r="B108">
        <v>5.6720000000000002E-4</v>
      </c>
      <c r="C108">
        <v>6.0959999999999996E-4</v>
      </c>
      <c r="D108">
        <v>5.6369999999999999E-4</v>
      </c>
      <c r="E108">
        <v>5.8299999999999997E-4</v>
      </c>
      <c r="F108">
        <v>52055886352</v>
      </c>
      <c r="G108">
        <v>5.8299999999999997E-4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-0.15904139433551237</v>
      </c>
      <c r="Q108">
        <f t="shared" ref="Q108" si="516">F108*P108</f>
        <v>-8279040748.7930489</v>
      </c>
      <c r="R108">
        <f t="shared" ref="R108" si="517">R109+Q108</f>
        <v>-776960964595.26672</v>
      </c>
      <c r="S108">
        <f t="shared" ref="S108" si="518">R108/100000</f>
        <v>-7769609.6459526671</v>
      </c>
      <c r="T108">
        <f t="shared" ref="T108" si="519">S108/1000</f>
        <v>-7769.6096459526671</v>
      </c>
    </row>
    <row r="109" spans="1:20" x14ac:dyDescent="0.25">
      <c r="A109" s="5">
        <v>44484</v>
      </c>
      <c r="B109">
        <v>5.7430000000000003E-4</v>
      </c>
      <c r="C109">
        <v>6.2270000000000001E-4</v>
      </c>
      <c r="D109">
        <v>5.4969999999999997E-4</v>
      </c>
      <c r="E109">
        <v>5.6749999999999997E-4</v>
      </c>
      <c r="F109">
        <v>69261714028</v>
      </c>
      <c r="G109">
        <v>5.6749999999999997E-4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-0.51232876712328801</v>
      </c>
      <c r="Q109">
        <f t="shared" ref="Q109" si="521">F109*P109</f>
        <v>-35484768556.810982</v>
      </c>
      <c r="R109">
        <f t="shared" ref="R109" si="522">R110+Q109</f>
        <v>-768681923846.47363</v>
      </c>
      <c r="S109">
        <f t="shared" ref="S109" si="523">R109/100000</f>
        <v>-7686819.2384647364</v>
      </c>
      <c r="T109">
        <f t="shared" ref="T109" si="524">S109/1000</f>
        <v>-7686.8192384647364</v>
      </c>
    </row>
    <row r="110" spans="1:20" x14ac:dyDescent="0.25">
      <c r="A110" s="5">
        <v>44483</v>
      </c>
      <c r="B110">
        <v>5.3939999999999999E-4</v>
      </c>
      <c r="C110">
        <v>6.1700000000000004E-4</v>
      </c>
      <c r="D110">
        <v>5.354E-4</v>
      </c>
      <c r="E110">
        <v>5.7430000000000003E-4</v>
      </c>
      <c r="F110">
        <v>82673017959</v>
      </c>
      <c r="G110">
        <v>5.7430000000000003E-4</v>
      </c>
      <c r="L110" t="s">
        <v>7</v>
      </c>
      <c r="M110" t="s">
        <v>8</v>
      </c>
      <c r="N110" t="s">
        <v>8</v>
      </c>
      <c r="P110">
        <f t="shared" ref="P110" si="525">IF(C110=D110,0,((E110-D110)-(C110-E110))/(C110-D110))</f>
        <v>-4.6568627450980178E-2</v>
      </c>
      <c r="Q110">
        <f t="shared" ref="Q110" si="526">F110*P110</f>
        <v>-3849968973.5808644</v>
      </c>
      <c r="R110">
        <f t="shared" ref="R110" si="527">R111+Q110</f>
        <v>-733197155289.6626</v>
      </c>
      <c r="S110">
        <f t="shared" ref="S110" si="528">R110/100000</f>
        <v>-7331971.5528966263</v>
      </c>
      <c r="T110">
        <f t="shared" ref="T110" si="529">S110/1000</f>
        <v>-7331.9715528966262</v>
      </c>
    </row>
    <row r="111" spans="1:20" x14ac:dyDescent="0.25">
      <c r="A111" s="5">
        <v>44482</v>
      </c>
      <c r="B111">
        <v>5.2170000000000005E-4</v>
      </c>
      <c r="C111">
        <v>5.4609999999999999E-4</v>
      </c>
      <c r="D111">
        <v>5.1159999999999997E-4</v>
      </c>
      <c r="E111">
        <v>5.3939999999999999E-4</v>
      </c>
      <c r="F111">
        <v>40046407886</v>
      </c>
      <c r="G111">
        <v>5.3939999999999999E-4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0.61159420289855104</v>
      </c>
      <c r="Q111">
        <f t="shared" ref="Q111" si="531">F111*P111</f>
        <v>24492150909.988419</v>
      </c>
      <c r="R111">
        <f t="shared" ref="R111" si="532">R112+Q111</f>
        <v>-729347186316.08179</v>
      </c>
      <c r="S111">
        <f t="shared" ref="S111" si="533">R111/100000</f>
        <v>-7293471.8631608179</v>
      </c>
      <c r="T111">
        <f t="shared" ref="T111" si="534">S111/1000</f>
        <v>-7293.4718631608175</v>
      </c>
    </row>
    <row r="112" spans="1:20" x14ac:dyDescent="0.25">
      <c r="A112" s="5">
        <v>44481</v>
      </c>
      <c r="B112">
        <v>5.4580000000000004E-4</v>
      </c>
      <c r="C112">
        <v>5.4600000000000004E-4</v>
      </c>
      <c r="D112">
        <v>4.9680000000000004E-4</v>
      </c>
      <c r="E112">
        <v>5.218E-4</v>
      </c>
      <c r="F112">
        <v>31573144151</v>
      </c>
      <c r="G112">
        <v>5.218E-4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1.6260162601624207E-2</v>
      </c>
      <c r="Q112">
        <f t="shared" ref="Q112" si="536">F112*P112</f>
        <v>513384457.73978025</v>
      </c>
      <c r="R112">
        <f t="shared" ref="R112" si="537">R113+Q112</f>
        <v>-753839337226.07019</v>
      </c>
      <c r="S112">
        <f t="shared" ref="S112" si="538">R112/100000</f>
        <v>-7538393.3722607018</v>
      </c>
      <c r="T112">
        <f t="shared" ref="T112" si="539">S112/1000</f>
        <v>-7538.3933722607017</v>
      </c>
    </row>
    <row r="113" spans="1:20" x14ac:dyDescent="0.25">
      <c r="A113" s="5">
        <v>44480</v>
      </c>
      <c r="B113">
        <v>5.2829999999999999E-4</v>
      </c>
      <c r="C113">
        <v>5.5599999999999996E-4</v>
      </c>
      <c r="D113">
        <v>5.2349999999999999E-4</v>
      </c>
      <c r="E113">
        <v>5.4580000000000004E-4</v>
      </c>
      <c r="F113">
        <v>27383903995</v>
      </c>
      <c r="G113">
        <v>5.4580000000000004E-4</v>
      </c>
      <c r="L113" t="s">
        <v>8</v>
      </c>
      <c r="M113" t="s">
        <v>7</v>
      </c>
      <c r="N113" t="s">
        <v>8</v>
      </c>
      <c r="P113">
        <f t="shared" ref="P113" si="540">IF(C113=D113,0,((E113-D113)-(C113-E113))/(C113-D113))</f>
        <v>0.37230769230769661</v>
      </c>
      <c r="Q113">
        <f t="shared" ref="Q113" si="541">F113*P113</f>
        <v>10195238102.753963</v>
      </c>
      <c r="R113">
        <f t="shared" ref="R113" si="542">R114+Q113</f>
        <v>-754352721683.80994</v>
      </c>
      <c r="S113">
        <f t="shared" ref="S113" si="543">R113/100000</f>
        <v>-7543527.2168380991</v>
      </c>
      <c r="T113">
        <f t="shared" ref="T113" si="544">S113/1000</f>
        <v>-7543.5272168380989</v>
      </c>
    </row>
    <row r="114" spans="1:20" x14ac:dyDescent="0.25">
      <c r="A114" s="5">
        <v>44479</v>
      </c>
      <c r="B114">
        <v>5.6499999999999996E-4</v>
      </c>
      <c r="C114">
        <v>5.777E-4</v>
      </c>
      <c r="D114">
        <v>5.2669999999999995E-4</v>
      </c>
      <c r="E114">
        <v>5.285E-4</v>
      </c>
      <c r="F114">
        <v>30103180923</v>
      </c>
      <c r="G114">
        <v>5.285E-4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-0.92941176470588072</v>
      </c>
      <c r="Q114">
        <f t="shared" ref="Q114" si="546">F114*P114</f>
        <v>-27978250504.905834</v>
      </c>
      <c r="R114">
        <f t="shared" ref="R114" si="547">R115+Q114</f>
        <v>-764547959786.56384</v>
      </c>
      <c r="S114">
        <f t="shared" ref="S114" si="548">R114/100000</f>
        <v>-7645479.5978656383</v>
      </c>
      <c r="T114">
        <f t="shared" ref="T114" si="549">S114/1000</f>
        <v>-7645.4795978656384</v>
      </c>
    </row>
    <row r="115" spans="1:20" x14ac:dyDescent="0.25">
      <c r="A115" s="5">
        <v>44478</v>
      </c>
      <c r="B115">
        <v>5.4850000000000005E-4</v>
      </c>
      <c r="C115">
        <v>5.9599999999999996E-4</v>
      </c>
      <c r="D115">
        <v>5.3759999999999995E-4</v>
      </c>
      <c r="E115">
        <v>5.6490000000000002E-4</v>
      </c>
      <c r="F115">
        <v>51340030802</v>
      </c>
      <c r="G115">
        <v>5.6490000000000002E-4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-6.5068493150682791E-2</v>
      </c>
      <c r="Q115">
        <f t="shared" ref="Q115" si="551">F115*P115</f>
        <v>-3340618442.5957804</v>
      </c>
      <c r="R115">
        <f t="shared" ref="R115" si="552">R116+Q115</f>
        <v>-736569709281.65796</v>
      </c>
      <c r="S115">
        <f t="shared" ref="S115" si="553">R115/100000</f>
        <v>-7365697.0928165792</v>
      </c>
      <c r="T115">
        <f t="shared" ref="T115" si="554">S115/1000</f>
        <v>-7365.6970928165792</v>
      </c>
    </row>
    <row r="116" spans="1:20" x14ac:dyDescent="0.25">
      <c r="A116" s="5">
        <v>44477</v>
      </c>
      <c r="B116">
        <v>5.5699999999999999E-4</v>
      </c>
      <c r="C116">
        <v>5.8E-4</v>
      </c>
      <c r="D116">
        <v>5.4129999999999998E-4</v>
      </c>
      <c r="E116">
        <v>5.4779999999999998E-4</v>
      </c>
      <c r="F116">
        <v>55696959254</v>
      </c>
      <c r="G116">
        <v>5.4779999999999998E-4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-0.66408268733850173</v>
      </c>
      <c r="Q116">
        <f t="shared" ref="Q116" si="556">F116*P116</f>
        <v>-36987386377.979355</v>
      </c>
      <c r="R116">
        <f t="shared" ref="R116" si="557">R117+Q116</f>
        <v>-733229090839.06213</v>
      </c>
      <c r="S116">
        <f t="shared" ref="S116" si="558">R116/100000</f>
        <v>-7332290.9083906217</v>
      </c>
      <c r="T116">
        <f t="shared" ref="T116" si="559">S116/1000</f>
        <v>-7332.2909083906216</v>
      </c>
    </row>
    <row r="117" spans="1:20" x14ac:dyDescent="0.25">
      <c r="A117" s="5">
        <v>44476</v>
      </c>
      <c r="B117">
        <v>5.8870000000000005E-4</v>
      </c>
      <c r="C117">
        <v>6.3500000000000004E-4</v>
      </c>
      <c r="D117">
        <v>5.5000000000000003E-4</v>
      </c>
      <c r="E117">
        <v>5.5690000000000004E-4</v>
      </c>
      <c r="F117">
        <v>99297119167</v>
      </c>
      <c r="G117">
        <v>5.5690000000000004E-4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-0.8376470588235293</v>
      </c>
      <c r="Q117">
        <f t="shared" ref="Q117" si="561">F117*P117</f>
        <v>-83175939819.887054</v>
      </c>
      <c r="R117">
        <f t="shared" ref="R117" si="562">R118+Q117</f>
        <v>-696241704461.08276</v>
      </c>
      <c r="S117">
        <f t="shared" ref="S117" si="563">R117/100000</f>
        <v>-6962417.0446108272</v>
      </c>
      <c r="T117">
        <f t="shared" ref="T117" si="564">S117/1000</f>
        <v>-6962.4170446108274</v>
      </c>
    </row>
    <row r="118" spans="1:20" x14ac:dyDescent="0.25">
      <c r="A118" s="5">
        <v>44475</v>
      </c>
      <c r="B118">
        <v>6.0409999999999999E-4</v>
      </c>
      <c r="C118">
        <v>6.6390000000000004E-4</v>
      </c>
      <c r="D118">
        <v>5.1960000000000005E-4</v>
      </c>
      <c r="E118">
        <v>5.8870000000000005E-4</v>
      </c>
      <c r="F118">
        <v>223825929553</v>
      </c>
      <c r="G118">
        <v>5.8870000000000005E-4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-4.2273042273042176E-2</v>
      </c>
      <c r="Q118">
        <f t="shared" ref="Q118" si="566">F118*P118</f>
        <v>-9461802981.7969284</v>
      </c>
      <c r="R118">
        <f t="shared" ref="R118" si="567">R119+Q118</f>
        <v>-613065764641.19568</v>
      </c>
      <c r="S118">
        <f t="shared" ref="S118" si="568">R118/100000</f>
        <v>-6130657.6464119572</v>
      </c>
      <c r="T118">
        <f t="shared" ref="T118" si="569">S118/1000</f>
        <v>-6130.6576464119571</v>
      </c>
    </row>
    <row r="119" spans="1:20" x14ac:dyDescent="0.25">
      <c r="A119" s="5">
        <v>44474</v>
      </c>
      <c r="B119">
        <v>4.6470000000000002E-4</v>
      </c>
      <c r="C119">
        <v>6.7500000000000004E-4</v>
      </c>
      <c r="D119">
        <v>4.6139999999999999E-4</v>
      </c>
      <c r="E119">
        <v>6.0409999999999999E-4</v>
      </c>
      <c r="F119">
        <v>341459486077</v>
      </c>
      <c r="G119">
        <v>6.0409999999999999E-4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0.33614232209737799</v>
      </c>
      <c r="Q119">
        <f t="shared" ref="Q119" si="571">F119*P119</f>
        <v>114778984552.10008</v>
      </c>
      <c r="R119">
        <f t="shared" ref="R119" si="572">R120+Q119</f>
        <v>-603603961659.3988</v>
      </c>
      <c r="S119">
        <f t="shared" ref="S119" si="573">R119/100000</f>
        <v>-6036039.6165939877</v>
      </c>
      <c r="T119">
        <f t="shared" ref="T119" si="574">S119/1000</f>
        <v>-6036.0396165939874</v>
      </c>
    </row>
    <row r="120" spans="1:20" x14ac:dyDescent="0.25">
      <c r="A120" s="5">
        <v>44473</v>
      </c>
      <c r="B120">
        <v>4.7169999999999997E-4</v>
      </c>
      <c r="C120">
        <v>4.8000000000000001E-4</v>
      </c>
      <c r="D120">
        <v>4.3980000000000001E-4</v>
      </c>
      <c r="E120">
        <v>4.6539999999999998E-4</v>
      </c>
      <c r="F120">
        <v>40054456122</v>
      </c>
      <c r="G120">
        <v>4.6539999999999998E-4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0.27363184079601843</v>
      </c>
      <c r="Q120">
        <f t="shared" ref="Q120" si="576">F120*P120</f>
        <v>10960174560.74621</v>
      </c>
      <c r="R120">
        <f t="shared" ref="R120" si="577">R121+Q120</f>
        <v>-718382946211.4989</v>
      </c>
      <c r="S120">
        <f t="shared" ref="S120" si="578">R120/100000</f>
        <v>-7183829.4621149888</v>
      </c>
      <c r="T120">
        <f t="shared" ref="T120" si="579">S120/1000</f>
        <v>-7183.8294621149889</v>
      </c>
    </row>
    <row r="121" spans="1:20" x14ac:dyDescent="0.25">
      <c r="A121" s="5">
        <v>44472</v>
      </c>
      <c r="B121">
        <v>4.5409999999999998E-4</v>
      </c>
      <c r="C121">
        <v>4.8710000000000002E-4</v>
      </c>
      <c r="D121">
        <v>4.4640000000000001E-4</v>
      </c>
      <c r="E121">
        <v>4.7090000000000001E-4</v>
      </c>
      <c r="F121">
        <v>43868163199</v>
      </c>
      <c r="G121">
        <v>4.7090000000000001E-4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0.20393120393120348</v>
      </c>
      <c r="Q121">
        <f t="shared" ref="Q121" si="581">F121*P121</f>
        <v>8946087335.4225845</v>
      </c>
      <c r="R121">
        <f t="shared" ref="R121" si="582">R122+Q121</f>
        <v>-729343120772.24512</v>
      </c>
      <c r="S121">
        <f t="shared" ref="S121" si="583">R121/100000</f>
        <v>-7293431.2077224515</v>
      </c>
      <c r="T121">
        <f t="shared" ref="T121" si="584">S121/1000</f>
        <v>-7293.4312077224513</v>
      </c>
    </row>
    <row r="122" spans="1:20" x14ac:dyDescent="0.25">
      <c r="A122" s="5">
        <v>44471</v>
      </c>
      <c r="B122">
        <v>4.461E-4</v>
      </c>
      <c r="C122">
        <v>4.8079999999999998E-4</v>
      </c>
      <c r="D122">
        <v>4.3219999999999999E-4</v>
      </c>
      <c r="E122">
        <v>4.5409999999999998E-4</v>
      </c>
      <c r="F122">
        <v>38869246512</v>
      </c>
      <c r="G122">
        <v>4.5409999999999998E-4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-9.8765432098765621E-2</v>
      </c>
      <c r="Q122">
        <f t="shared" ref="Q122" si="586">F122*P122</f>
        <v>-3838937927.1111183</v>
      </c>
      <c r="R122">
        <f t="shared" ref="R122" si="587">R123+Q122</f>
        <v>-738289208107.66772</v>
      </c>
      <c r="S122">
        <f t="shared" ref="S122" si="588">R122/100000</f>
        <v>-7382892.081076677</v>
      </c>
      <c r="T122">
        <f t="shared" ref="T122" si="589">S122/1000</f>
        <v>-7382.8920810766767</v>
      </c>
    </row>
    <row r="123" spans="1:20" x14ac:dyDescent="0.25">
      <c r="A123" s="5">
        <v>44470</v>
      </c>
      <c r="B123">
        <v>4.0779999999999999E-4</v>
      </c>
      <c r="C123">
        <v>4.4650000000000001E-4</v>
      </c>
      <c r="D123">
        <v>4.0190000000000001E-4</v>
      </c>
      <c r="E123">
        <v>4.46E-4</v>
      </c>
      <c r="F123">
        <v>33466999623</v>
      </c>
      <c r="G123">
        <v>4.46E-4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0.97757847533632236</v>
      </c>
      <c r="Q123">
        <f t="shared" ref="Q123" si="591">F123*P123</f>
        <v>32716618465.533615</v>
      </c>
      <c r="R123">
        <f t="shared" ref="R123" si="592">R124+Q123</f>
        <v>-734450270180.55664</v>
      </c>
      <c r="S123">
        <f t="shared" ref="S123" si="593">R123/100000</f>
        <v>-7344502.7018055664</v>
      </c>
      <c r="T123">
        <f t="shared" ref="T123" si="594">S123/1000</f>
        <v>-7344.5027018055662</v>
      </c>
    </row>
    <row r="124" spans="1:20" x14ac:dyDescent="0.25">
      <c r="A124" s="5">
        <v>44469</v>
      </c>
      <c r="B124">
        <v>3.946E-4</v>
      </c>
      <c r="C124">
        <v>4.081E-4</v>
      </c>
      <c r="D124">
        <v>3.9320000000000002E-4</v>
      </c>
      <c r="E124">
        <v>4.0779999999999999E-4</v>
      </c>
      <c r="F124">
        <v>16909052060</v>
      </c>
      <c r="G124">
        <v>4.0779999999999999E-4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0.95973154362416002</v>
      </c>
      <c r="Q124">
        <f t="shared" ref="Q124" si="596">F124*P124</f>
        <v>16228150634.765083</v>
      </c>
      <c r="R124">
        <f t="shared" ref="R124" si="597">R125+Q124</f>
        <v>-767166888646.09021</v>
      </c>
      <c r="S124">
        <f t="shared" ref="S124" si="598">R124/100000</f>
        <v>-7671668.8864609022</v>
      </c>
      <c r="T124">
        <f t="shared" ref="T124" si="599">S124/1000</f>
        <v>-7671.6688864609023</v>
      </c>
    </row>
    <row r="125" spans="1:20" x14ac:dyDescent="0.25">
      <c r="A125" s="5">
        <v>44468</v>
      </c>
      <c r="B125">
        <v>3.8749999999999999E-4</v>
      </c>
      <c r="C125">
        <v>4.1120000000000002E-4</v>
      </c>
      <c r="D125">
        <v>3.86E-4</v>
      </c>
      <c r="E125">
        <v>3.9439999999999999E-4</v>
      </c>
      <c r="F125">
        <v>19058089497</v>
      </c>
      <c r="G125">
        <v>3.9439999999999999E-4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-0.33333333333333476</v>
      </c>
      <c r="Q125">
        <f t="shared" ref="Q125" si="601">F125*P125</f>
        <v>-6352696499.0000267</v>
      </c>
      <c r="R125">
        <f t="shared" ref="R125" si="602">R126+Q125</f>
        <v>-783395039280.85535</v>
      </c>
      <c r="S125">
        <f t="shared" ref="S125" si="603">R125/100000</f>
        <v>-7833950.3928085538</v>
      </c>
      <c r="T125">
        <f t="shared" ref="T125" si="604">S125/1000</f>
        <v>-7833.9503928085542</v>
      </c>
    </row>
    <row r="126" spans="1:20" x14ac:dyDescent="0.25">
      <c r="A126" s="5">
        <v>44467</v>
      </c>
      <c r="B126">
        <v>3.9070000000000001E-4</v>
      </c>
      <c r="C126">
        <v>4.0999999999999999E-4</v>
      </c>
      <c r="D126">
        <v>3.857E-4</v>
      </c>
      <c r="E126">
        <v>3.8769999999999999E-4</v>
      </c>
      <c r="F126">
        <v>17496651192</v>
      </c>
      <c r="G126">
        <v>3.8769999999999999E-4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-0.83539094650205803</v>
      </c>
      <c r="Q126">
        <f t="shared" ref="Q126" si="606">F126*P126</f>
        <v>-14616543999.901241</v>
      </c>
      <c r="R126">
        <f t="shared" ref="R126" si="607">R127+Q126</f>
        <v>-777042342781.85535</v>
      </c>
      <c r="S126">
        <f t="shared" ref="S126" si="608">R126/100000</f>
        <v>-7770423.4278185535</v>
      </c>
      <c r="T126">
        <f t="shared" ref="T126" si="609">S126/1000</f>
        <v>-7770.4234278185531</v>
      </c>
    </row>
    <row r="127" spans="1:20" x14ac:dyDescent="0.25">
      <c r="A127" s="5">
        <v>44466</v>
      </c>
      <c r="B127">
        <v>3.9770000000000002E-4</v>
      </c>
      <c r="C127">
        <v>4.15E-4</v>
      </c>
      <c r="D127">
        <v>3.902E-4</v>
      </c>
      <c r="E127">
        <v>3.9080000000000001E-4</v>
      </c>
      <c r="F127">
        <v>17547987303</v>
      </c>
      <c r="G127">
        <v>3.9080000000000001E-4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-0.95161290322580527</v>
      </c>
      <c r="Q127">
        <f t="shared" ref="Q127" si="611">F127*P127</f>
        <v>-16698891143.177399</v>
      </c>
      <c r="R127">
        <f t="shared" ref="R127" si="612">R128+Q127</f>
        <v>-762425798781.9541</v>
      </c>
      <c r="S127">
        <f t="shared" ref="S127" si="613">R127/100000</f>
        <v>-7624257.9878195412</v>
      </c>
      <c r="T127">
        <f t="shared" ref="T127" si="614">S127/1000</f>
        <v>-7624.2579878195411</v>
      </c>
    </row>
    <row r="128" spans="1:20" x14ac:dyDescent="0.25">
      <c r="A128" s="5">
        <v>44465</v>
      </c>
      <c r="B128">
        <v>4.081E-4</v>
      </c>
      <c r="C128">
        <v>4.0900000000000002E-4</v>
      </c>
      <c r="D128">
        <v>3.7770000000000002E-4</v>
      </c>
      <c r="E128">
        <v>3.9770000000000002E-4</v>
      </c>
      <c r="F128">
        <v>20168046106</v>
      </c>
      <c r="G128">
        <v>3.9770000000000002E-4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0.27795527156549504</v>
      </c>
      <c r="Q128">
        <f t="shared" ref="Q128" si="616">F128*P128</f>
        <v>5605814732.3386545</v>
      </c>
      <c r="R128">
        <f t="shared" ref="R128" si="617">R129+Q128</f>
        <v>-745726907638.77673</v>
      </c>
      <c r="S128">
        <f t="shared" ref="S128" si="618">R128/100000</f>
        <v>-7457269.0763877677</v>
      </c>
      <c r="T128">
        <f t="shared" ref="T128" si="619">S128/1000</f>
        <v>-7457.2690763877681</v>
      </c>
    </row>
    <row r="129" spans="1:20" x14ac:dyDescent="0.25">
      <c r="A129" s="5">
        <v>44464</v>
      </c>
      <c r="B129">
        <v>4.1530000000000001E-4</v>
      </c>
      <c r="C129">
        <v>4.194E-4</v>
      </c>
      <c r="D129">
        <v>3.9770000000000002E-4</v>
      </c>
      <c r="E129">
        <v>4.0789999999999999E-4</v>
      </c>
      <c r="F129">
        <v>15550503769</v>
      </c>
      <c r="G129">
        <v>4.0789999999999999E-4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-5.9907834101383985E-2</v>
      </c>
      <c r="Q129">
        <f t="shared" ref="Q129" si="621">F129*P129</f>
        <v>-931596999.98619843</v>
      </c>
      <c r="R129">
        <f t="shared" ref="R129" si="622">R130+Q129</f>
        <v>-751332722371.11536</v>
      </c>
      <c r="S129">
        <f t="shared" ref="S129" si="623">R129/100000</f>
        <v>-7513327.2237111535</v>
      </c>
      <c r="T129">
        <f t="shared" ref="T129" si="624">S129/1000</f>
        <v>-7513.3272237111532</v>
      </c>
    </row>
    <row r="130" spans="1:20" x14ac:dyDescent="0.25">
      <c r="A130" s="5">
        <v>44463</v>
      </c>
      <c r="B130">
        <v>4.5110000000000001E-4</v>
      </c>
      <c r="C130">
        <v>4.527E-4</v>
      </c>
      <c r="D130">
        <v>3.8759999999999999E-4</v>
      </c>
      <c r="E130">
        <v>4.149E-4</v>
      </c>
      <c r="F130">
        <v>29675927648</v>
      </c>
      <c r="G130">
        <v>4.149E-4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-0.16129032258064488</v>
      </c>
      <c r="Q130">
        <f t="shared" ref="Q130" si="626">F130*P130</f>
        <v>-4786439943.2257977</v>
      </c>
      <c r="R130">
        <f t="shared" ref="R130" si="627">R131+Q130</f>
        <v>-750401125371.12915</v>
      </c>
      <c r="S130">
        <f t="shared" ref="S130" si="628">R130/100000</f>
        <v>-7504011.2537112916</v>
      </c>
      <c r="T130">
        <f t="shared" ref="T130" si="629">S130/1000</f>
        <v>-7504.0112537112918</v>
      </c>
    </row>
    <row r="131" spans="1:20" x14ac:dyDescent="0.25">
      <c r="A131" s="5">
        <v>44462</v>
      </c>
      <c r="B131">
        <v>4.462E-4</v>
      </c>
      <c r="C131">
        <v>4.6230000000000002E-4</v>
      </c>
      <c r="D131">
        <v>4.3619999999999998E-4</v>
      </c>
      <c r="E131">
        <v>4.5100000000000001E-4</v>
      </c>
      <c r="F131">
        <v>28295843211</v>
      </c>
      <c r="G131">
        <v>4.5100000000000001E-4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0.13409961685823854</v>
      </c>
      <c r="Q131">
        <f t="shared" ref="Q131" si="631">F131*P131</f>
        <v>3794461733.2758904</v>
      </c>
      <c r="R131">
        <f t="shared" ref="R131" si="632">R132+Q131</f>
        <v>-745614685427.90332</v>
      </c>
      <c r="S131">
        <f t="shared" ref="S131" si="633">R131/100000</f>
        <v>-7456146.8542790329</v>
      </c>
      <c r="T131">
        <f t="shared" ref="T131" si="634">S131/1000</f>
        <v>-7456.1468542790326</v>
      </c>
    </row>
    <row r="132" spans="1:20" x14ac:dyDescent="0.25">
      <c r="A132" s="5">
        <v>44461</v>
      </c>
      <c r="B132">
        <v>4.0210000000000002E-4</v>
      </c>
      <c r="C132">
        <v>4.4670000000000002E-4</v>
      </c>
      <c r="D132">
        <v>3.97E-4</v>
      </c>
      <c r="E132">
        <v>4.462E-4</v>
      </c>
      <c r="F132">
        <v>22141420192</v>
      </c>
      <c r="G132">
        <v>4.462E-4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0.97987927565392308</v>
      </c>
      <c r="Q132">
        <f t="shared" ref="Q132" si="636">F132*P132</f>
        <v>21695918779.686108</v>
      </c>
      <c r="R132">
        <f t="shared" ref="R132" si="637">R133+Q132</f>
        <v>-749409147161.1792</v>
      </c>
      <c r="S132">
        <f t="shared" ref="S132" si="638">R132/100000</f>
        <v>-7494091.4716117922</v>
      </c>
      <c r="T132">
        <f t="shared" ref="T132" si="639">S132/1000</f>
        <v>-7494.0914716117923</v>
      </c>
    </row>
    <row r="133" spans="1:20" x14ac:dyDescent="0.25">
      <c r="A133" s="5">
        <v>44460</v>
      </c>
      <c r="B133">
        <v>4.2559999999999999E-4</v>
      </c>
      <c r="C133">
        <v>4.4410000000000001E-4</v>
      </c>
      <c r="D133">
        <v>3.9599999999999998E-4</v>
      </c>
      <c r="E133">
        <v>4.0180000000000001E-4</v>
      </c>
      <c r="F133">
        <v>28784382565</v>
      </c>
      <c r="G133">
        <v>4.0180000000000001E-4</v>
      </c>
      <c r="L133" t="s">
        <v>8</v>
      </c>
      <c r="M133" t="s">
        <v>7</v>
      </c>
      <c r="N133" t="s">
        <v>7</v>
      </c>
      <c r="P133">
        <f t="shared" ref="P133" si="640">IF(C133=D133,0,((E133-D133)-(C133-E133))/(C133-D133))</f>
        <v>-0.7588357588357576</v>
      </c>
      <c r="Q133">
        <f t="shared" ref="Q133" si="641">F133*P133</f>
        <v>-21842618786.330524</v>
      </c>
      <c r="R133">
        <f t="shared" ref="R133" si="642">R134+Q133</f>
        <v>-771105065940.86536</v>
      </c>
      <c r="S133">
        <f t="shared" ref="S133" si="643">R133/100000</f>
        <v>-7711050.6594086532</v>
      </c>
      <c r="T133">
        <f t="shared" ref="T133" si="644">S133/1000</f>
        <v>-7711.0506594086528</v>
      </c>
    </row>
    <row r="134" spans="1:20" x14ac:dyDescent="0.25">
      <c r="A134" s="5">
        <v>44459</v>
      </c>
      <c r="B134">
        <v>4.9050000000000005E-4</v>
      </c>
      <c r="C134">
        <v>4.9189999999999998E-4</v>
      </c>
      <c r="D134">
        <v>4.4430000000000001E-4</v>
      </c>
      <c r="E134">
        <v>4.6030000000000002E-4</v>
      </c>
      <c r="F134">
        <v>19105241892</v>
      </c>
      <c r="G134">
        <v>4.6030000000000002E-4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-0.3277310924369739</v>
      </c>
      <c r="Q134">
        <f t="shared" ref="Q134" si="646">F134*P134</f>
        <v>-6261381796.5377979</v>
      </c>
      <c r="R134">
        <f t="shared" ref="R134" si="647">R135+Q134</f>
        <v>-749262447154.53479</v>
      </c>
      <c r="S134">
        <f t="shared" ref="S134" si="648">R134/100000</f>
        <v>-7492624.4715453479</v>
      </c>
      <c r="T134">
        <f t="shared" ref="T134" si="649">S134/1000</f>
        <v>-7492.6244715453477</v>
      </c>
    </row>
    <row r="135" spans="1:20" x14ac:dyDescent="0.25">
      <c r="A135" s="5">
        <v>44458</v>
      </c>
      <c r="B135">
        <v>5.0940000000000002E-4</v>
      </c>
      <c r="C135">
        <v>5.1570000000000001E-4</v>
      </c>
      <c r="D135">
        <v>4.8769999999999998E-4</v>
      </c>
      <c r="E135">
        <v>4.9039999999999999E-4</v>
      </c>
      <c r="F135">
        <v>15318283375</v>
      </c>
      <c r="G135">
        <v>4.9039999999999999E-4</v>
      </c>
      <c r="L135" t="s">
        <v>8</v>
      </c>
      <c r="M135" t="s">
        <v>7</v>
      </c>
      <c r="N135" t="s">
        <v>8</v>
      </c>
      <c r="P135">
        <f t="shared" ref="P135" si="650">IF(C135=D135,0,((E135-D135)-(C135-E135))/(C135-D135))</f>
        <v>-0.8071428571428565</v>
      </c>
      <c r="Q135">
        <f t="shared" ref="Q135" si="651">F135*P135</f>
        <v>-12364043009.821419</v>
      </c>
      <c r="R135">
        <f t="shared" ref="R135" si="652">R136+Q135</f>
        <v>-743001065357.99695</v>
      </c>
      <c r="S135">
        <f t="shared" ref="S135" si="653">R135/100000</f>
        <v>-7430010.6535799699</v>
      </c>
      <c r="T135">
        <f t="shared" ref="T135" si="654">S135/1000</f>
        <v>-7430.0106535799696</v>
      </c>
    </row>
    <row r="136" spans="1:20" x14ac:dyDescent="0.25">
      <c r="A136" s="5">
        <v>44457</v>
      </c>
      <c r="B136">
        <v>5.0429999999999995E-4</v>
      </c>
      <c r="C136">
        <v>5.239E-4</v>
      </c>
      <c r="D136">
        <v>5.0120000000000004E-4</v>
      </c>
      <c r="E136">
        <v>5.0940000000000002E-4</v>
      </c>
      <c r="F136">
        <v>14872712482</v>
      </c>
      <c r="G136">
        <v>5.0940000000000002E-4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-0.2775330396475772</v>
      </c>
      <c r="Q136">
        <f t="shared" ref="Q136" si="656">F136*P136</f>
        <v>-4127669102.9339223</v>
      </c>
      <c r="R136">
        <f t="shared" ref="R136" si="657">R137+Q136</f>
        <v>-730637022348.17554</v>
      </c>
      <c r="S136">
        <f t="shared" ref="S136" si="658">R136/100000</f>
        <v>-7306370.2234817557</v>
      </c>
      <c r="T136">
        <f t="shared" ref="T136" si="659">S136/1000</f>
        <v>-7306.3702234817556</v>
      </c>
    </row>
    <row r="137" spans="1:20" x14ac:dyDescent="0.25">
      <c r="A137" s="5">
        <v>44456</v>
      </c>
      <c r="B137">
        <v>5.1900000000000004E-4</v>
      </c>
      <c r="C137">
        <v>5.4469999999999996E-4</v>
      </c>
      <c r="D137">
        <v>5.0100000000000003E-4</v>
      </c>
      <c r="E137">
        <v>5.04E-4</v>
      </c>
      <c r="F137">
        <v>48856055712</v>
      </c>
      <c r="G137">
        <v>5.04E-4</v>
      </c>
      <c r="L137" t="s">
        <v>8</v>
      </c>
      <c r="M137" t="s">
        <v>7</v>
      </c>
      <c r="N137" t="s">
        <v>8</v>
      </c>
      <c r="P137">
        <f t="shared" ref="P137" si="660">IF(C137=D137,0,((E137-D137)-(C137-E137))/(C137-D137))</f>
        <v>-0.86270022883295328</v>
      </c>
      <c r="Q137">
        <f t="shared" ref="Q137" si="661">F137*P137</f>
        <v>-42148130442.617912</v>
      </c>
      <c r="R137">
        <f t="shared" ref="R137" si="662">R138+Q137</f>
        <v>-726509353245.24158</v>
      </c>
      <c r="S137">
        <f t="shared" ref="S137" si="663">R137/100000</f>
        <v>-7265093.5324524157</v>
      </c>
      <c r="T137">
        <f t="shared" ref="T137" si="664">S137/1000</f>
        <v>-7265.0935324524153</v>
      </c>
    </row>
    <row r="138" spans="1:20" x14ac:dyDescent="0.25">
      <c r="A138" s="5">
        <v>44455</v>
      </c>
      <c r="B138">
        <v>5.4000000000000001E-4</v>
      </c>
      <c r="C138">
        <v>5.465E-4</v>
      </c>
      <c r="D138">
        <v>5.0889999999999996E-4</v>
      </c>
      <c r="E138">
        <v>5.1900000000000004E-4</v>
      </c>
      <c r="F138">
        <v>28411472182</v>
      </c>
      <c r="G138">
        <v>5.1900000000000004E-4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-0.46276595744680477</v>
      </c>
      <c r="Q138">
        <f t="shared" ref="Q138" si="666">F138*P138</f>
        <v>-13147862126.776489</v>
      </c>
      <c r="R138">
        <f t="shared" ref="R138" si="667">R139+Q138</f>
        <v>-684361222802.62366</v>
      </c>
      <c r="S138">
        <f t="shared" ref="S138" si="668">R138/100000</f>
        <v>-6843612.2280262364</v>
      </c>
      <c r="T138">
        <f t="shared" ref="T138" si="669">S138/1000</f>
        <v>-6843.6122280262362</v>
      </c>
    </row>
    <row r="139" spans="1:20" x14ac:dyDescent="0.25">
      <c r="A139" s="5">
        <v>44454</v>
      </c>
      <c r="B139">
        <v>5.2450000000000001E-4</v>
      </c>
      <c r="C139">
        <v>5.4850000000000005E-4</v>
      </c>
      <c r="D139">
        <v>5.1659999999999998E-4</v>
      </c>
      <c r="E139">
        <v>5.398E-4</v>
      </c>
      <c r="F139">
        <v>25833361549</v>
      </c>
      <c r="G139">
        <v>5.398E-4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0.4545454545454527</v>
      </c>
      <c r="Q139">
        <f t="shared" ref="Q139" si="671">F139*P139</f>
        <v>11742437067.727224</v>
      </c>
      <c r="R139">
        <f t="shared" ref="R139" si="672">R140+Q139</f>
        <v>-671213360675.84717</v>
      </c>
      <c r="S139">
        <f t="shared" ref="S139" si="673">R139/100000</f>
        <v>-6712133.6067584716</v>
      </c>
      <c r="T139">
        <f t="shared" ref="T139" si="674">S139/1000</f>
        <v>-6712.1336067584716</v>
      </c>
    </row>
    <row r="140" spans="1:20" x14ac:dyDescent="0.25">
      <c r="A140" s="5">
        <v>44453</v>
      </c>
      <c r="B140">
        <v>5.0949999999999997E-4</v>
      </c>
      <c r="C140">
        <v>5.4270000000000002E-4</v>
      </c>
      <c r="D140">
        <v>5.0460000000000001E-4</v>
      </c>
      <c r="E140">
        <v>5.241E-4</v>
      </c>
      <c r="F140">
        <v>25472515070</v>
      </c>
      <c r="G140">
        <v>5.241E-4</v>
      </c>
      <c r="L140" t="s">
        <v>7</v>
      </c>
      <c r="M140" t="s">
        <v>7</v>
      </c>
      <c r="N140" t="s">
        <v>8</v>
      </c>
      <c r="P140">
        <f t="shared" ref="P140" si="675">IF(C140=D140,0,((E140-D140)-(C140-E140))/(C140-D140))</f>
        <v>2.3622047244093638E-2</v>
      </c>
      <c r="Q140">
        <f t="shared" ref="Q140" si="676">F140*P140</f>
        <v>601712954.40942717</v>
      </c>
      <c r="R140">
        <f t="shared" ref="R140" si="677">R141+Q140</f>
        <v>-682955797743.57434</v>
      </c>
      <c r="S140">
        <f t="shared" ref="S140" si="678">R140/100000</f>
        <v>-6829557.9774357434</v>
      </c>
      <c r="T140">
        <f t="shared" ref="T140" si="679">S140/1000</f>
        <v>-6829.5579774357439</v>
      </c>
    </row>
    <row r="141" spans="1:20" x14ac:dyDescent="0.25">
      <c r="A141" s="5">
        <v>44452</v>
      </c>
      <c r="B141">
        <v>5.4330000000000003E-4</v>
      </c>
      <c r="C141">
        <v>5.5710000000000004E-4</v>
      </c>
      <c r="D141">
        <v>4.8700000000000002E-4</v>
      </c>
      <c r="E141">
        <v>5.0949999999999997E-4</v>
      </c>
      <c r="F141">
        <v>29384314738</v>
      </c>
      <c r="G141">
        <v>5.0949999999999997E-4</v>
      </c>
      <c r="L141" t="s">
        <v>8</v>
      </c>
      <c r="M141" t="s">
        <v>7</v>
      </c>
      <c r="N141" t="s">
        <v>8</v>
      </c>
      <c r="P141">
        <f t="shared" ref="P141" si="680">IF(C141=D141,0,((E141-D141)-(C141-E141))/(C141-D141))</f>
        <v>-0.35805991440799023</v>
      </c>
      <c r="Q141">
        <f t="shared" ref="Q141" si="681">F141*P141</f>
        <v>-10521345220.025726</v>
      </c>
      <c r="R141">
        <f t="shared" ref="R141" si="682">R142+Q141</f>
        <v>-683557510697.98376</v>
      </c>
      <c r="S141">
        <f t="shared" ref="S141" si="683">R141/100000</f>
        <v>-6835575.1069798376</v>
      </c>
      <c r="T141">
        <f t="shared" ref="T141" si="684">S141/1000</f>
        <v>-6835.575106979838</v>
      </c>
    </row>
    <row r="142" spans="1:20" x14ac:dyDescent="0.25">
      <c r="A142" s="5">
        <v>44451</v>
      </c>
      <c r="B142">
        <v>5.1210000000000003E-4</v>
      </c>
      <c r="C142">
        <v>5.9400000000000002E-4</v>
      </c>
      <c r="D142">
        <v>5.0049999999999997E-4</v>
      </c>
      <c r="E142">
        <v>5.4339999999999998E-4</v>
      </c>
      <c r="F142">
        <v>53315297746</v>
      </c>
      <c r="G142">
        <v>5.4339999999999998E-4</v>
      </c>
      <c r="L142" t="s">
        <v>7</v>
      </c>
      <c r="M142" t="s">
        <v>8</v>
      </c>
      <c r="N142" t="s">
        <v>8</v>
      </c>
      <c r="P142">
        <f t="shared" ref="P142" si="685">IF(C142=D142,0,((E142-D142)-(C142-E142))/(C142-D142))</f>
        <v>-8.2352941176470809E-2</v>
      </c>
      <c r="Q142">
        <f t="shared" ref="Q142" si="686">F142*P142</f>
        <v>-4390671579.082365</v>
      </c>
      <c r="R142">
        <f t="shared" ref="R142" si="687">R143+Q142</f>
        <v>-673036165477.95801</v>
      </c>
      <c r="S142">
        <f t="shared" ref="S142" si="688">R142/100000</f>
        <v>-6730361.6547795804</v>
      </c>
      <c r="T142">
        <f t="shared" ref="T142" si="689">S142/1000</f>
        <v>-6730.36165477958</v>
      </c>
    </row>
    <row r="143" spans="1:20" x14ac:dyDescent="0.25">
      <c r="A143" s="5">
        <v>44450</v>
      </c>
      <c r="B143">
        <v>4.9700000000000005E-4</v>
      </c>
      <c r="C143">
        <v>5.5000000000000003E-4</v>
      </c>
      <c r="D143">
        <v>4.9439999999999998E-4</v>
      </c>
      <c r="E143">
        <v>5.1210000000000003E-4</v>
      </c>
      <c r="F143">
        <v>27762110467</v>
      </c>
      <c r="G143">
        <v>5.1210000000000003E-4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-0.36330935251798435</v>
      </c>
      <c r="Q143">
        <f t="shared" ref="Q143" si="691">F143*P143</f>
        <v>-10086234378.298527</v>
      </c>
      <c r="R143">
        <f t="shared" ref="R143" si="692">R144+Q143</f>
        <v>-668645493898.87561</v>
      </c>
      <c r="S143">
        <f t="shared" ref="S143" si="693">R143/100000</f>
        <v>-6686454.9389887564</v>
      </c>
      <c r="T143">
        <f t="shared" ref="T143" si="694">S143/1000</f>
        <v>-6686.4549389887561</v>
      </c>
    </row>
    <row r="144" spans="1:20" x14ac:dyDescent="0.25">
      <c r="A144" s="5">
        <v>44449</v>
      </c>
      <c r="B144">
        <v>5.331E-4</v>
      </c>
      <c r="C144">
        <v>5.465E-4</v>
      </c>
      <c r="D144">
        <v>4.8079999999999998E-4</v>
      </c>
      <c r="E144">
        <v>4.9709999999999999E-4</v>
      </c>
      <c r="F144">
        <v>33312309787</v>
      </c>
      <c r="G144">
        <v>4.9709999999999999E-4</v>
      </c>
      <c r="L144" t="s">
        <v>7</v>
      </c>
      <c r="M144" t="s">
        <v>8</v>
      </c>
      <c r="N144" t="s">
        <v>8</v>
      </c>
      <c r="P144">
        <f t="shared" ref="P144" si="695">IF(C144=D144,0,((E144-D144)-(C144-E144))/(C144-D144))</f>
        <v>-0.50380517503805144</v>
      </c>
      <c r="Q144">
        <f t="shared" ref="Q144" si="696">F144*P144</f>
        <v>-16782914063.161329</v>
      </c>
      <c r="R144">
        <f t="shared" ref="R144" si="697">R145+Q144</f>
        <v>-658559259520.57703</v>
      </c>
      <c r="S144">
        <f t="shared" ref="S144" si="698">R144/100000</f>
        <v>-6585592.5952057699</v>
      </c>
      <c r="T144">
        <f t="shared" ref="T144" si="699">S144/1000</f>
        <v>-6585.5925952057696</v>
      </c>
    </row>
    <row r="145" spans="1:20" x14ac:dyDescent="0.25">
      <c r="A145" s="5">
        <v>44448</v>
      </c>
      <c r="B145">
        <v>5.3669999999999998E-4</v>
      </c>
      <c r="C145">
        <v>5.5170000000000002E-4</v>
      </c>
      <c r="D145">
        <v>5.2110000000000004E-4</v>
      </c>
      <c r="E145">
        <v>5.3339999999999995E-4</v>
      </c>
      <c r="F145">
        <v>32329933513</v>
      </c>
      <c r="G145">
        <v>5.3339999999999995E-4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-0.19607843137255387</v>
      </c>
      <c r="Q145">
        <f t="shared" ref="Q145" si="701">F145*P145</f>
        <v>-6339202649.6079998</v>
      </c>
      <c r="R145">
        <f t="shared" ref="R145" si="702">R146+Q145</f>
        <v>-641776345457.41565</v>
      </c>
      <c r="S145">
        <f t="shared" ref="S145" si="703">R145/100000</f>
        <v>-6417763.4545741566</v>
      </c>
      <c r="T145">
        <f t="shared" ref="T145" si="704">S145/1000</f>
        <v>-6417.7634545741566</v>
      </c>
    </row>
    <row r="146" spans="1:20" x14ac:dyDescent="0.25">
      <c r="A146" s="5">
        <v>44447</v>
      </c>
      <c r="B146">
        <v>5.2999999999999998E-4</v>
      </c>
      <c r="C146">
        <v>5.5750000000000005E-4</v>
      </c>
      <c r="D146">
        <v>4.729E-4</v>
      </c>
      <c r="E146">
        <v>5.3620000000000002E-4</v>
      </c>
      <c r="F146">
        <v>57470641676</v>
      </c>
      <c r="G146">
        <v>5.3620000000000002E-4</v>
      </c>
      <c r="L146" t="s">
        <v>7</v>
      </c>
      <c r="M146" t="s">
        <v>8</v>
      </c>
      <c r="N146" t="s">
        <v>8</v>
      </c>
      <c r="P146">
        <f t="shared" ref="P146" si="705">IF(C146=D146,0,((E146-D146)-(C146-E146))/(C146-D146))</f>
        <v>0.49645390070921946</v>
      </c>
      <c r="Q146">
        <f t="shared" ref="Q146" si="706">F146*P146</f>
        <v>28531524236.312035</v>
      </c>
      <c r="R146">
        <f t="shared" ref="R146" si="707">R147+Q146</f>
        <v>-635437142807.80762</v>
      </c>
      <c r="S146">
        <f t="shared" ref="S146" si="708">R146/100000</f>
        <v>-6354371.4280780759</v>
      </c>
      <c r="T146">
        <f t="shared" ref="T146" si="709">S146/1000</f>
        <v>-6354.371428078076</v>
      </c>
    </row>
    <row r="147" spans="1:20" x14ac:dyDescent="0.25">
      <c r="A147" s="5">
        <v>44446</v>
      </c>
      <c r="B147">
        <v>6.8789999999999997E-4</v>
      </c>
      <c r="C147">
        <v>7.0699999999999995E-4</v>
      </c>
      <c r="D147">
        <v>3.6000000000000002E-4</v>
      </c>
      <c r="E147">
        <v>5.306E-4</v>
      </c>
      <c r="F147">
        <v>83502460750</v>
      </c>
      <c r="G147">
        <v>5.306E-4</v>
      </c>
      <c r="L147" t="s">
        <v>8</v>
      </c>
      <c r="M147" t="s">
        <v>7</v>
      </c>
      <c r="N147" t="s">
        <v>7</v>
      </c>
      <c r="P147">
        <f t="shared" ref="P147" si="710">IF(C147=D147,0,((E147-D147)-(C147-E147))/(C147-D147))</f>
        <v>-1.671469740634E-2</v>
      </c>
      <c r="Q147">
        <f t="shared" ref="Q147" si="711">F147*P147</f>
        <v>-1395718364.1210327</v>
      </c>
      <c r="R147">
        <f t="shared" ref="R147" si="712">R148+Q147</f>
        <v>-663968667044.11963</v>
      </c>
      <c r="S147">
        <f t="shared" ref="S147" si="713">R147/100000</f>
        <v>-6639686.6704411963</v>
      </c>
      <c r="T147">
        <f t="shared" ref="T147" si="714">S147/1000</f>
        <v>-6639.6866704411959</v>
      </c>
    </row>
    <row r="148" spans="1:20" x14ac:dyDescent="0.25">
      <c r="A148" s="5">
        <v>44445</v>
      </c>
      <c r="B148">
        <v>7.0560000000000002E-4</v>
      </c>
      <c r="C148">
        <v>7.1159999999999995E-4</v>
      </c>
      <c r="D148">
        <v>6.7000000000000002E-4</v>
      </c>
      <c r="E148">
        <v>6.8789999999999997E-4</v>
      </c>
      <c r="F148">
        <v>50192833349</v>
      </c>
      <c r="G148">
        <v>6.8789999999999997E-4</v>
      </c>
      <c r="L148" t="s">
        <v>7</v>
      </c>
      <c r="M148" t="s">
        <v>8</v>
      </c>
      <c r="N148" t="s">
        <v>7</v>
      </c>
      <c r="P148">
        <f t="shared" ref="P148" si="715">IF(C148=D148,0,((E148-D148)-(C148-E148))/(C148-D148))</f>
        <v>-0.13942307692307795</v>
      </c>
      <c r="Q148">
        <f t="shared" ref="Q148" si="716">F148*P148</f>
        <v>-6998039265.0048599</v>
      </c>
      <c r="R148">
        <f t="shared" ref="R148" si="717">R149+Q148</f>
        <v>-662572948679.99866</v>
      </c>
      <c r="S148">
        <f t="shared" ref="S148" si="718">R148/100000</f>
        <v>-6625729.486799987</v>
      </c>
      <c r="T148">
        <f t="shared" ref="T148" si="719">S148/1000</f>
        <v>-6625.7294867999872</v>
      </c>
    </row>
    <row r="149" spans="1:20" x14ac:dyDescent="0.25">
      <c r="A149" s="5">
        <v>44444</v>
      </c>
      <c r="B149">
        <v>6.6370000000000003E-4</v>
      </c>
      <c r="C149">
        <v>7.1619999999999995E-4</v>
      </c>
      <c r="D149">
        <v>6.5700000000000003E-4</v>
      </c>
      <c r="E149">
        <v>7.0600000000000003E-4</v>
      </c>
      <c r="F149">
        <v>56278004942</v>
      </c>
      <c r="G149">
        <v>7.0600000000000003E-4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0.65540540540540759</v>
      </c>
      <c r="Q149">
        <f t="shared" ref="Q149" si="721">F149*P149</f>
        <v>36884908644.419044</v>
      </c>
      <c r="R149">
        <f t="shared" ref="R149" si="722">R150+Q149</f>
        <v>-655574909414.99377</v>
      </c>
      <c r="S149">
        <f t="shared" ref="S149" si="723">R149/100000</f>
        <v>-6555749.0941499379</v>
      </c>
      <c r="T149">
        <f t="shared" ref="T149" si="724">S149/1000</f>
        <v>-6555.7490941499382</v>
      </c>
    </row>
    <row r="150" spans="1:20" x14ac:dyDescent="0.25">
      <c r="A150" s="5">
        <v>44443</v>
      </c>
      <c r="B150">
        <v>6.7619999999999996E-4</v>
      </c>
      <c r="C150">
        <v>6.9749999999999999E-4</v>
      </c>
      <c r="D150">
        <v>6.512E-4</v>
      </c>
      <c r="E150">
        <v>6.6359999999999998E-4</v>
      </c>
      <c r="F150">
        <v>47333663128</v>
      </c>
      <c r="G150">
        <v>6.6359999999999998E-4</v>
      </c>
      <c r="L150" t="s">
        <v>7</v>
      </c>
      <c r="M150" t="s">
        <v>7</v>
      </c>
      <c r="N150" t="s">
        <v>7</v>
      </c>
      <c r="P150">
        <f t="shared" ref="P150" si="725">IF(C150=D150,0,((E150-D150)-(C150-E150))/(C150-D150))</f>
        <v>-0.46436285097192315</v>
      </c>
      <c r="Q150">
        <f t="shared" ref="Q150" si="726">F150*P150</f>
        <v>-21979994757.062679</v>
      </c>
      <c r="R150">
        <f t="shared" ref="R150" si="727">R151+Q150</f>
        <v>-692459818059.41284</v>
      </c>
      <c r="S150">
        <f t="shared" ref="S150" si="728">R150/100000</f>
        <v>-6924598.1805941286</v>
      </c>
      <c r="T150">
        <f t="shared" ref="T150" si="729">S150/1000</f>
        <v>-6924.5981805941283</v>
      </c>
    </row>
    <row r="151" spans="1:20" x14ac:dyDescent="0.25">
      <c r="A151" s="5">
        <v>44442</v>
      </c>
      <c r="B151">
        <v>6.6839999999999998E-4</v>
      </c>
      <c r="C151">
        <v>7.0989999999999996E-4</v>
      </c>
      <c r="D151">
        <v>6.4630000000000004E-4</v>
      </c>
      <c r="E151">
        <v>6.759E-4</v>
      </c>
      <c r="F151">
        <v>82010082186</v>
      </c>
      <c r="G151">
        <v>6.759E-4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-6.9182389937106986E-2</v>
      </c>
      <c r="Q151">
        <f t="shared" ref="Q151" si="731">F151*P151</f>
        <v>-5673653484.5660429</v>
      </c>
      <c r="R151">
        <f t="shared" ref="R151" si="732">R152+Q151</f>
        <v>-670479823302.35022</v>
      </c>
      <c r="S151">
        <f t="shared" ref="S151" si="733">R151/100000</f>
        <v>-6704798.2330235019</v>
      </c>
      <c r="T151">
        <f t="shared" ref="T151" si="734">S151/1000</f>
        <v>-6704.7982330235018</v>
      </c>
    </row>
    <row r="152" spans="1:20" x14ac:dyDescent="0.25">
      <c r="A152" s="5">
        <v>44441</v>
      </c>
      <c r="B152">
        <v>6.4919999999999995E-4</v>
      </c>
      <c r="C152">
        <v>6.9780000000000005E-4</v>
      </c>
      <c r="D152">
        <v>6.4340000000000003E-4</v>
      </c>
      <c r="E152">
        <v>6.6850000000000004E-4</v>
      </c>
      <c r="F152">
        <v>59232836556</v>
      </c>
      <c r="G152">
        <v>6.6850000000000004E-4</v>
      </c>
      <c r="L152" t="s">
        <v>7</v>
      </c>
      <c r="M152" t="s">
        <v>7</v>
      </c>
      <c r="N152" t="s">
        <v>7</v>
      </c>
      <c r="P152">
        <f t="shared" ref="P152" si="735">IF(C152=D152,0,((E152-D152)-(C152-E152))/(C152-D152))</f>
        <v>-7.7205882352941027E-2</v>
      </c>
      <c r="Q152">
        <f t="shared" ref="Q152" si="736">F152*P152</f>
        <v>-4573123410.5735207</v>
      </c>
      <c r="R152">
        <f t="shared" ref="R152" si="737">R153+Q152</f>
        <v>-664806169817.78418</v>
      </c>
      <c r="S152">
        <f t="shared" ref="S152" si="738">R152/100000</f>
        <v>-6648061.6981778415</v>
      </c>
      <c r="T152">
        <f t="shared" ref="T152" si="739">S152/1000</f>
        <v>-6648.0616981778412</v>
      </c>
    </row>
    <row r="153" spans="1:20" x14ac:dyDescent="0.25">
      <c r="A153" s="5">
        <v>44440</v>
      </c>
      <c r="B153">
        <v>6.2500000000000001E-4</v>
      </c>
      <c r="C153">
        <v>6.5879999999999997E-4</v>
      </c>
      <c r="D153">
        <v>6.1129999999999995E-4</v>
      </c>
      <c r="E153">
        <v>6.4919999999999995E-4</v>
      </c>
      <c r="F153">
        <v>39091811050</v>
      </c>
      <c r="G153">
        <v>6.4919999999999995E-4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0.59578947368420998</v>
      </c>
      <c r="Q153">
        <f t="shared" ref="Q153" si="741">F153*P153</f>
        <v>23290489530.842083</v>
      </c>
      <c r="R153">
        <f t="shared" ref="R153" si="742">R154+Q153</f>
        <v>-660233046407.21069</v>
      </c>
      <c r="S153">
        <f t="shared" ref="S153" si="743">R153/100000</f>
        <v>-6602330.4640721073</v>
      </c>
      <c r="T153">
        <f t="shared" ref="T153" si="744">S153/1000</f>
        <v>-6602.3304640721071</v>
      </c>
    </row>
    <row r="154" spans="1:20" x14ac:dyDescent="0.25">
      <c r="A154" s="5">
        <v>44439</v>
      </c>
      <c r="B154">
        <v>6.3040000000000004E-4</v>
      </c>
      <c r="C154">
        <v>6.5990000000000005E-4</v>
      </c>
      <c r="D154">
        <v>5.9999999999999995E-4</v>
      </c>
      <c r="E154">
        <v>6.2480000000000001E-4</v>
      </c>
      <c r="F154">
        <v>50686991427</v>
      </c>
      <c r="G154">
        <v>6.2480000000000001E-4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-0.17195325542570888</v>
      </c>
      <c r="Q154">
        <f t="shared" ref="Q154" si="746">F154*P154</f>
        <v>-8715793183.6076469</v>
      </c>
      <c r="R154">
        <f t="shared" ref="R154" si="747">R155+Q154</f>
        <v>-683523535938.05273</v>
      </c>
      <c r="S154">
        <f t="shared" ref="S154" si="748">R154/100000</f>
        <v>-6835235.3593805274</v>
      </c>
      <c r="T154">
        <f t="shared" ref="T154" si="749">S154/1000</f>
        <v>-6835.2353593805274</v>
      </c>
    </row>
    <row r="155" spans="1:20" x14ac:dyDescent="0.25">
      <c r="A155" s="5">
        <v>44438</v>
      </c>
      <c r="B155">
        <v>6.7730000000000004E-4</v>
      </c>
      <c r="C155">
        <v>6.8099999999999996E-4</v>
      </c>
      <c r="D155">
        <v>6.2589999999999998E-4</v>
      </c>
      <c r="E155">
        <v>6.3029999999999998E-4</v>
      </c>
      <c r="F155">
        <v>47622208971</v>
      </c>
      <c r="G155">
        <v>6.3029999999999998E-4</v>
      </c>
      <c r="L155" t="s">
        <v>8</v>
      </c>
      <c r="M155" t="s">
        <v>7</v>
      </c>
      <c r="N155" t="s">
        <v>7</v>
      </c>
      <c r="P155">
        <f t="shared" ref="P155" si="750">IF(C155=D155,0,((E155-D155)-(C155-E155))/(C155-D155))</f>
        <v>-0.84029038112522692</v>
      </c>
      <c r="Q155">
        <f t="shared" ref="Q155" si="751">F155*P155</f>
        <v>-40016484126.266792</v>
      </c>
      <c r="R155">
        <f t="shared" ref="R155" si="752">R156+Q155</f>
        <v>-674807742754.44507</v>
      </c>
      <c r="S155">
        <f t="shared" ref="S155" si="753">R155/100000</f>
        <v>-6748077.4275444504</v>
      </c>
      <c r="T155">
        <f t="shared" ref="T155" si="754">S155/1000</f>
        <v>-6748.0774275444501</v>
      </c>
    </row>
    <row r="156" spans="1:20" x14ac:dyDescent="0.25">
      <c r="A156" s="5">
        <v>44437</v>
      </c>
      <c r="B156">
        <v>7.1630000000000001E-4</v>
      </c>
      <c r="C156">
        <v>7.4439999999999999E-4</v>
      </c>
      <c r="D156">
        <v>6.6350000000000003E-4</v>
      </c>
      <c r="E156">
        <v>6.7750000000000004E-4</v>
      </c>
      <c r="F156">
        <v>117611936505</v>
      </c>
      <c r="G156">
        <v>6.7750000000000004E-4</v>
      </c>
      <c r="L156" t="s">
        <v>7</v>
      </c>
      <c r="M156" t="s">
        <v>8</v>
      </c>
      <c r="N156" t="s">
        <v>7</v>
      </c>
      <c r="P156">
        <f t="shared" ref="P156" si="755">IF(C156=D156,0,((E156-D156)-(C156-E156))/(C156-D156))</f>
        <v>-0.65389369592088942</v>
      </c>
      <c r="Q156">
        <f t="shared" ref="Q156" si="756">F156*P156</f>
        <v>-76905703845.667419</v>
      </c>
      <c r="R156">
        <f t="shared" ref="R156" si="757">R157+Q156</f>
        <v>-634791258628.17822</v>
      </c>
      <c r="S156">
        <f t="shared" ref="S156" si="758">R156/100000</f>
        <v>-6347912.586281782</v>
      </c>
      <c r="T156">
        <f t="shared" ref="T156" si="759">S156/1000</f>
        <v>-6347.9125862817818</v>
      </c>
    </row>
    <row r="157" spans="1:20" x14ac:dyDescent="0.25">
      <c r="A157" s="5">
        <v>44436</v>
      </c>
      <c r="B157">
        <v>6.2109999999999997E-4</v>
      </c>
      <c r="C157">
        <v>7.6199999999999998E-4</v>
      </c>
      <c r="D157">
        <v>5.9999999999999995E-4</v>
      </c>
      <c r="E157">
        <v>7.157E-4</v>
      </c>
      <c r="F157">
        <v>109229662326</v>
      </c>
      <c r="G157">
        <v>7.157E-4</v>
      </c>
      <c r="L157" t="s">
        <v>8</v>
      </c>
      <c r="M157" t="s">
        <v>8</v>
      </c>
      <c r="N157" t="s">
        <v>7</v>
      </c>
      <c r="P157">
        <f t="shared" ref="P157" si="760">IF(C157=D157,0,((E157-D157)-(C157-E157))/(C157-D157))</f>
        <v>0.42839506172839537</v>
      </c>
      <c r="Q157">
        <f t="shared" ref="Q157" si="761">F157*P157</f>
        <v>46793447934.718552</v>
      </c>
      <c r="R157">
        <f t="shared" ref="R157" si="762">R158+Q157</f>
        <v>-557885554782.51086</v>
      </c>
      <c r="S157">
        <f t="shared" ref="S157" si="763">R157/100000</f>
        <v>-5578855.5478251083</v>
      </c>
      <c r="T157">
        <f t="shared" ref="T157" si="764">S157/1000</f>
        <v>-5578.8555478251083</v>
      </c>
    </row>
    <row r="158" spans="1:20" x14ac:dyDescent="0.25">
      <c r="A158" s="5">
        <v>44435</v>
      </c>
      <c r="B158">
        <v>5.9119999999999995E-4</v>
      </c>
      <c r="C158">
        <v>6.2540000000000002E-4</v>
      </c>
      <c r="D158">
        <v>5.752E-4</v>
      </c>
      <c r="E158">
        <v>6.2120000000000003E-4</v>
      </c>
      <c r="F158">
        <v>32210557561</v>
      </c>
      <c r="G158">
        <v>6.2120000000000003E-4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0.83266932270916372</v>
      </c>
      <c r="Q158">
        <f t="shared" ref="Q158" si="766">F158*P158</f>
        <v>26820743148.402401</v>
      </c>
      <c r="R158">
        <f t="shared" ref="R158" si="767">R159+Q158</f>
        <v>-604679002717.22937</v>
      </c>
      <c r="S158">
        <f t="shared" ref="S158" si="768">R158/100000</f>
        <v>-6046790.0271722935</v>
      </c>
      <c r="T158">
        <f t="shared" ref="T158" si="769">S158/1000</f>
        <v>-6046.7900271722938</v>
      </c>
    </row>
    <row r="159" spans="1:20" x14ac:dyDescent="0.25">
      <c r="A159" s="5">
        <v>44434</v>
      </c>
      <c r="B159">
        <v>6.3449999999999997E-4</v>
      </c>
      <c r="C159">
        <v>6.4459999999999995E-4</v>
      </c>
      <c r="D159">
        <v>5.8180000000000005E-4</v>
      </c>
      <c r="E159">
        <v>5.9060000000000004E-4</v>
      </c>
      <c r="F159">
        <v>31415499896</v>
      </c>
      <c r="G159">
        <v>5.9060000000000004E-4</v>
      </c>
      <c r="L159" t="s">
        <v>8</v>
      </c>
      <c r="M159" t="s">
        <v>7</v>
      </c>
      <c r="N159" t="s">
        <v>7</v>
      </c>
      <c r="P159">
        <f t="shared" ref="P159" si="770">IF(C159=D159,0,((E159-D159)-(C159-E159))/(C159-D159))</f>
        <v>-0.71974522292993592</v>
      </c>
      <c r="Q159">
        <f t="shared" ref="Q159" si="771">F159*P159</f>
        <v>-22611155976.101898</v>
      </c>
      <c r="R159">
        <f t="shared" ref="R159" si="772">R160+Q159</f>
        <v>-631499745865.63171</v>
      </c>
      <c r="S159">
        <f t="shared" ref="S159" si="773">R159/100000</f>
        <v>-6314997.4586563176</v>
      </c>
      <c r="T159">
        <f t="shared" ref="T159" si="774">S159/1000</f>
        <v>-6314.9974586563176</v>
      </c>
    </row>
    <row r="160" spans="1:20" x14ac:dyDescent="0.25">
      <c r="A160" s="5">
        <v>44433</v>
      </c>
      <c r="B160">
        <v>6.1819999999999996E-4</v>
      </c>
      <c r="C160">
        <v>6.4999999999999997E-4</v>
      </c>
      <c r="D160">
        <v>5.8790000000000003E-4</v>
      </c>
      <c r="E160">
        <v>6.3440000000000002E-4</v>
      </c>
      <c r="F160">
        <v>39091881191</v>
      </c>
      <c r="G160">
        <v>6.3440000000000002E-4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0.4975845410628032</v>
      </c>
      <c r="Q160">
        <f t="shared" ref="Q160" si="776">F160*P160</f>
        <v>19451515761.705364</v>
      </c>
      <c r="R160">
        <f t="shared" ref="R160" si="777">R161+Q160</f>
        <v>-608888589889.52979</v>
      </c>
      <c r="S160">
        <f t="shared" ref="S160" si="778">R160/100000</f>
        <v>-6088885.8988952981</v>
      </c>
      <c r="T160">
        <f t="shared" ref="T160" si="779">S160/1000</f>
        <v>-6088.8858988952979</v>
      </c>
    </row>
    <row r="161" spans="1:20" x14ac:dyDescent="0.25">
      <c r="A161" s="5">
        <v>44432</v>
      </c>
      <c r="B161">
        <v>6.7650000000000002E-4</v>
      </c>
      <c r="C161">
        <v>6.8249999999999995E-4</v>
      </c>
      <c r="D161">
        <v>6.0740000000000002E-4</v>
      </c>
      <c r="E161">
        <v>6.177E-4</v>
      </c>
      <c r="F161">
        <v>46960519004</v>
      </c>
      <c r="G161">
        <v>6.177E-4</v>
      </c>
      <c r="L161" t="s">
        <v>8</v>
      </c>
      <c r="M161" t="s">
        <v>7</v>
      </c>
      <c r="N161" t="s">
        <v>8</v>
      </c>
      <c r="P161">
        <f t="shared" ref="P161" si="780">IF(C161=D161,0,((E161-D161)-(C161-E161))/(C161-D161))</f>
        <v>-0.72569906790945438</v>
      </c>
      <c r="Q161">
        <f t="shared" ref="Q161" si="781">F161*P161</f>
        <v>-34079204869.747017</v>
      </c>
      <c r="R161">
        <f t="shared" ref="R161" si="782">R162+Q161</f>
        <v>-628340105651.23511</v>
      </c>
      <c r="S161">
        <f t="shared" ref="S161" si="783">R161/100000</f>
        <v>-6283401.0565123511</v>
      </c>
      <c r="T161">
        <f t="shared" ref="T161" si="784">S161/1000</f>
        <v>-6283.4010565123508</v>
      </c>
    </row>
    <row r="162" spans="1:20" x14ac:dyDescent="0.25">
      <c r="A162" s="5">
        <v>44431</v>
      </c>
      <c r="B162">
        <v>6.6169999999999998E-4</v>
      </c>
      <c r="C162">
        <v>6.9689999999999997E-4</v>
      </c>
      <c r="D162">
        <v>6.5410000000000002E-4</v>
      </c>
      <c r="E162">
        <v>6.7730000000000004E-4</v>
      </c>
      <c r="F162">
        <v>54460647030</v>
      </c>
      <c r="G162">
        <v>6.7730000000000004E-4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8.4112149532712413E-2</v>
      </c>
      <c r="Q162">
        <f t="shared" ref="Q162" si="786">F162*P162</f>
        <v>4580802086.6356306</v>
      </c>
      <c r="R162">
        <f t="shared" ref="R162" si="787">R163+Q162</f>
        <v>-594260900781.48804</v>
      </c>
      <c r="S162">
        <f t="shared" ref="S162" si="788">R162/100000</f>
        <v>-5942609.0078148805</v>
      </c>
      <c r="T162">
        <f t="shared" ref="T162" si="789">S162/1000</f>
        <v>-5942.6090078148809</v>
      </c>
    </row>
    <row r="163" spans="1:20" x14ac:dyDescent="0.25">
      <c r="A163" s="5">
        <v>44430</v>
      </c>
      <c r="B163">
        <v>6.5799999999999995E-4</v>
      </c>
      <c r="C163">
        <v>6.7469999999999997E-4</v>
      </c>
      <c r="D163">
        <v>6.5519999999999999E-4</v>
      </c>
      <c r="E163">
        <v>6.7299999999999999E-4</v>
      </c>
      <c r="F163">
        <v>9228956260</v>
      </c>
      <c r="G163">
        <v>6.7299999999999999E-4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0.82564102564102682</v>
      </c>
      <c r="Q163">
        <f t="shared" ref="Q163" si="791">F163*P163</f>
        <v>7619804912.1025753</v>
      </c>
      <c r="R163">
        <f t="shared" ref="R163" si="792">R164+Q163</f>
        <v>-598841702868.12366</v>
      </c>
      <c r="S163">
        <f t="shared" ref="S163" si="793">R163/100000</f>
        <v>-5988417.0286812363</v>
      </c>
      <c r="T163">
        <f t="shared" ref="T163" si="794">S163/1000</f>
        <v>-5988.4170286812359</v>
      </c>
    </row>
    <row r="164" spans="1:20" x14ac:dyDescent="0.25">
      <c r="A164" s="5">
        <v>44429</v>
      </c>
      <c r="B164">
        <v>6.9269999999999998E-4</v>
      </c>
      <c r="C164">
        <v>6.9999999999999999E-4</v>
      </c>
      <c r="D164">
        <v>6.5459999999999997E-4</v>
      </c>
      <c r="E164">
        <v>6.5850000000000001E-4</v>
      </c>
      <c r="F164">
        <v>47299799372</v>
      </c>
      <c r="G164">
        <v>6.5850000000000001E-4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-0.82819383259911727</v>
      </c>
      <c r="Q164">
        <f t="shared" ref="Q164" si="796">F164*P164</f>
        <v>-39173402123.066002</v>
      </c>
      <c r="R164">
        <f t="shared" ref="R164" si="797">R165+Q164</f>
        <v>-606461507780.2262</v>
      </c>
      <c r="S164">
        <f t="shared" ref="S164" si="798">R164/100000</f>
        <v>-6064615.0778022623</v>
      </c>
      <c r="T164">
        <f t="shared" ref="T164" si="799">S164/1000</f>
        <v>-6064.615077802262</v>
      </c>
    </row>
    <row r="165" spans="1:20" x14ac:dyDescent="0.25">
      <c r="A165" s="5">
        <v>44428</v>
      </c>
      <c r="B165">
        <v>6.7909999999999997E-4</v>
      </c>
      <c r="C165">
        <v>7.2000000000000005E-4</v>
      </c>
      <c r="D165">
        <v>6.5359999999999995E-4</v>
      </c>
      <c r="E165">
        <v>6.9209999999999996E-4</v>
      </c>
      <c r="F165">
        <v>71903083135</v>
      </c>
      <c r="G165">
        <v>6.9209999999999996E-4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0.15963855421686621</v>
      </c>
      <c r="Q165">
        <f t="shared" ref="Q165" si="801">F165*P165</f>
        <v>11478504235.406536</v>
      </c>
      <c r="R165">
        <f t="shared" ref="R165" si="802">R166+Q165</f>
        <v>-567288105657.16016</v>
      </c>
      <c r="S165">
        <f t="shared" ref="S165" si="803">R165/100000</f>
        <v>-5672881.0565716019</v>
      </c>
      <c r="T165">
        <f t="shared" ref="T165" si="804">S165/1000</f>
        <v>-5672.8810565716021</v>
      </c>
    </row>
    <row r="166" spans="1:20" x14ac:dyDescent="0.25">
      <c r="A166" s="5">
        <v>44427</v>
      </c>
      <c r="B166">
        <v>6.3619999999999996E-4</v>
      </c>
      <c r="C166">
        <v>6.9200000000000002E-4</v>
      </c>
      <c r="D166">
        <v>6.068E-4</v>
      </c>
      <c r="E166">
        <v>6.7900000000000002E-4</v>
      </c>
      <c r="F166">
        <v>54500619460</v>
      </c>
      <c r="G166">
        <v>6.7900000000000002E-4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0.69483568075117397</v>
      </c>
      <c r="Q166">
        <f t="shared" ref="Q166" si="806">F166*P166</f>
        <v>37868975023.849777</v>
      </c>
      <c r="R166">
        <f t="shared" ref="R166" si="807">R167+Q166</f>
        <v>-578766609892.56665</v>
      </c>
      <c r="S166">
        <f t="shared" ref="S166" si="808">R166/100000</f>
        <v>-5787666.0989256669</v>
      </c>
      <c r="T166">
        <f t="shared" ref="T166" si="809">S166/1000</f>
        <v>-5787.666098925667</v>
      </c>
    </row>
    <row r="167" spans="1:20" x14ac:dyDescent="0.25">
      <c r="A167" s="5">
        <v>44426</v>
      </c>
      <c r="B167">
        <v>6.288E-4</v>
      </c>
      <c r="C167">
        <v>6.6759999999999996E-4</v>
      </c>
      <c r="D167">
        <v>6.001E-4</v>
      </c>
      <c r="E167">
        <v>6.3670000000000003E-4</v>
      </c>
      <c r="F167">
        <v>51940959653</v>
      </c>
      <c r="G167">
        <v>6.3670000000000003E-4</v>
      </c>
      <c r="L167" t="s">
        <v>8</v>
      </c>
      <c r="M167" t="s">
        <v>7</v>
      </c>
      <c r="N167" t="s">
        <v>8</v>
      </c>
      <c r="P167">
        <f t="shared" ref="P167" si="810">IF(C167=D167,0,((E167-D167)-(C167-E167))/(C167-D167))</f>
        <v>8.4444444444445738E-2</v>
      </c>
      <c r="Q167">
        <f t="shared" ref="Q167" si="811">F167*P167</f>
        <v>4386125481.8089561</v>
      </c>
      <c r="R167">
        <f t="shared" ref="R167" si="812">R168+Q167</f>
        <v>-616635584916.41638</v>
      </c>
      <c r="S167">
        <f t="shared" ref="S167" si="813">R167/100000</f>
        <v>-6166355.8491641637</v>
      </c>
      <c r="T167">
        <f t="shared" ref="T167" si="814">S167/1000</f>
        <v>-6166.3558491641634</v>
      </c>
    </row>
    <row r="168" spans="1:20" x14ac:dyDescent="0.25">
      <c r="A168" s="5">
        <v>44425</v>
      </c>
      <c r="B168">
        <v>6.9570000000000005E-4</v>
      </c>
      <c r="C168">
        <v>7.1900000000000002E-4</v>
      </c>
      <c r="D168">
        <v>6.1919999999999998E-4</v>
      </c>
      <c r="E168">
        <v>6.288E-4</v>
      </c>
      <c r="F168">
        <v>56857716078</v>
      </c>
      <c r="G168">
        <v>6.288E-4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-0.80761523046092154</v>
      </c>
      <c r="Q168">
        <f t="shared" ref="Q168" si="816">F168*P168</f>
        <v>-45919157473.815613</v>
      </c>
      <c r="R168">
        <f t="shared" ref="R168" si="817">R169+Q168</f>
        <v>-621021710398.22534</v>
      </c>
      <c r="S168">
        <f t="shared" ref="S168" si="818">R168/100000</f>
        <v>-6210217.103982253</v>
      </c>
      <c r="T168">
        <f t="shared" ref="T168" si="819">S168/1000</f>
        <v>-6210.2171039822533</v>
      </c>
    </row>
    <row r="169" spans="1:20" x14ac:dyDescent="0.25">
      <c r="A169" s="5">
        <v>44424</v>
      </c>
      <c r="B169">
        <v>7.2769999999999996E-4</v>
      </c>
      <c r="C169">
        <v>7.6610000000000003E-4</v>
      </c>
      <c r="D169">
        <v>6.8510000000000001E-4</v>
      </c>
      <c r="E169">
        <v>6.9629999999999996E-4</v>
      </c>
      <c r="F169">
        <v>77882932190</v>
      </c>
      <c r="G169">
        <v>6.9629999999999996E-4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-0.7234567901234582</v>
      </c>
      <c r="Q169">
        <f t="shared" ref="Q169" si="821">F169*P169</f>
        <v>-56344936127.58036</v>
      </c>
      <c r="R169">
        <f t="shared" ref="R169" si="822">R170+Q169</f>
        <v>-575102552924.40967</v>
      </c>
      <c r="S169">
        <f t="shared" ref="S169" si="823">R169/100000</f>
        <v>-5751025.5292440969</v>
      </c>
      <c r="T169">
        <f t="shared" ref="T169" si="824">S169/1000</f>
        <v>-5751.025529244097</v>
      </c>
    </row>
    <row r="170" spans="1:20" x14ac:dyDescent="0.25">
      <c r="A170" s="5">
        <v>44423</v>
      </c>
      <c r="B170">
        <v>7.5100000000000004E-4</v>
      </c>
      <c r="C170">
        <v>7.6599999999999997E-4</v>
      </c>
      <c r="D170">
        <v>6.981E-4</v>
      </c>
      <c r="E170">
        <v>7.2780000000000002E-4</v>
      </c>
      <c r="F170">
        <v>94375201877</v>
      </c>
      <c r="G170">
        <v>7.2780000000000002E-4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-0.12518409425625832</v>
      </c>
      <c r="Q170">
        <f t="shared" ref="Q170" si="826">F170*P170</f>
        <v>-11814274167.223774</v>
      </c>
      <c r="R170">
        <f t="shared" ref="R170" si="827">R171+Q170</f>
        <v>-518757616796.82935</v>
      </c>
      <c r="S170">
        <f t="shared" ref="S170" si="828">R170/100000</f>
        <v>-5187576.1679682937</v>
      </c>
      <c r="T170">
        <f t="shared" ref="T170" si="829">S170/1000</f>
        <v>-5187.5761679682937</v>
      </c>
    </row>
    <row r="171" spans="1:20" x14ac:dyDescent="0.25">
      <c r="A171" s="5">
        <v>44422</v>
      </c>
      <c r="B171">
        <v>7.7169999999999995E-4</v>
      </c>
      <c r="C171">
        <v>8.0920000000000005E-4</v>
      </c>
      <c r="D171">
        <v>7.3249999999999997E-4</v>
      </c>
      <c r="E171">
        <v>7.5100000000000004E-4</v>
      </c>
      <c r="F171">
        <v>120511012545</v>
      </c>
      <c r="G171">
        <v>7.5100000000000004E-4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-0.5176010430247705</v>
      </c>
      <c r="Q171">
        <f t="shared" ref="Q171" si="831">F171*P171</f>
        <v>-62376625789.263206</v>
      </c>
      <c r="R171">
        <f t="shared" ref="R171" si="832">R172+Q171</f>
        <v>-506943342629.60559</v>
      </c>
      <c r="S171">
        <f t="shared" ref="S171" si="833">R171/100000</f>
        <v>-5069433.4262960562</v>
      </c>
      <c r="T171">
        <f t="shared" ref="T171" si="834">S171/1000</f>
        <v>-5069.4334262960565</v>
      </c>
    </row>
    <row r="172" spans="1:20" x14ac:dyDescent="0.25">
      <c r="A172" s="5">
        <v>44421</v>
      </c>
      <c r="B172">
        <v>7.1120000000000005E-4</v>
      </c>
      <c r="C172">
        <v>8.1380000000000005E-4</v>
      </c>
      <c r="D172">
        <v>6.9470000000000003E-4</v>
      </c>
      <c r="E172">
        <v>7.716E-4</v>
      </c>
      <c r="F172">
        <v>143185514315</v>
      </c>
      <c r="G172">
        <v>7.716E-4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0.2913518052057088</v>
      </c>
      <c r="Q172">
        <f t="shared" ref="Q172" si="836">F172*P172</f>
        <v>41717358074.983109</v>
      </c>
      <c r="R172">
        <f t="shared" ref="R172" si="837">R173+Q172</f>
        <v>-444566716840.34241</v>
      </c>
      <c r="S172">
        <f t="shared" ref="S172" si="838">R172/100000</f>
        <v>-4445667.1684034243</v>
      </c>
      <c r="T172">
        <f t="shared" ref="T172" si="839">S172/1000</f>
        <v>-4445.6671684034245</v>
      </c>
    </row>
    <row r="173" spans="1:20" x14ac:dyDescent="0.25">
      <c r="A173" s="5">
        <v>44420</v>
      </c>
      <c r="B173">
        <v>7.2999999999999996E-4</v>
      </c>
      <c r="C173">
        <v>8.0920000000000005E-4</v>
      </c>
      <c r="D173">
        <v>6.4130000000000003E-4</v>
      </c>
      <c r="E173">
        <v>7.1109999999999999E-4</v>
      </c>
      <c r="F173">
        <v>261087365772</v>
      </c>
      <c r="G173">
        <v>7.1109999999999999E-4</v>
      </c>
      <c r="L173" t="s">
        <v>8</v>
      </c>
      <c r="M173" t="s">
        <v>7</v>
      </c>
      <c r="N173" t="s">
        <v>8</v>
      </c>
      <c r="P173">
        <f t="shared" ref="P173" si="840">IF(C173=D173,0,((E173-D173)-(C173-E173))/(C173-D173))</f>
        <v>-0.16855270994639721</v>
      </c>
      <c r="Q173">
        <f t="shared" ref="Q173" si="841">F173*P173</f>
        <v>-44006983033.636833</v>
      </c>
      <c r="R173">
        <f t="shared" ref="R173" si="842">R174+Q173</f>
        <v>-486284074915.3255</v>
      </c>
      <c r="S173">
        <f t="shared" ref="S173" si="843">R173/100000</f>
        <v>-4862840.7491532546</v>
      </c>
      <c r="T173">
        <f t="shared" ref="T173" si="844">S173/1000</f>
        <v>-4862.8407491532544</v>
      </c>
    </row>
    <row r="174" spans="1:20" x14ac:dyDescent="0.25">
      <c r="A174" s="5">
        <v>44419</v>
      </c>
      <c r="B174">
        <v>5.0390000000000005E-4</v>
      </c>
      <c r="C174">
        <v>8.3589999999999999E-4</v>
      </c>
      <c r="D174">
        <v>5.0140000000000004E-4</v>
      </c>
      <c r="E174">
        <v>7.3090000000000004E-4</v>
      </c>
      <c r="F174">
        <v>525334814319</v>
      </c>
      <c r="G174">
        <v>7.3090000000000004E-4</v>
      </c>
      <c r="L174" t="s">
        <v>7</v>
      </c>
      <c r="M174" t="s">
        <v>8</v>
      </c>
      <c r="N174" t="s">
        <v>8</v>
      </c>
      <c r="P174">
        <f t="shared" ref="P174" si="845">IF(C174=D174,0,((E174-D174)-(C174-E174))/(C174-D174))</f>
        <v>0.37219730941704054</v>
      </c>
      <c r="Q174">
        <f t="shared" ref="Q174" si="846">F174*P174</f>
        <v>195528204432.63239</v>
      </c>
      <c r="R174">
        <f t="shared" ref="R174" si="847">R175+Q174</f>
        <v>-442277091881.68866</v>
      </c>
      <c r="S174">
        <f t="shared" ref="S174" si="848">R174/100000</f>
        <v>-4422770.9188168868</v>
      </c>
      <c r="T174">
        <f t="shared" ref="T174" si="849">S174/1000</f>
        <v>-4422.7709188168865</v>
      </c>
    </row>
    <row r="175" spans="1:20" x14ac:dyDescent="0.25">
      <c r="A175" s="5">
        <v>44418</v>
      </c>
      <c r="B175">
        <v>4.7350000000000002E-4</v>
      </c>
      <c r="C175">
        <v>5.1869999999999998E-4</v>
      </c>
      <c r="D175">
        <v>4.6279999999999997E-4</v>
      </c>
      <c r="E175">
        <v>5.0409999999999995E-4</v>
      </c>
      <c r="F175">
        <v>114199506070</v>
      </c>
      <c r="G175">
        <v>5.0409999999999995E-4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0.47763864042933707</v>
      </c>
      <c r="Q175">
        <f t="shared" ref="Q175" si="851">F175*P175</f>
        <v>54546096816.976624</v>
      </c>
      <c r="R175">
        <f t="shared" ref="R175" si="852">R176+Q175</f>
        <v>-637805296314.32104</v>
      </c>
      <c r="S175">
        <f t="shared" ref="S175" si="853">R175/100000</f>
        <v>-6378052.9631432109</v>
      </c>
      <c r="T175">
        <f t="shared" ref="T175" si="854">S175/1000</f>
        <v>-6378.0529631432109</v>
      </c>
    </row>
    <row r="176" spans="1:20" x14ac:dyDescent="0.25">
      <c r="A176" s="5">
        <v>44417</v>
      </c>
      <c r="B176">
        <v>4.4920000000000002E-4</v>
      </c>
      <c r="C176">
        <v>4.7869999999999998E-4</v>
      </c>
      <c r="D176">
        <v>4.2559999999999999E-4</v>
      </c>
      <c r="E176">
        <v>4.7360000000000002E-4</v>
      </c>
      <c r="F176">
        <v>91396228891</v>
      </c>
      <c r="G176">
        <v>4.7360000000000002E-4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0.80790960451977545</v>
      </c>
      <c r="Q176">
        <f t="shared" ref="Q176" si="856">F176*P176</f>
        <v>73839891137.926682</v>
      </c>
      <c r="R176">
        <f t="shared" ref="R176" si="857">R177+Q176</f>
        <v>-692351393131.29773</v>
      </c>
      <c r="S176">
        <f t="shared" ref="S176" si="858">R176/100000</f>
        <v>-6923513.9313129773</v>
      </c>
      <c r="T176">
        <f t="shared" ref="T176" si="859">S176/1000</f>
        <v>-6923.5139313129775</v>
      </c>
    </row>
    <row r="177" spans="1:20" x14ac:dyDescent="0.25">
      <c r="A177" s="5">
        <v>44416</v>
      </c>
      <c r="B177">
        <v>4.2509999999999998E-4</v>
      </c>
      <c r="C177">
        <v>4.8739999999999998E-4</v>
      </c>
      <c r="D177">
        <v>4.147E-4</v>
      </c>
      <c r="E177">
        <v>4.4920000000000002E-4</v>
      </c>
      <c r="F177">
        <v>177201153140</v>
      </c>
      <c r="G177">
        <v>4.4920000000000002E-4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-5.0894085281979758E-2</v>
      </c>
      <c r="Q177">
        <f t="shared" ref="Q177" si="861">F177*P177</f>
        <v>-9018490599.9723148</v>
      </c>
      <c r="R177">
        <f t="shared" ref="R177" si="862">R178+Q177</f>
        <v>-766191284269.22437</v>
      </c>
      <c r="S177">
        <f t="shared" ref="S177" si="863">R177/100000</f>
        <v>-7661912.8426922439</v>
      </c>
      <c r="T177">
        <f t="shared" ref="T177" si="864">S177/1000</f>
        <v>-7661.9128426922434</v>
      </c>
    </row>
    <row r="178" spans="1:20" x14ac:dyDescent="0.25">
      <c r="A178" s="5">
        <v>44415</v>
      </c>
      <c r="B178">
        <v>4.238E-4</v>
      </c>
      <c r="C178">
        <v>4.3570000000000002E-4</v>
      </c>
      <c r="D178">
        <v>4.014E-4</v>
      </c>
      <c r="E178">
        <v>4.2489999999999997E-4</v>
      </c>
      <c r="F178">
        <v>87880797067</v>
      </c>
      <c r="G178">
        <v>4.2489999999999997E-4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0.37026239067055167</v>
      </c>
      <c r="Q178">
        <f t="shared" ref="Q178" si="866">F178*P178</f>
        <v>32538954016.061024</v>
      </c>
      <c r="R178">
        <f t="shared" ref="R178" si="867">R179+Q178</f>
        <v>-757172793669.25208</v>
      </c>
      <c r="S178">
        <f t="shared" ref="S178" si="868">R178/100000</f>
        <v>-7571727.936692521</v>
      </c>
      <c r="T178">
        <f t="shared" ref="T178" si="869">S178/1000</f>
        <v>-7571.7279366925213</v>
      </c>
    </row>
    <row r="179" spans="1:20" x14ac:dyDescent="0.25">
      <c r="A179" s="5">
        <v>44414</v>
      </c>
      <c r="B179">
        <v>3.9619999999999998E-4</v>
      </c>
      <c r="C179">
        <v>4.35E-4</v>
      </c>
      <c r="D179">
        <v>3.858E-4</v>
      </c>
      <c r="E179">
        <v>4.236E-4</v>
      </c>
      <c r="F179">
        <v>92117740341</v>
      </c>
      <c r="G179">
        <v>4.236E-4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0.53658536585365835</v>
      </c>
      <c r="Q179">
        <f t="shared" ref="Q179" si="871">F179*P179</f>
        <v>49429031402.487785</v>
      </c>
      <c r="R179">
        <f t="shared" ref="R179" si="872">R180+Q179</f>
        <v>-789711747685.31311</v>
      </c>
      <c r="S179">
        <f t="shared" ref="S179" si="873">R179/100000</f>
        <v>-7897117.4768531313</v>
      </c>
      <c r="T179">
        <f t="shared" ref="T179" si="874">S179/1000</f>
        <v>-7897.1174768531309</v>
      </c>
    </row>
    <row r="180" spans="1:20" x14ac:dyDescent="0.25">
      <c r="A180" s="5">
        <v>44413</v>
      </c>
      <c r="B180">
        <v>3.8220000000000002E-4</v>
      </c>
      <c r="C180">
        <v>4.1379999999999998E-4</v>
      </c>
      <c r="D180">
        <v>3.7100000000000002E-4</v>
      </c>
      <c r="E180">
        <v>3.9619999999999998E-4</v>
      </c>
      <c r="F180">
        <v>91332182998</v>
      </c>
      <c r="G180">
        <v>3.9619999999999998E-4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0.17757009345794336</v>
      </c>
      <c r="Q180">
        <f t="shared" ref="Q180" si="876">F180*P180</f>
        <v>16217864270.672846</v>
      </c>
      <c r="R180">
        <f t="shared" ref="R180" si="877">R181+Q180</f>
        <v>-839140779087.8009</v>
      </c>
      <c r="S180">
        <f t="shared" ref="S180" si="878">R180/100000</f>
        <v>-8391407.7908780091</v>
      </c>
      <c r="T180">
        <f t="shared" ref="T180" si="879">S180/1000</f>
        <v>-8391.4077908780091</v>
      </c>
    </row>
    <row r="181" spans="1:20" x14ac:dyDescent="0.25">
      <c r="A181" s="5">
        <v>44412</v>
      </c>
      <c r="B181">
        <v>3.4220000000000002E-4</v>
      </c>
      <c r="C181">
        <v>4.1659999999999999E-4</v>
      </c>
      <c r="D181">
        <v>3.3930000000000001E-4</v>
      </c>
      <c r="E181">
        <v>3.8249999999999997E-4</v>
      </c>
      <c r="F181">
        <v>95316866563</v>
      </c>
      <c r="G181">
        <v>3.8249999999999997E-4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0.11772315653298775</v>
      </c>
      <c r="Q181">
        <f t="shared" ref="Q181" si="881">F181*P181</f>
        <v>11221002402.629955</v>
      </c>
      <c r="R181">
        <f t="shared" ref="R181" si="882">R182+Q181</f>
        <v>-855358643358.47375</v>
      </c>
      <c r="S181">
        <f t="shared" ref="S181" si="883">R181/100000</f>
        <v>-8553586.4335847367</v>
      </c>
      <c r="T181">
        <f t="shared" ref="T181" si="884">S181/1000</f>
        <v>-8553.5864335847364</v>
      </c>
    </row>
    <row r="182" spans="1:20" x14ac:dyDescent="0.25">
      <c r="A182" s="5">
        <v>44411</v>
      </c>
      <c r="B182">
        <v>3.5770000000000002E-4</v>
      </c>
      <c r="C182">
        <v>3.6170000000000001E-4</v>
      </c>
      <c r="D182">
        <v>3.389E-4</v>
      </c>
      <c r="E182">
        <v>3.4190000000000002E-4</v>
      </c>
      <c r="F182">
        <v>25958758648</v>
      </c>
      <c r="G182">
        <v>3.4190000000000002E-4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-0.73684210526315641</v>
      </c>
      <c r="Q182">
        <f t="shared" ref="Q182" si="886">F182*P182</f>
        <v>-19127506372.210487</v>
      </c>
      <c r="R182">
        <f t="shared" ref="R182" si="887">R183+Q182</f>
        <v>-866579645761.10376</v>
      </c>
      <c r="S182">
        <f t="shared" ref="S182" si="888">R182/100000</f>
        <v>-8665796.4576110374</v>
      </c>
      <c r="T182">
        <f t="shared" ref="T182" si="889">S182/1000</f>
        <v>-8665.7964576110371</v>
      </c>
    </row>
    <row r="183" spans="1:20" x14ac:dyDescent="0.25">
      <c r="A183" s="5">
        <v>44410</v>
      </c>
      <c r="B183">
        <v>3.5750000000000002E-4</v>
      </c>
      <c r="C183">
        <v>3.6460000000000003E-4</v>
      </c>
      <c r="D183">
        <v>3.5409999999999999E-4</v>
      </c>
      <c r="E183">
        <v>3.5770000000000002E-4</v>
      </c>
      <c r="F183">
        <v>16922136557</v>
      </c>
      <c r="G183">
        <v>3.5770000000000002E-4</v>
      </c>
      <c r="L183" t="s">
        <v>8</v>
      </c>
      <c r="M183" t="s">
        <v>7</v>
      </c>
      <c r="N183" t="s">
        <v>8</v>
      </c>
      <c r="P183">
        <f t="shared" ref="P183" si="890">IF(C183=D183,0,((E183-D183)-(C183-E183))/(C183-D183))</f>
        <v>-0.31428571428571045</v>
      </c>
      <c r="Q183">
        <f t="shared" ref="Q183" si="891">F183*P183</f>
        <v>-5318385775.0570784</v>
      </c>
      <c r="R183">
        <f t="shared" ref="R183" si="892">R184+Q183</f>
        <v>-847452139388.89331</v>
      </c>
      <c r="S183">
        <f t="shared" ref="S183" si="893">R183/100000</f>
        <v>-8474521.3938889336</v>
      </c>
      <c r="T183">
        <f t="shared" ref="T183" si="894">S183/1000</f>
        <v>-8474.5213938889337</v>
      </c>
    </row>
    <row r="184" spans="1:20" x14ac:dyDescent="0.25">
      <c r="A184" s="5">
        <v>44409</v>
      </c>
      <c r="B184">
        <v>3.5770000000000002E-4</v>
      </c>
      <c r="C184">
        <v>3.8000000000000002E-4</v>
      </c>
      <c r="D184">
        <v>3.5550000000000002E-4</v>
      </c>
      <c r="E184">
        <v>3.5750000000000002E-4</v>
      </c>
      <c r="F184">
        <v>47952277930</v>
      </c>
      <c r="G184">
        <v>3.5750000000000002E-4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-0.83673469387755151</v>
      </c>
      <c r="Q184">
        <f t="shared" ref="Q184" si="896">F184*P184</f>
        <v>-40123334594.489822</v>
      </c>
      <c r="R184">
        <f t="shared" ref="R184" si="897">R185+Q184</f>
        <v>-842133753613.83618</v>
      </c>
      <c r="S184">
        <f t="shared" ref="S184" si="898">R184/100000</f>
        <v>-8421337.5361383613</v>
      </c>
      <c r="T184">
        <f t="shared" ref="T184" si="899">S184/1000</f>
        <v>-8421.3375361383605</v>
      </c>
    </row>
    <row r="185" spans="1:20" x14ac:dyDescent="0.25">
      <c r="A185" s="5">
        <v>44408</v>
      </c>
      <c r="B185">
        <v>3.6089999999999999E-4</v>
      </c>
      <c r="C185">
        <v>3.68E-4</v>
      </c>
      <c r="D185">
        <v>3.5110000000000002E-4</v>
      </c>
      <c r="E185">
        <v>3.5770000000000002E-4</v>
      </c>
      <c r="F185">
        <v>29480399806</v>
      </c>
      <c r="G185">
        <v>3.5770000000000002E-4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-0.21893491124260275</v>
      </c>
      <c r="Q185">
        <f t="shared" ref="Q185" si="901">F185*P185</f>
        <v>-6454288714.9230537</v>
      </c>
      <c r="R185">
        <f t="shared" ref="R185" si="902">R186+Q185</f>
        <v>-802010419019.34631</v>
      </c>
      <c r="S185">
        <f t="shared" ref="S185" si="903">R185/100000</f>
        <v>-8020104.1901934631</v>
      </c>
      <c r="T185">
        <f t="shared" ref="T185" si="904">S185/1000</f>
        <v>-8020.1041901934632</v>
      </c>
    </row>
    <row r="186" spans="1:20" x14ac:dyDescent="0.25">
      <c r="A186" s="5">
        <v>44407</v>
      </c>
      <c r="B186">
        <v>3.5799999999999997E-4</v>
      </c>
      <c r="C186">
        <v>3.6329999999999999E-4</v>
      </c>
      <c r="D186">
        <v>3.3409999999999999E-4</v>
      </c>
      <c r="E186">
        <v>3.6089999999999999E-4</v>
      </c>
      <c r="F186">
        <v>39288829992</v>
      </c>
      <c r="G186">
        <v>3.6089999999999999E-4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0.83561643835616417</v>
      </c>
      <c r="Q186">
        <f t="shared" ref="Q186" si="906">F186*P186</f>
        <v>32830392185.095882</v>
      </c>
      <c r="R186">
        <f t="shared" ref="R186" si="907">R187+Q186</f>
        <v>-795556130304.42322</v>
      </c>
      <c r="S186">
        <f t="shared" ref="S186" si="908">R186/100000</f>
        <v>-7955561.3030442325</v>
      </c>
      <c r="T186">
        <f t="shared" ref="T186" si="909">S186/1000</f>
        <v>-7955.5613030442328</v>
      </c>
    </row>
    <row r="187" spans="1:20" x14ac:dyDescent="0.25">
      <c r="A187" s="5">
        <v>44406</v>
      </c>
      <c r="B187">
        <v>3.5639999999999999E-4</v>
      </c>
      <c r="C187">
        <v>3.6180000000000001E-4</v>
      </c>
      <c r="D187">
        <v>3.5139999999999998E-4</v>
      </c>
      <c r="E187">
        <v>3.5799999999999997E-4</v>
      </c>
      <c r="F187">
        <v>17049727685</v>
      </c>
      <c r="G187">
        <v>3.5799999999999997E-4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0.26923076923076444</v>
      </c>
      <c r="Q187">
        <f t="shared" ref="Q187" si="911">F187*P187</f>
        <v>4590311299.8076105</v>
      </c>
      <c r="R187">
        <f t="shared" ref="R187" si="912">R188+Q187</f>
        <v>-828386522489.51904</v>
      </c>
      <c r="S187">
        <f t="shared" ref="S187" si="913">R187/100000</f>
        <v>-8283865.2248951904</v>
      </c>
      <c r="T187">
        <f t="shared" ref="T187" si="914">S187/1000</f>
        <v>-8283.8652248951912</v>
      </c>
    </row>
    <row r="188" spans="1:20" x14ac:dyDescent="0.25">
      <c r="A188" s="5">
        <v>44405</v>
      </c>
      <c r="B188">
        <v>3.6289999999999998E-4</v>
      </c>
      <c r="C188">
        <v>3.7199999999999999E-4</v>
      </c>
      <c r="D188">
        <v>3.502E-4</v>
      </c>
      <c r="E188">
        <v>3.5639999999999999E-4</v>
      </c>
      <c r="F188">
        <v>30775213199</v>
      </c>
      <c r="G188">
        <v>3.5639999999999999E-4</v>
      </c>
      <c r="L188" t="s">
        <v>7</v>
      </c>
      <c r="M188" t="s">
        <v>7</v>
      </c>
      <c r="N188" t="s">
        <v>8</v>
      </c>
      <c r="P188">
        <f t="shared" ref="P188" si="915">IF(C188=D188,0,((E188-D188)-(C188-E188))/(C188-D188))</f>
        <v>-0.43119266055045952</v>
      </c>
      <c r="Q188">
        <f t="shared" ref="Q188" si="916">F188*P188</f>
        <v>-13270046058.284428</v>
      </c>
      <c r="R188">
        <f t="shared" ref="R188" si="917">R189+Q188</f>
        <v>-832976833789.32666</v>
      </c>
      <c r="S188">
        <f t="shared" ref="S188" si="918">R188/100000</f>
        <v>-8329768.3378932662</v>
      </c>
      <c r="T188">
        <f t="shared" ref="T188" si="919">S188/1000</f>
        <v>-8329.768337893267</v>
      </c>
    </row>
    <row r="189" spans="1:20" x14ac:dyDescent="0.25">
      <c r="A189" s="5">
        <v>44404</v>
      </c>
      <c r="B189">
        <v>3.547E-4</v>
      </c>
      <c r="C189">
        <v>3.7500000000000001E-4</v>
      </c>
      <c r="D189">
        <v>3.3320000000000002E-4</v>
      </c>
      <c r="E189">
        <v>3.6269999999999998E-4</v>
      </c>
      <c r="F189">
        <v>54195122225</v>
      </c>
      <c r="G189">
        <v>3.6269999999999998E-4</v>
      </c>
      <c r="L189" t="s">
        <v>8</v>
      </c>
      <c r="M189" t="s">
        <v>7</v>
      </c>
      <c r="N189" t="s">
        <v>8</v>
      </c>
      <c r="P189">
        <f t="shared" ref="P189" si="920">IF(C189=D189,0,((E189-D189)-(C189-E189))/(C189-D189))</f>
        <v>0.41148325358851523</v>
      </c>
      <c r="Q189">
        <f t="shared" ref="Q189" si="921">F189*P189</f>
        <v>22300385221.770252</v>
      </c>
      <c r="R189">
        <f t="shared" ref="R189" si="922">R190+Q189</f>
        <v>-819706787731.04224</v>
      </c>
      <c r="S189">
        <f t="shared" ref="S189" si="923">R189/100000</f>
        <v>-8197067.8773104222</v>
      </c>
      <c r="T189">
        <f t="shared" ref="T189" si="924">S189/1000</f>
        <v>-8197.0678773104228</v>
      </c>
    </row>
    <row r="190" spans="1:20" x14ac:dyDescent="0.25">
      <c r="A190" s="5">
        <v>44403</v>
      </c>
      <c r="B190">
        <v>3.502E-4</v>
      </c>
      <c r="C190">
        <v>4.171E-4</v>
      </c>
      <c r="D190">
        <v>3.4749999999999999E-4</v>
      </c>
      <c r="E190">
        <v>3.548E-4</v>
      </c>
      <c r="F190">
        <v>132214789673</v>
      </c>
      <c r="G190">
        <v>3.548E-4</v>
      </c>
      <c r="L190" t="s">
        <v>7</v>
      </c>
      <c r="M190" t="s">
        <v>8</v>
      </c>
      <c r="N190" t="s">
        <v>8</v>
      </c>
      <c r="P190">
        <f t="shared" ref="P190" si="925">IF(C190=D190,0,((E190-D190)-(C190-E190))/(C190-D190))</f>
        <v>-0.79022988505747083</v>
      </c>
      <c r="Q190">
        <f t="shared" ref="Q190" si="926">F190*P190</f>
        <v>-104480078046.19247</v>
      </c>
      <c r="R190">
        <f t="shared" ref="R190" si="927">R191+Q190</f>
        <v>-842007172952.8125</v>
      </c>
      <c r="S190">
        <f t="shared" ref="S190" si="928">R190/100000</f>
        <v>-8420071.7295281254</v>
      </c>
      <c r="T190">
        <f t="shared" ref="T190" si="929">S190/1000</f>
        <v>-8420.0717295281247</v>
      </c>
    </row>
    <row r="191" spans="1:20" x14ac:dyDescent="0.25">
      <c r="A191" s="5">
        <v>44402</v>
      </c>
      <c r="B191">
        <v>3.1730000000000001E-4</v>
      </c>
      <c r="C191">
        <v>3.5879999999999999E-4</v>
      </c>
      <c r="D191">
        <v>3.0739999999999999E-4</v>
      </c>
      <c r="E191">
        <v>3.501E-4</v>
      </c>
      <c r="F191">
        <v>72655669322</v>
      </c>
      <c r="G191">
        <v>3.501E-4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0.66147859922179009</v>
      </c>
      <c r="Q191">
        <f t="shared" ref="Q191" si="931">F191*P191</f>
        <v>48060170368.638145</v>
      </c>
      <c r="R191">
        <f t="shared" ref="R191" si="932">R192+Q191</f>
        <v>-737527094906.62</v>
      </c>
      <c r="S191">
        <f t="shared" ref="S191" si="933">R191/100000</f>
        <v>-7375270.9490662003</v>
      </c>
      <c r="T191">
        <f t="shared" ref="T191:T197" si="934">S191/1000</f>
        <v>-7375.2709490662</v>
      </c>
    </row>
    <row r="192" spans="1:20" x14ac:dyDescent="0.25">
      <c r="A192" s="5">
        <v>44401</v>
      </c>
      <c r="B192">
        <v>3.2289999999999999E-4</v>
      </c>
      <c r="C192">
        <v>3.2539999999999999E-4</v>
      </c>
      <c r="D192">
        <v>3.0650000000000002E-4</v>
      </c>
      <c r="E192">
        <v>3.168E-4</v>
      </c>
      <c r="F192">
        <v>43170279166</v>
      </c>
      <c r="G192">
        <v>3.168E-4</v>
      </c>
      <c r="L192" t="s">
        <v>7</v>
      </c>
      <c r="M192" t="s">
        <v>8</v>
      </c>
      <c r="N192" t="s">
        <v>7</v>
      </c>
      <c r="P192">
        <f t="shared" ref="P192" si="935">IF(C192=D192,0,((E192-D192)-(C192-E192))/(C192-D192))</f>
        <v>8.9947089947089401E-2</v>
      </c>
      <c r="Q192">
        <f t="shared" ref="Q192" si="936">F192*P192</f>
        <v>3883040983.1851616</v>
      </c>
      <c r="R192">
        <f t="shared" ref="R192" si="937">R193+Q192</f>
        <v>-785587265275.25818</v>
      </c>
      <c r="S192">
        <f t="shared" ref="S192" si="938">R192/100000</f>
        <v>-7855872.652752582</v>
      </c>
      <c r="T192">
        <f t="shared" si="934"/>
        <v>-7855.8726527525823</v>
      </c>
    </row>
    <row r="193" spans="1:20" x14ac:dyDescent="0.25">
      <c r="A193" s="5">
        <v>44400</v>
      </c>
      <c r="B193">
        <v>2.9409999999999999E-4</v>
      </c>
      <c r="C193">
        <v>3.2749999999999999E-4</v>
      </c>
      <c r="D193">
        <v>2.9320000000000003E-4</v>
      </c>
      <c r="E193">
        <v>3.2289999999999999E-4</v>
      </c>
      <c r="F193">
        <v>45411313647</v>
      </c>
      <c r="G193">
        <v>3.2289999999999999E-4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0.73177842565597617</v>
      </c>
      <c r="Q193">
        <f t="shared" ref="Q193" si="940">F193*P193</f>
        <v>33231019607.571407</v>
      </c>
      <c r="R193">
        <f t="shared" ref="R193" si="941">R194+Q193</f>
        <v>-789470306258.44336</v>
      </c>
      <c r="S193">
        <f t="shared" ref="S193" si="942">R193/100000</f>
        <v>-7894703.0625844337</v>
      </c>
      <c r="T193">
        <f t="shared" si="934"/>
        <v>-7894.7030625844336</v>
      </c>
    </row>
    <row r="194" spans="1:20" x14ac:dyDescent="0.25">
      <c r="A194" s="5">
        <v>44399</v>
      </c>
      <c r="B194">
        <v>2.944E-4</v>
      </c>
      <c r="C194">
        <v>3.0499999999999999E-4</v>
      </c>
      <c r="D194">
        <v>2.8899999999999998E-4</v>
      </c>
      <c r="E194">
        <v>2.9409999999999999E-4</v>
      </c>
      <c r="F194">
        <v>30663279749</v>
      </c>
      <c r="G194">
        <v>2.9409999999999999E-4</v>
      </c>
      <c r="L194" t="s">
        <v>7</v>
      </c>
      <c r="M194" t="s">
        <v>7</v>
      </c>
      <c r="N194" t="s">
        <v>7</v>
      </c>
      <c r="P194">
        <f t="shared" ref="P194" si="943">IF(C194=D194,0,((E194-D194)-(C194-E194))/(C194-D194))</f>
        <v>-0.36249999999999843</v>
      </c>
      <c r="Q194">
        <f t="shared" ref="Q194" si="944">F194*P194</f>
        <v>-11115438909.012451</v>
      </c>
      <c r="R194">
        <f t="shared" ref="R194" si="945">R195+Q194</f>
        <v>-822701325866.01477</v>
      </c>
      <c r="S194">
        <f t="shared" ref="S194" si="946">R194/100000</f>
        <v>-8227013.2586601479</v>
      </c>
      <c r="T194">
        <f t="shared" si="934"/>
        <v>-8227.0132586601485</v>
      </c>
    </row>
    <row r="195" spans="1:20" x14ac:dyDescent="0.25">
      <c r="A195" s="5">
        <v>44398</v>
      </c>
      <c r="B195">
        <v>2.7409999999999999E-4</v>
      </c>
      <c r="C195">
        <v>3.0650000000000002E-4</v>
      </c>
      <c r="D195">
        <v>2.6739999999999999E-4</v>
      </c>
      <c r="E195">
        <v>2.944E-4</v>
      </c>
      <c r="F195">
        <v>30086538095</v>
      </c>
      <c r="G195">
        <v>2.944E-4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0.38107416879795325</v>
      </c>
      <c r="Q195">
        <f t="shared" ref="Q195" si="948">F195*P195</f>
        <v>11465202496.560081</v>
      </c>
      <c r="R195">
        <f t="shared" ref="R195" si="949">R196+Q195</f>
        <v>-811585886957.00232</v>
      </c>
      <c r="S195">
        <f t="shared" ref="S195" si="950">R195/100000</f>
        <v>-8115858.8695700234</v>
      </c>
      <c r="T195">
        <f t="shared" si="934"/>
        <v>-8115.8588695700237</v>
      </c>
    </row>
    <row r="196" spans="1:20" x14ac:dyDescent="0.25">
      <c r="A196" s="5">
        <v>44397</v>
      </c>
      <c r="B196">
        <v>2.988E-4</v>
      </c>
      <c r="C196">
        <v>3.033E-4</v>
      </c>
      <c r="D196">
        <v>2.655E-4</v>
      </c>
      <c r="E196">
        <v>2.7399999999999999E-4</v>
      </c>
      <c r="F196">
        <v>18432054307</v>
      </c>
      <c r="G196">
        <v>2.7399999999999999E-4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-0.55026455026455079</v>
      </c>
      <c r="Q196">
        <f t="shared" ref="Q196" si="952">F196*P196</f>
        <v>-10142506073.69313</v>
      </c>
      <c r="R196">
        <f t="shared" ref="R196" si="953">R197+Q196</f>
        <v>-823051089453.56238</v>
      </c>
      <c r="S196">
        <f t="shared" ref="S196" si="954">R196/100000</f>
        <v>-8230510.8945356235</v>
      </c>
      <c r="T196">
        <f t="shared" si="934"/>
        <v>-8230.5108945356242</v>
      </c>
    </row>
    <row r="197" spans="1:20" x14ac:dyDescent="0.25">
      <c r="A197" s="5">
        <v>44396</v>
      </c>
      <c r="B197">
        <v>3.1320000000000002E-4</v>
      </c>
      <c r="C197">
        <v>3.1609999999999999E-4</v>
      </c>
      <c r="D197">
        <v>2.9500000000000001E-4</v>
      </c>
      <c r="E197">
        <v>2.9859999999999999E-4</v>
      </c>
      <c r="F197">
        <v>30602213821</v>
      </c>
      <c r="G197">
        <v>0</v>
      </c>
      <c r="L197" t="s">
        <v>8</v>
      </c>
      <c r="M197" t="s">
        <v>7</v>
      </c>
      <c r="N197" t="s">
        <v>7</v>
      </c>
      <c r="P197">
        <f t="shared" ref="P197" si="955">IF(C197=D197,0,((E197-D197)-(C197-E197))/(C197-D197))</f>
        <v>-0.65876777251184981</v>
      </c>
      <c r="Q197">
        <f t="shared" ref="Q197" si="956">F197*P197</f>
        <v>-20159752232.791515</v>
      </c>
      <c r="R197">
        <f t="shared" ref="R197" si="957">R198+Q197</f>
        <v>-812908583379.86926</v>
      </c>
      <c r="S197">
        <f t="shared" ref="S197" si="958">R197/100000</f>
        <v>-8129085.8337986926</v>
      </c>
      <c r="T197">
        <f t="shared" si="934"/>
        <v>-8129.0858337986929</v>
      </c>
    </row>
    <row r="198" spans="1:20" x14ac:dyDescent="0.25">
      <c r="A198" s="5">
        <v>44395</v>
      </c>
      <c r="B198">
        <v>3.1280000000000001E-4</v>
      </c>
      <c r="C198">
        <v>3.2249999999999998E-4</v>
      </c>
      <c r="D198">
        <v>3.1159999999999998E-4</v>
      </c>
      <c r="E198">
        <v>3.1290000000000002E-4</v>
      </c>
      <c r="F198">
        <v>19981831179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-0.76146788990825098</v>
      </c>
      <c r="Q198">
        <f t="shared" ref="Q198:Q261" si="960">F198*P198</f>
        <v>-15215522824.376028</v>
      </c>
      <c r="R198">
        <f t="shared" ref="R198:R261" si="961">R199+Q198</f>
        <v>-792748831147.07776</v>
      </c>
      <c r="S198">
        <f t="shared" ref="S198:S261" si="962">R198/100000</f>
        <v>-7927488.3114707777</v>
      </c>
      <c r="T198">
        <f t="shared" ref="T198:T261" si="963">S198/1000</f>
        <v>-7927.4883114707782</v>
      </c>
    </row>
    <row r="199" spans="1:20" x14ac:dyDescent="0.25">
      <c r="A199" s="5">
        <v>44394</v>
      </c>
      <c r="B199">
        <v>3.1300000000000002E-4</v>
      </c>
      <c r="C199">
        <v>3.1990000000000002E-4</v>
      </c>
      <c r="D199">
        <v>3.0600000000000001E-4</v>
      </c>
      <c r="E199">
        <v>3.1300000000000002E-4</v>
      </c>
      <c r="F199">
        <v>23099416494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7.1942446043167154E-3</v>
      </c>
      <c r="Q199">
        <f t="shared" si="960"/>
        <v>166182852.47482404</v>
      </c>
      <c r="R199">
        <f t="shared" si="961"/>
        <v>-777533308322.70178</v>
      </c>
      <c r="S199">
        <f t="shared" si="962"/>
        <v>-7775333.0832270179</v>
      </c>
      <c r="T199">
        <f t="shared" si="963"/>
        <v>-7775.3330832270176</v>
      </c>
    </row>
    <row r="200" spans="1:20" x14ac:dyDescent="0.25">
      <c r="A200" s="5">
        <v>44393</v>
      </c>
      <c r="B200">
        <v>3.3159999999999998E-4</v>
      </c>
      <c r="C200">
        <v>3.369E-4</v>
      </c>
      <c r="D200">
        <v>3.1250000000000001E-4</v>
      </c>
      <c r="E200">
        <v>3.1300000000000002E-4</v>
      </c>
      <c r="F200">
        <v>26601523389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-0.95901639344262191</v>
      </c>
      <c r="Q200">
        <f t="shared" si="960"/>
        <v>-25511297020.598331</v>
      </c>
      <c r="R200">
        <f t="shared" si="961"/>
        <v>-777699491175.17664</v>
      </c>
      <c r="S200">
        <f t="shared" si="962"/>
        <v>-7776994.9117517667</v>
      </c>
      <c r="T200">
        <f t="shared" si="963"/>
        <v>-7776.9949117517663</v>
      </c>
    </row>
    <row r="201" spans="1:20" x14ac:dyDescent="0.25">
      <c r="A201" s="5">
        <v>44392</v>
      </c>
      <c r="B201">
        <v>3.4489999999999998E-4</v>
      </c>
      <c r="C201">
        <v>3.5E-4</v>
      </c>
      <c r="D201">
        <v>3.2279999999999999E-4</v>
      </c>
      <c r="E201">
        <v>3.3159999999999998E-4</v>
      </c>
      <c r="F201">
        <v>29013544910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-0.3529411764705887</v>
      </c>
      <c r="Q201">
        <f t="shared" si="960"/>
        <v>-10240074674.117661</v>
      </c>
      <c r="R201">
        <f t="shared" si="961"/>
        <v>-752188194154.57825</v>
      </c>
      <c r="S201">
        <f t="shared" si="962"/>
        <v>-7521881.9415457826</v>
      </c>
      <c r="T201">
        <f t="shared" si="963"/>
        <v>-7521.8819415457829</v>
      </c>
    </row>
    <row r="202" spans="1:20" x14ac:dyDescent="0.25">
      <c r="A202" s="5">
        <v>44391</v>
      </c>
      <c r="B202">
        <v>3.4279999999999998E-4</v>
      </c>
      <c r="C202">
        <v>3.548E-4</v>
      </c>
      <c r="D202">
        <v>3.2600000000000001E-4</v>
      </c>
      <c r="E202">
        <v>3.4489999999999998E-4</v>
      </c>
      <c r="F202">
        <v>27218251603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0.31249999999999822</v>
      </c>
      <c r="Q202">
        <f t="shared" si="960"/>
        <v>8505703625.9374514</v>
      </c>
      <c r="R202">
        <f t="shared" si="961"/>
        <v>-741948119480.46057</v>
      </c>
      <c r="S202">
        <f t="shared" si="962"/>
        <v>-7419481.194804606</v>
      </c>
      <c r="T202">
        <f t="shared" si="963"/>
        <v>-7419.4811948046063</v>
      </c>
    </row>
    <row r="203" spans="1:20" x14ac:dyDescent="0.25">
      <c r="A203" s="5">
        <v>44390</v>
      </c>
      <c r="B203">
        <v>3.523E-4</v>
      </c>
      <c r="C203">
        <v>3.5520000000000001E-4</v>
      </c>
      <c r="D203">
        <v>3.3700000000000001E-4</v>
      </c>
      <c r="E203">
        <v>3.4289999999999999E-4</v>
      </c>
      <c r="F203">
        <v>14397017513</v>
      </c>
      <c r="G203">
        <v>0</v>
      </c>
      <c r="L203" t="s">
        <v>8</v>
      </c>
      <c r="M203" t="s">
        <v>7</v>
      </c>
      <c r="N203" t="s">
        <v>8</v>
      </c>
      <c r="P203">
        <f t="shared" si="959"/>
        <v>-0.35164835164835406</v>
      </c>
      <c r="Q203">
        <f t="shared" si="960"/>
        <v>-5062687477.0989361</v>
      </c>
      <c r="R203">
        <f t="shared" si="961"/>
        <v>-750453823106.39807</v>
      </c>
      <c r="S203">
        <f t="shared" si="962"/>
        <v>-7504538.2310639806</v>
      </c>
      <c r="T203">
        <f t="shared" si="963"/>
        <v>-7504.5382310639807</v>
      </c>
    </row>
    <row r="204" spans="1:20" x14ac:dyDescent="0.25">
      <c r="A204" s="5">
        <v>44389</v>
      </c>
      <c r="B204">
        <v>3.6979999999999999E-4</v>
      </c>
      <c r="C204">
        <v>3.7669999999999999E-4</v>
      </c>
      <c r="D204">
        <v>3.457E-4</v>
      </c>
      <c r="E204">
        <v>3.525E-4</v>
      </c>
      <c r="F204">
        <v>17932663799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-0.56129032258064493</v>
      </c>
      <c r="Q204">
        <f t="shared" si="960"/>
        <v>-10065430648.470964</v>
      </c>
      <c r="R204">
        <f t="shared" si="961"/>
        <v>-745391135629.29919</v>
      </c>
      <c r="S204">
        <f t="shared" si="962"/>
        <v>-7453911.3562929919</v>
      </c>
      <c r="T204">
        <f t="shared" si="963"/>
        <v>-7453.9113562929915</v>
      </c>
    </row>
    <row r="205" spans="1:20" x14ac:dyDescent="0.25">
      <c r="A205" s="5">
        <v>44388</v>
      </c>
      <c r="B205">
        <v>3.6170000000000001E-4</v>
      </c>
      <c r="C205">
        <v>3.7320000000000002E-4</v>
      </c>
      <c r="D205">
        <v>3.5530000000000002E-4</v>
      </c>
      <c r="E205">
        <v>3.6979999999999999E-4</v>
      </c>
      <c r="F205">
        <v>10590458008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0.62011173184357227</v>
      </c>
      <c r="Q205">
        <f t="shared" si="960"/>
        <v>6567267256.3575087</v>
      </c>
      <c r="R205">
        <f t="shared" si="961"/>
        <v>-735325704980.82825</v>
      </c>
      <c r="S205">
        <f t="shared" si="962"/>
        <v>-7353257.0498082824</v>
      </c>
      <c r="T205">
        <f t="shared" si="963"/>
        <v>-7353.2570498082823</v>
      </c>
    </row>
    <row r="206" spans="1:20" x14ac:dyDescent="0.25">
      <c r="A206" s="5">
        <v>44387</v>
      </c>
      <c r="B206">
        <v>3.6670000000000002E-4</v>
      </c>
      <c r="C206">
        <v>3.7290000000000001E-4</v>
      </c>
      <c r="D206">
        <v>3.5589999999999998E-4</v>
      </c>
      <c r="E206">
        <v>3.614E-4</v>
      </c>
      <c r="F206">
        <v>14877081250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-0.35294117647058654</v>
      </c>
      <c r="Q206">
        <f t="shared" si="960"/>
        <v>-5250734558.8235044</v>
      </c>
      <c r="R206">
        <f t="shared" si="961"/>
        <v>-741892972237.18579</v>
      </c>
      <c r="S206">
        <f t="shared" si="962"/>
        <v>-7418929.7223718576</v>
      </c>
      <c r="T206">
        <f t="shared" si="963"/>
        <v>-7418.9297223718577</v>
      </c>
    </row>
    <row r="207" spans="1:20" x14ac:dyDescent="0.25">
      <c r="A207" s="5">
        <v>44386</v>
      </c>
      <c r="B207">
        <v>3.6170000000000001E-4</v>
      </c>
      <c r="C207">
        <v>3.7369999999999998E-4</v>
      </c>
      <c r="D207">
        <v>3.5E-4</v>
      </c>
      <c r="E207">
        <v>3.6670000000000002E-4</v>
      </c>
      <c r="F207">
        <v>19321281194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0.40928270042194437</v>
      </c>
      <c r="Q207">
        <f t="shared" si="960"/>
        <v>7907866142.69205</v>
      </c>
      <c r="R207">
        <f t="shared" si="961"/>
        <v>-736642237678.3623</v>
      </c>
      <c r="S207">
        <f t="shared" si="962"/>
        <v>-7366422.3767836234</v>
      </c>
      <c r="T207">
        <f t="shared" si="963"/>
        <v>-7366.4223767836238</v>
      </c>
    </row>
    <row r="208" spans="1:20" x14ac:dyDescent="0.25">
      <c r="A208" s="5">
        <v>44385</v>
      </c>
      <c r="B208">
        <v>3.9110000000000002E-4</v>
      </c>
      <c r="C208">
        <v>3.9500000000000001E-4</v>
      </c>
      <c r="D208">
        <v>3.5500000000000001E-4</v>
      </c>
      <c r="E208">
        <v>3.6170000000000001E-4</v>
      </c>
      <c r="F208">
        <v>47700504403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-0.66499999999999992</v>
      </c>
      <c r="Q208">
        <f t="shared" si="960"/>
        <v>-31720835427.994995</v>
      </c>
      <c r="R208">
        <f t="shared" si="961"/>
        <v>-744550103821.05432</v>
      </c>
      <c r="S208">
        <f t="shared" si="962"/>
        <v>-7445501.0382105429</v>
      </c>
      <c r="T208">
        <f t="shared" si="963"/>
        <v>-7445.5010382105429</v>
      </c>
    </row>
    <row r="209" spans="1:20" x14ac:dyDescent="0.25">
      <c r="A209" s="5">
        <v>44384</v>
      </c>
      <c r="B209">
        <v>3.903E-4</v>
      </c>
      <c r="C209">
        <v>4.0109999999999999E-4</v>
      </c>
      <c r="D209">
        <v>3.88E-4</v>
      </c>
      <c r="E209">
        <v>3.9140000000000003E-4</v>
      </c>
      <c r="F209">
        <v>44643001849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-0.48091603053434651</v>
      </c>
      <c r="Q209">
        <f t="shared" si="960"/>
        <v>-21469535240.35857</v>
      </c>
      <c r="R209">
        <f t="shared" si="961"/>
        <v>-712829268393.05933</v>
      </c>
      <c r="S209">
        <f t="shared" si="962"/>
        <v>-7128292.6839305935</v>
      </c>
      <c r="T209">
        <f t="shared" si="963"/>
        <v>-7128.2926839305937</v>
      </c>
    </row>
    <row r="210" spans="1:20" x14ac:dyDescent="0.25">
      <c r="A210" s="5">
        <v>44383</v>
      </c>
      <c r="B210">
        <v>3.8240000000000003E-4</v>
      </c>
      <c r="C210">
        <v>4.0000000000000002E-4</v>
      </c>
      <c r="D210">
        <v>3.8230000000000002E-4</v>
      </c>
      <c r="E210">
        <v>3.9070000000000001E-4</v>
      </c>
      <c r="F210">
        <v>20621985624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-5.0847457627119889E-2</v>
      </c>
      <c r="Q210">
        <f t="shared" si="960"/>
        <v>-1048575540.2034155</v>
      </c>
      <c r="R210">
        <f t="shared" si="961"/>
        <v>-691359733152.70081</v>
      </c>
      <c r="S210">
        <f t="shared" si="962"/>
        <v>-6913597.3315270077</v>
      </c>
      <c r="T210">
        <f t="shared" si="963"/>
        <v>-6913.5973315270076</v>
      </c>
    </row>
    <row r="211" spans="1:20" x14ac:dyDescent="0.25">
      <c r="A211" s="5">
        <v>44382</v>
      </c>
      <c r="B211">
        <v>3.9879999999999999E-4</v>
      </c>
      <c r="C211">
        <v>3.9889999999999999E-4</v>
      </c>
      <c r="D211">
        <v>3.7500000000000001E-4</v>
      </c>
      <c r="E211">
        <v>3.8200000000000002E-4</v>
      </c>
      <c r="F211">
        <v>32796286158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-0.41422594142259311</v>
      </c>
      <c r="Q211">
        <f t="shared" si="960"/>
        <v>-13585072508.962309</v>
      </c>
      <c r="R211">
        <f t="shared" si="961"/>
        <v>-690311157612.49744</v>
      </c>
      <c r="S211">
        <f t="shared" si="962"/>
        <v>-6903111.5761249745</v>
      </c>
      <c r="T211">
        <f t="shared" si="963"/>
        <v>-6903.1115761249748</v>
      </c>
    </row>
    <row r="212" spans="1:20" x14ac:dyDescent="0.25">
      <c r="A212" s="5">
        <v>44381</v>
      </c>
      <c r="B212">
        <v>3.9629999999999998E-4</v>
      </c>
      <c r="C212">
        <v>4.0489999999999998E-4</v>
      </c>
      <c r="D212">
        <v>3.88E-4</v>
      </c>
      <c r="E212">
        <v>3.991E-4</v>
      </c>
      <c r="F212">
        <v>42031615044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0.31360946745562296</v>
      </c>
      <c r="Q212">
        <f t="shared" si="960"/>
        <v>13181512410.24859</v>
      </c>
      <c r="R212">
        <f t="shared" si="961"/>
        <v>-676726085103.53516</v>
      </c>
      <c r="S212">
        <f t="shared" si="962"/>
        <v>-6767260.8510353519</v>
      </c>
      <c r="T212">
        <f t="shared" si="963"/>
        <v>-6767.2608510353521</v>
      </c>
    </row>
    <row r="213" spans="1:20" x14ac:dyDescent="0.25">
      <c r="A213" s="5">
        <v>44380</v>
      </c>
      <c r="B213">
        <v>3.9720000000000001E-4</v>
      </c>
      <c r="C213">
        <v>4.013E-4</v>
      </c>
      <c r="D213">
        <v>3.8709999999999998E-4</v>
      </c>
      <c r="E213">
        <v>3.9639999999999999E-4</v>
      </c>
      <c r="F213">
        <v>32956031547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0.30985915492957694</v>
      </c>
      <c r="Q213">
        <f t="shared" si="960"/>
        <v>10211728084.985899</v>
      </c>
      <c r="R213">
        <f t="shared" si="961"/>
        <v>-689907597513.78369</v>
      </c>
      <c r="S213">
        <f t="shared" si="962"/>
        <v>-6899075.9751378372</v>
      </c>
      <c r="T213">
        <f t="shared" si="963"/>
        <v>-6899.0759751378373</v>
      </c>
    </row>
    <row r="214" spans="1:20" x14ac:dyDescent="0.25">
      <c r="A214" s="5">
        <v>44379</v>
      </c>
      <c r="B214">
        <v>3.882E-4</v>
      </c>
      <c r="C214">
        <v>3.9730000000000001E-4</v>
      </c>
      <c r="D214">
        <v>3.8000000000000002E-4</v>
      </c>
      <c r="E214">
        <v>3.9720000000000001E-4</v>
      </c>
      <c r="F214">
        <v>26707406920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0.98843930635838118</v>
      </c>
      <c r="Q214">
        <f t="shared" si="960"/>
        <v>26398650770.63583</v>
      </c>
      <c r="R214">
        <f t="shared" si="961"/>
        <v>-700119325598.76953</v>
      </c>
      <c r="S214">
        <f t="shared" si="962"/>
        <v>-7001193.2559876954</v>
      </c>
      <c r="T214">
        <f t="shared" si="963"/>
        <v>-7001.193255987695</v>
      </c>
    </row>
    <row r="215" spans="1:20" x14ac:dyDescent="0.25">
      <c r="A215" s="5">
        <v>44378</v>
      </c>
      <c r="B215">
        <v>4.1669999999999999E-4</v>
      </c>
      <c r="C215">
        <v>4.1730000000000001E-4</v>
      </c>
      <c r="D215">
        <v>3.8180000000000001E-4</v>
      </c>
      <c r="E215">
        <v>3.879E-4</v>
      </c>
      <c r="F215">
        <v>48928955238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-0.65633802816901488</v>
      </c>
      <c r="Q215">
        <f t="shared" si="960"/>
        <v>-32113934001.278912</v>
      </c>
      <c r="R215">
        <f t="shared" si="961"/>
        <v>-726517976369.4054</v>
      </c>
      <c r="S215">
        <f t="shared" si="962"/>
        <v>-7265179.7636940535</v>
      </c>
      <c r="T215">
        <f t="shared" si="963"/>
        <v>-7265.1797636940537</v>
      </c>
    </row>
    <row r="216" spans="1:20" x14ac:dyDescent="0.25">
      <c r="A216" s="5">
        <v>44377</v>
      </c>
      <c r="B216">
        <v>4.2759999999999999E-4</v>
      </c>
      <c r="C216">
        <v>4.3300000000000001E-4</v>
      </c>
      <c r="D216">
        <v>3.8329999999999999E-4</v>
      </c>
      <c r="E216">
        <v>4.1669999999999999E-4</v>
      </c>
      <c r="F216">
        <v>78740824645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0.34406438631790698</v>
      </c>
      <c r="Q216">
        <f t="shared" si="960"/>
        <v>27091913509.64785</v>
      </c>
      <c r="R216">
        <f t="shared" si="961"/>
        <v>-694404042368.12646</v>
      </c>
      <c r="S216">
        <f t="shared" si="962"/>
        <v>-6944040.4236812647</v>
      </c>
      <c r="T216">
        <f t="shared" si="963"/>
        <v>-6944.0404236812647</v>
      </c>
    </row>
    <row r="217" spans="1:20" x14ac:dyDescent="0.25">
      <c r="A217" s="5">
        <v>44376</v>
      </c>
      <c r="B217">
        <v>3.9580000000000003E-4</v>
      </c>
      <c r="C217">
        <v>4.459E-4</v>
      </c>
      <c r="D217">
        <v>3.9510000000000001E-4</v>
      </c>
      <c r="E217">
        <v>4.2769999999999999E-4</v>
      </c>
      <c r="F217">
        <v>84796915164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0.28346456692913335</v>
      </c>
      <c r="Q217">
        <f t="shared" si="960"/>
        <v>24036920833.889721</v>
      </c>
      <c r="R217">
        <f t="shared" si="961"/>
        <v>-721495955877.77429</v>
      </c>
      <c r="S217">
        <f t="shared" si="962"/>
        <v>-7214959.558777743</v>
      </c>
      <c r="T217">
        <f t="shared" si="963"/>
        <v>-7214.959558777743</v>
      </c>
    </row>
    <row r="218" spans="1:20" x14ac:dyDescent="0.25">
      <c r="A218" s="5">
        <v>44375</v>
      </c>
      <c r="B218">
        <v>3.901E-4</v>
      </c>
      <c r="C218">
        <v>4.059E-4</v>
      </c>
      <c r="D218">
        <v>3.8559999999999999E-4</v>
      </c>
      <c r="E218">
        <v>3.9580000000000003E-4</v>
      </c>
      <c r="F218">
        <v>46440174745</v>
      </c>
      <c r="G218">
        <v>0</v>
      </c>
      <c r="L218" t="s">
        <v>7</v>
      </c>
      <c r="M218" t="s">
        <v>8</v>
      </c>
      <c r="N218" t="s">
        <v>8</v>
      </c>
      <c r="P218">
        <f t="shared" si="959"/>
        <v>4.9261083743870251E-3</v>
      </c>
      <c r="Q218">
        <f t="shared" si="960"/>
        <v>228769333.71934134</v>
      </c>
      <c r="R218">
        <f t="shared" si="961"/>
        <v>-745532876711.66406</v>
      </c>
      <c r="S218">
        <f t="shared" si="962"/>
        <v>-7455328.7671166407</v>
      </c>
      <c r="T218">
        <f t="shared" si="963"/>
        <v>-7455.3287671166408</v>
      </c>
    </row>
    <row r="219" spans="1:20" x14ac:dyDescent="0.25">
      <c r="A219" s="5">
        <v>44374</v>
      </c>
      <c r="B219">
        <v>3.7970000000000001E-4</v>
      </c>
      <c r="C219">
        <v>3.9090000000000001E-4</v>
      </c>
      <c r="D219">
        <v>3.6769999999999999E-4</v>
      </c>
      <c r="E219">
        <v>3.901E-4</v>
      </c>
      <c r="F219">
        <v>30178687708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0.93103448275861911</v>
      </c>
      <c r="Q219">
        <f t="shared" si="960"/>
        <v>28097398900.551678</v>
      </c>
      <c r="R219">
        <f t="shared" si="961"/>
        <v>-745761646045.38342</v>
      </c>
      <c r="S219">
        <f t="shared" si="962"/>
        <v>-7457616.4604538344</v>
      </c>
      <c r="T219">
        <f t="shared" si="963"/>
        <v>-7457.6164604538344</v>
      </c>
    </row>
    <row r="220" spans="1:20" x14ac:dyDescent="0.25">
      <c r="A220" s="5">
        <v>44373</v>
      </c>
      <c r="B220">
        <v>3.702E-4</v>
      </c>
      <c r="C220">
        <v>3.8390000000000001E-4</v>
      </c>
      <c r="D220">
        <v>3.5090000000000002E-4</v>
      </c>
      <c r="E220">
        <v>3.7990000000000002E-4</v>
      </c>
      <c r="F220">
        <v>31957481371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0.75757575757575812</v>
      </c>
      <c r="Q220">
        <f t="shared" si="960"/>
        <v>24210213159.848503</v>
      </c>
      <c r="R220">
        <f t="shared" si="961"/>
        <v>-773859044945.93506</v>
      </c>
      <c r="S220">
        <f t="shared" si="962"/>
        <v>-7738590.4494593507</v>
      </c>
      <c r="T220">
        <f t="shared" si="963"/>
        <v>-7738.5904494593506</v>
      </c>
    </row>
    <row r="221" spans="1:20" x14ac:dyDescent="0.25">
      <c r="A221" s="5">
        <v>44372</v>
      </c>
      <c r="B221">
        <v>4.1740000000000001E-4</v>
      </c>
      <c r="C221">
        <v>4.3100000000000001E-4</v>
      </c>
      <c r="D221">
        <v>3.5940000000000001E-4</v>
      </c>
      <c r="E221">
        <v>3.704E-4</v>
      </c>
      <c r="F221">
        <v>54622880952</v>
      </c>
      <c r="G221">
        <v>0</v>
      </c>
      <c r="L221" t="s">
        <v>8</v>
      </c>
      <c r="M221" t="s">
        <v>7</v>
      </c>
      <c r="N221" t="s">
        <v>8</v>
      </c>
      <c r="P221">
        <f t="shared" si="959"/>
        <v>-0.69273743016759792</v>
      </c>
      <c r="Q221">
        <f t="shared" si="960"/>
        <v>-37839314179.039116</v>
      </c>
      <c r="R221">
        <f t="shared" si="961"/>
        <v>-798069258105.78357</v>
      </c>
      <c r="S221">
        <f t="shared" si="962"/>
        <v>-7980692.5810578354</v>
      </c>
      <c r="T221">
        <f t="shared" si="963"/>
        <v>-7980.692581057835</v>
      </c>
    </row>
    <row r="222" spans="1:20" x14ac:dyDescent="0.25">
      <c r="A222" s="5">
        <v>44371</v>
      </c>
      <c r="B222">
        <v>3.8559999999999999E-4</v>
      </c>
      <c r="C222">
        <v>4.4900000000000002E-4</v>
      </c>
      <c r="D222">
        <v>3.8099999999999999E-4</v>
      </c>
      <c r="E222">
        <v>4.171E-4</v>
      </c>
      <c r="F222">
        <v>64266220738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6.1764705882352826E-2</v>
      </c>
      <c r="Q222">
        <f t="shared" si="960"/>
        <v>3969384222.0529337</v>
      </c>
      <c r="R222">
        <f t="shared" si="961"/>
        <v>-760229943926.74451</v>
      </c>
      <c r="S222">
        <f t="shared" si="962"/>
        <v>-7602299.4392674454</v>
      </c>
      <c r="T222">
        <f t="shared" si="963"/>
        <v>-7602.2994392674455</v>
      </c>
    </row>
    <row r="223" spans="1:20" x14ac:dyDescent="0.25">
      <c r="A223" s="5">
        <v>44370</v>
      </c>
      <c r="B223">
        <v>3.3530000000000002E-4</v>
      </c>
      <c r="C223">
        <v>3.9960000000000001E-4</v>
      </c>
      <c r="D223">
        <v>3.213E-4</v>
      </c>
      <c r="E223">
        <v>3.857E-4</v>
      </c>
      <c r="F223">
        <v>45326732471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0.64495530012771363</v>
      </c>
      <c r="Q223">
        <f t="shared" si="960"/>
        <v>29233716344.642387</v>
      </c>
      <c r="R223">
        <f t="shared" si="961"/>
        <v>-764199328148.79749</v>
      </c>
      <c r="S223">
        <f t="shared" si="962"/>
        <v>-7641993.2814879753</v>
      </c>
      <c r="T223">
        <f t="shared" si="963"/>
        <v>-7641.9932814879749</v>
      </c>
    </row>
    <row r="224" spans="1:20" x14ac:dyDescent="0.25">
      <c r="A224" s="5">
        <v>44369</v>
      </c>
      <c r="B224">
        <v>3.591E-4</v>
      </c>
      <c r="C224">
        <v>3.88E-4</v>
      </c>
      <c r="D224">
        <v>2.8400000000000002E-4</v>
      </c>
      <c r="E224">
        <v>3.3480000000000001E-4</v>
      </c>
      <c r="F224">
        <v>71253928333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-2.307692307692312E-2</v>
      </c>
      <c r="Q224">
        <f t="shared" si="960"/>
        <v>-1644321423.0692339</v>
      </c>
      <c r="R224">
        <f t="shared" si="961"/>
        <v>-793433044493.43982</v>
      </c>
      <c r="S224">
        <f t="shared" si="962"/>
        <v>-7934330.4449343979</v>
      </c>
      <c r="T224">
        <f t="shared" si="963"/>
        <v>-7934.3304449343977</v>
      </c>
    </row>
    <row r="225" spans="1:20" x14ac:dyDescent="0.25">
      <c r="A225" s="5">
        <v>44368</v>
      </c>
      <c r="B225">
        <v>4.5780000000000001E-4</v>
      </c>
      <c r="C225">
        <v>4.6270000000000003E-4</v>
      </c>
      <c r="D225">
        <v>3.5760000000000002E-4</v>
      </c>
      <c r="E225">
        <v>3.59E-4</v>
      </c>
      <c r="F225">
        <v>75152995752</v>
      </c>
      <c r="G225">
        <v>0</v>
      </c>
      <c r="L225" t="s">
        <v>8</v>
      </c>
      <c r="M225" t="s">
        <v>7</v>
      </c>
      <c r="N225" t="s">
        <v>7</v>
      </c>
      <c r="P225">
        <f t="shared" si="959"/>
        <v>-0.97335870599429153</v>
      </c>
      <c r="Q225">
        <f t="shared" si="960"/>
        <v>-73150822696.761215</v>
      </c>
      <c r="R225">
        <f t="shared" si="961"/>
        <v>-791788723070.37061</v>
      </c>
      <c r="S225">
        <f t="shared" si="962"/>
        <v>-7917887.2307037059</v>
      </c>
      <c r="T225">
        <f t="shared" si="963"/>
        <v>-7917.8872307037063</v>
      </c>
    </row>
    <row r="226" spans="1:20" x14ac:dyDescent="0.25">
      <c r="A226" s="5">
        <v>44367</v>
      </c>
      <c r="B226">
        <v>4.5629999999999998E-4</v>
      </c>
      <c r="C226">
        <v>4.6549999999999998E-4</v>
      </c>
      <c r="D226">
        <v>4.1899999999999999E-4</v>
      </c>
      <c r="E226">
        <v>4.571E-4</v>
      </c>
      <c r="F226">
        <v>59026703656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0.63870967741935536</v>
      </c>
      <c r="Q226">
        <f t="shared" si="960"/>
        <v>37700926851.25164</v>
      </c>
      <c r="R226">
        <f t="shared" si="961"/>
        <v>-718637900373.60938</v>
      </c>
      <c r="S226">
        <f t="shared" si="962"/>
        <v>-7186379.0037360936</v>
      </c>
      <c r="T226">
        <f t="shared" si="963"/>
        <v>-7186.3790037360941</v>
      </c>
    </row>
    <row r="227" spans="1:20" x14ac:dyDescent="0.25">
      <c r="A227" s="5">
        <v>44366</v>
      </c>
      <c r="B227">
        <v>4.706E-4</v>
      </c>
      <c r="C227">
        <v>4.8220000000000001E-4</v>
      </c>
      <c r="D227">
        <v>4.5609999999999997E-4</v>
      </c>
      <c r="E227">
        <v>4.5629999999999998E-4</v>
      </c>
      <c r="F227">
        <v>59477082670</v>
      </c>
      <c r="G227">
        <v>0</v>
      </c>
      <c r="L227" t="s">
        <v>8</v>
      </c>
      <c r="M227" t="s">
        <v>7</v>
      </c>
      <c r="N227" t="s">
        <v>8</v>
      </c>
      <c r="P227">
        <f t="shared" si="959"/>
        <v>-0.98467432950191536</v>
      </c>
      <c r="Q227">
        <f t="shared" si="960"/>
        <v>-58565556498.812241</v>
      </c>
      <c r="R227">
        <f t="shared" si="961"/>
        <v>-756338827224.86096</v>
      </c>
      <c r="S227">
        <f t="shared" si="962"/>
        <v>-7563388.2722486099</v>
      </c>
      <c r="T227">
        <f t="shared" si="963"/>
        <v>-7563.3882722486096</v>
      </c>
    </row>
    <row r="228" spans="1:20" x14ac:dyDescent="0.25">
      <c r="A228" s="5">
        <v>44365</v>
      </c>
      <c r="B228">
        <v>5.2070000000000003E-4</v>
      </c>
      <c r="C228">
        <v>5.6369999999999999E-4</v>
      </c>
      <c r="D228">
        <v>4.57E-4</v>
      </c>
      <c r="E228">
        <v>4.7019999999999999E-4</v>
      </c>
      <c r="F228">
        <v>149078964990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-0.75257731958762897</v>
      </c>
      <c r="Q228">
        <f t="shared" si="960"/>
        <v>-112193447879.07217</v>
      </c>
      <c r="R228">
        <f t="shared" si="961"/>
        <v>-697773270726.04871</v>
      </c>
      <c r="S228">
        <f t="shared" si="962"/>
        <v>-6977732.7072604867</v>
      </c>
      <c r="T228">
        <f t="shared" si="963"/>
        <v>-6977.7327072604867</v>
      </c>
    </row>
    <row r="229" spans="1:20" x14ac:dyDescent="0.25">
      <c r="A229" s="5">
        <v>44364</v>
      </c>
      <c r="B229">
        <v>4.5439999999999999E-4</v>
      </c>
      <c r="C229">
        <v>5.7470000000000004E-4</v>
      </c>
      <c r="D229">
        <v>4.482E-4</v>
      </c>
      <c r="E229">
        <v>5.2070000000000003E-4</v>
      </c>
      <c r="F229">
        <v>140036000630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0.14624505928853762</v>
      </c>
      <c r="Q229">
        <f t="shared" si="960"/>
        <v>20479573214.664043</v>
      </c>
      <c r="R229">
        <f t="shared" si="961"/>
        <v>-585579822846.97656</v>
      </c>
      <c r="S229">
        <f t="shared" si="962"/>
        <v>-5855798.2284697657</v>
      </c>
      <c r="T229">
        <f t="shared" si="963"/>
        <v>-5855.7982284697655</v>
      </c>
    </row>
    <row r="230" spans="1:20" x14ac:dyDescent="0.25">
      <c r="A230" s="5">
        <v>44363</v>
      </c>
      <c r="B230">
        <v>4.6880000000000001E-4</v>
      </c>
      <c r="C230">
        <v>4.8519999999999998E-4</v>
      </c>
      <c r="D230">
        <v>4.4949999999999998E-4</v>
      </c>
      <c r="E230">
        <v>4.5419999999999998E-4</v>
      </c>
      <c r="F230">
        <v>82236815582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-0.73669467787114817</v>
      </c>
      <c r="Q230">
        <f t="shared" si="960"/>
        <v>-60583424364.330505</v>
      </c>
      <c r="R230">
        <f t="shared" si="961"/>
        <v>-606059396061.64063</v>
      </c>
      <c r="S230">
        <f t="shared" si="962"/>
        <v>-6060593.9606164061</v>
      </c>
      <c r="T230">
        <f t="shared" si="963"/>
        <v>-6060.5939606164056</v>
      </c>
    </row>
    <row r="231" spans="1:20" x14ac:dyDescent="0.25">
      <c r="A231" s="5">
        <v>44362</v>
      </c>
      <c r="B231">
        <v>4.6289999999999998E-4</v>
      </c>
      <c r="C231">
        <v>4.817E-4</v>
      </c>
      <c r="D231">
        <v>4.5300000000000001E-4</v>
      </c>
      <c r="E231">
        <v>4.6870000000000001E-4</v>
      </c>
      <c r="F231">
        <v>69182533124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9.4076655052265229E-2</v>
      </c>
      <c r="Q231">
        <f t="shared" si="960"/>
        <v>6508461304.3484612</v>
      </c>
      <c r="R231">
        <f t="shared" si="961"/>
        <v>-545475971697.31012</v>
      </c>
      <c r="S231">
        <f t="shared" si="962"/>
        <v>-5454759.7169731008</v>
      </c>
      <c r="T231">
        <f t="shared" si="963"/>
        <v>-5454.7597169731007</v>
      </c>
    </row>
    <row r="232" spans="1:20" x14ac:dyDescent="0.25">
      <c r="A232" s="5">
        <v>44361</v>
      </c>
      <c r="B232">
        <v>4.5540000000000001E-4</v>
      </c>
      <c r="C232">
        <v>4.7090000000000001E-4</v>
      </c>
      <c r="D232">
        <v>4.4420000000000001E-4</v>
      </c>
      <c r="E232">
        <v>4.6279999999999997E-4</v>
      </c>
      <c r="F232">
        <v>69306711756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0.39325842696628954</v>
      </c>
      <c r="Q232">
        <f t="shared" si="960"/>
        <v>27255448443.370605</v>
      </c>
      <c r="R232">
        <f t="shared" si="961"/>
        <v>-551984433001.65857</v>
      </c>
      <c r="S232">
        <f t="shared" si="962"/>
        <v>-5519844.330016586</v>
      </c>
      <c r="T232">
        <f t="shared" si="963"/>
        <v>-5519.8443300165864</v>
      </c>
    </row>
    <row r="233" spans="1:20" x14ac:dyDescent="0.25">
      <c r="A233" s="5">
        <v>44360</v>
      </c>
      <c r="B233">
        <v>4.2489999999999997E-4</v>
      </c>
      <c r="C233">
        <v>4.618E-4</v>
      </c>
      <c r="D233">
        <v>4.2000000000000002E-4</v>
      </c>
      <c r="E233">
        <v>4.548E-4</v>
      </c>
      <c r="F233">
        <v>43300221748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0.6650717703349277</v>
      </c>
      <c r="Q233">
        <f t="shared" si="960"/>
        <v>28797755133.837299</v>
      </c>
      <c r="R233">
        <f t="shared" si="961"/>
        <v>-579239881445.02917</v>
      </c>
      <c r="S233">
        <f t="shared" si="962"/>
        <v>-5792398.8144502919</v>
      </c>
      <c r="T233">
        <f t="shared" si="963"/>
        <v>-5792.3988144502919</v>
      </c>
    </row>
    <row r="234" spans="1:20" x14ac:dyDescent="0.25">
      <c r="A234" s="5">
        <v>44359</v>
      </c>
      <c r="B234">
        <v>4.3990000000000001E-4</v>
      </c>
      <c r="C234">
        <v>4.4180000000000001E-4</v>
      </c>
      <c r="D234">
        <v>4.0999999999999999E-4</v>
      </c>
      <c r="E234">
        <v>4.2489999999999997E-4</v>
      </c>
      <c r="F234">
        <v>45637868157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-6.2893081761007788E-2</v>
      </c>
      <c r="Q234">
        <f t="shared" si="960"/>
        <v>-2870306173.3962946</v>
      </c>
      <c r="R234">
        <f t="shared" si="961"/>
        <v>-608037636578.86646</v>
      </c>
      <c r="S234">
        <f t="shared" si="962"/>
        <v>-6080376.3657886647</v>
      </c>
      <c r="T234">
        <f t="shared" si="963"/>
        <v>-6080.3763657886648</v>
      </c>
    </row>
    <row r="235" spans="1:20" x14ac:dyDescent="0.25">
      <c r="A235" s="5">
        <v>44358</v>
      </c>
      <c r="B235">
        <v>4.5090000000000001E-4</v>
      </c>
      <c r="C235">
        <v>4.6989999999999998E-4</v>
      </c>
      <c r="D235">
        <v>4.351E-4</v>
      </c>
      <c r="E235">
        <v>4.3990000000000001E-4</v>
      </c>
      <c r="F235">
        <v>54675330976</v>
      </c>
      <c r="G235">
        <v>0</v>
      </c>
      <c r="L235" t="s">
        <v>8</v>
      </c>
      <c r="M235" t="s">
        <v>8</v>
      </c>
      <c r="N235" t="s">
        <v>7</v>
      </c>
      <c r="P235">
        <f t="shared" si="959"/>
        <v>-0.7241379310344821</v>
      </c>
      <c r="Q235">
        <f t="shared" si="960"/>
        <v>-39592481051.586174</v>
      </c>
      <c r="R235">
        <f t="shared" si="961"/>
        <v>-605167330405.47021</v>
      </c>
      <c r="S235">
        <f t="shared" si="962"/>
        <v>-6051673.3040547017</v>
      </c>
      <c r="T235">
        <f t="shared" si="963"/>
        <v>-6051.6733040547015</v>
      </c>
    </row>
    <row r="236" spans="1:20" x14ac:dyDescent="0.25">
      <c r="A236" s="5">
        <v>44357</v>
      </c>
      <c r="B236">
        <v>4.817E-4</v>
      </c>
      <c r="C236">
        <v>4.8789999999999999E-4</v>
      </c>
      <c r="D236">
        <v>4.392E-4</v>
      </c>
      <c r="E236">
        <v>4.5110000000000001E-4</v>
      </c>
      <c r="F236">
        <v>75323346115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-0.51129363449691911</v>
      </c>
      <c r="Q236">
        <f t="shared" si="960"/>
        <v>-38512347397.607742</v>
      </c>
      <c r="R236">
        <f t="shared" si="961"/>
        <v>-565574849353.88403</v>
      </c>
      <c r="S236">
        <f t="shared" si="962"/>
        <v>-5655748.4935388407</v>
      </c>
      <c r="T236">
        <f t="shared" si="963"/>
        <v>-5655.7484935388411</v>
      </c>
    </row>
    <row r="237" spans="1:20" x14ac:dyDescent="0.25">
      <c r="A237" s="5">
        <v>44356</v>
      </c>
      <c r="B237">
        <v>4.5449999999999999E-4</v>
      </c>
      <c r="C237">
        <v>4.8500000000000003E-4</v>
      </c>
      <c r="D237">
        <v>4.3130000000000002E-4</v>
      </c>
      <c r="E237">
        <v>4.8270000000000002E-4</v>
      </c>
      <c r="F237">
        <v>78610705022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0.91433891992551208</v>
      </c>
      <c r="Q237">
        <f t="shared" si="960"/>
        <v>71876827124.398514</v>
      </c>
      <c r="R237">
        <f t="shared" si="961"/>
        <v>-527062501956.27631</v>
      </c>
      <c r="S237">
        <f t="shared" si="962"/>
        <v>-5270625.0195627632</v>
      </c>
      <c r="T237">
        <f t="shared" si="963"/>
        <v>-5270.6250195627636</v>
      </c>
    </row>
    <row r="238" spans="1:20" x14ac:dyDescent="0.25">
      <c r="A238" s="5">
        <v>44355</v>
      </c>
      <c r="B238">
        <v>4.6129999999999999E-4</v>
      </c>
      <c r="C238">
        <v>4.7469999999999999E-4</v>
      </c>
      <c r="D238">
        <v>4.0729999999999998E-4</v>
      </c>
      <c r="E238">
        <v>4.5419999999999998E-4</v>
      </c>
      <c r="F238">
        <v>73789674942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0.39169139465875352</v>
      </c>
      <c r="Q238">
        <f t="shared" si="960"/>
        <v>28902780689.448059</v>
      </c>
      <c r="R238">
        <f t="shared" si="961"/>
        <v>-598939329080.6748</v>
      </c>
      <c r="S238">
        <f t="shared" si="962"/>
        <v>-5989393.290806748</v>
      </c>
      <c r="T238">
        <f t="shared" si="963"/>
        <v>-5989.3932908067482</v>
      </c>
    </row>
    <row r="239" spans="1:20" x14ac:dyDescent="0.25">
      <c r="A239" s="5">
        <v>44354</v>
      </c>
      <c r="B239">
        <v>5.1079999999999995E-4</v>
      </c>
      <c r="C239">
        <v>5.2380000000000005E-4</v>
      </c>
      <c r="D239">
        <v>4.574E-4</v>
      </c>
      <c r="E239">
        <v>4.6119999999999999E-4</v>
      </c>
      <c r="F239">
        <v>52365839507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-0.88554216867469937</v>
      </c>
      <c r="Q239">
        <f t="shared" si="960"/>
        <v>-46372159081.500031</v>
      </c>
      <c r="R239">
        <f t="shared" si="961"/>
        <v>-627842109770.1228</v>
      </c>
      <c r="S239">
        <f t="shared" si="962"/>
        <v>-6278421.0977012282</v>
      </c>
      <c r="T239">
        <f t="shared" si="963"/>
        <v>-6278.4210977012281</v>
      </c>
    </row>
    <row r="240" spans="1:20" x14ac:dyDescent="0.25">
      <c r="A240" s="5">
        <v>44353</v>
      </c>
      <c r="B240">
        <v>5.0140000000000004E-4</v>
      </c>
      <c r="C240">
        <v>5.1800000000000001E-4</v>
      </c>
      <c r="D240">
        <v>4.9839999999999997E-4</v>
      </c>
      <c r="E240">
        <v>5.1079999999999995E-4</v>
      </c>
      <c r="F240">
        <v>32552854406</v>
      </c>
      <c r="G240">
        <v>0</v>
      </c>
      <c r="L240" t="s">
        <v>7</v>
      </c>
      <c r="M240" t="s">
        <v>8</v>
      </c>
      <c r="N240" t="s">
        <v>7</v>
      </c>
      <c r="P240">
        <f t="shared" si="959"/>
        <v>0.26530612244897439</v>
      </c>
      <c r="Q240">
        <f t="shared" si="960"/>
        <v>8636471577.1018715</v>
      </c>
      <c r="R240">
        <f t="shared" si="961"/>
        <v>-581469950688.6228</v>
      </c>
      <c r="S240">
        <f t="shared" si="962"/>
        <v>-5814699.506886228</v>
      </c>
      <c r="T240">
        <f t="shared" si="963"/>
        <v>-5814.6995068862279</v>
      </c>
    </row>
    <row r="241" spans="1:20" x14ac:dyDescent="0.25">
      <c r="A241" s="5">
        <v>44352</v>
      </c>
      <c r="B241">
        <v>5.1239999999999999E-4</v>
      </c>
      <c r="C241">
        <v>5.4199999999999995E-4</v>
      </c>
      <c r="D241">
        <v>4.8529999999999998E-4</v>
      </c>
      <c r="E241">
        <v>5.0140000000000004E-4</v>
      </c>
      <c r="F241">
        <v>52983925010</v>
      </c>
      <c r="G241">
        <v>0</v>
      </c>
      <c r="L241" t="s">
        <v>8</v>
      </c>
      <c r="M241" t="s">
        <v>8</v>
      </c>
      <c r="N241" t="s">
        <v>7</v>
      </c>
      <c r="P241">
        <f t="shared" si="959"/>
        <v>-0.43209876543209613</v>
      </c>
      <c r="Q241">
        <f t="shared" si="960"/>
        <v>-22894288584.56776</v>
      </c>
      <c r="R241">
        <f t="shared" si="961"/>
        <v>-590106422265.72473</v>
      </c>
      <c r="S241">
        <f t="shared" si="962"/>
        <v>-5901064.2226572474</v>
      </c>
      <c r="T241">
        <f t="shared" si="963"/>
        <v>-5901.0642226572472</v>
      </c>
    </row>
    <row r="242" spans="1:20" x14ac:dyDescent="0.25">
      <c r="A242" s="5">
        <v>44351</v>
      </c>
      <c r="B242">
        <v>5.8E-4</v>
      </c>
      <c r="C242">
        <v>5.8180000000000005E-4</v>
      </c>
      <c r="D242">
        <v>4.8359999999999999E-4</v>
      </c>
      <c r="E242">
        <v>5.1230000000000004E-4</v>
      </c>
      <c r="F242">
        <v>84857263375</v>
      </c>
      <c r="G242">
        <v>0</v>
      </c>
      <c r="L242" t="s">
        <v>7</v>
      </c>
      <c r="M242" t="s">
        <v>8</v>
      </c>
      <c r="N242" t="s">
        <v>7</v>
      </c>
      <c r="P242">
        <f t="shared" si="959"/>
        <v>-0.41547861507128248</v>
      </c>
      <c r="Q242">
        <f t="shared" si="960"/>
        <v>-35256378265.784058</v>
      </c>
      <c r="R242">
        <f t="shared" si="961"/>
        <v>-567212133681.15698</v>
      </c>
      <c r="S242">
        <f t="shared" si="962"/>
        <v>-5672121.3368115695</v>
      </c>
      <c r="T242">
        <f t="shared" si="963"/>
        <v>-5672.1213368115696</v>
      </c>
    </row>
    <row r="243" spans="1:20" x14ac:dyDescent="0.25">
      <c r="A243" s="5">
        <v>44350</v>
      </c>
      <c r="B243">
        <v>5.2280000000000002E-4</v>
      </c>
      <c r="C243">
        <v>5.8E-4</v>
      </c>
      <c r="D243">
        <v>5.1699999999999999E-4</v>
      </c>
      <c r="E243">
        <v>5.798E-4</v>
      </c>
      <c r="F243">
        <v>60831517202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0.99365079365079345</v>
      </c>
      <c r="Q243">
        <f t="shared" si="960"/>
        <v>60445285346.749191</v>
      </c>
      <c r="R243">
        <f t="shared" si="961"/>
        <v>-531955755415.37286</v>
      </c>
      <c r="S243">
        <f t="shared" si="962"/>
        <v>-5319557.5541537283</v>
      </c>
      <c r="T243">
        <f t="shared" si="963"/>
        <v>-5319.5575541537282</v>
      </c>
    </row>
    <row r="244" spans="1:20" x14ac:dyDescent="0.25">
      <c r="A244" s="5">
        <v>44349</v>
      </c>
      <c r="B244">
        <v>5.1429999999999998E-4</v>
      </c>
      <c r="C244">
        <v>5.3970000000000005E-4</v>
      </c>
      <c r="D244">
        <v>5.0000000000000001E-4</v>
      </c>
      <c r="E244">
        <v>5.2320000000000003E-4</v>
      </c>
      <c r="F244">
        <v>42867063918</v>
      </c>
      <c r="G244">
        <v>0</v>
      </c>
      <c r="L244" t="s">
        <v>7</v>
      </c>
      <c r="M244" t="s">
        <v>7</v>
      </c>
      <c r="N244" t="s">
        <v>7</v>
      </c>
      <c r="P244">
        <f t="shared" si="959"/>
        <v>0.16876574307304767</v>
      </c>
      <c r="Q244">
        <f t="shared" si="960"/>
        <v>7234491895.4811001</v>
      </c>
      <c r="R244">
        <f t="shared" si="961"/>
        <v>-592401040762.12207</v>
      </c>
      <c r="S244">
        <f t="shared" si="962"/>
        <v>-5924010.4076212207</v>
      </c>
      <c r="T244">
        <f t="shared" si="963"/>
        <v>-5924.010407621221</v>
      </c>
    </row>
    <row r="245" spans="1:20" x14ac:dyDescent="0.25">
      <c r="A245" s="5">
        <v>44348</v>
      </c>
      <c r="B245">
        <v>5.2999999999999998E-4</v>
      </c>
      <c r="C245">
        <v>5.4440000000000001E-4</v>
      </c>
      <c r="D245">
        <v>5.0180000000000005E-4</v>
      </c>
      <c r="E245">
        <v>5.1440000000000004E-4</v>
      </c>
      <c r="F245">
        <v>44772389149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-0.40845070422535235</v>
      </c>
      <c r="Q245">
        <f t="shared" si="960"/>
        <v>-18287313877.760574</v>
      </c>
      <c r="R245">
        <f t="shared" si="961"/>
        <v>-599635532657.60315</v>
      </c>
      <c r="S245">
        <f t="shared" si="962"/>
        <v>-5996355.3265760317</v>
      </c>
      <c r="T245">
        <f t="shared" si="963"/>
        <v>-5996.355326576032</v>
      </c>
    </row>
    <row r="246" spans="1:20" x14ac:dyDescent="0.25">
      <c r="A246" s="5">
        <v>44347</v>
      </c>
      <c r="B246">
        <v>4.9649999999999998E-4</v>
      </c>
      <c r="C246">
        <v>5.3439999999999998E-4</v>
      </c>
      <c r="D246">
        <v>4.8050000000000002E-4</v>
      </c>
      <c r="E246">
        <v>5.2999999999999998E-4</v>
      </c>
      <c r="F246">
        <v>46233197354</v>
      </c>
      <c r="G246">
        <v>0</v>
      </c>
      <c r="L246" t="s">
        <v>7</v>
      </c>
      <c r="M246" t="s">
        <v>7</v>
      </c>
      <c r="N246" t="s">
        <v>7</v>
      </c>
      <c r="P246">
        <f t="shared" si="959"/>
        <v>0.83673469387755095</v>
      </c>
      <c r="Q246">
        <f t="shared" si="960"/>
        <v>38684920234.979591</v>
      </c>
      <c r="R246">
        <f t="shared" si="961"/>
        <v>-581348218779.84253</v>
      </c>
      <c r="S246">
        <f t="shared" si="962"/>
        <v>-5813482.1877984256</v>
      </c>
      <c r="T246">
        <f t="shared" si="963"/>
        <v>-5813.4821877984259</v>
      </c>
    </row>
    <row r="247" spans="1:20" x14ac:dyDescent="0.25">
      <c r="A247" s="5">
        <v>44346</v>
      </c>
      <c r="B247">
        <v>4.7659999999999998E-4</v>
      </c>
      <c r="C247">
        <v>5.1489999999999999E-4</v>
      </c>
      <c r="D247">
        <v>4.571E-4</v>
      </c>
      <c r="E247">
        <v>4.9660000000000004E-4</v>
      </c>
      <c r="F247">
        <v>44867962311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0.36678200692041668</v>
      </c>
      <c r="Q247">
        <f t="shared" si="960"/>
        <v>16456761262.858196</v>
      </c>
      <c r="R247">
        <f t="shared" si="961"/>
        <v>-620033139014.82214</v>
      </c>
      <c r="S247">
        <f t="shared" si="962"/>
        <v>-6200331.3901482215</v>
      </c>
      <c r="T247">
        <f t="shared" si="963"/>
        <v>-6200.3313901482215</v>
      </c>
    </row>
    <row r="248" spans="1:20" x14ac:dyDescent="0.25">
      <c r="A248" s="5">
        <v>44345</v>
      </c>
      <c r="B248">
        <v>4.9629999999999997E-4</v>
      </c>
      <c r="C248">
        <v>5.1990000000000001E-4</v>
      </c>
      <c r="D248">
        <v>4.5409999999999998E-4</v>
      </c>
      <c r="E248">
        <v>4.7659999999999998E-4</v>
      </c>
      <c r="F248">
        <v>50443294119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-0.31610942249240137</v>
      </c>
      <c r="Q248">
        <f t="shared" si="960"/>
        <v>-15945600572.571436</v>
      </c>
      <c r="R248">
        <f t="shared" si="961"/>
        <v>-636489900277.6803</v>
      </c>
      <c r="S248">
        <f t="shared" si="962"/>
        <v>-6364899.0027768025</v>
      </c>
      <c r="T248">
        <f t="shared" si="963"/>
        <v>-6364.8990027768023</v>
      </c>
    </row>
    <row r="249" spans="1:20" x14ac:dyDescent="0.25">
      <c r="A249" s="5">
        <v>44344</v>
      </c>
      <c r="B249">
        <v>5.6249999999999996E-4</v>
      </c>
      <c r="C249">
        <v>5.6999999999999998E-4</v>
      </c>
      <c r="D249">
        <v>4.7350000000000002E-4</v>
      </c>
      <c r="E249">
        <v>4.9629999999999997E-4</v>
      </c>
      <c r="F249">
        <v>68867329064</v>
      </c>
      <c r="G249">
        <v>0</v>
      </c>
      <c r="L249" t="s">
        <v>8</v>
      </c>
      <c r="M249" t="s">
        <v>7</v>
      </c>
      <c r="N249" t="s">
        <v>7</v>
      </c>
      <c r="P249">
        <f t="shared" si="959"/>
        <v>-0.52746113989637378</v>
      </c>
      <c r="Q249">
        <f t="shared" si="960"/>
        <v>-36324839889.71611</v>
      </c>
      <c r="R249">
        <f t="shared" si="961"/>
        <v>-620544299705.10889</v>
      </c>
      <c r="S249">
        <f t="shared" si="962"/>
        <v>-6205442.9970510891</v>
      </c>
      <c r="T249">
        <f t="shared" si="963"/>
        <v>-6205.4429970510892</v>
      </c>
    </row>
    <row r="250" spans="1:20" x14ac:dyDescent="0.25">
      <c r="A250" s="5">
        <v>44343</v>
      </c>
      <c r="B250">
        <v>6.4119999999999997E-4</v>
      </c>
      <c r="C250">
        <v>6.4199999999999999E-4</v>
      </c>
      <c r="D250">
        <v>5.5199999999999997E-4</v>
      </c>
      <c r="E250">
        <v>5.6229999999999995E-4</v>
      </c>
      <c r="F250">
        <v>79970601954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-0.77111111111111164</v>
      </c>
      <c r="Q250">
        <f t="shared" si="960"/>
        <v>-61666219728.973373</v>
      </c>
      <c r="R250">
        <f t="shared" si="961"/>
        <v>-584219459815.39282</v>
      </c>
      <c r="S250">
        <f t="shared" si="962"/>
        <v>-5842194.5981539283</v>
      </c>
      <c r="T250">
        <f t="shared" si="963"/>
        <v>-5842.1945981539284</v>
      </c>
    </row>
    <row r="251" spans="1:20" x14ac:dyDescent="0.25">
      <c r="A251" s="5">
        <v>44342</v>
      </c>
      <c r="B251">
        <v>5.3039999999999999E-4</v>
      </c>
      <c r="C251">
        <v>6.4360000000000003E-4</v>
      </c>
      <c r="D251">
        <v>5.1309999999999995E-4</v>
      </c>
      <c r="E251">
        <v>6.4170000000000004E-4</v>
      </c>
      <c r="F251">
        <v>119473072069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0.97088122605364002</v>
      </c>
      <c r="Q251">
        <f t="shared" si="960"/>
        <v>115994162690.74562</v>
      </c>
      <c r="R251">
        <f t="shared" si="961"/>
        <v>-522553240086.41943</v>
      </c>
      <c r="S251">
        <f t="shared" si="962"/>
        <v>-5225532.4008641941</v>
      </c>
      <c r="T251">
        <f t="shared" si="963"/>
        <v>-5225.5324008641937</v>
      </c>
    </row>
    <row r="252" spans="1:20" x14ac:dyDescent="0.25">
      <c r="A252" s="5">
        <v>44341</v>
      </c>
      <c r="B252">
        <v>5.2660000000000001E-4</v>
      </c>
      <c r="C252">
        <v>5.7510000000000005E-4</v>
      </c>
      <c r="D252">
        <v>4.6999999999999999E-4</v>
      </c>
      <c r="E252">
        <v>5.3039999999999999E-4</v>
      </c>
      <c r="F252">
        <v>83740411673</v>
      </c>
      <c r="G252">
        <v>0</v>
      </c>
      <c r="L252" t="s">
        <v>7</v>
      </c>
      <c r="M252" t="s">
        <v>8</v>
      </c>
      <c r="N252" t="s">
        <v>8</v>
      </c>
      <c r="P252">
        <f t="shared" si="959"/>
        <v>0.14938154138915261</v>
      </c>
      <c r="Q252">
        <f t="shared" si="960"/>
        <v>12509271772.274927</v>
      </c>
      <c r="R252">
        <f t="shared" si="961"/>
        <v>-638547402777.16504</v>
      </c>
      <c r="S252">
        <f t="shared" si="962"/>
        <v>-6385474.0277716508</v>
      </c>
      <c r="T252">
        <f t="shared" si="963"/>
        <v>-6385.474027771651</v>
      </c>
    </row>
    <row r="253" spans="1:20" x14ac:dyDescent="0.25">
      <c r="A253" s="5">
        <v>44340</v>
      </c>
      <c r="B253">
        <v>4.2480000000000003E-4</v>
      </c>
      <c r="C253">
        <v>5.3399999999999997E-4</v>
      </c>
      <c r="D253">
        <v>4.1340000000000002E-4</v>
      </c>
      <c r="E253">
        <v>5.2660000000000001E-4</v>
      </c>
      <c r="F253">
        <v>108631371908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0.87728026533996739</v>
      </c>
      <c r="Q253">
        <f t="shared" si="960"/>
        <v>95300158771.694916</v>
      </c>
      <c r="R253">
        <f t="shared" si="961"/>
        <v>-651056674549.43994</v>
      </c>
      <c r="S253">
        <f t="shared" si="962"/>
        <v>-6510566.7454943992</v>
      </c>
      <c r="T253">
        <f t="shared" si="963"/>
        <v>-6510.5667454943996</v>
      </c>
    </row>
    <row r="254" spans="1:20" x14ac:dyDescent="0.25">
      <c r="A254" s="5">
        <v>44339</v>
      </c>
      <c r="B254">
        <v>5.1460000000000004E-4</v>
      </c>
      <c r="C254">
        <v>5.2999999999999998E-4</v>
      </c>
      <c r="D254">
        <v>3.592E-4</v>
      </c>
      <c r="E254">
        <v>4.2499999999999998E-4</v>
      </c>
      <c r="F254">
        <v>85247168750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-0.2295081967213117</v>
      </c>
      <c r="Q254">
        <f t="shared" si="960"/>
        <v>-19564923975.409855</v>
      </c>
      <c r="R254">
        <f t="shared" si="961"/>
        <v>-746356833321.13489</v>
      </c>
      <c r="S254">
        <f t="shared" si="962"/>
        <v>-7463568.3332113493</v>
      </c>
      <c r="T254">
        <f t="shared" si="963"/>
        <v>-7463.5683332113495</v>
      </c>
    </row>
    <row r="255" spans="1:20" x14ac:dyDescent="0.25">
      <c r="A255" s="5">
        <v>44338</v>
      </c>
      <c r="B255">
        <v>5.2050000000000002E-4</v>
      </c>
      <c r="C255">
        <v>5.7370000000000001E-4</v>
      </c>
      <c r="D255">
        <v>4.6079999999999998E-4</v>
      </c>
      <c r="E255">
        <v>5.1440000000000004E-4</v>
      </c>
      <c r="F255">
        <v>92603863979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-5.0487156775907177E-2</v>
      </c>
      <c r="Q255">
        <f t="shared" si="960"/>
        <v>-4675305798.7625561</v>
      </c>
      <c r="R255">
        <f t="shared" si="961"/>
        <v>-726791909345.72498</v>
      </c>
      <c r="S255">
        <f t="shared" si="962"/>
        <v>-7267919.0934572499</v>
      </c>
      <c r="T255">
        <f t="shared" si="963"/>
        <v>-7267.9190934572498</v>
      </c>
    </row>
    <row r="256" spans="1:20" x14ac:dyDescent="0.25">
      <c r="A256" s="5">
        <v>44337</v>
      </c>
      <c r="B256">
        <v>6.2850000000000004E-4</v>
      </c>
      <c r="C256">
        <v>6.6879999999999999E-4</v>
      </c>
      <c r="D256">
        <v>4.528E-4</v>
      </c>
      <c r="E256">
        <v>5.2010000000000001E-4</v>
      </c>
      <c r="F256">
        <v>92525157819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-0.37685185185185172</v>
      </c>
      <c r="Q256">
        <f t="shared" si="960"/>
        <v>-34868277066.974991</v>
      </c>
      <c r="R256">
        <f t="shared" si="961"/>
        <v>-722116603546.9624</v>
      </c>
      <c r="S256">
        <f t="shared" si="962"/>
        <v>-7221166.0354696242</v>
      </c>
      <c r="T256">
        <f t="shared" si="963"/>
        <v>-7221.1660354696241</v>
      </c>
    </row>
    <row r="257" spans="1:20" x14ac:dyDescent="0.25">
      <c r="A257" s="5">
        <v>44336</v>
      </c>
      <c r="B257">
        <v>5.4230000000000001E-4</v>
      </c>
      <c r="C257">
        <v>6.8999999999999997E-4</v>
      </c>
      <c r="D257">
        <v>4.9010000000000004E-4</v>
      </c>
      <c r="E257">
        <v>6.2870000000000005E-4</v>
      </c>
      <c r="F257">
        <v>106150848636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0.38669334667333727</v>
      </c>
      <c r="Q257">
        <f t="shared" si="960"/>
        <v>41047826911.269699</v>
      </c>
      <c r="R257">
        <f t="shared" si="961"/>
        <v>-687248326479.98743</v>
      </c>
      <c r="S257">
        <f t="shared" si="962"/>
        <v>-6872483.2647998743</v>
      </c>
      <c r="T257">
        <f t="shared" si="963"/>
        <v>-6872.4832647998746</v>
      </c>
    </row>
    <row r="258" spans="1:20" x14ac:dyDescent="0.25">
      <c r="A258" s="5">
        <v>44335</v>
      </c>
      <c r="B258">
        <v>8.3790000000000004E-4</v>
      </c>
      <c r="C258">
        <v>8.474E-4</v>
      </c>
      <c r="D258">
        <v>4.1199999999999999E-4</v>
      </c>
      <c r="E258">
        <v>5.4230000000000001E-4</v>
      </c>
      <c r="F258">
        <v>180000449456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-0.40146991272393195</v>
      </c>
      <c r="Q258">
        <f t="shared" si="960"/>
        <v>-72264764733.368851</v>
      </c>
      <c r="R258">
        <f t="shared" si="961"/>
        <v>-728296153391.25708</v>
      </c>
      <c r="S258">
        <f t="shared" si="962"/>
        <v>-7282961.5339125711</v>
      </c>
      <c r="T258">
        <f t="shared" si="963"/>
        <v>-7282.9615339125712</v>
      </c>
    </row>
    <row r="259" spans="1:20" x14ac:dyDescent="0.25">
      <c r="A259" s="5">
        <v>44334</v>
      </c>
      <c r="B259">
        <v>8.5970000000000003E-4</v>
      </c>
      <c r="C259">
        <v>8.9130000000000003E-4</v>
      </c>
      <c r="D259">
        <v>8.2260000000000005E-4</v>
      </c>
      <c r="E259">
        <v>8.3540000000000003E-4</v>
      </c>
      <c r="F259">
        <v>56086185520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-0.62736535662299886</v>
      </c>
      <c r="Q259">
        <f t="shared" si="960"/>
        <v>-35186529780.378471</v>
      </c>
      <c r="R259">
        <f t="shared" si="961"/>
        <v>-656031388657.88818</v>
      </c>
      <c r="S259">
        <f t="shared" si="962"/>
        <v>-6560313.8865788821</v>
      </c>
      <c r="T259">
        <f t="shared" si="963"/>
        <v>-6560.3138865788824</v>
      </c>
    </row>
    <row r="260" spans="1:20" x14ac:dyDescent="0.25">
      <c r="A260" s="5">
        <v>44333</v>
      </c>
      <c r="B260">
        <v>9.3050000000000001E-4</v>
      </c>
      <c r="C260">
        <v>9.3179999999999999E-4</v>
      </c>
      <c r="D260">
        <v>8.1999999999999998E-4</v>
      </c>
      <c r="E260">
        <v>8.5899999999999995E-4</v>
      </c>
      <c r="F260">
        <v>84447337750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-0.30232558139534937</v>
      </c>
      <c r="Q260">
        <f t="shared" si="960"/>
        <v>-25530590482.558186</v>
      </c>
      <c r="R260">
        <f t="shared" si="961"/>
        <v>-620844858877.50977</v>
      </c>
      <c r="S260">
        <f t="shared" si="962"/>
        <v>-6208448.5887750974</v>
      </c>
      <c r="T260">
        <f t="shared" si="963"/>
        <v>-6208.4485887750971</v>
      </c>
    </row>
    <row r="261" spans="1:20" x14ac:dyDescent="0.25">
      <c r="A261" s="5">
        <v>44332</v>
      </c>
      <c r="B261">
        <v>8.3960000000000003E-4</v>
      </c>
      <c r="C261">
        <v>1.0834E-3</v>
      </c>
      <c r="D261">
        <v>8.3319999999999998E-4</v>
      </c>
      <c r="E261">
        <v>9.3050000000000001E-4</v>
      </c>
      <c r="F261">
        <v>176386547201</v>
      </c>
      <c r="G261">
        <v>0</v>
      </c>
      <c r="L261" t="s">
        <v>8</v>
      </c>
      <c r="M261" t="s">
        <v>8</v>
      </c>
      <c r="N261" t="s">
        <v>7</v>
      </c>
      <c r="P261">
        <f t="shared" si="959"/>
        <v>-0.22222222222222199</v>
      </c>
      <c r="Q261">
        <f t="shared" si="960"/>
        <v>-39197010489.111069</v>
      </c>
      <c r="R261">
        <f t="shared" si="961"/>
        <v>-595314268394.95154</v>
      </c>
      <c r="S261">
        <f t="shared" si="962"/>
        <v>-5953142.6839495152</v>
      </c>
      <c r="T261">
        <f t="shared" si="963"/>
        <v>-5953.1426839495152</v>
      </c>
    </row>
    <row r="262" spans="1:20" x14ac:dyDescent="0.25">
      <c r="A262" s="5">
        <v>44331</v>
      </c>
      <c r="B262">
        <v>9.2469999999999998E-4</v>
      </c>
      <c r="C262">
        <v>9.3499999999999996E-4</v>
      </c>
      <c r="D262">
        <v>8.3350000000000004E-4</v>
      </c>
      <c r="E262">
        <v>8.3960000000000003E-4</v>
      </c>
      <c r="F262">
        <v>71990650663</v>
      </c>
      <c r="G262">
        <v>0</v>
      </c>
      <c r="L262" t="s">
        <v>8</v>
      </c>
      <c r="M262" t="s">
        <v>7</v>
      </c>
      <c r="N262" t="s">
        <v>7</v>
      </c>
      <c r="P262">
        <f t="shared" ref="P262:P325" si="964">IF(C262=D262,0,((E262-D262)-(C262-E262))/(C262-D262))</f>
        <v>-0.87980295566502487</v>
      </c>
      <c r="Q262">
        <f t="shared" ref="Q262:Q325" si="965">F262*P262</f>
        <v>-63337587233.555679</v>
      </c>
      <c r="R262">
        <f t="shared" ref="R262:R325" si="966">R263+Q262</f>
        <v>-556117257905.84045</v>
      </c>
      <c r="S262">
        <f t="shared" ref="S262:S325" si="967">R262/100000</f>
        <v>-5561172.5790584041</v>
      </c>
      <c r="T262">
        <f t="shared" ref="T262:T325" si="968">S262/1000</f>
        <v>-5561.1725790584042</v>
      </c>
    </row>
    <row r="263" spans="1:20" x14ac:dyDescent="0.25">
      <c r="A263" s="5">
        <v>44330</v>
      </c>
      <c r="B263">
        <v>8.9860000000000005E-4</v>
      </c>
      <c r="C263">
        <v>9.7750000000000007E-4</v>
      </c>
      <c r="D263">
        <v>8.8049999999999999E-4</v>
      </c>
      <c r="E263">
        <v>9.2489999999999998E-4</v>
      </c>
      <c r="F263">
        <v>92237467740</v>
      </c>
      <c r="G263">
        <v>0</v>
      </c>
      <c r="L263" t="s">
        <v>7</v>
      </c>
      <c r="M263" t="s">
        <v>8</v>
      </c>
      <c r="N263" t="s">
        <v>7</v>
      </c>
      <c r="P263">
        <f t="shared" si="964"/>
        <v>-8.453608247422767E-2</v>
      </c>
      <c r="Q263">
        <f t="shared" si="965"/>
        <v>-7797394180.0825539</v>
      </c>
      <c r="R263">
        <f t="shared" si="966"/>
        <v>-492779670672.28479</v>
      </c>
      <c r="S263">
        <f t="shared" si="967"/>
        <v>-4927796.7067228481</v>
      </c>
      <c r="T263">
        <f t="shared" si="968"/>
        <v>-4927.7967067228483</v>
      </c>
    </row>
    <row r="264" spans="1:20" x14ac:dyDescent="0.25">
      <c r="A264" s="5">
        <v>44329</v>
      </c>
      <c r="B264">
        <v>8.9340000000000003E-4</v>
      </c>
      <c r="C264">
        <v>9.9569999999999997E-4</v>
      </c>
      <c r="D264">
        <v>8.1039999999999997E-4</v>
      </c>
      <c r="E264">
        <v>8.9709999999999996E-4</v>
      </c>
      <c r="F264">
        <v>119032527365</v>
      </c>
      <c r="G264">
        <v>0</v>
      </c>
      <c r="L264" t="s">
        <v>8</v>
      </c>
      <c r="M264" t="s">
        <v>7</v>
      </c>
      <c r="N264" t="s">
        <v>7</v>
      </c>
      <c r="P264">
        <f t="shared" si="964"/>
        <v>-6.4220183486238633E-2</v>
      </c>
      <c r="Q264">
        <f t="shared" si="965"/>
        <v>-7644290748.2110214</v>
      </c>
      <c r="R264">
        <f t="shared" si="966"/>
        <v>-484982276492.20221</v>
      </c>
      <c r="S264">
        <f t="shared" si="967"/>
        <v>-4849822.7649220219</v>
      </c>
      <c r="T264">
        <f t="shared" si="968"/>
        <v>-4849.8227649220216</v>
      </c>
    </row>
    <row r="265" spans="1:20" x14ac:dyDescent="0.25">
      <c r="A265" s="5">
        <v>44328</v>
      </c>
      <c r="B265">
        <v>1.1104000000000001E-3</v>
      </c>
      <c r="C265">
        <v>1.1371E-3</v>
      </c>
      <c r="D265">
        <v>8.7109999999999998E-4</v>
      </c>
      <c r="E265">
        <v>8.9340000000000003E-4</v>
      </c>
      <c r="F265">
        <v>98890822103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-0.83233082706766881</v>
      </c>
      <c r="Q265">
        <f t="shared" si="965"/>
        <v>-82309879750.391693</v>
      </c>
      <c r="R265">
        <f t="shared" si="966"/>
        <v>-477337985743.99121</v>
      </c>
      <c r="S265">
        <f t="shared" si="967"/>
        <v>-4773379.8574399119</v>
      </c>
      <c r="T265">
        <f t="shared" si="968"/>
        <v>-4773.3798574399116</v>
      </c>
    </row>
    <row r="266" spans="1:20" x14ac:dyDescent="0.25">
      <c r="A266" s="5">
        <v>44327</v>
      </c>
      <c r="B266">
        <v>1.0763999999999999E-3</v>
      </c>
      <c r="C266">
        <v>1.14E-3</v>
      </c>
      <c r="D266">
        <v>1.0200000000000001E-3</v>
      </c>
      <c r="E266">
        <v>1.1103E-3</v>
      </c>
      <c r="F266">
        <v>94495002030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0.505000000000001</v>
      </c>
      <c r="Q266">
        <f t="shared" si="965"/>
        <v>47719976025.150093</v>
      </c>
      <c r="R266">
        <f t="shared" si="966"/>
        <v>-395028105993.59949</v>
      </c>
      <c r="S266">
        <f t="shared" si="967"/>
        <v>-3950281.0599359949</v>
      </c>
      <c r="T266">
        <f t="shared" si="968"/>
        <v>-3950.281059935995</v>
      </c>
    </row>
    <row r="267" spans="1:20" x14ac:dyDescent="0.25">
      <c r="A267" s="5">
        <v>44326</v>
      </c>
      <c r="B267">
        <v>1.245E-3</v>
      </c>
      <c r="C267">
        <v>1.2999999999999999E-3</v>
      </c>
      <c r="D267">
        <v>9.8539999999999999E-4</v>
      </c>
      <c r="E267">
        <v>1.0778000000000001E-3</v>
      </c>
      <c r="F267">
        <v>149868373314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-0.41258741258741199</v>
      </c>
      <c r="Q267">
        <f t="shared" si="965"/>
        <v>-61833804374.307602</v>
      </c>
      <c r="R267">
        <f t="shared" si="966"/>
        <v>-442748082018.74957</v>
      </c>
      <c r="S267">
        <f t="shared" si="967"/>
        <v>-4427480.820187496</v>
      </c>
      <c r="T267">
        <f t="shared" si="968"/>
        <v>-4427.4808201874957</v>
      </c>
    </row>
    <row r="268" spans="1:20" x14ac:dyDescent="0.25">
      <c r="A268" s="5">
        <v>44325</v>
      </c>
      <c r="B268">
        <v>1.279E-3</v>
      </c>
      <c r="C268">
        <v>1.2949999999999999E-3</v>
      </c>
      <c r="D268">
        <v>1.1900000000000001E-3</v>
      </c>
      <c r="E268">
        <v>1.2444999999999999E-3</v>
      </c>
      <c r="F268">
        <v>101839464752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3.8095238095237016E-2</v>
      </c>
      <c r="Q268">
        <f t="shared" si="965"/>
        <v>3879598657.2189379</v>
      </c>
      <c r="R268">
        <f t="shared" si="966"/>
        <v>-380914277644.44196</v>
      </c>
      <c r="S268">
        <f t="shared" si="967"/>
        <v>-3809142.7764444198</v>
      </c>
      <c r="T268">
        <f t="shared" si="968"/>
        <v>-3809.1427764444197</v>
      </c>
    </row>
    <row r="269" spans="1:20" x14ac:dyDescent="0.25">
      <c r="A269" s="5">
        <v>44324</v>
      </c>
      <c r="B269">
        <v>1.3117000000000001E-3</v>
      </c>
      <c r="C269">
        <v>1.3565000000000001E-3</v>
      </c>
      <c r="D269">
        <v>1.2625E-3</v>
      </c>
      <c r="E269">
        <v>1.279E-3</v>
      </c>
      <c r="F269">
        <v>100345396908</v>
      </c>
      <c r="G269">
        <v>0</v>
      </c>
      <c r="L269" t="s">
        <v>7</v>
      </c>
      <c r="M269" t="s">
        <v>8</v>
      </c>
      <c r="N269" t="s">
        <v>7</v>
      </c>
      <c r="P269">
        <f t="shared" si="964"/>
        <v>-0.64893617021276595</v>
      </c>
      <c r="Q269">
        <f t="shared" si="965"/>
        <v>-65117757567.957443</v>
      </c>
      <c r="R269">
        <f t="shared" si="966"/>
        <v>-384793876301.66089</v>
      </c>
      <c r="S269">
        <f t="shared" si="967"/>
        <v>-3847938.763016609</v>
      </c>
      <c r="T269">
        <f t="shared" si="968"/>
        <v>-3847.9387630166088</v>
      </c>
    </row>
    <row r="270" spans="1:20" x14ac:dyDescent="0.25">
      <c r="A270" s="5">
        <v>44323</v>
      </c>
      <c r="B270">
        <v>1.3173E-3</v>
      </c>
      <c r="C270">
        <v>1.4962E-3</v>
      </c>
      <c r="D270">
        <v>1.255E-3</v>
      </c>
      <c r="E270">
        <v>1.3117000000000001E-3</v>
      </c>
      <c r="F270">
        <v>280262928577</v>
      </c>
      <c r="G270">
        <v>0</v>
      </c>
      <c r="L270" t="s">
        <v>8</v>
      </c>
      <c r="M270" t="s">
        <v>8</v>
      </c>
      <c r="N270" t="s">
        <v>7</v>
      </c>
      <c r="P270">
        <f t="shared" si="964"/>
        <v>-0.52985074626865658</v>
      </c>
      <c r="Q270">
        <f t="shared" si="965"/>
        <v>-148497521857.96265</v>
      </c>
      <c r="R270">
        <f t="shared" si="966"/>
        <v>-319676118733.70343</v>
      </c>
      <c r="S270">
        <f t="shared" si="967"/>
        <v>-3196761.1873370344</v>
      </c>
      <c r="T270">
        <f t="shared" si="968"/>
        <v>-3196.7611873370342</v>
      </c>
    </row>
    <row r="271" spans="1:20" x14ac:dyDescent="0.25">
      <c r="A271" s="5">
        <v>44322</v>
      </c>
      <c r="B271">
        <v>1.2501999999999999E-3</v>
      </c>
      <c r="C271">
        <v>1.3649999999999999E-3</v>
      </c>
      <c r="D271">
        <v>1.2006E-3</v>
      </c>
      <c r="E271">
        <v>1.3159999999999999E-3</v>
      </c>
      <c r="F271">
        <v>208199422084</v>
      </c>
      <c r="G271">
        <v>0</v>
      </c>
      <c r="L271" t="s">
        <v>8</v>
      </c>
      <c r="M271" t="s">
        <v>8</v>
      </c>
      <c r="N271" t="s">
        <v>7</v>
      </c>
      <c r="P271">
        <f t="shared" si="964"/>
        <v>0.403892944038929</v>
      </c>
      <c r="Q271">
        <f t="shared" si="965"/>
        <v>84090277532.710373</v>
      </c>
      <c r="R271">
        <f t="shared" si="966"/>
        <v>-171178596875.74078</v>
      </c>
      <c r="S271">
        <f t="shared" si="967"/>
        <v>-1711785.9687574077</v>
      </c>
      <c r="T271">
        <f t="shared" si="968"/>
        <v>-1711.7859687574078</v>
      </c>
    </row>
    <row r="272" spans="1:20" x14ac:dyDescent="0.25">
      <c r="A272" s="5">
        <v>44321</v>
      </c>
      <c r="B272">
        <v>1.1529999999999999E-3</v>
      </c>
      <c r="C272">
        <v>1.3091999999999999E-3</v>
      </c>
      <c r="D272">
        <v>1.1356999999999999E-3</v>
      </c>
      <c r="E272">
        <v>1.2501999999999999E-3</v>
      </c>
      <c r="F272">
        <v>159732419245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0.31988472622478376</v>
      </c>
      <c r="Q272">
        <f t="shared" si="965"/>
        <v>51095961199.409203</v>
      </c>
      <c r="R272">
        <f t="shared" si="966"/>
        <v>-255268874408.45114</v>
      </c>
      <c r="S272">
        <f t="shared" si="967"/>
        <v>-2552688.7440845114</v>
      </c>
      <c r="T272">
        <f t="shared" si="968"/>
        <v>-2552.6887440845112</v>
      </c>
    </row>
    <row r="273" spans="1:20" x14ac:dyDescent="0.25">
      <c r="A273" s="5">
        <v>44320</v>
      </c>
      <c r="B273">
        <v>1.2983000000000001E-3</v>
      </c>
      <c r="C273">
        <v>1.3043E-3</v>
      </c>
      <c r="D273">
        <v>1.1199999999999999E-3</v>
      </c>
      <c r="E273">
        <v>1.1532999999999999E-3</v>
      </c>
      <c r="F273">
        <v>154155886774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-0.63863266413456343</v>
      </c>
      <c r="Q273">
        <f t="shared" si="965"/>
        <v>-98448984662.505737</v>
      </c>
      <c r="R273">
        <f t="shared" si="966"/>
        <v>-306364835607.86035</v>
      </c>
      <c r="S273">
        <f t="shared" si="967"/>
        <v>-3063648.3560786033</v>
      </c>
      <c r="T273">
        <f t="shared" si="968"/>
        <v>-3063.6483560786032</v>
      </c>
    </row>
    <row r="274" spans="1:20" x14ac:dyDescent="0.25">
      <c r="A274" s="5">
        <v>44319</v>
      </c>
      <c r="B274">
        <v>1.317E-3</v>
      </c>
      <c r="C274">
        <v>1.3849999999999999E-3</v>
      </c>
      <c r="D274">
        <v>1.2830999999999999E-3</v>
      </c>
      <c r="E274">
        <v>1.2987000000000001E-3</v>
      </c>
      <c r="F274">
        <v>118561769666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-0.69381746810598321</v>
      </c>
      <c r="Q274">
        <f t="shared" si="965"/>
        <v>-82260226843.828888</v>
      </c>
      <c r="R274">
        <f t="shared" si="966"/>
        <v>-207915850945.35461</v>
      </c>
      <c r="S274">
        <f t="shared" si="967"/>
        <v>-2079158.5094535463</v>
      </c>
      <c r="T274">
        <f t="shared" si="968"/>
        <v>-2079.1585094535462</v>
      </c>
    </row>
    <row r="275" spans="1:20" x14ac:dyDescent="0.25">
      <c r="A275" s="5">
        <v>44318</v>
      </c>
      <c r="B275">
        <v>1.3342E-3</v>
      </c>
      <c r="C275">
        <v>1.3887999999999999E-3</v>
      </c>
      <c r="D275">
        <v>1.2555999999999999E-3</v>
      </c>
      <c r="E275">
        <v>1.3171000000000001E-3</v>
      </c>
      <c r="F275">
        <v>143371176605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-7.6576576576574379E-2</v>
      </c>
      <c r="Q275">
        <f t="shared" si="965"/>
        <v>-10978873884.166351</v>
      </c>
      <c r="R275">
        <f t="shared" si="966"/>
        <v>-125655624101.52573</v>
      </c>
      <c r="S275">
        <f t="shared" si="967"/>
        <v>-1256556.2410152573</v>
      </c>
      <c r="T275">
        <f t="shared" si="968"/>
        <v>-1256.5562410152572</v>
      </c>
    </row>
    <row r="276" spans="1:20" x14ac:dyDescent="0.25">
      <c r="A276" s="5">
        <v>44317</v>
      </c>
      <c r="B276">
        <v>1.3657999999999999E-3</v>
      </c>
      <c r="C276">
        <v>1.4E-3</v>
      </c>
      <c r="D276">
        <v>1.2999999999999999E-3</v>
      </c>
      <c r="E276">
        <v>1.3335E-3</v>
      </c>
      <c r="F276">
        <v>101721935816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-0.32999999999999813</v>
      </c>
      <c r="Q276">
        <f t="shared" si="965"/>
        <v>-33568238819.279808</v>
      </c>
      <c r="R276">
        <f t="shared" si="966"/>
        <v>-114676750217.35938</v>
      </c>
      <c r="S276">
        <f t="shared" si="967"/>
        <v>-1146767.5021735937</v>
      </c>
      <c r="T276">
        <f t="shared" si="968"/>
        <v>-1146.7675021735938</v>
      </c>
    </row>
    <row r="277" spans="1:20" x14ac:dyDescent="0.25">
      <c r="A277" s="5">
        <v>44316</v>
      </c>
      <c r="B277">
        <v>1.3173E-3</v>
      </c>
      <c r="C277">
        <v>1.3904E-3</v>
      </c>
      <c r="D277">
        <v>1.286E-3</v>
      </c>
      <c r="E277">
        <v>1.3659E-3</v>
      </c>
      <c r="F277">
        <v>121826500140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0.53065134099616829</v>
      </c>
      <c r="Q277">
        <f t="shared" si="965"/>
        <v>64647395668.160881</v>
      </c>
      <c r="R277">
        <f t="shared" si="966"/>
        <v>-81108511398.079559</v>
      </c>
      <c r="S277">
        <f t="shared" si="967"/>
        <v>-811085.11398079561</v>
      </c>
      <c r="T277">
        <f t="shared" si="968"/>
        <v>-811.08511398079565</v>
      </c>
    </row>
    <row r="278" spans="1:20" x14ac:dyDescent="0.25">
      <c r="A278" s="5">
        <v>44315</v>
      </c>
      <c r="B278">
        <v>1.3377E-3</v>
      </c>
      <c r="C278">
        <v>1.4199E-3</v>
      </c>
      <c r="D278">
        <v>1.2611E-3</v>
      </c>
      <c r="E278">
        <v>1.3179999999999999E-3</v>
      </c>
      <c r="F278">
        <v>149406739990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-0.28337531486146178</v>
      </c>
      <c r="Q278">
        <f t="shared" si="965"/>
        <v>-42338181987.090805</v>
      </c>
      <c r="R278">
        <f t="shared" si="966"/>
        <v>-145755907066.24045</v>
      </c>
      <c r="S278">
        <f t="shared" si="967"/>
        <v>-1457559.0706624044</v>
      </c>
      <c r="T278">
        <f t="shared" si="968"/>
        <v>-1457.5590706624043</v>
      </c>
    </row>
    <row r="279" spans="1:20" x14ac:dyDescent="0.25">
      <c r="A279" s="5">
        <v>44314</v>
      </c>
      <c r="B279">
        <v>1.4270000000000001E-3</v>
      </c>
      <c r="C279">
        <v>1.449E-3</v>
      </c>
      <c r="D279">
        <v>1.2024E-3</v>
      </c>
      <c r="E279">
        <v>1.3378000000000001E-3</v>
      </c>
      <c r="F279">
        <v>244250259148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9.8134630981347365E-2</v>
      </c>
      <c r="Q279">
        <f t="shared" si="965"/>
        <v>23969409048.587444</v>
      </c>
      <c r="R279">
        <f t="shared" si="966"/>
        <v>-103417725079.14964</v>
      </c>
      <c r="S279">
        <f t="shared" si="967"/>
        <v>-1034177.2507914965</v>
      </c>
      <c r="T279">
        <f t="shared" si="968"/>
        <v>-1034.1772507914966</v>
      </c>
    </row>
    <row r="280" spans="1:20" x14ac:dyDescent="0.25">
      <c r="A280" s="5">
        <v>44313</v>
      </c>
      <c r="B280">
        <v>1.2576E-3</v>
      </c>
      <c r="C280">
        <v>1.5472999999999999E-3</v>
      </c>
      <c r="D280">
        <v>1.2137999999999999E-3</v>
      </c>
      <c r="E280">
        <v>1.4273999999999999E-3</v>
      </c>
      <c r="F280">
        <v>383065251821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0.28095952023987986</v>
      </c>
      <c r="Q280">
        <f t="shared" si="965"/>
        <v>107625829372.19693</v>
      </c>
      <c r="R280">
        <f t="shared" si="966"/>
        <v>-127387134127.73709</v>
      </c>
      <c r="S280">
        <f t="shared" si="967"/>
        <v>-1273871.3412773709</v>
      </c>
      <c r="T280">
        <f t="shared" si="968"/>
        <v>-1273.8713412773709</v>
      </c>
    </row>
    <row r="281" spans="1:20" x14ac:dyDescent="0.25">
      <c r="A281" s="5">
        <v>44312</v>
      </c>
      <c r="B281">
        <v>1.0640000000000001E-3</v>
      </c>
      <c r="C281">
        <v>1.305E-3</v>
      </c>
      <c r="D281">
        <v>1.0541000000000001E-3</v>
      </c>
      <c r="E281">
        <v>1.2581000000000001E-3</v>
      </c>
      <c r="F281">
        <v>324805573650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0.62614587485053874</v>
      </c>
      <c r="Q281">
        <f t="shared" si="965"/>
        <v>203375670069.41034</v>
      </c>
      <c r="R281">
        <f t="shared" si="966"/>
        <v>-235012963499.93402</v>
      </c>
      <c r="S281">
        <f t="shared" si="967"/>
        <v>-2350129.6349993404</v>
      </c>
      <c r="T281">
        <f t="shared" si="968"/>
        <v>-2350.1296349993404</v>
      </c>
    </row>
    <row r="282" spans="1:20" x14ac:dyDescent="0.25">
      <c r="A282" s="5">
        <v>44311</v>
      </c>
      <c r="B282">
        <v>1.10104E-3</v>
      </c>
      <c r="C282">
        <v>1.2099999999999999E-3</v>
      </c>
      <c r="D282">
        <v>9.6120000000000005E-4</v>
      </c>
      <c r="E282">
        <v>1.0640000000000001E-3</v>
      </c>
      <c r="F282">
        <v>241373169000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-0.17363344051446897</v>
      </c>
      <c r="Q282">
        <f t="shared" si="965"/>
        <v>-41910453781.350365</v>
      </c>
      <c r="R282">
        <f t="shared" si="966"/>
        <v>-438388633569.34436</v>
      </c>
      <c r="S282">
        <f t="shared" si="967"/>
        <v>-4383886.3356934432</v>
      </c>
      <c r="T282">
        <f t="shared" si="968"/>
        <v>-4383.8863356934435</v>
      </c>
    </row>
    <row r="283" spans="1:20" x14ac:dyDescent="0.25">
      <c r="A283" s="5">
        <v>44310</v>
      </c>
      <c r="B283">
        <v>1.22273E-3</v>
      </c>
      <c r="C283">
        <v>1.3500000000000001E-3</v>
      </c>
      <c r="D283">
        <v>1.07277E-3</v>
      </c>
      <c r="E283">
        <v>1.10223E-3</v>
      </c>
      <c r="F283">
        <v>640334258160</v>
      </c>
      <c r="G283">
        <v>0</v>
      </c>
      <c r="L283" t="s">
        <v>7</v>
      </c>
      <c r="M283" t="s">
        <v>8</v>
      </c>
      <c r="N283" t="s">
        <v>8</v>
      </c>
      <c r="P283">
        <f t="shared" si="964"/>
        <v>-0.78746888864841447</v>
      </c>
      <c r="Q283">
        <f t="shared" si="965"/>
        <v>-504243306636.76215</v>
      </c>
      <c r="R283">
        <f t="shared" si="966"/>
        <v>-396478179787.99402</v>
      </c>
      <c r="S283">
        <f t="shared" si="967"/>
        <v>-3964781.7978799404</v>
      </c>
      <c r="T283">
        <f t="shared" si="968"/>
        <v>-3964.7817978799403</v>
      </c>
    </row>
    <row r="284" spans="1:20" x14ac:dyDescent="0.25">
      <c r="A284" s="5">
        <v>44309</v>
      </c>
      <c r="B284">
        <v>9.7157999999999999E-4</v>
      </c>
      <c r="C284">
        <v>1.5E-3</v>
      </c>
      <c r="D284">
        <v>6.8999999999999997E-4</v>
      </c>
      <c r="E284">
        <v>1.22276E-3</v>
      </c>
      <c r="F284">
        <v>605480528699</v>
      </c>
      <c r="G284">
        <v>0</v>
      </c>
      <c r="L284" t="s">
        <v>8</v>
      </c>
      <c r="M284" t="s">
        <v>7</v>
      </c>
      <c r="N284" t="s">
        <v>7</v>
      </c>
      <c r="P284">
        <f t="shared" si="964"/>
        <v>0.31545679012345684</v>
      </c>
      <c r="Q284">
        <f t="shared" si="965"/>
        <v>191002944065.64014</v>
      </c>
      <c r="R284">
        <f t="shared" si="966"/>
        <v>107765126848.76816</v>
      </c>
      <c r="S284">
        <f t="shared" si="967"/>
        <v>1077651.2684876816</v>
      </c>
      <c r="T284">
        <f t="shared" si="968"/>
        <v>1077.6512684876816</v>
      </c>
    </row>
    <row r="285" spans="1:20" x14ac:dyDescent="0.25">
      <c r="A285" s="5">
        <v>44308</v>
      </c>
      <c r="B285">
        <v>1.16993E-3</v>
      </c>
      <c r="C285">
        <v>1.2088999999999999E-3</v>
      </c>
      <c r="D285">
        <v>8.8161000000000001E-4</v>
      </c>
      <c r="E285">
        <v>9.7157000000000005E-4</v>
      </c>
      <c r="F285">
        <v>240943552133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-0.45027345778972744</v>
      </c>
      <c r="Q285">
        <f t="shared" si="965"/>
        <v>-108490486351.06537</v>
      </c>
      <c r="R285">
        <f t="shared" si="966"/>
        <v>-83237817216.871979</v>
      </c>
      <c r="S285">
        <f t="shared" si="967"/>
        <v>-832378.17216871982</v>
      </c>
      <c r="T285">
        <f t="shared" si="968"/>
        <v>-832.37817216871986</v>
      </c>
    </row>
    <row r="286" spans="1:20" x14ac:dyDescent="0.25">
      <c r="A286" s="5">
        <v>44307</v>
      </c>
      <c r="B286">
        <v>1.2992699999999999E-3</v>
      </c>
      <c r="C286">
        <v>1.35498E-3</v>
      </c>
      <c r="D286">
        <v>1.15066E-3</v>
      </c>
      <c r="E286">
        <v>1.1689999999999999E-3</v>
      </c>
      <c r="F286">
        <v>162042843024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-0.82047768206734595</v>
      </c>
      <c r="Q286">
        <f t="shared" si="965"/>
        <v>-132952536239.93433</v>
      </c>
      <c r="R286">
        <f t="shared" si="966"/>
        <v>25252669134.19339</v>
      </c>
      <c r="S286">
        <f t="shared" si="967"/>
        <v>252526.69134193391</v>
      </c>
      <c r="T286">
        <f t="shared" si="968"/>
        <v>252.52669134193391</v>
      </c>
    </row>
    <row r="287" spans="1:20" x14ac:dyDescent="0.25">
      <c r="A287" s="5">
        <v>44306</v>
      </c>
      <c r="B287">
        <v>1.3081E-3</v>
      </c>
      <c r="C287">
        <v>1.3529900000000001E-3</v>
      </c>
      <c r="D287">
        <v>1.05419E-3</v>
      </c>
      <c r="E287">
        <v>1.2999999999999999E-3</v>
      </c>
      <c r="F287">
        <v>252557445712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0.64531459170013294</v>
      </c>
      <c r="Q287">
        <f t="shared" si="965"/>
        <v>162979004960.46777</v>
      </c>
      <c r="R287">
        <f t="shared" si="966"/>
        <v>158205205374.12772</v>
      </c>
      <c r="S287">
        <f t="shared" si="967"/>
        <v>1582052.0537412772</v>
      </c>
      <c r="T287">
        <f t="shared" si="968"/>
        <v>1582.0520537412772</v>
      </c>
    </row>
    <row r="288" spans="1:20" x14ac:dyDescent="0.25">
      <c r="A288" s="5">
        <v>44305</v>
      </c>
      <c r="B288">
        <v>1.4094800000000001E-3</v>
      </c>
      <c r="C288">
        <v>1.5410000000000001E-3</v>
      </c>
      <c r="D288">
        <v>1.3060000000000001E-3</v>
      </c>
      <c r="E288">
        <v>1.3078899999999999E-3</v>
      </c>
      <c r="F288">
        <v>191868689946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-0.98391489361702267</v>
      </c>
      <c r="Q288">
        <f t="shared" si="965"/>
        <v>-188782461656.6561</v>
      </c>
      <c r="R288">
        <f t="shared" si="966"/>
        <v>-4773799586.3400574</v>
      </c>
      <c r="S288">
        <f t="shared" si="967"/>
        <v>-47737.995863400574</v>
      </c>
      <c r="T288">
        <f t="shared" si="968"/>
        <v>-47.737995863400577</v>
      </c>
    </row>
    <row r="289" spans="1:20" x14ac:dyDescent="0.25">
      <c r="A289" s="5">
        <v>44304</v>
      </c>
      <c r="B289">
        <v>1.5773E-3</v>
      </c>
      <c r="C289">
        <v>1.59333E-3</v>
      </c>
      <c r="D289">
        <v>1.30511E-3</v>
      </c>
      <c r="E289">
        <v>1.4089300000000001E-3</v>
      </c>
      <c r="F289">
        <v>230518190783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-0.27957810006245154</v>
      </c>
      <c r="Q289">
        <f t="shared" si="965"/>
        <v>-64447837808.94487</v>
      </c>
      <c r="R289">
        <f t="shared" si="966"/>
        <v>184008662070.31604</v>
      </c>
      <c r="S289">
        <f t="shared" si="967"/>
        <v>1840086.6207031603</v>
      </c>
      <c r="T289">
        <f t="shared" si="968"/>
        <v>1840.0866207031604</v>
      </c>
    </row>
    <row r="290" spans="1:20" x14ac:dyDescent="0.25">
      <c r="A290" s="5">
        <v>44303</v>
      </c>
      <c r="B290">
        <v>1.5087E-3</v>
      </c>
      <c r="C290">
        <v>1.7898E-3</v>
      </c>
      <c r="D290">
        <v>1.50033E-3</v>
      </c>
      <c r="E290">
        <v>1.57836E-3</v>
      </c>
      <c r="F290">
        <v>411482203439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-0.46087677479531569</v>
      </c>
      <c r="Q290">
        <f t="shared" si="965"/>
        <v>-189642590806.63629</v>
      </c>
      <c r="R290">
        <f t="shared" si="966"/>
        <v>248456499879.26093</v>
      </c>
      <c r="S290">
        <f t="shared" si="967"/>
        <v>2484564.9987926092</v>
      </c>
      <c r="T290">
        <f t="shared" si="968"/>
        <v>2484.564998792609</v>
      </c>
    </row>
    <row r="291" spans="1:20" x14ac:dyDescent="0.25">
      <c r="A291" s="5">
        <v>44302</v>
      </c>
      <c r="B291">
        <v>1.6501199999999999E-3</v>
      </c>
      <c r="C291">
        <v>1.67858E-3</v>
      </c>
      <c r="D291">
        <v>1.4444099999999999E-3</v>
      </c>
      <c r="E291">
        <v>1.5087E-3</v>
      </c>
      <c r="F291">
        <v>441338720524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-0.45091173079386759</v>
      </c>
      <c r="Q291">
        <f t="shared" si="965"/>
        <v>-199004806337.82785</v>
      </c>
      <c r="R291">
        <f t="shared" si="966"/>
        <v>438099090685.89722</v>
      </c>
      <c r="S291">
        <f t="shared" si="967"/>
        <v>4380990.9068589723</v>
      </c>
      <c r="T291">
        <f t="shared" si="968"/>
        <v>4380.9909068589723</v>
      </c>
    </row>
    <row r="292" spans="1:20" x14ac:dyDescent="0.25">
      <c r="A292" s="5">
        <v>44301</v>
      </c>
      <c r="B292">
        <v>1.46294E-3</v>
      </c>
      <c r="C292">
        <v>1.83899E-3</v>
      </c>
      <c r="D292">
        <v>1.42E-3</v>
      </c>
      <c r="E292">
        <v>1.6530200000000001E-3</v>
      </c>
      <c r="F292">
        <v>545354546493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0.1122938494952149</v>
      </c>
      <c r="Q292">
        <f t="shared" si="965"/>
        <v>61239961365.416115</v>
      </c>
      <c r="R292">
        <f t="shared" si="966"/>
        <v>637103897023.7251</v>
      </c>
      <c r="S292">
        <f t="shared" si="967"/>
        <v>6371038.9702372514</v>
      </c>
      <c r="T292">
        <f t="shared" si="968"/>
        <v>6371.0389702372513</v>
      </c>
    </row>
    <row r="293" spans="1:20" x14ac:dyDescent="0.25">
      <c r="A293" s="5">
        <v>44300</v>
      </c>
      <c r="B293">
        <v>1.5330000000000001E-3</v>
      </c>
      <c r="C293">
        <v>1.59566E-3</v>
      </c>
      <c r="D293">
        <v>1.4061200000000001E-3</v>
      </c>
      <c r="E293">
        <v>1.4610000000000001E-3</v>
      </c>
      <c r="F293">
        <v>239799304110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-0.42091379128416168</v>
      </c>
      <c r="Q293">
        <f t="shared" si="965"/>
        <v>-100934834240.24376</v>
      </c>
      <c r="R293">
        <f t="shared" si="966"/>
        <v>575863935658.30896</v>
      </c>
      <c r="S293">
        <f t="shared" si="967"/>
        <v>5758639.3565830896</v>
      </c>
      <c r="T293">
        <f t="shared" si="968"/>
        <v>5758.6393565830895</v>
      </c>
    </row>
    <row r="294" spans="1:20" x14ac:dyDescent="0.25">
      <c r="A294" s="5">
        <v>44299</v>
      </c>
      <c r="B294">
        <v>1.5210499999999999E-3</v>
      </c>
      <c r="C294">
        <v>1.69685E-3</v>
      </c>
      <c r="D294">
        <v>1.45257E-3</v>
      </c>
      <c r="E294">
        <v>1.5322199999999999E-3</v>
      </c>
      <c r="F294">
        <v>342017562870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-0.34787948256099621</v>
      </c>
      <c r="Q294">
        <f t="shared" si="965"/>
        <v>-118980892797.98859</v>
      </c>
      <c r="R294">
        <f t="shared" si="966"/>
        <v>676798769898.55273</v>
      </c>
      <c r="S294">
        <f t="shared" si="967"/>
        <v>6767987.6989855273</v>
      </c>
      <c r="T294">
        <f t="shared" si="968"/>
        <v>6767.9876989855275</v>
      </c>
    </row>
    <row r="295" spans="1:20" x14ac:dyDescent="0.25">
      <c r="A295" s="5">
        <v>44298</v>
      </c>
      <c r="B295">
        <v>1.7016399999999999E-3</v>
      </c>
      <c r="C295">
        <v>1.85888E-3</v>
      </c>
      <c r="D295">
        <v>1.48E-3</v>
      </c>
      <c r="E295">
        <v>1.5175E-3</v>
      </c>
      <c r="F295">
        <v>426030211201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-0.802048141891892</v>
      </c>
      <c r="Q295">
        <f t="shared" si="965"/>
        <v>-341696739283.57239</v>
      </c>
      <c r="R295">
        <f t="shared" si="966"/>
        <v>795779662696.54138</v>
      </c>
      <c r="S295">
        <f t="shared" si="967"/>
        <v>7957796.6269654138</v>
      </c>
      <c r="T295">
        <f t="shared" si="968"/>
        <v>7957.7966269654135</v>
      </c>
    </row>
    <row r="296" spans="1:20" x14ac:dyDescent="0.25">
      <c r="A296" s="5">
        <v>44297</v>
      </c>
      <c r="B296">
        <v>1.47E-3</v>
      </c>
      <c r="C296">
        <v>1.88445E-3</v>
      </c>
      <c r="D296">
        <v>1.30109E-3</v>
      </c>
      <c r="E296">
        <v>1.70152E-3</v>
      </c>
      <c r="F296">
        <v>759249577361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0.37284009873834345</v>
      </c>
      <c r="Q296">
        <f t="shared" si="965"/>
        <v>283078687390.3208</v>
      </c>
      <c r="R296">
        <f t="shared" si="966"/>
        <v>1137476401980.1138</v>
      </c>
      <c r="S296">
        <f t="shared" si="967"/>
        <v>11374764.019801138</v>
      </c>
      <c r="T296">
        <f t="shared" si="968"/>
        <v>11374.764019801138</v>
      </c>
    </row>
    <row r="297" spans="1:20" x14ac:dyDescent="0.25">
      <c r="A297" s="5">
        <v>44296</v>
      </c>
      <c r="B297">
        <v>1.6665E-3</v>
      </c>
      <c r="C297">
        <v>1.6900000000000001E-3</v>
      </c>
      <c r="D297">
        <v>1.3226500000000001E-3</v>
      </c>
      <c r="E297">
        <v>1.4709300000000001E-3</v>
      </c>
      <c r="F297">
        <v>432171237637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-0.19270450524023422</v>
      </c>
      <c r="Q297">
        <f t="shared" si="965"/>
        <v>-83281344527.897781</v>
      </c>
      <c r="R297">
        <f t="shared" si="966"/>
        <v>854397714589.79285</v>
      </c>
      <c r="S297">
        <f t="shared" si="967"/>
        <v>8543977.1458979286</v>
      </c>
      <c r="T297">
        <f t="shared" si="968"/>
        <v>8543.9771458979285</v>
      </c>
    </row>
    <row r="298" spans="1:20" x14ac:dyDescent="0.25">
      <c r="A298" s="5">
        <v>44295</v>
      </c>
      <c r="B298">
        <v>1.8890300000000001E-3</v>
      </c>
      <c r="C298">
        <v>1.9484599999999999E-3</v>
      </c>
      <c r="D298">
        <v>1.591E-3</v>
      </c>
      <c r="E298">
        <v>1.6659999999999999E-3</v>
      </c>
      <c r="F298">
        <v>387036782749</v>
      </c>
      <c r="G298">
        <v>0</v>
      </c>
      <c r="L298" t="s">
        <v>7</v>
      </c>
      <c r="M298" t="s">
        <v>7</v>
      </c>
      <c r="N298" t="s">
        <v>8</v>
      </c>
      <c r="P298">
        <f t="shared" si="964"/>
        <v>-0.58037262910535459</v>
      </c>
      <c r="Q298">
        <f t="shared" si="965"/>
        <v>-224625555164.51508</v>
      </c>
      <c r="R298">
        <f t="shared" si="966"/>
        <v>937679059117.69067</v>
      </c>
      <c r="S298">
        <f t="shared" si="967"/>
        <v>9376790.5911769066</v>
      </c>
      <c r="T298">
        <f t="shared" si="968"/>
        <v>9376.7905911769067</v>
      </c>
    </row>
    <row r="299" spans="1:20" x14ac:dyDescent="0.25">
      <c r="A299" s="5">
        <v>44294</v>
      </c>
      <c r="B299">
        <v>1.6349299999999999E-3</v>
      </c>
      <c r="C299">
        <v>2.14E-3</v>
      </c>
      <c r="D299">
        <v>1.60505E-3</v>
      </c>
      <c r="E299">
        <v>1.8890300000000001E-3</v>
      </c>
      <c r="F299">
        <v>609843378438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6.1706701560893917E-2</v>
      </c>
      <c r="Q299">
        <f t="shared" si="965"/>
        <v>37631423352.160957</v>
      </c>
      <c r="R299">
        <f t="shared" si="966"/>
        <v>1162304614282.2058</v>
      </c>
      <c r="S299">
        <f t="shared" si="967"/>
        <v>11623046.142822059</v>
      </c>
      <c r="T299">
        <f t="shared" si="968"/>
        <v>11623.046142822059</v>
      </c>
    </row>
    <row r="300" spans="1:20" x14ac:dyDescent="0.25">
      <c r="A300" s="5">
        <v>44293</v>
      </c>
      <c r="B300">
        <v>2.0062999999999999E-3</v>
      </c>
      <c r="C300">
        <v>2.12816E-3</v>
      </c>
      <c r="D300">
        <v>1.4009000000000001E-3</v>
      </c>
      <c r="E300">
        <v>1.6307100000000001E-3</v>
      </c>
      <c r="F300">
        <v>846865755127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-0.36801144020020349</v>
      </c>
      <c r="Q300">
        <f t="shared" si="965"/>
        <v>-311656286200.52014</v>
      </c>
      <c r="R300">
        <f t="shared" si="966"/>
        <v>1124673190930.0449</v>
      </c>
      <c r="S300">
        <f t="shared" si="967"/>
        <v>11246731.909300448</v>
      </c>
      <c r="T300">
        <f t="shared" si="968"/>
        <v>11246.731909300448</v>
      </c>
    </row>
    <row r="301" spans="1:20" x14ac:dyDescent="0.25">
      <c r="A301" s="5">
        <v>44292</v>
      </c>
      <c r="B301">
        <v>2.6866199999999998E-3</v>
      </c>
      <c r="C301">
        <v>2.8953300000000002E-3</v>
      </c>
      <c r="D301">
        <v>1.81412E-3</v>
      </c>
      <c r="E301">
        <v>2.0063300000000002E-3</v>
      </c>
      <c r="F301">
        <v>831942289776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-0.64445389887255922</v>
      </c>
      <c r="Q301">
        <f t="shared" si="965"/>
        <v>-536148452283.10767</v>
      </c>
      <c r="R301">
        <f t="shared" si="966"/>
        <v>1436329477130.5649</v>
      </c>
      <c r="S301">
        <f t="shared" si="967"/>
        <v>14363294.771305649</v>
      </c>
      <c r="T301">
        <f t="shared" si="968"/>
        <v>14363.294771305649</v>
      </c>
    </row>
    <row r="302" spans="1:20" x14ac:dyDescent="0.25">
      <c r="A302" s="5">
        <v>44291</v>
      </c>
      <c r="B302">
        <v>2.2641100000000002E-3</v>
      </c>
      <c r="C302">
        <v>2.97E-3</v>
      </c>
      <c r="D302">
        <v>1.93002E-3</v>
      </c>
      <c r="E302">
        <v>2.6889800000000001E-3</v>
      </c>
      <c r="F302">
        <v>960919063625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0.45956653012557958</v>
      </c>
      <c r="Q302">
        <f t="shared" si="965"/>
        <v>441606239801.66229</v>
      </c>
      <c r="R302">
        <f t="shared" si="966"/>
        <v>1972477929413.6726</v>
      </c>
      <c r="S302">
        <f t="shared" si="967"/>
        <v>19724779.294136725</v>
      </c>
      <c r="T302">
        <f t="shared" si="968"/>
        <v>19724.779294136726</v>
      </c>
    </row>
    <row r="303" spans="1:20" x14ac:dyDescent="0.25">
      <c r="A303" s="5">
        <v>44290</v>
      </c>
      <c r="B303">
        <v>1.1389799999999999E-3</v>
      </c>
      <c r="C303">
        <v>2.2850000000000001E-3</v>
      </c>
      <c r="D303">
        <v>1.091E-3</v>
      </c>
      <c r="E303">
        <v>2.2684599999999999E-3</v>
      </c>
      <c r="F303">
        <v>1597619586660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0.97229480737018392</v>
      </c>
      <c r="Q303">
        <f t="shared" si="965"/>
        <v>1553357228262.4175</v>
      </c>
      <c r="R303">
        <f t="shared" si="966"/>
        <v>1530871689612.0103</v>
      </c>
      <c r="S303">
        <f t="shared" si="967"/>
        <v>15308716.896120103</v>
      </c>
      <c r="T303">
        <f t="shared" si="968"/>
        <v>15308.716896120102</v>
      </c>
    </row>
    <row r="304" spans="1:20" x14ac:dyDescent="0.25">
      <c r="A304" s="5">
        <v>44289</v>
      </c>
      <c r="B304">
        <v>6.3613000000000005E-4</v>
      </c>
      <c r="C304">
        <v>1.4884900000000001E-3</v>
      </c>
      <c r="D304">
        <v>5.9666999999999999E-4</v>
      </c>
      <c r="E304">
        <v>1.13897E-3</v>
      </c>
      <c r="F304">
        <v>1418473251998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0.2161646969119328</v>
      </c>
      <c r="Q304">
        <f t="shared" si="965"/>
        <v>306623840595.83136</v>
      </c>
      <c r="R304">
        <f t="shared" si="966"/>
        <v>-22485538650.407288</v>
      </c>
      <c r="S304">
        <f t="shared" si="967"/>
        <v>-224855.38650407287</v>
      </c>
      <c r="T304">
        <f t="shared" si="968"/>
        <v>-224.85538650407287</v>
      </c>
    </row>
    <row r="305" spans="1:20" x14ac:dyDescent="0.25">
      <c r="A305" s="5">
        <v>44288</v>
      </c>
      <c r="B305">
        <v>5.6181999999999998E-4</v>
      </c>
      <c r="C305">
        <v>6.4000000000000005E-4</v>
      </c>
      <c r="D305">
        <v>5.3266999999999995E-4</v>
      </c>
      <c r="E305">
        <v>6.3613000000000005E-4</v>
      </c>
      <c r="F305">
        <v>359796331041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0.92788595919127925</v>
      </c>
      <c r="Q305">
        <f t="shared" si="965"/>
        <v>333849963741.48132</v>
      </c>
      <c r="R305">
        <f t="shared" si="966"/>
        <v>-329109379246.23865</v>
      </c>
      <c r="S305">
        <f t="shared" si="967"/>
        <v>-3291093.7924623867</v>
      </c>
      <c r="T305">
        <f t="shared" si="968"/>
        <v>-3291.0937924623868</v>
      </c>
    </row>
    <row r="306" spans="1:20" x14ac:dyDescent="0.25">
      <c r="A306" s="5">
        <v>44287</v>
      </c>
      <c r="B306">
        <v>6.5238000000000004E-4</v>
      </c>
      <c r="C306">
        <v>6.7619000000000002E-4</v>
      </c>
      <c r="D306">
        <v>5.2705000000000004E-4</v>
      </c>
      <c r="E306">
        <v>5.6181000000000004E-4</v>
      </c>
      <c r="F306">
        <v>535612534460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-0.53386080193107144</v>
      </c>
      <c r="Q306">
        <f t="shared" si="965"/>
        <v>-285942537171.14923</v>
      </c>
      <c r="R306">
        <f t="shared" si="966"/>
        <v>-662959342987.71997</v>
      </c>
      <c r="S306">
        <f t="shared" si="967"/>
        <v>-6629593.4298772002</v>
      </c>
      <c r="T306">
        <f t="shared" si="968"/>
        <v>-6629.5934298771999</v>
      </c>
    </row>
    <row r="307" spans="1:20" x14ac:dyDescent="0.25">
      <c r="A307" s="5">
        <v>44286</v>
      </c>
      <c r="B307">
        <v>3.9279000000000001E-4</v>
      </c>
      <c r="C307">
        <v>6.87E-4</v>
      </c>
      <c r="D307">
        <v>3.8999999999999999E-4</v>
      </c>
      <c r="E307">
        <v>6.5415999999999998E-4</v>
      </c>
      <c r="F307">
        <v>749634303649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0.77885521885521869</v>
      </c>
      <c r="Q307">
        <f t="shared" si="965"/>
        <v>583856589629.92139</v>
      </c>
      <c r="R307">
        <f t="shared" si="966"/>
        <v>-377016805816.5708</v>
      </c>
      <c r="S307">
        <f t="shared" si="967"/>
        <v>-3770168.0581657081</v>
      </c>
      <c r="T307">
        <f t="shared" si="968"/>
        <v>-3770.1680581657083</v>
      </c>
    </row>
    <row r="308" spans="1:20" x14ac:dyDescent="0.25">
      <c r="A308" s="5">
        <v>44285</v>
      </c>
      <c r="B308">
        <v>3.7248000000000001E-4</v>
      </c>
      <c r="C308">
        <v>4.2000000000000002E-4</v>
      </c>
      <c r="D308">
        <v>3.6999999999999999E-4</v>
      </c>
      <c r="E308">
        <v>3.9339000000000003E-4</v>
      </c>
      <c r="F308">
        <v>195836013054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-6.4399999999999152E-2</v>
      </c>
      <c r="Q308">
        <f t="shared" si="965"/>
        <v>-12611839240.677435</v>
      </c>
      <c r="R308">
        <f t="shared" si="966"/>
        <v>-960873395446.49219</v>
      </c>
      <c r="S308">
        <f t="shared" si="967"/>
        <v>-9608733.9544649217</v>
      </c>
      <c r="T308">
        <f t="shared" si="968"/>
        <v>-9608.7339544649221</v>
      </c>
    </row>
    <row r="309" spans="1:20" x14ac:dyDescent="0.25">
      <c r="A309" s="5">
        <v>44284</v>
      </c>
      <c r="B309">
        <v>3.6739999999999999E-4</v>
      </c>
      <c r="C309">
        <v>3.7849999999999998E-4</v>
      </c>
      <c r="D309">
        <v>3.6389000000000001E-4</v>
      </c>
      <c r="E309">
        <v>3.7247000000000002E-4</v>
      </c>
      <c r="F309">
        <v>84226392047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0.17453798767967421</v>
      </c>
      <c r="Q309">
        <f t="shared" si="965"/>
        <v>14700704977.402697</v>
      </c>
      <c r="R309">
        <f t="shared" si="966"/>
        <v>-948261556205.8147</v>
      </c>
      <c r="S309">
        <f t="shared" si="967"/>
        <v>-9482615.562058147</v>
      </c>
      <c r="T309">
        <f t="shared" si="968"/>
        <v>-9482.6155620581467</v>
      </c>
    </row>
    <row r="310" spans="1:20" x14ac:dyDescent="0.25">
      <c r="A310" s="5">
        <v>44283</v>
      </c>
      <c r="B310">
        <v>3.768E-4</v>
      </c>
      <c r="C310">
        <v>3.8267999999999999E-4</v>
      </c>
      <c r="D310">
        <v>3.5500000000000001E-4</v>
      </c>
      <c r="E310">
        <v>3.6749999999999999E-4</v>
      </c>
      <c r="F310">
        <v>88749985728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-9.6820809248555767E-2</v>
      </c>
      <c r="Q310">
        <f t="shared" si="965"/>
        <v>-8592845438.9827347</v>
      </c>
      <c r="R310">
        <f t="shared" si="966"/>
        <v>-962962261183.21741</v>
      </c>
      <c r="S310">
        <f t="shared" si="967"/>
        <v>-9629622.6118321735</v>
      </c>
      <c r="T310">
        <f t="shared" si="968"/>
        <v>-9629.6226118321738</v>
      </c>
    </row>
    <row r="311" spans="1:20" x14ac:dyDescent="0.25">
      <c r="A311" s="5">
        <v>44282</v>
      </c>
      <c r="B311">
        <v>3.8500999999999997E-4</v>
      </c>
      <c r="C311">
        <v>4.1988000000000003E-4</v>
      </c>
      <c r="D311">
        <v>3.7229E-4</v>
      </c>
      <c r="E311">
        <v>3.768E-4</v>
      </c>
      <c r="F311">
        <v>181925326554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-0.81046438327379733</v>
      </c>
      <c r="Q311">
        <f t="shared" si="965"/>
        <v>-147443997587.4718</v>
      </c>
      <c r="R311">
        <f t="shared" si="966"/>
        <v>-954369415744.23462</v>
      </c>
      <c r="S311">
        <f t="shared" si="967"/>
        <v>-9543694.1574423462</v>
      </c>
      <c r="T311">
        <f t="shared" si="968"/>
        <v>-9543.6941574423454</v>
      </c>
    </row>
    <row r="312" spans="1:20" x14ac:dyDescent="0.25">
      <c r="A312" s="5">
        <v>44281</v>
      </c>
      <c r="B312">
        <v>3.2589000000000001E-4</v>
      </c>
      <c r="C312">
        <v>4.0000000000000002E-4</v>
      </c>
      <c r="D312">
        <v>3.2504000000000002E-4</v>
      </c>
      <c r="E312">
        <v>3.8500999999999997E-4</v>
      </c>
      <c r="F312">
        <v>165093590712</v>
      </c>
      <c r="G312">
        <v>0</v>
      </c>
      <c r="L312" t="s">
        <v>7</v>
      </c>
      <c r="M312" t="s">
        <v>8</v>
      </c>
      <c r="N312" t="s">
        <v>7</v>
      </c>
      <c r="P312">
        <f t="shared" si="964"/>
        <v>0.6000533617929551</v>
      </c>
      <c r="Q312">
        <f t="shared" si="965"/>
        <v>99064964117.20578</v>
      </c>
      <c r="R312">
        <f t="shared" si="966"/>
        <v>-806925418156.76282</v>
      </c>
      <c r="S312">
        <f t="shared" si="967"/>
        <v>-8069254.1815676279</v>
      </c>
      <c r="T312">
        <f t="shared" si="968"/>
        <v>-8069.2541815676277</v>
      </c>
    </row>
    <row r="313" spans="1:20" x14ac:dyDescent="0.25">
      <c r="A313" s="5">
        <v>44280</v>
      </c>
      <c r="B313">
        <v>3.302E-4</v>
      </c>
      <c r="C313">
        <v>3.4499999999999998E-4</v>
      </c>
      <c r="D313">
        <v>3.1E-4</v>
      </c>
      <c r="E313">
        <v>3.2589000000000001E-4</v>
      </c>
      <c r="F313">
        <v>94074495953</v>
      </c>
      <c r="G313">
        <v>0</v>
      </c>
      <c r="L313" t="s">
        <v>8</v>
      </c>
      <c r="M313" t="s">
        <v>7</v>
      </c>
      <c r="N313" t="s">
        <v>7</v>
      </c>
      <c r="P313">
        <f t="shared" si="964"/>
        <v>-9.1999999999998874E-2</v>
      </c>
      <c r="Q313">
        <f t="shared" si="965"/>
        <v>-8654853627.6758938</v>
      </c>
      <c r="R313">
        <f t="shared" si="966"/>
        <v>-905990382273.96863</v>
      </c>
      <c r="S313">
        <f t="shared" si="967"/>
        <v>-9059903.8227396868</v>
      </c>
      <c r="T313">
        <f t="shared" si="968"/>
        <v>-9059.9038227396868</v>
      </c>
    </row>
    <row r="314" spans="1:20" x14ac:dyDescent="0.25">
      <c r="A314" s="5">
        <v>44279</v>
      </c>
      <c r="B314">
        <v>3.5502E-4</v>
      </c>
      <c r="C314">
        <v>3.9615000000000001E-4</v>
      </c>
      <c r="D314">
        <v>3.2000000000000003E-4</v>
      </c>
      <c r="E314">
        <v>3.302E-4</v>
      </c>
      <c r="F314">
        <v>132318115608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-0.73210768220617262</v>
      </c>
      <c r="Q314">
        <f t="shared" si="965"/>
        <v>-96871108931.66127</v>
      </c>
      <c r="R314">
        <f t="shared" si="966"/>
        <v>-897335528646.29272</v>
      </c>
      <c r="S314">
        <f t="shared" si="967"/>
        <v>-8973355.2864629272</v>
      </c>
      <c r="T314">
        <f t="shared" si="968"/>
        <v>-8973.3552864629273</v>
      </c>
    </row>
    <row r="315" spans="1:20" x14ac:dyDescent="0.25">
      <c r="A315" s="5">
        <v>44278</v>
      </c>
      <c r="B315">
        <v>3.7531000000000001E-4</v>
      </c>
      <c r="C315">
        <v>3.9188999999999999E-4</v>
      </c>
      <c r="D315">
        <v>3.4499999999999998E-4</v>
      </c>
      <c r="E315">
        <v>3.5593000000000002E-4</v>
      </c>
      <c r="F315">
        <v>119062140299</v>
      </c>
      <c r="G315">
        <v>0</v>
      </c>
      <c r="L315" t="s">
        <v>8</v>
      </c>
      <c r="M315" t="s">
        <v>7</v>
      </c>
      <c r="N315" t="s">
        <v>7</v>
      </c>
      <c r="P315">
        <f t="shared" si="964"/>
        <v>-0.533802516528043</v>
      </c>
      <c r="Q315">
        <f t="shared" si="965"/>
        <v>-63555670114.821121</v>
      </c>
      <c r="R315">
        <f t="shared" si="966"/>
        <v>-800464419714.63147</v>
      </c>
      <c r="S315">
        <f t="shared" si="967"/>
        <v>-8004644.1971463151</v>
      </c>
      <c r="T315">
        <f t="shared" si="968"/>
        <v>-8004.6441971463155</v>
      </c>
    </row>
    <row r="316" spans="1:20" x14ac:dyDescent="0.25">
      <c r="A316" s="5">
        <v>44277</v>
      </c>
      <c r="B316">
        <v>4.1208999999999999E-4</v>
      </c>
      <c r="C316">
        <v>4.3944999999999998E-4</v>
      </c>
      <c r="D316">
        <v>3.6001000000000002E-4</v>
      </c>
      <c r="E316">
        <v>3.7532E-4</v>
      </c>
      <c r="F316">
        <v>196415771706</v>
      </c>
      <c r="G316">
        <v>0</v>
      </c>
      <c r="L316" t="s">
        <v>7</v>
      </c>
      <c r="M316" t="s">
        <v>8</v>
      </c>
      <c r="N316" t="s">
        <v>7</v>
      </c>
      <c r="P316">
        <f t="shared" si="964"/>
        <v>-0.61455186304128917</v>
      </c>
      <c r="Q316">
        <f t="shared" si="965"/>
        <v>-120707678432.61484</v>
      </c>
      <c r="R316">
        <f t="shared" si="966"/>
        <v>-736908749599.8103</v>
      </c>
      <c r="S316">
        <f t="shared" si="967"/>
        <v>-7369087.4959981032</v>
      </c>
      <c r="T316">
        <f t="shared" si="968"/>
        <v>-7369.0874959981029</v>
      </c>
    </row>
    <row r="317" spans="1:20" x14ac:dyDescent="0.25">
      <c r="A317" s="5">
        <v>44276</v>
      </c>
      <c r="B317">
        <v>3.4921000000000003E-4</v>
      </c>
      <c r="C317">
        <v>4.4443999999999999E-4</v>
      </c>
      <c r="D317">
        <v>3.4117000000000001E-4</v>
      </c>
      <c r="E317">
        <v>4.1208999999999999E-4</v>
      </c>
      <c r="F317">
        <v>205084370661</v>
      </c>
      <c r="G317">
        <v>0</v>
      </c>
      <c r="L317" t="s">
        <v>8</v>
      </c>
      <c r="M317" t="s">
        <v>7</v>
      </c>
      <c r="N317" t="s">
        <v>7</v>
      </c>
      <c r="P317">
        <f t="shared" si="964"/>
        <v>0.37348697588844765</v>
      </c>
      <c r="Q317">
        <f t="shared" si="965"/>
        <v>76596341400.162369</v>
      </c>
      <c r="R317">
        <f t="shared" si="966"/>
        <v>-616201071167.19543</v>
      </c>
      <c r="S317">
        <f t="shared" si="967"/>
        <v>-6162010.711671954</v>
      </c>
      <c r="T317">
        <f t="shared" si="968"/>
        <v>-6162.0107116719537</v>
      </c>
    </row>
    <row r="318" spans="1:20" x14ac:dyDescent="0.25">
      <c r="A318" s="5">
        <v>44275</v>
      </c>
      <c r="B318">
        <v>3.4551999999999999E-4</v>
      </c>
      <c r="C318">
        <v>4.7710999999999999E-4</v>
      </c>
      <c r="D318">
        <v>3.3909000000000001E-4</v>
      </c>
      <c r="E318">
        <v>3.4850000000000001E-4</v>
      </c>
      <c r="F318">
        <v>380821885592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-0.86364295029705829</v>
      </c>
      <c r="Q318">
        <f t="shared" si="965"/>
        <v>-328894136810.36365</v>
      </c>
      <c r="R318">
        <f t="shared" si="966"/>
        <v>-692797412567.35779</v>
      </c>
      <c r="S318">
        <f t="shared" si="967"/>
        <v>-6927974.1256735781</v>
      </c>
      <c r="T318">
        <f t="shared" si="968"/>
        <v>-6927.9741256735779</v>
      </c>
    </row>
    <row r="319" spans="1:20" x14ac:dyDescent="0.25">
      <c r="A319" s="5">
        <v>44274</v>
      </c>
      <c r="B319">
        <v>2.5792000000000002E-4</v>
      </c>
      <c r="C319">
        <v>4.0288999999999999E-4</v>
      </c>
      <c r="D319">
        <v>2.5002999999999999E-4</v>
      </c>
      <c r="E319">
        <v>3.4558000000000001E-4</v>
      </c>
      <c r="F319">
        <v>150217490959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0.25016354834489102</v>
      </c>
      <c r="Q319">
        <f t="shared" si="965"/>
        <v>37578940561.770027</v>
      </c>
      <c r="R319">
        <f t="shared" si="966"/>
        <v>-363903275756.99414</v>
      </c>
      <c r="S319">
        <f t="shared" si="967"/>
        <v>-3639032.7575699412</v>
      </c>
      <c r="T319">
        <f t="shared" si="968"/>
        <v>-3639.0327575699412</v>
      </c>
    </row>
    <row r="320" spans="1:20" x14ac:dyDescent="0.25">
      <c r="A320" s="5">
        <v>44273</v>
      </c>
      <c r="B320">
        <v>2.6936000000000001E-4</v>
      </c>
      <c r="C320">
        <v>2.7308999999999998E-4</v>
      </c>
      <c r="D320">
        <v>2.5123000000000002E-4</v>
      </c>
      <c r="E320">
        <v>2.5792000000000002E-4</v>
      </c>
      <c r="F320">
        <v>27451633693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-0.38792314730100469</v>
      </c>
      <c r="Q320">
        <f t="shared" si="965"/>
        <v>-10649124140.742863</v>
      </c>
      <c r="R320">
        <f t="shared" si="966"/>
        <v>-401482216318.76416</v>
      </c>
      <c r="S320">
        <f t="shared" si="967"/>
        <v>-4014822.1631876417</v>
      </c>
      <c r="T320">
        <f t="shared" si="968"/>
        <v>-4014.8221631876418</v>
      </c>
    </row>
    <row r="321" spans="1:20" x14ac:dyDescent="0.25">
      <c r="A321" s="5">
        <v>44272</v>
      </c>
      <c r="B321">
        <v>2.6004000000000001E-4</v>
      </c>
      <c r="C321">
        <v>2.81E-4</v>
      </c>
      <c r="D321">
        <v>2.5545E-4</v>
      </c>
      <c r="E321">
        <v>2.6919999999999998E-4</v>
      </c>
      <c r="F321">
        <v>34050700286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7.6320939334636642E-2</v>
      </c>
      <c r="Q321">
        <f t="shared" si="965"/>
        <v>2598781430.8297005</v>
      </c>
      <c r="R321">
        <f t="shared" si="966"/>
        <v>-390833092178.0213</v>
      </c>
      <c r="S321">
        <f t="shared" si="967"/>
        <v>-3908330.9217802128</v>
      </c>
      <c r="T321">
        <f t="shared" si="968"/>
        <v>-3908.330921780213</v>
      </c>
    </row>
    <row r="322" spans="1:20" x14ac:dyDescent="0.25">
      <c r="A322" s="5">
        <v>44271</v>
      </c>
      <c r="B322">
        <v>2.6488999999999999E-4</v>
      </c>
      <c r="C322">
        <v>2.7640999999999999E-4</v>
      </c>
      <c r="D322">
        <v>2.5195000000000003E-4</v>
      </c>
      <c r="E322">
        <v>2.6075000000000002E-4</v>
      </c>
      <c r="F322">
        <v>35757837669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-0.28045789043335984</v>
      </c>
      <c r="Q322">
        <f t="shared" si="965"/>
        <v>-10028567719.10627</v>
      </c>
      <c r="R322">
        <f t="shared" si="966"/>
        <v>-393431873608.85101</v>
      </c>
      <c r="S322">
        <f t="shared" si="967"/>
        <v>-3934318.7360885101</v>
      </c>
      <c r="T322">
        <f t="shared" si="968"/>
        <v>-3934.3187360885099</v>
      </c>
    </row>
    <row r="323" spans="1:20" x14ac:dyDescent="0.25">
      <c r="A323" s="5">
        <v>44270</v>
      </c>
      <c r="B323">
        <v>2.8095000000000003E-4</v>
      </c>
      <c r="C323">
        <v>2.9299000000000003E-4</v>
      </c>
      <c r="D323">
        <v>2.5000000000000001E-4</v>
      </c>
      <c r="E323">
        <v>2.6488E-4</v>
      </c>
      <c r="F323">
        <v>57279016766</v>
      </c>
      <c r="G323">
        <v>0</v>
      </c>
      <c r="L323" t="s">
        <v>8</v>
      </c>
      <c r="M323" t="s">
        <v>7</v>
      </c>
      <c r="N323" t="s">
        <v>8</v>
      </c>
      <c r="P323">
        <f t="shared" si="964"/>
        <v>-0.30774598743893994</v>
      </c>
      <c r="Q323">
        <f t="shared" si="965"/>
        <v>-17627387574.184265</v>
      </c>
      <c r="R323">
        <f t="shared" si="966"/>
        <v>-383403305889.74475</v>
      </c>
      <c r="S323">
        <f t="shared" si="967"/>
        <v>-3834033.0588974473</v>
      </c>
      <c r="T323">
        <f t="shared" si="968"/>
        <v>-3834.0330588974475</v>
      </c>
    </row>
    <row r="324" spans="1:20" x14ac:dyDescent="0.25">
      <c r="A324" s="5">
        <v>44269</v>
      </c>
      <c r="B324">
        <v>2.6721999999999998E-4</v>
      </c>
      <c r="C324">
        <v>3.2500999999999998E-4</v>
      </c>
      <c r="D324">
        <v>2.6595999999999998E-4</v>
      </c>
      <c r="E324">
        <v>2.7999999999999998E-4</v>
      </c>
      <c r="F324">
        <v>118973672075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-0.52447078746824738</v>
      </c>
      <c r="Q324">
        <f t="shared" si="965"/>
        <v>-62398215481.164284</v>
      </c>
      <c r="R324">
        <f t="shared" si="966"/>
        <v>-365775918315.56049</v>
      </c>
      <c r="S324">
        <f t="shared" si="967"/>
        <v>-3657759.1831556046</v>
      </c>
      <c r="T324">
        <f t="shared" si="968"/>
        <v>-3657.7591831556047</v>
      </c>
    </row>
    <row r="325" spans="1:20" x14ac:dyDescent="0.25">
      <c r="A325" s="5">
        <v>44268</v>
      </c>
      <c r="B325">
        <v>2.1846999999999999E-4</v>
      </c>
      <c r="C325">
        <v>2.9189999999999999E-4</v>
      </c>
      <c r="D325">
        <v>2.1128E-4</v>
      </c>
      <c r="E325">
        <v>2.6722999999999997E-4</v>
      </c>
      <c r="F325">
        <v>88647200501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0.38799305383279531</v>
      </c>
      <c r="Q325">
        <f t="shared" si="965"/>
        <v>34394498036.111092</v>
      </c>
      <c r="R325">
        <f t="shared" si="966"/>
        <v>-303377702834.39618</v>
      </c>
      <c r="S325">
        <f t="shared" si="967"/>
        <v>-3033777.0283439616</v>
      </c>
      <c r="T325">
        <f t="shared" si="968"/>
        <v>-3033.7770283439618</v>
      </c>
    </row>
    <row r="326" spans="1:20" x14ac:dyDescent="0.25">
      <c r="A326" s="5">
        <v>44267</v>
      </c>
      <c r="B326">
        <v>2.3044E-4</v>
      </c>
      <c r="C326">
        <v>2.3350000000000001E-4</v>
      </c>
      <c r="D326">
        <v>2.1341E-4</v>
      </c>
      <c r="E326">
        <v>2.1848000000000001E-4</v>
      </c>
      <c r="F326">
        <v>17611595482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-0.49527127924340442</v>
      </c>
      <c r="Q326">
        <f t="shared" ref="Q326:Q389" si="970">F326*P326</f>
        <v>-8722517423.8875008</v>
      </c>
      <c r="R326">
        <f t="shared" ref="R326:R389" si="971">R327+Q326</f>
        <v>-337772200870.50726</v>
      </c>
      <c r="S326">
        <f t="shared" ref="S326:S389" si="972">R326/100000</f>
        <v>-3377722.0087050726</v>
      </c>
      <c r="T326">
        <f t="shared" ref="T326:T389" si="973">S326/1000</f>
        <v>-3377.7220087050728</v>
      </c>
    </row>
    <row r="327" spans="1:20" x14ac:dyDescent="0.25">
      <c r="A327" s="5">
        <v>44266</v>
      </c>
      <c r="B327">
        <v>2.3282000000000001E-4</v>
      </c>
      <c r="C327">
        <v>2.3452E-4</v>
      </c>
      <c r="D327">
        <v>2.2021000000000001E-4</v>
      </c>
      <c r="E327">
        <v>2.3047000000000001E-4</v>
      </c>
      <c r="F327">
        <v>16834853748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0.43396226415094441</v>
      </c>
      <c r="Q327">
        <f t="shared" si="970"/>
        <v>7305691249.1320925</v>
      </c>
      <c r="R327">
        <f t="shared" si="971"/>
        <v>-329049683446.61975</v>
      </c>
      <c r="S327">
        <f t="shared" si="972"/>
        <v>-3290496.8344661975</v>
      </c>
      <c r="T327">
        <f t="shared" si="973"/>
        <v>-3290.4968344661975</v>
      </c>
    </row>
    <row r="328" spans="1:20" x14ac:dyDescent="0.25">
      <c r="A328" s="5">
        <v>44265</v>
      </c>
      <c r="B328">
        <v>2.3758000000000001E-4</v>
      </c>
      <c r="C328">
        <v>2.4263999999999999E-4</v>
      </c>
      <c r="D328">
        <v>2.2448999999999999E-4</v>
      </c>
      <c r="E328">
        <v>2.3282000000000001E-4</v>
      </c>
      <c r="F328">
        <v>24851289064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-8.2093663911843515E-2</v>
      </c>
      <c r="Q328">
        <f t="shared" si="970"/>
        <v>-2040133372.1960883</v>
      </c>
      <c r="R328">
        <f t="shared" si="971"/>
        <v>-336355374695.75183</v>
      </c>
      <c r="S328">
        <f t="shared" si="972"/>
        <v>-3363553.7469575182</v>
      </c>
      <c r="T328">
        <f t="shared" si="973"/>
        <v>-3363.5537469575183</v>
      </c>
    </row>
    <row r="329" spans="1:20" x14ac:dyDescent="0.25">
      <c r="A329" s="5">
        <v>44264</v>
      </c>
      <c r="B329">
        <v>2.1697E-4</v>
      </c>
      <c r="C329">
        <v>2.3824E-4</v>
      </c>
      <c r="D329">
        <v>2.1421E-4</v>
      </c>
      <c r="E329">
        <v>2.3759000000000001E-4</v>
      </c>
      <c r="F329">
        <v>30983101767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0.94590095713691313</v>
      </c>
      <c r="Q329">
        <f t="shared" si="970"/>
        <v>29306945616.475685</v>
      </c>
      <c r="R329">
        <f t="shared" si="971"/>
        <v>-334315241323.55573</v>
      </c>
      <c r="S329">
        <f t="shared" si="972"/>
        <v>-3343152.4132355573</v>
      </c>
      <c r="T329">
        <f t="shared" si="973"/>
        <v>-3343.1524132355571</v>
      </c>
    </row>
    <row r="330" spans="1:20" x14ac:dyDescent="0.25">
      <c r="A330" s="5">
        <v>44263</v>
      </c>
      <c r="B330">
        <v>2.1380999999999999E-4</v>
      </c>
      <c r="C330">
        <v>2.1955E-4</v>
      </c>
      <c r="D330">
        <v>2.0662E-4</v>
      </c>
      <c r="E330">
        <v>2.1713E-4</v>
      </c>
      <c r="F330">
        <v>14268195629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0.62567672080433201</v>
      </c>
      <c r="Q330">
        <f t="shared" si="970"/>
        <v>8927277852.9474239</v>
      </c>
      <c r="R330">
        <f t="shared" si="971"/>
        <v>-363622186940.03143</v>
      </c>
      <c r="S330">
        <f t="shared" si="972"/>
        <v>-3636221.8694003145</v>
      </c>
      <c r="T330">
        <f t="shared" si="973"/>
        <v>-3636.2218694003145</v>
      </c>
    </row>
    <row r="331" spans="1:20" x14ac:dyDescent="0.25">
      <c r="A331" s="5">
        <v>44262</v>
      </c>
      <c r="B331">
        <v>2.0856999999999999E-4</v>
      </c>
      <c r="C331">
        <v>2.1902E-4</v>
      </c>
      <c r="D331">
        <v>2.0734E-4</v>
      </c>
      <c r="E331">
        <v>2.1383E-4</v>
      </c>
      <c r="F331">
        <v>12139764223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0.11130136986301412</v>
      </c>
      <c r="Q331">
        <f t="shared" si="970"/>
        <v>1351172387.8339093</v>
      </c>
      <c r="R331">
        <f t="shared" si="971"/>
        <v>-372549464792.97888</v>
      </c>
      <c r="S331">
        <f t="shared" si="972"/>
        <v>-3725494.647929789</v>
      </c>
      <c r="T331">
        <f t="shared" si="973"/>
        <v>-3725.4946479297892</v>
      </c>
    </row>
    <row r="332" spans="1:20" x14ac:dyDescent="0.25">
      <c r="A332" s="5">
        <v>44261</v>
      </c>
      <c r="B332">
        <v>2.1188000000000001E-4</v>
      </c>
      <c r="C332">
        <v>2.1457E-4</v>
      </c>
      <c r="D332">
        <v>2.0277000000000001E-4</v>
      </c>
      <c r="E332">
        <v>2.0845E-4</v>
      </c>
      <c r="F332">
        <v>8853923634</v>
      </c>
      <c r="G332">
        <v>0</v>
      </c>
      <c r="L332" t="s">
        <v>7</v>
      </c>
      <c r="M332" t="s">
        <v>8</v>
      </c>
      <c r="N332" t="s">
        <v>8</v>
      </c>
      <c r="P332">
        <f t="shared" si="969"/>
        <v>-3.7288135593221743E-2</v>
      </c>
      <c r="Q332">
        <f t="shared" si="970"/>
        <v>-330146304.99662262</v>
      </c>
      <c r="R332">
        <f t="shared" si="971"/>
        <v>-373900637180.81281</v>
      </c>
      <c r="S332">
        <f t="shared" si="972"/>
        <v>-3739006.371808128</v>
      </c>
      <c r="T332">
        <f t="shared" si="973"/>
        <v>-3739.0063718081278</v>
      </c>
    </row>
    <row r="333" spans="1:20" x14ac:dyDescent="0.25">
      <c r="A333" s="5">
        <v>44260</v>
      </c>
      <c r="B333">
        <v>2.1656999999999999E-4</v>
      </c>
      <c r="C333">
        <v>2.2000000000000001E-4</v>
      </c>
      <c r="D333">
        <v>2.017E-4</v>
      </c>
      <c r="E333">
        <v>2.119E-4</v>
      </c>
      <c r="F333">
        <v>16199131798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0.11475409836065549</v>
      </c>
      <c r="Q333">
        <f t="shared" si="970"/>
        <v>1858916763.7049141</v>
      </c>
      <c r="R333">
        <f t="shared" si="971"/>
        <v>-373570490875.81616</v>
      </c>
      <c r="S333">
        <f t="shared" si="972"/>
        <v>-3735704.9087581616</v>
      </c>
      <c r="T333">
        <f t="shared" si="973"/>
        <v>-3735.7049087581618</v>
      </c>
    </row>
    <row r="334" spans="1:20" x14ac:dyDescent="0.25">
      <c r="A334" s="5">
        <v>44259</v>
      </c>
      <c r="B334">
        <v>2.0615999999999999E-4</v>
      </c>
      <c r="C334">
        <v>2.2814999999999999E-4</v>
      </c>
      <c r="D334">
        <v>2.0225000000000001E-4</v>
      </c>
      <c r="E334">
        <v>2.1649000000000001E-4</v>
      </c>
      <c r="F334">
        <v>23687553453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9.9613899613900436E-2</v>
      </c>
      <c r="Q334">
        <f t="shared" si="970"/>
        <v>2359609571.7660427</v>
      </c>
      <c r="R334">
        <f t="shared" si="971"/>
        <v>-375429407639.52106</v>
      </c>
      <c r="S334">
        <f t="shared" si="972"/>
        <v>-3754294.0763952103</v>
      </c>
      <c r="T334">
        <f t="shared" si="973"/>
        <v>-3754.2940763952101</v>
      </c>
    </row>
    <row r="335" spans="1:20" x14ac:dyDescent="0.25">
      <c r="A335" s="5">
        <v>44258</v>
      </c>
      <c r="B335">
        <v>2.0221E-4</v>
      </c>
      <c r="C335">
        <v>2.1698E-4</v>
      </c>
      <c r="D335">
        <v>1.9944E-4</v>
      </c>
      <c r="E335">
        <v>2.0615999999999999E-4</v>
      </c>
      <c r="F335">
        <v>13373881195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-0.23375142531357004</v>
      </c>
      <c r="Q335">
        <f t="shared" si="970"/>
        <v>-3126163791.3056016</v>
      </c>
      <c r="R335">
        <f t="shared" si="971"/>
        <v>-377789017211.28711</v>
      </c>
      <c r="S335">
        <f t="shared" si="972"/>
        <v>-3777890.172112871</v>
      </c>
      <c r="T335">
        <f t="shared" si="973"/>
        <v>-3777.8901721128709</v>
      </c>
    </row>
    <row r="336" spans="1:20" x14ac:dyDescent="0.25">
      <c r="A336" s="5">
        <v>44257</v>
      </c>
      <c r="B336">
        <v>2.0856E-4</v>
      </c>
      <c r="C336">
        <v>2.1142000000000001E-4</v>
      </c>
      <c r="D336">
        <v>1.9518000000000001E-4</v>
      </c>
      <c r="E336">
        <v>2.0227E-4</v>
      </c>
      <c r="F336">
        <v>12138548238</v>
      </c>
      <c r="G336">
        <v>0</v>
      </c>
      <c r="L336" t="s">
        <v>7</v>
      </c>
      <c r="M336" t="s">
        <v>8</v>
      </c>
      <c r="N336" t="s">
        <v>8</v>
      </c>
      <c r="P336">
        <f t="shared" si="969"/>
        <v>-0.12684729064039521</v>
      </c>
      <c r="Q336">
        <f t="shared" si="970"/>
        <v>-1539741956.2980433</v>
      </c>
      <c r="R336">
        <f t="shared" si="971"/>
        <v>-374662853419.98151</v>
      </c>
      <c r="S336">
        <f t="shared" si="972"/>
        <v>-3746628.5341998152</v>
      </c>
      <c r="T336">
        <f t="shared" si="973"/>
        <v>-3746.628534199815</v>
      </c>
    </row>
    <row r="337" spans="1:20" x14ac:dyDescent="0.25">
      <c r="A337" s="5">
        <v>44256</v>
      </c>
      <c r="B337">
        <v>1.9991E-4</v>
      </c>
      <c r="C337">
        <v>2.109E-4</v>
      </c>
      <c r="D337">
        <v>1.9450000000000001E-4</v>
      </c>
      <c r="E337">
        <v>2.0848000000000001E-4</v>
      </c>
      <c r="F337">
        <v>14678248171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0.70487804878048843</v>
      </c>
      <c r="Q337">
        <f t="shared" si="970"/>
        <v>10346374930.290253</v>
      </c>
      <c r="R337">
        <f t="shared" si="971"/>
        <v>-373123111463.68347</v>
      </c>
      <c r="S337">
        <f t="shared" si="972"/>
        <v>-3731231.1146368347</v>
      </c>
      <c r="T337">
        <f t="shared" si="973"/>
        <v>-3731.2311146368347</v>
      </c>
    </row>
    <row r="338" spans="1:20" x14ac:dyDescent="0.25">
      <c r="A338" s="5">
        <v>44255</v>
      </c>
      <c r="B338">
        <v>2.0573E-4</v>
      </c>
      <c r="C338">
        <v>2.0678E-4</v>
      </c>
      <c r="D338">
        <v>1.8704999999999999E-4</v>
      </c>
      <c r="E338">
        <v>1.9914999999999999E-4</v>
      </c>
      <c r="F338">
        <v>14187973159</v>
      </c>
      <c r="G338">
        <v>0</v>
      </c>
      <c r="L338" t="s">
        <v>7</v>
      </c>
      <c r="M338" t="s">
        <v>8</v>
      </c>
      <c r="N338" t="s">
        <v>8</v>
      </c>
      <c r="P338">
        <f t="shared" si="969"/>
        <v>0.22655854029396802</v>
      </c>
      <c r="Q338">
        <f t="shared" si="970"/>
        <v>3214406488.633038</v>
      </c>
      <c r="R338">
        <f t="shared" si="971"/>
        <v>-383469486393.97369</v>
      </c>
      <c r="S338">
        <f t="shared" si="972"/>
        <v>-3834694.863939737</v>
      </c>
      <c r="T338">
        <f t="shared" si="973"/>
        <v>-3834.6948639397369</v>
      </c>
    </row>
    <row r="339" spans="1:20" x14ac:dyDescent="0.25">
      <c r="A339" s="5">
        <v>44254</v>
      </c>
      <c r="B339">
        <v>1.9739000000000001E-4</v>
      </c>
      <c r="C339">
        <v>2.1330000000000001E-4</v>
      </c>
      <c r="D339">
        <v>1.9735E-4</v>
      </c>
      <c r="E339">
        <v>2.0568E-4</v>
      </c>
      <c r="F339">
        <v>15076159473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4.4514106583071117E-2</v>
      </c>
      <c r="Q339">
        <f t="shared" si="970"/>
        <v>671101769.6444993</v>
      </c>
      <c r="R339">
        <f t="shared" si="971"/>
        <v>-386683892882.60675</v>
      </c>
      <c r="S339">
        <f t="shared" si="972"/>
        <v>-3866838.9288260676</v>
      </c>
      <c r="T339">
        <f t="shared" si="973"/>
        <v>-3866.8389288260678</v>
      </c>
    </row>
    <row r="340" spans="1:20" x14ac:dyDescent="0.25">
      <c r="A340" s="5">
        <v>44253</v>
      </c>
      <c r="B340">
        <v>1.9728000000000001E-4</v>
      </c>
      <c r="C340">
        <v>2.0691000000000001E-4</v>
      </c>
      <c r="D340">
        <v>1.8547999999999999E-4</v>
      </c>
      <c r="E340">
        <v>1.9785000000000001E-4</v>
      </c>
      <c r="F340">
        <v>17626363538</v>
      </c>
      <c r="G340">
        <v>0</v>
      </c>
      <c r="L340" t="s">
        <v>7</v>
      </c>
      <c r="M340" t="s">
        <v>8</v>
      </c>
      <c r="N340" t="s">
        <v>8</v>
      </c>
      <c r="P340">
        <f t="shared" si="969"/>
        <v>0.15445636957536249</v>
      </c>
      <c r="Q340">
        <f t="shared" si="970"/>
        <v>2722504120.8950219</v>
      </c>
      <c r="R340">
        <f t="shared" si="971"/>
        <v>-387354994652.25122</v>
      </c>
      <c r="S340">
        <f t="shared" si="972"/>
        <v>-3873549.946522512</v>
      </c>
      <c r="T340">
        <f t="shared" si="973"/>
        <v>-3873.5499465225121</v>
      </c>
    </row>
    <row r="341" spans="1:20" x14ac:dyDescent="0.25">
      <c r="A341" s="5">
        <v>44252</v>
      </c>
      <c r="B341">
        <v>2.0934E-4</v>
      </c>
      <c r="C341">
        <v>2.1851999999999999E-4</v>
      </c>
      <c r="D341">
        <v>1.9701000000000001E-4</v>
      </c>
      <c r="E341">
        <v>1.9782999999999999E-4</v>
      </c>
      <c r="F341">
        <v>17129402193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-0.92375639237564078</v>
      </c>
      <c r="Q341">
        <f t="shared" si="970"/>
        <v>-15823394773.357069</v>
      </c>
      <c r="R341">
        <f t="shared" si="971"/>
        <v>-390077498773.14624</v>
      </c>
      <c r="S341">
        <f t="shared" si="972"/>
        <v>-3900774.9877314623</v>
      </c>
      <c r="T341">
        <f t="shared" si="973"/>
        <v>-3900.7749877314623</v>
      </c>
    </row>
    <row r="342" spans="1:20" x14ac:dyDescent="0.25">
      <c r="A342" s="5">
        <v>44251</v>
      </c>
      <c r="B342">
        <v>1.9797E-4</v>
      </c>
      <c r="C342">
        <v>2.1900000000000001E-4</v>
      </c>
      <c r="D342">
        <v>1.8636E-4</v>
      </c>
      <c r="E342">
        <v>2.0840999999999999E-4</v>
      </c>
      <c r="F342">
        <v>28630585634</v>
      </c>
      <c r="G342">
        <v>0</v>
      </c>
      <c r="L342" t="s">
        <v>7</v>
      </c>
      <c r="M342" t="s">
        <v>8</v>
      </c>
      <c r="N342" t="s">
        <v>8</v>
      </c>
      <c r="P342">
        <f t="shared" si="969"/>
        <v>0.35110294117646967</v>
      </c>
      <c r="Q342">
        <f t="shared" si="970"/>
        <v>10052282823.702179</v>
      </c>
      <c r="R342">
        <f t="shared" si="971"/>
        <v>-374254103999.78918</v>
      </c>
      <c r="S342">
        <f t="shared" si="972"/>
        <v>-3742541.039997892</v>
      </c>
      <c r="T342">
        <f t="shared" si="973"/>
        <v>-3742.5410399978919</v>
      </c>
    </row>
    <row r="343" spans="1:20" x14ac:dyDescent="0.25">
      <c r="A343" s="5">
        <v>44250</v>
      </c>
      <c r="B343">
        <v>2.3389999999999999E-4</v>
      </c>
      <c r="C343">
        <v>2.3499E-4</v>
      </c>
      <c r="D343">
        <v>1.6071999999999999E-4</v>
      </c>
      <c r="E343">
        <v>1.9804999999999999E-4</v>
      </c>
      <c r="F343">
        <v>33676295704</v>
      </c>
      <c r="G343">
        <v>0</v>
      </c>
      <c r="L343" t="s">
        <v>8</v>
      </c>
      <c r="M343" t="s">
        <v>7</v>
      </c>
      <c r="N343" t="s">
        <v>7</v>
      </c>
      <c r="P343">
        <f t="shared" si="969"/>
        <v>5.2511108119023533E-3</v>
      </c>
      <c r="Q343">
        <f t="shared" si="970"/>
        <v>176837960.47609517</v>
      </c>
      <c r="R343">
        <f t="shared" si="971"/>
        <v>-384306386823.49139</v>
      </c>
      <c r="S343">
        <f t="shared" si="972"/>
        <v>-3843063.8682349138</v>
      </c>
      <c r="T343">
        <f t="shared" si="973"/>
        <v>-3843.0638682349136</v>
      </c>
    </row>
    <row r="344" spans="1:20" x14ac:dyDescent="0.25">
      <c r="A344" s="5">
        <v>44249</v>
      </c>
      <c r="B344">
        <v>2.5814000000000002E-4</v>
      </c>
      <c r="C344">
        <v>2.6350000000000001E-4</v>
      </c>
      <c r="D344">
        <v>1.9586000000000001E-4</v>
      </c>
      <c r="E344">
        <v>2.3332E-4</v>
      </c>
      <c r="F344">
        <v>37203297293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0.10762862211709005</v>
      </c>
      <c r="Q344">
        <f t="shared" si="970"/>
        <v>4004139625.8580561</v>
      </c>
      <c r="R344">
        <f t="shared" si="971"/>
        <v>-384483224783.96747</v>
      </c>
      <c r="S344">
        <f t="shared" si="972"/>
        <v>-3844832.2478396748</v>
      </c>
      <c r="T344">
        <f t="shared" si="973"/>
        <v>-3844.8322478396749</v>
      </c>
    </row>
    <row r="345" spans="1:20" x14ac:dyDescent="0.25">
      <c r="A345" s="5">
        <v>44248</v>
      </c>
      <c r="B345">
        <v>2.4316999999999999E-4</v>
      </c>
      <c r="C345">
        <v>2.6499999999999999E-4</v>
      </c>
      <c r="D345">
        <v>2.3635E-4</v>
      </c>
      <c r="E345">
        <v>2.5726999999999998E-4</v>
      </c>
      <c r="F345">
        <v>32314904265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0.46038394415357686</v>
      </c>
      <c r="Q345">
        <f t="shared" si="970"/>
        <v>14877263080.465942</v>
      </c>
      <c r="R345">
        <f t="shared" si="971"/>
        <v>-388487364409.8255</v>
      </c>
      <c r="S345">
        <f t="shared" si="972"/>
        <v>-3884873.6440982549</v>
      </c>
      <c r="T345">
        <f t="shared" si="973"/>
        <v>-3884.8736440982548</v>
      </c>
    </row>
    <row r="346" spans="1:20" x14ac:dyDescent="0.25">
      <c r="A346" s="5">
        <v>44247</v>
      </c>
      <c r="B346">
        <v>2.5577999999999999E-4</v>
      </c>
      <c r="C346">
        <v>2.8200000000000002E-4</v>
      </c>
      <c r="D346">
        <v>2.275E-4</v>
      </c>
      <c r="E346">
        <v>2.4324000000000001E-4</v>
      </c>
      <c r="F346">
        <v>40077829022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-0.42238532110091737</v>
      </c>
      <c r="Q346">
        <f t="shared" si="970"/>
        <v>-16928286680.485134</v>
      </c>
      <c r="R346">
        <f t="shared" si="971"/>
        <v>-403364627490.29144</v>
      </c>
      <c r="S346">
        <f t="shared" si="972"/>
        <v>-4033646.2749029147</v>
      </c>
      <c r="T346">
        <f t="shared" si="973"/>
        <v>-4033.6462749029147</v>
      </c>
    </row>
    <row r="347" spans="1:20" x14ac:dyDescent="0.25">
      <c r="A347" s="5">
        <v>44246</v>
      </c>
      <c r="B347">
        <v>2.3847000000000001E-4</v>
      </c>
      <c r="C347">
        <v>2.6276000000000001E-4</v>
      </c>
      <c r="D347">
        <v>2.3105000000000001E-4</v>
      </c>
      <c r="E347">
        <v>2.5484999999999999E-4</v>
      </c>
      <c r="F347">
        <v>28747949684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0.50110375275938046</v>
      </c>
      <c r="Q347">
        <f t="shared" si="970"/>
        <v>14405705470.790245</v>
      </c>
      <c r="R347">
        <f t="shared" si="971"/>
        <v>-386436340809.80634</v>
      </c>
      <c r="S347">
        <f t="shared" si="972"/>
        <v>-3864363.4080980634</v>
      </c>
      <c r="T347">
        <f t="shared" si="973"/>
        <v>-3864.3634080980632</v>
      </c>
    </row>
    <row r="348" spans="1:20" x14ac:dyDescent="0.25">
      <c r="A348" s="5">
        <v>44245</v>
      </c>
      <c r="B348">
        <v>2.3523000000000001E-4</v>
      </c>
      <c r="C348">
        <v>2.4337999999999999E-4</v>
      </c>
      <c r="D348">
        <v>2.2770000000000001E-4</v>
      </c>
      <c r="E348">
        <v>2.3840999999999999E-4</v>
      </c>
      <c r="F348">
        <v>19940872935</v>
      </c>
      <c r="G348">
        <v>0</v>
      </c>
      <c r="L348" t="s">
        <v>7</v>
      </c>
      <c r="M348" t="s">
        <v>8</v>
      </c>
      <c r="N348" t="s">
        <v>7</v>
      </c>
      <c r="P348">
        <f t="shared" si="969"/>
        <v>0.36607142857142777</v>
      </c>
      <c r="Q348">
        <f t="shared" si="970"/>
        <v>7299783842.2767696</v>
      </c>
      <c r="R348">
        <f t="shared" si="971"/>
        <v>-400842046280.59656</v>
      </c>
      <c r="S348">
        <f t="shared" si="972"/>
        <v>-4008420.4628059654</v>
      </c>
      <c r="T348">
        <f t="shared" si="973"/>
        <v>-4008.4204628059656</v>
      </c>
    </row>
    <row r="349" spans="1:20" x14ac:dyDescent="0.25">
      <c r="A349" s="5">
        <v>44244</v>
      </c>
      <c r="B349">
        <v>2.1939999999999999E-4</v>
      </c>
      <c r="C349">
        <v>2.3800000000000001E-4</v>
      </c>
      <c r="D349">
        <v>2.1000000000000001E-4</v>
      </c>
      <c r="E349">
        <v>2.3425E-4</v>
      </c>
      <c r="F349">
        <v>23531028439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0.73214285714285643</v>
      </c>
      <c r="Q349">
        <f t="shared" si="970"/>
        <v>17228074392.839268</v>
      </c>
      <c r="R349">
        <f t="shared" si="971"/>
        <v>-408141830122.87335</v>
      </c>
      <c r="S349">
        <f t="shared" si="972"/>
        <v>-4081418.3012287337</v>
      </c>
      <c r="T349">
        <f t="shared" si="973"/>
        <v>-4081.4183012287335</v>
      </c>
    </row>
    <row r="350" spans="1:20" x14ac:dyDescent="0.25">
      <c r="A350" s="5">
        <v>44243</v>
      </c>
      <c r="B350">
        <v>2.2374999999999999E-4</v>
      </c>
      <c r="C350">
        <v>2.4000000000000001E-4</v>
      </c>
      <c r="D350">
        <v>2.1000000000000001E-4</v>
      </c>
      <c r="E350">
        <v>2.197E-4</v>
      </c>
      <c r="F350">
        <v>23297866966</v>
      </c>
      <c r="G350">
        <v>0</v>
      </c>
      <c r="L350" t="s">
        <v>7</v>
      </c>
      <c r="M350" t="s">
        <v>8</v>
      </c>
      <c r="N350" t="s">
        <v>7</v>
      </c>
      <c r="P350">
        <f t="shared" si="969"/>
        <v>-0.35333333333333383</v>
      </c>
      <c r="Q350">
        <f t="shared" si="970"/>
        <v>-8231912994.6533451</v>
      </c>
      <c r="R350">
        <f t="shared" si="971"/>
        <v>-425369904515.71265</v>
      </c>
      <c r="S350">
        <f t="shared" si="972"/>
        <v>-4253699.0451571262</v>
      </c>
      <c r="T350">
        <f t="shared" si="973"/>
        <v>-4253.6990451571264</v>
      </c>
    </row>
    <row r="351" spans="1:20" x14ac:dyDescent="0.25">
      <c r="A351" s="5">
        <v>44242</v>
      </c>
      <c r="B351">
        <v>2.4813E-4</v>
      </c>
      <c r="C351">
        <v>2.5296999999999999E-4</v>
      </c>
      <c r="D351">
        <v>1.9000000000000001E-4</v>
      </c>
      <c r="E351">
        <v>2.2368E-4</v>
      </c>
      <c r="F351">
        <v>42771134235</v>
      </c>
      <c r="G351">
        <v>0</v>
      </c>
      <c r="L351" t="s">
        <v>8</v>
      </c>
      <c r="M351" t="s">
        <v>7</v>
      </c>
      <c r="N351" t="s">
        <v>7</v>
      </c>
      <c r="P351">
        <f t="shared" si="969"/>
        <v>6.9715737652850648E-2</v>
      </c>
      <c r="Q351">
        <f t="shared" si="970"/>
        <v>2981821173.4421191</v>
      </c>
      <c r="R351">
        <f t="shared" si="971"/>
        <v>-417137991521.05933</v>
      </c>
      <c r="S351">
        <f t="shared" si="972"/>
        <v>-4171379.9152105935</v>
      </c>
      <c r="T351">
        <f t="shared" si="973"/>
        <v>-4171.3799152105939</v>
      </c>
    </row>
    <row r="352" spans="1:20" x14ac:dyDescent="0.25">
      <c r="A352" s="5">
        <v>44241</v>
      </c>
      <c r="B352">
        <v>2.8400000000000002E-4</v>
      </c>
      <c r="C352">
        <v>2.8414E-4</v>
      </c>
      <c r="D352">
        <v>2.3643000000000001E-4</v>
      </c>
      <c r="E352">
        <v>2.4811000000000001E-4</v>
      </c>
      <c r="F352">
        <v>36084373328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-0.51037518339970656</v>
      </c>
      <c r="Q352">
        <f t="shared" si="970"/>
        <v>-18416568655.141479</v>
      </c>
      <c r="R352">
        <f t="shared" si="971"/>
        <v>-420119812694.50146</v>
      </c>
      <c r="S352">
        <f t="shared" si="972"/>
        <v>-4201198.126945015</v>
      </c>
      <c r="T352">
        <f t="shared" si="973"/>
        <v>-4201.1981269450152</v>
      </c>
    </row>
    <row r="353" spans="1:20" x14ac:dyDescent="0.25">
      <c r="A353" s="5">
        <v>44240</v>
      </c>
      <c r="B353">
        <v>2.4138E-4</v>
      </c>
      <c r="C353">
        <v>2.9999999999999997E-4</v>
      </c>
      <c r="D353">
        <v>2.4137E-4</v>
      </c>
      <c r="E353">
        <v>2.8380000000000001E-4</v>
      </c>
      <c r="F353">
        <v>90338564709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0.44738188640627774</v>
      </c>
      <c r="Q353">
        <f t="shared" si="970"/>
        <v>40415837494.748009</v>
      </c>
      <c r="R353">
        <f t="shared" si="971"/>
        <v>-401703244039.35999</v>
      </c>
      <c r="S353">
        <f t="shared" si="972"/>
        <v>-4017032.4403935997</v>
      </c>
      <c r="T353">
        <f t="shared" si="973"/>
        <v>-4017.0324403935997</v>
      </c>
    </row>
    <row r="354" spans="1:20" x14ac:dyDescent="0.25">
      <c r="A354" s="5">
        <v>44239</v>
      </c>
      <c r="B354">
        <v>2.3599E-4</v>
      </c>
      <c r="C354">
        <v>2.5769999999999998E-4</v>
      </c>
      <c r="D354">
        <v>2.1520999999999999E-4</v>
      </c>
      <c r="E354">
        <v>2.4138E-4</v>
      </c>
      <c r="F354">
        <v>63101604098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0.23181925158860972</v>
      </c>
      <c r="Q354">
        <f t="shared" si="970"/>
        <v>14628166636.039108</v>
      </c>
      <c r="R354">
        <f t="shared" si="971"/>
        <v>-442119081534.10797</v>
      </c>
      <c r="S354">
        <f t="shared" si="972"/>
        <v>-4421190.8153410796</v>
      </c>
      <c r="T354">
        <f t="shared" si="973"/>
        <v>-4421.1908153410795</v>
      </c>
    </row>
    <row r="355" spans="1:20" x14ac:dyDescent="0.25">
      <c r="A355" s="5">
        <v>44238</v>
      </c>
      <c r="B355">
        <v>1.9398000000000001E-4</v>
      </c>
      <c r="C355">
        <v>2.43E-4</v>
      </c>
      <c r="D355">
        <v>1.8609E-4</v>
      </c>
      <c r="E355">
        <v>2.3622000000000001E-4</v>
      </c>
      <c r="F355">
        <v>59850680645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0.76172904586188772</v>
      </c>
      <c r="Q355">
        <f t="shared" si="970"/>
        <v>45590001861.900398</v>
      </c>
      <c r="R355">
        <f t="shared" si="971"/>
        <v>-456747248170.14709</v>
      </c>
      <c r="S355">
        <f t="shared" si="972"/>
        <v>-4567472.4817014709</v>
      </c>
      <c r="T355">
        <f t="shared" si="973"/>
        <v>-4567.4724817014712</v>
      </c>
    </row>
    <row r="356" spans="1:20" x14ac:dyDescent="0.25">
      <c r="A356" s="5">
        <v>44237</v>
      </c>
      <c r="B356">
        <v>1.8869000000000001E-4</v>
      </c>
      <c r="C356">
        <v>2.3699999999999999E-4</v>
      </c>
      <c r="D356">
        <v>1.75E-4</v>
      </c>
      <c r="E356">
        <v>1.9326E-4</v>
      </c>
      <c r="F356">
        <v>99611417904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-0.41096774193548363</v>
      </c>
      <c r="Q356">
        <f t="shared" si="970"/>
        <v>-40937079486.998688</v>
      </c>
      <c r="R356">
        <f t="shared" si="971"/>
        <v>-502337250032.04749</v>
      </c>
      <c r="S356">
        <f t="shared" si="972"/>
        <v>-5023372.5003204746</v>
      </c>
      <c r="T356">
        <f t="shared" si="973"/>
        <v>-5023.3725003204745</v>
      </c>
    </row>
    <row r="357" spans="1:20" x14ac:dyDescent="0.25">
      <c r="A357" s="5">
        <v>44236</v>
      </c>
      <c r="B357">
        <v>1.4044E-4</v>
      </c>
      <c r="C357">
        <v>3.258E-4</v>
      </c>
      <c r="D357">
        <v>1.3750000000000001E-4</v>
      </c>
      <c r="E357">
        <v>1.8848000000000001E-4</v>
      </c>
      <c r="F357">
        <v>292922112659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-0.4585236325013276</v>
      </c>
      <c r="Q357">
        <f t="shared" si="970"/>
        <v>-134311711136.3678</v>
      </c>
      <c r="R357">
        <f t="shared" si="971"/>
        <v>-461400170545.04877</v>
      </c>
      <c r="S357">
        <f t="shared" si="972"/>
        <v>-4614001.7054504873</v>
      </c>
      <c r="T357">
        <f t="shared" si="973"/>
        <v>-4614.001705450487</v>
      </c>
    </row>
    <row r="358" spans="1:20" x14ac:dyDescent="0.25">
      <c r="A358" s="5">
        <v>44235</v>
      </c>
      <c r="B358">
        <v>1.2846999999999999E-4</v>
      </c>
      <c r="C358">
        <v>1.5799999999999999E-4</v>
      </c>
      <c r="D358">
        <v>1.2593000000000001E-4</v>
      </c>
      <c r="E358">
        <v>1.4001000000000001E-4</v>
      </c>
      <c r="F358">
        <v>46390067828</v>
      </c>
      <c r="G358">
        <v>0</v>
      </c>
      <c r="L358" t="s">
        <v>7</v>
      </c>
      <c r="M358" t="s">
        <v>8</v>
      </c>
      <c r="N358" t="s">
        <v>8</v>
      </c>
      <c r="P358">
        <f t="shared" si="969"/>
        <v>-0.12192079825381925</v>
      </c>
      <c r="Q358">
        <f t="shared" si="970"/>
        <v>-5655914100.6385794</v>
      </c>
      <c r="R358">
        <f t="shared" si="971"/>
        <v>-327088459408.68097</v>
      </c>
      <c r="S358">
        <f t="shared" si="972"/>
        <v>-3270884.5940868095</v>
      </c>
      <c r="T358">
        <f t="shared" si="973"/>
        <v>-3270.8845940868096</v>
      </c>
    </row>
    <row r="359" spans="1:20" x14ac:dyDescent="0.25">
      <c r="A359" s="5">
        <v>44234</v>
      </c>
      <c r="B359">
        <v>1.2481999999999999E-4</v>
      </c>
      <c r="C359">
        <v>1.3158000000000001E-4</v>
      </c>
      <c r="D359">
        <v>1.215E-4</v>
      </c>
      <c r="E359">
        <v>1.2825E-4</v>
      </c>
      <c r="F359">
        <v>20591540281</v>
      </c>
      <c r="G359">
        <v>0</v>
      </c>
      <c r="L359" t="s">
        <v>8</v>
      </c>
      <c r="M359" t="s">
        <v>8</v>
      </c>
      <c r="N359" t="s">
        <v>7</v>
      </c>
      <c r="P359">
        <f t="shared" si="969"/>
        <v>0.33928571428571297</v>
      </c>
      <c r="Q359">
        <f t="shared" si="970"/>
        <v>6986415452.4821157</v>
      </c>
      <c r="R359">
        <f t="shared" si="971"/>
        <v>-321432545308.04242</v>
      </c>
      <c r="S359">
        <f t="shared" si="972"/>
        <v>-3214325.4530804241</v>
      </c>
      <c r="T359">
        <f t="shared" si="973"/>
        <v>-3214.3254530804243</v>
      </c>
    </row>
    <row r="360" spans="1:20" x14ac:dyDescent="0.25">
      <c r="A360" s="5">
        <v>44233</v>
      </c>
      <c r="B360">
        <v>1.317E-4</v>
      </c>
      <c r="C360">
        <v>1.3229E-4</v>
      </c>
      <c r="D360">
        <v>1.2300000000000001E-4</v>
      </c>
      <c r="E360">
        <v>1.2463E-4</v>
      </c>
      <c r="F360">
        <v>15353593807</v>
      </c>
      <c r="G360">
        <v>0</v>
      </c>
      <c r="L360" t="s">
        <v>7</v>
      </c>
      <c r="M360" t="s">
        <v>8</v>
      </c>
      <c r="N360" t="s">
        <v>7</v>
      </c>
      <c r="P360">
        <f t="shared" si="969"/>
        <v>-0.64908503767491954</v>
      </c>
      <c r="Q360">
        <f t="shared" si="970"/>
        <v>-9965788014.6620064</v>
      </c>
      <c r="R360">
        <f t="shared" si="971"/>
        <v>-328418960760.52454</v>
      </c>
      <c r="S360">
        <f t="shared" si="972"/>
        <v>-3284189.6076052454</v>
      </c>
      <c r="T360">
        <f t="shared" si="973"/>
        <v>-3284.1896076052453</v>
      </c>
    </row>
    <row r="361" spans="1:20" x14ac:dyDescent="0.25">
      <c r="A361" s="5">
        <v>44232</v>
      </c>
      <c r="B361">
        <v>1.2725E-4</v>
      </c>
      <c r="C361">
        <v>1.3970000000000001E-4</v>
      </c>
      <c r="D361">
        <v>1.2659999999999999E-4</v>
      </c>
      <c r="E361">
        <v>1.317E-4</v>
      </c>
      <c r="F361">
        <v>22959633129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-0.22137404580152556</v>
      </c>
      <c r="Q361">
        <f t="shared" si="970"/>
        <v>-5082666875.8854694</v>
      </c>
      <c r="R361">
        <f t="shared" si="971"/>
        <v>-318453172745.86255</v>
      </c>
      <c r="S361">
        <f t="shared" si="972"/>
        <v>-3184531.7274586256</v>
      </c>
      <c r="T361">
        <f t="shared" si="973"/>
        <v>-3184.5317274586255</v>
      </c>
    </row>
    <row r="362" spans="1:20" x14ac:dyDescent="0.25">
      <c r="A362" s="5">
        <v>44231</v>
      </c>
      <c r="B362">
        <v>1.3839000000000001E-4</v>
      </c>
      <c r="C362">
        <v>1.4019999999999999E-4</v>
      </c>
      <c r="D362">
        <v>1.2136E-4</v>
      </c>
      <c r="E362">
        <v>1.2725E-4</v>
      </c>
      <c r="F362">
        <v>35114971244</v>
      </c>
      <c r="G362">
        <v>0</v>
      </c>
      <c r="L362" t="s">
        <v>7</v>
      </c>
      <c r="M362" t="s">
        <v>8</v>
      </c>
      <c r="N362" t="s">
        <v>7</v>
      </c>
      <c r="P362">
        <f t="shared" si="969"/>
        <v>-0.37473460721868335</v>
      </c>
      <c r="Q362">
        <f t="shared" si="970"/>
        <v>-13158794956.6157</v>
      </c>
      <c r="R362">
        <f t="shared" si="971"/>
        <v>-313370505869.97705</v>
      </c>
      <c r="S362">
        <f t="shared" si="972"/>
        <v>-3133705.0586997704</v>
      </c>
      <c r="T362">
        <f t="shared" si="973"/>
        <v>-3133.7050586997702</v>
      </c>
    </row>
    <row r="363" spans="1:20" x14ac:dyDescent="0.25">
      <c r="A363" s="5">
        <v>44230</v>
      </c>
      <c r="B363">
        <v>1.1247999999999999E-4</v>
      </c>
      <c r="C363">
        <v>1.3999999999999999E-4</v>
      </c>
      <c r="D363">
        <v>1.1225E-4</v>
      </c>
      <c r="E363">
        <v>1.3804E-4</v>
      </c>
      <c r="F363">
        <v>55064544158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0.85873873873873952</v>
      </c>
      <c r="Q363">
        <f t="shared" si="970"/>
        <v>47286057199.464546</v>
      </c>
      <c r="R363">
        <f t="shared" si="971"/>
        <v>-300211710913.36133</v>
      </c>
      <c r="S363">
        <f t="shared" si="972"/>
        <v>-3002117.1091336133</v>
      </c>
      <c r="T363">
        <f t="shared" si="973"/>
        <v>-3002.1171091336132</v>
      </c>
    </row>
    <row r="364" spans="1:20" x14ac:dyDescent="0.25">
      <c r="A364" s="5">
        <v>44229</v>
      </c>
      <c r="B364">
        <v>1.0950000000000001E-4</v>
      </c>
      <c r="C364">
        <v>1.1499E-4</v>
      </c>
      <c r="D364">
        <v>1.0573000000000001E-4</v>
      </c>
      <c r="E364">
        <v>1.1232E-4</v>
      </c>
      <c r="F364">
        <v>21109501249</v>
      </c>
      <c r="G364">
        <v>0</v>
      </c>
      <c r="L364" t="s">
        <v>7</v>
      </c>
      <c r="M364" t="s">
        <v>8</v>
      </c>
      <c r="N364" t="s">
        <v>7</v>
      </c>
      <c r="P364">
        <f t="shared" si="969"/>
        <v>0.42332613390928664</v>
      </c>
      <c r="Q364">
        <f t="shared" si="970"/>
        <v>8936203552.4924278</v>
      </c>
      <c r="R364">
        <f t="shared" si="971"/>
        <v>-347497768112.82587</v>
      </c>
      <c r="S364">
        <f t="shared" si="972"/>
        <v>-3474977.6811282588</v>
      </c>
      <c r="T364">
        <f t="shared" si="973"/>
        <v>-3474.9776811282586</v>
      </c>
    </row>
    <row r="365" spans="1:20" x14ac:dyDescent="0.25">
      <c r="A365" s="5">
        <v>44228</v>
      </c>
      <c r="B365">
        <v>1.0564E-4</v>
      </c>
      <c r="C365">
        <v>1.17E-4</v>
      </c>
      <c r="D365">
        <v>1.0393E-4</v>
      </c>
      <c r="E365">
        <v>1.0941E-4</v>
      </c>
      <c r="F365">
        <v>18827908878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-0.16143840856924299</v>
      </c>
      <c r="Q365">
        <f t="shared" si="970"/>
        <v>-3039547645.9510412</v>
      </c>
      <c r="R365">
        <f t="shared" si="971"/>
        <v>-356433971665.3183</v>
      </c>
      <c r="S365">
        <f t="shared" si="972"/>
        <v>-3564339.7166531831</v>
      </c>
      <c r="T365">
        <f t="shared" si="973"/>
        <v>-3564.3397166531831</v>
      </c>
    </row>
    <row r="366" spans="1:20" x14ac:dyDescent="0.25">
      <c r="A366" s="5">
        <v>44227</v>
      </c>
      <c r="B366">
        <v>1.1232E-4</v>
      </c>
      <c r="C366">
        <v>1.2334999999999999E-4</v>
      </c>
      <c r="D366">
        <v>1.03E-4</v>
      </c>
      <c r="E366">
        <v>1.0564E-4</v>
      </c>
      <c r="F366">
        <v>40371090208</v>
      </c>
      <c r="G366">
        <v>0</v>
      </c>
      <c r="L366" t="s">
        <v>7</v>
      </c>
      <c r="M366" t="s">
        <v>8</v>
      </c>
      <c r="N366" t="s">
        <v>7</v>
      </c>
      <c r="P366">
        <f t="shared" si="969"/>
        <v>-0.7405405405405403</v>
      </c>
      <c r="Q366">
        <f t="shared" si="970"/>
        <v>-29896428964.843235</v>
      </c>
      <c r="R366">
        <f t="shared" si="971"/>
        <v>-353394424019.36725</v>
      </c>
      <c r="S366">
        <f t="shared" si="972"/>
        <v>-3533944.2401936725</v>
      </c>
      <c r="T366">
        <f t="shared" si="973"/>
        <v>-3533.9442401936726</v>
      </c>
    </row>
    <row r="367" spans="1:20" x14ac:dyDescent="0.25">
      <c r="A367" s="5">
        <v>44226</v>
      </c>
      <c r="B367">
        <v>1.0281E-4</v>
      </c>
      <c r="C367">
        <v>1.1746E-4</v>
      </c>
      <c r="D367">
        <v>9.7999999999999997E-5</v>
      </c>
      <c r="E367">
        <v>1.1221E-4</v>
      </c>
      <c r="F367">
        <v>32969543473</v>
      </c>
      <c r="G367">
        <v>0</v>
      </c>
      <c r="L367" t="s">
        <v>8</v>
      </c>
      <c r="M367" t="s">
        <v>7</v>
      </c>
      <c r="N367" t="s">
        <v>7</v>
      </c>
      <c r="P367">
        <f t="shared" si="969"/>
        <v>0.46043165467625863</v>
      </c>
      <c r="Q367">
        <f t="shared" si="970"/>
        <v>15180221455.194233</v>
      </c>
      <c r="R367">
        <f t="shared" si="971"/>
        <v>-323497995054.52399</v>
      </c>
      <c r="S367">
        <f t="shared" si="972"/>
        <v>-3234979.9505452397</v>
      </c>
      <c r="T367">
        <f t="shared" si="973"/>
        <v>-3234.9799505452397</v>
      </c>
    </row>
    <row r="368" spans="1:20" x14ac:dyDescent="0.25">
      <c r="A368" s="5">
        <v>44225</v>
      </c>
      <c r="B368">
        <v>9.8129999999999997E-5</v>
      </c>
      <c r="C368">
        <v>1.45E-4</v>
      </c>
      <c r="D368">
        <v>9.7079999999999999E-5</v>
      </c>
      <c r="E368">
        <v>1.0279E-4</v>
      </c>
      <c r="F368">
        <v>56443249524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-0.7616861435726211</v>
      </c>
      <c r="Q368">
        <f t="shared" si="970"/>
        <v>-42992041060.642738</v>
      </c>
      <c r="R368">
        <f t="shared" si="971"/>
        <v>-338678216509.7182</v>
      </c>
      <c r="S368">
        <f t="shared" si="972"/>
        <v>-3386782.1650971822</v>
      </c>
      <c r="T368">
        <f t="shared" si="973"/>
        <v>-3386.7821650971823</v>
      </c>
    </row>
    <row r="369" spans="1:20" x14ac:dyDescent="0.25">
      <c r="A369" s="5">
        <v>44224</v>
      </c>
      <c r="B369">
        <v>8.852E-5</v>
      </c>
      <c r="C369">
        <v>1.0069999999999999E-4</v>
      </c>
      <c r="D369">
        <v>8.6890000000000003E-5</v>
      </c>
      <c r="E369">
        <v>9.815E-5</v>
      </c>
      <c r="F369">
        <v>33732224372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0.63070238957277391</v>
      </c>
      <c r="Q369">
        <f t="shared" si="970"/>
        <v>21274994517.025364</v>
      </c>
      <c r="R369">
        <f t="shared" si="971"/>
        <v>-295686175449.07544</v>
      </c>
      <c r="S369">
        <f t="shared" si="972"/>
        <v>-2956861.7544907546</v>
      </c>
      <c r="T369">
        <f t="shared" si="973"/>
        <v>-2956.8617544907547</v>
      </c>
    </row>
    <row r="370" spans="1:20" x14ac:dyDescent="0.25">
      <c r="A370" s="5">
        <v>44223</v>
      </c>
      <c r="B370">
        <v>9.4549999999999994E-5</v>
      </c>
      <c r="C370">
        <v>9.6349999999999997E-5</v>
      </c>
      <c r="D370">
        <v>8.8330000000000003E-5</v>
      </c>
      <c r="E370">
        <v>8.852E-5</v>
      </c>
      <c r="F370">
        <v>25732788548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-0.9526184538653375</v>
      </c>
      <c r="Q370">
        <f t="shared" si="970"/>
        <v>-24513529240.239422</v>
      </c>
      <c r="R370">
        <f t="shared" si="971"/>
        <v>-316961169966.10083</v>
      </c>
      <c r="S370">
        <f t="shared" si="972"/>
        <v>-3169611.6996610081</v>
      </c>
      <c r="T370">
        <f t="shared" si="973"/>
        <v>-3169.6116996610081</v>
      </c>
    </row>
    <row r="371" spans="1:20" x14ac:dyDescent="0.25">
      <c r="A371" s="5">
        <v>44222</v>
      </c>
      <c r="B371">
        <v>9.3720000000000004E-5</v>
      </c>
      <c r="C371">
        <v>9.5639999999999999E-5</v>
      </c>
      <c r="D371">
        <v>8.9959999999999999E-5</v>
      </c>
      <c r="E371">
        <v>9.4539999999999999E-5</v>
      </c>
      <c r="F371">
        <v>24934982589</v>
      </c>
      <c r="G371">
        <v>0</v>
      </c>
      <c r="L371" t="s">
        <v>8</v>
      </c>
      <c r="M371" t="s">
        <v>7</v>
      </c>
      <c r="N371" t="s">
        <v>8</v>
      </c>
      <c r="P371">
        <f t="shared" si="969"/>
        <v>0.61267605633802824</v>
      </c>
      <c r="Q371">
        <f t="shared" si="970"/>
        <v>15277066797.485918</v>
      </c>
      <c r="R371">
        <f t="shared" si="971"/>
        <v>-292447640725.86139</v>
      </c>
      <c r="S371">
        <f t="shared" si="972"/>
        <v>-2924476.407258614</v>
      </c>
      <c r="T371">
        <f t="shared" si="973"/>
        <v>-2924.476407258614</v>
      </c>
    </row>
    <row r="372" spans="1:20" x14ac:dyDescent="0.25">
      <c r="A372" s="5">
        <v>44221</v>
      </c>
      <c r="B372">
        <v>9.6630000000000001E-5</v>
      </c>
      <c r="C372">
        <v>1E-4</v>
      </c>
      <c r="D372">
        <v>9.31E-5</v>
      </c>
      <c r="E372">
        <v>9.3449999999999995E-5</v>
      </c>
      <c r="F372">
        <v>28340481965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-0.89855072463768271</v>
      </c>
      <c r="Q372">
        <f t="shared" si="970"/>
        <v>-25465360606.23193</v>
      </c>
      <c r="R372">
        <f t="shared" si="971"/>
        <v>-307724707523.34729</v>
      </c>
      <c r="S372">
        <f t="shared" si="972"/>
        <v>-3077247.075233473</v>
      </c>
      <c r="T372">
        <f t="shared" si="973"/>
        <v>-3077.247075233473</v>
      </c>
    </row>
    <row r="373" spans="1:20" x14ac:dyDescent="0.25">
      <c r="A373" s="5">
        <v>44220</v>
      </c>
      <c r="B373">
        <v>9.1780000000000006E-5</v>
      </c>
      <c r="C373">
        <v>1.078E-4</v>
      </c>
      <c r="D373">
        <v>9.0550000000000005E-5</v>
      </c>
      <c r="E373">
        <v>9.679E-5</v>
      </c>
      <c r="F373">
        <v>33764302645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-0.27652173913043537</v>
      </c>
      <c r="Q373">
        <f t="shared" si="970"/>
        <v>-9336563687.9217587</v>
      </c>
      <c r="R373">
        <f t="shared" si="971"/>
        <v>-282259346917.11536</v>
      </c>
      <c r="S373">
        <f t="shared" si="972"/>
        <v>-2822593.4691711534</v>
      </c>
      <c r="T373">
        <f t="shared" si="973"/>
        <v>-2822.5934691711532</v>
      </c>
    </row>
    <row r="374" spans="1:20" x14ac:dyDescent="0.25">
      <c r="A374" s="5">
        <v>44219</v>
      </c>
      <c r="B374">
        <v>8.4489999999999999E-5</v>
      </c>
      <c r="C374">
        <v>9.3800000000000003E-5</v>
      </c>
      <c r="D374">
        <v>8.3430000000000006E-5</v>
      </c>
      <c r="E374">
        <v>9.1879999999999994E-5</v>
      </c>
      <c r="F374">
        <v>39002690433</v>
      </c>
      <c r="G374">
        <v>0</v>
      </c>
      <c r="L374" t="s">
        <v>7</v>
      </c>
      <c r="M374" t="s">
        <v>8</v>
      </c>
      <c r="N374" t="s">
        <v>8</v>
      </c>
      <c r="P374">
        <f t="shared" si="969"/>
        <v>0.62970106075216792</v>
      </c>
      <c r="Q374">
        <f t="shared" si="970"/>
        <v>24560035537.84853</v>
      </c>
      <c r="R374">
        <f t="shared" si="971"/>
        <v>-272922783229.19357</v>
      </c>
      <c r="S374">
        <f t="shared" si="972"/>
        <v>-2729227.8322919356</v>
      </c>
      <c r="T374">
        <f t="shared" si="973"/>
        <v>-2729.2278322919356</v>
      </c>
    </row>
    <row r="375" spans="1:20" x14ac:dyDescent="0.25">
      <c r="A375" s="5">
        <v>44218</v>
      </c>
      <c r="B375">
        <v>7.9579999999999994E-5</v>
      </c>
      <c r="C375">
        <v>8.5900000000000001E-5</v>
      </c>
      <c r="D375">
        <v>7.4999999999999993E-5</v>
      </c>
      <c r="E375">
        <v>8.4389999999999997E-5</v>
      </c>
      <c r="F375">
        <v>42853021865</v>
      </c>
      <c r="G375">
        <v>0</v>
      </c>
      <c r="L375" t="s">
        <v>8</v>
      </c>
      <c r="M375" t="s">
        <v>7</v>
      </c>
      <c r="N375" t="s">
        <v>8</v>
      </c>
      <c r="P375">
        <f t="shared" si="969"/>
        <v>0.72293577981651314</v>
      </c>
      <c r="Q375">
        <f t="shared" si="970"/>
        <v>30979982779.467865</v>
      </c>
      <c r="R375">
        <f t="shared" si="971"/>
        <v>-297482818767.04211</v>
      </c>
      <c r="S375">
        <f t="shared" si="972"/>
        <v>-2974828.1876704213</v>
      </c>
      <c r="T375">
        <f t="shared" si="973"/>
        <v>-2974.8281876704214</v>
      </c>
    </row>
    <row r="376" spans="1:20" x14ac:dyDescent="0.25">
      <c r="A376" s="5">
        <v>44217</v>
      </c>
      <c r="B376">
        <v>8.7559999999999995E-5</v>
      </c>
      <c r="C376">
        <v>8.7810000000000001E-5</v>
      </c>
      <c r="D376">
        <v>7.7999999999999999E-5</v>
      </c>
      <c r="E376">
        <v>7.9629999999999995E-5</v>
      </c>
      <c r="F376">
        <v>24394874548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-0.66768603465851262</v>
      </c>
      <c r="Q376">
        <f t="shared" si="970"/>
        <v>-16288117052.945995</v>
      </c>
      <c r="R376">
        <f t="shared" si="971"/>
        <v>-328462801546.51001</v>
      </c>
      <c r="S376">
        <f t="shared" si="972"/>
        <v>-3284628.0154651003</v>
      </c>
      <c r="T376">
        <f t="shared" si="973"/>
        <v>-3284.6280154651004</v>
      </c>
    </row>
    <row r="377" spans="1:20" x14ac:dyDescent="0.25">
      <c r="A377" s="5">
        <v>44216</v>
      </c>
      <c r="B377">
        <v>8.9460000000000001E-5</v>
      </c>
      <c r="C377">
        <v>9.1500000000000001E-5</v>
      </c>
      <c r="D377">
        <v>8.2109999999999998E-5</v>
      </c>
      <c r="E377">
        <v>8.7570000000000004E-5</v>
      </c>
      <c r="F377">
        <v>25825543747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0.16293929712460137</v>
      </c>
      <c r="Q377">
        <f t="shared" si="970"/>
        <v>4207995945.9968238</v>
      </c>
      <c r="R377">
        <f t="shared" si="971"/>
        <v>-312174684493.56403</v>
      </c>
      <c r="S377">
        <f t="shared" si="972"/>
        <v>-3121746.8449356402</v>
      </c>
      <c r="T377">
        <f t="shared" si="973"/>
        <v>-3121.7468449356402</v>
      </c>
    </row>
    <row r="378" spans="1:20" x14ac:dyDescent="0.25">
      <c r="A378" s="5">
        <v>44215</v>
      </c>
      <c r="B378">
        <v>9.1700000000000006E-5</v>
      </c>
      <c r="C378">
        <v>9.5000000000000005E-5</v>
      </c>
      <c r="D378">
        <v>8.7000000000000001E-5</v>
      </c>
      <c r="E378">
        <v>8.9460000000000001E-5</v>
      </c>
      <c r="F378">
        <v>27650645793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-0.38500000000000034</v>
      </c>
      <c r="Q378">
        <f t="shared" si="970"/>
        <v>-10645498630.30501</v>
      </c>
      <c r="R378">
        <f t="shared" si="971"/>
        <v>-316382680439.56085</v>
      </c>
      <c r="S378">
        <f t="shared" si="972"/>
        <v>-3163826.8043956086</v>
      </c>
      <c r="T378">
        <f t="shared" si="973"/>
        <v>-3163.8268043956086</v>
      </c>
    </row>
    <row r="379" spans="1:20" x14ac:dyDescent="0.25">
      <c r="A379" s="5">
        <v>44214</v>
      </c>
      <c r="B379">
        <v>8.8759999999999997E-5</v>
      </c>
      <c r="C379">
        <v>9.2499999999999999E-5</v>
      </c>
      <c r="D379">
        <v>8.7899999999999995E-5</v>
      </c>
      <c r="E379">
        <v>9.1630000000000002E-5</v>
      </c>
      <c r="F379">
        <v>23766522393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0.62173913043478435</v>
      </c>
      <c r="Q379">
        <f t="shared" si="970"/>
        <v>14776576966.082649</v>
      </c>
      <c r="R379">
        <f t="shared" si="971"/>
        <v>-305737181809.25586</v>
      </c>
      <c r="S379">
        <f t="shared" si="972"/>
        <v>-3057371.8180925585</v>
      </c>
      <c r="T379">
        <f t="shared" si="973"/>
        <v>-3057.3718180925584</v>
      </c>
    </row>
    <row r="380" spans="1:20" x14ac:dyDescent="0.25">
      <c r="A380" s="5">
        <v>44213</v>
      </c>
      <c r="B380">
        <v>9.2E-5</v>
      </c>
      <c r="C380">
        <v>9.2260000000000001E-5</v>
      </c>
      <c r="D380">
        <v>8.7000000000000001E-5</v>
      </c>
      <c r="E380">
        <v>8.8609999999999994E-5</v>
      </c>
      <c r="F380">
        <v>25793157772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-0.38783269961977457</v>
      </c>
      <c r="Q380">
        <f t="shared" si="970"/>
        <v>-10003430010.433529</v>
      </c>
      <c r="R380">
        <f t="shared" si="971"/>
        <v>-320513758775.3385</v>
      </c>
      <c r="S380">
        <f t="shared" si="972"/>
        <v>-3205137.5877533848</v>
      </c>
      <c r="T380">
        <f t="shared" si="973"/>
        <v>-3205.1375877533847</v>
      </c>
    </row>
    <row r="381" spans="1:20" x14ac:dyDescent="0.25">
      <c r="A381" s="5">
        <v>44212</v>
      </c>
      <c r="B381">
        <v>8.8250000000000004E-5</v>
      </c>
      <c r="C381">
        <v>9.2659999999999997E-5</v>
      </c>
      <c r="D381">
        <v>8.6000000000000003E-5</v>
      </c>
      <c r="E381">
        <v>9.2130000000000001E-5</v>
      </c>
      <c r="F381">
        <v>27269985311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0.84084084084084176</v>
      </c>
      <c r="Q381">
        <f t="shared" si="970"/>
        <v>22929717378.618645</v>
      </c>
      <c r="R381">
        <f t="shared" si="971"/>
        <v>-310510328764.90497</v>
      </c>
      <c r="S381">
        <f t="shared" si="972"/>
        <v>-3105103.2876490499</v>
      </c>
      <c r="T381">
        <f t="shared" si="973"/>
        <v>-3105.1032876490499</v>
      </c>
    </row>
    <row r="382" spans="1:20" x14ac:dyDescent="0.25">
      <c r="A382" s="5">
        <v>44211</v>
      </c>
      <c r="B382">
        <v>8.6929999999999996E-5</v>
      </c>
      <c r="C382">
        <v>8.8499999999999996E-5</v>
      </c>
      <c r="D382">
        <v>8.1000000000000004E-5</v>
      </c>
      <c r="E382">
        <v>8.8220000000000006E-5</v>
      </c>
      <c r="F382">
        <v>30684042288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0.92533333333333578</v>
      </c>
      <c r="Q382">
        <f t="shared" si="970"/>
        <v>28392967130.496075</v>
      </c>
      <c r="R382">
        <f t="shared" si="971"/>
        <v>-333440046143.52362</v>
      </c>
      <c r="S382">
        <f t="shared" si="972"/>
        <v>-3334400.461435236</v>
      </c>
      <c r="T382">
        <f t="shared" si="973"/>
        <v>-3334.4004614352361</v>
      </c>
    </row>
    <row r="383" spans="1:20" x14ac:dyDescent="0.25">
      <c r="A383" s="5">
        <v>44210</v>
      </c>
      <c r="B383">
        <v>8.3620000000000002E-5</v>
      </c>
      <c r="C383">
        <v>8.9229999999999998E-5</v>
      </c>
      <c r="D383">
        <v>8.0000000000000007E-5</v>
      </c>
      <c r="E383">
        <v>8.7000000000000001E-5</v>
      </c>
      <c r="F383">
        <v>30410568394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0.5167930660888409</v>
      </c>
      <c r="Q383">
        <f t="shared" si="970"/>
        <v>15715970881.839659</v>
      </c>
      <c r="R383">
        <f t="shared" si="971"/>
        <v>-361833013274.01971</v>
      </c>
      <c r="S383">
        <f t="shared" si="972"/>
        <v>-3618330.1327401972</v>
      </c>
      <c r="T383">
        <f t="shared" si="973"/>
        <v>-3618.3301327401973</v>
      </c>
    </row>
    <row r="384" spans="1:20" x14ac:dyDescent="0.25">
      <c r="A384" s="5">
        <v>44209</v>
      </c>
      <c r="B384">
        <v>7.2879999999999993E-5</v>
      </c>
      <c r="C384">
        <v>8.3999999999999995E-5</v>
      </c>
      <c r="D384">
        <v>7.1840000000000003E-5</v>
      </c>
      <c r="E384">
        <v>8.3350000000000007E-5</v>
      </c>
      <c r="F384">
        <v>40392541316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0.89309210526315963</v>
      </c>
      <c r="Q384">
        <f t="shared" si="970"/>
        <v>36074259760.835594</v>
      </c>
      <c r="R384">
        <f t="shared" si="971"/>
        <v>-377548984155.85938</v>
      </c>
      <c r="S384">
        <f t="shared" si="972"/>
        <v>-3775489.8415585938</v>
      </c>
      <c r="T384">
        <f t="shared" si="973"/>
        <v>-3775.489841558594</v>
      </c>
    </row>
    <row r="385" spans="1:20" x14ac:dyDescent="0.25">
      <c r="A385" s="5">
        <v>44208</v>
      </c>
      <c r="B385">
        <v>7.2210000000000002E-5</v>
      </c>
      <c r="C385">
        <v>7.8999999999999996E-5</v>
      </c>
      <c r="D385">
        <v>6.9999999999999994E-5</v>
      </c>
      <c r="E385">
        <v>7.3029999999999997E-5</v>
      </c>
      <c r="F385">
        <v>16806949206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-0.32666666666666611</v>
      </c>
      <c r="Q385">
        <f t="shared" si="970"/>
        <v>-5490270073.9599905</v>
      </c>
      <c r="R385">
        <f t="shared" si="971"/>
        <v>-413623243916.69495</v>
      </c>
      <c r="S385">
        <f t="shared" si="972"/>
        <v>-4136232.4391669496</v>
      </c>
      <c r="T385">
        <f t="shared" si="973"/>
        <v>-4136.2324391669499</v>
      </c>
    </row>
    <row r="386" spans="1:20" x14ac:dyDescent="0.25">
      <c r="A386" s="5">
        <v>44207</v>
      </c>
      <c r="B386">
        <v>8.0879999999999998E-5</v>
      </c>
      <c r="C386">
        <v>8.1089999999999998E-5</v>
      </c>
      <c r="D386">
        <v>6.4999999999999994E-5</v>
      </c>
      <c r="E386">
        <v>7.2200000000000007E-5</v>
      </c>
      <c r="F386">
        <v>10495400696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-0.10503418272218636</v>
      </c>
      <c r="Q386">
        <f t="shared" si="970"/>
        <v>-1102375834.4462259</v>
      </c>
      <c r="R386">
        <f t="shared" si="971"/>
        <v>-408132973842.73499</v>
      </c>
      <c r="S386">
        <f t="shared" si="972"/>
        <v>-4081329.7384273498</v>
      </c>
      <c r="T386">
        <f t="shared" si="973"/>
        <v>-4081.3297384273496</v>
      </c>
    </row>
    <row r="387" spans="1:20" x14ac:dyDescent="0.25">
      <c r="A387" s="5">
        <v>44206</v>
      </c>
      <c r="B387">
        <v>8.6550000000000003E-5</v>
      </c>
      <c r="C387">
        <v>9.0790000000000003E-5</v>
      </c>
      <c r="D387">
        <v>7.6890000000000004E-5</v>
      </c>
      <c r="E387">
        <v>8.0679999999999993E-5</v>
      </c>
      <c r="F387">
        <v>10642491900</v>
      </c>
      <c r="G387">
        <v>0</v>
      </c>
      <c r="L387" t="s">
        <v>8</v>
      </c>
      <c r="M387" t="s">
        <v>7</v>
      </c>
      <c r="N387" t="s">
        <v>8</v>
      </c>
      <c r="P387">
        <f t="shared" si="969"/>
        <v>-0.45467625899280728</v>
      </c>
      <c r="Q387">
        <f t="shared" si="970"/>
        <v>-4838888403.4532537</v>
      </c>
      <c r="R387">
        <f t="shared" si="971"/>
        <v>-407030598008.28876</v>
      </c>
      <c r="S387">
        <f t="shared" si="972"/>
        <v>-4070305.9800828877</v>
      </c>
      <c r="T387">
        <f t="shared" si="973"/>
        <v>-4070.3059800828878</v>
      </c>
    </row>
    <row r="388" spans="1:20" x14ac:dyDescent="0.25">
      <c r="A388" s="5">
        <v>44205</v>
      </c>
      <c r="B388">
        <v>7.5320000000000004E-5</v>
      </c>
      <c r="C388">
        <v>9.5110000000000002E-5</v>
      </c>
      <c r="D388">
        <v>7.4999999999999993E-5</v>
      </c>
      <c r="E388">
        <v>8.6570000000000006E-5</v>
      </c>
      <c r="F388">
        <v>21592406264</v>
      </c>
      <c r="G388">
        <v>0</v>
      </c>
      <c r="L388" t="s">
        <v>7</v>
      </c>
      <c r="M388" t="s">
        <v>8</v>
      </c>
      <c r="N388" t="s">
        <v>8</v>
      </c>
      <c r="P388">
        <f t="shared" si="969"/>
        <v>0.15067130780706192</v>
      </c>
      <c r="Q388">
        <f t="shared" si="970"/>
        <v>3253356090.4982758</v>
      </c>
      <c r="R388">
        <f t="shared" si="971"/>
        <v>-402191709604.83551</v>
      </c>
      <c r="S388">
        <f t="shared" si="972"/>
        <v>-4021917.0960483551</v>
      </c>
      <c r="T388">
        <f t="shared" si="973"/>
        <v>-4021.9170960483552</v>
      </c>
    </row>
    <row r="389" spans="1:20" x14ac:dyDescent="0.25">
      <c r="A389" s="5">
        <v>44204</v>
      </c>
      <c r="B389">
        <v>7.5099999999999996E-5</v>
      </c>
      <c r="C389">
        <v>7.7750000000000006E-5</v>
      </c>
      <c r="D389">
        <v>7.0699999999999997E-5</v>
      </c>
      <c r="E389">
        <v>7.5210000000000007E-5</v>
      </c>
      <c r="F389">
        <v>9445495844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0.27943262411347625</v>
      </c>
      <c r="Q389">
        <f t="shared" si="970"/>
        <v>2639379689.7418542</v>
      </c>
      <c r="R389">
        <f t="shared" si="971"/>
        <v>-405445065695.3338</v>
      </c>
      <c r="S389">
        <f t="shared" si="972"/>
        <v>-4054450.6569533381</v>
      </c>
      <c r="T389">
        <f t="shared" si="973"/>
        <v>-4054.4506569533382</v>
      </c>
    </row>
    <row r="390" spans="1:20" x14ac:dyDescent="0.25">
      <c r="A390" s="5">
        <v>44203</v>
      </c>
      <c r="B390">
        <v>7.2910000000000005E-5</v>
      </c>
      <c r="C390">
        <v>8.0500000000000005E-5</v>
      </c>
      <c r="D390">
        <v>7.1619999999999995E-5</v>
      </c>
      <c r="E390">
        <v>7.5099999999999996E-5</v>
      </c>
      <c r="F390">
        <v>13826134520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4">IF(C390=D390,0,((E390-D390)-(C390-E390))/(C390-D390))</f>
        <v>-0.21621621621621695</v>
      </c>
      <c r="Q390">
        <f t="shared" ref="Q390:Q453" si="975">F390*P390</f>
        <v>-2989434490.8108211</v>
      </c>
      <c r="R390">
        <f t="shared" ref="R390:R453" si="976">R391+Q390</f>
        <v>-408084445385.07568</v>
      </c>
      <c r="S390">
        <f t="shared" ref="S390:S453" si="977">R390/100000</f>
        <v>-4080844.4538507569</v>
      </c>
      <c r="T390">
        <f t="shared" ref="T390:T453" si="978">S390/1000</f>
        <v>-4080.844453850757</v>
      </c>
    </row>
    <row r="391" spans="1:20" x14ac:dyDescent="0.25">
      <c r="A391" s="5">
        <v>44202</v>
      </c>
      <c r="B391">
        <v>6.7150000000000006E-5</v>
      </c>
      <c r="C391">
        <v>7.292E-5</v>
      </c>
      <c r="D391">
        <v>6.5409999999999999E-5</v>
      </c>
      <c r="E391">
        <v>7.2869999999999999E-5</v>
      </c>
      <c r="F391">
        <v>12095800215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0.98668442077230323</v>
      </c>
      <c r="Q391">
        <f t="shared" si="975"/>
        <v>11934737628.914776</v>
      </c>
      <c r="R391">
        <f t="shared" si="976"/>
        <v>-405095010894.26489</v>
      </c>
      <c r="S391">
        <f t="shared" si="977"/>
        <v>-4050950.1089426489</v>
      </c>
      <c r="T391">
        <f t="shared" si="978"/>
        <v>-4050.950108942649</v>
      </c>
    </row>
    <row r="392" spans="1:20" x14ac:dyDescent="0.25">
      <c r="A392" s="5">
        <v>44201</v>
      </c>
      <c r="B392">
        <v>7.0710000000000006E-5</v>
      </c>
      <c r="C392">
        <v>7.1000000000000005E-5</v>
      </c>
      <c r="D392">
        <v>6.3490000000000004E-5</v>
      </c>
      <c r="E392">
        <v>6.7150000000000006E-5</v>
      </c>
      <c r="F392">
        <v>7992762390</v>
      </c>
      <c r="G392">
        <v>0</v>
      </c>
      <c r="L392" t="s">
        <v>7</v>
      </c>
      <c r="M392" t="s">
        <v>8</v>
      </c>
      <c r="N392" t="s">
        <v>7</v>
      </c>
      <c r="P392">
        <f t="shared" si="974"/>
        <v>-2.5299600532622698E-2</v>
      </c>
      <c r="Q392">
        <f t="shared" si="975"/>
        <v>-202213695.61917067</v>
      </c>
      <c r="R392">
        <f t="shared" si="976"/>
        <v>-417029748523.17969</v>
      </c>
      <c r="S392">
        <f t="shared" si="977"/>
        <v>-4170297.4852317967</v>
      </c>
      <c r="T392">
        <f t="shared" si="978"/>
        <v>-4170.2974852317966</v>
      </c>
    </row>
    <row r="393" spans="1:20" x14ac:dyDescent="0.25">
      <c r="A393" s="5">
        <v>44200</v>
      </c>
      <c r="B393">
        <v>6.6740000000000001E-5</v>
      </c>
      <c r="C393">
        <v>7.1559999999999999E-5</v>
      </c>
      <c r="D393">
        <v>6.003E-5</v>
      </c>
      <c r="E393">
        <v>7.0710000000000006E-5</v>
      </c>
      <c r="F393">
        <v>13568992969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0.85255854293148425</v>
      </c>
      <c r="Q393">
        <f t="shared" si="975"/>
        <v>11568360874.698195</v>
      </c>
      <c r="R393">
        <f t="shared" si="976"/>
        <v>-416827534827.56055</v>
      </c>
      <c r="S393">
        <f t="shared" si="977"/>
        <v>-4168275.3482756056</v>
      </c>
      <c r="T393">
        <f t="shared" si="978"/>
        <v>-4168.2753482756052</v>
      </c>
    </row>
    <row r="394" spans="1:20" x14ac:dyDescent="0.25">
      <c r="A394" s="5">
        <v>44199</v>
      </c>
      <c r="B394">
        <v>6.0409999999999999E-5</v>
      </c>
      <c r="C394">
        <v>6.7570000000000005E-5</v>
      </c>
      <c r="D394">
        <v>5.9500000000000003E-5</v>
      </c>
      <c r="E394">
        <v>6.6459999999999997E-5</v>
      </c>
      <c r="F394">
        <v>15332360611</v>
      </c>
      <c r="G394">
        <v>0</v>
      </c>
      <c r="L394" t="s">
        <v>7</v>
      </c>
      <c r="M394" t="s">
        <v>8</v>
      </c>
      <c r="N394" t="s">
        <v>7</v>
      </c>
      <c r="P394">
        <f t="shared" si="974"/>
        <v>0.72490706319702414</v>
      </c>
      <c r="Q394">
        <f t="shared" si="975"/>
        <v>11114536502.397741</v>
      </c>
      <c r="R394">
        <f t="shared" si="976"/>
        <v>-428395895702.25873</v>
      </c>
      <c r="S394">
        <f t="shared" si="977"/>
        <v>-4283958.9570225868</v>
      </c>
      <c r="T394">
        <f t="shared" si="978"/>
        <v>-4283.9589570225871</v>
      </c>
    </row>
    <row r="395" spans="1:20" x14ac:dyDescent="0.25">
      <c r="A395" s="5">
        <v>44198</v>
      </c>
      <c r="B395">
        <v>5.9200000000000002E-5</v>
      </c>
      <c r="C395">
        <v>6.1359999999999995E-5</v>
      </c>
      <c r="D395">
        <v>5.8E-5</v>
      </c>
      <c r="E395">
        <v>6.0409999999999999E-5</v>
      </c>
      <c r="F395">
        <v>10876228060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0.43452380952381103</v>
      </c>
      <c r="Q395">
        <f t="shared" si="975"/>
        <v>4725980049.880969</v>
      </c>
      <c r="R395">
        <f t="shared" si="976"/>
        <v>-439510432204.65649</v>
      </c>
      <c r="S395">
        <f t="shared" si="977"/>
        <v>-4395104.3220465649</v>
      </c>
      <c r="T395">
        <f t="shared" si="978"/>
        <v>-4395.1043220465644</v>
      </c>
    </row>
    <row r="396" spans="1:20" x14ac:dyDescent="0.25">
      <c r="A396" s="5">
        <v>44197</v>
      </c>
      <c r="B396">
        <v>5.8839999999999999E-5</v>
      </c>
      <c r="C396">
        <v>6.2030000000000001E-5</v>
      </c>
      <c r="D396">
        <v>5.8520000000000002E-5</v>
      </c>
      <c r="E396">
        <v>5.9190000000000001E-5</v>
      </c>
      <c r="F396">
        <v>10450241409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-0.61823361823361889</v>
      </c>
      <c r="Q396">
        <f t="shared" si="975"/>
        <v>-6460690557.7008619</v>
      </c>
      <c r="R396">
        <f t="shared" si="976"/>
        <v>-444236412254.53748</v>
      </c>
      <c r="S396">
        <f t="shared" si="977"/>
        <v>-4442364.1225453746</v>
      </c>
      <c r="T396">
        <f t="shared" si="978"/>
        <v>-4442.3641225453748</v>
      </c>
    </row>
    <row r="397" spans="1:20" x14ac:dyDescent="0.25">
      <c r="A397" s="5">
        <v>44196</v>
      </c>
      <c r="B397">
        <v>6.1020000000000002E-5</v>
      </c>
      <c r="C397">
        <v>6.2429999999999997E-5</v>
      </c>
      <c r="D397">
        <v>5.825E-5</v>
      </c>
      <c r="E397">
        <v>5.8829999999999997E-5</v>
      </c>
      <c r="F397">
        <v>9921825411</v>
      </c>
      <c r="G397">
        <v>0</v>
      </c>
      <c r="L397" t="s">
        <v>8</v>
      </c>
      <c r="M397" t="s">
        <v>7</v>
      </c>
      <c r="N397" t="s">
        <v>7</v>
      </c>
      <c r="P397">
        <f t="shared" si="974"/>
        <v>-0.72248803827751285</v>
      </c>
      <c r="Q397">
        <f t="shared" si="975"/>
        <v>-7168400177.3253679</v>
      </c>
      <c r="R397">
        <f t="shared" si="976"/>
        <v>-437775721696.83661</v>
      </c>
      <c r="S397">
        <f t="shared" si="977"/>
        <v>-4377757.2169683659</v>
      </c>
      <c r="T397">
        <f t="shared" si="978"/>
        <v>-4377.7572169683663</v>
      </c>
    </row>
    <row r="398" spans="1:20" x14ac:dyDescent="0.25">
      <c r="A398" s="5">
        <v>44195</v>
      </c>
      <c r="B398">
        <v>5.8999999999999998E-5</v>
      </c>
      <c r="C398">
        <v>6.3E-5</v>
      </c>
      <c r="D398">
        <v>5.7009999999999998E-5</v>
      </c>
      <c r="E398">
        <v>6.1020000000000002E-5</v>
      </c>
      <c r="F398">
        <v>9362925022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0.33889816360601088</v>
      </c>
      <c r="Q398">
        <f t="shared" si="975"/>
        <v>3173078095.9365692</v>
      </c>
      <c r="R398">
        <f t="shared" si="976"/>
        <v>-430607321519.51123</v>
      </c>
      <c r="S398">
        <f t="shared" si="977"/>
        <v>-4306073.2151951119</v>
      </c>
      <c r="T398">
        <f t="shared" si="978"/>
        <v>-4306.0732151951115</v>
      </c>
    </row>
    <row r="399" spans="1:20" x14ac:dyDescent="0.25">
      <c r="A399" s="5">
        <v>44194</v>
      </c>
      <c r="B399">
        <v>6.0949999999999998E-5</v>
      </c>
      <c r="C399">
        <v>6.1480000000000001E-5</v>
      </c>
      <c r="D399">
        <v>5.5999999999999999E-5</v>
      </c>
      <c r="E399">
        <v>5.9030000000000002E-5</v>
      </c>
      <c r="F399">
        <v>8972755981</v>
      </c>
      <c r="G399">
        <v>0</v>
      </c>
      <c r="L399" t="s">
        <v>8</v>
      </c>
      <c r="M399" t="s">
        <v>7</v>
      </c>
      <c r="N399" t="s">
        <v>7</v>
      </c>
      <c r="P399">
        <f t="shared" si="974"/>
        <v>0.10583941605839498</v>
      </c>
      <c r="Q399">
        <f t="shared" si="975"/>
        <v>949671253.46351099</v>
      </c>
      <c r="R399">
        <f t="shared" si="976"/>
        <v>-433780399615.44781</v>
      </c>
      <c r="S399">
        <f t="shared" si="977"/>
        <v>-4337803.9961544778</v>
      </c>
      <c r="T399">
        <f t="shared" si="978"/>
        <v>-4337.8039961544782</v>
      </c>
    </row>
    <row r="400" spans="1:20" x14ac:dyDescent="0.25">
      <c r="A400" s="5">
        <v>44193</v>
      </c>
      <c r="B400">
        <v>6.3299999999999994E-5</v>
      </c>
      <c r="C400">
        <v>6.491E-5</v>
      </c>
      <c r="D400">
        <v>6.0069999999999999E-5</v>
      </c>
      <c r="E400">
        <v>6.0859999999999997E-5</v>
      </c>
      <c r="F400">
        <v>7874568984</v>
      </c>
      <c r="G400">
        <v>0</v>
      </c>
      <c r="L400" t="s">
        <v>7</v>
      </c>
      <c r="M400" t="s">
        <v>7</v>
      </c>
      <c r="N400" t="s">
        <v>7</v>
      </c>
      <c r="P400">
        <f t="shared" si="974"/>
        <v>-0.67355371900826555</v>
      </c>
      <c r="Q400">
        <f t="shared" si="975"/>
        <v>-5303945224.7603388</v>
      </c>
      <c r="R400">
        <f t="shared" si="976"/>
        <v>-434730070868.91132</v>
      </c>
      <c r="S400">
        <f t="shared" si="977"/>
        <v>-4347300.7086891131</v>
      </c>
      <c r="T400">
        <f t="shared" si="978"/>
        <v>-4347.300708689113</v>
      </c>
    </row>
    <row r="401" spans="1:20" x14ac:dyDescent="0.25">
      <c r="A401" s="5">
        <v>44192</v>
      </c>
      <c r="B401">
        <v>6.779E-5</v>
      </c>
      <c r="C401">
        <v>6.9120000000000002E-5</v>
      </c>
      <c r="D401">
        <v>6.0000000000000002E-5</v>
      </c>
      <c r="E401">
        <v>6.3250000000000006E-5</v>
      </c>
      <c r="F401">
        <v>22493508619</v>
      </c>
      <c r="G401">
        <v>0</v>
      </c>
      <c r="L401" t="s">
        <v>8</v>
      </c>
      <c r="M401" t="s">
        <v>7</v>
      </c>
      <c r="N401" t="s">
        <v>7</v>
      </c>
      <c r="P401">
        <f t="shared" si="974"/>
        <v>-0.28728070175438503</v>
      </c>
      <c r="Q401">
        <f t="shared" si="975"/>
        <v>-6461950940.9846277</v>
      </c>
      <c r="R401">
        <f t="shared" si="976"/>
        <v>-429426125644.151</v>
      </c>
      <c r="S401">
        <f t="shared" si="977"/>
        <v>-4294261.2564415103</v>
      </c>
      <c r="T401">
        <f t="shared" si="978"/>
        <v>-4294.2612564415103</v>
      </c>
    </row>
    <row r="402" spans="1:20" x14ac:dyDescent="0.25">
      <c r="A402" s="5">
        <v>44191</v>
      </c>
      <c r="B402">
        <v>7.4120000000000002E-5</v>
      </c>
      <c r="C402">
        <v>7.5199999999999998E-5</v>
      </c>
      <c r="D402">
        <v>6.5679999999999995E-5</v>
      </c>
      <c r="E402">
        <v>6.7910000000000005E-5</v>
      </c>
      <c r="F402">
        <v>18027810647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-0.5315126050420147</v>
      </c>
      <c r="Q402">
        <f t="shared" si="975"/>
        <v>-9582008600.1911392</v>
      </c>
      <c r="R402">
        <f t="shared" si="976"/>
        <v>-422964174703.16638</v>
      </c>
      <c r="S402">
        <f t="shared" si="977"/>
        <v>-4229641.7470316635</v>
      </c>
      <c r="T402">
        <f t="shared" si="978"/>
        <v>-4229.6417470316637</v>
      </c>
    </row>
    <row r="403" spans="1:20" x14ac:dyDescent="0.25">
      <c r="A403" s="5">
        <v>44190</v>
      </c>
      <c r="B403">
        <v>7.2769999999999996E-5</v>
      </c>
      <c r="C403">
        <v>7.5619999999999998E-5</v>
      </c>
      <c r="D403">
        <v>7.1779999999999994E-5</v>
      </c>
      <c r="E403">
        <v>7.4060000000000006E-5</v>
      </c>
      <c r="F403">
        <v>7763851124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0.18750000000000508</v>
      </c>
      <c r="Q403">
        <f t="shared" si="975"/>
        <v>1455722085.7500393</v>
      </c>
      <c r="R403">
        <f t="shared" si="976"/>
        <v>-413382166102.97522</v>
      </c>
      <c r="S403">
        <f t="shared" si="977"/>
        <v>-4133821.6610297523</v>
      </c>
      <c r="T403">
        <f t="shared" si="978"/>
        <v>-4133.8216610297522</v>
      </c>
    </row>
    <row r="404" spans="1:20" x14ac:dyDescent="0.25">
      <c r="A404" s="5">
        <v>44189</v>
      </c>
      <c r="B404">
        <v>6.8269999999999995E-5</v>
      </c>
      <c r="C404">
        <v>7.3159999999999997E-5</v>
      </c>
      <c r="D404">
        <v>6.648E-5</v>
      </c>
      <c r="E404">
        <v>7.2780000000000005E-5</v>
      </c>
      <c r="F404">
        <v>9645639360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0.88622754491018174</v>
      </c>
      <c r="Q404">
        <f t="shared" si="975"/>
        <v>8548231289.1018171</v>
      </c>
      <c r="R404">
        <f t="shared" si="976"/>
        <v>-414837888188.72528</v>
      </c>
      <c r="S404">
        <f t="shared" si="977"/>
        <v>-4148378.8818872529</v>
      </c>
      <c r="T404">
        <f t="shared" si="978"/>
        <v>-4148.3788818872526</v>
      </c>
    </row>
    <row r="405" spans="1:20" x14ac:dyDescent="0.25">
      <c r="A405" s="5">
        <v>44188</v>
      </c>
      <c r="B405">
        <v>7.5829999999999997E-5</v>
      </c>
      <c r="C405">
        <v>7.5950000000000003E-5</v>
      </c>
      <c r="D405">
        <v>6.6030000000000003E-5</v>
      </c>
      <c r="E405">
        <v>6.826E-5</v>
      </c>
      <c r="F405">
        <v>12336415244</v>
      </c>
      <c r="G405">
        <v>0</v>
      </c>
      <c r="L405" t="s">
        <v>8</v>
      </c>
      <c r="M405" t="s">
        <v>7</v>
      </c>
      <c r="N405" t="s">
        <v>7</v>
      </c>
      <c r="P405">
        <f t="shared" si="974"/>
        <v>-0.55040322580645218</v>
      </c>
      <c r="Q405">
        <f t="shared" si="975"/>
        <v>-6790002745.1854906</v>
      </c>
      <c r="R405">
        <f t="shared" si="976"/>
        <v>-423386119477.82709</v>
      </c>
      <c r="S405">
        <f t="shared" si="977"/>
        <v>-4233861.194778271</v>
      </c>
      <c r="T405">
        <f t="shared" si="978"/>
        <v>-4233.8611947782711</v>
      </c>
    </row>
    <row r="406" spans="1:20" x14ac:dyDescent="0.25">
      <c r="A406" s="5">
        <v>44187</v>
      </c>
      <c r="B406">
        <v>7.6870000000000001E-5</v>
      </c>
      <c r="C406">
        <v>7.7479999999999997E-5</v>
      </c>
      <c r="D406">
        <v>7.4499999999999995E-5</v>
      </c>
      <c r="E406">
        <v>7.5829999999999997E-5</v>
      </c>
      <c r="F406">
        <v>12240065408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-0.10738255033556937</v>
      </c>
      <c r="Q406">
        <f t="shared" si="975"/>
        <v>-1314369439.7852213</v>
      </c>
      <c r="R406">
        <f t="shared" si="976"/>
        <v>-416596116732.6416</v>
      </c>
      <c r="S406">
        <f t="shared" si="977"/>
        <v>-4165961.1673264159</v>
      </c>
      <c r="T406">
        <f t="shared" si="978"/>
        <v>-4165.9611673264162</v>
      </c>
    </row>
    <row r="407" spans="1:20" x14ac:dyDescent="0.25">
      <c r="A407" s="5">
        <v>44186</v>
      </c>
      <c r="B407">
        <v>7.9229999999999999E-5</v>
      </c>
      <c r="C407">
        <v>8.0500000000000005E-5</v>
      </c>
      <c r="D407">
        <v>7.5519999999999995E-5</v>
      </c>
      <c r="E407">
        <v>7.6500000000000003E-5</v>
      </c>
      <c r="F407">
        <v>5588210553</v>
      </c>
      <c r="G407">
        <v>0</v>
      </c>
      <c r="L407" t="s">
        <v>8</v>
      </c>
      <c r="M407" t="s">
        <v>7</v>
      </c>
      <c r="N407" t="s">
        <v>7</v>
      </c>
      <c r="P407">
        <f t="shared" si="974"/>
        <v>-0.60642570281124275</v>
      </c>
      <c r="Q407">
        <f t="shared" si="975"/>
        <v>-3388834512.0602283</v>
      </c>
      <c r="R407">
        <f t="shared" si="976"/>
        <v>-415281747292.85638</v>
      </c>
      <c r="S407">
        <f t="shared" si="977"/>
        <v>-4152817.4729285641</v>
      </c>
      <c r="T407">
        <f t="shared" si="978"/>
        <v>-4152.8174729285638</v>
      </c>
    </row>
    <row r="408" spans="1:20" x14ac:dyDescent="0.25">
      <c r="A408" s="5">
        <v>44185</v>
      </c>
      <c r="B408">
        <v>7.9320000000000006E-5</v>
      </c>
      <c r="C408">
        <v>8.2799999999999993E-5</v>
      </c>
      <c r="D408">
        <v>7.7769999999999996E-5</v>
      </c>
      <c r="E408">
        <v>7.9259999999999997E-5</v>
      </c>
      <c r="F408">
        <v>10200983074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-0.40755467196819017</v>
      </c>
      <c r="Q408">
        <f t="shared" si="975"/>
        <v>-4157458310.4771304</v>
      </c>
      <c r="R408">
        <f t="shared" si="976"/>
        <v>-411892912780.79614</v>
      </c>
      <c r="S408">
        <f t="shared" si="977"/>
        <v>-4118929.1278079613</v>
      </c>
      <c r="T408">
        <f t="shared" si="978"/>
        <v>-4118.9291278079609</v>
      </c>
    </row>
    <row r="409" spans="1:20" x14ac:dyDescent="0.25">
      <c r="A409" s="5">
        <v>44184</v>
      </c>
      <c r="B409">
        <v>7.8689999999999994E-5</v>
      </c>
      <c r="C409">
        <v>8.1909999999999993E-5</v>
      </c>
      <c r="D409">
        <v>7.8349999999999994E-5</v>
      </c>
      <c r="E409">
        <v>7.9330000000000001E-5</v>
      </c>
      <c r="F409">
        <v>8746690386</v>
      </c>
      <c r="G409">
        <v>0</v>
      </c>
      <c r="L409" t="s">
        <v>8</v>
      </c>
      <c r="M409" t="s">
        <v>7</v>
      </c>
      <c r="N409" t="s">
        <v>7</v>
      </c>
      <c r="P409">
        <f t="shared" si="974"/>
        <v>-0.44943820224718672</v>
      </c>
      <c r="Q409">
        <f t="shared" si="975"/>
        <v>-3931096802.6965919</v>
      </c>
      <c r="R409">
        <f t="shared" si="976"/>
        <v>-407735454470.31903</v>
      </c>
      <c r="S409">
        <f t="shared" si="977"/>
        <v>-4077354.5447031902</v>
      </c>
      <c r="T409">
        <f t="shared" si="978"/>
        <v>-4077.3545447031902</v>
      </c>
    </row>
    <row r="410" spans="1:20" x14ac:dyDescent="0.25">
      <c r="A410" s="5">
        <v>44183</v>
      </c>
      <c r="B410">
        <v>7.7550000000000001E-5</v>
      </c>
      <c r="C410">
        <v>7.9099999999999998E-5</v>
      </c>
      <c r="D410">
        <v>7.6180000000000006E-5</v>
      </c>
      <c r="E410">
        <v>7.8679999999999999E-5</v>
      </c>
      <c r="F410">
        <v>8258922346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0.7123287671232873</v>
      </c>
      <c r="Q410">
        <f t="shared" si="975"/>
        <v>5883067972.4931479</v>
      </c>
      <c r="R410">
        <f t="shared" si="976"/>
        <v>-403804357667.62244</v>
      </c>
      <c r="S410">
        <f t="shared" si="977"/>
        <v>-4038043.5766762244</v>
      </c>
      <c r="T410">
        <f t="shared" si="978"/>
        <v>-4038.0435766762243</v>
      </c>
    </row>
    <row r="411" spans="1:20" x14ac:dyDescent="0.25">
      <c r="A411" s="5">
        <v>44182</v>
      </c>
      <c r="B411">
        <v>8.0870000000000003E-5</v>
      </c>
      <c r="C411">
        <v>8.1100000000000006E-5</v>
      </c>
      <c r="D411">
        <v>7.7139999999999997E-5</v>
      </c>
      <c r="E411">
        <v>7.7550000000000001E-5</v>
      </c>
      <c r="F411">
        <v>11269468141</v>
      </c>
      <c r="G411">
        <v>0</v>
      </c>
      <c r="L411" t="s">
        <v>8</v>
      </c>
      <c r="M411" t="s">
        <v>7</v>
      </c>
      <c r="N411" t="s">
        <v>7</v>
      </c>
      <c r="P411">
        <f t="shared" si="974"/>
        <v>-0.79292929292929115</v>
      </c>
      <c r="Q411">
        <f t="shared" si="975"/>
        <v>-8935891404.7323036</v>
      </c>
      <c r="R411">
        <f t="shared" si="976"/>
        <v>-409687425640.1156</v>
      </c>
      <c r="S411">
        <f t="shared" si="977"/>
        <v>-4096874.2564011561</v>
      </c>
      <c r="T411">
        <f t="shared" si="978"/>
        <v>-4096.8742564011563</v>
      </c>
    </row>
    <row r="412" spans="1:20" x14ac:dyDescent="0.25">
      <c r="A412" s="5">
        <v>44181</v>
      </c>
      <c r="B412">
        <v>7.7330000000000007E-5</v>
      </c>
      <c r="C412">
        <v>8.1269999999999999E-5</v>
      </c>
      <c r="D412">
        <v>7.5220000000000001E-5</v>
      </c>
      <c r="E412">
        <v>8.0980000000000001E-5</v>
      </c>
      <c r="F412">
        <v>11941792354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0.90413223140495902</v>
      </c>
      <c r="Q412">
        <f t="shared" si="975"/>
        <v>10796959367.996698</v>
      </c>
      <c r="R412">
        <f t="shared" si="976"/>
        <v>-400751534235.3833</v>
      </c>
      <c r="S412">
        <f t="shared" si="977"/>
        <v>-4007515.3423538329</v>
      </c>
      <c r="T412">
        <f t="shared" si="978"/>
        <v>-4007.5153423538327</v>
      </c>
    </row>
    <row r="413" spans="1:20" x14ac:dyDescent="0.25">
      <c r="A413" s="5">
        <v>44180</v>
      </c>
      <c r="B413">
        <v>7.8100000000000001E-5</v>
      </c>
      <c r="C413">
        <v>7.8689999999999994E-5</v>
      </c>
      <c r="D413">
        <v>7.6130000000000005E-5</v>
      </c>
      <c r="E413">
        <v>7.7319999999999998E-5</v>
      </c>
      <c r="F413">
        <v>6210367902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-7.0312500000000958E-2</v>
      </c>
      <c r="Q413">
        <f t="shared" si="975"/>
        <v>-436666493.10938096</v>
      </c>
      <c r="R413">
        <f t="shared" si="976"/>
        <v>-411548493603.38</v>
      </c>
      <c r="S413">
        <f t="shared" si="977"/>
        <v>-4115484.9360338002</v>
      </c>
      <c r="T413">
        <f t="shared" si="978"/>
        <v>-4115.4849360338003</v>
      </c>
    </row>
    <row r="414" spans="1:20" x14ac:dyDescent="0.25">
      <c r="A414" s="5">
        <v>44179</v>
      </c>
      <c r="B414">
        <v>8.0309999999999995E-5</v>
      </c>
      <c r="C414">
        <v>8.0309999999999995E-5</v>
      </c>
      <c r="D414">
        <v>7.6909999999999994E-5</v>
      </c>
      <c r="E414">
        <v>7.8100000000000001E-5</v>
      </c>
      <c r="F414">
        <v>6432040393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-0.29999999999999599</v>
      </c>
      <c r="Q414">
        <f t="shared" si="975"/>
        <v>-1929612117.8999741</v>
      </c>
      <c r="R414">
        <f t="shared" si="976"/>
        <v>-411111827110.27063</v>
      </c>
      <c r="S414">
        <f t="shared" si="977"/>
        <v>-4111118.2711027064</v>
      </c>
      <c r="T414">
        <f t="shared" si="978"/>
        <v>-4111.1182711027068</v>
      </c>
    </row>
    <row r="415" spans="1:20" x14ac:dyDescent="0.25">
      <c r="A415" s="5">
        <v>44178</v>
      </c>
      <c r="B415">
        <v>8.0420000000000006E-5</v>
      </c>
      <c r="C415">
        <v>8.2100000000000003E-5</v>
      </c>
      <c r="D415">
        <v>7.8919999999999997E-5</v>
      </c>
      <c r="E415">
        <v>8.0309999999999995E-5</v>
      </c>
      <c r="F415">
        <v>9414107103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-0.12578616352201535</v>
      </c>
      <c r="Q415">
        <f t="shared" si="975"/>
        <v>-1184164415.4717243</v>
      </c>
      <c r="R415">
        <f t="shared" si="976"/>
        <v>-409182214992.37067</v>
      </c>
      <c r="S415">
        <f t="shared" si="977"/>
        <v>-4091822.1499237069</v>
      </c>
      <c r="T415">
        <f t="shared" si="978"/>
        <v>-4091.822149923707</v>
      </c>
    </row>
    <row r="416" spans="1:20" x14ac:dyDescent="0.25">
      <c r="A416" s="5">
        <v>44177</v>
      </c>
      <c r="B416">
        <v>7.7399999999999998E-5</v>
      </c>
      <c r="C416">
        <v>8.1450000000000001E-5</v>
      </c>
      <c r="D416">
        <v>7.7109999999999999E-5</v>
      </c>
      <c r="E416">
        <v>8.0550000000000006E-5</v>
      </c>
      <c r="F416">
        <v>9214207282</v>
      </c>
      <c r="G416">
        <v>0</v>
      </c>
      <c r="L416" t="s">
        <v>7</v>
      </c>
      <c r="M416" t="s">
        <v>8</v>
      </c>
      <c r="N416" t="s">
        <v>7</v>
      </c>
      <c r="P416">
        <f t="shared" si="974"/>
        <v>0.58525345622120084</v>
      </c>
      <c r="Q416">
        <f t="shared" si="975"/>
        <v>5392646658.1290569</v>
      </c>
      <c r="R416">
        <f t="shared" si="976"/>
        <v>-407998050576.89893</v>
      </c>
      <c r="S416">
        <f t="shared" si="977"/>
        <v>-4079980.5057689892</v>
      </c>
      <c r="T416">
        <f t="shared" si="978"/>
        <v>-4079.9805057689891</v>
      </c>
    </row>
    <row r="417" spans="1:20" x14ac:dyDescent="0.25">
      <c r="A417" s="5">
        <v>44176</v>
      </c>
      <c r="B417">
        <v>7.8200000000000003E-5</v>
      </c>
      <c r="C417">
        <v>8.2899999999999996E-5</v>
      </c>
      <c r="D417">
        <v>7.6520000000000006E-5</v>
      </c>
      <c r="E417">
        <v>7.7479999999999997E-5</v>
      </c>
      <c r="F417">
        <v>13347074514</v>
      </c>
      <c r="G417">
        <v>0</v>
      </c>
      <c r="L417" t="s">
        <v>8</v>
      </c>
      <c r="M417" t="s">
        <v>8</v>
      </c>
      <c r="N417" t="s">
        <v>7</v>
      </c>
      <c r="P417">
        <f t="shared" si="974"/>
        <v>-0.69905956112852907</v>
      </c>
      <c r="Q417">
        <f t="shared" si="975"/>
        <v>-9330400052.1066151</v>
      </c>
      <c r="R417">
        <f t="shared" si="976"/>
        <v>-413390697235.02795</v>
      </c>
      <c r="S417">
        <f t="shared" si="977"/>
        <v>-4133906.9723502793</v>
      </c>
      <c r="T417">
        <f t="shared" si="978"/>
        <v>-4133.9069723502789</v>
      </c>
    </row>
    <row r="418" spans="1:20" x14ac:dyDescent="0.25">
      <c r="A418" s="5">
        <v>44175</v>
      </c>
      <c r="B418">
        <v>7.9200000000000001E-5</v>
      </c>
      <c r="C418">
        <v>7.9400000000000006E-5</v>
      </c>
      <c r="D418">
        <v>7.64E-5</v>
      </c>
      <c r="E418">
        <v>7.8200000000000003E-5</v>
      </c>
      <c r="F418">
        <v>7758895962</v>
      </c>
      <c r="G418">
        <v>0</v>
      </c>
      <c r="L418" t="s">
        <v>7</v>
      </c>
      <c r="M418" t="s">
        <v>8</v>
      </c>
      <c r="N418" t="s">
        <v>7</v>
      </c>
      <c r="P418">
        <f t="shared" si="974"/>
        <v>0.2</v>
      </c>
      <c r="Q418">
        <f t="shared" si="975"/>
        <v>1551779192.4000001</v>
      </c>
      <c r="R418">
        <f t="shared" si="976"/>
        <v>-404060297182.92133</v>
      </c>
      <c r="S418">
        <f t="shared" si="977"/>
        <v>-4040602.9718292132</v>
      </c>
      <c r="T418">
        <f t="shared" si="978"/>
        <v>-4040.6029718292134</v>
      </c>
    </row>
    <row r="419" spans="1:20" x14ac:dyDescent="0.25">
      <c r="A419" s="5">
        <v>44174</v>
      </c>
      <c r="B419">
        <v>8.2219999999999995E-5</v>
      </c>
      <c r="C419">
        <v>8.2830000000000005E-5</v>
      </c>
      <c r="D419">
        <v>7.5939999999999995E-5</v>
      </c>
      <c r="E419">
        <v>7.9099999999999998E-5</v>
      </c>
      <c r="F419">
        <v>7863435504</v>
      </c>
      <c r="G419">
        <v>0</v>
      </c>
      <c r="L419" t="s">
        <v>8</v>
      </c>
      <c r="M419" t="s">
        <v>8</v>
      </c>
      <c r="N419" t="s">
        <v>7</v>
      </c>
      <c r="P419">
        <f t="shared" si="974"/>
        <v>-8.2728592162554737E-2</v>
      </c>
      <c r="Q419">
        <f t="shared" si="975"/>
        <v>-650530948.80696905</v>
      </c>
      <c r="R419">
        <f t="shared" si="976"/>
        <v>-405612076375.32135</v>
      </c>
      <c r="S419">
        <f t="shared" si="977"/>
        <v>-4056120.7637532135</v>
      </c>
      <c r="T419">
        <f t="shared" si="978"/>
        <v>-4056.1207637532134</v>
      </c>
    </row>
    <row r="420" spans="1:20" x14ac:dyDescent="0.25">
      <c r="A420" s="5">
        <v>44173</v>
      </c>
      <c r="B420">
        <v>8.9519999999999997E-5</v>
      </c>
      <c r="C420">
        <v>9.0099999999999995E-5</v>
      </c>
      <c r="D420">
        <v>8.1520000000000006E-5</v>
      </c>
      <c r="E420">
        <v>8.2349999999999996E-5</v>
      </c>
      <c r="F420">
        <v>7811004814</v>
      </c>
      <c r="G420">
        <v>0</v>
      </c>
      <c r="L420" t="s">
        <v>7</v>
      </c>
      <c r="M420" t="s">
        <v>8</v>
      </c>
      <c r="N420" t="s">
        <v>7</v>
      </c>
      <c r="P420">
        <f t="shared" si="974"/>
        <v>-0.80652680652680853</v>
      </c>
      <c r="Q420">
        <f t="shared" si="975"/>
        <v>-6299784768.4009476</v>
      </c>
      <c r="R420">
        <f t="shared" si="976"/>
        <v>-404961545426.5144</v>
      </c>
      <c r="S420">
        <f t="shared" si="977"/>
        <v>-4049615.4542651442</v>
      </c>
      <c r="T420">
        <f t="shared" si="978"/>
        <v>-4049.6154542651443</v>
      </c>
    </row>
    <row r="421" spans="1:20" x14ac:dyDescent="0.25">
      <c r="A421" s="5">
        <v>44172</v>
      </c>
      <c r="B421">
        <v>7.6329999999999996E-5</v>
      </c>
      <c r="C421">
        <v>9.1379999999999996E-5</v>
      </c>
      <c r="D421">
        <v>7.4950000000000006E-5</v>
      </c>
      <c r="E421">
        <v>8.9690000000000004E-5</v>
      </c>
      <c r="F421">
        <v>13432579687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0.79427875836883832</v>
      </c>
      <c r="Q421">
        <f t="shared" si="975"/>
        <v>10669212715.480839</v>
      </c>
      <c r="R421">
        <f t="shared" si="976"/>
        <v>-398661760658.11346</v>
      </c>
      <c r="S421">
        <f t="shared" si="977"/>
        <v>-3986617.6065811347</v>
      </c>
      <c r="T421">
        <f t="shared" si="978"/>
        <v>-3986.6176065811346</v>
      </c>
    </row>
    <row r="422" spans="1:20" x14ac:dyDescent="0.25">
      <c r="A422" s="5">
        <v>44171</v>
      </c>
      <c r="B422">
        <v>7.504E-5</v>
      </c>
      <c r="C422">
        <v>7.7869999999999998E-5</v>
      </c>
      <c r="D422">
        <v>7.3629999999999998E-5</v>
      </c>
      <c r="E422">
        <v>7.6290000000000003E-5</v>
      </c>
      <c r="F422">
        <v>8582557332</v>
      </c>
      <c r="G422">
        <v>0</v>
      </c>
      <c r="L422" t="s">
        <v>7</v>
      </c>
      <c r="M422" t="s">
        <v>7</v>
      </c>
      <c r="N422" t="s">
        <v>7</v>
      </c>
      <c r="P422">
        <f t="shared" si="974"/>
        <v>0.2547169811320778</v>
      </c>
      <c r="Q422">
        <f t="shared" si="975"/>
        <v>2186123094.00002</v>
      </c>
      <c r="R422">
        <f t="shared" si="976"/>
        <v>-409330973373.5943</v>
      </c>
      <c r="S422">
        <f t="shared" si="977"/>
        <v>-4093309.7337359432</v>
      </c>
      <c r="T422">
        <f t="shared" si="978"/>
        <v>-4093.3097337359432</v>
      </c>
    </row>
    <row r="423" spans="1:20" x14ac:dyDescent="0.25">
      <c r="A423" s="5">
        <v>44170</v>
      </c>
      <c r="B423">
        <v>7.3159999999999997E-5</v>
      </c>
      <c r="C423">
        <v>7.5500000000000006E-5</v>
      </c>
      <c r="D423">
        <v>7.1160000000000003E-5</v>
      </c>
      <c r="E423">
        <v>7.4980000000000004E-5</v>
      </c>
      <c r="F423">
        <v>7956665930</v>
      </c>
      <c r="G423">
        <v>0</v>
      </c>
      <c r="L423" t="s">
        <v>8</v>
      </c>
      <c r="M423" t="s">
        <v>7</v>
      </c>
      <c r="N423" t="s">
        <v>7</v>
      </c>
      <c r="P423">
        <f t="shared" si="974"/>
        <v>0.76036866359446931</v>
      </c>
      <c r="Q423">
        <f t="shared" si="975"/>
        <v>6049999439.8617449</v>
      </c>
      <c r="R423">
        <f t="shared" si="976"/>
        <v>-411517096467.5943</v>
      </c>
      <c r="S423">
        <f t="shared" si="977"/>
        <v>-4115170.9646759429</v>
      </c>
      <c r="T423">
        <f t="shared" si="978"/>
        <v>-4115.1709646759427</v>
      </c>
    </row>
    <row r="424" spans="1:20" x14ac:dyDescent="0.25">
      <c r="A424" s="5">
        <v>44169</v>
      </c>
      <c r="B424">
        <v>7.6180000000000006E-5</v>
      </c>
      <c r="C424">
        <v>7.6630000000000003E-5</v>
      </c>
      <c r="D424">
        <v>7.2319999999999999E-5</v>
      </c>
      <c r="E424">
        <v>7.3300000000000006E-5</v>
      </c>
      <c r="F424">
        <v>10271298565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-0.54524361948955613</v>
      </c>
      <c r="Q424">
        <f t="shared" si="975"/>
        <v>-5600360006.4384842</v>
      </c>
      <c r="R424">
        <f t="shared" si="976"/>
        <v>-417567095907.45605</v>
      </c>
      <c r="S424">
        <f t="shared" si="977"/>
        <v>-4175670.9590745606</v>
      </c>
      <c r="T424">
        <f t="shared" si="978"/>
        <v>-4175.6709590745604</v>
      </c>
    </row>
    <row r="425" spans="1:20" x14ac:dyDescent="0.25">
      <c r="A425" s="5">
        <v>44168</v>
      </c>
      <c r="B425">
        <v>7.8349999999999994E-5</v>
      </c>
      <c r="C425">
        <v>7.86E-5</v>
      </c>
      <c r="D425">
        <v>7.394E-5</v>
      </c>
      <c r="E425">
        <v>7.6160000000000003E-5</v>
      </c>
      <c r="F425">
        <v>12019695932</v>
      </c>
      <c r="G425">
        <v>0</v>
      </c>
      <c r="L425" t="s">
        <v>8</v>
      </c>
      <c r="M425" t="s">
        <v>7</v>
      </c>
      <c r="N425" t="s">
        <v>7</v>
      </c>
      <c r="P425">
        <f t="shared" si="974"/>
        <v>-4.7210300429183373E-2</v>
      </c>
      <c r="Q425">
        <f t="shared" si="975"/>
        <v>-567453456.01715326</v>
      </c>
      <c r="R425">
        <f t="shared" si="976"/>
        <v>-411966735901.01758</v>
      </c>
      <c r="S425">
        <f t="shared" si="977"/>
        <v>-4119667.3590101758</v>
      </c>
      <c r="T425">
        <f t="shared" si="978"/>
        <v>-4119.6673590101755</v>
      </c>
    </row>
    <row r="426" spans="1:20" x14ac:dyDescent="0.25">
      <c r="A426" s="5">
        <v>44167</v>
      </c>
      <c r="B426">
        <v>7.7810000000000002E-5</v>
      </c>
      <c r="C426">
        <v>7.8999999999999996E-5</v>
      </c>
      <c r="D426">
        <v>7.6000000000000004E-5</v>
      </c>
      <c r="E426">
        <v>7.8430000000000006E-5</v>
      </c>
      <c r="F426">
        <v>9208767052</v>
      </c>
      <c r="G426">
        <v>0</v>
      </c>
      <c r="L426" t="s">
        <v>7</v>
      </c>
      <c r="M426" t="s">
        <v>7</v>
      </c>
      <c r="N426" t="s">
        <v>7</v>
      </c>
      <c r="P426">
        <f t="shared" si="974"/>
        <v>0.62000000000000599</v>
      </c>
      <c r="Q426">
        <f t="shared" si="975"/>
        <v>5709435572.2400551</v>
      </c>
      <c r="R426">
        <f t="shared" si="976"/>
        <v>-411399282445.00043</v>
      </c>
      <c r="S426">
        <f t="shared" si="977"/>
        <v>-4113992.8244500044</v>
      </c>
      <c r="T426">
        <f t="shared" si="978"/>
        <v>-4113.9928244500043</v>
      </c>
    </row>
    <row r="427" spans="1:20" x14ac:dyDescent="0.25">
      <c r="A427" s="5">
        <v>44166</v>
      </c>
      <c r="B427">
        <v>7.9729999999999997E-5</v>
      </c>
      <c r="C427">
        <v>8.25E-5</v>
      </c>
      <c r="D427">
        <v>7.7200000000000006E-5</v>
      </c>
      <c r="E427">
        <v>7.7860000000000003E-5</v>
      </c>
      <c r="F427">
        <v>11769208184</v>
      </c>
      <c r="G427">
        <v>0</v>
      </c>
      <c r="L427" t="s">
        <v>8</v>
      </c>
      <c r="M427" t="s">
        <v>7</v>
      </c>
      <c r="N427" t="s">
        <v>7</v>
      </c>
      <c r="P427">
        <f t="shared" si="974"/>
        <v>-0.75094339622641593</v>
      </c>
      <c r="Q427">
        <f t="shared" si="975"/>
        <v>-8838009164.5886898</v>
      </c>
      <c r="R427">
        <f t="shared" si="976"/>
        <v>-417108718017.24048</v>
      </c>
      <c r="S427">
        <f t="shared" si="977"/>
        <v>-4171087.1801724047</v>
      </c>
      <c r="T427">
        <f t="shared" si="978"/>
        <v>-4171.0871801724052</v>
      </c>
    </row>
    <row r="428" spans="1:20" x14ac:dyDescent="0.25">
      <c r="A428" s="5">
        <v>44165</v>
      </c>
      <c r="B428">
        <v>7.7999999999999999E-5</v>
      </c>
      <c r="C428">
        <v>8.2670000000000006E-5</v>
      </c>
      <c r="D428">
        <v>7.7609999999999997E-5</v>
      </c>
      <c r="E428">
        <v>7.9729999999999997E-5</v>
      </c>
      <c r="F428">
        <v>9366231230</v>
      </c>
      <c r="G428">
        <v>0</v>
      </c>
      <c r="L428" t="s">
        <v>7</v>
      </c>
      <c r="M428" t="s">
        <v>7</v>
      </c>
      <c r="N428" t="s">
        <v>7</v>
      </c>
      <c r="P428">
        <f t="shared" si="974"/>
        <v>-0.16205533596838095</v>
      </c>
      <c r="Q428">
        <f t="shared" si="975"/>
        <v>-1517847748.7351921</v>
      </c>
      <c r="R428">
        <f t="shared" si="976"/>
        <v>-408270708852.65179</v>
      </c>
      <c r="S428">
        <f t="shared" si="977"/>
        <v>-4082707.0885265181</v>
      </c>
      <c r="T428">
        <f t="shared" si="978"/>
        <v>-4082.707088526518</v>
      </c>
    </row>
    <row r="429" spans="1:20" x14ac:dyDescent="0.25">
      <c r="A429" s="5">
        <v>44164</v>
      </c>
      <c r="B429">
        <v>8.2059999999999997E-5</v>
      </c>
      <c r="C429">
        <v>8.3560000000000006E-5</v>
      </c>
      <c r="D429">
        <v>7.5599999999999994E-5</v>
      </c>
      <c r="E429">
        <v>7.7830000000000005E-5</v>
      </c>
      <c r="F429">
        <v>10083590910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-0.43969849246230969</v>
      </c>
      <c r="Q429">
        <f t="shared" si="975"/>
        <v>-4433739721.7336493</v>
      </c>
      <c r="R429">
        <f t="shared" si="976"/>
        <v>-406752861103.91663</v>
      </c>
      <c r="S429">
        <f t="shared" si="977"/>
        <v>-4067528.6110391663</v>
      </c>
      <c r="T429">
        <f t="shared" si="978"/>
        <v>-4067.5286110391662</v>
      </c>
    </row>
    <row r="430" spans="1:20" x14ac:dyDescent="0.25">
      <c r="A430" s="5">
        <v>44163</v>
      </c>
      <c r="B430">
        <v>8.0000000000000007E-5</v>
      </c>
      <c r="C430">
        <v>8.3499999999999997E-5</v>
      </c>
      <c r="D430">
        <v>7.8609999999999994E-5</v>
      </c>
      <c r="E430">
        <v>8.2219999999999995E-5</v>
      </c>
      <c r="F430">
        <v>6361181123</v>
      </c>
      <c r="G430">
        <v>0</v>
      </c>
      <c r="L430" t="s">
        <v>7</v>
      </c>
      <c r="M430" t="s">
        <v>7</v>
      </c>
      <c r="N430" t="s">
        <v>7</v>
      </c>
      <c r="P430">
        <f t="shared" si="974"/>
        <v>0.47648261758691179</v>
      </c>
      <c r="Q430">
        <f t="shared" si="975"/>
        <v>3030992232.4314909</v>
      </c>
      <c r="R430">
        <f t="shared" si="976"/>
        <v>-402319121382.18298</v>
      </c>
      <c r="S430">
        <f t="shared" si="977"/>
        <v>-4023191.2138218298</v>
      </c>
      <c r="T430">
        <f t="shared" si="978"/>
        <v>-4023.1912138218299</v>
      </c>
    </row>
    <row r="431" spans="1:20" x14ac:dyDescent="0.25">
      <c r="A431" s="5">
        <v>44162</v>
      </c>
      <c r="B431">
        <v>7.9590000000000002E-5</v>
      </c>
      <c r="C431">
        <v>8.1440000000000006E-5</v>
      </c>
      <c r="D431">
        <v>7.737E-5</v>
      </c>
      <c r="E431">
        <v>8.0000000000000007E-5</v>
      </c>
      <c r="F431">
        <v>3409628104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0.29238329238329369</v>
      </c>
      <c r="Q431">
        <f t="shared" si="975"/>
        <v>996918290.85012734</v>
      </c>
      <c r="R431">
        <f t="shared" si="976"/>
        <v>-405350113614.6145</v>
      </c>
      <c r="S431">
        <f t="shared" si="977"/>
        <v>-4053501.1361461449</v>
      </c>
      <c r="T431">
        <f t="shared" si="978"/>
        <v>-4053.5011361461447</v>
      </c>
    </row>
    <row r="432" spans="1:20" x14ac:dyDescent="0.25">
      <c r="A432" s="5">
        <v>44161</v>
      </c>
      <c r="B432">
        <v>8.9320000000000005E-5</v>
      </c>
      <c r="C432">
        <v>9.0140000000000001E-5</v>
      </c>
      <c r="D432">
        <v>7.6600000000000005E-5</v>
      </c>
      <c r="E432">
        <v>7.9480000000000005E-5</v>
      </c>
      <c r="F432">
        <v>5340373567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-0.57459379615952721</v>
      </c>
      <c r="Q432">
        <f t="shared" si="975"/>
        <v>-3068545520.7725253</v>
      </c>
      <c r="R432">
        <f t="shared" si="976"/>
        <v>-406347031905.4646</v>
      </c>
      <c r="S432">
        <f t="shared" si="977"/>
        <v>-4063470.319054646</v>
      </c>
      <c r="T432">
        <f t="shared" si="978"/>
        <v>-4063.4703190546461</v>
      </c>
    </row>
    <row r="433" spans="1:20" x14ac:dyDescent="0.25">
      <c r="A433" s="5">
        <v>44160</v>
      </c>
      <c r="B433">
        <v>9.3960000000000002E-5</v>
      </c>
      <c r="C433">
        <v>9.5749999999999996E-5</v>
      </c>
      <c r="D433">
        <v>8.7559999999999995E-5</v>
      </c>
      <c r="E433">
        <v>8.933E-5</v>
      </c>
      <c r="F433">
        <v>8591374420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-0.56776556776556664</v>
      </c>
      <c r="Q433">
        <f t="shared" si="975"/>
        <v>-4877886575.4578657</v>
      </c>
      <c r="R433">
        <f t="shared" si="976"/>
        <v>-403278486384.69208</v>
      </c>
      <c r="S433">
        <f t="shared" si="977"/>
        <v>-4032784.8638469209</v>
      </c>
      <c r="T433">
        <f t="shared" si="978"/>
        <v>-4032.7848638469209</v>
      </c>
    </row>
    <row r="434" spans="1:20" x14ac:dyDescent="0.25">
      <c r="A434" s="5">
        <v>44159</v>
      </c>
      <c r="B434">
        <v>9.3629999999999996E-5</v>
      </c>
      <c r="C434">
        <v>1.0098999999999999E-4</v>
      </c>
      <c r="D434">
        <v>9.1600000000000004E-5</v>
      </c>
      <c r="E434">
        <v>9.3969999999999996E-5</v>
      </c>
      <c r="F434">
        <v>7051058444</v>
      </c>
      <c r="G434">
        <v>0</v>
      </c>
      <c r="L434" t="s">
        <v>7</v>
      </c>
      <c r="M434" t="s">
        <v>8</v>
      </c>
      <c r="N434" t="s">
        <v>8</v>
      </c>
      <c r="P434">
        <f t="shared" si="974"/>
        <v>-0.49520766773163044</v>
      </c>
      <c r="Q434">
        <f t="shared" si="975"/>
        <v>-3491738207.092659</v>
      </c>
      <c r="R434">
        <f t="shared" si="976"/>
        <v>-398400599809.23419</v>
      </c>
      <c r="S434">
        <f t="shared" si="977"/>
        <v>-3984005.9980923417</v>
      </c>
      <c r="T434">
        <f t="shared" si="978"/>
        <v>-3984.0059980923415</v>
      </c>
    </row>
    <row r="435" spans="1:20" x14ac:dyDescent="0.25">
      <c r="A435" s="5">
        <v>44158</v>
      </c>
      <c r="B435">
        <v>9.2230000000000003E-5</v>
      </c>
      <c r="C435">
        <v>9.569E-5</v>
      </c>
      <c r="D435">
        <v>8.9499999999999994E-5</v>
      </c>
      <c r="E435">
        <v>9.3529999999999994E-5</v>
      </c>
      <c r="F435">
        <v>25291720295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0.3021001615508872</v>
      </c>
      <c r="Q435">
        <f t="shared" si="975"/>
        <v>7640632787.0193529</v>
      </c>
      <c r="R435">
        <f t="shared" si="976"/>
        <v>-394908861602.14154</v>
      </c>
      <c r="S435">
        <f t="shared" si="977"/>
        <v>-3949088.6160214152</v>
      </c>
      <c r="T435">
        <f t="shared" si="978"/>
        <v>-3949.0886160214154</v>
      </c>
    </row>
    <row r="436" spans="1:20" x14ac:dyDescent="0.25">
      <c r="A436" s="5">
        <v>44157</v>
      </c>
      <c r="B436">
        <v>9.9790000000000005E-5</v>
      </c>
      <c r="C436">
        <v>1E-4</v>
      </c>
      <c r="D436">
        <v>9.1310000000000005E-5</v>
      </c>
      <c r="E436">
        <v>9.221E-5</v>
      </c>
      <c r="F436">
        <v>9292543603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-0.7928653624856169</v>
      </c>
      <c r="Q436">
        <f t="shared" si="975"/>
        <v>-7367735952.2059956</v>
      </c>
      <c r="R436">
        <f t="shared" si="976"/>
        <v>-402549494389.16089</v>
      </c>
      <c r="S436">
        <f t="shared" si="977"/>
        <v>-4025494.9438916091</v>
      </c>
      <c r="T436">
        <f t="shared" si="978"/>
        <v>-4025.4949438916092</v>
      </c>
    </row>
    <row r="437" spans="1:20" x14ac:dyDescent="0.25">
      <c r="A437" s="5">
        <v>44156</v>
      </c>
      <c r="B437">
        <v>9.6199999999999994E-5</v>
      </c>
      <c r="C437">
        <v>1.0105E-4</v>
      </c>
      <c r="D437">
        <v>9.4900000000000003E-5</v>
      </c>
      <c r="E437">
        <v>9.9790000000000005E-5</v>
      </c>
      <c r="F437">
        <v>4695944359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0.59024390243902503</v>
      </c>
      <c r="Q437">
        <f t="shared" si="975"/>
        <v>2771752524.0926857</v>
      </c>
      <c r="R437">
        <f t="shared" si="976"/>
        <v>-395181758436.9549</v>
      </c>
      <c r="S437">
        <f t="shared" si="977"/>
        <v>-3951817.5843695491</v>
      </c>
      <c r="T437">
        <f t="shared" si="978"/>
        <v>-3951.817584369549</v>
      </c>
    </row>
    <row r="438" spans="1:20" x14ac:dyDescent="0.25">
      <c r="A438" s="5">
        <v>44155</v>
      </c>
      <c r="B438">
        <v>9.6160000000000001E-5</v>
      </c>
      <c r="C438">
        <v>9.9900000000000002E-5</v>
      </c>
      <c r="D438">
        <v>9.4530000000000005E-5</v>
      </c>
      <c r="E438">
        <v>9.6000000000000002E-5</v>
      </c>
      <c r="F438">
        <v>11411643305</v>
      </c>
      <c r="G438">
        <v>0</v>
      </c>
      <c r="L438" t="s">
        <v>7</v>
      </c>
      <c r="M438" t="s">
        <v>8</v>
      </c>
      <c r="N438" t="s">
        <v>8</v>
      </c>
      <c r="P438">
        <f t="shared" si="974"/>
        <v>-0.4525139664804475</v>
      </c>
      <c r="Q438">
        <f t="shared" si="975"/>
        <v>-5163927976.0055933</v>
      </c>
      <c r="R438">
        <f t="shared" si="976"/>
        <v>-397953510961.04761</v>
      </c>
      <c r="S438">
        <f t="shared" si="977"/>
        <v>-3979535.1096104761</v>
      </c>
      <c r="T438">
        <f t="shared" si="978"/>
        <v>-3979.535109610476</v>
      </c>
    </row>
    <row r="439" spans="1:20" x14ac:dyDescent="0.25">
      <c r="A439" s="5">
        <v>44154</v>
      </c>
      <c r="B439">
        <v>9.7899999999999994E-5</v>
      </c>
      <c r="C439">
        <v>9.8510000000000004E-5</v>
      </c>
      <c r="D439">
        <v>9.3700000000000001E-5</v>
      </c>
      <c r="E439">
        <v>9.6150000000000006E-5</v>
      </c>
      <c r="F439">
        <v>5879863792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1.871101871102028E-2</v>
      </c>
      <c r="Q439">
        <f t="shared" si="975"/>
        <v>110018241.43036266</v>
      </c>
      <c r="R439">
        <f t="shared" si="976"/>
        <v>-392789582985.04199</v>
      </c>
      <c r="S439">
        <f t="shared" si="977"/>
        <v>-3927895.8298504199</v>
      </c>
      <c r="T439">
        <f t="shared" si="978"/>
        <v>-3927.8958298504199</v>
      </c>
    </row>
    <row r="440" spans="1:20" x14ac:dyDescent="0.25">
      <c r="A440" s="5">
        <v>44153</v>
      </c>
      <c r="B440">
        <v>9.5299999999999999E-5</v>
      </c>
      <c r="C440">
        <v>9.8800000000000003E-5</v>
      </c>
      <c r="D440">
        <v>8.9099999999999997E-5</v>
      </c>
      <c r="E440">
        <v>9.7899999999999994E-5</v>
      </c>
      <c r="F440">
        <v>7363854016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0.81443298969072009</v>
      </c>
      <c r="Q440">
        <f t="shared" si="975"/>
        <v>5997365641.8968954</v>
      </c>
      <c r="R440">
        <f t="shared" si="976"/>
        <v>-392899601226.47235</v>
      </c>
      <c r="S440">
        <f t="shared" si="977"/>
        <v>-3928996.0122647234</v>
      </c>
      <c r="T440">
        <f t="shared" si="978"/>
        <v>-3928.9960122647235</v>
      </c>
    </row>
    <row r="441" spans="1:20" x14ac:dyDescent="0.25">
      <c r="A441" s="5">
        <v>44152</v>
      </c>
      <c r="B441">
        <v>9.2999999999999997E-5</v>
      </c>
      <c r="C441">
        <v>9.7499999999999998E-5</v>
      </c>
      <c r="D441">
        <v>9.1500000000000001E-5</v>
      </c>
      <c r="E441">
        <v>9.5299999999999999E-5</v>
      </c>
      <c r="F441">
        <v>11345161865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0.2666666666666665</v>
      </c>
      <c r="Q441">
        <f t="shared" si="975"/>
        <v>3025376497.3333316</v>
      </c>
      <c r="R441">
        <f t="shared" si="976"/>
        <v>-398896966868.36926</v>
      </c>
      <c r="S441">
        <f t="shared" si="977"/>
        <v>-3988969.6686836928</v>
      </c>
      <c r="T441">
        <f t="shared" si="978"/>
        <v>-3988.9696686836928</v>
      </c>
    </row>
    <row r="442" spans="1:20" x14ac:dyDescent="0.25">
      <c r="A442" s="5">
        <v>44151</v>
      </c>
      <c r="B442">
        <v>8.92E-5</v>
      </c>
      <c r="C442">
        <v>9.7399999999999996E-5</v>
      </c>
      <c r="D442">
        <v>8.8499999999999996E-5</v>
      </c>
      <c r="E442">
        <v>9.2899999999999995E-5</v>
      </c>
      <c r="F442">
        <v>6537372167</v>
      </c>
      <c r="G442">
        <v>0</v>
      </c>
      <c r="L442" t="s">
        <v>7</v>
      </c>
      <c r="M442" t="s">
        <v>8</v>
      </c>
      <c r="N442" t="s">
        <v>8</v>
      </c>
      <c r="P442">
        <f t="shared" si="974"/>
        <v>-1.1235955056180049E-2</v>
      </c>
      <c r="Q442">
        <f t="shared" si="975"/>
        <v>-73453619.853934377</v>
      </c>
      <c r="R442">
        <f t="shared" si="976"/>
        <v>-401922343365.70258</v>
      </c>
      <c r="S442">
        <f t="shared" si="977"/>
        <v>-4019223.4336570259</v>
      </c>
      <c r="T442">
        <f t="shared" si="978"/>
        <v>-4019.2234336570259</v>
      </c>
    </row>
    <row r="443" spans="1:20" x14ac:dyDescent="0.25">
      <c r="A443" s="5">
        <v>44150</v>
      </c>
      <c r="B443">
        <v>8.8499999999999996E-5</v>
      </c>
      <c r="C443">
        <v>9.1700000000000006E-5</v>
      </c>
      <c r="D443">
        <v>8.7999999999999998E-5</v>
      </c>
      <c r="E443">
        <v>8.9300000000000002E-5</v>
      </c>
      <c r="F443">
        <v>7870060544</v>
      </c>
      <c r="G443">
        <v>0</v>
      </c>
      <c r="L443" t="s">
        <v>8</v>
      </c>
      <c r="M443" t="s">
        <v>7</v>
      </c>
      <c r="N443" t="s">
        <v>8</v>
      </c>
      <c r="P443">
        <f t="shared" si="974"/>
        <v>-0.29729729729729648</v>
      </c>
      <c r="Q443">
        <f t="shared" si="975"/>
        <v>-2339747729.2972908</v>
      </c>
      <c r="R443">
        <f t="shared" si="976"/>
        <v>-401848889745.84863</v>
      </c>
      <c r="S443">
        <f t="shared" si="977"/>
        <v>-4018488.8974584863</v>
      </c>
      <c r="T443">
        <f t="shared" si="978"/>
        <v>-4018.4888974584865</v>
      </c>
    </row>
    <row r="444" spans="1:20" x14ac:dyDescent="0.25">
      <c r="A444" s="5">
        <v>44149</v>
      </c>
      <c r="B444">
        <v>8.7399999999999997E-5</v>
      </c>
      <c r="C444">
        <v>9.1500000000000001E-5</v>
      </c>
      <c r="D444">
        <v>8.6100000000000006E-5</v>
      </c>
      <c r="E444">
        <v>8.8499999999999996E-5</v>
      </c>
      <c r="F444">
        <v>2747865975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-0.11111111111111389</v>
      </c>
      <c r="Q444">
        <f t="shared" si="975"/>
        <v>-305318441.66667432</v>
      </c>
      <c r="R444">
        <f t="shared" si="976"/>
        <v>-399509142016.55133</v>
      </c>
      <c r="S444">
        <f t="shared" si="977"/>
        <v>-3995091.4201655132</v>
      </c>
      <c r="T444">
        <f t="shared" si="978"/>
        <v>-3995.0914201655132</v>
      </c>
    </row>
    <row r="445" spans="1:20" x14ac:dyDescent="0.25">
      <c r="A445" s="5">
        <v>44148</v>
      </c>
      <c r="B445">
        <v>8.6399999999999999E-5</v>
      </c>
      <c r="C445">
        <v>8.8800000000000004E-5</v>
      </c>
      <c r="D445">
        <v>8.5199999999999997E-5</v>
      </c>
      <c r="E445">
        <v>8.7499999999999999E-5</v>
      </c>
      <c r="F445">
        <v>7329939665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0.27777777777777651</v>
      </c>
      <c r="Q445">
        <f t="shared" si="975"/>
        <v>2036094351.3888795</v>
      </c>
      <c r="R445">
        <f t="shared" si="976"/>
        <v>-399203823574.88464</v>
      </c>
      <c r="S445">
        <f t="shared" si="977"/>
        <v>-3992038.2357488465</v>
      </c>
      <c r="T445">
        <f t="shared" si="978"/>
        <v>-3992.0382357488465</v>
      </c>
    </row>
    <row r="446" spans="1:20" x14ac:dyDescent="0.25">
      <c r="A446" s="5">
        <v>44147</v>
      </c>
      <c r="B446">
        <v>8.9300000000000002E-5</v>
      </c>
      <c r="C446">
        <v>8.9800000000000001E-5</v>
      </c>
      <c r="D446">
        <v>8.5799999999999998E-5</v>
      </c>
      <c r="E446">
        <v>8.6299999999999997E-5</v>
      </c>
      <c r="F446">
        <v>7658672070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-0.75000000000000089</v>
      </c>
      <c r="Q446">
        <f t="shared" si="975"/>
        <v>-5744004052.5000067</v>
      </c>
      <c r="R446">
        <f t="shared" si="976"/>
        <v>-401239917926.2735</v>
      </c>
      <c r="S446">
        <f t="shared" si="977"/>
        <v>-4012399.1792627349</v>
      </c>
      <c r="T446">
        <f t="shared" si="978"/>
        <v>-4012.3991792627348</v>
      </c>
    </row>
    <row r="447" spans="1:20" x14ac:dyDescent="0.25">
      <c r="A447" s="5">
        <v>44146</v>
      </c>
      <c r="B447">
        <v>9.0299999999999999E-5</v>
      </c>
      <c r="C447">
        <v>9.1500000000000001E-5</v>
      </c>
      <c r="D447">
        <v>8.7999999999999998E-5</v>
      </c>
      <c r="E447">
        <v>8.92E-5</v>
      </c>
      <c r="F447">
        <v>2396181645</v>
      </c>
      <c r="G447">
        <v>0</v>
      </c>
      <c r="L447" t="s">
        <v>8</v>
      </c>
      <c r="M447" t="s">
        <v>7</v>
      </c>
      <c r="N447" t="s">
        <v>8</v>
      </c>
      <c r="P447">
        <f t="shared" si="974"/>
        <v>-0.31428571428571384</v>
      </c>
      <c r="Q447">
        <f t="shared" si="975"/>
        <v>-753085659.85714173</v>
      </c>
      <c r="R447">
        <f t="shared" si="976"/>
        <v>-395495913873.7735</v>
      </c>
      <c r="S447">
        <f t="shared" si="977"/>
        <v>-3954959.1387377349</v>
      </c>
      <c r="T447">
        <f t="shared" si="978"/>
        <v>-3954.959138737735</v>
      </c>
    </row>
    <row r="448" spans="1:20" x14ac:dyDescent="0.25">
      <c r="A448" s="5">
        <v>44145</v>
      </c>
      <c r="B448">
        <v>8.9599999999999996E-5</v>
      </c>
      <c r="C448">
        <v>9.1299999999999997E-5</v>
      </c>
      <c r="D448">
        <v>8.81E-5</v>
      </c>
      <c r="E448">
        <v>9.0099999999999995E-5</v>
      </c>
      <c r="F448">
        <v>20361364013</v>
      </c>
      <c r="G448">
        <v>0</v>
      </c>
      <c r="L448" t="s">
        <v>7</v>
      </c>
      <c r="M448" t="s">
        <v>7</v>
      </c>
      <c r="N448" t="s">
        <v>8</v>
      </c>
      <c r="P448">
        <f t="shared" si="974"/>
        <v>0.24999999999999789</v>
      </c>
      <c r="Q448">
        <f t="shared" si="975"/>
        <v>5090341003.2499571</v>
      </c>
      <c r="R448">
        <f t="shared" si="976"/>
        <v>-394742828213.91638</v>
      </c>
      <c r="S448">
        <f t="shared" si="977"/>
        <v>-3947428.2821391639</v>
      </c>
      <c r="T448">
        <f t="shared" si="978"/>
        <v>-3947.4282821391639</v>
      </c>
    </row>
    <row r="449" spans="1:20" x14ac:dyDescent="0.25">
      <c r="A449" s="5">
        <v>44144</v>
      </c>
      <c r="B449">
        <v>9.1899999999999998E-5</v>
      </c>
      <c r="C449">
        <v>9.5099999999999994E-5</v>
      </c>
      <c r="D449">
        <v>8.7800000000000006E-5</v>
      </c>
      <c r="E449">
        <v>8.9499999999999994E-5</v>
      </c>
      <c r="F449">
        <v>34316386986</v>
      </c>
      <c r="G449">
        <v>0</v>
      </c>
      <c r="L449" t="s">
        <v>8</v>
      </c>
      <c r="M449" t="s">
        <v>7</v>
      </c>
      <c r="N449" t="s">
        <v>8</v>
      </c>
      <c r="P449">
        <f t="shared" si="974"/>
        <v>-0.53424657534246855</v>
      </c>
      <c r="Q449">
        <f t="shared" si="975"/>
        <v>-18333412225.397358</v>
      </c>
      <c r="R449">
        <f t="shared" si="976"/>
        <v>-399833169217.16632</v>
      </c>
      <c r="S449">
        <f t="shared" si="977"/>
        <v>-3998331.692171663</v>
      </c>
      <c r="T449">
        <f t="shared" si="978"/>
        <v>-3998.3316921716632</v>
      </c>
    </row>
    <row r="450" spans="1:20" x14ac:dyDescent="0.25">
      <c r="A450" s="5">
        <v>44143</v>
      </c>
      <c r="B450">
        <v>8.8300000000000005E-5</v>
      </c>
      <c r="C450">
        <v>9.4099999999999997E-5</v>
      </c>
      <c r="D450">
        <v>8.7200000000000005E-5</v>
      </c>
      <c r="E450">
        <v>9.2E-5</v>
      </c>
      <c r="F450">
        <v>37502355466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0.39130434782608714</v>
      </c>
      <c r="Q450">
        <f t="shared" si="975"/>
        <v>14674834747.565224</v>
      </c>
      <c r="R450">
        <f t="shared" si="976"/>
        <v>-381499756991.76898</v>
      </c>
      <c r="S450">
        <f t="shared" si="977"/>
        <v>-3814997.56991769</v>
      </c>
      <c r="T450">
        <f t="shared" si="978"/>
        <v>-3814.9975699176898</v>
      </c>
    </row>
    <row r="451" spans="1:20" x14ac:dyDescent="0.25">
      <c r="A451" s="5">
        <v>44142</v>
      </c>
      <c r="B451">
        <v>9.7399999999999996E-5</v>
      </c>
      <c r="C451">
        <v>9.9900000000000002E-5</v>
      </c>
      <c r="D451">
        <v>8.3399999999999994E-5</v>
      </c>
      <c r="E451">
        <v>8.8200000000000003E-5</v>
      </c>
      <c r="F451">
        <v>10935096894</v>
      </c>
      <c r="G451">
        <v>0</v>
      </c>
      <c r="L451" t="s">
        <v>8</v>
      </c>
      <c r="M451" t="s">
        <v>7</v>
      </c>
      <c r="N451" t="s">
        <v>8</v>
      </c>
      <c r="P451">
        <f t="shared" si="974"/>
        <v>-0.41818181818181749</v>
      </c>
      <c r="Q451">
        <f t="shared" si="975"/>
        <v>-4572858701.127265</v>
      </c>
      <c r="R451">
        <f t="shared" si="976"/>
        <v>-396174591739.33423</v>
      </c>
      <c r="S451">
        <f t="shared" si="977"/>
        <v>-3961745.9173933421</v>
      </c>
      <c r="T451">
        <f t="shared" si="978"/>
        <v>-3961.7459173933421</v>
      </c>
    </row>
    <row r="452" spans="1:20" x14ac:dyDescent="0.25">
      <c r="A452" s="5">
        <v>44141</v>
      </c>
      <c r="B452">
        <v>8.9599999999999996E-5</v>
      </c>
      <c r="C452">
        <v>9.8499999999999995E-5</v>
      </c>
      <c r="D452">
        <v>8.8800000000000004E-5</v>
      </c>
      <c r="E452">
        <v>9.7399999999999996E-5</v>
      </c>
      <c r="F452">
        <v>27739181350</v>
      </c>
      <c r="G452">
        <v>0</v>
      </c>
      <c r="L452" t="s">
        <v>7</v>
      </c>
      <c r="M452" t="s">
        <v>7</v>
      </c>
      <c r="N452" t="s">
        <v>8</v>
      </c>
      <c r="P452">
        <f t="shared" si="974"/>
        <v>0.77319587628865971</v>
      </c>
      <c r="Q452">
        <f t="shared" si="975"/>
        <v>21447820631.443298</v>
      </c>
      <c r="R452">
        <f t="shared" si="976"/>
        <v>-391601733038.20697</v>
      </c>
      <c r="S452">
        <f t="shared" si="977"/>
        <v>-3916017.3303820696</v>
      </c>
      <c r="T452">
        <f t="shared" si="978"/>
        <v>-3916.0173303820698</v>
      </c>
    </row>
    <row r="453" spans="1:20" x14ac:dyDescent="0.25">
      <c r="A453" s="5">
        <v>44140</v>
      </c>
      <c r="B453">
        <v>8.7700000000000004E-5</v>
      </c>
      <c r="C453">
        <v>9.0600000000000007E-5</v>
      </c>
      <c r="D453">
        <v>8.7100000000000003E-5</v>
      </c>
      <c r="E453">
        <v>8.9699999999999998E-5</v>
      </c>
      <c r="F453">
        <v>10728291572</v>
      </c>
      <c r="G453">
        <v>0</v>
      </c>
      <c r="L453" t="s">
        <v>8</v>
      </c>
      <c r="M453" t="s">
        <v>7</v>
      </c>
      <c r="N453" t="s">
        <v>8</v>
      </c>
      <c r="P453">
        <f t="shared" si="974"/>
        <v>0.48571428571428149</v>
      </c>
      <c r="Q453">
        <f t="shared" si="975"/>
        <v>5210884477.8285265</v>
      </c>
      <c r="R453">
        <f t="shared" si="976"/>
        <v>-413049553669.65027</v>
      </c>
      <c r="S453">
        <f t="shared" si="977"/>
        <v>-4130495.5366965025</v>
      </c>
      <c r="T453">
        <f t="shared" si="978"/>
        <v>-4130.4955366965023</v>
      </c>
    </row>
    <row r="454" spans="1:20" x14ac:dyDescent="0.25">
      <c r="A454" s="5">
        <v>44139</v>
      </c>
      <c r="B454">
        <v>9.2700000000000004E-5</v>
      </c>
      <c r="C454">
        <v>9.3399999999999993E-5</v>
      </c>
      <c r="D454">
        <v>8.6299999999999997E-5</v>
      </c>
      <c r="E454">
        <v>8.7700000000000004E-5</v>
      </c>
      <c r="F454">
        <v>11155400030</v>
      </c>
      <c r="G454">
        <v>0</v>
      </c>
      <c r="L454" t="s">
        <v>7</v>
      </c>
      <c r="M454" t="s">
        <v>7</v>
      </c>
      <c r="N454" t="s">
        <v>8</v>
      </c>
      <c r="P454">
        <f t="shared" ref="P454:P517" si="979">IF(C454=D454,0,((E454-D454)-(C454-E454))/(C454-D454))</f>
        <v>-0.60563380281689927</v>
      </c>
      <c r="Q454">
        <f t="shared" ref="Q454:Q517" si="980">F454*P454</f>
        <v>-6756087342.1126518</v>
      </c>
      <c r="R454">
        <f t="shared" ref="R454:R517" si="981">R455+Q454</f>
        <v>-418260438147.47882</v>
      </c>
      <c r="S454">
        <f t="shared" ref="S454:S517" si="982">R454/100000</f>
        <v>-4182604.3814747883</v>
      </c>
      <c r="T454">
        <f t="shared" ref="T454:T517" si="983">S454/1000</f>
        <v>-4182.6043814747882</v>
      </c>
    </row>
    <row r="455" spans="1:20" x14ac:dyDescent="0.25">
      <c r="A455" s="5">
        <v>44138</v>
      </c>
      <c r="B455">
        <v>8.9900000000000003E-5</v>
      </c>
      <c r="C455">
        <v>9.4099999999999997E-5</v>
      </c>
      <c r="D455">
        <v>8.7200000000000005E-5</v>
      </c>
      <c r="E455">
        <v>9.2800000000000006E-5</v>
      </c>
      <c r="F455">
        <v>12698835408</v>
      </c>
      <c r="G455">
        <v>0</v>
      </c>
      <c r="L455" t="s">
        <v>8</v>
      </c>
      <c r="M455" t="s">
        <v>7</v>
      </c>
      <c r="N455" t="s">
        <v>8</v>
      </c>
      <c r="P455">
        <f t="shared" si="979"/>
        <v>0.62318840579710366</v>
      </c>
      <c r="Q455">
        <f t="shared" si="980"/>
        <v>7913766993.3913326</v>
      </c>
      <c r="R455">
        <f t="shared" si="981"/>
        <v>-411504350805.36615</v>
      </c>
      <c r="S455">
        <f t="shared" si="982"/>
        <v>-4115043.5080536613</v>
      </c>
      <c r="T455">
        <f t="shared" si="983"/>
        <v>-4115.0435080536618</v>
      </c>
    </row>
    <row r="456" spans="1:20" x14ac:dyDescent="0.25">
      <c r="A456" s="5">
        <v>44137</v>
      </c>
      <c r="B456">
        <v>9.5400000000000001E-5</v>
      </c>
      <c r="C456">
        <v>1.1179999999999999E-4</v>
      </c>
      <c r="D456">
        <v>8.9900000000000003E-5</v>
      </c>
      <c r="E456">
        <v>9.0000000000000006E-5</v>
      </c>
      <c r="F456">
        <v>11065197140</v>
      </c>
      <c r="G456">
        <v>0</v>
      </c>
      <c r="L456" t="s">
        <v>7</v>
      </c>
      <c r="M456" t="s">
        <v>8</v>
      </c>
      <c r="N456" t="s">
        <v>8</v>
      </c>
      <c r="P456">
        <f t="shared" si="979"/>
        <v>-0.99086757990867558</v>
      </c>
      <c r="Q456">
        <f t="shared" si="980"/>
        <v>-10964145111.324198</v>
      </c>
      <c r="R456">
        <f t="shared" si="981"/>
        <v>-419418117798.75751</v>
      </c>
      <c r="S456">
        <f t="shared" si="982"/>
        <v>-4194181.1779875751</v>
      </c>
      <c r="T456">
        <f t="shared" si="983"/>
        <v>-4194.1811779875752</v>
      </c>
    </row>
    <row r="457" spans="1:20" x14ac:dyDescent="0.25">
      <c r="A457" s="5">
        <v>44136</v>
      </c>
      <c r="B457">
        <v>8.2999999999999998E-5</v>
      </c>
      <c r="C457">
        <v>9.9400000000000004E-5</v>
      </c>
      <c r="D457">
        <v>8.25E-5</v>
      </c>
      <c r="E457">
        <v>9.5299999999999999E-5</v>
      </c>
      <c r="F457">
        <v>10518809086</v>
      </c>
      <c r="G457">
        <v>0</v>
      </c>
      <c r="L457" t="s">
        <v>8</v>
      </c>
      <c r="M457" t="s">
        <v>8</v>
      </c>
      <c r="N457" t="s">
        <v>7</v>
      </c>
      <c r="P457">
        <f t="shared" si="979"/>
        <v>0.51479289940828354</v>
      </c>
      <c r="Q457">
        <f t="shared" si="980"/>
        <v>5415008227.7041368</v>
      </c>
      <c r="R457">
        <f t="shared" si="981"/>
        <v>-408453972687.43329</v>
      </c>
      <c r="S457">
        <f t="shared" si="982"/>
        <v>-4084539.7268743329</v>
      </c>
      <c r="T457">
        <f t="shared" si="983"/>
        <v>-4084.5397268743327</v>
      </c>
    </row>
    <row r="458" spans="1:20" x14ac:dyDescent="0.25">
      <c r="A458" s="5">
        <v>44135</v>
      </c>
      <c r="B458">
        <v>8.0099999999999995E-5</v>
      </c>
      <c r="C458">
        <v>8.4599999999999996E-5</v>
      </c>
      <c r="D458">
        <v>7.8899999999999993E-5</v>
      </c>
      <c r="E458">
        <v>8.2999999999999998E-5</v>
      </c>
      <c r="F458">
        <v>11601156669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0.43859649122807109</v>
      </c>
      <c r="Q458">
        <f t="shared" si="980"/>
        <v>5088226609.210537</v>
      </c>
      <c r="R458">
        <f t="shared" si="981"/>
        <v>-413868980915.13745</v>
      </c>
      <c r="S458">
        <f t="shared" si="982"/>
        <v>-4138689.8091513747</v>
      </c>
      <c r="T458">
        <f t="shared" si="983"/>
        <v>-4138.6898091513749</v>
      </c>
    </row>
    <row r="459" spans="1:20" x14ac:dyDescent="0.25">
      <c r="A459" s="5">
        <v>44134</v>
      </c>
      <c r="B459">
        <v>8.1899999999999999E-5</v>
      </c>
      <c r="C459">
        <v>8.3599999999999999E-5</v>
      </c>
      <c r="D459">
        <v>7.8999999999999996E-5</v>
      </c>
      <c r="E459">
        <v>8.0000000000000007E-5</v>
      </c>
      <c r="F459">
        <v>8221051658</v>
      </c>
      <c r="G459">
        <v>0</v>
      </c>
      <c r="L459" t="s">
        <v>8</v>
      </c>
      <c r="M459" t="s">
        <v>7</v>
      </c>
      <c r="N459" t="s">
        <v>7</v>
      </c>
      <c r="P459">
        <f t="shared" si="979"/>
        <v>-0.56521739130434345</v>
      </c>
      <c r="Q459">
        <f t="shared" si="980"/>
        <v>-4646681371.9130077</v>
      </c>
      <c r="R459">
        <f t="shared" si="981"/>
        <v>-418957207524.34796</v>
      </c>
      <c r="S459">
        <f t="shared" si="982"/>
        <v>-4189572.0752434796</v>
      </c>
      <c r="T459">
        <f t="shared" si="983"/>
        <v>-4189.57207524348</v>
      </c>
    </row>
    <row r="460" spans="1:20" x14ac:dyDescent="0.25">
      <c r="A460" s="5">
        <v>44133</v>
      </c>
      <c r="B460">
        <v>8.1500000000000002E-5</v>
      </c>
      <c r="C460">
        <v>8.3999999999999995E-5</v>
      </c>
      <c r="D460">
        <v>8.0500000000000005E-5</v>
      </c>
      <c r="E460">
        <v>8.2000000000000001E-5</v>
      </c>
      <c r="F460">
        <v>15902176528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-0.14285714285714285</v>
      </c>
      <c r="Q460">
        <f t="shared" si="980"/>
        <v>-2271739504</v>
      </c>
      <c r="R460">
        <f t="shared" si="981"/>
        <v>-414310526152.43494</v>
      </c>
      <c r="S460">
        <f t="shared" si="982"/>
        <v>-4143105.2615243495</v>
      </c>
      <c r="T460">
        <f t="shared" si="983"/>
        <v>-4143.1052615243498</v>
      </c>
    </row>
    <row r="461" spans="1:20" x14ac:dyDescent="0.25">
      <c r="A461" s="5">
        <v>44132</v>
      </c>
      <c r="B461">
        <v>8.2200000000000006E-5</v>
      </c>
      <c r="C461">
        <v>8.3100000000000001E-5</v>
      </c>
      <c r="D461">
        <v>8.0000000000000007E-5</v>
      </c>
      <c r="E461">
        <v>8.1500000000000002E-5</v>
      </c>
      <c r="F461">
        <v>10676353990</v>
      </c>
      <c r="G461">
        <v>0</v>
      </c>
      <c r="L461" t="s">
        <v>8</v>
      </c>
      <c r="M461" t="s">
        <v>7</v>
      </c>
      <c r="N461" t="s">
        <v>7</v>
      </c>
      <c r="P461">
        <f t="shared" si="979"/>
        <v>-3.2258064516129878E-2</v>
      </c>
      <c r="Q461">
        <f t="shared" si="980"/>
        <v>-344398515.80646062</v>
      </c>
      <c r="R461">
        <f t="shared" si="981"/>
        <v>-412038786648.43494</v>
      </c>
      <c r="S461">
        <f t="shared" si="982"/>
        <v>-4120387.8664843496</v>
      </c>
      <c r="T461">
        <f t="shared" si="983"/>
        <v>-4120.3878664843496</v>
      </c>
    </row>
    <row r="462" spans="1:20" x14ac:dyDescent="0.25">
      <c r="A462" s="5">
        <v>44131</v>
      </c>
      <c r="B462">
        <v>8.0699999999999996E-5</v>
      </c>
      <c r="C462">
        <v>8.2999999999999998E-5</v>
      </c>
      <c r="D462">
        <v>8.0699999999999996E-5</v>
      </c>
      <c r="E462">
        <v>8.2200000000000006E-5</v>
      </c>
      <c r="F462">
        <v>7885392256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0.3043478260869637</v>
      </c>
      <c r="Q462">
        <f t="shared" si="980"/>
        <v>2399901990.9565783</v>
      </c>
      <c r="R462">
        <f t="shared" si="981"/>
        <v>-411694388132.62848</v>
      </c>
      <c r="S462">
        <f t="shared" si="982"/>
        <v>-4116943.8813262847</v>
      </c>
      <c r="T462">
        <f t="shared" si="983"/>
        <v>-4116.943881326285</v>
      </c>
    </row>
    <row r="463" spans="1:20" x14ac:dyDescent="0.25">
      <c r="A463" s="5">
        <v>44130</v>
      </c>
      <c r="B463">
        <v>8.2799999999999993E-5</v>
      </c>
      <c r="C463">
        <v>8.3300000000000005E-5</v>
      </c>
      <c r="D463">
        <v>7.9099999999999998E-5</v>
      </c>
      <c r="E463">
        <v>8.0699999999999996E-5</v>
      </c>
      <c r="F463">
        <v>9653710453</v>
      </c>
      <c r="G463">
        <v>0</v>
      </c>
      <c r="L463" t="s">
        <v>8</v>
      </c>
      <c r="M463" t="s">
        <v>7</v>
      </c>
      <c r="N463" t="s">
        <v>7</v>
      </c>
      <c r="P463">
        <f t="shared" si="979"/>
        <v>-0.23809523809524025</v>
      </c>
      <c r="Q463">
        <f t="shared" si="980"/>
        <v>-2298502488.8095446</v>
      </c>
      <c r="R463">
        <f t="shared" si="981"/>
        <v>-414094290123.58508</v>
      </c>
      <c r="S463">
        <f t="shared" si="982"/>
        <v>-4140942.901235851</v>
      </c>
      <c r="T463">
        <f t="shared" si="983"/>
        <v>-4140.9429012358514</v>
      </c>
    </row>
    <row r="464" spans="1:20" x14ac:dyDescent="0.25">
      <c r="A464" s="5">
        <v>44129</v>
      </c>
      <c r="B464">
        <v>8.2799999999999993E-5</v>
      </c>
      <c r="C464">
        <v>8.3399999999999994E-5</v>
      </c>
      <c r="D464">
        <v>8.2000000000000001E-5</v>
      </c>
      <c r="E464">
        <v>8.2700000000000004E-5</v>
      </c>
      <c r="F464">
        <v>7237673023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9.6803765400491929E-15</v>
      </c>
      <c r="Q464">
        <f t="shared" si="980"/>
        <v>7.0063400136396127E-5</v>
      </c>
      <c r="R464">
        <f t="shared" si="981"/>
        <v>-411795787634.77551</v>
      </c>
      <c r="S464">
        <f t="shared" si="982"/>
        <v>-4117957.8763477551</v>
      </c>
      <c r="T464">
        <f t="shared" si="983"/>
        <v>-4117.9578763477548</v>
      </c>
    </row>
    <row r="465" spans="1:20" x14ac:dyDescent="0.25">
      <c r="A465" s="5">
        <v>44128</v>
      </c>
      <c r="B465">
        <v>8.2200000000000006E-5</v>
      </c>
      <c r="C465">
        <v>8.3300000000000005E-5</v>
      </c>
      <c r="D465">
        <v>8.1299999999999997E-5</v>
      </c>
      <c r="E465">
        <v>8.2899999999999996E-5</v>
      </c>
      <c r="F465">
        <v>5435688269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0.59999999999999187</v>
      </c>
      <c r="Q465">
        <f t="shared" si="980"/>
        <v>3261412961.3999557</v>
      </c>
      <c r="R465">
        <f t="shared" si="981"/>
        <v>-411795787634.77557</v>
      </c>
      <c r="S465">
        <f t="shared" si="982"/>
        <v>-4117957.8763477555</v>
      </c>
      <c r="T465">
        <f t="shared" si="983"/>
        <v>-4117.9578763477557</v>
      </c>
    </row>
    <row r="466" spans="1:20" x14ac:dyDescent="0.25">
      <c r="A466" s="5">
        <v>44127</v>
      </c>
      <c r="B466">
        <v>8.3200000000000003E-5</v>
      </c>
      <c r="C466">
        <v>8.3200000000000003E-5</v>
      </c>
      <c r="D466">
        <v>8.0199999999999998E-5</v>
      </c>
      <c r="E466">
        <v>8.2200000000000006E-5</v>
      </c>
      <c r="F466">
        <v>9317627036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0.33333333333333637</v>
      </c>
      <c r="Q466">
        <f t="shared" si="980"/>
        <v>3105875678.6666951</v>
      </c>
      <c r="R466">
        <f t="shared" si="981"/>
        <v>-415057200596.17554</v>
      </c>
      <c r="S466">
        <f t="shared" si="982"/>
        <v>-4150572.0059617553</v>
      </c>
      <c r="T466">
        <f t="shared" si="983"/>
        <v>-4150.5720059617552</v>
      </c>
    </row>
    <row r="467" spans="1:20" x14ac:dyDescent="0.25">
      <c r="A467" s="5">
        <v>44126</v>
      </c>
      <c r="B467">
        <v>8.2000000000000001E-5</v>
      </c>
      <c r="C467">
        <v>8.3900000000000006E-5</v>
      </c>
      <c r="D467">
        <v>8.1899999999999999E-5</v>
      </c>
      <c r="E467">
        <v>8.3200000000000003E-5</v>
      </c>
      <c r="F467">
        <v>12322130903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0.29999999999999932</v>
      </c>
      <c r="Q467">
        <f t="shared" si="980"/>
        <v>3696639270.8999915</v>
      </c>
      <c r="R467">
        <f t="shared" si="981"/>
        <v>-418163076274.84222</v>
      </c>
      <c r="S467">
        <f t="shared" si="982"/>
        <v>-4181630.7627484221</v>
      </c>
      <c r="T467">
        <f t="shared" si="983"/>
        <v>-4181.6307627484221</v>
      </c>
    </row>
    <row r="468" spans="1:20" x14ac:dyDescent="0.25">
      <c r="A468" s="5">
        <v>44125</v>
      </c>
      <c r="B468">
        <v>7.9699999999999999E-5</v>
      </c>
      <c r="C468">
        <v>8.2899999999999996E-5</v>
      </c>
      <c r="D468">
        <v>7.8899999999999993E-5</v>
      </c>
      <c r="E468">
        <v>8.2000000000000001E-5</v>
      </c>
      <c r="F468">
        <v>9993362781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0.55000000000000293</v>
      </c>
      <c r="Q468">
        <f t="shared" si="980"/>
        <v>5496349529.5500298</v>
      </c>
      <c r="R468">
        <f t="shared" si="981"/>
        <v>-421859715545.74219</v>
      </c>
      <c r="S468">
        <f t="shared" si="982"/>
        <v>-4218597.1554574221</v>
      </c>
      <c r="T468">
        <f t="shared" si="983"/>
        <v>-4218.5971554574226</v>
      </c>
    </row>
    <row r="469" spans="1:20" x14ac:dyDescent="0.25">
      <c r="A469" s="5">
        <v>44124</v>
      </c>
      <c r="B469">
        <v>7.8499999999999997E-5</v>
      </c>
      <c r="C469">
        <v>8.5400000000000002E-5</v>
      </c>
      <c r="D469">
        <v>7.6799999999999997E-5</v>
      </c>
      <c r="E469">
        <v>7.9699999999999999E-5</v>
      </c>
      <c r="F469">
        <v>13023570302</v>
      </c>
      <c r="G469">
        <v>0</v>
      </c>
      <c r="L469" t="s">
        <v>8</v>
      </c>
      <c r="M469" t="s">
        <v>7</v>
      </c>
      <c r="N469" t="s">
        <v>7</v>
      </c>
      <c r="P469">
        <f t="shared" si="979"/>
        <v>-0.32558139534883701</v>
      </c>
      <c r="Q469">
        <f t="shared" si="980"/>
        <v>-4240232191.3488345</v>
      </c>
      <c r="R469">
        <f t="shared" si="981"/>
        <v>-427356065075.29224</v>
      </c>
      <c r="S469">
        <f t="shared" si="982"/>
        <v>-4273560.6507529225</v>
      </c>
      <c r="T469">
        <f t="shared" si="983"/>
        <v>-4273.5606507529228</v>
      </c>
    </row>
    <row r="470" spans="1:20" x14ac:dyDescent="0.25">
      <c r="A470" s="5">
        <v>44123</v>
      </c>
      <c r="B470">
        <v>7.6799999999999997E-5</v>
      </c>
      <c r="C470">
        <v>7.8999999999999996E-5</v>
      </c>
      <c r="D470">
        <v>7.6500000000000003E-5</v>
      </c>
      <c r="E470">
        <v>7.8399999999999995E-5</v>
      </c>
      <c r="F470">
        <v>9286966211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0.5199999999999978</v>
      </c>
      <c r="Q470">
        <f t="shared" si="980"/>
        <v>4829222429.7199793</v>
      </c>
      <c r="R470">
        <f t="shared" si="981"/>
        <v>-423115832883.94342</v>
      </c>
      <c r="S470">
        <f t="shared" si="982"/>
        <v>-4231158.3288394343</v>
      </c>
      <c r="T470">
        <f t="shared" si="983"/>
        <v>-4231.158328839434</v>
      </c>
    </row>
    <row r="471" spans="1:20" x14ac:dyDescent="0.25">
      <c r="A471" s="5">
        <v>44122</v>
      </c>
      <c r="B471">
        <v>7.6299999999999998E-5</v>
      </c>
      <c r="C471">
        <v>7.8200000000000003E-5</v>
      </c>
      <c r="D471">
        <v>7.6100000000000007E-5</v>
      </c>
      <c r="E471">
        <v>7.6799999999999997E-5</v>
      </c>
      <c r="F471">
        <v>7153191500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-0.33333333333334192</v>
      </c>
      <c r="Q471">
        <f t="shared" si="980"/>
        <v>-2384397166.666728</v>
      </c>
      <c r="R471">
        <f t="shared" si="981"/>
        <v>-427945055313.66339</v>
      </c>
      <c r="S471">
        <f t="shared" si="982"/>
        <v>-4279450.5531366337</v>
      </c>
      <c r="T471">
        <f t="shared" si="983"/>
        <v>-4279.450553136634</v>
      </c>
    </row>
    <row r="472" spans="1:20" x14ac:dyDescent="0.25">
      <c r="A472" s="5">
        <v>44121</v>
      </c>
      <c r="B472">
        <v>7.8300000000000006E-5</v>
      </c>
      <c r="C472">
        <v>7.8300000000000006E-5</v>
      </c>
      <c r="D472">
        <v>7.5799999999999999E-5</v>
      </c>
      <c r="E472">
        <v>7.6299999999999998E-5</v>
      </c>
      <c r="F472">
        <v>6369152309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-0.6000000000000022</v>
      </c>
      <c r="Q472">
        <f t="shared" si="980"/>
        <v>-3821491385.4000139</v>
      </c>
      <c r="R472">
        <f t="shared" si="981"/>
        <v>-425560658146.99664</v>
      </c>
      <c r="S472">
        <f t="shared" si="982"/>
        <v>-4255606.5814699661</v>
      </c>
      <c r="T472">
        <f t="shared" si="983"/>
        <v>-4255.6065814699659</v>
      </c>
    </row>
    <row r="473" spans="1:20" x14ac:dyDescent="0.25">
      <c r="A473" s="5">
        <v>44120</v>
      </c>
      <c r="B473">
        <v>7.8499999999999997E-5</v>
      </c>
      <c r="C473">
        <v>7.9900000000000004E-5</v>
      </c>
      <c r="D473">
        <v>7.5400000000000003E-5</v>
      </c>
      <c r="E473">
        <v>7.8300000000000006E-5</v>
      </c>
      <c r="F473">
        <v>10817322571</v>
      </c>
      <c r="G473">
        <v>0</v>
      </c>
      <c r="L473" t="s">
        <v>8</v>
      </c>
      <c r="M473" t="s">
        <v>7</v>
      </c>
      <c r="N473" t="s">
        <v>7</v>
      </c>
      <c r="P473">
        <f t="shared" si="979"/>
        <v>0.28888888888888981</v>
      </c>
      <c r="Q473">
        <f t="shared" si="980"/>
        <v>3125004298.2888989</v>
      </c>
      <c r="R473">
        <f t="shared" si="981"/>
        <v>-421739166761.59662</v>
      </c>
      <c r="S473">
        <f t="shared" si="982"/>
        <v>-4217391.6676159659</v>
      </c>
      <c r="T473">
        <f t="shared" si="983"/>
        <v>-4217.3916676159661</v>
      </c>
    </row>
    <row r="474" spans="1:20" x14ac:dyDescent="0.25">
      <c r="A474" s="5">
        <v>44119</v>
      </c>
      <c r="B474">
        <v>7.64E-5</v>
      </c>
      <c r="C474">
        <v>7.9499999999999994E-5</v>
      </c>
      <c r="D474">
        <v>7.6100000000000007E-5</v>
      </c>
      <c r="E474">
        <v>7.8700000000000002E-5</v>
      </c>
      <c r="F474">
        <v>12238199573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0.52941176470588514</v>
      </c>
      <c r="Q474">
        <f t="shared" si="980"/>
        <v>6479046832.76474</v>
      </c>
      <c r="R474">
        <f t="shared" si="981"/>
        <v>-424864171059.8855</v>
      </c>
      <c r="S474">
        <f t="shared" si="982"/>
        <v>-4248641.7105988553</v>
      </c>
      <c r="T474">
        <f t="shared" si="983"/>
        <v>-4248.6417105988548</v>
      </c>
    </row>
    <row r="475" spans="1:20" x14ac:dyDescent="0.25">
      <c r="A475" s="5">
        <v>44118</v>
      </c>
      <c r="B475">
        <v>8.0400000000000003E-5</v>
      </c>
      <c r="C475">
        <v>8.1299999999999997E-5</v>
      </c>
      <c r="D475">
        <v>7.5599999999999994E-5</v>
      </c>
      <c r="E475">
        <v>7.6500000000000003E-5</v>
      </c>
      <c r="F475">
        <v>7964963964</v>
      </c>
      <c r="G475">
        <v>0</v>
      </c>
      <c r="L475" t="s">
        <v>8</v>
      </c>
      <c r="M475" t="s">
        <v>7</v>
      </c>
      <c r="N475" t="s">
        <v>7</v>
      </c>
      <c r="P475">
        <f t="shared" si="979"/>
        <v>-0.68421052631578672</v>
      </c>
      <c r="Q475">
        <f t="shared" si="980"/>
        <v>-5449712185.8947153</v>
      </c>
      <c r="R475">
        <f t="shared" si="981"/>
        <v>-431343217892.65021</v>
      </c>
      <c r="S475">
        <f t="shared" si="982"/>
        <v>-4313432.1789265024</v>
      </c>
      <c r="T475">
        <f t="shared" si="983"/>
        <v>-4313.4321789265023</v>
      </c>
    </row>
    <row r="476" spans="1:20" x14ac:dyDescent="0.25">
      <c r="A476" s="5">
        <v>44117</v>
      </c>
      <c r="B476">
        <v>8.1199999999999995E-5</v>
      </c>
      <c r="C476">
        <v>8.1799999999999996E-5</v>
      </c>
      <c r="D476">
        <v>7.9599999999999997E-5</v>
      </c>
      <c r="E476">
        <v>8.0400000000000003E-5</v>
      </c>
      <c r="F476">
        <v>11331026329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-0.2727272727272671</v>
      </c>
      <c r="Q476">
        <f t="shared" si="980"/>
        <v>-3090279907.9090271</v>
      </c>
      <c r="R476">
        <f t="shared" si="981"/>
        <v>-425893505706.75549</v>
      </c>
      <c r="S476">
        <f t="shared" si="982"/>
        <v>-4258935.0570675554</v>
      </c>
      <c r="T476">
        <f t="shared" si="983"/>
        <v>-4258.9350570675551</v>
      </c>
    </row>
    <row r="477" spans="1:20" x14ac:dyDescent="0.25">
      <c r="A477" s="5">
        <v>44116</v>
      </c>
      <c r="B477">
        <v>8.1199999999999995E-5</v>
      </c>
      <c r="C477">
        <v>8.3399999999999994E-5</v>
      </c>
      <c r="D477">
        <v>7.9499999999999994E-5</v>
      </c>
      <c r="E477">
        <v>8.1299999999999997E-5</v>
      </c>
      <c r="F477">
        <v>10859320818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-7.6923076923075318E-2</v>
      </c>
      <c r="Q477">
        <f t="shared" si="980"/>
        <v>-835332370.61536717</v>
      </c>
      <c r="R477">
        <f t="shared" si="981"/>
        <v>-422803225798.84644</v>
      </c>
      <c r="S477">
        <f t="shared" si="982"/>
        <v>-4228032.2579884641</v>
      </c>
      <c r="T477">
        <f t="shared" si="983"/>
        <v>-4228.0322579884642</v>
      </c>
    </row>
    <row r="478" spans="1:20" x14ac:dyDescent="0.25">
      <c r="A478" s="5">
        <v>44115</v>
      </c>
      <c r="B478">
        <v>8.1000000000000004E-5</v>
      </c>
      <c r="C478">
        <v>8.2299999999999995E-5</v>
      </c>
      <c r="D478">
        <v>8.03E-5</v>
      </c>
      <c r="E478">
        <v>8.1199999999999995E-5</v>
      </c>
      <c r="F478">
        <v>8185333031</v>
      </c>
      <c r="G478">
        <v>0</v>
      </c>
      <c r="L478" t="s">
        <v>7</v>
      </c>
      <c r="M478" t="s">
        <v>7</v>
      </c>
      <c r="N478" t="s">
        <v>7</v>
      </c>
      <c r="P478">
        <f t="shared" si="979"/>
        <v>-0.10000000000000271</v>
      </c>
      <c r="Q478">
        <f t="shared" si="980"/>
        <v>-818533303.1000222</v>
      </c>
      <c r="R478">
        <f t="shared" si="981"/>
        <v>-421967893428.23108</v>
      </c>
      <c r="S478">
        <f t="shared" si="982"/>
        <v>-4219678.9342823112</v>
      </c>
      <c r="T478">
        <f t="shared" si="983"/>
        <v>-4219.6789342823113</v>
      </c>
    </row>
    <row r="479" spans="1:20" x14ac:dyDescent="0.25">
      <c r="A479" s="5">
        <v>44114</v>
      </c>
      <c r="B479">
        <v>8.1799999999999996E-5</v>
      </c>
      <c r="C479">
        <v>8.3900000000000006E-5</v>
      </c>
      <c r="D479">
        <v>8.0599999999999994E-5</v>
      </c>
      <c r="E479">
        <v>8.1000000000000004E-5</v>
      </c>
      <c r="F479">
        <v>11362519898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-0.75757575757575257</v>
      </c>
      <c r="Q479">
        <f t="shared" si="980"/>
        <v>-8607969619.6969128</v>
      </c>
      <c r="R479">
        <f t="shared" si="981"/>
        <v>-421149360125.13104</v>
      </c>
      <c r="S479">
        <f t="shared" si="982"/>
        <v>-4211493.6012513107</v>
      </c>
      <c r="T479">
        <f t="shared" si="983"/>
        <v>-4211.4936012513108</v>
      </c>
    </row>
    <row r="480" spans="1:20" x14ac:dyDescent="0.25">
      <c r="A480" s="5">
        <v>44113</v>
      </c>
      <c r="B480">
        <v>8.0599999999999994E-5</v>
      </c>
      <c r="C480">
        <v>8.2999999999999998E-5</v>
      </c>
      <c r="D480">
        <v>7.9699999999999999E-5</v>
      </c>
      <c r="E480">
        <v>8.1799999999999996E-5</v>
      </c>
      <c r="F480">
        <v>11246292225</v>
      </c>
      <c r="G480">
        <v>0</v>
      </c>
      <c r="L480" t="s">
        <v>7</v>
      </c>
      <c r="M480" t="s">
        <v>7</v>
      </c>
      <c r="N480" t="s">
        <v>7</v>
      </c>
      <c r="P480">
        <f t="shared" si="979"/>
        <v>0.27272727272727121</v>
      </c>
      <c r="Q480">
        <f t="shared" si="980"/>
        <v>3067170606.8181648</v>
      </c>
      <c r="R480">
        <f t="shared" si="981"/>
        <v>-412541390505.43414</v>
      </c>
      <c r="S480">
        <f t="shared" si="982"/>
        <v>-4125413.9050543415</v>
      </c>
      <c r="T480">
        <f t="shared" si="983"/>
        <v>-4125.4139050543417</v>
      </c>
    </row>
    <row r="481" spans="1:20" x14ac:dyDescent="0.25">
      <c r="A481" s="5">
        <v>44112</v>
      </c>
      <c r="B481">
        <v>7.9400000000000006E-5</v>
      </c>
      <c r="C481">
        <v>8.0900000000000001E-5</v>
      </c>
      <c r="D481">
        <v>7.7999999999999999E-5</v>
      </c>
      <c r="E481">
        <v>8.0500000000000005E-5</v>
      </c>
      <c r="F481">
        <v>10364484488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0.72413793103448565</v>
      </c>
      <c r="Q481">
        <f t="shared" si="980"/>
        <v>7505316353.3793402</v>
      </c>
      <c r="R481">
        <f t="shared" si="981"/>
        <v>-415608561112.25232</v>
      </c>
      <c r="S481">
        <f t="shared" si="982"/>
        <v>-4156085.611122523</v>
      </c>
      <c r="T481">
        <f t="shared" si="983"/>
        <v>-4156.085611122523</v>
      </c>
    </row>
    <row r="482" spans="1:20" x14ac:dyDescent="0.25">
      <c r="A482" s="5">
        <v>44111</v>
      </c>
      <c r="B482">
        <v>8.03E-5</v>
      </c>
      <c r="C482">
        <v>8.0599999999999994E-5</v>
      </c>
      <c r="D482">
        <v>7.8300000000000006E-5</v>
      </c>
      <c r="E482">
        <v>7.9499999999999994E-5</v>
      </c>
      <c r="F482">
        <v>9993415720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4.3478260869560609E-2</v>
      </c>
      <c r="Q482">
        <f t="shared" si="980"/>
        <v>434496335.65212786</v>
      </c>
      <c r="R482">
        <f t="shared" si="981"/>
        <v>-423113877465.63165</v>
      </c>
      <c r="S482">
        <f t="shared" si="982"/>
        <v>-4231138.7746563163</v>
      </c>
      <c r="T482">
        <f t="shared" si="983"/>
        <v>-4231.1387746563159</v>
      </c>
    </row>
    <row r="483" spans="1:20" x14ac:dyDescent="0.25">
      <c r="A483" s="5">
        <v>44110</v>
      </c>
      <c r="B483">
        <v>8.2799999999999993E-5</v>
      </c>
      <c r="C483">
        <v>8.3999999999999995E-5</v>
      </c>
      <c r="D483">
        <v>7.8999999999999996E-5</v>
      </c>
      <c r="E483">
        <v>8.03E-5</v>
      </c>
      <c r="F483">
        <v>12370870341</v>
      </c>
      <c r="G483">
        <v>0</v>
      </c>
      <c r="L483" t="s">
        <v>8</v>
      </c>
      <c r="M483" t="s">
        <v>7</v>
      </c>
      <c r="N483" t="s">
        <v>7</v>
      </c>
      <c r="P483">
        <f t="shared" si="979"/>
        <v>-0.47999999999999815</v>
      </c>
      <c r="Q483">
        <f t="shared" si="980"/>
        <v>-5938017763.6799774</v>
      </c>
      <c r="R483">
        <f t="shared" si="981"/>
        <v>-423548373801.28375</v>
      </c>
      <c r="S483">
        <f t="shared" si="982"/>
        <v>-4235483.7380128372</v>
      </c>
      <c r="T483">
        <f t="shared" si="983"/>
        <v>-4235.4837380128374</v>
      </c>
    </row>
    <row r="484" spans="1:20" x14ac:dyDescent="0.25">
      <c r="A484" s="5">
        <v>44109</v>
      </c>
      <c r="B484">
        <v>8.2899999999999996E-5</v>
      </c>
      <c r="C484">
        <v>8.5400000000000002E-5</v>
      </c>
      <c r="D484">
        <v>8.1299999999999997E-5</v>
      </c>
      <c r="E484">
        <v>8.2799999999999993E-5</v>
      </c>
      <c r="F484">
        <v>8797519215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-0.26829268292683217</v>
      </c>
      <c r="Q484">
        <f t="shared" si="980"/>
        <v>-2360310033.2927084</v>
      </c>
      <c r="R484">
        <f t="shared" si="981"/>
        <v>-417610356037.60376</v>
      </c>
      <c r="S484">
        <f t="shared" si="982"/>
        <v>-4176103.5603760374</v>
      </c>
      <c r="T484">
        <f t="shared" si="983"/>
        <v>-4176.1035603760374</v>
      </c>
    </row>
    <row r="485" spans="1:20" x14ac:dyDescent="0.25">
      <c r="A485" s="5">
        <v>44108</v>
      </c>
      <c r="B485">
        <v>8.2600000000000002E-5</v>
      </c>
      <c r="C485">
        <v>8.3399999999999994E-5</v>
      </c>
      <c r="D485">
        <v>7.9599999999999997E-5</v>
      </c>
      <c r="E485">
        <v>8.2999999999999998E-5</v>
      </c>
      <c r="F485">
        <v>7876562257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0.78947368421052821</v>
      </c>
      <c r="Q485">
        <f t="shared" si="980"/>
        <v>6218338623.9473829</v>
      </c>
      <c r="R485">
        <f t="shared" si="981"/>
        <v>-415250046004.31104</v>
      </c>
      <c r="S485">
        <f t="shared" si="982"/>
        <v>-4152500.4600431104</v>
      </c>
      <c r="T485">
        <f t="shared" si="983"/>
        <v>-4152.5004600431103</v>
      </c>
    </row>
    <row r="486" spans="1:20" x14ac:dyDescent="0.25">
      <c r="A486" s="5">
        <v>44107</v>
      </c>
      <c r="B486">
        <v>8.03E-5</v>
      </c>
      <c r="C486">
        <v>8.6399999999999999E-5</v>
      </c>
      <c r="D486">
        <v>7.9599999999999997E-5</v>
      </c>
      <c r="E486">
        <v>8.2899999999999996E-5</v>
      </c>
      <c r="F486">
        <v>8160057639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-2.9411764705883057E-2</v>
      </c>
      <c r="Q486">
        <f t="shared" si="980"/>
        <v>-240001695.26471162</v>
      </c>
      <c r="R486">
        <f t="shared" si="981"/>
        <v>-421468384628.25842</v>
      </c>
      <c r="S486">
        <f t="shared" si="982"/>
        <v>-4214683.8462825846</v>
      </c>
      <c r="T486">
        <f t="shared" si="983"/>
        <v>-4214.6838462825845</v>
      </c>
    </row>
    <row r="487" spans="1:20" x14ac:dyDescent="0.25">
      <c r="A487" s="5">
        <v>44106</v>
      </c>
      <c r="B487">
        <v>8.3499999999999997E-5</v>
      </c>
      <c r="C487">
        <v>8.3800000000000004E-5</v>
      </c>
      <c r="D487">
        <v>7.3800000000000005E-5</v>
      </c>
      <c r="E487">
        <v>8.0099999999999995E-5</v>
      </c>
      <c r="F487">
        <v>5731364561</v>
      </c>
      <c r="G487">
        <v>0</v>
      </c>
      <c r="L487" t="s">
        <v>8</v>
      </c>
      <c r="M487" t="s">
        <v>7</v>
      </c>
      <c r="N487" t="s">
        <v>7</v>
      </c>
      <c r="P487">
        <f t="shared" si="979"/>
        <v>0.25999999999999823</v>
      </c>
      <c r="Q487">
        <f t="shared" si="980"/>
        <v>1490154785.8599899</v>
      </c>
      <c r="R487">
        <f t="shared" si="981"/>
        <v>-421228382932.99371</v>
      </c>
      <c r="S487">
        <f t="shared" si="982"/>
        <v>-4212283.8293299368</v>
      </c>
      <c r="T487">
        <f t="shared" si="983"/>
        <v>-4212.2838293299365</v>
      </c>
    </row>
    <row r="488" spans="1:20" x14ac:dyDescent="0.25">
      <c r="A488" s="5">
        <v>44105</v>
      </c>
      <c r="B488">
        <v>8.7499999999999999E-5</v>
      </c>
      <c r="C488">
        <v>8.9400000000000005E-5</v>
      </c>
      <c r="D488">
        <v>8.0799999999999999E-5</v>
      </c>
      <c r="E488">
        <v>8.3700000000000002E-5</v>
      </c>
      <c r="F488">
        <v>10555495415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-0.32558139534883701</v>
      </c>
      <c r="Q488">
        <f t="shared" si="980"/>
        <v>-3436672925.8139515</v>
      </c>
      <c r="R488">
        <f t="shared" si="981"/>
        <v>-422718537718.8537</v>
      </c>
      <c r="S488">
        <f t="shared" si="982"/>
        <v>-4227185.3771885373</v>
      </c>
      <c r="T488">
        <f t="shared" si="983"/>
        <v>-4227.1853771885371</v>
      </c>
    </row>
    <row r="489" spans="1:20" x14ac:dyDescent="0.25">
      <c r="A489" s="5">
        <v>44104</v>
      </c>
      <c r="B489">
        <v>8.1299999999999997E-5</v>
      </c>
      <c r="C489">
        <v>9.1000000000000003E-5</v>
      </c>
      <c r="D489">
        <v>7.8999999999999996E-5</v>
      </c>
      <c r="E489">
        <v>8.7399999999999997E-5</v>
      </c>
      <c r="F489">
        <v>11882459266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0.3999999999999993</v>
      </c>
      <c r="Q489">
        <f t="shared" si="980"/>
        <v>4752983706.399992</v>
      </c>
      <c r="R489">
        <f t="shared" si="981"/>
        <v>-419281864793.03973</v>
      </c>
      <c r="S489">
        <f t="shared" si="982"/>
        <v>-4192818.6479303972</v>
      </c>
      <c r="T489">
        <f t="shared" si="983"/>
        <v>-4192.8186479303968</v>
      </c>
    </row>
    <row r="490" spans="1:20" x14ac:dyDescent="0.25">
      <c r="A490" s="5">
        <v>44103</v>
      </c>
      <c r="B490">
        <v>8.1199999999999995E-5</v>
      </c>
      <c r="C490">
        <v>8.2299999999999995E-5</v>
      </c>
      <c r="D490">
        <v>7.8999999999999996E-5</v>
      </c>
      <c r="E490">
        <v>8.1299999999999997E-5</v>
      </c>
      <c r="F490">
        <v>8160532628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0.39393939393939542</v>
      </c>
      <c r="Q490">
        <f t="shared" si="980"/>
        <v>3214755277.6969819</v>
      </c>
      <c r="R490">
        <f t="shared" si="981"/>
        <v>-424034848499.4397</v>
      </c>
      <c r="S490">
        <f t="shared" si="982"/>
        <v>-4240348.4849943966</v>
      </c>
      <c r="T490">
        <f t="shared" si="983"/>
        <v>-4240.3484849943961</v>
      </c>
    </row>
    <row r="491" spans="1:20" x14ac:dyDescent="0.25">
      <c r="A491" s="5">
        <v>44102</v>
      </c>
      <c r="B491">
        <v>8.5500000000000005E-5</v>
      </c>
      <c r="C491">
        <v>8.6500000000000002E-5</v>
      </c>
      <c r="D491">
        <v>8.0400000000000003E-5</v>
      </c>
      <c r="E491">
        <v>8.1199999999999995E-5</v>
      </c>
      <c r="F491">
        <v>8856108564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-0.73770491803278937</v>
      </c>
      <c r="Q491">
        <f t="shared" si="980"/>
        <v>-6533194842.295104</v>
      </c>
      <c r="R491">
        <f t="shared" si="981"/>
        <v>-427249603777.13666</v>
      </c>
      <c r="S491">
        <f t="shared" si="982"/>
        <v>-4272496.0377713665</v>
      </c>
      <c r="T491">
        <f t="shared" si="983"/>
        <v>-4272.4960377713669</v>
      </c>
    </row>
    <row r="492" spans="1:20" x14ac:dyDescent="0.25">
      <c r="A492" s="5">
        <v>44101</v>
      </c>
      <c r="B492">
        <v>8.8900000000000006E-5</v>
      </c>
      <c r="C492">
        <v>8.9900000000000003E-5</v>
      </c>
      <c r="D492">
        <v>8.2999999999999998E-5</v>
      </c>
      <c r="E492">
        <v>8.5500000000000005E-5</v>
      </c>
      <c r="F492">
        <v>6827338759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-0.27536231884057832</v>
      </c>
      <c r="Q492">
        <f t="shared" si="980"/>
        <v>-1879991832.1883962</v>
      </c>
      <c r="R492">
        <f t="shared" si="981"/>
        <v>-420716408934.84155</v>
      </c>
      <c r="S492">
        <f t="shared" si="982"/>
        <v>-4207164.0893484158</v>
      </c>
      <c r="T492">
        <f t="shared" si="983"/>
        <v>-4207.1640893484155</v>
      </c>
    </row>
    <row r="493" spans="1:20" x14ac:dyDescent="0.25">
      <c r="A493" s="5">
        <v>44100</v>
      </c>
      <c r="B493">
        <v>8.2399999999999997E-5</v>
      </c>
      <c r="C493">
        <v>8.9900000000000003E-5</v>
      </c>
      <c r="D493">
        <v>8.1899999999999999E-5</v>
      </c>
      <c r="E493">
        <v>8.8999999999999995E-5</v>
      </c>
      <c r="F493">
        <v>7401077096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0.77499999999999802</v>
      </c>
      <c r="Q493">
        <f t="shared" si="980"/>
        <v>5735834749.3999853</v>
      </c>
      <c r="R493">
        <f t="shared" si="981"/>
        <v>-418836417102.65314</v>
      </c>
      <c r="S493">
        <f t="shared" si="982"/>
        <v>-4188364.1710265311</v>
      </c>
      <c r="T493">
        <f t="shared" si="983"/>
        <v>-4188.364171026531</v>
      </c>
    </row>
    <row r="494" spans="1:20" x14ac:dyDescent="0.25">
      <c r="A494" s="5">
        <v>44099</v>
      </c>
      <c r="B494">
        <v>8.2799999999999993E-5</v>
      </c>
      <c r="C494">
        <v>8.53E-5</v>
      </c>
      <c r="D494">
        <v>8.0500000000000005E-5</v>
      </c>
      <c r="E494">
        <v>8.2399999999999997E-5</v>
      </c>
      <c r="F494">
        <v>11171223027</v>
      </c>
      <c r="G494">
        <v>0</v>
      </c>
      <c r="L494" t="s">
        <v>7</v>
      </c>
      <c r="M494" t="s">
        <v>7</v>
      </c>
      <c r="N494" t="s">
        <v>7</v>
      </c>
      <c r="P494">
        <f t="shared" si="979"/>
        <v>-0.20833333333333581</v>
      </c>
      <c r="Q494">
        <f t="shared" si="980"/>
        <v>-2327338130.6250277</v>
      </c>
      <c r="R494">
        <f t="shared" si="981"/>
        <v>-424572251852.0531</v>
      </c>
      <c r="S494">
        <f t="shared" si="982"/>
        <v>-4245722.5185205312</v>
      </c>
      <c r="T494">
        <f t="shared" si="983"/>
        <v>-4245.7225185205316</v>
      </c>
    </row>
    <row r="495" spans="1:20" x14ac:dyDescent="0.25">
      <c r="A495" s="5">
        <v>44098</v>
      </c>
      <c r="B495">
        <v>7.9400000000000006E-5</v>
      </c>
      <c r="C495">
        <v>8.3499999999999997E-5</v>
      </c>
      <c r="D495">
        <v>7.8399999999999995E-5</v>
      </c>
      <c r="E495">
        <v>8.2799999999999993E-5</v>
      </c>
      <c r="F495">
        <v>8763531520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0.72549019607843013</v>
      </c>
      <c r="Q495">
        <f t="shared" si="980"/>
        <v>6357856200.7843027</v>
      </c>
      <c r="R495">
        <f t="shared" si="981"/>
        <v>-422244913721.4281</v>
      </c>
      <c r="S495">
        <f t="shared" si="982"/>
        <v>-4222449.1372142807</v>
      </c>
      <c r="T495">
        <f t="shared" si="983"/>
        <v>-4222.4491372142811</v>
      </c>
    </row>
    <row r="496" spans="1:20" x14ac:dyDescent="0.25">
      <c r="A496" s="5">
        <v>44097</v>
      </c>
      <c r="B496">
        <v>8.1799999999999996E-5</v>
      </c>
      <c r="C496">
        <v>8.2100000000000003E-5</v>
      </c>
      <c r="D496">
        <v>7.7999999999999999E-5</v>
      </c>
      <c r="E496">
        <v>7.9400000000000006E-5</v>
      </c>
      <c r="F496">
        <v>9134179466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-0.31707317073170471</v>
      </c>
      <c r="Q496">
        <f t="shared" si="980"/>
        <v>-2896203245.3170495</v>
      </c>
      <c r="R496">
        <f t="shared" si="981"/>
        <v>-428602769922.2124</v>
      </c>
      <c r="S496">
        <f t="shared" si="982"/>
        <v>-4286027.6992221242</v>
      </c>
      <c r="T496">
        <f t="shared" si="983"/>
        <v>-4286.0276992221243</v>
      </c>
    </row>
    <row r="497" spans="1:20" x14ac:dyDescent="0.25">
      <c r="A497" s="5">
        <v>44096</v>
      </c>
      <c r="B497">
        <v>8.3499999999999997E-5</v>
      </c>
      <c r="C497">
        <v>8.5400000000000002E-5</v>
      </c>
      <c r="D497">
        <v>8.0000000000000007E-5</v>
      </c>
      <c r="E497">
        <v>8.1799999999999996E-5</v>
      </c>
      <c r="F497">
        <v>7985761721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-0.3333333333333367</v>
      </c>
      <c r="Q497">
        <f t="shared" si="980"/>
        <v>-2661920573.6666937</v>
      </c>
      <c r="R497">
        <f t="shared" si="981"/>
        <v>-425706566676.89532</v>
      </c>
      <c r="S497">
        <f t="shared" si="982"/>
        <v>-4257065.6667689532</v>
      </c>
      <c r="T497">
        <f t="shared" si="983"/>
        <v>-4257.0656667689536</v>
      </c>
    </row>
    <row r="498" spans="1:20" x14ac:dyDescent="0.25">
      <c r="A498" s="5">
        <v>44095</v>
      </c>
      <c r="B498">
        <v>8.7100000000000003E-5</v>
      </c>
      <c r="C498">
        <v>9.0299999999999999E-5</v>
      </c>
      <c r="D498">
        <v>7.9400000000000006E-5</v>
      </c>
      <c r="E498">
        <v>8.3499999999999997E-5</v>
      </c>
      <c r="F498">
        <v>9073963159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-0.2477064220183498</v>
      </c>
      <c r="Q498">
        <f t="shared" si="980"/>
        <v>-2247678947.6422124</v>
      </c>
      <c r="R498">
        <f t="shared" si="981"/>
        <v>-423044646103.22864</v>
      </c>
      <c r="S498">
        <f t="shared" si="982"/>
        <v>-4230446.4610322863</v>
      </c>
      <c r="T498">
        <f t="shared" si="983"/>
        <v>-4230.4464610322866</v>
      </c>
    </row>
    <row r="499" spans="1:20" x14ac:dyDescent="0.25">
      <c r="A499" s="5">
        <v>44094</v>
      </c>
      <c r="B499">
        <v>9.1600000000000004E-5</v>
      </c>
      <c r="C499">
        <v>9.1899999999999998E-5</v>
      </c>
      <c r="D499">
        <v>8.5400000000000002E-5</v>
      </c>
      <c r="E499">
        <v>8.7100000000000003E-5</v>
      </c>
      <c r="F499">
        <v>6777721528</v>
      </c>
      <c r="G499">
        <v>0</v>
      </c>
      <c r="L499" t="s">
        <v>8</v>
      </c>
      <c r="M499" t="s">
        <v>7</v>
      </c>
      <c r="N499" t="s">
        <v>7</v>
      </c>
      <c r="P499">
        <f t="shared" si="979"/>
        <v>-0.47692307692307634</v>
      </c>
      <c r="Q499">
        <f t="shared" si="980"/>
        <v>-3232451805.6615343</v>
      </c>
      <c r="R499">
        <f t="shared" si="981"/>
        <v>-420796967155.58643</v>
      </c>
      <c r="S499">
        <f t="shared" si="982"/>
        <v>-4207969.6715558646</v>
      </c>
      <c r="T499">
        <f t="shared" si="983"/>
        <v>-4207.9696715558648</v>
      </c>
    </row>
    <row r="500" spans="1:20" x14ac:dyDescent="0.25">
      <c r="A500" s="5">
        <v>44093</v>
      </c>
      <c r="B500">
        <v>9.2800000000000006E-5</v>
      </c>
      <c r="C500">
        <v>9.3599999999999998E-5</v>
      </c>
      <c r="D500">
        <v>8.8800000000000004E-5</v>
      </c>
      <c r="E500">
        <v>9.1600000000000004E-5</v>
      </c>
      <c r="F500">
        <v>6236918405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0.16666666666666807</v>
      </c>
      <c r="Q500">
        <f t="shared" si="980"/>
        <v>1039486400.8333421</v>
      </c>
      <c r="R500">
        <f t="shared" si="981"/>
        <v>-417564515349.92487</v>
      </c>
      <c r="S500">
        <f t="shared" si="982"/>
        <v>-4175645.1534992484</v>
      </c>
      <c r="T500">
        <f t="shared" si="983"/>
        <v>-4175.6451534992484</v>
      </c>
    </row>
    <row r="501" spans="1:20" x14ac:dyDescent="0.25">
      <c r="A501" s="5">
        <v>44092</v>
      </c>
      <c r="B501">
        <v>9.9099999999999996E-5</v>
      </c>
      <c r="C501">
        <v>1.05E-4</v>
      </c>
      <c r="D501">
        <v>9.1100000000000005E-5</v>
      </c>
      <c r="E501">
        <v>9.2899999999999995E-5</v>
      </c>
      <c r="F501">
        <v>9308085096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-0.74100719424460582</v>
      </c>
      <c r="Q501">
        <f t="shared" si="980"/>
        <v>-6897358020.7769928</v>
      </c>
      <c r="R501">
        <f t="shared" si="981"/>
        <v>-418604001750.75818</v>
      </c>
      <c r="S501">
        <f t="shared" si="982"/>
        <v>-4186040.017507582</v>
      </c>
      <c r="T501">
        <f t="shared" si="983"/>
        <v>-4186.040017507582</v>
      </c>
    </row>
    <row r="502" spans="1:20" x14ac:dyDescent="0.25">
      <c r="A502" s="5">
        <v>44091</v>
      </c>
      <c r="B502">
        <v>9.7200000000000004E-5</v>
      </c>
      <c r="C502">
        <v>1E-4</v>
      </c>
      <c r="D502">
        <v>9.3399999999999993E-5</v>
      </c>
      <c r="E502">
        <v>9.9099999999999996E-5</v>
      </c>
      <c r="F502">
        <v>7599320668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0.72727272727272518</v>
      </c>
      <c r="Q502">
        <f t="shared" si="980"/>
        <v>5526778667.6363478</v>
      </c>
      <c r="R502">
        <f t="shared" si="981"/>
        <v>-411706643729.9812</v>
      </c>
      <c r="S502">
        <f t="shared" si="982"/>
        <v>-4117066.4372998122</v>
      </c>
      <c r="T502">
        <f t="shared" si="983"/>
        <v>-4117.0664372998126</v>
      </c>
    </row>
    <row r="503" spans="1:20" x14ac:dyDescent="0.25">
      <c r="A503" s="5">
        <v>44090</v>
      </c>
      <c r="B503">
        <v>1.07E-4</v>
      </c>
      <c r="C503">
        <v>1.0739999999999999E-4</v>
      </c>
      <c r="D503">
        <v>9.6600000000000003E-5</v>
      </c>
      <c r="E503">
        <v>9.7299999999999993E-5</v>
      </c>
      <c r="F503">
        <v>9200640784</v>
      </c>
      <c r="G503">
        <v>0</v>
      </c>
      <c r="L503" t="s">
        <v>8</v>
      </c>
      <c r="M503" t="s">
        <v>7</v>
      </c>
      <c r="N503" t="s">
        <v>7</v>
      </c>
      <c r="P503">
        <f t="shared" si="979"/>
        <v>-0.87037037037037213</v>
      </c>
      <c r="Q503">
        <f t="shared" si="980"/>
        <v>-8007965126.8148308</v>
      </c>
      <c r="R503">
        <f t="shared" si="981"/>
        <v>-417233422397.61755</v>
      </c>
      <c r="S503">
        <f t="shared" si="982"/>
        <v>-4172334.2239761758</v>
      </c>
      <c r="T503">
        <f t="shared" si="983"/>
        <v>-4172.334223976176</v>
      </c>
    </row>
    <row r="504" spans="1:20" x14ac:dyDescent="0.25">
      <c r="A504" s="5">
        <v>44089</v>
      </c>
      <c r="B504">
        <v>1.058E-4</v>
      </c>
      <c r="C504">
        <v>1.102E-4</v>
      </c>
      <c r="D504">
        <v>1.032E-4</v>
      </c>
      <c r="E504">
        <v>1.07E-4</v>
      </c>
      <c r="F504">
        <v>9744353970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8.5714285714285937E-2</v>
      </c>
      <c r="Q504">
        <f t="shared" si="980"/>
        <v>835230340.28571641</v>
      </c>
      <c r="R504">
        <f t="shared" si="981"/>
        <v>-409225457270.80273</v>
      </c>
      <c r="S504">
        <f t="shared" si="982"/>
        <v>-4092254.5727080274</v>
      </c>
      <c r="T504">
        <f t="shared" si="983"/>
        <v>-4092.2545727080274</v>
      </c>
    </row>
    <row r="505" spans="1:20" x14ac:dyDescent="0.25">
      <c r="A505" s="5">
        <v>44088</v>
      </c>
      <c r="B505">
        <v>1.0509999999999999E-4</v>
      </c>
      <c r="C505">
        <v>1.11E-4</v>
      </c>
      <c r="D505">
        <v>1.0280000000000001E-4</v>
      </c>
      <c r="E505">
        <v>1.058E-4</v>
      </c>
      <c r="F505">
        <v>10042820739</v>
      </c>
      <c r="G505">
        <v>0</v>
      </c>
      <c r="L505" t="s">
        <v>8</v>
      </c>
      <c r="M505" t="s">
        <v>7</v>
      </c>
      <c r="N505" t="s">
        <v>7</v>
      </c>
      <c r="P505">
        <f t="shared" si="979"/>
        <v>-0.26829268292683095</v>
      </c>
      <c r="Q505">
        <f t="shared" si="980"/>
        <v>-2694415320.2195292</v>
      </c>
      <c r="R505">
        <f t="shared" si="981"/>
        <v>-410060687611.08844</v>
      </c>
      <c r="S505">
        <f t="shared" si="982"/>
        <v>-4100606.8761108844</v>
      </c>
      <c r="T505">
        <f t="shared" si="983"/>
        <v>-4100.6068761108845</v>
      </c>
    </row>
    <row r="506" spans="1:20" x14ac:dyDescent="0.25">
      <c r="A506" s="5">
        <v>44087</v>
      </c>
      <c r="B506">
        <v>1.197E-4</v>
      </c>
      <c r="C506">
        <v>1.199E-4</v>
      </c>
      <c r="D506">
        <v>9.8099999999999999E-5</v>
      </c>
      <c r="E506">
        <v>1.0509999999999999E-4</v>
      </c>
      <c r="F506">
        <v>8540099550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-0.35779816513761525</v>
      </c>
      <c r="Q506">
        <f t="shared" si="980"/>
        <v>-3055631949.0825739</v>
      </c>
      <c r="R506">
        <f t="shared" si="981"/>
        <v>-407366272290.8689</v>
      </c>
      <c r="S506">
        <f t="shared" si="982"/>
        <v>-4073662.7229086892</v>
      </c>
      <c r="T506">
        <f t="shared" si="983"/>
        <v>-4073.6627229086894</v>
      </c>
    </row>
    <row r="507" spans="1:20" x14ac:dyDescent="0.25">
      <c r="A507" s="5">
        <v>44086</v>
      </c>
      <c r="B507">
        <v>1.183E-4</v>
      </c>
      <c r="C507">
        <v>1.217E-4</v>
      </c>
      <c r="D507">
        <v>1.153E-4</v>
      </c>
      <c r="E507">
        <v>1.1959999999999999E-4</v>
      </c>
      <c r="F507">
        <v>5261175400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0.34374999999999745</v>
      </c>
      <c r="Q507">
        <f t="shared" si="980"/>
        <v>1808529043.7499866</v>
      </c>
      <c r="R507">
        <f t="shared" si="981"/>
        <v>-404310640341.78632</v>
      </c>
      <c r="S507">
        <f t="shared" si="982"/>
        <v>-4043106.403417863</v>
      </c>
      <c r="T507">
        <f t="shared" si="983"/>
        <v>-4043.106403417863</v>
      </c>
    </row>
    <row r="508" spans="1:20" x14ac:dyDescent="0.25">
      <c r="A508" s="5">
        <v>44085</v>
      </c>
      <c r="B508">
        <v>1.2229999999999999E-4</v>
      </c>
      <c r="C508">
        <v>1.2290000000000001E-4</v>
      </c>
      <c r="D508">
        <v>1.143E-4</v>
      </c>
      <c r="E508">
        <v>1.184E-4</v>
      </c>
      <c r="F508">
        <v>4867410692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-4.6511627906976265E-2</v>
      </c>
      <c r="Q508">
        <f t="shared" si="980"/>
        <v>-226391194.97674185</v>
      </c>
      <c r="R508">
        <f t="shared" si="981"/>
        <v>-406119169385.53632</v>
      </c>
      <c r="S508">
        <f t="shared" si="982"/>
        <v>-4061191.6938553629</v>
      </c>
      <c r="T508">
        <f t="shared" si="983"/>
        <v>-4061.1916938553632</v>
      </c>
    </row>
    <row r="509" spans="1:20" x14ac:dyDescent="0.25">
      <c r="A509" s="5">
        <v>44084</v>
      </c>
      <c r="B509">
        <v>1.13E-4</v>
      </c>
      <c r="C509">
        <v>1.239E-4</v>
      </c>
      <c r="D509">
        <v>1.104E-4</v>
      </c>
      <c r="E509">
        <v>1.2239999999999999E-4</v>
      </c>
      <c r="F509">
        <v>6835846517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0.77777777777777646</v>
      </c>
      <c r="Q509">
        <f t="shared" si="980"/>
        <v>5316769513.2222128</v>
      </c>
      <c r="R509">
        <f t="shared" si="981"/>
        <v>-405892778190.55957</v>
      </c>
      <c r="S509">
        <f t="shared" si="982"/>
        <v>-4058927.7819055957</v>
      </c>
      <c r="T509">
        <f t="shared" si="983"/>
        <v>-4058.9277819055956</v>
      </c>
    </row>
    <row r="510" spans="1:20" x14ac:dyDescent="0.25">
      <c r="A510" s="5">
        <v>44083</v>
      </c>
      <c r="B510">
        <v>1.1629999999999999E-4</v>
      </c>
      <c r="C510">
        <v>1.195E-4</v>
      </c>
      <c r="D510">
        <v>1.117E-4</v>
      </c>
      <c r="E510">
        <v>1.1290000000000001E-4</v>
      </c>
      <c r="F510">
        <v>4603498864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-0.69230769230769174</v>
      </c>
      <c r="Q510">
        <f t="shared" si="980"/>
        <v>-3187037675.0769205</v>
      </c>
      <c r="R510">
        <f t="shared" si="981"/>
        <v>-411209547703.7818</v>
      </c>
      <c r="S510">
        <f t="shared" si="982"/>
        <v>-4112095.4770378182</v>
      </c>
      <c r="T510">
        <f t="shared" si="983"/>
        <v>-4112.0954770378185</v>
      </c>
    </row>
    <row r="511" spans="1:20" x14ac:dyDescent="0.25">
      <c r="A511" s="5">
        <v>44082</v>
      </c>
      <c r="B511">
        <v>1.098E-4</v>
      </c>
      <c r="C511">
        <v>1.21E-4</v>
      </c>
      <c r="D511">
        <v>1.0730000000000001E-4</v>
      </c>
      <c r="E511">
        <v>1.164E-4</v>
      </c>
      <c r="F511">
        <v>7013418574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0.32846715328467074</v>
      </c>
      <c r="Q511">
        <f t="shared" si="980"/>
        <v>2303677633.7956147</v>
      </c>
      <c r="R511">
        <f t="shared" si="981"/>
        <v>-408022510028.7049</v>
      </c>
      <c r="S511">
        <f t="shared" si="982"/>
        <v>-4080225.1002870491</v>
      </c>
      <c r="T511">
        <f t="shared" si="983"/>
        <v>-4080.2251002870489</v>
      </c>
    </row>
    <row r="512" spans="1:20" x14ac:dyDescent="0.25">
      <c r="A512" s="5">
        <v>44081</v>
      </c>
      <c r="B512">
        <v>1.1290000000000001E-4</v>
      </c>
      <c r="C512">
        <v>1.1519999999999999E-4</v>
      </c>
      <c r="D512">
        <v>1.002E-4</v>
      </c>
      <c r="E512">
        <v>1.097E-4</v>
      </c>
      <c r="F512">
        <v>5742179915</v>
      </c>
      <c r="G512">
        <v>0</v>
      </c>
      <c r="L512" t="s">
        <v>7</v>
      </c>
      <c r="M512" t="s">
        <v>8</v>
      </c>
      <c r="N512" t="s">
        <v>7</v>
      </c>
      <c r="P512">
        <f t="shared" si="979"/>
        <v>0.26666666666666683</v>
      </c>
      <c r="Q512">
        <f t="shared" si="980"/>
        <v>1531247977.3333342</v>
      </c>
      <c r="R512">
        <f t="shared" si="981"/>
        <v>-410326187662.50049</v>
      </c>
      <c r="S512">
        <f t="shared" si="982"/>
        <v>-4103261.8766250047</v>
      </c>
      <c r="T512">
        <f t="shared" si="983"/>
        <v>-4103.2618766250043</v>
      </c>
    </row>
    <row r="513" spans="1:20" x14ac:dyDescent="0.25">
      <c r="A513" s="5">
        <v>44080</v>
      </c>
      <c r="B513">
        <v>1.066E-4</v>
      </c>
      <c r="C513">
        <v>1.153E-4</v>
      </c>
      <c r="D513">
        <v>9.6000000000000002E-5</v>
      </c>
      <c r="E513">
        <v>1.127E-4</v>
      </c>
      <c r="F513">
        <v>7515586696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0.73056994818652887</v>
      </c>
      <c r="Q513">
        <f t="shared" si="980"/>
        <v>5490661783.0880861</v>
      </c>
      <c r="R513">
        <f t="shared" si="981"/>
        <v>-411857435639.8338</v>
      </c>
      <c r="S513">
        <f t="shared" si="982"/>
        <v>-4118574.356398338</v>
      </c>
      <c r="T513">
        <f t="shared" si="983"/>
        <v>-4118.5743563983378</v>
      </c>
    </row>
    <row r="514" spans="1:20" x14ac:dyDescent="0.25">
      <c r="A514" s="5">
        <v>44079</v>
      </c>
      <c r="B514">
        <v>1.091E-4</v>
      </c>
      <c r="C514">
        <v>1.204E-4</v>
      </c>
      <c r="D514">
        <v>1.01E-4</v>
      </c>
      <c r="E514">
        <v>1.0670000000000001E-4</v>
      </c>
      <c r="F514">
        <v>14813175169</v>
      </c>
      <c r="G514">
        <v>0</v>
      </c>
      <c r="L514" t="s">
        <v>7</v>
      </c>
      <c r="M514" t="s">
        <v>8</v>
      </c>
      <c r="N514" t="s">
        <v>7</v>
      </c>
      <c r="P514">
        <f t="shared" si="979"/>
        <v>-0.41237113402061815</v>
      </c>
      <c r="Q514">
        <f t="shared" si="980"/>
        <v>-6108525842.8865919</v>
      </c>
      <c r="R514">
        <f t="shared" si="981"/>
        <v>-417348097422.92188</v>
      </c>
      <c r="S514">
        <f t="shared" si="982"/>
        <v>-4173480.9742292189</v>
      </c>
      <c r="T514">
        <f t="shared" si="983"/>
        <v>-4173.4809742292191</v>
      </c>
    </row>
    <row r="515" spans="1:20" x14ac:dyDescent="0.25">
      <c r="A515" s="5">
        <v>44078</v>
      </c>
      <c r="B515">
        <v>1.2430000000000001E-4</v>
      </c>
      <c r="C515">
        <v>1.328E-4</v>
      </c>
      <c r="D515">
        <v>9.7999999999999997E-5</v>
      </c>
      <c r="E515">
        <v>1.092E-4</v>
      </c>
      <c r="F515">
        <v>24650029818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-0.35632183908045978</v>
      </c>
      <c r="Q515">
        <f t="shared" si="980"/>
        <v>-8783343958.1379318</v>
      </c>
      <c r="R515">
        <f t="shared" si="981"/>
        <v>-411239571580.03528</v>
      </c>
      <c r="S515">
        <f t="shared" si="982"/>
        <v>-4112395.7158003529</v>
      </c>
      <c r="T515">
        <f t="shared" si="983"/>
        <v>-4112.3957158003532</v>
      </c>
    </row>
    <row r="516" spans="1:20" x14ac:dyDescent="0.25">
      <c r="A516" s="5">
        <v>44077</v>
      </c>
      <c r="B516">
        <v>1.3019999999999999E-4</v>
      </c>
      <c r="C516">
        <v>1.5799999999999999E-4</v>
      </c>
      <c r="D516">
        <v>1.1959999999999999E-4</v>
      </c>
      <c r="E516">
        <v>1.2430000000000001E-4</v>
      </c>
      <c r="F516">
        <v>35389950374</v>
      </c>
      <c r="G516">
        <v>0</v>
      </c>
      <c r="L516" t="s">
        <v>7</v>
      </c>
      <c r="M516" t="s">
        <v>8</v>
      </c>
      <c r="N516" t="s">
        <v>8</v>
      </c>
      <c r="P516">
        <f t="shared" si="979"/>
        <v>-0.75520833333333226</v>
      </c>
      <c r="Q516">
        <f t="shared" si="980"/>
        <v>-26726785438.69788</v>
      </c>
      <c r="R516">
        <f t="shared" si="981"/>
        <v>-402456227621.89734</v>
      </c>
      <c r="S516">
        <f t="shared" si="982"/>
        <v>-4024562.2762189736</v>
      </c>
      <c r="T516">
        <f t="shared" si="983"/>
        <v>-4024.5622762189737</v>
      </c>
    </row>
    <row r="517" spans="1:20" x14ac:dyDescent="0.25">
      <c r="A517" s="5">
        <v>44076</v>
      </c>
      <c r="B517">
        <v>1.225E-4</v>
      </c>
      <c r="C517">
        <v>1.348E-4</v>
      </c>
      <c r="D517">
        <v>1.1900000000000001E-4</v>
      </c>
      <c r="E517">
        <v>1.2990000000000001E-4</v>
      </c>
      <c r="F517">
        <v>11745822263</v>
      </c>
      <c r="G517">
        <v>0</v>
      </c>
      <c r="L517" t="s">
        <v>8</v>
      </c>
      <c r="M517" t="s">
        <v>7</v>
      </c>
      <c r="N517" t="s">
        <v>7</v>
      </c>
      <c r="P517">
        <f t="shared" si="979"/>
        <v>0.37974683544303972</v>
      </c>
      <c r="Q517">
        <f t="shared" si="980"/>
        <v>4460438834.0506535</v>
      </c>
      <c r="R517">
        <f t="shared" si="981"/>
        <v>-375729442183.19946</v>
      </c>
      <c r="S517">
        <f t="shared" si="982"/>
        <v>-3757294.4218319948</v>
      </c>
      <c r="T517">
        <f t="shared" si="983"/>
        <v>-3757.2944218319949</v>
      </c>
    </row>
    <row r="518" spans="1:20" x14ac:dyDescent="0.25">
      <c r="A518" s="5">
        <v>44075</v>
      </c>
      <c r="B518">
        <v>1.3070000000000001E-4</v>
      </c>
      <c r="C518">
        <v>1.382E-4</v>
      </c>
      <c r="D518">
        <v>1.2019999999999999E-4</v>
      </c>
      <c r="E518">
        <v>1.225E-4</v>
      </c>
      <c r="F518">
        <v>11506119420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-0.74444444444444435</v>
      </c>
      <c r="Q518">
        <f t="shared" ref="Q518:Q581" si="985">F518*P518</f>
        <v>-8565666679.3333321</v>
      </c>
      <c r="R518">
        <f t="shared" ref="R518:R581" si="986">R519+Q518</f>
        <v>-380189881017.25012</v>
      </c>
      <c r="S518">
        <f t="shared" ref="S518:S581" si="987">R518/100000</f>
        <v>-3801898.810172501</v>
      </c>
      <c r="T518">
        <f t="shared" ref="T518:T581" si="988">S518/1000</f>
        <v>-3801.8988101725008</v>
      </c>
    </row>
    <row r="519" spans="1:20" x14ac:dyDescent="0.25">
      <c r="A519" s="5">
        <v>44074</v>
      </c>
      <c r="B519">
        <v>1.1959999999999999E-4</v>
      </c>
      <c r="C519">
        <v>1.4080000000000001E-4</v>
      </c>
      <c r="D519">
        <v>1.18E-4</v>
      </c>
      <c r="E519">
        <v>1.3070000000000001E-4</v>
      </c>
      <c r="F519">
        <v>17734148281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0.11403508771929859</v>
      </c>
      <c r="Q519">
        <f t="shared" si="985"/>
        <v>2022315154.8508832</v>
      </c>
      <c r="R519">
        <f t="shared" si="986"/>
        <v>-371624214337.91681</v>
      </c>
      <c r="S519">
        <f t="shared" si="987"/>
        <v>-3716242.1433791681</v>
      </c>
      <c r="T519">
        <f t="shared" si="988"/>
        <v>-3716.2421433791683</v>
      </c>
    </row>
    <row r="520" spans="1:20" x14ac:dyDescent="0.25">
      <c r="A520" s="5">
        <v>44073</v>
      </c>
      <c r="B520">
        <v>1.117E-4</v>
      </c>
      <c r="C520">
        <v>1.22E-4</v>
      </c>
      <c r="D520">
        <v>1.1E-4</v>
      </c>
      <c r="E520">
        <v>1.1959999999999999E-4</v>
      </c>
      <c r="F520">
        <v>8062800577</v>
      </c>
      <c r="G520">
        <v>0</v>
      </c>
      <c r="L520" t="s">
        <v>7</v>
      </c>
      <c r="M520" t="s">
        <v>8</v>
      </c>
      <c r="N520" t="s">
        <v>7</v>
      </c>
      <c r="P520">
        <f t="shared" si="984"/>
        <v>0.59999999999999909</v>
      </c>
      <c r="Q520">
        <f t="shared" si="985"/>
        <v>4837680346.1999931</v>
      </c>
      <c r="R520">
        <f t="shared" si="986"/>
        <v>-373646529492.7677</v>
      </c>
      <c r="S520">
        <f t="shared" si="987"/>
        <v>-3736465.2949276771</v>
      </c>
      <c r="T520">
        <f t="shared" si="988"/>
        <v>-3736.465294927677</v>
      </c>
    </row>
    <row r="521" spans="1:20" x14ac:dyDescent="0.25">
      <c r="A521" s="5">
        <v>44072</v>
      </c>
      <c r="B521">
        <v>1.139E-4</v>
      </c>
      <c r="C521">
        <v>1.2400000000000001E-4</v>
      </c>
      <c r="D521">
        <v>1.1120000000000001E-4</v>
      </c>
      <c r="E521">
        <v>1.116E-4</v>
      </c>
      <c r="F521">
        <v>10764728206</v>
      </c>
      <c r="G521">
        <v>0</v>
      </c>
      <c r="L521" t="s">
        <v>8</v>
      </c>
      <c r="M521" t="s">
        <v>8</v>
      </c>
      <c r="N521" t="s">
        <v>7</v>
      </c>
      <c r="P521">
        <f t="shared" si="984"/>
        <v>-0.93750000000000056</v>
      </c>
      <c r="Q521">
        <f t="shared" si="985"/>
        <v>-10091932693.125006</v>
      </c>
      <c r="R521">
        <f t="shared" si="986"/>
        <v>-378484209838.96771</v>
      </c>
      <c r="S521">
        <f t="shared" si="987"/>
        <v>-3784842.0983896772</v>
      </c>
      <c r="T521">
        <f t="shared" si="988"/>
        <v>-3784.8420983896772</v>
      </c>
    </row>
    <row r="522" spans="1:20" x14ac:dyDescent="0.25">
      <c r="A522" s="5">
        <v>44071</v>
      </c>
      <c r="B522">
        <v>1.026E-4</v>
      </c>
      <c r="C522">
        <v>1.1900000000000001E-4</v>
      </c>
      <c r="D522">
        <v>1.0170000000000001E-4</v>
      </c>
      <c r="E522">
        <v>1.1400000000000001E-4</v>
      </c>
      <c r="F522">
        <v>13595092871</v>
      </c>
      <c r="G522">
        <v>0</v>
      </c>
      <c r="L522" t="s">
        <v>7</v>
      </c>
      <c r="M522" t="s">
        <v>8</v>
      </c>
      <c r="N522" t="s">
        <v>7</v>
      </c>
      <c r="P522">
        <f t="shared" si="984"/>
        <v>0.42196531791907521</v>
      </c>
      <c r="Q522">
        <f t="shared" si="985"/>
        <v>5736657685.4508677</v>
      </c>
      <c r="R522">
        <f t="shared" si="986"/>
        <v>-368392277145.84271</v>
      </c>
      <c r="S522">
        <f t="shared" si="987"/>
        <v>-3683922.771458427</v>
      </c>
      <c r="T522">
        <f t="shared" si="988"/>
        <v>-3683.9227714584272</v>
      </c>
    </row>
    <row r="523" spans="1:20" x14ac:dyDescent="0.25">
      <c r="A523" s="5">
        <v>44070</v>
      </c>
      <c r="B523">
        <v>1.065E-4</v>
      </c>
      <c r="C523">
        <v>1.0789999999999999E-4</v>
      </c>
      <c r="D523">
        <v>9.9500000000000006E-5</v>
      </c>
      <c r="E523">
        <v>1.026E-4</v>
      </c>
      <c r="F523">
        <v>9977451858</v>
      </c>
      <c r="G523">
        <v>0</v>
      </c>
      <c r="L523" t="s">
        <v>8</v>
      </c>
      <c r="M523" t="s">
        <v>7</v>
      </c>
      <c r="N523" t="s">
        <v>7</v>
      </c>
      <c r="P523">
        <f t="shared" si="984"/>
        <v>-0.2619047619047622</v>
      </c>
      <c r="Q523">
        <f t="shared" si="985"/>
        <v>-2613142153.285717</v>
      </c>
      <c r="R523">
        <f t="shared" si="986"/>
        <v>-374128934831.29358</v>
      </c>
      <c r="S523">
        <f t="shared" si="987"/>
        <v>-3741289.3483129358</v>
      </c>
      <c r="T523">
        <f t="shared" si="988"/>
        <v>-3741.289348312936</v>
      </c>
    </row>
    <row r="524" spans="1:20" x14ac:dyDescent="0.25">
      <c r="A524" s="5">
        <v>44069</v>
      </c>
      <c r="B524">
        <v>1.019E-4</v>
      </c>
      <c r="C524">
        <v>1.089E-4</v>
      </c>
      <c r="D524">
        <v>9.9900000000000002E-5</v>
      </c>
      <c r="E524">
        <v>1.0670000000000001E-4</v>
      </c>
      <c r="F524">
        <v>6509203837</v>
      </c>
      <c r="G524">
        <v>0</v>
      </c>
      <c r="L524" t="s">
        <v>7</v>
      </c>
      <c r="M524" t="s">
        <v>7</v>
      </c>
      <c r="N524" t="s">
        <v>7</v>
      </c>
      <c r="P524">
        <f t="shared" si="984"/>
        <v>0.5111111111111114</v>
      </c>
      <c r="Q524">
        <f t="shared" si="985"/>
        <v>3326926405.5777798</v>
      </c>
      <c r="R524">
        <f t="shared" si="986"/>
        <v>-371515792678.00787</v>
      </c>
      <c r="S524">
        <f t="shared" si="987"/>
        <v>-3715157.9267800786</v>
      </c>
      <c r="T524">
        <f t="shared" si="988"/>
        <v>-3715.1579267800785</v>
      </c>
    </row>
    <row r="525" spans="1:20" x14ac:dyDescent="0.25">
      <c r="A525" s="5">
        <v>44068</v>
      </c>
      <c r="B525">
        <v>1.1010000000000001E-4</v>
      </c>
      <c r="C525">
        <v>1.111E-4</v>
      </c>
      <c r="D525">
        <v>9.7800000000000006E-5</v>
      </c>
      <c r="E525">
        <v>1.0179999999999999E-4</v>
      </c>
      <c r="F525">
        <v>7799845708</v>
      </c>
      <c r="G525">
        <v>0</v>
      </c>
      <c r="L525" t="s">
        <v>8</v>
      </c>
      <c r="M525" t="s">
        <v>7</v>
      </c>
      <c r="N525" t="s">
        <v>7</v>
      </c>
      <c r="P525">
        <f t="shared" si="984"/>
        <v>-0.39849624060150535</v>
      </c>
      <c r="Q525">
        <f t="shared" si="985"/>
        <v>-3108209191.9097867</v>
      </c>
      <c r="R525">
        <f t="shared" si="986"/>
        <v>-374842719083.58563</v>
      </c>
      <c r="S525">
        <f t="shared" si="987"/>
        <v>-3748427.1908358564</v>
      </c>
      <c r="T525">
        <f t="shared" si="988"/>
        <v>-3748.4271908358564</v>
      </c>
    </row>
    <row r="526" spans="1:20" x14ac:dyDescent="0.25">
      <c r="A526" s="5">
        <v>44067</v>
      </c>
      <c r="B526">
        <v>1.091E-4</v>
      </c>
      <c r="C526">
        <v>1.128E-4</v>
      </c>
      <c r="D526">
        <v>1.059E-4</v>
      </c>
      <c r="E526">
        <v>1.1E-4</v>
      </c>
      <c r="F526">
        <v>3981807092</v>
      </c>
      <c r="G526">
        <v>0</v>
      </c>
      <c r="L526" t="s">
        <v>7</v>
      </c>
      <c r="M526" t="s">
        <v>7</v>
      </c>
      <c r="N526" t="s">
        <v>8</v>
      </c>
      <c r="P526">
        <f t="shared" si="984"/>
        <v>0.18840579710144978</v>
      </c>
      <c r="Q526">
        <f t="shared" si="985"/>
        <v>750195539.07246578</v>
      </c>
      <c r="R526">
        <f t="shared" si="986"/>
        <v>-371734509891.67584</v>
      </c>
      <c r="S526">
        <f t="shared" si="987"/>
        <v>-3717345.0989167583</v>
      </c>
      <c r="T526">
        <f t="shared" si="988"/>
        <v>-3717.3450989167582</v>
      </c>
    </row>
    <row r="527" spans="1:20" x14ac:dyDescent="0.25">
      <c r="A527" s="5">
        <v>44066</v>
      </c>
      <c r="B527">
        <v>1.058E-4</v>
      </c>
      <c r="C527">
        <v>1.128E-4</v>
      </c>
      <c r="D527">
        <v>1.005E-4</v>
      </c>
      <c r="E527">
        <v>1.089E-4</v>
      </c>
      <c r="F527">
        <v>9133677781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0.36585365853658541</v>
      </c>
      <c r="Q527">
        <f t="shared" si="985"/>
        <v>3341589432.0731711</v>
      </c>
      <c r="R527">
        <f t="shared" si="986"/>
        <v>-372484705430.74829</v>
      </c>
      <c r="S527">
        <f t="shared" si="987"/>
        <v>-3724847.0543074831</v>
      </c>
      <c r="T527">
        <f t="shared" si="988"/>
        <v>-3724.8470543074832</v>
      </c>
    </row>
    <row r="528" spans="1:20" x14ac:dyDescent="0.25">
      <c r="A528" s="5">
        <v>44065</v>
      </c>
      <c r="B528">
        <v>1.038E-4</v>
      </c>
      <c r="C528">
        <v>1.142E-4</v>
      </c>
      <c r="D528">
        <v>1.0009999999999999E-4</v>
      </c>
      <c r="E528">
        <v>1.0620000000000001E-4</v>
      </c>
      <c r="F528">
        <v>6203901512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-0.13475177304964384</v>
      </c>
      <c r="Q528">
        <f t="shared" si="985"/>
        <v>-835986728.56736624</v>
      </c>
      <c r="R528">
        <f t="shared" si="986"/>
        <v>-375826294862.82147</v>
      </c>
      <c r="S528">
        <f t="shared" si="987"/>
        <v>-3758262.9486282147</v>
      </c>
      <c r="T528">
        <f t="shared" si="988"/>
        <v>-3758.2629486282149</v>
      </c>
    </row>
    <row r="529" spans="1:20" x14ac:dyDescent="0.25">
      <c r="A529" s="5">
        <v>44064</v>
      </c>
      <c r="B529">
        <v>1.11E-4</v>
      </c>
      <c r="C529">
        <v>1.136E-4</v>
      </c>
      <c r="D529">
        <v>1.0349999999999999E-4</v>
      </c>
      <c r="E529">
        <v>1.0349999999999999E-4</v>
      </c>
      <c r="F529">
        <v>5651571488</v>
      </c>
      <c r="G529">
        <v>0</v>
      </c>
      <c r="L529" t="s">
        <v>8</v>
      </c>
      <c r="M529" t="s">
        <v>7</v>
      </c>
      <c r="N529" t="s">
        <v>8</v>
      </c>
      <c r="P529">
        <f t="shared" si="984"/>
        <v>-1</v>
      </c>
      <c r="Q529">
        <f t="shared" si="985"/>
        <v>-5651571488</v>
      </c>
      <c r="R529">
        <f t="shared" si="986"/>
        <v>-374990308134.25409</v>
      </c>
      <c r="S529">
        <f t="shared" si="987"/>
        <v>-3749903.0813425407</v>
      </c>
      <c r="T529">
        <f t="shared" si="988"/>
        <v>-3749.9030813425406</v>
      </c>
    </row>
    <row r="530" spans="1:20" x14ac:dyDescent="0.25">
      <c r="A530" s="5">
        <v>44063</v>
      </c>
      <c r="B530">
        <v>1.0840000000000001E-4</v>
      </c>
      <c r="C530">
        <v>1.165E-4</v>
      </c>
      <c r="D530">
        <v>1.08E-4</v>
      </c>
      <c r="E530">
        <v>1.109E-4</v>
      </c>
      <c r="F530">
        <v>6411139829</v>
      </c>
      <c r="G530">
        <v>0</v>
      </c>
      <c r="L530" t="s">
        <v>7</v>
      </c>
      <c r="M530" t="s">
        <v>7</v>
      </c>
      <c r="N530" t="s">
        <v>8</v>
      </c>
      <c r="P530">
        <f t="shared" si="984"/>
        <v>-0.31764705882352906</v>
      </c>
      <c r="Q530">
        <f t="shared" si="985"/>
        <v>-2036479710.3882329</v>
      </c>
      <c r="R530">
        <f t="shared" si="986"/>
        <v>-369338736646.25409</v>
      </c>
      <c r="S530">
        <f t="shared" si="987"/>
        <v>-3693387.3664625408</v>
      </c>
      <c r="T530">
        <f t="shared" si="988"/>
        <v>-3693.3873664625407</v>
      </c>
    </row>
    <row r="531" spans="1:20" x14ac:dyDescent="0.25">
      <c r="A531" s="5">
        <v>44062</v>
      </c>
      <c r="B531">
        <v>1.192E-4</v>
      </c>
      <c r="C531">
        <v>1.215E-4</v>
      </c>
      <c r="D531">
        <v>1.0560000000000001E-4</v>
      </c>
      <c r="E531">
        <v>1.083E-4</v>
      </c>
      <c r="F531">
        <v>12049658398</v>
      </c>
      <c r="G531">
        <v>0</v>
      </c>
      <c r="L531" t="s">
        <v>8</v>
      </c>
      <c r="M531" t="s">
        <v>7</v>
      </c>
      <c r="N531" t="s">
        <v>8</v>
      </c>
      <c r="P531">
        <f t="shared" si="984"/>
        <v>-0.66037735849056611</v>
      </c>
      <c r="Q531">
        <f t="shared" si="985"/>
        <v>-7957321583.5849066</v>
      </c>
      <c r="R531">
        <f t="shared" si="986"/>
        <v>-367302256935.86584</v>
      </c>
      <c r="S531">
        <f t="shared" si="987"/>
        <v>-3673022.5693586585</v>
      </c>
      <c r="T531">
        <f t="shared" si="988"/>
        <v>-3673.0225693586585</v>
      </c>
    </row>
    <row r="532" spans="1:20" x14ac:dyDescent="0.25">
      <c r="A532" s="5">
        <v>44061</v>
      </c>
      <c r="B532">
        <v>1.3760000000000001E-4</v>
      </c>
      <c r="C532">
        <v>1.3889999999999999E-4</v>
      </c>
      <c r="D532">
        <v>1.169E-4</v>
      </c>
      <c r="E532">
        <v>1.198E-4</v>
      </c>
      <c r="F532">
        <v>18537079717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-0.736363636363636</v>
      </c>
      <c r="Q532">
        <f t="shared" si="985"/>
        <v>-13650031427.972721</v>
      </c>
      <c r="R532">
        <f t="shared" si="986"/>
        <v>-359344935352.28094</v>
      </c>
      <c r="S532">
        <f t="shared" si="987"/>
        <v>-3593449.3535228092</v>
      </c>
      <c r="T532">
        <f t="shared" si="988"/>
        <v>-3593.4493535228094</v>
      </c>
    </row>
    <row r="533" spans="1:20" x14ac:dyDescent="0.25">
      <c r="A533" s="5">
        <v>44060</v>
      </c>
      <c r="B533">
        <v>1.181E-4</v>
      </c>
      <c r="C533">
        <v>1.4200000000000001E-4</v>
      </c>
      <c r="D533">
        <v>1.171E-4</v>
      </c>
      <c r="E533">
        <v>1.3789999999999999E-4</v>
      </c>
      <c r="F533">
        <v>16578425333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0.67068273092369346</v>
      </c>
      <c r="Q533">
        <f t="shared" si="985"/>
        <v>11118863576.750982</v>
      </c>
      <c r="R533">
        <f t="shared" si="986"/>
        <v>-345694903924.30823</v>
      </c>
      <c r="S533">
        <f t="shared" si="987"/>
        <v>-3456949.0392430821</v>
      </c>
      <c r="T533">
        <f t="shared" si="988"/>
        <v>-3456.9490392430821</v>
      </c>
    </row>
    <row r="534" spans="1:20" x14ac:dyDescent="0.25">
      <c r="A534" s="5">
        <v>44059</v>
      </c>
      <c r="B534">
        <v>1.192E-4</v>
      </c>
      <c r="C534">
        <v>1.225E-4</v>
      </c>
      <c r="D534">
        <v>1.115E-4</v>
      </c>
      <c r="E534">
        <v>1.178E-4</v>
      </c>
      <c r="F534">
        <v>6959818062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0.14545454545454659</v>
      </c>
      <c r="Q534">
        <f t="shared" si="985"/>
        <v>1012337172.6545533</v>
      </c>
      <c r="R534">
        <f t="shared" si="986"/>
        <v>-356813767501.0592</v>
      </c>
      <c r="S534">
        <f t="shared" si="987"/>
        <v>-3568137.6750105922</v>
      </c>
      <c r="T534">
        <f t="shared" si="988"/>
        <v>-3568.1376750105924</v>
      </c>
    </row>
    <row r="535" spans="1:20" x14ac:dyDescent="0.25">
      <c r="A535" s="5">
        <v>44058</v>
      </c>
      <c r="B535">
        <v>1.133E-4</v>
      </c>
      <c r="C535">
        <v>1.2070000000000001E-4</v>
      </c>
      <c r="D535">
        <v>1.12E-4</v>
      </c>
      <c r="E535">
        <v>1.187E-4</v>
      </c>
      <c r="F535">
        <v>6967476190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0.54022988505746983</v>
      </c>
      <c r="Q535">
        <f t="shared" si="985"/>
        <v>3764038861.2643576</v>
      </c>
      <c r="R535">
        <f t="shared" si="986"/>
        <v>-357826104673.71375</v>
      </c>
      <c r="S535">
        <f t="shared" si="987"/>
        <v>-3578261.0467371373</v>
      </c>
      <c r="T535">
        <f t="shared" si="988"/>
        <v>-3578.2610467371373</v>
      </c>
    </row>
    <row r="536" spans="1:20" x14ac:dyDescent="0.25">
      <c r="A536" s="5">
        <v>44057</v>
      </c>
      <c r="B536">
        <v>1.177E-4</v>
      </c>
      <c r="C536">
        <v>1.186E-4</v>
      </c>
      <c r="D536">
        <v>1.1010000000000001E-4</v>
      </c>
      <c r="E536">
        <v>1.137E-4</v>
      </c>
      <c r="F536">
        <v>10888990631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-0.15294117647058894</v>
      </c>
      <c r="Q536">
        <f t="shared" si="985"/>
        <v>-1665375037.6823606</v>
      </c>
      <c r="R536">
        <f t="shared" si="986"/>
        <v>-361590143534.97809</v>
      </c>
      <c r="S536">
        <f t="shared" si="987"/>
        <v>-3615901.4353497811</v>
      </c>
      <c r="T536">
        <f t="shared" si="988"/>
        <v>-3615.901435349781</v>
      </c>
    </row>
    <row r="537" spans="1:20" x14ac:dyDescent="0.25">
      <c r="A537" s="5">
        <v>44056</v>
      </c>
      <c r="B537">
        <v>1.2129999999999999E-4</v>
      </c>
      <c r="C537">
        <v>1.2400000000000001E-4</v>
      </c>
      <c r="D537">
        <v>1.114E-4</v>
      </c>
      <c r="E537">
        <v>1.177E-4</v>
      </c>
      <c r="F537">
        <v>10691578625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</v>
      </c>
      <c r="Q537">
        <f t="shared" si="985"/>
        <v>0</v>
      </c>
      <c r="R537">
        <f t="shared" si="986"/>
        <v>-359924768497.29572</v>
      </c>
      <c r="S537">
        <f t="shared" si="987"/>
        <v>-3599247.6849729572</v>
      </c>
      <c r="T537">
        <f t="shared" si="988"/>
        <v>-3599.2476849729574</v>
      </c>
    </row>
    <row r="538" spans="1:20" x14ac:dyDescent="0.25">
      <c r="A538" s="5">
        <v>44055</v>
      </c>
      <c r="B538">
        <v>1.156E-4</v>
      </c>
      <c r="C538">
        <v>1.2400000000000001E-4</v>
      </c>
      <c r="D538">
        <v>1.05E-4</v>
      </c>
      <c r="E538">
        <v>1.2129999999999999E-4</v>
      </c>
      <c r="F538">
        <v>18184705798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0.71578947368420931</v>
      </c>
      <c r="Q538">
        <f t="shared" si="985"/>
        <v>13016420992.252609</v>
      </c>
      <c r="R538">
        <f t="shared" si="986"/>
        <v>-359924768497.29572</v>
      </c>
      <c r="S538">
        <f t="shared" si="987"/>
        <v>-3599247.6849729572</v>
      </c>
      <c r="T538">
        <f t="shared" si="988"/>
        <v>-3599.2476849729574</v>
      </c>
    </row>
    <row r="539" spans="1:20" x14ac:dyDescent="0.25">
      <c r="A539" s="5">
        <v>44054</v>
      </c>
      <c r="B539">
        <v>1.119E-4</v>
      </c>
      <c r="C539">
        <v>1.3770000000000001E-4</v>
      </c>
      <c r="D539">
        <v>1.021E-4</v>
      </c>
      <c r="E539">
        <v>1.15E-4</v>
      </c>
      <c r="F539">
        <v>32917411138</v>
      </c>
      <c r="G539">
        <v>0</v>
      </c>
      <c r="L539" t="s">
        <v>8</v>
      </c>
      <c r="M539" t="s">
        <v>7</v>
      </c>
      <c r="N539" t="s">
        <v>8</v>
      </c>
      <c r="P539">
        <f t="shared" si="984"/>
        <v>-0.27528089887640461</v>
      </c>
      <c r="Q539">
        <f t="shared" si="985"/>
        <v>-9061534526.7528133</v>
      </c>
      <c r="R539">
        <f t="shared" si="986"/>
        <v>-372941189489.54834</v>
      </c>
      <c r="S539">
        <f t="shared" si="987"/>
        <v>-3729411.8948954833</v>
      </c>
      <c r="T539">
        <f t="shared" si="988"/>
        <v>-3729.4118948954833</v>
      </c>
    </row>
    <row r="540" spans="1:20" x14ac:dyDescent="0.25">
      <c r="A540" s="5">
        <v>44053</v>
      </c>
      <c r="B540">
        <v>1.2010000000000001E-4</v>
      </c>
      <c r="C540">
        <v>1.25E-4</v>
      </c>
      <c r="D540">
        <v>1.0900000000000001E-4</v>
      </c>
      <c r="E540">
        <v>1.12E-4</v>
      </c>
      <c r="F540">
        <v>17243094106</v>
      </c>
      <c r="G540">
        <v>0</v>
      </c>
      <c r="L540" t="s">
        <v>7</v>
      </c>
      <c r="M540" t="s">
        <v>7</v>
      </c>
      <c r="N540" t="s">
        <v>8</v>
      </c>
      <c r="P540">
        <f t="shared" si="984"/>
        <v>-0.625000000000001</v>
      </c>
      <c r="Q540">
        <f t="shared" si="985"/>
        <v>-10776933816.250017</v>
      </c>
      <c r="R540">
        <f t="shared" si="986"/>
        <v>-363879654962.79553</v>
      </c>
      <c r="S540">
        <f t="shared" si="987"/>
        <v>-3638796.5496279555</v>
      </c>
      <c r="T540">
        <f t="shared" si="988"/>
        <v>-3638.7965496279558</v>
      </c>
    </row>
    <row r="541" spans="1:20" x14ac:dyDescent="0.25">
      <c r="A541" s="5">
        <v>44052</v>
      </c>
      <c r="B541">
        <v>1.284E-4</v>
      </c>
      <c r="C541">
        <v>1.2899999999999999E-4</v>
      </c>
      <c r="D541">
        <v>1.138E-4</v>
      </c>
      <c r="E541">
        <v>1.195E-4</v>
      </c>
      <c r="F541">
        <v>22868085221</v>
      </c>
      <c r="G541">
        <v>0</v>
      </c>
      <c r="L541" t="s">
        <v>8</v>
      </c>
      <c r="M541" t="s">
        <v>7</v>
      </c>
      <c r="N541" t="s">
        <v>8</v>
      </c>
      <c r="P541">
        <f t="shared" si="984"/>
        <v>-0.24999999999999911</v>
      </c>
      <c r="Q541">
        <f t="shared" si="985"/>
        <v>-5717021305.24998</v>
      </c>
      <c r="R541">
        <f t="shared" si="986"/>
        <v>-353102721146.54553</v>
      </c>
      <c r="S541">
        <f t="shared" si="987"/>
        <v>-3531027.2114654551</v>
      </c>
      <c r="T541">
        <f t="shared" si="988"/>
        <v>-3531.0272114654549</v>
      </c>
    </row>
    <row r="542" spans="1:20" x14ac:dyDescent="0.25">
      <c r="A542" s="5">
        <v>44051</v>
      </c>
      <c r="B542">
        <v>1E-4</v>
      </c>
      <c r="C542">
        <v>1.4329999999999999E-4</v>
      </c>
      <c r="D542">
        <v>1E-4</v>
      </c>
      <c r="E542">
        <v>1.2850000000000001E-4</v>
      </c>
      <c r="F542">
        <v>65143390113</v>
      </c>
      <c r="G542">
        <v>0</v>
      </c>
      <c r="L542" t="s">
        <v>7</v>
      </c>
      <c r="M542" t="s">
        <v>8</v>
      </c>
      <c r="N542" t="s">
        <v>8</v>
      </c>
      <c r="P542">
        <f t="shared" si="984"/>
        <v>0.31639722863741404</v>
      </c>
      <c r="Q542">
        <f t="shared" si="985"/>
        <v>20611188095.799118</v>
      </c>
      <c r="R542">
        <f t="shared" si="986"/>
        <v>-347385699841.29553</v>
      </c>
      <c r="S542">
        <f t="shared" si="987"/>
        <v>-3473856.9984129556</v>
      </c>
      <c r="T542">
        <f t="shared" si="988"/>
        <v>-3473.8569984129554</v>
      </c>
    </row>
    <row r="543" spans="1:20" x14ac:dyDescent="0.25">
      <c r="A543" s="5">
        <v>44050</v>
      </c>
      <c r="B543">
        <v>8.1899999999999999E-5</v>
      </c>
      <c r="C543">
        <v>1E-4</v>
      </c>
      <c r="D543">
        <v>8.0599999999999994E-5</v>
      </c>
      <c r="E543">
        <v>9.9900000000000002E-5</v>
      </c>
      <c r="F543">
        <v>25023340044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0.98969072164948424</v>
      </c>
      <c r="Q543">
        <f t="shared" si="985"/>
        <v>24765367466.226795</v>
      </c>
      <c r="R543">
        <f t="shared" si="986"/>
        <v>-367996887937.09467</v>
      </c>
      <c r="S543">
        <f t="shared" si="987"/>
        <v>-3679968.8793709464</v>
      </c>
      <c r="T543">
        <f t="shared" si="988"/>
        <v>-3679.9688793709465</v>
      </c>
    </row>
    <row r="544" spans="1:20" x14ac:dyDescent="0.25">
      <c r="A544" s="5">
        <v>44049</v>
      </c>
      <c r="B544">
        <v>7.8100000000000001E-5</v>
      </c>
      <c r="C544">
        <v>8.2799999999999993E-5</v>
      </c>
      <c r="D544">
        <v>7.8100000000000001E-5</v>
      </c>
      <c r="E544">
        <v>8.1899999999999999E-5</v>
      </c>
      <c r="F544">
        <v>22989023848</v>
      </c>
      <c r="G544">
        <v>0</v>
      </c>
      <c r="L544" t="s">
        <v>7</v>
      </c>
      <c r="M544" t="s">
        <v>8</v>
      </c>
      <c r="N544" t="s">
        <v>8</v>
      </c>
      <c r="P544">
        <f t="shared" si="984"/>
        <v>0.61702127659574624</v>
      </c>
      <c r="Q544">
        <f t="shared" si="985"/>
        <v>14184716842.383015</v>
      </c>
      <c r="R544">
        <f t="shared" si="986"/>
        <v>-392762255403.32147</v>
      </c>
      <c r="S544">
        <f t="shared" si="987"/>
        <v>-3927622.5540332147</v>
      </c>
      <c r="T544">
        <f t="shared" si="988"/>
        <v>-3927.6225540332148</v>
      </c>
    </row>
    <row r="545" spans="1:20" x14ac:dyDescent="0.25">
      <c r="A545" s="5">
        <v>44048</v>
      </c>
      <c r="B545">
        <v>7.9099999999999998E-5</v>
      </c>
      <c r="C545">
        <v>7.9499999999999994E-5</v>
      </c>
      <c r="D545">
        <v>7.75E-5</v>
      </c>
      <c r="E545">
        <v>7.8100000000000001E-5</v>
      </c>
      <c r="F545">
        <v>7078422055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-0.3999999999999973</v>
      </c>
      <c r="Q545">
        <f t="shared" si="985"/>
        <v>-2831368821.9999809</v>
      </c>
      <c r="R545">
        <f t="shared" si="986"/>
        <v>-406946972245.70447</v>
      </c>
      <c r="S545">
        <f t="shared" si="987"/>
        <v>-4069469.7224570448</v>
      </c>
      <c r="T545">
        <f t="shared" si="988"/>
        <v>-4069.4697224570446</v>
      </c>
    </row>
    <row r="546" spans="1:20" x14ac:dyDescent="0.25">
      <c r="A546" s="5">
        <v>44047</v>
      </c>
      <c r="B546">
        <v>7.8399999999999995E-5</v>
      </c>
      <c r="C546">
        <v>7.9300000000000003E-5</v>
      </c>
      <c r="D546">
        <v>7.75E-5</v>
      </c>
      <c r="E546">
        <v>7.9099999999999998E-5</v>
      </c>
      <c r="F546">
        <v>6414360918</v>
      </c>
      <c r="G546">
        <v>0</v>
      </c>
      <c r="L546" t="s">
        <v>7</v>
      </c>
      <c r="M546" t="s">
        <v>8</v>
      </c>
      <c r="N546" t="s">
        <v>8</v>
      </c>
      <c r="P546">
        <f t="shared" si="984"/>
        <v>0.77777777777777279</v>
      </c>
      <c r="Q546">
        <f t="shared" si="985"/>
        <v>4988947380.6666346</v>
      </c>
      <c r="R546">
        <f t="shared" si="986"/>
        <v>-404115603423.70447</v>
      </c>
      <c r="S546">
        <f t="shared" si="987"/>
        <v>-4041156.0342370449</v>
      </c>
      <c r="T546">
        <f t="shared" si="988"/>
        <v>-4041.1560342370449</v>
      </c>
    </row>
    <row r="547" spans="1:20" x14ac:dyDescent="0.25">
      <c r="A547" s="5">
        <v>44046</v>
      </c>
      <c r="B547">
        <v>7.7899999999999996E-5</v>
      </c>
      <c r="C547">
        <v>8.0199999999999998E-5</v>
      </c>
      <c r="D547">
        <v>7.7299999999999995E-5</v>
      </c>
      <c r="E547">
        <v>7.8399999999999995E-5</v>
      </c>
      <c r="F547">
        <v>9851867415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-0.24137931034482854</v>
      </c>
      <c r="Q547">
        <f t="shared" si="985"/>
        <v>-2378036962.2413888</v>
      </c>
      <c r="R547">
        <f t="shared" si="986"/>
        <v>-409104550804.37109</v>
      </c>
      <c r="S547">
        <f t="shared" si="987"/>
        <v>-4091045.5080437111</v>
      </c>
      <c r="T547">
        <f t="shared" si="988"/>
        <v>-4091.0455080437109</v>
      </c>
    </row>
    <row r="548" spans="1:20" x14ac:dyDescent="0.25">
      <c r="A548" s="5">
        <v>44045</v>
      </c>
      <c r="B548">
        <v>8.4599999999999996E-5</v>
      </c>
      <c r="C548">
        <v>8.4599999999999996E-5</v>
      </c>
      <c r="D548">
        <v>7.3100000000000001E-5</v>
      </c>
      <c r="E548">
        <v>7.7899999999999996E-5</v>
      </c>
      <c r="F548">
        <v>25498741785</v>
      </c>
      <c r="G548">
        <v>0</v>
      </c>
      <c r="L548" t="s">
        <v>7</v>
      </c>
      <c r="M548" t="s">
        <v>8</v>
      </c>
      <c r="N548" t="s">
        <v>8</v>
      </c>
      <c r="P548">
        <f t="shared" si="984"/>
        <v>-0.16521739130434837</v>
      </c>
      <c r="Q548">
        <f t="shared" si="985"/>
        <v>-4212835599.2608833</v>
      </c>
      <c r="R548">
        <f t="shared" si="986"/>
        <v>-406726513842.1297</v>
      </c>
      <c r="S548">
        <f t="shared" si="987"/>
        <v>-4067265.1384212971</v>
      </c>
      <c r="T548">
        <f t="shared" si="988"/>
        <v>-4067.2651384212973</v>
      </c>
    </row>
    <row r="549" spans="1:20" x14ac:dyDescent="0.25">
      <c r="A549" s="5">
        <v>44044</v>
      </c>
      <c r="B549">
        <v>7.9800000000000002E-5</v>
      </c>
      <c r="C549">
        <v>8.4599999999999996E-5</v>
      </c>
      <c r="D549">
        <v>7.8999999999999996E-5</v>
      </c>
      <c r="E549">
        <v>8.4599999999999996E-5</v>
      </c>
      <c r="F549">
        <v>17024463704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1</v>
      </c>
      <c r="Q549">
        <f t="shared" si="985"/>
        <v>17024463704</v>
      </c>
      <c r="R549">
        <f t="shared" si="986"/>
        <v>-402513678242.86884</v>
      </c>
      <c r="S549">
        <f t="shared" si="987"/>
        <v>-4025136.7824286884</v>
      </c>
      <c r="T549">
        <f t="shared" si="988"/>
        <v>-4025.1367824286885</v>
      </c>
    </row>
    <row r="550" spans="1:20" x14ac:dyDescent="0.25">
      <c r="A550" s="5">
        <v>44043</v>
      </c>
      <c r="B550">
        <v>7.9400000000000006E-5</v>
      </c>
      <c r="C550">
        <v>8.0500000000000005E-5</v>
      </c>
      <c r="D550">
        <v>7.8200000000000003E-5</v>
      </c>
      <c r="E550">
        <v>7.9800000000000002E-5</v>
      </c>
      <c r="F550">
        <v>9026762843</v>
      </c>
      <c r="G550">
        <v>0</v>
      </c>
      <c r="L550" t="s">
        <v>7</v>
      </c>
      <c r="M550" t="s">
        <v>8</v>
      </c>
      <c r="N550" t="s">
        <v>8</v>
      </c>
      <c r="P550">
        <f t="shared" si="984"/>
        <v>0.39130434782608442</v>
      </c>
      <c r="Q550">
        <f t="shared" si="985"/>
        <v>3532211547.2608466</v>
      </c>
      <c r="R550">
        <f t="shared" si="986"/>
        <v>-419538141946.86884</v>
      </c>
      <c r="S550">
        <f t="shared" si="987"/>
        <v>-4195381.4194686888</v>
      </c>
      <c r="T550">
        <f t="shared" si="988"/>
        <v>-4195.3814194686884</v>
      </c>
    </row>
    <row r="551" spans="1:20" x14ac:dyDescent="0.25">
      <c r="A551" s="5">
        <v>44042</v>
      </c>
      <c r="B551">
        <v>7.75E-5</v>
      </c>
      <c r="C551">
        <v>8.0599999999999994E-5</v>
      </c>
      <c r="D551">
        <v>7.6500000000000003E-5</v>
      </c>
      <c r="E551">
        <v>7.9499999999999994E-5</v>
      </c>
      <c r="F551">
        <v>7493179468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0.46341463414634049</v>
      </c>
      <c r="Q551">
        <f t="shared" si="985"/>
        <v>3472449021.7560902</v>
      </c>
      <c r="R551">
        <f t="shared" si="986"/>
        <v>-423070353494.1297</v>
      </c>
      <c r="S551">
        <f t="shared" si="987"/>
        <v>-4230703.534941297</v>
      </c>
      <c r="T551">
        <f t="shared" si="988"/>
        <v>-4230.7035349412972</v>
      </c>
    </row>
    <row r="552" spans="1:20" x14ac:dyDescent="0.25">
      <c r="A552" s="5">
        <v>44041</v>
      </c>
      <c r="B552">
        <v>7.9599999999999997E-5</v>
      </c>
      <c r="C552">
        <v>8.03E-5</v>
      </c>
      <c r="D552">
        <v>7.7399999999999998E-5</v>
      </c>
      <c r="E552">
        <v>7.75E-5</v>
      </c>
      <c r="F552">
        <v>9727896105</v>
      </c>
      <c r="G552">
        <v>0</v>
      </c>
      <c r="L552" t="s">
        <v>7</v>
      </c>
      <c r="M552" t="s">
        <v>8</v>
      </c>
      <c r="N552" t="s">
        <v>8</v>
      </c>
      <c r="P552">
        <f t="shared" si="984"/>
        <v>-0.93103448275861911</v>
      </c>
      <c r="Q552">
        <f t="shared" si="985"/>
        <v>-9057006718.4482613</v>
      </c>
      <c r="R552">
        <f t="shared" si="986"/>
        <v>-426542802515.8858</v>
      </c>
      <c r="S552">
        <f t="shared" si="987"/>
        <v>-4265428.0251588579</v>
      </c>
      <c r="T552">
        <f t="shared" si="988"/>
        <v>-4265.428025158858</v>
      </c>
    </row>
    <row r="553" spans="1:20" x14ac:dyDescent="0.25">
      <c r="A553" s="5">
        <v>44040</v>
      </c>
      <c r="B553">
        <v>7.6299999999999998E-5</v>
      </c>
      <c r="C553">
        <v>8.0500000000000005E-5</v>
      </c>
      <c r="D553">
        <v>7.5599999999999994E-5</v>
      </c>
      <c r="E553">
        <v>7.9599999999999997E-5</v>
      </c>
      <c r="F553">
        <v>9655143564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0.63265306122448717</v>
      </c>
      <c r="Q553">
        <f t="shared" si="985"/>
        <v>6108356132.3265057</v>
      </c>
      <c r="R553">
        <f t="shared" si="986"/>
        <v>-417485795797.43756</v>
      </c>
      <c r="S553">
        <f t="shared" si="987"/>
        <v>-4174857.9579743757</v>
      </c>
      <c r="T553">
        <f t="shared" si="988"/>
        <v>-4174.8579579743755</v>
      </c>
    </row>
    <row r="554" spans="1:20" x14ac:dyDescent="0.25">
      <c r="A554" s="5">
        <v>44039</v>
      </c>
      <c r="B554">
        <v>7.9699999999999999E-5</v>
      </c>
      <c r="C554">
        <v>8.2399999999999997E-5</v>
      </c>
      <c r="D554">
        <v>7.3700000000000002E-5</v>
      </c>
      <c r="E554">
        <v>7.6199999999999995E-5</v>
      </c>
      <c r="F554">
        <v>12670723577</v>
      </c>
      <c r="G554">
        <v>0</v>
      </c>
      <c r="L554" t="s">
        <v>7</v>
      </c>
      <c r="M554" t="s">
        <v>8</v>
      </c>
      <c r="N554" t="s">
        <v>8</v>
      </c>
      <c r="P554">
        <f t="shared" si="984"/>
        <v>-0.42528735632184034</v>
      </c>
      <c r="Q554">
        <f t="shared" si="985"/>
        <v>-5388698532.7471428</v>
      </c>
      <c r="R554">
        <f t="shared" si="986"/>
        <v>-423594151929.76404</v>
      </c>
      <c r="S554">
        <f t="shared" si="987"/>
        <v>-4235941.5192976408</v>
      </c>
      <c r="T554">
        <f t="shared" si="988"/>
        <v>-4235.9415192976412</v>
      </c>
    </row>
    <row r="555" spans="1:20" x14ac:dyDescent="0.25">
      <c r="A555" s="5">
        <v>44038</v>
      </c>
      <c r="B555">
        <v>8.0199999999999998E-5</v>
      </c>
      <c r="C555">
        <v>8.1899999999999999E-5</v>
      </c>
      <c r="D555">
        <v>7.6500000000000003E-5</v>
      </c>
      <c r="E555">
        <v>7.9800000000000002E-5</v>
      </c>
      <c r="F555">
        <v>10663615109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0.22222222222222279</v>
      </c>
      <c r="Q555">
        <f t="shared" si="985"/>
        <v>2369692246.4444504</v>
      </c>
      <c r="R555">
        <f t="shared" si="986"/>
        <v>-418205453397.01691</v>
      </c>
      <c r="S555">
        <f t="shared" si="987"/>
        <v>-4182054.5339701693</v>
      </c>
      <c r="T555">
        <f t="shared" si="988"/>
        <v>-4182.0545339701694</v>
      </c>
    </row>
    <row r="556" spans="1:20" x14ac:dyDescent="0.25">
      <c r="A556" s="5">
        <v>44037</v>
      </c>
      <c r="B556">
        <v>8.3700000000000002E-5</v>
      </c>
      <c r="C556">
        <v>8.6100000000000006E-5</v>
      </c>
      <c r="D556">
        <v>8.0099999999999995E-5</v>
      </c>
      <c r="E556">
        <v>8.0199999999999998E-5</v>
      </c>
      <c r="F556">
        <v>8956108442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-0.9666666666666659</v>
      </c>
      <c r="Q556">
        <f t="shared" si="985"/>
        <v>-8657571493.9333267</v>
      </c>
      <c r="R556">
        <f t="shared" si="986"/>
        <v>-420575145643.46136</v>
      </c>
      <c r="S556">
        <f t="shared" si="987"/>
        <v>-4205751.456434614</v>
      </c>
      <c r="T556">
        <f t="shared" si="988"/>
        <v>-4205.7514564346138</v>
      </c>
    </row>
    <row r="557" spans="1:20" x14ac:dyDescent="0.25">
      <c r="A557" s="5">
        <v>44036</v>
      </c>
      <c r="B557">
        <v>7.9699999999999999E-5</v>
      </c>
      <c r="C557">
        <v>8.5900000000000001E-5</v>
      </c>
      <c r="D557">
        <v>7.9400000000000006E-5</v>
      </c>
      <c r="E557">
        <v>8.3700000000000002E-5</v>
      </c>
      <c r="F557">
        <v>12762597975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0.32307692307692282</v>
      </c>
      <c r="Q557">
        <f t="shared" si="985"/>
        <v>4123300884.2307658</v>
      </c>
      <c r="R557">
        <f t="shared" si="986"/>
        <v>-411917574149.52802</v>
      </c>
      <c r="S557">
        <f t="shared" si="987"/>
        <v>-4119175.7414952801</v>
      </c>
      <c r="T557">
        <f t="shared" si="988"/>
        <v>-4119.1757414952799</v>
      </c>
    </row>
    <row r="558" spans="1:20" x14ac:dyDescent="0.25">
      <c r="A558" s="5">
        <v>44035</v>
      </c>
      <c r="B558">
        <v>7.8999999999999996E-5</v>
      </c>
      <c r="C558">
        <v>8.0799999999999999E-5</v>
      </c>
      <c r="D558">
        <v>7.7600000000000002E-5</v>
      </c>
      <c r="E558">
        <v>7.9699999999999999E-5</v>
      </c>
      <c r="F558">
        <v>10978038458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0.31249999999999944</v>
      </c>
      <c r="Q558">
        <f t="shared" si="985"/>
        <v>3430637018.1249938</v>
      </c>
      <c r="R558">
        <f t="shared" si="986"/>
        <v>-416040875033.75879</v>
      </c>
      <c r="S558">
        <f t="shared" si="987"/>
        <v>-4160408.7503375877</v>
      </c>
      <c r="T558">
        <f t="shared" si="988"/>
        <v>-4160.4087503375877</v>
      </c>
    </row>
    <row r="559" spans="1:20" x14ac:dyDescent="0.25">
      <c r="A559" s="5">
        <v>44034</v>
      </c>
      <c r="B559">
        <v>7.7100000000000004E-5</v>
      </c>
      <c r="C559">
        <v>7.9400000000000006E-5</v>
      </c>
      <c r="D559">
        <v>7.6299999999999998E-5</v>
      </c>
      <c r="E559">
        <v>7.9099999999999998E-5</v>
      </c>
      <c r="F559">
        <v>8973413809</v>
      </c>
      <c r="G559">
        <v>0</v>
      </c>
      <c r="L559" t="s">
        <v>8</v>
      </c>
      <c r="M559" t="s">
        <v>7</v>
      </c>
      <c r="N559" t="s">
        <v>8</v>
      </c>
      <c r="P559">
        <f t="shared" si="984"/>
        <v>0.80645161290322154</v>
      </c>
      <c r="Q559">
        <f t="shared" si="985"/>
        <v>7236624039.5160904</v>
      </c>
      <c r="R559">
        <f t="shared" si="986"/>
        <v>-419471512051.88379</v>
      </c>
      <c r="S559">
        <f t="shared" si="987"/>
        <v>-4194715.1205188381</v>
      </c>
      <c r="T559">
        <f t="shared" si="988"/>
        <v>-4194.7151205188384</v>
      </c>
    </row>
    <row r="560" spans="1:20" x14ac:dyDescent="0.25">
      <c r="A560" s="5">
        <v>44033</v>
      </c>
      <c r="B560">
        <v>7.7299999999999995E-5</v>
      </c>
      <c r="C560">
        <v>7.9900000000000004E-5</v>
      </c>
      <c r="D560">
        <v>7.6100000000000007E-5</v>
      </c>
      <c r="E560">
        <v>7.7200000000000006E-5</v>
      </c>
      <c r="F560">
        <v>8030191855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-0.42105263157894718</v>
      </c>
      <c r="Q560">
        <f t="shared" si="985"/>
        <v>-3381133412.6315775</v>
      </c>
      <c r="R560">
        <f t="shared" si="986"/>
        <v>-426708136091.3999</v>
      </c>
      <c r="S560">
        <f t="shared" si="987"/>
        <v>-4267081.3609139994</v>
      </c>
      <c r="T560">
        <f t="shared" si="988"/>
        <v>-4267.0813609139996</v>
      </c>
    </row>
    <row r="561" spans="1:104" x14ac:dyDescent="0.25">
      <c r="A561" s="5">
        <v>44032</v>
      </c>
      <c r="B561">
        <v>7.3999999999999996E-5</v>
      </c>
      <c r="C561">
        <v>8.0099999999999995E-5</v>
      </c>
      <c r="D561">
        <v>7.3499999999999998E-5</v>
      </c>
      <c r="E561">
        <v>7.7399999999999998E-5</v>
      </c>
      <c r="F561">
        <v>14993395741</v>
      </c>
      <c r="G561">
        <v>0</v>
      </c>
      <c r="L561" t="s">
        <v>8</v>
      </c>
      <c r="M561" t="s">
        <v>7</v>
      </c>
      <c r="N561" t="s">
        <v>8</v>
      </c>
      <c r="P561">
        <f t="shared" si="984"/>
        <v>0.18181818181818218</v>
      </c>
      <c r="Q561">
        <f t="shared" si="985"/>
        <v>2726071952.9090962</v>
      </c>
      <c r="R561">
        <f t="shared" si="986"/>
        <v>-423327002678.76831</v>
      </c>
      <c r="S561">
        <f t="shared" si="987"/>
        <v>-4233270.0267876834</v>
      </c>
      <c r="T561">
        <f t="shared" si="988"/>
        <v>-4233.2700267876835</v>
      </c>
      <c r="CZ561" t="s">
        <v>7</v>
      </c>
    </row>
    <row r="562" spans="1:104" x14ac:dyDescent="0.25">
      <c r="A562" s="5">
        <v>44031</v>
      </c>
      <c r="B562">
        <v>7.3800000000000005E-5</v>
      </c>
      <c r="C562">
        <v>7.47E-5</v>
      </c>
      <c r="D562">
        <v>7.2200000000000007E-5</v>
      </c>
      <c r="E562">
        <v>7.3700000000000002E-5</v>
      </c>
      <c r="F562">
        <v>8174630339</v>
      </c>
      <c r="G562">
        <v>0</v>
      </c>
      <c r="L562" t="s">
        <v>7</v>
      </c>
      <c r="M562" t="s">
        <v>7</v>
      </c>
      <c r="N562" t="s">
        <v>8</v>
      </c>
      <c r="P562">
        <f t="shared" si="984"/>
        <v>0.2</v>
      </c>
      <c r="Q562">
        <f t="shared" si="985"/>
        <v>1634926067.8000002</v>
      </c>
      <c r="R562">
        <f t="shared" si="986"/>
        <v>-426053074631.67743</v>
      </c>
      <c r="S562">
        <f t="shared" si="987"/>
        <v>-4260530.7463167747</v>
      </c>
      <c r="T562">
        <f t="shared" si="988"/>
        <v>-4260.5307463167746</v>
      </c>
      <c r="CZ562" t="s">
        <v>7</v>
      </c>
    </row>
    <row r="563" spans="1:104" x14ac:dyDescent="0.25">
      <c r="A563" s="5">
        <v>44030</v>
      </c>
      <c r="B563">
        <v>7.2000000000000002E-5</v>
      </c>
      <c r="C563">
        <v>7.3999999999999996E-5</v>
      </c>
      <c r="D563">
        <v>7.1699999999999995E-5</v>
      </c>
      <c r="E563">
        <v>7.3700000000000002E-5</v>
      </c>
      <c r="F563">
        <v>7748455041</v>
      </c>
      <c r="G563">
        <v>0</v>
      </c>
      <c r="L563" t="s">
        <v>8</v>
      </c>
      <c r="M563" t="s">
        <v>7</v>
      </c>
      <c r="N563" t="s">
        <v>8</v>
      </c>
      <c r="P563">
        <f t="shared" si="984"/>
        <v>0.73913043478261431</v>
      </c>
      <c r="Q563">
        <f t="shared" si="985"/>
        <v>5727118943.3478699</v>
      </c>
      <c r="R563">
        <f t="shared" si="986"/>
        <v>-427688000699.47742</v>
      </c>
      <c r="S563">
        <f t="shared" si="987"/>
        <v>-4276880.0069947746</v>
      </c>
      <c r="T563">
        <f t="shared" si="988"/>
        <v>-4276.8800069947747</v>
      </c>
      <c r="CZ563" t="s">
        <v>7</v>
      </c>
    </row>
    <row r="564" spans="1:104" x14ac:dyDescent="0.25">
      <c r="A564" s="5">
        <v>44029</v>
      </c>
      <c r="B564">
        <v>7.2100000000000004E-5</v>
      </c>
      <c r="C564">
        <v>7.2999999999999999E-5</v>
      </c>
      <c r="D564">
        <v>7.0400000000000004E-5</v>
      </c>
      <c r="E564">
        <v>7.2000000000000002E-5</v>
      </c>
      <c r="F564">
        <v>9029197449</v>
      </c>
      <c r="G564">
        <v>0</v>
      </c>
      <c r="L564" t="s">
        <v>7</v>
      </c>
      <c r="M564" t="s">
        <v>7</v>
      </c>
      <c r="N564" t="s">
        <v>8</v>
      </c>
      <c r="P564">
        <f t="shared" si="984"/>
        <v>0.23076923076923156</v>
      </c>
      <c r="Q564">
        <f t="shared" si="985"/>
        <v>2083660949.769238</v>
      </c>
      <c r="R564">
        <f t="shared" si="986"/>
        <v>-433415119642.82526</v>
      </c>
      <c r="S564">
        <f t="shared" si="987"/>
        <v>-4334151.1964282524</v>
      </c>
      <c r="T564">
        <f t="shared" si="988"/>
        <v>-4334.1511964282527</v>
      </c>
    </row>
    <row r="565" spans="1:104" x14ac:dyDescent="0.25">
      <c r="A565" s="5">
        <v>44028</v>
      </c>
      <c r="B565">
        <v>7.3800000000000005E-5</v>
      </c>
      <c r="C565">
        <v>7.4900000000000005E-5</v>
      </c>
      <c r="D565">
        <v>7.1099999999999994E-5</v>
      </c>
      <c r="E565">
        <v>7.2100000000000004E-5</v>
      </c>
      <c r="F565">
        <v>9129003832</v>
      </c>
      <c r="G565">
        <v>0</v>
      </c>
      <c r="L565" t="s">
        <v>8</v>
      </c>
      <c r="M565" t="s">
        <v>7</v>
      </c>
      <c r="N565" t="s">
        <v>8</v>
      </c>
      <c r="P565">
        <f t="shared" si="984"/>
        <v>-0.47368421052631166</v>
      </c>
      <c r="Q565">
        <f t="shared" si="985"/>
        <v>-4324264973.0525942</v>
      </c>
      <c r="R565">
        <f t="shared" si="986"/>
        <v>-435498780592.59448</v>
      </c>
      <c r="S565">
        <f t="shared" si="987"/>
        <v>-4354987.8059259448</v>
      </c>
      <c r="T565">
        <f t="shared" si="988"/>
        <v>-4354.9878059259445</v>
      </c>
    </row>
    <row r="566" spans="1:104" x14ac:dyDescent="0.25">
      <c r="A566" s="5">
        <v>44027</v>
      </c>
      <c r="B566">
        <v>7.4499999999999995E-5</v>
      </c>
      <c r="C566">
        <v>7.6299999999999998E-5</v>
      </c>
      <c r="D566">
        <v>7.36E-5</v>
      </c>
      <c r="E566">
        <v>7.3800000000000005E-5</v>
      </c>
      <c r="F566">
        <v>8595600810</v>
      </c>
      <c r="G566">
        <v>0</v>
      </c>
      <c r="L566" t="s">
        <v>7</v>
      </c>
      <c r="M566" t="s">
        <v>7</v>
      </c>
      <c r="N566" t="s">
        <v>8</v>
      </c>
      <c r="P566">
        <f t="shared" si="984"/>
        <v>-0.85185185185184809</v>
      </c>
      <c r="Q566">
        <f t="shared" si="985"/>
        <v>-7322178467.7777452</v>
      </c>
      <c r="R566">
        <f t="shared" si="986"/>
        <v>-431174515619.54187</v>
      </c>
      <c r="S566">
        <f t="shared" si="987"/>
        <v>-4311745.1561954189</v>
      </c>
      <c r="T566">
        <f t="shared" si="988"/>
        <v>-4311.7451561954185</v>
      </c>
    </row>
    <row r="567" spans="1:104" x14ac:dyDescent="0.25">
      <c r="A567" s="5">
        <v>44026</v>
      </c>
      <c r="B567">
        <v>7.4200000000000001E-5</v>
      </c>
      <c r="C567">
        <v>7.5599999999999994E-5</v>
      </c>
      <c r="D567">
        <v>7.3399999999999995E-5</v>
      </c>
      <c r="E567">
        <v>7.4499999999999995E-5</v>
      </c>
      <c r="F567">
        <v>9540166551</v>
      </c>
      <c r="G567">
        <v>0</v>
      </c>
      <c r="L567" t="s">
        <v>8</v>
      </c>
      <c r="M567" t="s">
        <v>7</v>
      </c>
      <c r="N567" t="s">
        <v>8</v>
      </c>
      <c r="P567">
        <f t="shared" si="984"/>
        <v>0</v>
      </c>
      <c r="Q567">
        <f t="shared" si="985"/>
        <v>0</v>
      </c>
      <c r="R567">
        <f t="shared" si="986"/>
        <v>-423852337151.7641</v>
      </c>
      <c r="S567">
        <f t="shared" si="987"/>
        <v>-4238523.3715176405</v>
      </c>
      <c r="T567">
        <f t="shared" si="988"/>
        <v>-4238.523371517641</v>
      </c>
    </row>
    <row r="568" spans="1:104" x14ac:dyDescent="0.25">
      <c r="A568" s="5">
        <v>44025</v>
      </c>
      <c r="B568">
        <v>7.5699999999999997E-5</v>
      </c>
      <c r="C568">
        <v>7.7200000000000006E-5</v>
      </c>
      <c r="D568">
        <v>7.3499999999999998E-5</v>
      </c>
      <c r="E568">
        <v>7.4200000000000001E-5</v>
      </c>
      <c r="F568">
        <v>9424469261</v>
      </c>
      <c r="G568">
        <v>0</v>
      </c>
      <c r="L568" t="s">
        <v>7</v>
      </c>
      <c r="M568" t="s">
        <v>7</v>
      </c>
      <c r="N568" t="s">
        <v>8</v>
      </c>
      <c r="P568">
        <f t="shared" si="984"/>
        <v>-0.6216216216216206</v>
      </c>
      <c r="Q568">
        <f t="shared" si="985"/>
        <v>-5858453864.9459362</v>
      </c>
      <c r="R568">
        <f t="shared" si="986"/>
        <v>-423852337151.7641</v>
      </c>
      <c r="S568">
        <f t="shared" si="987"/>
        <v>-4238523.3715176405</v>
      </c>
      <c r="T568">
        <f t="shared" si="988"/>
        <v>-4238.523371517641</v>
      </c>
    </row>
    <row r="569" spans="1:104" x14ac:dyDescent="0.25">
      <c r="A569" s="5">
        <v>44024</v>
      </c>
      <c r="B569">
        <v>7.86E-5</v>
      </c>
      <c r="C569">
        <v>7.86E-5</v>
      </c>
      <c r="D569">
        <v>7.4599999999999997E-5</v>
      </c>
      <c r="E569">
        <v>7.5699999999999997E-5</v>
      </c>
      <c r="F569">
        <v>9768058934</v>
      </c>
      <c r="G569">
        <v>0</v>
      </c>
      <c r="L569" t="s">
        <v>8</v>
      </c>
      <c r="M569" t="s">
        <v>7</v>
      </c>
      <c r="N569" t="s">
        <v>8</v>
      </c>
      <c r="P569">
        <f t="shared" si="984"/>
        <v>-0.45000000000000051</v>
      </c>
      <c r="Q569">
        <f t="shared" si="985"/>
        <v>-4395626520.300005</v>
      </c>
      <c r="R569">
        <f t="shared" si="986"/>
        <v>-417993883286.81818</v>
      </c>
      <c r="S569">
        <f t="shared" si="987"/>
        <v>-4179938.8328681816</v>
      </c>
      <c r="T569">
        <f t="shared" si="988"/>
        <v>-4179.9388328681816</v>
      </c>
    </row>
    <row r="570" spans="1:104" x14ac:dyDescent="0.25">
      <c r="A570" s="5">
        <v>44023</v>
      </c>
      <c r="B570">
        <v>7.6799999999999997E-5</v>
      </c>
      <c r="C570">
        <v>7.8999999999999996E-5</v>
      </c>
      <c r="D570">
        <v>7.4999999999999993E-5</v>
      </c>
      <c r="E570">
        <v>7.8499999999999997E-5</v>
      </c>
      <c r="F570">
        <v>7229023100</v>
      </c>
      <c r="G570">
        <v>0</v>
      </c>
      <c r="L570" t="s">
        <v>7</v>
      </c>
      <c r="M570" t="s">
        <v>7</v>
      </c>
      <c r="N570" t="s">
        <v>8</v>
      </c>
      <c r="P570">
        <f t="shared" si="984"/>
        <v>0.75000000000000089</v>
      </c>
      <c r="Q570">
        <f t="shared" si="985"/>
        <v>5421767325.0000067</v>
      </c>
      <c r="R570">
        <f t="shared" si="986"/>
        <v>-413598256766.51819</v>
      </c>
      <c r="S570">
        <f t="shared" si="987"/>
        <v>-4135982.5676651821</v>
      </c>
      <c r="T570">
        <f t="shared" si="988"/>
        <v>-4135.9825676651817</v>
      </c>
    </row>
    <row r="571" spans="1:104" x14ac:dyDescent="0.25">
      <c r="A571" s="5">
        <v>44022</v>
      </c>
      <c r="B571">
        <v>7.4999999999999993E-5</v>
      </c>
      <c r="C571">
        <v>8.1000000000000004E-5</v>
      </c>
      <c r="D571">
        <v>7.3999999999999996E-5</v>
      </c>
      <c r="E571">
        <v>7.6699999999999994E-5</v>
      </c>
      <c r="F571">
        <v>13407210051</v>
      </c>
      <c r="G571">
        <v>0</v>
      </c>
      <c r="L571" t="s">
        <v>8</v>
      </c>
      <c r="M571" t="s">
        <v>7</v>
      </c>
      <c r="N571" t="s">
        <v>8</v>
      </c>
      <c r="P571">
        <f t="shared" si="984"/>
        <v>-0.22857142857143001</v>
      </c>
      <c r="Q571">
        <f t="shared" si="985"/>
        <v>-3064505154.5143051</v>
      </c>
      <c r="R571">
        <f t="shared" si="986"/>
        <v>-419020024091.51819</v>
      </c>
      <c r="S571">
        <f t="shared" si="987"/>
        <v>-4190200.240915182</v>
      </c>
      <c r="T571">
        <f t="shared" si="988"/>
        <v>-4190.2002409151819</v>
      </c>
    </row>
    <row r="572" spans="1:104" x14ac:dyDescent="0.25">
      <c r="A572" s="5">
        <v>44021</v>
      </c>
      <c r="B572">
        <v>7.5500000000000006E-5</v>
      </c>
      <c r="C572">
        <v>7.7000000000000001E-5</v>
      </c>
      <c r="D572">
        <v>7.2899999999999997E-5</v>
      </c>
      <c r="E572">
        <v>7.4999999999999993E-5</v>
      </c>
      <c r="F572">
        <v>10455617507</v>
      </c>
      <c r="G572">
        <v>0</v>
      </c>
      <c r="L572" t="s">
        <v>7</v>
      </c>
      <c r="M572" t="s">
        <v>7</v>
      </c>
      <c r="N572" t="s">
        <v>8</v>
      </c>
      <c r="P572">
        <f t="shared" si="984"/>
        <v>2.4390243902436284E-2</v>
      </c>
      <c r="Q572">
        <f t="shared" si="985"/>
        <v>255015061.1463128</v>
      </c>
      <c r="R572">
        <f t="shared" si="986"/>
        <v>-415955518937.00391</v>
      </c>
      <c r="S572">
        <f t="shared" si="987"/>
        <v>-4159555.1893700389</v>
      </c>
      <c r="T572">
        <f t="shared" si="988"/>
        <v>-4159.5551893700385</v>
      </c>
    </row>
    <row r="573" spans="1:104" x14ac:dyDescent="0.25">
      <c r="A573" s="5">
        <v>44020</v>
      </c>
      <c r="B573">
        <v>7.36E-5</v>
      </c>
      <c r="C573">
        <v>7.6799999999999997E-5</v>
      </c>
      <c r="D573">
        <v>7.3300000000000006E-5</v>
      </c>
      <c r="E573">
        <v>7.5599999999999994E-5</v>
      </c>
      <c r="F573">
        <v>10292006402</v>
      </c>
      <c r="G573">
        <v>0</v>
      </c>
      <c r="L573" t="s">
        <v>8</v>
      </c>
      <c r="M573" t="s">
        <v>7</v>
      </c>
      <c r="N573" t="s">
        <v>8</v>
      </c>
      <c r="P573">
        <f t="shared" si="984"/>
        <v>0.31428571428571117</v>
      </c>
      <c r="Q573">
        <f t="shared" si="985"/>
        <v>3234630583.485682</v>
      </c>
      <c r="R573">
        <f t="shared" si="986"/>
        <v>-416210533998.15021</v>
      </c>
      <c r="S573">
        <f t="shared" si="987"/>
        <v>-4162105.3399815019</v>
      </c>
      <c r="T573">
        <f t="shared" si="988"/>
        <v>-4162.1053399815019</v>
      </c>
    </row>
    <row r="574" spans="1:104" x14ac:dyDescent="0.25">
      <c r="A574" s="5">
        <v>44019</v>
      </c>
      <c r="B574">
        <v>7.4200000000000001E-5</v>
      </c>
      <c r="C574">
        <v>7.4800000000000002E-5</v>
      </c>
      <c r="D574">
        <v>7.3200000000000004E-5</v>
      </c>
      <c r="E574">
        <v>7.36E-5</v>
      </c>
      <c r="F574">
        <v>9971844855</v>
      </c>
      <c r="G574">
        <v>0</v>
      </c>
      <c r="L574" t="s">
        <v>7</v>
      </c>
      <c r="M574" t="s">
        <v>7</v>
      </c>
      <c r="N574" t="s">
        <v>8</v>
      </c>
      <c r="P574">
        <f t="shared" si="984"/>
        <v>-0.50000000000000422</v>
      </c>
      <c r="Q574">
        <f t="shared" si="985"/>
        <v>-4985922427.500042</v>
      </c>
      <c r="R574">
        <f t="shared" si="986"/>
        <v>-419445164581.63586</v>
      </c>
      <c r="S574">
        <f t="shared" si="987"/>
        <v>-4194451.6458163587</v>
      </c>
      <c r="T574">
        <f t="shared" si="988"/>
        <v>-4194.4516458163589</v>
      </c>
    </row>
    <row r="575" spans="1:104" x14ac:dyDescent="0.25">
      <c r="A575" s="5">
        <v>44018</v>
      </c>
      <c r="B575">
        <v>7.2899999999999997E-5</v>
      </c>
      <c r="C575">
        <v>7.4499999999999995E-5</v>
      </c>
      <c r="D575">
        <v>7.25E-5</v>
      </c>
      <c r="E575">
        <v>7.4300000000000004E-5</v>
      </c>
      <c r="F575">
        <v>11818536098</v>
      </c>
      <c r="G575">
        <v>0</v>
      </c>
      <c r="L575" t="s">
        <v>8</v>
      </c>
      <c r="M575" t="s">
        <v>7</v>
      </c>
      <c r="N575" t="s">
        <v>8</v>
      </c>
      <c r="P575">
        <f t="shared" si="984"/>
        <v>0.80000000000000815</v>
      </c>
      <c r="Q575">
        <f t="shared" si="985"/>
        <v>9454828878.4000969</v>
      </c>
      <c r="R575">
        <f t="shared" si="986"/>
        <v>-414459242154.1358</v>
      </c>
      <c r="S575">
        <f t="shared" si="987"/>
        <v>-4144592.4215413579</v>
      </c>
      <c r="T575">
        <f t="shared" si="988"/>
        <v>-4144.5924215413579</v>
      </c>
    </row>
    <row r="576" spans="1:104" x14ac:dyDescent="0.25">
      <c r="A576" s="5">
        <v>44017</v>
      </c>
      <c r="B576">
        <v>7.2999999999999999E-5</v>
      </c>
      <c r="C576">
        <v>7.3999999999999996E-5</v>
      </c>
      <c r="D576">
        <v>7.2100000000000004E-5</v>
      </c>
      <c r="E576">
        <v>7.2899999999999997E-5</v>
      </c>
      <c r="F576">
        <v>9761997918</v>
      </c>
      <c r="G576">
        <v>0</v>
      </c>
      <c r="L576" t="s">
        <v>7</v>
      </c>
      <c r="M576" t="s">
        <v>7</v>
      </c>
      <c r="N576" t="s">
        <v>8</v>
      </c>
      <c r="P576">
        <f t="shared" si="984"/>
        <v>-0.15789473684210978</v>
      </c>
      <c r="Q576">
        <f t="shared" si="985"/>
        <v>-1541368092.3158336</v>
      </c>
      <c r="R576">
        <f t="shared" si="986"/>
        <v>-423914071032.53589</v>
      </c>
      <c r="S576">
        <f t="shared" si="987"/>
        <v>-4239140.7103253584</v>
      </c>
      <c r="T576">
        <f t="shared" si="988"/>
        <v>-4239.1407103253587</v>
      </c>
    </row>
    <row r="577" spans="1:20" x14ac:dyDescent="0.25">
      <c r="A577" s="5">
        <v>44016</v>
      </c>
      <c r="B577">
        <v>7.2200000000000007E-5</v>
      </c>
      <c r="C577">
        <v>7.3899999999999994E-5</v>
      </c>
      <c r="D577">
        <v>7.1299999999999998E-5</v>
      </c>
      <c r="E577">
        <v>7.2999999999999999E-5</v>
      </c>
      <c r="F577">
        <v>7398852892</v>
      </c>
      <c r="G577">
        <v>0</v>
      </c>
      <c r="L577" t="s">
        <v>8</v>
      </c>
      <c r="M577" t="s">
        <v>7</v>
      </c>
      <c r="N577" t="s">
        <v>8</v>
      </c>
      <c r="P577">
        <f t="shared" si="984"/>
        <v>0.30769230769231048</v>
      </c>
      <c r="Q577">
        <f t="shared" si="985"/>
        <v>2276570120.6154051</v>
      </c>
      <c r="R577">
        <f t="shared" si="986"/>
        <v>-422372702940.22003</v>
      </c>
      <c r="S577">
        <f t="shared" si="987"/>
        <v>-4223727.0294022001</v>
      </c>
      <c r="T577">
        <f t="shared" si="988"/>
        <v>-4223.7270294022001</v>
      </c>
    </row>
    <row r="578" spans="1:20" x14ac:dyDescent="0.25">
      <c r="A578" s="5">
        <v>44015</v>
      </c>
      <c r="B578">
        <v>7.2399999999999998E-5</v>
      </c>
      <c r="C578">
        <v>7.4499999999999995E-5</v>
      </c>
      <c r="D578">
        <v>7.1799999999999997E-5</v>
      </c>
      <c r="E578">
        <v>7.2200000000000007E-5</v>
      </c>
      <c r="F578">
        <v>8553620512</v>
      </c>
      <c r="G578">
        <v>0</v>
      </c>
      <c r="L578" t="s">
        <v>7</v>
      </c>
      <c r="M578" t="s">
        <v>7</v>
      </c>
      <c r="N578" t="s">
        <v>8</v>
      </c>
      <c r="P578">
        <f t="shared" si="984"/>
        <v>-0.70370370370369628</v>
      </c>
      <c r="Q578">
        <f t="shared" si="985"/>
        <v>-6019214434.370307</v>
      </c>
      <c r="R578">
        <f t="shared" si="986"/>
        <v>-424649273060.83545</v>
      </c>
      <c r="S578">
        <f t="shared" si="987"/>
        <v>-4246492.7306083543</v>
      </c>
      <c r="T578">
        <f t="shared" si="988"/>
        <v>-4246.4927306083546</v>
      </c>
    </row>
    <row r="579" spans="1:20" x14ac:dyDescent="0.25">
      <c r="A579" s="5">
        <v>44014</v>
      </c>
      <c r="B579">
        <v>7.1199999999999996E-5</v>
      </c>
      <c r="C579">
        <v>7.64E-5</v>
      </c>
      <c r="D579">
        <v>7.1000000000000005E-5</v>
      </c>
      <c r="E579">
        <v>7.2399999999999998E-5</v>
      </c>
      <c r="F579">
        <v>16040747040</v>
      </c>
      <c r="G579">
        <v>0</v>
      </c>
      <c r="L579" t="s">
        <v>8</v>
      </c>
      <c r="M579" t="s">
        <v>7</v>
      </c>
      <c r="N579" t="s">
        <v>8</v>
      </c>
      <c r="P579">
        <f t="shared" si="984"/>
        <v>-0.48148148148148351</v>
      </c>
      <c r="Q579">
        <f t="shared" si="985"/>
        <v>-7723322648.8889217</v>
      </c>
      <c r="R579">
        <f t="shared" si="986"/>
        <v>-418630058626.46515</v>
      </c>
      <c r="S579">
        <f t="shared" si="987"/>
        <v>-4186300.5862646513</v>
      </c>
      <c r="T579">
        <f t="shared" si="988"/>
        <v>-4186.3005862646514</v>
      </c>
    </row>
    <row r="580" spans="1:20" x14ac:dyDescent="0.25">
      <c r="A580" s="5">
        <v>44013</v>
      </c>
      <c r="B580">
        <v>7.1199999999999996E-5</v>
      </c>
      <c r="C580">
        <v>7.1699999999999995E-5</v>
      </c>
      <c r="D580">
        <v>7.0500000000000006E-5</v>
      </c>
      <c r="E580">
        <v>7.1199999999999996E-5</v>
      </c>
      <c r="F580">
        <v>11262712032</v>
      </c>
      <c r="G580">
        <v>0</v>
      </c>
      <c r="L580" t="s">
        <v>7</v>
      </c>
      <c r="M580" t="s">
        <v>7</v>
      </c>
      <c r="N580" t="s">
        <v>8</v>
      </c>
      <c r="P580">
        <f t="shared" si="984"/>
        <v>0.16666666666666102</v>
      </c>
      <c r="Q580">
        <f t="shared" si="985"/>
        <v>1877118671.9999363</v>
      </c>
      <c r="R580">
        <f t="shared" si="986"/>
        <v>-410906735977.57623</v>
      </c>
      <c r="S580">
        <f t="shared" si="987"/>
        <v>-4109067.3597757625</v>
      </c>
      <c r="T580">
        <f t="shared" si="988"/>
        <v>-4109.0673597757623</v>
      </c>
    </row>
    <row r="581" spans="1:20" x14ac:dyDescent="0.25">
      <c r="A581" s="5">
        <v>44012</v>
      </c>
      <c r="B581">
        <v>7.1600000000000006E-5</v>
      </c>
      <c r="C581">
        <v>7.3100000000000001E-5</v>
      </c>
      <c r="D581">
        <v>7.0699999999999997E-5</v>
      </c>
      <c r="E581">
        <v>7.1199999999999996E-5</v>
      </c>
      <c r="F581">
        <v>11795030795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-0.58333333333333526</v>
      </c>
      <c r="Q581">
        <f t="shared" si="985"/>
        <v>-6880434630.4166889</v>
      </c>
      <c r="R581">
        <f t="shared" si="986"/>
        <v>-412783854649.57617</v>
      </c>
      <c r="S581">
        <f t="shared" si="987"/>
        <v>-4127838.5464957617</v>
      </c>
      <c r="T581">
        <f t="shared" si="988"/>
        <v>-4127.8385464957619</v>
      </c>
    </row>
    <row r="582" spans="1:20" x14ac:dyDescent="0.25">
      <c r="A582" s="5">
        <v>44011</v>
      </c>
      <c r="B582">
        <v>7.1899999999999999E-5</v>
      </c>
      <c r="C582">
        <v>7.3100000000000001E-5</v>
      </c>
      <c r="D582">
        <v>7.0500000000000006E-5</v>
      </c>
      <c r="E582">
        <v>7.1600000000000006E-5</v>
      </c>
      <c r="F582">
        <v>13221486378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89">IF(C582=D582,0,((E582-D582)-(C582-E582))/(C582-D582))</f>
        <v>-0.15384615384615263</v>
      </c>
      <c r="Q582">
        <f t="shared" ref="Q582:Q645" si="990">F582*P582</f>
        <v>-2034074827.3845994</v>
      </c>
      <c r="R582">
        <f t="shared" ref="R582:R645" si="991">R583+Q582</f>
        <v>-405903420019.15948</v>
      </c>
      <c r="S582">
        <f t="shared" ref="S582:S645" si="992">R582/100000</f>
        <v>-4059034.2001915947</v>
      </c>
      <c r="T582">
        <f t="shared" ref="T582:T645" si="993">S582/1000</f>
        <v>-4059.0342001915947</v>
      </c>
    </row>
    <row r="583" spans="1:20" x14ac:dyDescent="0.25">
      <c r="A583" s="5">
        <v>44010</v>
      </c>
      <c r="B583">
        <v>7.3100000000000001E-5</v>
      </c>
      <c r="C583">
        <v>7.4800000000000002E-5</v>
      </c>
      <c r="D583">
        <v>7.1199999999999996E-5</v>
      </c>
      <c r="E583">
        <v>7.1899999999999999E-5</v>
      </c>
      <c r="F583">
        <v>10577344105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-0.61111111111110983</v>
      </c>
      <c r="Q583">
        <f t="shared" si="990"/>
        <v>-6463932508.6110973</v>
      </c>
      <c r="R583">
        <f t="shared" si="991"/>
        <v>-403869345191.7749</v>
      </c>
      <c r="S583">
        <f t="shared" si="992"/>
        <v>-4038693.4519177489</v>
      </c>
      <c r="T583">
        <f t="shared" si="993"/>
        <v>-4038.6934519177489</v>
      </c>
    </row>
    <row r="584" spans="1:20" x14ac:dyDescent="0.25">
      <c r="A584" s="5">
        <v>44009</v>
      </c>
      <c r="B584">
        <v>7.1099999999999994E-5</v>
      </c>
      <c r="C584">
        <v>7.7899999999999996E-5</v>
      </c>
      <c r="D584">
        <v>7.0199999999999999E-5</v>
      </c>
      <c r="E584">
        <v>7.3100000000000001E-5</v>
      </c>
      <c r="F584">
        <v>19767285904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-0.24675324675324578</v>
      </c>
      <c r="Q584">
        <f t="shared" si="990"/>
        <v>-4877641976.3116693</v>
      </c>
      <c r="R584">
        <f t="shared" si="991"/>
        <v>-397405412683.16382</v>
      </c>
      <c r="S584">
        <f t="shared" si="992"/>
        <v>-3974054.1268316382</v>
      </c>
      <c r="T584">
        <f t="shared" si="993"/>
        <v>-3974.0541268316383</v>
      </c>
    </row>
    <row r="585" spans="1:20" x14ac:dyDescent="0.25">
      <c r="A585" s="5">
        <v>44008</v>
      </c>
      <c r="B585">
        <v>7.3100000000000001E-5</v>
      </c>
      <c r="C585">
        <v>7.3399999999999995E-5</v>
      </c>
      <c r="D585">
        <v>6.9999999999999994E-5</v>
      </c>
      <c r="E585">
        <v>7.1000000000000005E-5</v>
      </c>
      <c r="F585">
        <v>10612875421</v>
      </c>
      <c r="G585">
        <v>0</v>
      </c>
      <c r="L585" t="s">
        <v>8</v>
      </c>
      <c r="M585" t="s">
        <v>7</v>
      </c>
      <c r="N585" t="s">
        <v>8</v>
      </c>
      <c r="P585">
        <f t="shared" si="989"/>
        <v>-0.41176470588234687</v>
      </c>
      <c r="Q585">
        <f t="shared" si="990"/>
        <v>-4370007526.2940531</v>
      </c>
      <c r="R585">
        <f t="shared" si="991"/>
        <v>-392527770706.85217</v>
      </c>
      <c r="S585">
        <f t="shared" si="992"/>
        <v>-3925277.7070685215</v>
      </c>
      <c r="T585">
        <f t="shared" si="993"/>
        <v>-3925.2777070685215</v>
      </c>
    </row>
    <row r="586" spans="1:20" x14ac:dyDescent="0.25">
      <c r="A586" s="5">
        <v>44007</v>
      </c>
      <c r="B586">
        <v>7.3399999999999995E-5</v>
      </c>
      <c r="C586">
        <v>7.3800000000000005E-5</v>
      </c>
      <c r="D586">
        <v>7.1199999999999996E-5</v>
      </c>
      <c r="E586">
        <v>7.2899999999999997E-5</v>
      </c>
      <c r="F586">
        <v>11485473162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0.30769230769230366</v>
      </c>
      <c r="Q586">
        <f t="shared" si="990"/>
        <v>3533991742.1538</v>
      </c>
      <c r="R586">
        <f t="shared" si="991"/>
        <v>-388157763180.55811</v>
      </c>
      <c r="S586">
        <f t="shared" si="992"/>
        <v>-3881577.631805581</v>
      </c>
      <c r="T586">
        <f t="shared" si="993"/>
        <v>-3881.5776318055809</v>
      </c>
    </row>
    <row r="587" spans="1:20" x14ac:dyDescent="0.25">
      <c r="A587" s="5">
        <v>44006</v>
      </c>
      <c r="B587">
        <v>7.7399999999999998E-5</v>
      </c>
      <c r="C587">
        <v>7.8100000000000001E-5</v>
      </c>
      <c r="D587">
        <v>7.1199999999999996E-5</v>
      </c>
      <c r="E587">
        <v>7.3499999999999998E-5</v>
      </c>
      <c r="F587">
        <v>11033120536</v>
      </c>
      <c r="G587">
        <v>0</v>
      </c>
      <c r="L587" t="s">
        <v>8</v>
      </c>
      <c r="M587" t="s">
        <v>7</v>
      </c>
      <c r="N587" t="s">
        <v>8</v>
      </c>
      <c r="P587">
        <f t="shared" si="989"/>
        <v>-0.33333333333333331</v>
      </c>
      <c r="Q587">
        <f t="shared" si="990"/>
        <v>-3677706845.333333</v>
      </c>
      <c r="R587">
        <f t="shared" si="991"/>
        <v>-391691754922.71191</v>
      </c>
      <c r="S587">
        <f t="shared" si="992"/>
        <v>-3916917.549227119</v>
      </c>
      <c r="T587">
        <f t="shared" si="993"/>
        <v>-3916.9175492271188</v>
      </c>
    </row>
    <row r="588" spans="1:20" x14ac:dyDescent="0.25">
      <c r="A588" s="5">
        <v>44005</v>
      </c>
      <c r="B588">
        <v>7.6000000000000004E-5</v>
      </c>
      <c r="C588">
        <v>7.8399999999999995E-5</v>
      </c>
      <c r="D588">
        <v>7.5199999999999998E-5</v>
      </c>
      <c r="E588">
        <v>7.7399999999999998E-5</v>
      </c>
      <c r="F588">
        <v>13098366171</v>
      </c>
      <c r="G588">
        <v>0</v>
      </c>
      <c r="L588" t="s">
        <v>7</v>
      </c>
      <c r="M588" t="s">
        <v>7</v>
      </c>
      <c r="N588" t="s">
        <v>8</v>
      </c>
      <c r="P588">
        <f t="shared" si="989"/>
        <v>0.37500000000000105</v>
      </c>
      <c r="Q588">
        <f t="shared" si="990"/>
        <v>4911887314.1250134</v>
      </c>
      <c r="R588">
        <f t="shared" si="991"/>
        <v>-388014048077.3786</v>
      </c>
      <c r="S588">
        <f t="shared" si="992"/>
        <v>-3880140.4807737861</v>
      </c>
      <c r="T588">
        <f t="shared" si="993"/>
        <v>-3880.1404807737863</v>
      </c>
    </row>
    <row r="589" spans="1:20" x14ac:dyDescent="0.25">
      <c r="A589" s="5">
        <v>44004</v>
      </c>
      <c r="B589">
        <v>7.4400000000000006E-5</v>
      </c>
      <c r="C589">
        <v>7.64E-5</v>
      </c>
      <c r="D589">
        <v>7.4400000000000006E-5</v>
      </c>
      <c r="E589">
        <v>7.6000000000000004E-5</v>
      </c>
      <c r="F589">
        <v>8278086521</v>
      </c>
      <c r="G589">
        <v>0</v>
      </c>
      <c r="L589" t="s">
        <v>8</v>
      </c>
      <c r="M589" t="s">
        <v>7</v>
      </c>
      <c r="N589" t="s">
        <v>8</v>
      </c>
      <c r="P589">
        <f t="shared" si="989"/>
        <v>0.60000000000000275</v>
      </c>
      <c r="Q589">
        <f t="shared" si="990"/>
        <v>4966851912.6000223</v>
      </c>
      <c r="R589">
        <f t="shared" si="991"/>
        <v>-392925935391.5036</v>
      </c>
      <c r="S589">
        <f t="shared" si="992"/>
        <v>-3929259.3539150362</v>
      </c>
      <c r="T589">
        <f t="shared" si="993"/>
        <v>-3929.2593539150362</v>
      </c>
    </row>
    <row r="590" spans="1:20" x14ac:dyDescent="0.25">
      <c r="A590" s="5">
        <v>44003</v>
      </c>
      <c r="B590">
        <v>7.4599999999999997E-5</v>
      </c>
      <c r="C590">
        <v>7.5599999999999994E-5</v>
      </c>
      <c r="D590">
        <v>7.3999999999999996E-5</v>
      </c>
      <c r="E590">
        <v>7.4499999999999995E-5</v>
      </c>
      <c r="F590">
        <v>8416742791</v>
      </c>
      <c r="G590">
        <v>0</v>
      </c>
      <c r="L590" t="s">
        <v>7</v>
      </c>
      <c r="M590" t="s">
        <v>7</v>
      </c>
      <c r="N590" t="s">
        <v>8</v>
      </c>
      <c r="P590">
        <f t="shared" si="989"/>
        <v>-0.37500000000000105</v>
      </c>
      <c r="Q590">
        <f t="shared" si="990"/>
        <v>-3156278546.6250091</v>
      </c>
      <c r="R590">
        <f t="shared" si="991"/>
        <v>-397892787304.10364</v>
      </c>
      <c r="S590">
        <f t="shared" si="992"/>
        <v>-3978927.8730410365</v>
      </c>
      <c r="T590">
        <f t="shared" si="993"/>
        <v>-3978.9278730410365</v>
      </c>
    </row>
    <row r="591" spans="1:20" x14ac:dyDescent="0.25">
      <c r="A591" s="5">
        <v>44002</v>
      </c>
      <c r="B591">
        <v>7.4300000000000004E-5</v>
      </c>
      <c r="C591">
        <v>7.5300000000000001E-5</v>
      </c>
      <c r="D591">
        <v>7.3499999999999998E-5</v>
      </c>
      <c r="E591">
        <v>7.4599999999999997E-5</v>
      </c>
      <c r="F591">
        <v>8764798121</v>
      </c>
      <c r="G591">
        <v>0</v>
      </c>
      <c r="L591" t="s">
        <v>8</v>
      </c>
      <c r="M591" t="s">
        <v>7</v>
      </c>
      <c r="N591" t="s">
        <v>8</v>
      </c>
      <c r="P591">
        <f t="shared" si="989"/>
        <v>0.22222222222221971</v>
      </c>
      <c r="Q591">
        <f t="shared" si="990"/>
        <v>1947732915.7777557</v>
      </c>
      <c r="R591">
        <f t="shared" si="991"/>
        <v>-394736508757.47864</v>
      </c>
      <c r="S591">
        <f t="shared" si="992"/>
        <v>-3947365.0875747865</v>
      </c>
      <c r="T591">
        <f t="shared" si="993"/>
        <v>-3947.3650875747867</v>
      </c>
    </row>
    <row r="592" spans="1:20" x14ac:dyDescent="0.25">
      <c r="A592" s="5">
        <v>44001</v>
      </c>
      <c r="B592">
        <v>7.6199999999999995E-5</v>
      </c>
      <c r="C592">
        <v>7.6600000000000005E-5</v>
      </c>
      <c r="D592">
        <v>7.36E-5</v>
      </c>
      <c r="E592">
        <v>7.4300000000000004E-5</v>
      </c>
      <c r="F592">
        <v>11778018884</v>
      </c>
      <c r="G592">
        <v>0</v>
      </c>
      <c r="L592" t="s">
        <v>7</v>
      </c>
      <c r="M592" t="s">
        <v>7</v>
      </c>
      <c r="N592" t="s">
        <v>8</v>
      </c>
      <c r="P592">
        <f t="shared" si="989"/>
        <v>-0.53333333333333188</v>
      </c>
      <c r="Q592">
        <f t="shared" si="990"/>
        <v>-6281610071.46665</v>
      </c>
      <c r="R592">
        <f t="shared" si="991"/>
        <v>-396684241673.25641</v>
      </c>
      <c r="S592">
        <f t="shared" si="992"/>
        <v>-3966842.4167325641</v>
      </c>
      <c r="T592">
        <f t="shared" si="993"/>
        <v>-3966.8424167325643</v>
      </c>
    </row>
    <row r="593" spans="1:20" x14ac:dyDescent="0.25">
      <c r="A593" s="5">
        <v>44000</v>
      </c>
      <c r="B593">
        <v>7.7399999999999998E-5</v>
      </c>
      <c r="C593">
        <v>7.8399999999999995E-5</v>
      </c>
      <c r="D593">
        <v>7.25E-5</v>
      </c>
      <c r="E593">
        <v>7.6299999999999998E-5</v>
      </c>
      <c r="F593">
        <v>11950155702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0.28813559322033938</v>
      </c>
      <c r="Q593">
        <f t="shared" si="990"/>
        <v>3443265202.2711911</v>
      </c>
      <c r="R593">
        <f t="shared" si="991"/>
        <v>-390402631601.78973</v>
      </c>
      <c r="S593">
        <f t="shared" si="992"/>
        <v>-3904026.3160178973</v>
      </c>
      <c r="T593">
        <f t="shared" si="993"/>
        <v>-3904.0263160178974</v>
      </c>
    </row>
    <row r="594" spans="1:20" x14ac:dyDescent="0.25">
      <c r="A594" s="5">
        <v>43999</v>
      </c>
      <c r="B594">
        <v>7.7200000000000006E-5</v>
      </c>
      <c r="C594">
        <v>7.8300000000000006E-5</v>
      </c>
      <c r="D594">
        <v>7.5799999999999999E-5</v>
      </c>
      <c r="E594">
        <v>7.7399999999999998E-5</v>
      </c>
      <c r="F594">
        <v>10840457322</v>
      </c>
      <c r="G594">
        <v>0</v>
      </c>
      <c r="L594" t="s">
        <v>7</v>
      </c>
      <c r="M594" t="s">
        <v>7</v>
      </c>
      <c r="N594" t="s">
        <v>8</v>
      </c>
      <c r="P594">
        <f t="shared" si="989"/>
        <v>0.27999999999999525</v>
      </c>
      <c r="Q594">
        <f t="shared" si="990"/>
        <v>3035328050.1599483</v>
      </c>
      <c r="R594">
        <f t="shared" si="991"/>
        <v>-393845896804.06091</v>
      </c>
      <c r="S594">
        <f t="shared" si="992"/>
        <v>-3938458.9680406093</v>
      </c>
      <c r="T594">
        <f t="shared" si="993"/>
        <v>-3938.4589680406093</v>
      </c>
    </row>
    <row r="595" spans="1:20" x14ac:dyDescent="0.25">
      <c r="A595" s="5">
        <v>43998</v>
      </c>
      <c r="B595">
        <v>7.8399999999999995E-5</v>
      </c>
      <c r="C595">
        <v>7.9099999999999998E-5</v>
      </c>
      <c r="D595">
        <v>7.5799999999999999E-5</v>
      </c>
      <c r="E595">
        <v>7.7100000000000004E-5</v>
      </c>
      <c r="F595">
        <v>10498445493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-0.21212121212120913</v>
      </c>
      <c r="Q595">
        <f t="shared" si="990"/>
        <v>-2226942983.363605</v>
      </c>
      <c r="R595">
        <f t="shared" si="991"/>
        <v>-396881224854.22089</v>
      </c>
      <c r="S595">
        <f t="shared" si="992"/>
        <v>-3968812.2485422087</v>
      </c>
      <c r="T595">
        <f t="shared" si="993"/>
        <v>-3968.8122485422086</v>
      </c>
    </row>
    <row r="596" spans="1:20" x14ac:dyDescent="0.25">
      <c r="A596" s="5">
        <v>43997</v>
      </c>
      <c r="B596">
        <v>7.8499999999999997E-5</v>
      </c>
      <c r="C596">
        <v>7.8999999999999996E-5</v>
      </c>
      <c r="D596">
        <v>7.25E-5</v>
      </c>
      <c r="E596">
        <v>7.8399999999999995E-5</v>
      </c>
      <c r="F596">
        <v>12154522891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0.81538461538461493</v>
      </c>
      <c r="Q596">
        <f t="shared" si="990"/>
        <v>9910610972.6615334</v>
      </c>
      <c r="R596">
        <f t="shared" si="991"/>
        <v>-394654281870.8573</v>
      </c>
      <c r="S596">
        <f t="shared" si="992"/>
        <v>-3946542.818708573</v>
      </c>
      <c r="T596">
        <f t="shared" si="993"/>
        <v>-3946.5428187085731</v>
      </c>
    </row>
    <row r="597" spans="1:20" x14ac:dyDescent="0.25">
      <c r="A597" s="5">
        <v>43996</v>
      </c>
      <c r="B597">
        <v>8.1100000000000006E-5</v>
      </c>
      <c r="C597">
        <v>8.14E-5</v>
      </c>
      <c r="D597">
        <v>7.7000000000000001E-5</v>
      </c>
      <c r="E597">
        <v>7.8499999999999997E-5</v>
      </c>
      <c r="F597">
        <v>7888222685</v>
      </c>
      <c r="G597">
        <v>0</v>
      </c>
      <c r="L597" t="s">
        <v>8</v>
      </c>
      <c r="M597" t="s">
        <v>7</v>
      </c>
      <c r="N597" t="s">
        <v>8</v>
      </c>
      <c r="P597">
        <f t="shared" si="989"/>
        <v>-0.31818181818181984</v>
      </c>
      <c r="Q597">
        <f t="shared" si="990"/>
        <v>-2509889036.1363769</v>
      </c>
      <c r="R597">
        <f t="shared" si="991"/>
        <v>-404564892843.51886</v>
      </c>
      <c r="S597">
        <f t="shared" si="992"/>
        <v>-4045648.9284351887</v>
      </c>
      <c r="T597">
        <f t="shared" si="993"/>
        <v>-4045.6489284351887</v>
      </c>
    </row>
    <row r="598" spans="1:20" x14ac:dyDescent="0.25">
      <c r="A598" s="5">
        <v>43995</v>
      </c>
      <c r="B598">
        <v>8.1199999999999995E-5</v>
      </c>
      <c r="C598">
        <v>8.25E-5</v>
      </c>
      <c r="D598">
        <v>7.9800000000000002E-5</v>
      </c>
      <c r="E598">
        <v>8.1199999999999995E-5</v>
      </c>
      <c r="F598">
        <v>9924786101</v>
      </c>
      <c r="G598">
        <v>0</v>
      </c>
      <c r="L598" t="s">
        <v>7</v>
      </c>
      <c r="M598" t="s">
        <v>7</v>
      </c>
      <c r="N598" t="s">
        <v>8</v>
      </c>
      <c r="P598">
        <f t="shared" si="989"/>
        <v>3.7037037037032948E-2</v>
      </c>
      <c r="Q598">
        <f t="shared" si="990"/>
        <v>367584670.40736681</v>
      </c>
      <c r="R598">
        <f t="shared" si="991"/>
        <v>-402055003807.38251</v>
      </c>
      <c r="S598">
        <f t="shared" si="992"/>
        <v>-4020550.0380738252</v>
      </c>
      <c r="T598">
        <f t="shared" si="993"/>
        <v>-4020.5500380738254</v>
      </c>
    </row>
    <row r="599" spans="1:20" x14ac:dyDescent="0.25">
      <c r="A599" s="5">
        <v>43994</v>
      </c>
      <c r="B599">
        <v>7.9300000000000003E-5</v>
      </c>
      <c r="C599">
        <v>8.3499999999999997E-5</v>
      </c>
      <c r="D599">
        <v>7.8999999999999996E-5</v>
      </c>
      <c r="E599">
        <v>8.1199999999999995E-5</v>
      </c>
      <c r="F599">
        <v>6518911863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-2.2222222222222757E-2</v>
      </c>
      <c r="Q599">
        <f t="shared" si="990"/>
        <v>-144864708.06667015</v>
      </c>
      <c r="R599">
        <f t="shared" si="991"/>
        <v>-402422588477.78986</v>
      </c>
      <c r="S599">
        <f t="shared" si="992"/>
        <v>-4024225.8847778984</v>
      </c>
      <c r="T599">
        <f t="shared" si="993"/>
        <v>-4024.2258847778985</v>
      </c>
    </row>
    <row r="600" spans="1:20" x14ac:dyDescent="0.25">
      <c r="A600" s="5">
        <v>43993</v>
      </c>
      <c r="B600">
        <v>8.4499999999999994E-5</v>
      </c>
      <c r="C600">
        <v>8.6000000000000003E-5</v>
      </c>
      <c r="D600">
        <v>7.6299999999999998E-5</v>
      </c>
      <c r="E600">
        <v>7.9300000000000003E-5</v>
      </c>
      <c r="F600">
        <v>12574004708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-0.38144329896907142</v>
      </c>
      <c r="Q600">
        <f t="shared" si="990"/>
        <v>-4796269837.072156</v>
      </c>
      <c r="R600">
        <f t="shared" si="991"/>
        <v>-402277723769.72321</v>
      </c>
      <c r="S600">
        <f t="shared" si="992"/>
        <v>-4022777.237697232</v>
      </c>
      <c r="T600">
        <f t="shared" si="993"/>
        <v>-4022.7772376972321</v>
      </c>
    </row>
    <row r="601" spans="1:20" x14ac:dyDescent="0.25">
      <c r="A601" s="5">
        <v>43992</v>
      </c>
      <c r="B601">
        <v>8.7000000000000001E-5</v>
      </c>
      <c r="C601">
        <v>8.7200000000000005E-5</v>
      </c>
      <c r="D601">
        <v>8.3599999999999999E-5</v>
      </c>
      <c r="E601">
        <v>8.4499999999999994E-5</v>
      </c>
      <c r="F601">
        <v>8330247697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-0.50000000000000377</v>
      </c>
      <c r="Q601">
        <f t="shared" si="990"/>
        <v>-4165123848.5000315</v>
      </c>
      <c r="R601">
        <f t="shared" si="991"/>
        <v>-397481453932.65106</v>
      </c>
      <c r="S601">
        <f t="shared" si="992"/>
        <v>-3974814.5393265104</v>
      </c>
      <c r="T601">
        <f t="shared" si="993"/>
        <v>-3974.8145393265104</v>
      </c>
    </row>
    <row r="602" spans="1:20" x14ac:dyDescent="0.25">
      <c r="A602" s="5">
        <v>43991</v>
      </c>
      <c r="B602">
        <v>8.9900000000000003E-5</v>
      </c>
      <c r="C602">
        <v>9.0000000000000006E-5</v>
      </c>
      <c r="D602">
        <v>8.6500000000000002E-5</v>
      </c>
      <c r="E602">
        <v>8.7000000000000001E-5</v>
      </c>
      <c r="F602">
        <v>9646902710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-0.71428571428571541</v>
      </c>
      <c r="Q602">
        <f t="shared" si="990"/>
        <v>-6890644792.8571539</v>
      </c>
      <c r="R602">
        <f t="shared" si="991"/>
        <v>-393316330084.151</v>
      </c>
      <c r="S602">
        <f t="shared" si="992"/>
        <v>-3933163.3008415098</v>
      </c>
      <c r="T602">
        <f t="shared" si="993"/>
        <v>-3933.1633008415097</v>
      </c>
    </row>
    <row r="603" spans="1:20" x14ac:dyDescent="0.25">
      <c r="A603" s="5">
        <v>43990</v>
      </c>
      <c r="B603">
        <v>8.9400000000000005E-5</v>
      </c>
      <c r="C603">
        <v>9.1700000000000006E-5</v>
      </c>
      <c r="D603">
        <v>8.8200000000000003E-5</v>
      </c>
      <c r="E603">
        <v>8.9900000000000003E-5</v>
      </c>
      <c r="F603">
        <v>7766290914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-2.8571428571429237E-2</v>
      </c>
      <c r="Q603">
        <f t="shared" si="990"/>
        <v>-221894026.11429089</v>
      </c>
      <c r="R603">
        <f t="shared" si="991"/>
        <v>-386425685291.29382</v>
      </c>
      <c r="S603">
        <f t="shared" si="992"/>
        <v>-3864256.8529129382</v>
      </c>
      <c r="T603">
        <f t="shared" si="993"/>
        <v>-3864.256852912938</v>
      </c>
    </row>
    <row r="604" spans="1:20" x14ac:dyDescent="0.25">
      <c r="A604" s="5">
        <v>43989</v>
      </c>
      <c r="B604">
        <v>8.7600000000000002E-5</v>
      </c>
      <c r="C604">
        <v>9.1000000000000003E-5</v>
      </c>
      <c r="D604">
        <v>8.6600000000000004E-5</v>
      </c>
      <c r="E604">
        <v>8.9400000000000005E-5</v>
      </c>
      <c r="F604">
        <v>8945631886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0.27272727272727326</v>
      </c>
      <c r="Q604">
        <f t="shared" si="990"/>
        <v>2439717787.0909138</v>
      </c>
      <c r="R604">
        <f t="shared" si="991"/>
        <v>-386203791265.1795</v>
      </c>
      <c r="S604">
        <f t="shared" si="992"/>
        <v>-3862037.912651795</v>
      </c>
      <c r="T604">
        <f t="shared" si="993"/>
        <v>-3862.0379126517951</v>
      </c>
    </row>
    <row r="605" spans="1:20" x14ac:dyDescent="0.25">
      <c r="A605" s="5">
        <v>43988</v>
      </c>
      <c r="B605">
        <v>8.8499999999999996E-5</v>
      </c>
      <c r="C605">
        <v>8.8700000000000001E-5</v>
      </c>
      <c r="D605">
        <v>8.6600000000000004E-5</v>
      </c>
      <c r="E605">
        <v>8.7600000000000002E-5</v>
      </c>
      <c r="F605">
        <v>8043374026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-4.7619047619048852E-2</v>
      </c>
      <c r="Q605">
        <f t="shared" si="990"/>
        <v>-383017810.76191467</v>
      </c>
      <c r="R605">
        <f t="shared" si="991"/>
        <v>-388643509052.27045</v>
      </c>
      <c r="S605">
        <f t="shared" si="992"/>
        <v>-3886435.0905227046</v>
      </c>
      <c r="T605">
        <f t="shared" si="993"/>
        <v>-3886.4350905227047</v>
      </c>
    </row>
    <row r="606" spans="1:20" x14ac:dyDescent="0.25">
      <c r="A606" s="5">
        <v>43987</v>
      </c>
      <c r="B606">
        <v>8.8700000000000001E-5</v>
      </c>
      <c r="C606">
        <v>9.0799999999999998E-5</v>
      </c>
      <c r="D606">
        <v>8.7700000000000004E-5</v>
      </c>
      <c r="E606">
        <v>8.8499999999999996E-5</v>
      </c>
      <c r="F606">
        <v>7688250996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-0.48387096774193944</v>
      </c>
      <c r="Q606">
        <f t="shared" si="990"/>
        <v>-3720121449.6774497</v>
      </c>
      <c r="R606">
        <f t="shared" si="991"/>
        <v>-388260491241.50854</v>
      </c>
      <c r="S606">
        <f t="shared" si="992"/>
        <v>-3882604.9124150854</v>
      </c>
      <c r="T606">
        <f t="shared" si="993"/>
        <v>-3882.6049124150854</v>
      </c>
    </row>
    <row r="607" spans="1:20" x14ac:dyDescent="0.25">
      <c r="A607" s="5">
        <v>43986</v>
      </c>
      <c r="B607">
        <v>8.6299999999999997E-5</v>
      </c>
      <c r="C607">
        <v>9.0000000000000006E-5</v>
      </c>
      <c r="D607">
        <v>8.5799999999999998E-5</v>
      </c>
      <c r="E607">
        <v>8.8800000000000004E-5</v>
      </c>
      <c r="F607">
        <v>8440869460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0.42857142857142855</v>
      </c>
      <c r="Q607">
        <f t="shared" si="990"/>
        <v>3617515482.8571424</v>
      </c>
      <c r="R607">
        <f t="shared" si="991"/>
        <v>-384540369791.83112</v>
      </c>
      <c r="S607">
        <f t="shared" si="992"/>
        <v>-3845403.6979183112</v>
      </c>
      <c r="T607">
        <f t="shared" si="993"/>
        <v>-3845.4036979183111</v>
      </c>
    </row>
    <row r="608" spans="1:20" x14ac:dyDescent="0.25">
      <c r="A608" s="5">
        <v>43985</v>
      </c>
      <c r="B608">
        <v>8.6000000000000003E-5</v>
      </c>
      <c r="C608">
        <v>8.7999999999999998E-5</v>
      </c>
      <c r="D608">
        <v>8.3800000000000004E-5</v>
      </c>
      <c r="E608">
        <v>8.6299999999999997E-5</v>
      </c>
      <c r="F608">
        <v>8527673472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0.19047619047618894</v>
      </c>
      <c r="Q608">
        <f t="shared" si="990"/>
        <v>1624318756.5714154</v>
      </c>
      <c r="R608">
        <f t="shared" si="991"/>
        <v>-388157885274.68823</v>
      </c>
      <c r="S608">
        <f t="shared" si="992"/>
        <v>-3881578.8527468825</v>
      </c>
      <c r="T608">
        <f t="shared" si="993"/>
        <v>-3881.5788527468826</v>
      </c>
    </row>
    <row r="609" spans="1:20" x14ac:dyDescent="0.25">
      <c r="A609" s="5">
        <v>43984</v>
      </c>
      <c r="B609">
        <v>8.7800000000000006E-5</v>
      </c>
      <c r="C609">
        <v>9.2E-5</v>
      </c>
      <c r="D609">
        <v>8.3100000000000001E-5</v>
      </c>
      <c r="E609">
        <v>8.6100000000000006E-5</v>
      </c>
      <c r="F609">
        <v>12917479726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-0.32584269662921228</v>
      </c>
      <c r="Q609">
        <f t="shared" si="990"/>
        <v>-4209066427.5730181</v>
      </c>
      <c r="R609">
        <f t="shared" si="991"/>
        <v>-389782204031.25964</v>
      </c>
      <c r="S609">
        <f t="shared" si="992"/>
        <v>-3897822.0403125966</v>
      </c>
      <c r="T609">
        <f t="shared" si="993"/>
        <v>-3897.8220403125965</v>
      </c>
    </row>
    <row r="610" spans="1:20" x14ac:dyDescent="0.25">
      <c r="A610" s="5">
        <v>43983</v>
      </c>
      <c r="B610">
        <v>8.4400000000000005E-5</v>
      </c>
      <c r="C610">
        <v>8.8300000000000005E-5</v>
      </c>
      <c r="D610">
        <v>8.4300000000000003E-5</v>
      </c>
      <c r="E610">
        <v>8.7700000000000004E-5</v>
      </c>
      <c r="F610">
        <v>8686956007</v>
      </c>
      <c r="G610">
        <v>0</v>
      </c>
      <c r="L610" t="s">
        <v>7</v>
      </c>
      <c r="M610" t="s">
        <v>8</v>
      </c>
      <c r="N610" t="s">
        <v>8</v>
      </c>
      <c r="P610">
        <f t="shared" si="989"/>
        <v>0.69999999999999962</v>
      </c>
      <c r="Q610">
        <f t="shared" si="990"/>
        <v>6080869204.8999968</v>
      </c>
      <c r="R610">
        <f t="shared" si="991"/>
        <v>-385573137603.68665</v>
      </c>
      <c r="S610">
        <f t="shared" si="992"/>
        <v>-3855731.3760368666</v>
      </c>
      <c r="T610">
        <f t="shared" si="993"/>
        <v>-3855.7313760368665</v>
      </c>
    </row>
    <row r="611" spans="1:20" x14ac:dyDescent="0.25">
      <c r="A611" s="5">
        <v>43982</v>
      </c>
      <c r="B611">
        <v>8.53E-5</v>
      </c>
      <c r="C611">
        <v>9.3300000000000005E-5</v>
      </c>
      <c r="D611">
        <v>8.3599999999999999E-5</v>
      </c>
      <c r="E611">
        <v>8.4400000000000005E-5</v>
      </c>
      <c r="F611">
        <v>11703084721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-0.8350515463917515</v>
      </c>
      <c r="Q611">
        <f t="shared" si="990"/>
        <v>-9772678993.8247299</v>
      </c>
      <c r="R611">
        <f t="shared" si="991"/>
        <v>-391654006808.58667</v>
      </c>
      <c r="S611">
        <f t="shared" si="992"/>
        <v>-3916540.0680858665</v>
      </c>
      <c r="T611">
        <f t="shared" si="993"/>
        <v>-3916.5400680858666</v>
      </c>
    </row>
    <row r="612" spans="1:20" x14ac:dyDescent="0.25">
      <c r="A612" s="5">
        <v>43981</v>
      </c>
      <c r="B612">
        <v>8.1600000000000005E-5</v>
      </c>
      <c r="C612">
        <v>8.7499999999999999E-5</v>
      </c>
      <c r="D612">
        <v>8.1100000000000006E-5</v>
      </c>
      <c r="E612">
        <v>8.5400000000000002E-5</v>
      </c>
      <c r="F612">
        <v>9337135150</v>
      </c>
      <c r="G612">
        <v>0</v>
      </c>
      <c r="L612" t="s">
        <v>7</v>
      </c>
      <c r="M612" t="s">
        <v>8</v>
      </c>
      <c r="N612" t="s">
        <v>7</v>
      </c>
      <c r="P612">
        <f t="shared" si="989"/>
        <v>0.34375000000000028</v>
      </c>
      <c r="Q612">
        <f t="shared" si="990"/>
        <v>3209640207.8125024</v>
      </c>
      <c r="R612">
        <f t="shared" si="991"/>
        <v>-381881327814.76196</v>
      </c>
      <c r="S612">
        <f t="shared" si="992"/>
        <v>-3818813.2781476197</v>
      </c>
      <c r="T612">
        <f t="shared" si="993"/>
        <v>-3818.8132781476197</v>
      </c>
    </row>
    <row r="613" spans="1:20" x14ac:dyDescent="0.25">
      <c r="A613" s="5">
        <v>43980</v>
      </c>
      <c r="B613">
        <v>8.14E-5</v>
      </c>
      <c r="C613">
        <v>8.2000000000000001E-5</v>
      </c>
      <c r="D613">
        <v>8.03E-5</v>
      </c>
      <c r="E613">
        <v>8.1600000000000005E-5</v>
      </c>
      <c r="F613">
        <v>10168182769</v>
      </c>
      <c r="G613">
        <v>0</v>
      </c>
      <c r="L613" t="s">
        <v>8</v>
      </c>
      <c r="M613" t="s">
        <v>8</v>
      </c>
      <c r="N613" t="s">
        <v>7</v>
      </c>
      <c r="P613">
        <f t="shared" si="989"/>
        <v>0.52941176470588702</v>
      </c>
      <c r="Q613">
        <f t="shared" si="990"/>
        <v>5383155583.5882826</v>
      </c>
      <c r="R613">
        <f t="shared" si="991"/>
        <v>-385090968022.57446</v>
      </c>
      <c r="S613">
        <f t="shared" si="992"/>
        <v>-3850909.6802257448</v>
      </c>
      <c r="T613">
        <f t="shared" si="993"/>
        <v>-3850.909680225745</v>
      </c>
    </row>
    <row r="614" spans="1:20" x14ac:dyDescent="0.25">
      <c r="A614" s="5">
        <v>43979</v>
      </c>
      <c r="B614">
        <v>7.9200000000000001E-5</v>
      </c>
      <c r="C614">
        <v>8.2899999999999996E-5</v>
      </c>
      <c r="D614">
        <v>7.8700000000000002E-5</v>
      </c>
      <c r="E614">
        <v>8.1299999999999997E-5</v>
      </c>
      <c r="F614">
        <v>10822006133</v>
      </c>
      <c r="G614">
        <v>0</v>
      </c>
      <c r="L614" t="s">
        <v>7</v>
      </c>
      <c r="M614" t="s">
        <v>8</v>
      </c>
      <c r="N614" t="s">
        <v>7</v>
      </c>
      <c r="P614">
        <f t="shared" si="989"/>
        <v>0.23809523809523778</v>
      </c>
      <c r="Q614">
        <f t="shared" si="990"/>
        <v>2576668126.9047585</v>
      </c>
      <c r="R614">
        <f t="shared" si="991"/>
        <v>-390474123606.16272</v>
      </c>
      <c r="S614">
        <f t="shared" si="992"/>
        <v>-3904741.236061627</v>
      </c>
      <c r="T614">
        <f t="shared" si="993"/>
        <v>-3904.7412360616272</v>
      </c>
    </row>
    <row r="615" spans="1:20" x14ac:dyDescent="0.25">
      <c r="A615" s="5">
        <v>43978</v>
      </c>
      <c r="B615">
        <v>7.9499999999999994E-5</v>
      </c>
      <c r="C615">
        <v>8.2399999999999997E-5</v>
      </c>
      <c r="D615">
        <v>7.8200000000000003E-5</v>
      </c>
      <c r="E615">
        <v>7.9300000000000003E-5</v>
      </c>
      <c r="F615">
        <v>10981703031</v>
      </c>
      <c r="G615">
        <v>0</v>
      </c>
      <c r="L615" t="s">
        <v>8</v>
      </c>
      <c r="M615" t="s">
        <v>8</v>
      </c>
      <c r="N615" t="s">
        <v>7</v>
      </c>
      <c r="P615">
        <f t="shared" si="989"/>
        <v>-0.47619047619047555</v>
      </c>
      <c r="Q615">
        <f t="shared" si="990"/>
        <v>-5229382395.7142792</v>
      </c>
      <c r="R615">
        <f t="shared" si="991"/>
        <v>-393050791733.0675</v>
      </c>
      <c r="S615">
        <f t="shared" si="992"/>
        <v>-3930507.9173306748</v>
      </c>
      <c r="T615">
        <f t="shared" si="993"/>
        <v>-3930.5079173306749</v>
      </c>
    </row>
    <row r="616" spans="1:20" x14ac:dyDescent="0.25">
      <c r="A616" s="5">
        <v>43977</v>
      </c>
      <c r="B616">
        <v>8.2399999999999997E-5</v>
      </c>
      <c r="C616">
        <v>8.3800000000000004E-5</v>
      </c>
      <c r="D616">
        <v>7.8700000000000002E-5</v>
      </c>
      <c r="E616">
        <v>7.9499999999999994E-5</v>
      </c>
      <c r="F616">
        <v>8608722149</v>
      </c>
      <c r="G616">
        <v>0</v>
      </c>
      <c r="L616" t="s">
        <v>7</v>
      </c>
      <c r="M616" t="s">
        <v>8</v>
      </c>
      <c r="N616" t="s">
        <v>7</v>
      </c>
      <c r="P616">
        <f t="shared" si="989"/>
        <v>-0.68627450980392468</v>
      </c>
      <c r="Q616">
        <f t="shared" si="990"/>
        <v>-5907946572.8431644</v>
      </c>
      <c r="R616">
        <f t="shared" si="991"/>
        <v>-387821409337.35321</v>
      </c>
      <c r="S616">
        <f t="shared" si="992"/>
        <v>-3878214.0933735319</v>
      </c>
      <c r="T616">
        <f t="shared" si="993"/>
        <v>-3878.2140933735318</v>
      </c>
    </row>
    <row r="617" spans="1:20" x14ac:dyDescent="0.25">
      <c r="A617" s="5">
        <v>43976</v>
      </c>
      <c r="B617">
        <v>7.9300000000000003E-5</v>
      </c>
      <c r="C617">
        <v>8.3900000000000006E-5</v>
      </c>
      <c r="D617">
        <v>7.8300000000000006E-5</v>
      </c>
      <c r="E617">
        <v>8.2399999999999997E-5</v>
      </c>
      <c r="F617">
        <v>8712380105</v>
      </c>
      <c r="G617">
        <v>0</v>
      </c>
      <c r="L617" t="s">
        <v>8</v>
      </c>
      <c r="M617" t="s">
        <v>8</v>
      </c>
      <c r="N617" t="s">
        <v>7</v>
      </c>
      <c r="P617">
        <f t="shared" si="989"/>
        <v>0.46428571428571103</v>
      </c>
      <c r="Q617">
        <f t="shared" si="990"/>
        <v>4045033620.1785431</v>
      </c>
      <c r="R617">
        <f t="shared" si="991"/>
        <v>-381913462764.51007</v>
      </c>
      <c r="S617">
        <f t="shared" si="992"/>
        <v>-3819134.6276451009</v>
      </c>
      <c r="T617">
        <f t="shared" si="993"/>
        <v>-3819.1346276451009</v>
      </c>
    </row>
    <row r="618" spans="1:20" x14ac:dyDescent="0.25">
      <c r="A618" s="5">
        <v>43975</v>
      </c>
      <c r="B618">
        <v>7.5099999999999996E-5</v>
      </c>
      <c r="C618">
        <v>8.3499999999999997E-5</v>
      </c>
      <c r="D618">
        <v>7.4999999999999993E-5</v>
      </c>
      <c r="E618">
        <v>7.9400000000000006E-5</v>
      </c>
      <c r="F618">
        <v>11508862869</v>
      </c>
      <c r="G618">
        <v>0</v>
      </c>
      <c r="L618" t="s">
        <v>7</v>
      </c>
      <c r="M618" t="s">
        <v>8</v>
      </c>
      <c r="N618" t="s">
        <v>7</v>
      </c>
      <c r="P618">
        <f t="shared" si="989"/>
        <v>3.5294117647061259E-2</v>
      </c>
      <c r="Q618">
        <f t="shared" si="990"/>
        <v>406195160.08238095</v>
      </c>
      <c r="R618">
        <f t="shared" si="991"/>
        <v>-385958496384.6886</v>
      </c>
      <c r="S618">
        <f t="shared" si="992"/>
        <v>-3859584.9638468861</v>
      </c>
      <c r="T618">
        <f t="shared" si="993"/>
        <v>-3859.5849638468862</v>
      </c>
    </row>
    <row r="619" spans="1:20" x14ac:dyDescent="0.25">
      <c r="A619" s="5">
        <v>43974</v>
      </c>
      <c r="B619">
        <v>7.3899999999999994E-5</v>
      </c>
      <c r="C619">
        <v>7.5699999999999997E-5</v>
      </c>
      <c r="D619">
        <v>7.3200000000000004E-5</v>
      </c>
      <c r="E619">
        <v>7.5099999999999996E-5</v>
      </c>
      <c r="F619">
        <v>7450365455</v>
      </c>
      <c r="G619">
        <v>0</v>
      </c>
      <c r="L619" t="s">
        <v>8</v>
      </c>
      <c r="M619" t="s">
        <v>7</v>
      </c>
      <c r="N619" t="s">
        <v>7</v>
      </c>
      <c r="P619">
        <f t="shared" si="989"/>
        <v>0.5199999999999978</v>
      </c>
      <c r="Q619">
        <f t="shared" si="990"/>
        <v>3874190036.5999837</v>
      </c>
      <c r="R619">
        <f t="shared" si="991"/>
        <v>-386364691544.771</v>
      </c>
      <c r="S619">
        <f t="shared" si="992"/>
        <v>-3863646.9154477101</v>
      </c>
      <c r="T619">
        <f t="shared" si="993"/>
        <v>-3863.6469154477099</v>
      </c>
    </row>
    <row r="620" spans="1:20" x14ac:dyDescent="0.25">
      <c r="A620" s="5">
        <v>43973</v>
      </c>
      <c r="B620">
        <v>7.2000000000000002E-5</v>
      </c>
      <c r="C620">
        <v>7.4999999999999993E-5</v>
      </c>
      <c r="D620">
        <v>7.1699999999999995E-5</v>
      </c>
      <c r="E620">
        <v>7.3899999999999994E-5</v>
      </c>
      <c r="F620">
        <v>6443907600</v>
      </c>
      <c r="G620">
        <v>0</v>
      </c>
      <c r="L620" t="s">
        <v>7</v>
      </c>
      <c r="M620" t="s">
        <v>7</v>
      </c>
      <c r="N620" t="s">
        <v>7</v>
      </c>
      <c r="P620">
        <f t="shared" si="989"/>
        <v>0.33333333333333331</v>
      </c>
      <c r="Q620">
        <f t="shared" si="990"/>
        <v>2147969200</v>
      </c>
      <c r="R620">
        <f t="shared" si="991"/>
        <v>-390238881581.37097</v>
      </c>
      <c r="S620">
        <f t="shared" si="992"/>
        <v>-3902388.8158137095</v>
      </c>
      <c r="T620">
        <f t="shared" si="993"/>
        <v>-3902.3888158137097</v>
      </c>
    </row>
    <row r="621" spans="1:20" x14ac:dyDescent="0.25">
      <c r="A621" s="5">
        <v>43972</v>
      </c>
      <c r="B621">
        <v>7.3100000000000001E-5</v>
      </c>
      <c r="C621">
        <v>7.3800000000000005E-5</v>
      </c>
      <c r="D621">
        <v>6.9300000000000004E-5</v>
      </c>
      <c r="E621">
        <v>7.2000000000000002E-5</v>
      </c>
      <c r="F621">
        <v>11131657094</v>
      </c>
      <c r="G621">
        <v>0</v>
      </c>
      <c r="L621" t="s">
        <v>8</v>
      </c>
      <c r="M621" t="s">
        <v>7</v>
      </c>
      <c r="N621" t="s">
        <v>7</v>
      </c>
      <c r="P621">
        <f t="shared" si="989"/>
        <v>0.19999999999999879</v>
      </c>
      <c r="Q621">
        <f t="shared" si="990"/>
        <v>2226331418.7999864</v>
      </c>
      <c r="R621">
        <f t="shared" si="991"/>
        <v>-392386850781.37097</v>
      </c>
      <c r="S621">
        <f t="shared" si="992"/>
        <v>-3923868.5078137098</v>
      </c>
      <c r="T621">
        <f t="shared" si="993"/>
        <v>-3923.8685078137096</v>
      </c>
    </row>
    <row r="622" spans="1:20" x14ac:dyDescent="0.25">
      <c r="A622" s="5">
        <v>43971</v>
      </c>
      <c r="B622">
        <v>7.5400000000000003E-5</v>
      </c>
      <c r="C622">
        <v>7.5400000000000003E-5</v>
      </c>
      <c r="D622">
        <v>7.1600000000000006E-5</v>
      </c>
      <c r="E622">
        <v>7.3100000000000001E-5</v>
      </c>
      <c r="F622">
        <v>8748704612</v>
      </c>
      <c r="G622">
        <v>0</v>
      </c>
      <c r="L622" t="s">
        <v>7</v>
      </c>
      <c r="M622" t="s">
        <v>7</v>
      </c>
      <c r="N622" t="s">
        <v>7</v>
      </c>
      <c r="P622">
        <f t="shared" si="989"/>
        <v>-0.21052631578947537</v>
      </c>
      <c r="Q622">
        <f t="shared" si="990"/>
        <v>-1841832549.8947515</v>
      </c>
      <c r="R622">
        <f t="shared" si="991"/>
        <v>-394613182200.17096</v>
      </c>
      <c r="S622">
        <f t="shared" si="992"/>
        <v>-3946131.8220017096</v>
      </c>
      <c r="T622">
        <f t="shared" si="993"/>
        <v>-3946.1318220017097</v>
      </c>
    </row>
    <row r="623" spans="1:20" x14ac:dyDescent="0.25">
      <c r="A623" s="5">
        <v>43970</v>
      </c>
      <c r="B623">
        <v>7.4200000000000001E-5</v>
      </c>
      <c r="C623">
        <v>7.6000000000000004E-5</v>
      </c>
      <c r="D623">
        <v>7.3899999999999994E-5</v>
      </c>
      <c r="E623">
        <v>7.5500000000000006E-5</v>
      </c>
      <c r="F623">
        <v>10082019871</v>
      </c>
      <c r="G623">
        <v>0</v>
      </c>
      <c r="L623" t="s">
        <v>8</v>
      </c>
      <c r="M623" t="s">
        <v>7</v>
      </c>
      <c r="N623" t="s">
        <v>7</v>
      </c>
      <c r="P623">
        <f t="shared" si="989"/>
        <v>0.5238095238095275</v>
      </c>
      <c r="Q623">
        <f t="shared" si="990"/>
        <v>5281058027.6667042</v>
      </c>
      <c r="R623">
        <f t="shared" si="991"/>
        <v>-392771349650.27618</v>
      </c>
      <c r="S623">
        <f t="shared" si="992"/>
        <v>-3927713.4965027617</v>
      </c>
      <c r="T623">
        <f t="shared" si="993"/>
        <v>-3927.7134965027617</v>
      </c>
    </row>
    <row r="624" spans="1:20" x14ac:dyDescent="0.25">
      <c r="A624" s="5">
        <v>43969</v>
      </c>
      <c r="B624">
        <v>7.2899999999999997E-5</v>
      </c>
      <c r="C624">
        <v>7.5799999999999999E-5</v>
      </c>
      <c r="D624">
        <v>7.2700000000000005E-5</v>
      </c>
      <c r="E624">
        <v>7.4300000000000004E-5</v>
      </c>
      <c r="F624">
        <v>8298016341</v>
      </c>
      <c r="G624">
        <v>0</v>
      </c>
      <c r="L624" t="s">
        <v>7</v>
      </c>
      <c r="M624" t="s">
        <v>7</v>
      </c>
      <c r="N624" t="s">
        <v>7</v>
      </c>
      <c r="P624">
        <f t="shared" si="989"/>
        <v>3.2258064516129878E-2</v>
      </c>
      <c r="Q624">
        <f t="shared" si="990"/>
        <v>267677946.48387799</v>
      </c>
      <c r="R624">
        <f t="shared" si="991"/>
        <v>-398052407677.94287</v>
      </c>
      <c r="S624">
        <f t="shared" si="992"/>
        <v>-3980524.0767794289</v>
      </c>
      <c r="T624">
        <f t="shared" si="993"/>
        <v>-3980.5240767794289</v>
      </c>
    </row>
    <row r="625" spans="1:20" x14ac:dyDescent="0.25">
      <c r="A625" s="5">
        <v>43968</v>
      </c>
      <c r="B625">
        <v>7.2600000000000003E-5</v>
      </c>
      <c r="C625">
        <v>7.47E-5</v>
      </c>
      <c r="D625">
        <v>7.2399999999999998E-5</v>
      </c>
      <c r="E625">
        <v>7.2899999999999997E-5</v>
      </c>
      <c r="F625">
        <v>6162468259</v>
      </c>
      <c r="G625">
        <v>0</v>
      </c>
      <c r="L625" t="s">
        <v>8</v>
      </c>
      <c r="M625" t="s">
        <v>7</v>
      </c>
      <c r="N625" t="s">
        <v>7</v>
      </c>
      <c r="P625">
        <f t="shared" si="989"/>
        <v>-0.56521739130434934</v>
      </c>
      <c r="Q625">
        <f t="shared" si="990"/>
        <v>-3483134233.3478355</v>
      </c>
      <c r="R625">
        <f t="shared" si="991"/>
        <v>-398320085624.42676</v>
      </c>
      <c r="S625">
        <f t="shared" si="992"/>
        <v>-3983200.8562442674</v>
      </c>
      <c r="T625">
        <f t="shared" si="993"/>
        <v>-3983.2008562442675</v>
      </c>
    </row>
    <row r="626" spans="1:20" x14ac:dyDescent="0.25">
      <c r="A626" s="5">
        <v>43967</v>
      </c>
      <c r="B626">
        <v>7.2100000000000004E-5</v>
      </c>
      <c r="C626">
        <v>7.3499999999999998E-5</v>
      </c>
      <c r="D626">
        <v>7.1500000000000003E-5</v>
      </c>
      <c r="E626">
        <v>7.2600000000000003E-5</v>
      </c>
      <c r="F626">
        <v>5452772709</v>
      </c>
      <c r="G626">
        <v>0</v>
      </c>
      <c r="L626" t="s">
        <v>7</v>
      </c>
      <c r="M626" t="s">
        <v>7</v>
      </c>
      <c r="N626" t="s">
        <v>7</v>
      </c>
      <c r="P626">
        <f t="shared" si="989"/>
        <v>0.10000000000000271</v>
      </c>
      <c r="Q626">
        <f t="shared" si="990"/>
        <v>545277270.90001476</v>
      </c>
      <c r="R626">
        <f t="shared" si="991"/>
        <v>-394836951391.07892</v>
      </c>
      <c r="S626">
        <f t="shared" si="992"/>
        <v>-3948369.513910789</v>
      </c>
      <c r="T626">
        <f t="shared" si="993"/>
        <v>-3948.369513910789</v>
      </c>
    </row>
    <row r="627" spans="1:20" x14ac:dyDescent="0.25">
      <c r="A627" s="5">
        <v>43966</v>
      </c>
      <c r="B627">
        <v>7.4300000000000004E-5</v>
      </c>
      <c r="C627">
        <v>7.4900000000000005E-5</v>
      </c>
      <c r="D627">
        <v>7.1000000000000005E-5</v>
      </c>
      <c r="E627">
        <v>7.2100000000000004E-5</v>
      </c>
      <c r="F627">
        <v>9443377066</v>
      </c>
      <c r="G627">
        <v>0</v>
      </c>
      <c r="L627" t="s">
        <v>8</v>
      </c>
      <c r="M627" t="s">
        <v>7</v>
      </c>
      <c r="N627" t="s">
        <v>7</v>
      </c>
      <c r="P627">
        <f t="shared" si="989"/>
        <v>-0.43589743589743607</v>
      </c>
      <c r="Q627">
        <f t="shared" si="990"/>
        <v>-4116343849.282053</v>
      </c>
      <c r="R627">
        <f t="shared" si="991"/>
        <v>-395382228661.97894</v>
      </c>
      <c r="S627">
        <f t="shared" si="992"/>
        <v>-3953822.2866197894</v>
      </c>
      <c r="T627">
        <f t="shared" si="993"/>
        <v>-3953.8222866197893</v>
      </c>
    </row>
    <row r="628" spans="1:20" x14ac:dyDescent="0.25">
      <c r="A628" s="5">
        <v>43965</v>
      </c>
      <c r="B628">
        <v>7.36E-5</v>
      </c>
      <c r="C628">
        <v>7.47E-5</v>
      </c>
      <c r="D628">
        <v>7.2799999999999994E-5</v>
      </c>
      <c r="E628">
        <v>7.4599999999999997E-5</v>
      </c>
      <c r="F628">
        <v>10106414809</v>
      </c>
      <c r="G628">
        <v>0</v>
      </c>
      <c r="L628" t="s">
        <v>7</v>
      </c>
      <c r="M628" t="s">
        <v>7</v>
      </c>
      <c r="N628" t="s">
        <v>7</v>
      </c>
      <c r="P628">
        <f t="shared" si="989"/>
        <v>0.89473684210526094</v>
      </c>
      <c r="Q628">
        <f t="shared" si="990"/>
        <v>9042581671.2105045</v>
      </c>
      <c r="R628">
        <f t="shared" si="991"/>
        <v>-391265884812.6969</v>
      </c>
      <c r="S628">
        <f t="shared" si="992"/>
        <v>-3912658.8481269688</v>
      </c>
      <c r="T628">
        <f t="shared" si="993"/>
        <v>-3912.6588481269687</v>
      </c>
    </row>
    <row r="629" spans="1:20" x14ac:dyDescent="0.25">
      <c r="A629" s="5">
        <v>43964</v>
      </c>
      <c r="B629">
        <v>7.25E-5</v>
      </c>
      <c r="C629">
        <v>7.5300000000000001E-5</v>
      </c>
      <c r="D629">
        <v>7.2200000000000007E-5</v>
      </c>
      <c r="E629">
        <v>7.36E-5</v>
      </c>
      <c r="F629">
        <v>6170798691</v>
      </c>
      <c r="G629">
        <v>0</v>
      </c>
      <c r="L629" t="s">
        <v>8</v>
      </c>
      <c r="M629" t="s">
        <v>7</v>
      </c>
      <c r="N629" t="s">
        <v>7</v>
      </c>
      <c r="P629">
        <f t="shared" si="989"/>
        <v>-9.6774193548389634E-2</v>
      </c>
      <c r="Q629">
        <f t="shared" si="990"/>
        <v>-597174066.87098336</v>
      </c>
      <c r="R629">
        <f t="shared" si="991"/>
        <v>-400308466483.90741</v>
      </c>
      <c r="S629">
        <f t="shared" si="992"/>
        <v>-4003084.664839074</v>
      </c>
      <c r="T629">
        <f t="shared" si="993"/>
        <v>-4003.0846648390739</v>
      </c>
    </row>
    <row r="630" spans="1:20" x14ac:dyDescent="0.25">
      <c r="A630" s="5">
        <v>43963</v>
      </c>
      <c r="B630">
        <v>7.2100000000000004E-5</v>
      </c>
      <c r="C630">
        <v>7.64E-5</v>
      </c>
      <c r="D630">
        <v>7.1600000000000006E-5</v>
      </c>
      <c r="E630">
        <v>7.2399999999999998E-5</v>
      </c>
      <c r="F630">
        <v>6780313138</v>
      </c>
      <c r="G630">
        <v>0</v>
      </c>
      <c r="L630" t="s">
        <v>7</v>
      </c>
      <c r="M630" t="s">
        <v>7</v>
      </c>
      <c r="N630" t="s">
        <v>7</v>
      </c>
      <c r="P630">
        <f t="shared" si="989"/>
        <v>-0.66666666666666952</v>
      </c>
      <c r="Q630">
        <f t="shared" si="990"/>
        <v>-4520208758.6666861</v>
      </c>
      <c r="R630">
        <f t="shared" si="991"/>
        <v>-399711292417.03644</v>
      </c>
      <c r="S630">
        <f t="shared" si="992"/>
        <v>-3997112.9241703642</v>
      </c>
      <c r="T630">
        <f t="shared" si="993"/>
        <v>-3997.1129241703643</v>
      </c>
    </row>
    <row r="631" spans="1:20" x14ac:dyDescent="0.25">
      <c r="A631" s="5">
        <v>43962</v>
      </c>
      <c r="B631">
        <v>7.4300000000000004E-5</v>
      </c>
      <c r="C631">
        <v>7.64E-5</v>
      </c>
      <c r="D631">
        <v>6.7100000000000005E-5</v>
      </c>
      <c r="E631">
        <v>7.2200000000000007E-5</v>
      </c>
      <c r="F631">
        <v>9835399438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9.6774193548388038E-2</v>
      </c>
      <c r="Q631">
        <f t="shared" si="990"/>
        <v>951812848.83871889</v>
      </c>
      <c r="R631">
        <f t="shared" si="991"/>
        <v>-395191083658.36975</v>
      </c>
      <c r="S631">
        <f t="shared" si="992"/>
        <v>-3951910.8365836977</v>
      </c>
      <c r="T631">
        <f t="shared" si="993"/>
        <v>-3951.9108365836978</v>
      </c>
    </row>
    <row r="632" spans="1:20" x14ac:dyDescent="0.25">
      <c r="A632" s="5">
        <v>43961</v>
      </c>
      <c r="B632">
        <v>8.0599999999999994E-5</v>
      </c>
      <c r="C632">
        <v>8.0699999999999996E-5</v>
      </c>
      <c r="D632">
        <v>6.8300000000000007E-5</v>
      </c>
      <c r="E632">
        <v>7.4300000000000004E-5</v>
      </c>
      <c r="F632">
        <v>11613978888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-3.2258064516128747E-2</v>
      </c>
      <c r="Q632">
        <f t="shared" si="990"/>
        <v>-374644480.25806123</v>
      </c>
      <c r="R632">
        <f t="shared" si="991"/>
        <v>-396142896507.2085</v>
      </c>
      <c r="S632">
        <f t="shared" si="992"/>
        <v>-3961428.9650720851</v>
      </c>
      <c r="T632">
        <f t="shared" si="993"/>
        <v>-3961.4289650720852</v>
      </c>
    </row>
    <row r="633" spans="1:20" x14ac:dyDescent="0.25">
      <c r="A633" s="5">
        <v>43960</v>
      </c>
      <c r="B633">
        <v>8.3200000000000003E-5</v>
      </c>
      <c r="C633">
        <v>8.4099999999999998E-5</v>
      </c>
      <c r="D633">
        <v>8.03E-5</v>
      </c>
      <c r="E633">
        <v>8.0599999999999994E-5</v>
      </c>
      <c r="F633">
        <v>8067949892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-0.84210526315789791</v>
      </c>
      <c r="Q633">
        <f t="shared" si="990"/>
        <v>-6794063066.9473944</v>
      </c>
      <c r="R633">
        <f t="shared" si="991"/>
        <v>-395768252026.95044</v>
      </c>
      <c r="S633">
        <f t="shared" si="992"/>
        <v>-3957682.5202695043</v>
      </c>
      <c r="T633">
        <f t="shared" si="993"/>
        <v>-3957.6825202695045</v>
      </c>
    </row>
    <row r="634" spans="1:20" x14ac:dyDescent="0.25">
      <c r="A634" s="5">
        <v>43959</v>
      </c>
      <c r="B634">
        <v>8.3399999999999994E-5</v>
      </c>
      <c r="C634">
        <v>8.5500000000000005E-5</v>
      </c>
      <c r="D634">
        <v>8.1699999999999994E-5</v>
      </c>
      <c r="E634">
        <v>8.3200000000000003E-5</v>
      </c>
      <c r="F634">
        <v>9539023244</v>
      </c>
      <c r="G634">
        <v>0</v>
      </c>
      <c r="L634" t="s">
        <v>7</v>
      </c>
      <c r="M634" t="s">
        <v>8</v>
      </c>
      <c r="N634" t="s">
        <v>8</v>
      </c>
      <c r="P634">
        <f t="shared" si="989"/>
        <v>-0.21052631578947106</v>
      </c>
      <c r="Q634">
        <f t="shared" si="990"/>
        <v>-2008215419.7894487</v>
      </c>
      <c r="R634">
        <f t="shared" si="991"/>
        <v>-388974188960.00305</v>
      </c>
      <c r="S634">
        <f t="shared" si="992"/>
        <v>-3889741.8896000306</v>
      </c>
      <c r="T634">
        <f t="shared" si="993"/>
        <v>-3889.7418896000304</v>
      </c>
    </row>
    <row r="635" spans="1:20" x14ac:dyDescent="0.25">
      <c r="A635" s="5">
        <v>43958</v>
      </c>
      <c r="B635">
        <v>8.3200000000000003E-5</v>
      </c>
      <c r="C635">
        <v>8.5400000000000002E-5</v>
      </c>
      <c r="D635">
        <v>8.1500000000000002E-5</v>
      </c>
      <c r="E635">
        <v>8.3399999999999994E-5</v>
      </c>
      <c r="F635">
        <v>8791283456</v>
      </c>
      <c r="G635">
        <v>0</v>
      </c>
      <c r="L635" t="s">
        <v>8</v>
      </c>
      <c r="M635" t="s">
        <v>8</v>
      </c>
      <c r="N635" t="s">
        <v>8</v>
      </c>
      <c r="P635">
        <f t="shared" si="989"/>
        <v>-2.5641025641029741E-2</v>
      </c>
      <c r="Q635">
        <f t="shared" si="990"/>
        <v>-225417524.51285654</v>
      </c>
      <c r="R635">
        <f t="shared" si="991"/>
        <v>-386965973540.21362</v>
      </c>
      <c r="S635">
        <f t="shared" si="992"/>
        <v>-3869659.7354021361</v>
      </c>
      <c r="T635">
        <f t="shared" si="993"/>
        <v>-3869.659735402136</v>
      </c>
    </row>
    <row r="636" spans="1:20" x14ac:dyDescent="0.25">
      <c r="A636" s="5">
        <v>43957</v>
      </c>
      <c r="B636">
        <v>8.5199999999999997E-5</v>
      </c>
      <c r="C636">
        <v>8.7000000000000001E-5</v>
      </c>
      <c r="D636">
        <v>8.2999999999999998E-5</v>
      </c>
      <c r="E636">
        <v>8.3200000000000003E-5</v>
      </c>
      <c r="F636">
        <v>9628636009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-0.89999999999999758</v>
      </c>
      <c r="Q636">
        <f t="shared" si="990"/>
        <v>-8665772408.0999775</v>
      </c>
      <c r="R636">
        <f t="shared" si="991"/>
        <v>-386740556015.70074</v>
      </c>
      <c r="S636">
        <f t="shared" si="992"/>
        <v>-3867405.5601570075</v>
      </c>
      <c r="T636">
        <f t="shared" si="993"/>
        <v>-3867.4055601570076</v>
      </c>
    </row>
    <row r="637" spans="1:20" x14ac:dyDescent="0.25">
      <c r="A637" s="5">
        <v>43956</v>
      </c>
      <c r="B637">
        <v>8.6700000000000007E-5</v>
      </c>
      <c r="C637">
        <v>8.7499999999999999E-5</v>
      </c>
      <c r="D637">
        <v>8.4499999999999994E-5</v>
      </c>
      <c r="E637">
        <v>8.53E-5</v>
      </c>
      <c r="F637">
        <v>8732468227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-0.46666666666666368</v>
      </c>
      <c r="Q637">
        <f t="shared" si="990"/>
        <v>-4075151839.2666407</v>
      </c>
      <c r="R637">
        <f t="shared" si="991"/>
        <v>-378074783607.60077</v>
      </c>
      <c r="S637">
        <f t="shared" si="992"/>
        <v>-3780747.8360760077</v>
      </c>
      <c r="T637">
        <f t="shared" si="993"/>
        <v>-3780.7478360760078</v>
      </c>
    </row>
    <row r="638" spans="1:20" x14ac:dyDescent="0.25">
      <c r="A638" s="5">
        <v>43955</v>
      </c>
      <c r="B638">
        <v>8.6899999999999998E-5</v>
      </c>
      <c r="C638">
        <v>8.7499999999999999E-5</v>
      </c>
      <c r="D638">
        <v>8.2299999999999995E-5</v>
      </c>
      <c r="E638">
        <v>8.6700000000000007E-5</v>
      </c>
      <c r="F638">
        <v>8722720270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0.69230769230769551</v>
      </c>
      <c r="Q638">
        <f t="shared" si="990"/>
        <v>6038806340.7692585</v>
      </c>
      <c r="R638">
        <f t="shared" si="991"/>
        <v>-373999631768.33411</v>
      </c>
      <c r="S638">
        <f t="shared" si="992"/>
        <v>-3739996.317683341</v>
      </c>
      <c r="T638">
        <f t="shared" si="993"/>
        <v>-3739.9963176833412</v>
      </c>
    </row>
    <row r="639" spans="1:20" x14ac:dyDescent="0.25">
      <c r="A639" s="5">
        <v>43954</v>
      </c>
      <c r="B639">
        <v>8.8399999999999994E-5</v>
      </c>
      <c r="C639">
        <v>8.9800000000000001E-5</v>
      </c>
      <c r="D639">
        <v>8.5400000000000002E-5</v>
      </c>
      <c r="E639">
        <v>8.6700000000000007E-5</v>
      </c>
      <c r="F639">
        <v>9211236307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-0.40909090909090684</v>
      </c>
      <c r="Q639">
        <f t="shared" si="990"/>
        <v>-3768233034.6817975</v>
      </c>
      <c r="R639">
        <f t="shared" si="991"/>
        <v>-380038438109.10339</v>
      </c>
      <c r="S639">
        <f t="shared" si="992"/>
        <v>-3800384.381091034</v>
      </c>
      <c r="T639">
        <f t="shared" si="993"/>
        <v>-3800.3843810910339</v>
      </c>
    </row>
    <row r="640" spans="1:20" x14ac:dyDescent="0.25">
      <c r="A640" s="5">
        <v>43953</v>
      </c>
      <c r="B640">
        <v>8.7299999999999994E-5</v>
      </c>
      <c r="C640">
        <v>8.8800000000000004E-5</v>
      </c>
      <c r="D640">
        <v>8.6299999999999997E-5</v>
      </c>
      <c r="E640">
        <v>8.8399999999999994E-5</v>
      </c>
      <c r="F640">
        <v>6023543405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0.67999999999999305</v>
      </c>
      <c r="Q640">
        <f t="shared" si="990"/>
        <v>4096009515.3999581</v>
      </c>
      <c r="R640">
        <f t="shared" si="991"/>
        <v>-376270205074.42157</v>
      </c>
      <c r="S640">
        <f t="shared" si="992"/>
        <v>-3762702.0507442155</v>
      </c>
      <c r="T640">
        <f t="shared" si="993"/>
        <v>-3762.7020507442153</v>
      </c>
    </row>
    <row r="641" spans="1:20" x14ac:dyDescent="0.25">
      <c r="A641" s="5">
        <v>43952</v>
      </c>
      <c r="B641">
        <v>8.6100000000000006E-5</v>
      </c>
      <c r="C641">
        <v>8.9499999999999994E-5</v>
      </c>
      <c r="D641">
        <v>8.5500000000000005E-5</v>
      </c>
      <c r="E641">
        <v>8.7299999999999994E-5</v>
      </c>
      <c r="F641">
        <v>10085469604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-0.10000000000000271</v>
      </c>
      <c r="Q641">
        <f t="shared" si="990"/>
        <v>-1008546960.4000274</v>
      </c>
      <c r="R641">
        <f t="shared" si="991"/>
        <v>-380366214589.82153</v>
      </c>
      <c r="S641">
        <f t="shared" si="992"/>
        <v>-3803662.1458982155</v>
      </c>
      <c r="T641">
        <f t="shared" si="993"/>
        <v>-3803.6621458982154</v>
      </c>
    </row>
    <row r="642" spans="1:20" x14ac:dyDescent="0.25">
      <c r="A642" s="5">
        <v>43951</v>
      </c>
      <c r="B642">
        <v>8.9599999999999996E-5</v>
      </c>
      <c r="C642">
        <v>9.2999999999999997E-5</v>
      </c>
      <c r="D642">
        <v>8.5500000000000005E-5</v>
      </c>
      <c r="E642">
        <v>8.6199999999999995E-5</v>
      </c>
      <c r="F642">
        <v>11871308520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-0.8133333333333358</v>
      </c>
      <c r="Q642">
        <f t="shared" si="990"/>
        <v>-9655330929.600029</v>
      </c>
      <c r="R642">
        <f t="shared" si="991"/>
        <v>-379357667629.42151</v>
      </c>
      <c r="S642">
        <f t="shared" si="992"/>
        <v>-3793576.676294215</v>
      </c>
      <c r="T642">
        <f t="shared" si="993"/>
        <v>-3793.5766762942148</v>
      </c>
    </row>
    <row r="643" spans="1:20" x14ac:dyDescent="0.25">
      <c r="A643" s="5">
        <v>43950</v>
      </c>
      <c r="B643">
        <v>8.5400000000000002E-5</v>
      </c>
      <c r="C643">
        <v>8.9699999999999998E-5</v>
      </c>
      <c r="D643">
        <v>8.5400000000000002E-5</v>
      </c>
      <c r="E643">
        <v>8.9499999999999994E-5</v>
      </c>
      <c r="F643">
        <v>12439476430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0.90697674418604413</v>
      </c>
      <c r="Q643">
        <f t="shared" si="990"/>
        <v>11282315831.860435</v>
      </c>
      <c r="R643">
        <f t="shared" si="991"/>
        <v>-369702336699.82147</v>
      </c>
      <c r="S643">
        <f t="shared" si="992"/>
        <v>-3697023.3669982147</v>
      </c>
      <c r="T643">
        <f t="shared" si="993"/>
        <v>-3697.0233669982149</v>
      </c>
    </row>
    <row r="644" spans="1:20" x14ac:dyDescent="0.25">
      <c r="A644" s="5">
        <v>43949</v>
      </c>
      <c r="B644">
        <v>8.5099999999999995E-5</v>
      </c>
      <c r="C644">
        <v>8.7000000000000001E-5</v>
      </c>
      <c r="D644">
        <v>8.2999999999999998E-5</v>
      </c>
      <c r="E644">
        <v>8.5400000000000002E-5</v>
      </c>
      <c r="F644">
        <v>7828328151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0.20000000000000134</v>
      </c>
      <c r="Q644">
        <f t="shared" si="990"/>
        <v>1565665630.2000105</v>
      </c>
      <c r="R644">
        <f t="shared" si="991"/>
        <v>-380984652531.68188</v>
      </c>
      <c r="S644">
        <f t="shared" si="992"/>
        <v>-3809846.5253168186</v>
      </c>
      <c r="T644">
        <f t="shared" si="993"/>
        <v>-3809.8465253168188</v>
      </c>
    </row>
    <row r="645" spans="1:20" x14ac:dyDescent="0.25">
      <c r="A645" s="5">
        <v>43948</v>
      </c>
      <c r="B645">
        <v>8.8800000000000004E-5</v>
      </c>
      <c r="C645">
        <v>9.0799999999999998E-5</v>
      </c>
      <c r="D645">
        <v>8.2200000000000006E-5</v>
      </c>
      <c r="E645">
        <v>8.5099999999999995E-5</v>
      </c>
      <c r="F645">
        <v>12577720021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-0.32558139534883912</v>
      </c>
      <c r="Q645">
        <f t="shared" si="990"/>
        <v>-4095071634.7442102</v>
      </c>
      <c r="R645">
        <f t="shared" si="991"/>
        <v>-382550318161.8819</v>
      </c>
      <c r="S645">
        <f t="shared" si="992"/>
        <v>-3825503.181618819</v>
      </c>
      <c r="T645">
        <f t="shared" si="993"/>
        <v>-3825.5031816188189</v>
      </c>
    </row>
    <row r="646" spans="1:20" x14ac:dyDescent="0.25">
      <c r="A646" s="5">
        <v>43947</v>
      </c>
      <c r="B646">
        <v>8.8499999999999996E-5</v>
      </c>
      <c r="C646">
        <v>9.1100000000000005E-5</v>
      </c>
      <c r="D646">
        <v>8.7899999999999995E-5</v>
      </c>
      <c r="E646">
        <v>8.8900000000000006E-5</v>
      </c>
      <c r="F646">
        <v>7756872673</v>
      </c>
      <c r="G646">
        <v>0</v>
      </c>
      <c r="L646" t="s">
        <v>7</v>
      </c>
      <c r="M646" t="s">
        <v>8</v>
      </c>
      <c r="N646" t="s">
        <v>8</v>
      </c>
      <c r="P646">
        <f t="shared" ref="P646:P709" si="994">IF(C646=D646,0,((E646-D646)-(C646-E646))/(C646-D646))</f>
        <v>-0.37499999999999523</v>
      </c>
      <c r="Q646">
        <f t="shared" ref="Q646:Q709" si="995">F646*P646</f>
        <v>-2908827252.3749628</v>
      </c>
      <c r="R646">
        <f t="shared" ref="R646:R709" si="996">R647+Q646</f>
        <v>-378455246527.1377</v>
      </c>
      <c r="S646">
        <f t="shared" ref="S646:S709" si="997">R646/100000</f>
        <v>-3784552.465271377</v>
      </c>
      <c r="T646">
        <f t="shared" ref="T646:T709" si="998">S646/1000</f>
        <v>-3784.5524652713771</v>
      </c>
    </row>
    <row r="647" spans="1:20" x14ac:dyDescent="0.25">
      <c r="A647" s="5">
        <v>43946</v>
      </c>
      <c r="B647">
        <v>8.7700000000000004E-5</v>
      </c>
      <c r="C647">
        <v>9.0000000000000006E-5</v>
      </c>
      <c r="D647">
        <v>8.6399999999999999E-5</v>
      </c>
      <c r="E647">
        <v>8.8399999999999994E-5</v>
      </c>
      <c r="F647">
        <v>5515188115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0.1111111111111061</v>
      </c>
      <c r="Q647">
        <f t="shared" si="995"/>
        <v>612798679.44441676</v>
      </c>
      <c r="R647">
        <f t="shared" si="996"/>
        <v>-375546419274.76276</v>
      </c>
      <c r="S647">
        <f t="shared" si="997"/>
        <v>-3755464.1927476274</v>
      </c>
      <c r="T647">
        <f t="shared" si="998"/>
        <v>-3755.4641927476273</v>
      </c>
    </row>
    <row r="648" spans="1:20" x14ac:dyDescent="0.25">
      <c r="A648" s="5">
        <v>43945</v>
      </c>
      <c r="B648">
        <v>8.6500000000000002E-5</v>
      </c>
      <c r="C648">
        <v>8.8499999999999996E-5</v>
      </c>
      <c r="D648">
        <v>8.5699999999999996E-5</v>
      </c>
      <c r="E648">
        <v>8.7700000000000004E-5</v>
      </c>
      <c r="F648">
        <v>9363679171</v>
      </c>
      <c r="G648">
        <v>0</v>
      </c>
      <c r="L648" t="s">
        <v>7</v>
      </c>
      <c r="M648" t="s">
        <v>8</v>
      </c>
      <c r="N648" t="s">
        <v>8</v>
      </c>
      <c r="P648">
        <f t="shared" si="994"/>
        <v>0.4285714285714341</v>
      </c>
      <c r="Q648">
        <f t="shared" si="995"/>
        <v>4013005359.000052</v>
      </c>
      <c r="R648">
        <f t="shared" si="996"/>
        <v>-376159217954.20715</v>
      </c>
      <c r="S648">
        <f t="shared" si="997"/>
        <v>-3761592.1795420717</v>
      </c>
      <c r="T648">
        <f t="shared" si="998"/>
        <v>-3761.5921795420718</v>
      </c>
    </row>
    <row r="649" spans="1:20" x14ac:dyDescent="0.25">
      <c r="A649" s="5">
        <v>43944</v>
      </c>
      <c r="B649">
        <v>8.4900000000000004E-5</v>
      </c>
      <c r="C649">
        <v>8.7999999999999998E-5</v>
      </c>
      <c r="D649">
        <v>8.4300000000000003E-5</v>
      </c>
      <c r="E649">
        <v>8.6500000000000002E-5</v>
      </c>
      <c r="F649">
        <v>10508786831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0.18918918918919037</v>
      </c>
      <c r="Q649">
        <f t="shared" si="995"/>
        <v>1988148859.9189312</v>
      </c>
      <c r="R649">
        <f t="shared" si="996"/>
        <v>-380172223313.20721</v>
      </c>
      <c r="S649">
        <f t="shared" si="997"/>
        <v>-3801722.2331320723</v>
      </c>
      <c r="T649">
        <f t="shared" si="998"/>
        <v>-3801.7222331320722</v>
      </c>
    </row>
    <row r="650" spans="1:20" x14ac:dyDescent="0.25">
      <c r="A650" s="5">
        <v>43943</v>
      </c>
      <c r="B650">
        <v>8.4400000000000005E-5</v>
      </c>
      <c r="C650">
        <v>8.6799999999999996E-5</v>
      </c>
      <c r="D650">
        <v>8.3800000000000004E-5</v>
      </c>
      <c r="E650">
        <v>8.4900000000000004E-5</v>
      </c>
      <c r="F650">
        <v>7897380154</v>
      </c>
      <c r="G650">
        <v>0</v>
      </c>
      <c r="L650" t="s">
        <v>7</v>
      </c>
      <c r="M650" t="s">
        <v>8</v>
      </c>
      <c r="N650" t="s">
        <v>8</v>
      </c>
      <c r="P650">
        <f t="shared" si="994"/>
        <v>-0.26666666666666489</v>
      </c>
      <c r="Q650">
        <f t="shared" si="995"/>
        <v>-2105968041.0666525</v>
      </c>
      <c r="R650">
        <f t="shared" si="996"/>
        <v>-382160372173.12616</v>
      </c>
      <c r="S650">
        <f t="shared" si="997"/>
        <v>-3821603.7217312618</v>
      </c>
      <c r="T650">
        <f t="shared" si="998"/>
        <v>-3821.6037217312619</v>
      </c>
    </row>
    <row r="651" spans="1:20" x14ac:dyDescent="0.25">
      <c r="A651" s="5">
        <v>43942</v>
      </c>
      <c r="B651">
        <v>8.42E-5</v>
      </c>
      <c r="C651">
        <v>8.5400000000000002E-5</v>
      </c>
      <c r="D651">
        <v>8.3700000000000002E-5</v>
      </c>
      <c r="E651">
        <v>8.4400000000000005E-5</v>
      </c>
      <c r="F651">
        <v>7084871152</v>
      </c>
      <c r="G651">
        <v>0</v>
      </c>
      <c r="L651" t="s">
        <v>8</v>
      </c>
      <c r="M651" t="s">
        <v>8</v>
      </c>
      <c r="N651" t="s">
        <v>8</v>
      </c>
      <c r="P651">
        <f t="shared" si="994"/>
        <v>-0.17647058823529035</v>
      </c>
      <c r="Q651">
        <f t="shared" si="995"/>
        <v>-1250271379.7646792</v>
      </c>
      <c r="R651">
        <f t="shared" si="996"/>
        <v>-380054404132.05951</v>
      </c>
      <c r="S651">
        <f t="shared" si="997"/>
        <v>-3800544.041320595</v>
      </c>
      <c r="T651">
        <f t="shared" si="998"/>
        <v>-3800.5440413205952</v>
      </c>
    </row>
    <row r="652" spans="1:20" x14ac:dyDescent="0.25">
      <c r="A652" s="5">
        <v>43941</v>
      </c>
      <c r="B652">
        <v>8.7100000000000003E-5</v>
      </c>
      <c r="C652">
        <v>8.7999999999999998E-5</v>
      </c>
      <c r="D652">
        <v>8.2899999999999996E-5</v>
      </c>
      <c r="E652">
        <v>8.42E-5</v>
      </c>
      <c r="F652">
        <v>11209618304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-0.49019607843137097</v>
      </c>
      <c r="Q652">
        <f t="shared" si="995"/>
        <v>-5494910933.3333158</v>
      </c>
      <c r="R652">
        <f t="shared" si="996"/>
        <v>-378804132752.2948</v>
      </c>
      <c r="S652">
        <f t="shared" si="997"/>
        <v>-3788041.3275229479</v>
      </c>
      <c r="T652">
        <f t="shared" si="998"/>
        <v>-3788.041327522948</v>
      </c>
    </row>
    <row r="653" spans="1:20" x14ac:dyDescent="0.25">
      <c r="A653" s="5">
        <v>43940</v>
      </c>
      <c r="B653">
        <v>8.6799999999999996E-5</v>
      </c>
      <c r="C653">
        <v>8.8499999999999996E-5</v>
      </c>
      <c r="D653">
        <v>8.6000000000000003E-5</v>
      </c>
      <c r="E653">
        <v>8.7000000000000001E-5</v>
      </c>
      <c r="F653">
        <v>6989621709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-0.2</v>
      </c>
      <c r="Q653">
        <f t="shared" si="995"/>
        <v>-1397924341.8000002</v>
      </c>
      <c r="R653">
        <f t="shared" si="996"/>
        <v>-373309221818.96149</v>
      </c>
      <c r="S653">
        <f t="shared" si="997"/>
        <v>-3733092.2181896148</v>
      </c>
      <c r="T653">
        <f t="shared" si="998"/>
        <v>-3733.0922181896149</v>
      </c>
    </row>
    <row r="654" spans="1:20" x14ac:dyDescent="0.25">
      <c r="A654" s="5">
        <v>43939</v>
      </c>
      <c r="B654">
        <v>8.5699999999999996E-5</v>
      </c>
      <c r="C654">
        <v>8.7399999999999997E-5</v>
      </c>
      <c r="D654">
        <v>8.5099999999999995E-5</v>
      </c>
      <c r="E654">
        <v>8.6799999999999996E-5</v>
      </c>
      <c r="F654">
        <v>6845288018</v>
      </c>
      <c r="G654">
        <v>0</v>
      </c>
      <c r="L654" t="s">
        <v>7</v>
      </c>
      <c r="M654" t="s">
        <v>8</v>
      </c>
      <c r="N654" t="s">
        <v>8</v>
      </c>
      <c r="P654">
        <f t="shared" si="994"/>
        <v>0.47826086956521691</v>
      </c>
      <c r="Q654">
        <f t="shared" si="995"/>
        <v>3273833399.9130402</v>
      </c>
      <c r="R654">
        <f t="shared" si="996"/>
        <v>-371911297477.1615</v>
      </c>
      <c r="S654">
        <f t="shared" si="997"/>
        <v>-3719112.9747716151</v>
      </c>
      <c r="T654">
        <f t="shared" si="998"/>
        <v>-3719.112974771615</v>
      </c>
    </row>
    <row r="655" spans="1:20" x14ac:dyDescent="0.25">
      <c r="A655" s="5">
        <v>43938</v>
      </c>
      <c r="B655">
        <v>8.5599999999999994E-5</v>
      </c>
      <c r="C655">
        <v>8.6799999999999996E-5</v>
      </c>
      <c r="D655">
        <v>8.3499999999999997E-5</v>
      </c>
      <c r="E655">
        <v>8.5799999999999998E-5</v>
      </c>
      <c r="F655">
        <v>6982871748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0.39393939393939542</v>
      </c>
      <c r="Q655">
        <f t="shared" si="995"/>
        <v>2750828264.3636465</v>
      </c>
      <c r="R655">
        <f t="shared" si="996"/>
        <v>-375185130877.07452</v>
      </c>
      <c r="S655">
        <f t="shared" si="997"/>
        <v>-3751851.3087707451</v>
      </c>
      <c r="T655">
        <f t="shared" si="998"/>
        <v>-3751.8513087707452</v>
      </c>
    </row>
    <row r="656" spans="1:20" x14ac:dyDescent="0.25">
      <c r="A656" s="5">
        <v>43937</v>
      </c>
      <c r="B656">
        <v>8.2600000000000002E-5</v>
      </c>
      <c r="C656">
        <v>8.8700000000000001E-5</v>
      </c>
      <c r="D656">
        <v>8.1799999999999996E-5</v>
      </c>
      <c r="E656">
        <v>8.5699999999999996E-5</v>
      </c>
      <c r="F656">
        <v>11981993332</v>
      </c>
      <c r="G656">
        <v>0</v>
      </c>
      <c r="L656" t="s">
        <v>7</v>
      </c>
      <c r="M656" t="s">
        <v>8</v>
      </c>
      <c r="N656" t="s">
        <v>8</v>
      </c>
      <c r="P656">
        <f t="shared" si="994"/>
        <v>0.13043478260869479</v>
      </c>
      <c r="Q656">
        <f t="shared" si="995"/>
        <v>1562868695.4782505</v>
      </c>
      <c r="R656">
        <f t="shared" si="996"/>
        <v>-377935959141.43817</v>
      </c>
      <c r="S656">
        <f t="shared" si="997"/>
        <v>-3779359.5914143817</v>
      </c>
      <c r="T656">
        <f t="shared" si="998"/>
        <v>-3779.3595914143816</v>
      </c>
    </row>
    <row r="657" spans="1:20" x14ac:dyDescent="0.25">
      <c r="A657" s="5">
        <v>43936</v>
      </c>
      <c r="B657">
        <v>8.5500000000000005E-5</v>
      </c>
      <c r="C657">
        <v>8.6199999999999995E-5</v>
      </c>
      <c r="D657">
        <v>8.2399999999999997E-5</v>
      </c>
      <c r="E657">
        <v>8.2700000000000004E-5</v>
      </c>
      <c r="F657">
        <v>6971539237</v>
      </c>
      <c r="G657">
        <v>0</v>
      </c>
      <c r="L657" t="s">
        <v>8</v>
      </c>
      <c r="M657" t="s">
        <v>8</v>
      </c>
      <c r="N657" t="s">
        <v>8</v>
      </c>
      <c r="P657">
        <f t="shared" si="994"/>
        <v>-0.8421052631578908</v>
      </c>
      <c r="Q657">
        <f t="shared" si="995"/>
        <v>-5870769883.7894459</v>
      </c>
      <c r="R657">
        <f t="shared" si="996"/>
        <v>-379498827836.91644</v>
      </c>
      <c r="S657">
        <f t="shared" si="997"/>
        <v>-3794988.2783691646</v>
      </c>
      <c r="T657">
        <f t="shared" si="998"/>
        <v>-3794.9882783691646</v>
      </c>
    </row>
    <row r="658" spans="1:20" x14ac:dyDescent="0.25">
      <c r="A658" s="5">
        <v>43935</v>
      </c>
      <c r="B658">
        <v>8.1899999999999999E-5</v>
      </c>
      <c r="C658">
        <v>8.6500000000000002E-5</v>
      </c>
      <c r="D658">
        <v>8.1600000000000005E-5</v>
      </c>
      <c r="E658">
        <v>8.5400000000000002E-5</v>
      </c>
      <c r="F658">
        <v>9451822804</v>
      </c>
      <c r="G658">
        <v>0</v>
      </c>
      <c r="L658" t="s">
        <v>7</v>
      </c>
      <c r="M658" t="s">
        <v>8</v>
      </c>
      <c r="N658" t="s">
        <v>8</v>
      </c>
      <c r="P658">
        <f t="shared" si="994"/>
        <v>0.55102040816326514</v>
      </c>
      <c r="Q658">
        <f t="shared" si="995"/>
        <v>5208147259.3469372</v>
      </c>
      <c r="R658">
        <f t="shared" si="996"/>
        <v>-373628057953.12701</v>
      </c>
      <c r="S658">
        <f t="shared" si="997"/>
        <v>-3736280.5795312701</v>
      </c>
      <c r="T658">
        <f t="shared" si="998"/>
        <v>-3736.2805795312702</v>
      </c>
    </row>
    <row r="659" spans="1:20" x14ac:dyDescent="0.25">
      <c r="A659" s="5">
        <v>43934</v>
      </c>
      <c r="B659">
        <v>8.3300000000000005E-5</v>
      </c>
      <c r="C659">
        <v>8.3599999999999999E-5</v>
      </c>
      <c r="D659">
        <v>8.0000000000000007E-5</v>
      </c>
      <c r="E659">
        <v>8.2000000000000001E-5</v>
      </c>
      <c r="F659">
        <v>11393985115</v>
      </c>
      <c r="G659">
        <v>0</v>
      </c>
      <c r="L659" t="s">
        <v>8</v>
      </c>
      <c r="M659" t="s">
        <v>8</v>
      </c>
      <c r="N659" t="s">
        <v>8</v>
      </c>
      <c r="P659">
        <f t="shared" si="994"/>
        <v>0.11111111111111027</v>
      </c>
      <c r="Q659">
        <f t="shared" si="995"/>
        <v>1265998346.1111016</v>
      </c>
      <c r="R659">
        <f t="shared" si="996"/>
        <v>-378836205212.47394</v>
      </c>
      <c r="S659">
        <f t="shared" si="997"/>
        <v>-3788362.0521247392</v>
      </c>
      <c r="T659">
        <f t="shared" si="998"/>
        <v>-3788.362052124739</v>
      </c>
    </row>
    <row r="660" spans="1:20" x14ac:dyDescent="0.25">
      <c r="A660" s="5">
        <v>43933</v>
      </c>
      <c r="B660">
        <v>8.3499999999999997E-5</v>
      </c>
      <c r="C660">
        <v>8.6299999999999997E-5</v>
      </c>
      <c r="D660">
        <v>8.2299999999999995E-5</v>
      </c>
      <c r="E660">
        <v>8.3300000000000005E-5</v>
      </c>
      <c r="F660">
        <v>7623149998</v>
      </c>
      <c r="G660">
        <v>0</v>
      </c>
      <c r="L660" t="s">
        <v>7</v>
      </c>
      <c r="M660" t="s">
        <v>8</v>
      </c>
      <c r="N660" t="s">
        <v>8</v>
      </c>
      <c r="P660">
        <f t="shared" si="994"/>
        <v>-0.49999999999999489</v>
      </c>
      <c r="Q660">
        <f t="shared" si="995"/>
        <v>-3811574998.9999609</v>
      </c>
      <c r="R660">
        <f t="shared" si="996"/>
        <v>-380102203558.58502</v>
      </c>
      <c r="S660">
        <f t="shared" si="997"/>
        <v>-3801022.03558585</v>
      </c>
      <c r="T660">
        <f t="shared" si="998"/>
        <v>-3801.0220355858501</v>
      </c>
    </row>
    <row r="661" spans="1:20" x14ac:dyDescent="0.25">
      <c r="A661" s="5">
        <v>43932</v>
      </c>
      <c r="B661">
        <v>8.1799999999999996E-5</v>
      </c>
      <c r="C661">
        <v>8.5000000000000006E-5</v>
      </c>
      <c r="D661">
        <v>8.0199999999999998E-5</v>
      </c>
      <c r="E661">
        <v>8.3700000000000002E-5</v>
      </c>
      <c r="F661">
        <v>6902611824</v>
      </c>
      <c r="G661">
        <v>0</v>
      </c>
      <c r="L661" t="s">
        <v>8</v>
      </c>
      <c r="M661" t="s">
        <v>8</v>
      </c>
      <c r="N661" t="s">
        <v>8</v>
      </c>
      <c r="P661">
        <f t="shared" si="994"/>
        <v>0.45833333333333237</v>
      </c>
      <c r="Q661">
        <f t="shared" si="995"/>
        <v>3163697085.9999933</v>
      </c>
      <c r="R661">
        <f t="shared" si="996"/>
        <v>-376290628559.58508</v>
      </c>
      <c r="S661">
        <f t="shared" si="997"/>
        <v>-3762906.285595851</v>
      </c>
      <c r="T661">
        <f t="shared" si="998"/>
        <v>-3762.9062855958509</v>
      </c>
    </row>
    <row r="662" spans="1:20" x14ac:dyDescent="0.25">
      <c r="A662" s="5">
        <v>43931</v>
      </c>
      <c r="B662">
        <v>8.7399999999999997E-5</v>
      </c>
      <c r="C662">
        <v>8.7899999999999995E-5</v>
      </c>
      <c r="D662">
        <v>7.9099999999999998E-5</v>
      </c>
      <c r="E662">
        <v>8.1799999999999996E-5</v>
      </c>
      <c r="F662">
        <v>11362377797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-0.38636363636363663</v>
      </c>
      <c r="Q662">
        <f t="shared" si="995"/>
        <v>-4390009603.3863668</v>
      </c>
      <c r="R662">
        <f t="shared" si="996"/>
        <v>-379454325645.58508</v>
      </c>
      <c r="S662">
        <f t="shared" si="997"/>
        <v>-3794543.2564558508</v>
      </c>
      <c r="T662">
        <f t="shared" si="998"/>
        <v>-3794.543256455851</v>
      </c>
    </row>
    <row r="663" spans="1:20" x14ac:dyDescent="0.25">
      <c r="A663" s="5">
        <v>43930</v>
      </c>
      <c r="B663">
        <v>8.7200000000000005E-5</v>
      </c>
      <c r="C663">
        <v>8.8800000000000004E-5</v>
      </c>
      <c r="D663">
        <v>8.5599999999999994E-5</v>
      </c>
      <c r="E663">
        <v>8.7399999999999997E-5</v>
      </c>
      <c r="F663">
        <v>6887608034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0.12499999999999842</v>
      </c>
      <c r="Q663">
        <f t="shared" si="995"/>
        <v>860951004.24998915</v>
      </c>
      <c r="R663">
        <f t="shared" si="996"/>
        <v>-375064316042.19873</v>
      </c>
      <c r="S663">
        <f t="shared" si="997"/>
        <v>-3750643.1604219875</v>
      </c>
      <c r="T663">
        <f t="shared" si="998"/>
        <v>-3750.6431604219874</v>
      </c>
    </row>
    <row r="664" spans="1:20" x14ac:dyDescent="0.25">
      <c r="A664" s="5">
        <v>43929</v>
      </c>
      <c r="B664">
        <v>8.5199999999999997E-5</v>
      </c>
      <c r="C664">
        <v>8.8399999999999994E-5</v>
      </c>
      <c r="D664">
        <v>8.4599999999999996E-5</v>
      </c>
      <c r="E664">
        <v>8.7299999999999994E-5</v>
      </c>
      <c r="F664">
        <v>7399297114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0.42105263157894718</v>
      </c>
      <c r="Q664">
        <f t="shared" si="995"/>
        <v>3115493521.6842093</v>
      </c>
      <c r="R664">
        <f t="shared" si="996"/>
        <v>-375925267046.44873</v>
      </c>
      <c r="S664">
        <f t="shared" si="997"/>
        <v>-3759252.6704644873</v>
      </c>
      <c r="T664">
        <f t="shared" si="998"/>
        <v>-3759.2526704644874</v>
      </c>
    </row>
    <row r="665" spans="1:20" x14ac:dyDescent="0.25">
      <c r="A665" s="5">
        <v>43928</v>
      </c>
      <c r="B665">
        <v>8.6600000000000004E-5</v>
      </c>
      <c r="C665">
        <v>8.8999999999999995E-5</v>
      </c>
      <c r="D665">
        <v>8.3800000000000004E-5</v>
      </c>
      <c r="E665">
        <v>8.5199999999999997E-5</v>
      </c>
      <c r="F665">
        <v>11813153699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-0.46153846153846312</v>
      </c>
      <c r="Q665">
        <f t="shared" si="995"/>
        <v>-5452224784.1538649</v>
      </c>
      <c r="R665">
        <f t="shared" si="996"/>
        <v>-379040760568.13293</v>
      </c>
      <c r="S665">
        <f t="shared" si="997"/>
        <v>-3790407.6056813295</v>
      </c>
      <c r="T665">
        <f t="shared" si="998"/>
        <v>-3790.4076056813296</v>
      </c>
    </row>
    <row r="666" spans="1:20" x14ac:dyDescent="0.25">
      <c r="A666" s="5">
        <v>43927</v>
      </c>
      <c r="B666">
        <v>8.2600000000000002E-5</v>
      </c>
      <c r="C666">
        <v>8.9499999999999994E-5</v>
      </c>
      <c r="D666">
        <v>8.1799999999999996E-5</v>
      </c>
      <c r="E666">
        <v>8.6600000000000004E-5</v>
      </c>
      <c r="F666">
        <v>12476121396</v>
      </c>
      <c r="G666">
        <v>0</v>
      </c>
      <c r="L666" t="s">
        <v>7</v>
      </c>
      <c r="M666" t="s">
        <v>8</v>
      </c>
      <c r="N666" t="s">
        <v>8</v>
      </c>
      <c r="P666">
        <f t="shared" si="994"/>
        <v>0.24675324675324931</v>
      </c>
      <c r="Q666">
        <f t="shared" si="995"/>
        <v>3078523461.3506813</v>
      </c>
      <c r="R666">
        <f t="shared" si="996"/>
        <v>-373588535783.97906</v>
      </c>
      <c r="S666">
        <f t="shared" si="997"/>
        <v>-3735885.3578397906</v>
      </c>
      <c r="T666">
        <f t="shared" si="998"/>
        <v>-3735.8853578397907</v>
      </c>
    </row>
    <row r="667" spans="1:20" x14ac:dyDescent="0.25">
      <c r="A667" s="5">
        <v>43926</v>
      </c>
      <c r="B667">
        <v>8.2600000000000002E-5</v>
      </c>
      <c r="C667">
        <v>8.4300000000000003E-5</v>
      </c>
      <c r="D667">
        <v>8.1000000000000004E-5</v>
      </c>
      <c r="E667">
        <v>8.25E-5</v>
      </c>
      <c r="F667">
        <v>6872516835</v>
      </c>
      <c r="G667">
        <v>0</v>
      </c>
      <c r="L667" t="s">
        <v>8</v>
      </c>
      <c r="M667" t="s">
        <v>7</v>
      </c>
      <c r="N667" t="s">
        <v>8</v>
      </c>
      <c r="P667">
        <f t="shared" si="994"/>
        <v>-9.0909090909093146E-2</v>
      </c>
      <c r="Q667">
        <f t="shared" si="995"/>
        <v>-624774257.72728813</v>
      </c>
      <c r="R667">
        <f t="shared" si="996"/>
        <v>-376667059245.32977</v>
      </c>
      <c r="S667">
        <f t="shared" si="997"/>
        <v>-3766670.5924532977</v>
      </c>
      <c r="T667">
        <f t="shared" si="998"/>
        <v>-3766.6705924532976</v>
      </c>
    </row>
    <row r="668" spans="1:20" x14ac:dyDescent="0.25">
      <c r="A668" s="5">
        <v>43925</v>
      </c>
      <c r="B668">
        <v>8.2399999999999997E-5</v>
      </c>
      <c r="C668">
        <v>8.5900000000000001E-5</v>
      </c>
      <c r="D668">
        <v>8.0599999999999994E-5</v>
      </c>
      <c r="E668">
        <v>8.2399999999999997E-5</v>
      </c>
      <c r="F668">
        <v>6900369634</v>
      </c>
      <c r="G668">
        <v>0</v>
      </c>
      <c r="L668" t="s">
        <v>7</v>
      </c>
      <c r="M668" t="s">
        <v>7</v>
      </c>
      <c r="N668" t="s">
        <v>8</v>
      </c>
      <c r="P668">
        <f t="shared" si="994"/>
        <v>-0.32075471698113178</v>
      </c>
      <c r="Q668">
        <f t="shared" si="995"/>
        <v>-2213326109.0188661</v>
      </c>
      <c r="R668">
        <f t="shared" si="996"/>
        <v>-376042284987.60248</v>
      </c>
      <c r="S668">
        <f t="shared" si="997"/>
        <v>-3760422.8498760248</v>
      </c>
      <c r="T668">
        <f t="shared" si="998"/>
        <v>-3760.4228498760249</v>
      </c>
    </row>
    <row r="669" spans="1:20" x14ac:dyDescent="0.25">
      <c r="A669" s="5">
        <v>43924</v>
      </c>
      <c r="B669">
        <v>8.3300000000000005E-5</v>
      </c>
      <c r="C669">
        <v>8.6500000000000002E-5</v>
      </c>
      <c r="D669">
        <v>8.1199999999999995E-5</v>
      </c>
      <c r="E669">
        <v>8.2399999999999997E-5</v>
      </c>
      <c r="F669">
        <v>10567199705</v>
      </c>
      <c r="G669">
        <v>0</v>
      </c>
      <c r="L669" t="s">
        <v>8</v>
      </c>
      <c r="M669" t="s">
        <v>7</v>
      </c>
      <c r="N669" t="s">
        <v>8</v>
      </c>
      <c r="P669">
        <f t="shared" si="994"/>
        <v>-0.54716981132075448</v>
      </c>
      <c r="Q669">
        <f t="shared" si="995"/>
        <v>-5782052668.7735825</v>
      </c>
      <c r="R669">
        <f t="shared" si="996"/>
        <v>-373828958878.58362</v>
      </c>
      <c r="S669">
        <f t="shared" si="997"/>
        <v>-3738289.588785836</v>
      </c>
      <c r="T669">
        <f t="shared" si="998"/>
        <v>-3738.2895887858358</v>
      </c>
    </row>
    <row r="670" spans="1:20" x14ac:dyDescent="0.25">
      <c r="A670" s="5">
        <v>43923</v>
      </c>
      <c r="B670">
        <v>8.2100000000000003E-5</v>
      </c>
      <c r="C670">
        <v>8.7000000000000001E-5</v>
      </c>
      <c r="D670">
        <v>8.1600000000000005E-5</v>
      </c>
      <c r="E670">
        <v>8.3300000000000005E-5</v>
      </c>
      <c r="F670">
        <v>11589809721</v>
      </c>
      <c r="G670">
        <v>0</v>
      </c>
      <c r="L670" t="s">
        <v>7</v>
      </c>
      <c r="M670" t="s">
        <v>7</v>
      </c>
      <c r="N670" t="s">
        <v>8</v>
      </c>
      <c r="P670">
        <f t="shared" si="994"/>
        <v>-0.37037037037036963</v>
      </c>
      <c r="Q670">
        <f t="shared" si="995"/>
        <v>-4292522118.8888803</v>
      </c>
      <c r="R670">
        <f t="shared" si="996"/>
        <v>-368046906209.81006</v>
      </c>
      <c r="S670">
        <f t="shared" si="997"/>
        <v>-3680469.0620981008</v>
      </c>
      <c r="T670">
        <f t="shared" si="998"/>
        <v>-3680.4690620981009</v>
      </c>
    </row>
    <row r="671" spans="1:20" x14ac:dyDescent="0.25">
      <c r="A671" s="5">
        <v>43922</v>
      </c>
      <c r="B671">
        <v>8.5199999999999997E-5</v>
      </c>
      <c r="C671">
        <v>8.5400000000000002E-5</v>
      </c>
      <c r="D671">
        <v>7.8899999999999993E-5</v>
      </c>
      <c r="E671">
        <v>8.2100000000000003E-5</v>
      </c>
      <c r="F671">
        <v>8638224739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-1.5384615384613652E-2</v>
      </c>
      <c r="Q671">
        <f t="shared" si="995"/>
        <v>-132895765.21536966</v>
      </c>
      <c r="R671">
        <f t="shared" si="996"/>
        <v>-363754384090.9212</v>
      </c>
      <c r="S671">
        <f t="shared" si="997"/>
        <v>-3637543.8409092119</v>
      </c>
      <c r="T671">
        <f t="shared" si="998"/>
        <v>-3637.5438409092121</v>
      </c>
    </row>
    <row r="672" spans="1:20" x14ac:dyDescent="0.25">
      <c r="A672" s="5">
        <v>43921</v>
      </c>
      <c r="B672">
        <v>7.7899999999999996E-5</v>
      </c>
      <c r="C672">
        <v>8.6600000000000004E-5</v>
      </c>
      <c r="D672">
        <v>7.75E-5</v>
      </c>
      <c r="E672">
        <v>8.5199999999999997E-5</v>
      </c>
      <c r="F672">
        <v>7672876247</v>
      </c>
      <c r="G672">
        <v>0</v>
      </c>
      <c r="L672" t="s">
        <v>7</v>
      </c>
      <c r="M672" t="s">
        <v>7</v>
      </c>
      <c r="N672" t="s">
        <v>8</v>
      </c>
      <c r="P672">
        <f t="shared" si="994"/>
        <v>0.69230769230769096</v>
      </c>
      <c r="Q672">
        <f t="shared" si="995"/>
        <v>5311991247.9230661</v>
      </c>
      <c r="R672">
        <f t="shared" si="996"/>
        <v>-363621488325.70581</v>
      </c>
      <c r="S672">
        <f t="shared" si="997"/>
        <v>-3636214.883257058</v>
      </c>
      <c r="T672">
        <f t="shared" si="998"/>
        <v>-3636.2148832570579</v>
      </c>
    </row>
    <row r="673" spans="1:20" x14ac:dyDescent="0.25">
      <c r="A673" s="5">
        <v>43920</v>
      </c>
      <c r="B673">
        <v>7.4300000000000004E-5</v>
      </c>
      <c r="C673">
        <v>7.9400000000000006E-5</v>
      </c>
      <c r="D673">
        <v>7.3499999999999998E-5</v>
      </c>
      <c r="E673">
        <v>7.7899999999999996E-5</v>
      </c>
      <c r="F673">
        <v>10711715001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0.49152542372881108</v>
      </c>
      <c r="Q673">
        <f t="shared" si="995"/>
        <v>5265080254.7287874</v>
      </c>
      <c r="R673">
        <f t="shared" si="996"/>
        <v>-368933479573.62891</v>
      </c>
      <c r="S673">
        <f t="shared" si="997"/>
        <v>-3689334.7957362891</v>
      </c>
      <c r="T673">
        <f t="shared" si="998"/>
        <v>-3689.3347957362889</v>
      </c>
    </row>
    <row r="674" spans="1:20" x14ac:dyDescent="0.25">
      <c r="A674" s="5">
        <v>43919</v>
      </c>
      <c r="B674">
        <v>7.7799999999999994E-5</v>
      </c>
      <c r="C674">
        <v>7.9499999999999994E-5</v>
      </c>
      <c r="D674">
        <v>7.2600000000000003E-5</v>
      </c>
      <c r="E674">
        <v>7.4200000000000001E-5</v>
      </c>
      <c r="F674">
        <v>7112502950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-0.53623188405797095</v>
      </c>
      <c r="Q674">
        <f t="shared" si="995"/>
        <v>-3813950857.2463765</v>
      </c>
      <c r="R674">
        <f t="shared" si="996"/>
        <v>-374198559828.35767</v>
      </c>
      <c r="S674">
        <f t="shared" si="997"/>
        <v>-3741985.5982835768</v>
      </c>
      <c r="T674">
        <f t="shared" si="998"/>
        <v>-3741.9855982835766</v>
      </c>
    </row>
    <row r="675" spans="1:20" x14ac:dyDescent="0.25">
      <c r="A675" s="5">
        <v>43918</v>
      </c>
      <c r="B675">
        <v>8.3900000000000006E-5</v>
      </c>
      <c r="C675">
        <v>9.0000000000000006E-5</v>
      </c>
      <c r="D675">
        <v>7.5699999999999997E-5</v>
      </c>
      <c r="E675">
        <v>7.7799999999999994E-5</v>
      </c>
      <c r="F675">
        <v>9936818088</v>
      </c>
      <c r="G675">
        <v>0</v>
      </c>
      <c r="L675" t="s">
        <v>8</v>
      </c>
      <c r="M675" t="s">
        <v>7</v>
      </c>
      <c r="N675" t="s">
        <v>8</v>
      </c>
      <c r="P675">
        <f t="shared" si="994"/>
        <v>-0.70629370629370691</v>
      </c>
      <c r="Q675">
        <f t="shared" si="995"/>
        <v>-7018312076.1398659</v>
      </c>
      <c r="R675">
        <f t="shared" si="996"/>
        <v>-370384608971.11127</v>
      </c>
      <c r="S675">
        <f t="shared" si="997"/>
        <v>-3703846.0897111129</v>
      </c>
      <c r="T675">
        <f t="shared" si="998"/>
        <v>-3703.8460897111131</v>
      </c>
    </row>
    <row r="676" spans="1:20" x14ac:dyDescent="0.25">
      <c r="A676" s="5">
        <v>43917</v>
      </c>
      <c r="B676">
        <v>8.6199999999999995E-5</v>
      </c>
      <c r="C676">
        <v>1E-4</v>
      </c>
      <c r="D676">
        <v>8.1600000000000005E-5</v>
      </c>
      <c r="E676">
        <v>8.3999999999999995E-5</v>
      </c>
      <c r="F676">
        <v>10391620683</v>
      </c>
      <c r="G676">
        <v>0</v>
      </c>
      <c r="L676" t="s">
        <v>7</v>
      </c>
      <c r="M676" t="s">
        <v>8</v>
      </c>
      <c r="N676" t="s">
        <v>8</v>
      </c>
      <c r="P676">
        <f t="shared" si="994"/>
        <v>-0.73913043478260976</v>
      </c>
      <c r="Q676">
        <f t="shared" si="995"/>
        <v>-7680763113.5217505</v>
      </c>
      <c r="R676">
        <f t="shared" si="996"/>
        <v>-363366296894.97137</v>
      </c>
      <c r="S676">
        <f t="shared" si="997"/>
        <v>-3633662.9689497137</v>
      </c>
      <c r="T676">
        <f t="shared" si="998"/>
        <v>-3633.6629689497136</v>
      </c>
    </row>
    <row r="677" spans="1:20" x14ac:dyDescent="0.25">
      <c r="A677" s="5">
        <v>43916</v>
      </c>
      <c r="B677">
        <v>6.8700000000000003E-5</v>
      </c>
      <c r="C677">
        <v>8.6899999999999998E-5</v>
      </c>
      <c r="D677">
        <v>6.8300000000000007E-5</v>
      </c>
      <c r="E677">
        <v>8.6199999999999995E-5</v>
      </c>
      <c r="F677">
        <v>7905572961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0.92473118279569855</v>
      </c>
      <c r="Q677">
        <f t="shared" si="995"/>
        <v>7310529834.903223</v>
      </c>
      <c r="R677">
        <f t="shared" si="996"/>
        <v>-355685533781.44965</v>
      </c>
      <c r="S677">
        <f t="shared" si="997"/>
        <v>-3556855.3378144964</v>
      </c>
      <c r="T677">
        <f t="shared" si="998"/>
        <v>-3556.8553378144966</v>
      </c>
    </row>
    <row r="678" spans="1:20" x14ac:dyDescent="0.25">
      <c r="A678" s="5">
        <v>43915</v>
      </c>
      <c r="B678">
        <v>6.9800000000000003E-5</v>
      </c>
      <c r="C678">
        <v>7.1400000000000001E-5</v>
      </c>
      <c r="D678">
        <v>6.6699999999999995E-5</v>
      </c>
      <c r="E678">
        <v>6.8700000000000003E-5</v>
      </c>
      <c r="F678">
        <v>9316129730</v>
      </c>
      <c r="G678">
        <v>0</v>
      </c>
      <c r="L678" t="s">
        <v>7</v>
      </c>
      <c r="M678" t="s">
        <v>7</v>
      </c>
      <c r="N678" t="s">
        <v>7</v>
      </c>
      <c r="P678">
        <f t="shared" si="994"/>
        <v>-0.14893617021276362</v>
      </c>
      <c r="Q678">
        <f t="shared" si="995"/>
        <v>-1387508683.1914675</v>
      </c>
      <c r="R678">
        <f t="shared" si="996"/>
        <v>-362996063616.35284</v>
      </c>
      <c r="S678">
        <f t="shared" si="997"/>
        <v>-3629960.6361635285</v>
      </c>
      <c r="T678">
        <f t="shared" si="998"/>
        <v>-3629.9606361635288</v>
      </c>
    </row>
    <row r="679" spans="1:20" x14ac:dyDescent="0.25">
      <c r="A679" s="5">
        <v>43914</v>
      </c>
      <c r="B679">
        <v>7.0599999999999995E-5</v>
      </c>
      <c r="C679">
        <v>7.4300000000000004E-5</v>
      </c>
      <c r="D679">
        <v>6.9499999999999995E-5</v>
      </c>
      <c r="E679">
        <v>6.9900000000000005E-5</v>
      </c>
      <c r="F679">
        <v>10705727038</v>
      </c>
      <c r="G679">
        <v>0</v>
      </c>
      <c r="L679" t="s">
        <v>8</v>
      </c>
      <c r="M679" t="s">
        <v>7</v>
      </c>
      <c r="N679" t="s">
        <v>7</v>
      </c>
      <c r="P679">
        <f t="shared" si="994"/>
        <v>-0.8333333333333296</v>
      </c>
      <c r="Q679">
        <f t="shared" si="995"/>
        <v>-8921439198.3332939</v>
      </c>
      <c r="R679">
        <f t="shared" si="996"/>
        <v>-361608554933.16138</v>
      </c>
      <c r="S679">
        <f t="shared" si="997"/>
        <v>-3616085.5493316138</v>
      </c>
      <c r="T679">
        <f t="shared" si="998"/>
        <v>-3616.0855493316139</v>
      </c>
    </row>
    <row r="680" spans="1:20" x14ac:dyDescent="0.25">
      <c r="A680" s="5">
        <v>43913</v>
      </c>
      <c r="B680">
        <v>6.7399999999999998E-5</v>
      </c>
      <c r="C680">
        <v>7.1899999999999999E-5</v>
      </c>
      <c r="D680">
        <v>6.5199999999999999E-5</v>
      </c>
      <c r="E680">
        <v>7.0599999999999995E-5</v>
      </c>
      <c r="F680">
        <v>9912470026</v>
      </c>
      <c r="G680">
        <v>0</v>
      </c>
      <c r="L680" t="s">
        <v>7</v>
      </c>
      <c r="M680" t="s">
        <v>7</v>
      </c>
      <c r="N680" t="s">
        <v>7</v>
      </c>
      <c r="P680">
        <f t="shared" si="994"/>
        <v>0.61194029850746134</v>
      </c>
      <c r="Q680">
        <f t="shared" si="995"/>
        <v>6065839866.656703</v>
      </c>
      <c r="R680">
        <f t="shared" si="996"/>
        <v>-352687115734.82806</v>
      </c>
      <c r="S680">
        <f t="shared" si="997"/>
        <v>-3526871.1573482808</v>
      </c>
      <c r="T680">
        <f t="shared" si="998"/>
        <v>-3526.8711573482806</v>
      </c>
    </row>
    <row r="681" spans="1:20" x14ac:dyDescent="0.25">
      <c r="A681" s="5">
        <v>43912</v>
      </c>
      <c r="B681">
        <v>7.0500000000000006E-5</v>
      </c>
      <c r="C681">
        <v>7.3999999999999996E-5</v>
      </c>
      <c r="D681">
        <v>6.5199999999999999E-5</v>
      </c>
      <c r="E681">
        <v>6.7399999999999998E-5</v>
      </c>
      <c r="F681">
        <v>7091583676</v>
      </c>
      <c r="G681">
        <v>0</v>
      </c>
      <c r="L681" t="s">
        <v>8</v>
      </c>
      <c r="M681" t="s">
        <v>7</v>
      </c>
      <c r="N681" t="s">
        <v>7</v>
      </c>
      <c r="P681">
        <f t="shared" si="994"/>
        <v>-0.5</v>
      </c>
      <c r="Q681">
        <f t="shared" si="995"/>
        <v>-3545791838</v>
      </c>
      <c r="R681">
        <f t="shared" si="996"/>
        <v>-358752955601.48474</v>
      </c>
      <c r="S681">
        <f t="shared" si="997"/>
        <v>-3587529.5560148475</v>
      </c>
      <c r="T681">
        <f t="shared" si="998"/>
        <v>-3587.5295560148475</v>
      </c>
    </row>
    <row r="682" spans="1:20" x14ac:dyDescent="0.25">
      <c r="A682" s="5">
        <v>43911</v>
      </c>
      <c r="B682">
        <v>7.3499999999999998E-5</v>
      </c>
      <c r="C682">
        <v>7.5500000000000006E-5</v>
      </c>
      <c r="D682">
        <v>6.9200000000000002E-5</v>
      </c>
      <c r="E682">
        <v>7.0500000000000006E-5</v>
      </c>
      <c r="F682">
        <v>7691821307</v>
      </c>
      <c r="G682">
        <v>0</v>
      </c>
      <c r="L682" t="s">
        <v>7</v>
      </c>
      <c r="M682" t="s">
        <v>8</v>
      </c>
      <c r="N682" t="s">
        <v>7</v>
      </c>
      <c r="P682">
        <f t="shared" si="994"/>
        <v>-0.5873015873015861</v>
      </c>
      <c r="Q682">
        <f t="shared" si="995"/>
        <v>-4517418862.8412609</v>
      </c>
      <c r="R682">
        <f t="shared" si="996"/>
        <v>-355207163763.48474</v>
      </c>
      <c r="S682">
        <f t="shared" si="997"/>
        <v>-3552071.6376348473</v>
      </c>
      <c r="T682">
        <f t="shared" si="998"/>
        <v>-3552.0716376348473</v>
      </c>
    </row>
    <row r="683" spans="1:20" x14ac:dyDescent="0.25">
      <c r="A683" s="5">
        <v>43910</v>
      </c>
      <c r="B683">
        <v>7.6799999999999997E-5</v>
      </c>
      <c r="C683">
        <v>8.14E-5</v>
      </c>
      <c r="D683">
        <v>6.8999999999999997E-5</v>
      </c>
      <c r="E683">
        <v>7.3300000000000006E-5</v>
      </c>
      <c r="F683">
        <v>9138654575</v>
      </c>
      <c r="G683">
        <v>0</v>
      </c>
      <c r="L683" t="s">
        <v>8</v>
      </c>
      <c r="M683" t="s">
        <v>8</v>
      </c>
      <c r="N683" t="s">
        <v>7</v>
      </c>
      <c r="P683">
        <f t="shared" si="994"/>
        <v>-0.30645161290322442</v>
      </c>
      <c r="Q683">
        <f t="shared" si="995"/>
        <v>-2800555434.2741809</v>
      </c>
      <c r="R683">
        <f t="shared" si="996"/>
        <v>-350689744900.64349</v>
      </c>
      <c r="S683">
        <f t="shared" si="997"/>
        <v>-3506897.449006435</v>
      </c>
      <c r="T683">
        <f t="shared" si="998"/>
        <v>-3506.8974490064352</v>
      </c>
    </row>
    <row r="684" spans="1:20" x14ac:dyDescent="0.25">
      <c r="A684" s="5">
        <v>43909</v>
      </c>
      <c r="B684">
        <v>7.08E-5</v>
      </c>
      <c r="C684">
        <v>8.03E-5</v>
      </c>
      <c r="D684">
        <v>6.97E-5</v>
      </c>
      <c r="E684">
        <v>7.6899999999999999E-5</v>
      </c>
      <c r="F684">
        <v>9571863564</v>
      </c>
      <c r="G684">
        <v>0</v>
      </c>
      <c r="L684" t="s">
        <v>7</v>
      </c>
      <c r="M684" t="s">
        <v>8</v>
      </c>
      <c r="N684" t="s">
        <v>7</v>
      </c>
      <c r="P684">
        <f t="shared" si="994"/>
        <v>0.3584905660377356</v>
      </c>
      <c r="Q684">
        <f t="shared" si="995"/>
        <v>3431422787.0943375</v>
      </c>
      <c r="R684">
        <f t="shared" si="996"/>
        <v>-347889189466.36932</v>
      </c>
      <c r="S684">
        <f t="shared" si="997"/>
        <v>-3478891.8946636934</v>
      </c>
      <c r="T684">
        <f t="shared" si="998"/>
        <v>-3478.8918946636932</v>
      </c>
    </row>
    <row r="685" spans="1:20" x14ac:dyDescent="0.25">
      <c r="A685" s="5">
        <v>43908</v>
      </c>
      <c r="B685">
        <v>6.9800000000000003E-5</v>
      </c>
      <c r="C685">
        <v>7.2999999999999999E-5</v>
      </c>
      <c r="D685">
        <v>6.4499999999999996E-5</v>
      </c>
      <c r="E685">
        <v>7.08E-5</v>
      </c>
      <c r="F685">
        <v>7221025849</v>
      </c>
      <c r="G685">
        <v>0</v>
      </c>
      <c r="L685" t="s">
        <v>8</v>
      </c>
      <c r="M685" t="s">
        <v>8</v>
      </c>
      <c r="N685" t="s">
        <v>7</v>
      </c>
      <c r="P685">
        <f t="shared" si="994"/>
        <v>0.48235294117647098</v>
      </c>
      <c r="Q685">
        <f t="shared" si="995"/>
        <v>3483083056.5764732</v>
      </c>
      <c r="R685">
        <f t="shared" si="996"/>
        <v>-351320612253.46368</v>
      </c>
      <c r="S685">
        <f t="shared" si="997"/>
        <v>-3513206.1225346369</v>
      </c>
      <c r="T685">
        <f t="shared" si="998"/>
        <v>-3513.206122534637</v>
      </c>
    </row>
    <row r="686" spans="1:20" x14ac:dyDescent="0.25">
      <c r="A686" s="5">
        <v>43907</v>
      </c>
      <c r="B686">
        <v>6.4200000000000002E-5</v>
      </c>
      <c r="C686">
        <v>7.2399999999999998E-5</v>
      </c>
      <c r="D686">
        <v>6.2500000000000001E-5</v>
      </c>
      <c r="E686">
        <v>6.9800000000000003E-5</v>
      </c>
      <c r="F686">
        <v>8705664712</v>
      </c>
      <c r="G686">
        <v>0</v>
      </c>
      <c r="L686" t="s">
        <v>7</v>
      </c>
      <c r="M686" t="s">
        <v>8</v>
      </c>
      <c r="N686" t="s">
        <v>7</v>
      </c>
      <c r="P686">
        <f t="shared" si="994"/>
        <v>0.47474747474747547</v>
      </c>
      <c r="Q686">
        <f t="shared" si="995"/>
        <v>4132992338.0202084</v>
      </c>
      <c r="R686">
        <f t="shared" si="996"/>
        <v>-354803695310.04016</v>
      </c>
      <c r="S686">
        <f t="shared" si="997"/>
        <v>-3548036.9531004014</v>
      </c>
      <c r="T686">
        <f t="shared" si="998"/>
        <v>-3548.0369531004017</v>
      </c>
    </row>
    <row r="687" spans="1:20" x14ac:dyDescent="0.25">
      <c r="A687" s="5">
        <v>43906</v>
      </c>
      <c r="B687">
        <v>7.6100000000000007E-5</v>
      </c>
      <c r="C687">
        <v>8.4900000000000004E-5</v>
      </c>
      <c r="D687">
        <v>5.8699999999999997E-5</v>
      </c>
      <c r="E687">
        <v>6.4200000000000002E-5</v>
      </c>
      <c r="F687">
        <v>10620653420</v>
      </c>
      <c r="G687">
        <v>0</v>
      </c>
      <c r="L687" t="s">
        <v>8</v>
      </c>
      <c r="M687" t="s">
        <v>7</v>
      </c>
      <c r="N687" t="s">
        <v>7</v>
      </c>
      <c r="P687">
        <f t="shared" si="994"/>
        <v>-0.58015267175572494</v>
      </c>
      <c r="Q687">
        <f t="shared" si="995"/>
        <v>-6161600457.4045773</v>
      </c>
      <c r="R687">
        <f t="shared" si="996"/>
        <v>-358936687648.06036</v>
      </c>
      <c r="S687">
        <f t="shared" si="997"/>
        <v>-3589366.8764806036</v>
      </c>
      <c r="T687">
        <f t="shared" si="998"/>
        <v>-3589.3668764806034</v>
      </c>
    </row>
    <row r="688" spans="1:20" x14ac:dyDescent="0.25">
      <c r="A688" s="5">
        <v>43905</v>
      </c>
      <c r="B688">
        <v>6.7199999999999994E-5</v>
      </c>
      <c r="C688">
        <v>9.09E-5</v>
      </c>
      <c r="D688">
        <v>6.3399999999999996E-5</v>
      </c>
      <c r="E688">
        <v>7.6199999999999995E-5</v>
      </c>
      <c r="F688">
        <v>13426740652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-6.9090909090909286E-2</v>
      </c>
      <c r="Q688">
        <f t="shared" si="995"/>
        <v>-927665717.77454805</v>
      </c>
      <c r="R688">
        <f t="shared" si="996"/>
        <v>-352775087190.65576</v>
      </c>
      <c r="S688">
        <f t="shared" si="997"/>
        <v>-3527750.8719065576</v>
      </c>
      <c r="T688">
        <f t="shared" si="998"/>
        <v>-3527.7508719065577</v>
      </c>
    </row>
    <row r="689" spans="1:20" x14ac:dyDescent="0.25">
      <c r="A689" s="5">
        <v>43904</v>
      </c>
      <c r="B689">
        <v>6.6799999999999997E-5</v>
      </c>
      <c r="C689">
        <v>7.3700000000000002E-5</v>
      </c>
      <c r="D689">
        <v>6.2100000000000005E-5</v>
      </c>
      <c r="E689">
        <v>6.7299999999999996E-5</v>
      </c>
      <c r="F689">
        <v>14818390280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-0.10344827586207034</v>
      </c>
      <c r="Q689">
        <f t="shared" si="995"/>
        <v>-1532936925.5172617</v>
      </c>
      <c r="R689">
        <f t="shared" si="996"/>
        <v>-351847421472.88123</v>
      </c>
      <c r="S689">
        <f t="shared" si="997"/>
        <v>-3518474.2147288122</v>
      </c>
      <c r="T689">
        <f t="shared" si="998"/>
        <v>-3518.4742147288121</v>
      </c>
    </row>
    <row r="690" spans="1:20" x14ac:dyDescent="0.25">
      <c r="A690" s="5">
        <v>43903</v>
      </c>
      <c r="B690">
        <v>4.9599999999999999E-5</v>
      </c>
      <c r="C690">
        <v>6.9999999999999994E-5</v>
      </c>
      <c r="D690">
        <v>3.68E-5</v>
      </c>
      <c r="E690">
        <v>6.6799999999999997E-5</v>
      </c>
      <c r="F690">
        <v>18403831101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0.80722891566265076</v>
      </c>
      <c r="Q690">
        <f t="shared" si="995"/>
        <v>14856104623.698797</v>
      </c>
      <c r="R690">
        <f t="shared" si="996"/>
        <v>-350314484547.36395</v>
      </c>
      <c r="S690">
        <f t="shared" si="997"/>
        <v>-3503144.8454736397</v>
      </c>
      <c r="T690">
        <f t="shared" si="998"/>
        <v>-3503.1448454736396</v>
      </c>
    </row>
    <row r="691" spans="1:20" x14ac:dyDescent="0.25">
      <c r="A691" s="5">
        <v>43902</v>
      </c>
      <c r="B691">
        <v>8.7899999999999995E-5</v>
      </c>
      <c r="C691">
        <v>8.8499999999999996E-5</v>
      </c>
      <c r="D691">
        <v>4.5200000000000001E-5</v>
      </c>
      <c r="E691">
        <v>4.9299999999999999E-5</v>
      </c>
      <c r="F691">
        <v>15620770167</v>
      </c>
      <c r="G691">
        <v>0</v>
      </c>
      <c r="L691" t="s">
        <v>8</v>
      </c>
      <c r="M691" t="s">
        <v>7</v>
      </c>
      <c r="N691" t="s">
        <v>7</v>
      </c>
      <c r="P691">
        <f t="shared" si="994"/>
        <v>-0.81062355658198626</v>
      </c>
      <c r="Q691">
        <f t="shared" si="995"/>
        <v>-12662564269.323328</v>
      </c>
      <c r="R691">
        <f t="shared" si="996"/>
        <v>-365170589171.06274</v>
      </c>
      <c r="S691">
        <f t="shared" si="997"/>
        <v>-3651705.8917106274</v>
      </c>
      <c r="T691">
        <f t="shared" si="998"/>
        <v>-3651.7058917106274</v>
      </c>
    </row>
    <row r="692" spans="1:20" x14ac:dyDescent="0.25">
      <c r="A692" s="5">
        <v>43901</v>
      </c>
      <c r="B692">
        <v>8.9300000000000002E-5</v>
      </c>
      <c r="C692">
        <v>9.09E-5</v>
      </c>
      <c r="D692">
        <v>8.0400000000000003E-5</v>
      </c>
      <c r="E692">
        <v>8.7899999999999995E-5</v>
      </c>
      <c r="F692">
        <v>10675461613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0.42857142857142744</v>
      </c>
      <c r="Q692">
        <f t="shared" si="995"/>
        <v>4575197834.1428452</v>
      </c>
      <c r="R692">
        <f t="shared" si="996"/>
        <v>-352508024901.73944</v>
      </c>
      <c r="S692">
        <f t="shared" si="997"/>
        <v>-3525080.2490173946</v>
      </c>
      <c r="T692">
        <f t="shared" si="998"/>
        <v>-3525.0802490173946</v>
      </c>
    </row>
    <row r="693" spans="1:20" x14ac:dyDescent="0.25">
      <c r="A693" s="5">
        <v>43900</v>
      </c>
      <c r="B693">
        <v>8.6899999999999998E-5</v>
      </c>
      <c r="C693">
        <v>9.1299999999999997E-5</v>
      </c>
      <c r="D693">
        <v>8.42E-5</v>
      </c>
      <c r="E693">
        <v>8.9300000000000002E-5</v>
      </c>
      <c r="F693">
        <v>11106430076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0.43661971830986046</v>
      </c>
      <c r="Q693">
        <f t="shared" si="995"/>
        <v>4849286371.2112818</v>
      </c>
      <c r="R693">
        <f t="shared" si="996"/>
        <v>-357083222735.88226</v>
      </c>
      <c r="S693">
        <f t="shared" si="997"/>
        <v>-3570832.2273588227</v>
      </c>
      <c r="T693">
        <f t="shared" si="998"/>
        <v>-3570.8322273588228</v>
      </c>
    </row>
    <row r="694" spans="1:20" x14ac:dyDescent="0.25">
      <c r="A694" s="5">
        <v>43899</v>
      </c>
      <c r="B694">
        <v>8.53E-5</v>
      </c>
      <c r="C694">
        <v>9.6399999999999999E-5</v>
      </c>
      <c r="D694">
        <v>8.2200000000000006E-5</v>
      </c>
      <c r="E694">
        <v>8.6899999999999998E-5</v>
      </c>
      <c r="F694">
        <v>10795644388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-0.33802816901408528</v>
      </c>
      <c r="Q694">
        <f t="shared" si="995"/>
        <v>-3649231905.8028255</v>
      </c>
      <c r="R694">
        <f t="shared" si="996"/>
        <v>-361932509107.09357</v>
      </c>
      <c r="S694">
        <f t="shared" si="997"/>
        <v>-3619325.0910709356</v>
      </c>
      <c r="T694">
        <f t="shared" si="998"/>
        <v>-3619.3250910709357</v>
      </c>
    </row>
    <row r="695" spans="1:20" x14ac:dyDescent="0.25">
      <c r="A695" s="5">
        <v>43898</v>
      </c>
      <c r="B695">
        <v>9.6700000000000006E-5</v>
      </c>
      <c r="C695">
        <v>9.6799999999999995E-5</v>
      </c>
      <c r="D695">
        <v>8.5099999999999995E-5</v>
      </c>
      <c r="E695">
        <v>8.5199999999999997E-5</v>
      </c>
      <c r="F695">
        <v>11075242965</v>
      </c>
      <c r="G695">
        <v>0</v>
      </c>
      <c r="L695" t="s">
        <v>8</v>
      </c>
      <c r="M695" t="s">
        <v>7</v>
      </c>
      <c r="N695" t="s">
        <v>7</v>
      </c>
      <c r="P695">
        <f t="shared" si="994"/>
        <v>-0.98290598290598252</v>
      </c>
      <c r="Q695">
        <f t="shared" si="995"/>
        <v>-10885922572.435894</v>
      </c>
      <c r="R695">
        <f t="shared" si="996"/>
        <v>-358283277201.29077</v>
      </c>
      <c r="S695">
        <f t="shared" si="997"/>
        <v>-3582832.7720129075</v>
      </c>
      <c r="T695">
        <f t="shared" si="998"/>
        <v>-3582.8327720129078</v>
      </c>
    </row>
    <row r="696" spans="1:20" x14ac:dyDescent="0.25">
      <c r="A696" s="5">
        <v>43897</v>
      </c>
      <c r="B696">
        <v>1.004E-4</v>
      </c>
      <c r="C696">
        <v>1.016E-4</v>
      </c>
      <c r="D696">
        <v>9.5500000000000004E-5</v>
      </c>
      <c r="E696">
        <v>9.6600000000000003E-5</v>
      </c>
      <c r="F696">
        <v>7882804081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-0.63934426229508201</v>
      </c>
      <c r="Q696">
        <f t="shared" si="995"/>
        <v>-5039825559.9836073</v>
      </c>
      <c r="R696">
        <f t="shared" si="996"/>
        <v>-347397354628.85486</v>
      </c>
      <c r="S696">
        <f t="shared" si="997"/>
        <v>-3473973.5462885485</v>
      </c>
      <c r="T696">
        <f t="shared" si="998"/>
        <v>-3473.9735462885483</v>
      </c>
    </row>
    <row r="697" spans="1:20" x14ac:dyDescent="0.25">
      <c r="A697" s="5">
        <v>43896</v>
      </c>
      <c r="B697">
        <v>1.0230000000000001E-4</v>
      </c>
      <c r="C697">
        <v>1.0280000000000001E-4</v>
      </c>
      <c r="D697">
        <v>9.9500000000000006E-5</v>
      </c>
      <c r="E697">
        <v>1.004E-4</v>
      </c>
      <c r="F697">
        <v>8656843011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-0.45454545454545753</v>
      </c>
      <c r="Q697">
        <f t="shared" si="995"/>
        <v>-3934928641.3636622</v>
      </c>
      <c r="R697">
        <f t="shared" si="996"/>
        <v>-342357529068.87128</v>
      </c>
      <c r="S697">
        <f t="shared" si="997"/>
        <v>-3423575.2906887126</v>
      </c>
      <c r="T697">
        <f t="shared" si="998"/>
        <v>-3423.5752906887128</v>
      </c>
    </row>
    <row r="698" spans="1:20" x14ac:dyDescent="0.25">
      <c r="A698" s="5">
        <v>43895</v>
      </c>
      <c r="B698">
        <v>1.0230000000000001E-4</v>
      </c>
      <c r="C698">
        <v>1.0560000000000001E-4</v>
      </c>
      <c r="D698">
        <v>1.015E-4</v>
      </c>
      <c r="E698">
        <v>1.0230000000000001E-4</v>
      </c>
      <c r="F698">
        <v>10096387887</v>
      </c>
      <c r="G698">
        <v>0</v>
      </c>
      <c r="L698" t="s">
        <v>7</v>
      </c>
      <c r="M698" t="s">
        <v>8</v>
      </c>
      <c r="N698" t="s">
        <v>7</v>
      </c>
      <c r="P698">
        <f t="shared" si="994"/>
        <v>-0.60975609756097315</v>
      </c>
      <c r="Q698">
        <f t="shared" si="995"/>
        <v>-6156334077.4389992</v>
      </c>
      <c r="R698">
        <f t="shared" si="996"/>
        <v>-338422600427.50763</v>
      </c>
      <c r="S698">
        <f t="shared" si="997"/>
        <v>-3384226.0042750761</v>
      </c>
      <c r="T698">
        <f t="shared" si="998"/>
        <v>-3384.2260042750759</v>
      </c>
    </row>
    <row r="699" spans="1:20" x14ac:dyDescent="0.25">
      <c r="A699" s="5">
        <v>43894</v>
      </c>
      <c r="B699">
        <v>9.6299999999999996E-5</v>
      </c>
      <c r="C699">
        <v>1.06E-4</v>
      </c>
      <c r="D699">
        <v>9.6100000000000005E-5</v>
      </c>
      <c r="E699">
        <v>1.0230000000000001E-4</v>
      </c>
      <c r="F699">
        <v>7752054723</v>
      </c>
      <c r="G699">
        <v>0</v>
      </c>
      <c r="L699" t="s">
        <v>8</v>
      </c>
      <c r="M699" t="s">
        <v>8</v>
      </c>
      <c r="N699" t="s">
        <v>7</v>
      </c>
      <c r="P699">
        <f t="shared" si="994"/>
        <v>0.25252525252525326</v>
      </c>
      <c r="Q699">
        <f t="shared" si="995"/>
        <v>1957589576.5151572</v>
      </c>
      <c r="R699">
        <f t="shared" si="996"/>
        <v>-332266266350.0686</v>
      </c>
      <c r="S699">
        <f t="shared" si="997"/>
        <v>-3322662.6635006862</v>
      </c>
      <c r="T699">
        <f t="shared" si="998"/>
        <v>-3322.662663500686</v>
      </c>
    </row>
    <row r="700" spans="1:20" x14ac:dyDescent="0.25">
      <c r="A700" s="5">
        <v>43893</v>
      </c>
      <c r="B700">
        <v>9.6000000000000002E-5</v>
      </c>
      <c r="C700">
        <v>9.7700000000000003E-5</v>
      </c>
      <c r="D700">
        <v>9.4599999999999996E-5</v>
      </c>
      <c r="E700">
        <v>9.6299999999999996E-5</v>
      </c>
      <c r="F700">
        <v>8833795696</v>
      </c>
      <c r="G700">
        <v>0</v>
      </c>
      <c r="L700" t="s">
        <v>7</v>
      </c>
      <c r="M700" t="s">
        <v>7</v>
      </c>
      <c r="N700" t="s">
        <v>7</v>
      </c>
      <c r="P700">
        <f t="shared" si="994"/>
        <v>9.6774193548384846E-2</v>
      </c>
      <c r="Q700">
        <f t="shared" si="995"/>
        <v>854883454.45159304</v>
      </c>
      <c r="R700">
        <f t="shared" si="996"/>
        <v>-334223855926.58374</v>
      </c>
      <c r="S700">
        <f t="shared" si="997"/>
        <v>-3342238.5592658375</v>
      </c>
      <c r="T700">
        <f t="shared" si="998"/>
        <v>-3342.2385592658375</v>
      </c>
    </row>
    <row r="701" spans="1:20" x14ac:dyDescent="0.25">
      <c r="A701" s="5">
        <v>43892</v>
      </c>
      <c r="B701">
        <v>9.3300000000000005E-5</v>
      </c>
      <c r="C701">
        <v>9.7299999999999993E-5</v>
      </c>
      <c r="D701">
        <v>9.1700000000000006E-5</v>
      </c>
      <c r="E701">
        <v>9.6000000000000002E-5</v>
      </c>
      <c r="F701">
        <v>7484651700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0.53571428571428792</v>
      </c>
      <c r="Q701">
        <f t="shared" si="995"/>
        <v>4009634839.2857308</v>
      </c>
      <c r="R701">
        <f t="shared" si="996"/>
        <v>-335078739381.03534</v>
      </c>
      <c r="S701">
        <f t="shared" si="997"/>
        <v>-3350787.3938103532</v>
      </c>
      <c r="T701">
        <f t="shared" si="998"/>
        <v>-3350.787393810353</v>
      </c>
    </row>
    <row r="702" spans="1:20" x14ac:dyDescent="0.25">
      <c r="A702" s="5">
        <v>43891</v>
      </c>
      <c r="B702">
        <v>9.3700000000000001E-5</v>
      </c>
      <c r="C702">
        <v>9.7100000000000002E-5</v>
      </c>
      <c r="D702">
        <v>9.1600000000000004E-5</v>
      </c>
      <c r="E702">
        <v>9.3200000000000002E-5</v>
      </c>
      <c r="F702">
        <v>6043824521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-0.41818181818181865</v>
      </c>
      <c r="Q702">
        <f t="shared" si="995"/>
        <v>-2527417526.9636393</v>
      </c>
      <c r="R702">
        <f t="shared" si="996"/>
        <v>-339088374220.32104</v>
      </c>
      <c r="S702">
        <f t="shared" si="997"/>
        <v>-3390883.7422032105</v>
      </c>
      <c r="T702">
        <f t="shared" si="998"/>
        <v>-3390.8837422032107</v>
      </c>
    </row>
    <row r="703" spans="1:20" x14ac:dyDescent="0.25">
      <c r="A703" s="5">
        <v>43890</v>
      </c>
      <c r="B703">
        <v>9.5600000000000006E-5</v>
      </c>
      <c r="C703">
        <v>9.7399999999999996E-5</v>
      </c>
      <c r="D703">
        <v>9.2899999999999995E-5</v>
      </c>
      <c r="E703">
        <v>9.3700000000000001E-5</v>
      </c>
      <c r="F703">
        <v>5437075213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-0.64444444444444193</v>
      </c>
      <c r="Q703">
        <f t="shared" si="995"/>
        <v>-3503892915.0444307</v>
      </c>
      <c r="R703">
        <f t="shared" si="996"/>
        <v>-336560956693.35742</v>
      </c>
      <c r="S703">
        <f t="shared" si="997"/>
        <v>-3365609.5669335742</v>
      </c>
      <c r="T703">
        <f t="shared" si="998"/>
        <v>-3365.6095669335741</v>
      </c>
    </row>
    <row r="704" spans="1:20" x14ac:dyDescent="0.25">
      <c r="A704" s="5">
        <v>43889</v>
      </c>
      <c r="B704">
        <v>9.5799999999999998E-5</v>
      </c>
      <c r="C704">
        <v>9.7899999999999994E-5</v>
      </c>
      <c r="D704">
        <v>9.2E-5</v>
      </c>
      <c r="E704">
        <v>9.5699999999999995E-5</v>
      </c>
      <c r="F704">
        <v>7145318689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0.25423728813559276</v>
      </c>
      <c r="Q704">
        <f t="shared" si="995"/>
        <v>1816606446.3559289</v>
      </c>
      <c r="R704">
        <f t="shared" si="996"/>
        <v>-333057063778.31299</v>
      </c>
      <c r="S704">
        <f t="shared" si="997"/>
        <v>-3330570.6377831297</v>
      </c>
      <c r="T704">
        <f t="shared" si="998"/>
        <v>-3330.5706377831298</v>
      </c>
    </row>
    <row r="705" spans="1:20" x14ac:dyDescent="0.25">
      <c r="A705" s="5">
        <v>43888</v>
      </c>
      <c r="B705">
        <v>8.9800000000000001E-5</v>
      </c>
      <c r="C705">
        <v>1E-4</v>
      </c>
      <c r="D705">
        <v>8.7700000000000004E-5</v>
      </c>
      <c r="E705">
        <v>9.5699999999999995E-5</v>
      </c>
      <c r="F705">
        <v>8175698461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0.30081300813007977</v>
      </c>
      <c r="Q705">
        <f t="shared" si="995"/>
        <v>2459356447.6178737</v>
      </c>
      <c r="R705">
        <f t="shared" si="996"/>
        <v>-334873670224.66895</v>
      </c>
      <c r="S705">
        <f t="shared" si="997"/>
        <v>-3348736.7022466892</v>
      </c>
      <c r="T705">
        <f t="shared" si="998"/>
        <v>-3348.7367022466892</v>
      </c>
    </row>
    <row r="706" spans="1:20" x14ac:dyDescent="0.25">
      <c r="A706" s="5">
        <v>43887</v>
      </c>
      <c r="B706">
        <v>1E-4</v>
      </c>
      <c r="C706">
        <v>1.005E-4</v>
      </c>
      <c r="D706">
        <v>8.5599999999999994E-5</v>
      </c>
      <c r="E706">
        <v>9.0099999999999995E-5</v>
      </c>
      <c r="F706">
        <v>10322514437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-0.39597315436241637</v>
      </c>
      <c r="Q706">
        <f t="shared" si="995"/>
        <v>-4087438602.5704727</v>
      </c>
      <c r="R706">
        <f t="shared" si="996"/>
        <v>-337333026672.2868</v>
      </c>
      <c r="S706">
        <f t="shared" si="997"/>
        <v>-3373330.2667228682</v>
      </c>
      <c r="T706">
        <f t="shared" si="998"/>
        <v>-3373.3302667228681</v>
      </c>
    </row>
    <row r="707" spans="1:20" x14ac:dyDescent="0.25">
      <c r="A707" s="5">
        <v>43886</v>
      </c>
      <c r="B707">
        <v>1.069E-4</v>
      </c>
      <c r="C707">
        <v>1.071E-4</v>
      </c>
      <c r="D707">
        <v>9.7899999999999994E-5</v>
      </c>
      <c r="E707">
        <v>1E-4</v>
      </c>
      <c r="F707">
        <v>6237152853</v>
      </c>
      <c r="G707">
        <v>0</v>
      </c>
      <c r="L707" t="s">
        <v>8</v>
      </c>
      <c r="M707" t="s">
        <v>7</v>
      </c>
      <c r="N707" t="s">
        <v>7</v>
      </c>
      <c r="P707">
        <f t="shared" si="994"/>
        <v>-0.5434782608695633</v>
      </c>
      <c r="Q707">
        <f t="shared" si="995"/>
        <v>-3389756985.3260751</v>
      </c>
      <c r="R707">
        <f t="shared" si="996"/>
        <v>-333245588069.71631</v>
      </c>
      <c r="S707">
        <f t="shared" si="997"/>
        <v>-3332455.8806971633</v>
      </c>
      <c r="T707">
        <f t="shared" si="998"/>
        <v>-3332.4558806971631</v>
      </c>
    </row>
    <row r="708" spans="1:20" x14ac:dyDescent="0.25">
      <c r="A708" s="5">
        <v>43885</v>
      </c>
      <c r="B708">
        <v>1.126E-4</v>
      </c>
      <c r="C708">
        <v>1.133E-4</v>
      </c>
      <c r="D708">
        <v>1.037E-4</v>
      </c>
      <c r="E708">
        <v>1.069E-4</v>
      </c>
      <c r="F708">
        <v>5254495701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-0.33333333333333426</v>
      </c>
      <c r="Q708">
        <f t="shared" si="995"/>
        <v>-1751498567.0000048</v>
      </c>
      <c r="R708">
        <f t="shared" si="996"/>
        <v>-329855831084.39026</v>
      </c>
      <c r="S708">
        <f t="shared" si="997"/>
        <v>-3298558.3108439026</v>
      </c>
      <c r="T708">
        <f t="shared" si="998"/>
        <v>-3298.5583108439027</v>
      </c>
    </row>
    <row r="709" spans="1:20" x14ac:dyDescent="0.25">
      <c r="A709" s="5">
        <v>43884</v>
      </c>
      <c r="B709">
        <v>1.047E-4</v>
      </c>
      <c r="C709">
        <v>1.142E-4</v>
      </c>
      <c r="D709">
        <v>1.047E-4</v>
      </c>
      <c r="E709">
        <v>1.125E-4</v>
      </c>
      <c r="F709">
        <v>5469501234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0.64210526315789462</v>
      </c>
      <c r="Q709">
        <f t="shared" si="995"/>
        <v>3511995529.1999993</v>
      </c>
      <c r="R709">
        <f t="shared" si="996"/>
        <v>-328104332517.39026</v>
      </c>
      <c r="S709">
        <f t="shared" si="997"/>
        <v>-3281043.3251739028</v>
      </c>
      <c r="T709">
        <f t="shared" si="998"/>
        <v>-3281.0433251739028</v>
      </c>
    </row>
    <row r="710" spans="1:20" x14ac:dyDescent="0.25">
      <c r="A710" s="5">
        <v>43883</v>
      </c>
      <c r="B710">
        <v>1.0399999999999999E-4</v>
      </c>
      <c r="C710">
        <v>1.063E-4</v>
      </c>
      <c r="D710">
        <v>1.025E-4</v>
      </c>
      <c r="E710">
        <v>1.047E-4</v>
      </c>
      <c r="F710">
        <v>5205095045</v>
      </c>
      <c r="G710">
        <v>0</v>
      </c>
      <c r="L710" t="s">
        <v>7</v>
      </c>
      <c r="M710" t="s">
        <v>7</v>
      </c>
      <c r="N710" t="s">
        <v>8</v>
      </c>
      <c r="P710">
        <f t="shared" ref="P710:P766" si="999">IF(C710=D710,0,((E710-D710)-(C710-E710))/(C710-D710))</f>
        <v>0.15789473684210564</v>
      </c>
      <c r="Q710">
        <f t="shared" ref="Q710:Q766" si="1000">F710*P710</f>
        <v>821857112.36842299</v>
      </c>
      <c r="R710">
        <f t="shared" ref="R710:R766" si="1001">R711+Q710</f>
        <v>-331616328046.59027</v>
      </c>
      <c r="S710">
        <f t="shared" ref="S710:S766" si="1002">R710/100000</f>
        <v>-3316163.2804659028</v>
      </c>
      <c r="T710">
        <f t="shared" ref="T710:T766" si="1003">S710/1000</f>
        <v>-3316.163280465903</v>
      </c>
    </row>
    <row r="711" spans="1:20" x14ac:dyDescent="0.25">
      <c r="A711" s="5">
        <v>43882</v>
      </c>
      <c r="B711">
        <v>1.0340000000000001E-4</v>
      </c>
      <c r="C711">
        <v>1.061E-4</v>
      </c>
      <c r="D711">
        <v>1.022E-4</v>
      </c>
      <c r="E711">
        <v>1.0399999999999999E-4</v>
      </c>
      <c r="F711">
        <v>4509079654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-7.692307692308227E-2</v>
      </c>
      <c r="Q711">
        <f t="shared" si="1000"/>
        <v>-346852281.07694721</v>
      </c>
      <c r="R711">
        <f t="shared" si="1001"/>
        <v>-332438185158.95868</v>
      </c>
      <c r="S711">
        <f t="shared" si="1002"/>
        <v>-3324381.8515895866</v>
      </c>
      <c r="T711">
        <f t="shared" si="1003"/>
        <v>-3324.3818515895864</v>
      </c>
    </row>
    <row r="712" spans="1:20" x14ac:dyDescent="0.25">
      <c r="A712" s="5">
        <v>43881</v>
      </c>
      <c r="B712">
        <v>1.0849999999999999E-4</v>
      </c>
      <c r="C712">
        <v>1.105E-4</v>
      </c>
      <c r="D712">
        <v>9.9699999999999998E-5</v>
      </c>
      <c r="E712">
        <v>1.0340000000000001E-4</v>
      </c>
      <c r="F712">
        <v>5144580217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-0.31481481481481355</v>
      </c>
      <c r="Q712">
        <f t="shared" si="1000"/>
        <v>-1619590068.3148084</v>
      </c>
      <c r="R712">
        <f t="shared" si="1001"/>
        <v>-332091332877.88171</v>
      </c>
      <c r="S712">
        <f t="shared" si="1002"/>
        <v>-3320913.3287788173</v>
      </c>
      <c r="T712">
        <f t="shared" si="1003"/>
        <v>-3320.9133287788172</v>
      </c>
    </row>
    <row r="713" spans="1:20" x14ac:dyDescent="0.25">
      <c r="A713" s="5">
        <v>43880</v>
      </c>
      <c r="B713">
        <v>1.192E-4</v>
      </c>
      <c r="C713">
        <v>1.205E-4</v>
      </c>
      <c r="D713">
        <v>1.083E-4</v>
      </c>
      <c r="E713">
        <v>1.086E-4</v>
      </c>
      <c r="F713">
        <v>4179849435</v>
      </c>
      <c r="G713">
        <v>0</v>
      </c>
      <c r="L713" t="s">
        <v>8</v>
      </c>
      <c r="M713" t="s">
        <v>7</v>
      </c>
      <c r="N713" t="s">
        <v>8</v>
      </c>
      <c r="P713">
        <f t="shared" si="999"/>
        <v>-0.9508196721311486</v>
      </c>
      <c r="Q713">
        <f t="shared" si="1000"/>
        <v>-3974283069.3442669</v>
      </c>
      <c r="R713">
        <f t="shared" si="1001"/>
        <v>-330471742809.56689</v>
      </c>
      <c r="S713">
        <f t="shared" si="1002"/>
        <v>-3304717.428095669</v>
      </c>
      <c r="T713">
        <f t="shared" si="1003"/>
        <v>-3304.7174280956692</v>
      </c>
    </row>
    <row r="714" spans="1:20" x14ac:dyDescent="0.25">
      <c r="A714" s="5">
        <v>43879</v>
      </c>
      <c r="B714">
        <v>1.145E-4</v>
      </c>
      <c r="C714">
        <v>1.2070000000000001E-4</v>
      </c>
      <c r="D714">
        <v>1.11E-4</v>
      </c>
      <c r="E714">
        <v>1.192E-4</v>
      </c>
      <c r="F714">
        <v>6210099818</v>
      </c>
      <c r="G714">
        <v>0</v>
      </c>
      <c r="L714" t="s">
        <v>7</v>
      </c>
      <c r="M714" t="s">
        <v>7</v>
      </c>
      <c r="N714" t="s">
        <v>8</v>
      </c>
      <c r="P714">
        <f t="shared" si="999"/>
        <v>0.69072164948453429</v>
      </c>
      <c r="Q714">
        <f t="shared" si="1000"/>
        <v>4289450389.7525663</v>
      </c>
      <c r="R714">
        <f t="shared" si="1001"/>
        <v>-326497459740.22266</v>
      </c>
      <c r="S714">
        <f t="shared" si="1002"/>
        <v>-3264974.5974022266</v>
      </c>
      <c r="T714">
        <f t="shared" si="1003"/>
        <v>-3264.9745974022267</v>
      </c>
    </row>
    <row r="715" spans="1:20" x14ac:dyDescent="0.25">
      <c r="A715" s="5">
        <v>43878</v>
      </c>
      <c r="B715">
        <v>1.17E-4</v>
      </c>
      <c r="C715">
        <v>1.1900000000000001E-4</v>
      </c>
      <c r="D715">
        <v>1.088E-4</v>
      </c>
      <c r="E715">
        <v>1.144E-4</v>
      </c>
      <c r="F715">
        <v>6738005414</v>
      </c>
      <c r="G715">
        <v>0</v>
      </c>
      <c r="L715" t="s">
        <v>8</v>
      </c>
      <c r="M715" t="s">
        <v>7</v>
      </c>
      <c r="N715" t="s">
        <v>8</v>
      </c>
      <c r="P715">
        <f t="shared" si="999"/>
        <v>9.8039215686274203E-2</v>
      </c>
      <c r="Q715">
        <f t="shared" si="1000"/>
        <v>660588766.07842934</v>
      </c>
      <c r="R715">
        <f t="shared" si="1001"/>
        <v>-330786910129.97522</v>
      </c>
      <c r="S715">
        <f t="shared" si="1002"/>
        <v>-3307869.101299752</v>
      </c>
      <c r="T715">
        <f t="shared" si="1003"/>
        <v>-3307.8691012997519</v>
      </c>
    </row>
    <row r="716" spans="1:20" x14ac:dyDescent="0.25">
      <c r="A716" s="5">
        <v>43877</v>
      </c>
      <c r="B716">
        <v>1.2430000000000001E-4</v>
      </c>
      <c r="C716">
        <v>1.305E-4</v>
      </c>
      <c r="D716">
        <v>1.098E-4</v>
      </c>
      <c r="E716">
        <v>1.166E-4</v>
      </c>
      <c r="F716">
        <v>10300076341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-0.34299516908212541</v>
      </c>
      <c r="Q716">
        <f t="shared" si="1000"/>
        <v>-3532876426.1400948</v>
      </c>
      <c r="R716">
        <f t="shared" si="1001"/>
        <v>-331447498896.05365</v>
      </c>
      <c r="S716">
        <f t="shared" si="1002"/>
        <v>-3314474.9889605367</v>
      </c>
      <c r="T716">
        <f t="shared" si="1003"/>
        <v>-3314.4749889605368</v>
      </c>
    </row>
    <row r="717" spans="1:20" x14ac:dyDescent="0.25">
      <c r="A717" s="5">
        <v>43876</v>
      </c>
      <c r="B717">
        <v>1.415E-4</v>
      </c>
      <c r="C717">
        <v>1.4310000000000001E-4</v>
      </c>
      <c r="D717">
        <v>1.2129999999999999E-4</v>
      </c>
      <c r="E717">
        <v>1.247E-4</v>
      </c>
      <c r="F717">
        <v>6852659145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-0.68807339449541294</v>
      </c>
      <c r="Q717">
        <f t="shared" si="1000"/>
        <v>-4715132439.2201843</v>
      </c>
      <c r="R717">
        <f t="shared" si="1001"/>
        <v>-327914622469.91357</v>
      </c>
      <c r="S717">
        <f t="shared" si="1002"/>
        <v>-3279146.2246991359</v>
      </c>
      <c r="T717">
        <f t="shared" si="1003"/>
        <v>-3279.1462246991359</v>
      </c>
    </row>
    <row r="718" spans="1:20" x14ac:dyDescent="0.25">
      <c r="A718" s="5">
        <v>43875</v>
      </c>
      <c r="B718">
        <v>1.3310000000000001E-4</v>
      </c>
      <c r="C718">
        <v>1.4239999999999999E-4</v>
      </c>
      <c r="D718">
        <v>1.317E-4</v>
      </c>
      <c r="E718">
        <v>1.418E-4</v>
      </c>
      <c r="F718">
        <v>8233650879</v>
      </c>
      <c r="G718">
        <v>0</v>
      </c>
      <c r="L718" t="s">
        <v>7</v>
      </c>
      <c r="M718" t="s">
        <v>8</v>
      </c>
      <c r="N718" t="s">
        <v>8</v>
      </c>
      <c r="P718">
        <f t="shared" si="999"/>
        <v>0.88785046728972183</v>
      </c>
      <c r="Q718">
        <f t="shared" si="1000"/>
        <v>7310250780.420579</v>
      </c>
      <c r="R718">
        <f t="shared" si="1001"/>
        <v>-323199490030.69342</v>
      </c>
      <c r="S718">
        <f t="shared" si="1002"/>
        <v>-3231994.900306934</v>
      </c>
      <c r="T718">
        <f t="shared" si="1003"/>
        <v>-3231.9949003069341</v>
      </c>
    </row>
    <row r="719" spans="1:20" x14ac:dyDescent="0.25">
      <c r="A719" s="5">
        <v>43874</v>
      </c>
      <c r="B719">
        <v>1.3650000000000001E-4</v>
      </c>
      <c r="C719">
        <v>1.3999999999999999E-4</v>
      </c>
      <c r="D719">
        <v>1.2799999999999999E-4</v>
      </c>
      <c r="E719">
        <v>1.3310000000000001E-4</v>
      </c>
      <c r="F719">
        <v>7913563094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-0.14999999999999694</v>
      </c>
      <c r="Q719">
        <f t="shared" si="1000"/>
        <v>-1187034464.0999758</v>
      </c>
      <c r="R719">
        <f t="shared" si="1001"/>
        <v>-330509740811.11401</v>
      </c>
      <c r="S719">
        <f t="shared" si="1002"/>
        <v>-3305097.4081111401</v>
      </c>
      <c r="T719">
        <f t="shared" si="1003"/>
        <v>-3305.0974081111403</v>
      </c>
    </row>
    <row r="720" spans="1:20" x14ac:dyDescent="0.25">
      <c r="A720" s="5">
        <v>43873</v>
      </c>
      <c r="B720">
        <v>1.2909999999999999E-4</v>
      </c>
      <c r="C720">
        <v>1.3880000000000001E-4</v>
      </c>
      <c r="D720">
        <v>1.2909999999999999E-4</v>
      </c>
      <c r="E720">
        <v>1.361E-4</v>
      </c>
      <c r="F720">
        <v>8300896557</v>
      </c>
      <c r="G720">
        <v>0</v>
      </c>
      <c r="L720" t="s">
        <v>7</v>
      </c>
      <c r="M720" t="s">
        <v>8</v>
      </c>
      <c r="N720" t="s">
        <v>8</v>
      </c>
      <c r="P720">
        <f t="shared" si="999"/>
        <v>0.44329896907216371</v>
      </c>
      <c r="Q720">
        <f t="shared" si="1000"/>
        <v>3679778886.092773</v>
      </c>
      <c r="R720">
        <f t="shared" si="1001"/>
        <v>-329322706347.01404</v>
      </c>
      <c r="S720">
        <f t="shared" si="1002"/>
        <v>-3293227.0634701406</v>
      </c>
      <c r="T720">
        <f t="shared" si="1003"/>
        <v>-3293.2270634701404</v>
      </c>
    </row>
    <row r="721" spans="1:20" x14ac:dyDescent="0.25">
      <c r="A721" s="5">
        <v>43872</v>
      </c>
      <c r="B721">
        <v>1.2070000000000001E-4</v>
      </c>
      <c r="C721">
        <v>1.293E-4</v>
      </c>
      <c r="D721">
        <v>1.186E-4</v>
      </c>
      <c r="E721">
        <v>1.2909999999999999E-4</v>
      </c>
      <c r="F721">
        <v>13111769650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0.96261682242990565</v>
      </c>
      <c r="Q721">
        <f t="shared" si="1000"/>
        <v>12621610036.915876</v>
      </c>
      <c r="R721">
        <f t="shared" si="1001"/>
        <v>-333002485233.10681</v>
      </c>
      <c r="S721">
        <f t="shared" si="1002"/>
        <v>-3330024.8523310679</v>
      </c>
      <c r="T721">
        <f t="shared" si="1003"/>
        <v>-3330.0248523310679</v>
      </c>
    </row>
    <row r="722" spans="1:20" x14ac:dyDescent="0.25">
      <c r="A722" s="5">
        <v>43871</v>
      </c>
      <c r="B722">
        <v>1.2439999999999999E-4</v>
      </c>
      <c r="C722">
        <v>1.2530000000000001E-4</v>
      </c>
      <c r="D722">
        <v>1.1569999999999999E-4</v>
      </c>
      <c r="E722">
        <v>1.206E-4</v>
      </c>
      <c r="F722">
        <v>13183383678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2.0833333333333804E-2</v>
      </c>
      <c r="Q722">
        <f t="shared" si="1000"/>
        <v>274653826.6250062</v>
      </c>
      <c r="R722">
        <f t="shared" si="1001"/>
        <v>-345624095270.02271</v>
      </c>
      <c r="S722">
        <f t="shared" si="1002"/>
        <v>-3456240.952700227</v>
      </c>
      <c r="T722">
        <f t="shared" si="1003"/>
        <v>-3456.2409527002269</v>
      </c>
    </row>
    <row r="723" spans="1:20" x14ac:dyDescent="0.25">
      <c r="A723" s="5">
        <v>43870</v>
      </c>
      <c r="B723">
        <v>1.198E-4</v>
      </c>
      <c r="C723">
        <v>1.273E-4</v>
      </c>
      <c r="D723">
        <v>1.186E-4</v>
      </c>
      <c r="E723">
        <v>1.2430000000000001E-4</v>
      </c>
      <c r="F723">
        <v>9204184002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0.31034482758620946</v>
      </c>
      <c r="Q723">
        <f t="shared" si="1000"/>
        <v>2856470897.1724372</v>
      </c>
      <c r="R723">
        <f t="shared" si="1001"/>
        <v>-345898749096.64771</v>
      </c>
      <c r="S723">
        <f t="shared" si="1002"/>
        <v>-3458987.490966477</v>
      </c>
      <c r="T723">
        <f t="shared" si="1003"/>
        <v>-3458.9874909664768</v>
      </c>
    </row>
    <row r="724" spans="1:20" x14ac:dyDescent="0.25">
      <c r="A724" s="5">
        <v>43869</v>
      </c>
      <c r="B724">
        <v>1.2510000000000001E-4</v>
      </c>
      <c r="C724">
        <v>1.2530000000000001E-4</v>
      </c>
      <c r="D724">
        <v>1.184E-4</v>
      </c>
      <c r="E724">
        <v>1.197E-4</v>
      </c>
      <c r="F724">
        <v>10201515876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-0.62318840579710433</v>
      </c>
      <c r="Q724">
        <f t="shared" si="1000"/>
        <v>-6357466415.4782906</v>
      </c>
      <c r="R724">
        <f t="shared" si="1001"/>
        <v>-348755219993.82013</v>
      </c>
      <c r="S724">
        <f t="shared" si="1002"/>
        <v>-3487552.1999382013</v>
      </c>
      <c r="T724">
        <f t="shared" si="1003"/>
        <v>-3487.5521999382013</v>
      </c>
    </row>
    <row r="725" spans="1:20" x14ac:dyDescent="0.25">
      <c r="A725" s="5">
        <v>43868</v>
      </c>
      <c r="B725">
        <v>1.2310000000000001E-4</v>
      </c>
      <c r="C725">
        <v>1.2990000000000001E-4</v>
      </c>
      <c r="D725">
        <v>1.214E-4</v>
      </c>
      <c r="E725">
        <v>1.2510000000000001E-4</v>
      </c>
      <c r="F725">
        <v>11252202515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-0.12941176470588206</v>
      </c>
      <c r="Q725">
        <f t="shared" si="1000"/>
        <v>-1456167384.2941144</v>
      </c>
      <c r="R725">
        <f t="shared" si="1001"/>
        <v>-342397753578.34186</v>
      </c>
      <c r="S725">
        <f t="shared" si="1002"/>
        <v>-3423977.5357834185</v>
      </c>
      <c r="T725">
        <f t="shared" si="1003"/>
        <v>-3423.9775357834183</v>
      </c>
    </row>
    <row r="726" spans="1:20" x14ac:dyDescent="0.25">
      <c r="A726" s="5">
        <v>43867</v>
      </c>
      <c r="B726">
        <v>1.1459999999999999E-4</v>
      </c>
      <c r="C726">
        <v>1.284E-4</v>
      </c>
      <c r="D726">
        <v>1.1340000000000001E-4</v>
      </c>
      <c r="E726">
        <v>1.2310000000000001E-4</v>
      </c>
      <c r="F726">
        <v>12311374584</v>
      </c>
      <c r="G726">
        <v>0</v>
      </c>
      <c r="L726" t="s">
        <v>7</v>
      </c>
      <c r="M726" t="s">
        <v>8</v>
      </c>
      <c r="N726" t="s">
        <v>8</v>
      </c>
      <c r="P726">
        <f t="shared" si="999"/>
        <v>0.29333333333333417</v>
      </c>
      <c r="Q726">
        <f t="shared" si="1000"/>
        <v>3611336544.6400104</v>
      </c>
      <c r="R726">
        <f t="shared" si="1001"/>
        <v>-340941586194.04773</v>
      </c>
      <c r="S726">
        <f t="shared" si="1002"/>
        <v>-3409415.8619404775</v>
      </c>
      <c r="T726">
        <f t="shared" si="1003"/>
        <v>-3409.4158619404775</v>
      </c>
    </row>
    <row r="727" spans="1:20" x14ac:dyDescent="0.25">
      <c r="A727" s="5">
        <v>43866</v>
      </c>
      <c r="B727">
        <v>1.092E-4</v>
      </c>
      <c r="C727">
        <v>1.1510000000000001E-4</v>
      </c>
      <c r="D727">
        <v>1.091E-4</v>
      </c>
      <c r="E727">
        <v>1.1459999999999999E-4</v>
      </c>
      <c r="F727">
        <v>15981998040</v>
      </c>
      <c r="G727">
        <v>0</v>
      </c>
      <c r="L727" t="s">
        <v>8</v>
      </c>
      <c r="M727" t="s">
        <v>8</v>
      </c>
      <c r="N727" t="s">
        <v>7</v>
      </c>
      <c r="P727">
        <f t="shared" si="999"/>
        <v>0.8333333333333296</v>
      </c>
      <c r="Q727">
        <f t="shared" si="1000"/>
        <v>13318331699.999941</v>
      </c>
      <c r="R727">
        <f t="shared" si="1001"/>
        <v>-344552922738.68774</v>
      </c>
      <c r="S727">
        <f t="shared" si="1002"/>
        <v>-3445529.2273868774</v>
      </c>
      <c r="T727">
        <f t="shared" si="1003"/>
        <v>-3445.5292273868772</v>
      </c>
    </row>
    <row r="728" spans="1:20" x14ac:dyDescent="0.25">
      <c r="A728" s="5">
        <v>43865</v>
      </c>
      <c r="B728">
        <v>1.1290000000000001E-4</v>
      </c>
      <c r="C728">
        <v>1.133E-4</v>
      </c>
      <c r="D728">
        <v>1.0670000000000001E-4</v>
      </c>
      <c r="E728">
        <v>1.094E-4</v>
      </c>
      <c r="F728">
        <v>22473529274</v>
      </c>
      <c r="G728">
        <v>0</v>
      </c>
      <c r="L728" t="s">
        <v>7</v>
      </c>
      <c r="M728" t="s">
        <v>8</v>
      </c>
      <c r="N728" t="s">
        <v>7</v>
      </c>
      <c r="P728">
        <f t="shared" si="999"/>
        <v>-0.18181818181818218</v>
      </c>
      <c r="Q728">
        <f t="shared" si="1000"/>
        <v>-4086096231.6363721</v>
      </c>
      <c r="R728">
        <f t="shared" si="1001"/>
        <v>-357871254438.68768</v>
      </c>
      <c r="S728">
        <f t="shared" si="1002"/>
        <v>-3578712.5443868767</v>
      </c>
      <c r="T728">
        <f t="shared" si="1003"/>
        <v>-3578.7125443868767</v>
      </c>
    </row>
    <row r="729" spans="1:20" x14ac:dyDescent="0.25">
      <c r="A729" s="5">
        <v>43864</v>
      </c>
      <c r="B729">
        <v>1.137E-4</v>
      </c>
      <c r="C729">
        <v>1.158E-4</v>
      </c>
      <c r="D729">
        <v>1.114E-4</v>
      </c>
      <c r="E729">
        <v>1.1290000000000001E-4</v>
      </c>
      <c r="F729">
        <v>22494710639</v>
      </c>
      <c r="G729">
        <v>0</v>
      </c>
      <c r="L729" t="s">
        <v>8</v>
      </c>
      <c r="M729" t="s">
        <v>8</v>
      </c>
      <c r="N729" t="s">
        <v>7</v>
      </c>
      <c r="P729">
        <f t="shared" si="999"/>
        <v>-0.31818181818181368</v>
      </c>
      <c r="Q729">
        <f t="shared" si="1000"/>
        <v>-7157407930.5908079</v>
      </c>
      <c r="R729">
        <f t="shared" si="1001"/>
        <v>-353785158207.05133</v>
      </c>
      <c r="S729">
        <f t="shared" si="1002"/>
        <v>-3537851.5820705132</v>
      </c>
      <c r="T729">
        <f t="shared" si="1003"/>
        <v>-3537.8515820705134</v>
      </c>
    </row>
    <row r="730" spans="1:20" x14ac:dyDescent="0.25">
      <c r="A730" s="5">
        <v>43863</v>
      </c>
      <c r="B730">
        <v>1.121E-4</v>
      </c>
      <c r="C730">
        <v>1.158E-4</v>
      </c>
      <c r="D730">
        <v>1.109E-4</v>
      </c>
      <c r="E730">
        <v>1.136E-4</v>
      </c>
      <c r="F730">
        <v>20413474624</v>
      </c>
      <c r="G730">
        <v>0</v>
      </c>
      <c r="L730" t="s">
        <v>7</v>
      </c>
      <c r="M730" t="s">
        <v>8</v>
      </c>
      <c r="N730" t="s">
        <v>7</v>
      </c>
      <c r="P730">
        <f t="shared" si="999"/>
        <v>0.10204081632653039</v>
      </c>
      <c r="Q730">
        <f t="shared" si="1000"/>
        <v>2083007614.6938732</v>
      </c>
      <c r="R730">
        <f t="shared" si="1001"/>
        <v>-346627750276.46051</v>
      </c>
      <c r="S730">
        <f t="shared" si="1002"/>
        <v>-3466277.502764605</v>
      </c>
      <c r="T730">
        <f t="shared" si="1003"/>
        <v>-3466.2775027646048</v>
      </c>
    </row>
    <row r="731" spans="1:20" x14ac:dyDescent="0.25">
      <c r="A731" s="5">
        <v>43862</v>
      </c>
      <c r="B731">
        <v>1.097E-4</v>
      </c>
      <c r="C731">
        <v>1.139E-4</v>
      </c>
      <c r="D731">
        <v>1.092E-4</v>
      </c>
      <c r="E731">
        <v>1.12E-4</v>
      </c>
      <c r="F731">
        <v>18466309837</v>
      </c>
      <c r="G731">
        <v>0</v>
      </c>
      <c r="L731" t="s">
        <v>8</v>
      </c>
      <c r="M731" t="s">
        <v>8</v>
      </c>
      <c r="N731" t="s">
        <v>7</v>
      </c>
      <c r="P731">
        <f t="shared" si="999"/>
        <v>0.1914893617021263</v>
      </c>
      <c r="Q731">
        <f t="shared" si="1000"/>
        <v>3536101883.6808257</v>
      </c>
      <c r="R731">
        <f t="shared" si="1001"/>
        <v>-348710757891.15436</v>
      </c>
      <c r="S731">
        <f t="shared" si="1002"/>
        <v>-3487107.5789115434</v>
      </c>
      <c r="T731">
        <f t="shared" si="1003"/>
        <v>-3487.1075789115434</v>
      </c>
    </row>
    <row r="732" spans="1:20" x14ac:dyDescent="0.25">
      <c r="A732" s="5">
        <v>43861</v>
      </c>
      <c r="B732">
        <v>1.1120000000000001E-4</v>
      </c>
      <c r="C732">
        <v>1.16E-4</v>
      </c>
      <c r="D732">
        <v>1.0840000000000001E-4</v>
      </c>
      <c r="E732">
        <v>1.097E-4</v>
      </c>
      <c r="F732">
        <v>19860936240</v>
      </c>
      <c r="G732">
        <v>0</v>
      </c>
      <c r="L732" t="s">
        <v>7</v>
      </c>
      <c r="M732" t="s">
        <v>8</v>
      </c>
      <c r="N732" t="s">
        <v>7</v>
      </c>
      <c r="P732">
        <f t="shared" si="999"/>
        <v>-0.65789473684210742</v>
      </c>
      <c r="Q732">
        <f t="shared" si="1000"/>
        <v>-13066405421.052675</v>
      </c>
      <c r="R732">
        <f t="shared" si="1001"/>
        <v>-352246859774.83521</v>
      </c>
      <c r="S732">
        <f t="shared" si="1002"/>
        <v>-3522468.5977483522</v>
      </c>
      <c r="T732">
        <f t="shared" si="1003"/>
        <v>-3522.4685977483523</v>
      </c>
    </row>
    <row r="733" spans="1:20" x14ac:dyDescent="0.25">
      <c r="A733" s="5">
        <v>43860</v>
      </c>
      <c r="B733">
        <v>1.08E-4</v>
      </c>
      <c r="C733">
        <v>1.133E-4</v>
      </c>
      <c r="D733">
        <v>1.049E-4</v>
      </c>
      <c r="E733">
        <v>1.1120000000000001E-4</v>
      </c>
      <c r="F733">
        <v>18082064428</v>
      </c>
      <c r="G733">
        <v>0</v>
      </c>
      <c r="L733" t="s">
        <v>8</v>
      </c>
      <c r="M733" t="s">
        <v>8</v>
      </c>
      <c r="N733" t="s">
        <v>7</v>
      </c>
      <c r="P733">
        <f t="shared" si="999"/>
        <v>0.50000000000000078</v>
      </c>
      <c r="Q733">
        <f t="shared" si="1000"/>
        <v>9041032214.0000134</v>
      </c>
      <c r="R733">
        <f t="shared" si="1001"/>
        <v>-339180454353.78253</v>
      </c>
      <c r="S733">
        <f t="shared" si="1002"/>
        <v>-3391804.5435378253</v>
      </c>
      <c r="T733">
        <f t="shared" si="1003"/>
        <v>-3391.8045435378253</v>
      </c>
    </row>
    <row r="734" spans="1:20" x14ac:dyDescent="0.25">
      <c r="A734" s="5">
        <v>43859</v>
      </c>
      <c r="B734">
        <v>1.021E-4</v>
      </c>
      <c r="C734">
        <v>1.13E-4</v>
      </c>
      <c r="D734">
        <v>1.0119999999999999E-4</v>
      </c>
      <c r="E734">
        <v>1.0789999999999999E-4</v>
      </c>
      <c r="F734">
        <v>24400488391</v>
      </c>
      <c r="G734">
        <v>0</v>
      </c>
      <c r="L734" t="s">
        <v>7</v>
      </c>
      <c r="M734" t="s">
        <v>8</v>
      </c>
      <c r="N734" t="s">
        <v>7</v>
      </c>
      <c r="P734">
        <f t="shared" si="999"/>
        <v>0.13559322033898288</v>
      </c>
      <c r="Q734">
        <f t="shared" si="1000"/>
        <v>3308540798.7796569</v>
      </c>
      <c r="R734">
        <f t="shared" si="1001"/>
        <v>-348221486567.78253</v>
      </c>
      <c r="S734">
        <f t="shared" si="1002"/>
        <v>-3482214.8656778252</v>
      </c>
      <c r="T734">
        <f t="shared" si="1003"/>
        <v>-3482.2148656778254</v>
      </c>
    </row>
    <row r="735" spans="1:20" x14ac:dyDescent="0.25">
      <c r="A735" s="5">
        <v>43858</v>
      </c>
      <c r="B735">
        <v>1.0399999999999999E-4</v>
      </c>
      <c r="C735">
        <v>1.048E-4</v>
      </c>
      <c r="D735">
        <v>1.011E-4</v>
      </c>
      <c r="E735">
        <v>1.022E-4</v>
      </c>
      <c r="F735">
        <v>25031842308</v>
      </c>
      <c r="G735">
        <v>0</v>
      </c>
      <c r="L735" t="s">
        <v>8</v>
      </c>
      <c r="M735" t="s">
        <v>7</v>
      </c>
      <c r="N735" t="s">
        <v>7</v>
      </c>
      <c r="P735">
        <f t="shared" si="999"/>
        <v>-0.40540540540540482</v>
      </c>
      <c r="Q735">
        <f t="shared" si="1000"/>
        <v>-10148044178.918903</v>
      </c>
      <c r="R735">
        <f t="shared" si="1001"/>
        <v>-351530027366.56219</v>
      </c>
      <c r="S735">
        <f t="shared" si="1002"/>
        <v>-3515300.2736656219</v>
      </c>
      <c r="T735">
        <f t="shared" si="1003"/>
        <v>-3515.3002736656217</v>
      </c>
    </row>
    <row r="736" spans="1:20" x14ac:dyDescent="0.25">
      <c r="A736" s="5">
        <v>43857</v>
      </c>
      <c r="B736">
        <v>1.037E-4</v>
      </c>
      <c r="C736">
        <v>1.0399999999999999E-4</v>
      </c>
      <c r="D736">
        <v>1E-4</v>
      </c>
      <c r="E736">
        <v>1.038E-4</v>
      </c>
      <c r="F736">
        <v>23549920332</v>
      </c>
      <c r="G736">
        <v>0</v>
      </c>
      <c r="L736" t="s">
        <v>7</v>
      </c>
      <c r="M736" t="s">
        <v>7</v>
      </c>
      <c r="N736" t="s">
        <v>7</v>
      </c>
      <c r="P736">
        <f t="shared" si="999"/>
        <v>0.90000000000000402</v>
      </c>
      <c r="Q736">
        <f t="shared" si="1000"/>
        <v>21194928298.800095</v>
      </c>
      <c r="R736">
        <f t="shared" si="1001"/>
        <v>-341381983187.64331</v>
      </c>
      <c r="S736">
        <f t="shared" si="1002"/>
        <v>-3413819.831876433</v>
      </c>
      <c r="T736">
        <f t="shared" si="1003"/>
        <v>-3413.819831876433</v>
      </c>
    </row>
    <row r="737" spans="1:20" x14ac:dyDescent="0.25">
      <c r="A737" s="5">
        <v>43856</v>
      </c>
      <c r="B737">
        <v>1.043E-4</v>
      </c>
      <c r="C737">
        <v>1.06E-4</v>
      </c>
      <c r="D737">
        <v>1.0069999999999999E-4</v>
      </c>
      <c r="E737">
        <v>1.0349999999999999E-4</v>
      </c>
      <c r="F737">
        <v>22405099440</v>
      </c>
      <c r="G737">
        <v>0</v>
      </c>
      <c r="L737" t="s">
        <v>8</v>
      </c>
      <c r="M737" t="s">
        <v>7</v>
      </c>
      <c r="N737" t="s">
        <v>7</v>
      </c>
      <c r="P737">
        <f t="shared" si="999"/>
        <v>5.6603773584904406E-2</v>
      </c>
      <c r="Q737">
        <f t="shared" si="1000"/>
        <v>1268213175.8490286</v>
      </c>
      <c r="R737">
        <f t="shared" si="1001"/>
        <v>-362576911486.44342</v>
      </c>
      <c r="S737">
        <f t="shared" si="1002"/>
        <v>-3625769.1148644341</v>
      </c>
      <c r="T737">
        <f t="shared" si="1003"/>
        <v>-3625.769114864434</v>
      </c>
    </row>
    <row r="738" spans="1:20" x14ac:dyDescent="0.25">
      <c r="A738" s="5">
        <v>43855</v>
      </c>
      <c r="B738">
        <v>1.024E-4</v>
      </c>
      <c r="C738">
        <v>1.065E-4</v>
      </c>
      <c r="D738">
        <v>1.009E-4</v>
      </c>
      <c r="E738">
        <v>1.042E-4</v>
      </c>
      <c r="F738">
        <v>16826944858</v>
      </c>
      <c r="G738">
        <v>0</v>
      </c>
      <c r="L738" t="s">
        <v>7</v>
      </c>
      <c r="M738" t="s">
        <v>7</v>
      </c>
      <c r="N738" t="s">
        <v>7</v>
      </c>
      <c r="P738">
        <f t="shared" si="999"/>
        <v>0.17857142857142805</v>
      </c>
      <c r="Q738">
        <f t="shared" si="1000"/>
        <v>3004811581.7857056</v>
      </c>
      <c r="R738">
        <f t="shared" si="1001"/>
        <v>-363845124662.29242</v>
      </c>
      <c r="S738">
        <f t="shared" si="1002"/>
        <v>-3638451.2466229242</v>
      </c>
      <c r="T738">
        <f t="shared" si="1003"/>
        <v>-3638.4512466229244</v>
      </c>
    </row>
    <row r="739" spans="1:20" x14ac:dyDescent="0.25">
      <c r="A739" s="5">
        <v>43854</v>
      </c>
      <c r="B739">
        <v>1.02E-4</v>
      </c>
      <c r="C739">
        <v>1.0349999999999999E-4</v>
      </c>
      <c r="D739">
        <v>9.87E-5</v>
      </c>
      <c r="E739">
        <v>1.0230000000000001E-4</v>
      </c>
      <c r="F739">
        <v>23887048609</v>
      </c>
      <c r="G739">
        <v>0</v>
      </c>
      <c r="L739" t="s">
        <v>8</v>
      </c>
      <c r="M739" t="s">
        <v>7</v>
      </c>
      <c r="N739" t="s">
        <v>7</v>
      </c>
      <c r="P739">
        <f t="shared" si="999"/>
        <v>0.50000000000000422</v>
      </c>
      <c r="Q739">
        <f t="shared" si="1000"/>
        <v>11943524304.500101</v>
      </c>
      <c r="R739">
        <f t="shared" si="1001"/>
        <v>-366849936244.07813</v>
      </c>
      <c r="S739">
        <f t="shared" si="1002"/>
        <v>-3668499.3624407812</v>
      </c>
      <c r="T739">
        <f t="shared" si="1003"/>
        <v>-3668.4993624407812</v>
      </c>
    </row>
    <row r="740" spans="1:20" x14ac:dyDescent="0.25">
      <c r="A740" s="5">
        <v>43853</v>
      </c>
      <c r="B740">
        <v>1.039E-4</v>
      </c>
      <c r="C740">
        <v>1.065E-4</v>
      </c>
      <c r="D740">
        <v>1.002E-4</v>
      </c>
      <c r="E740">
        <v>1.019E-4</v>
      </c>
      <c r="F740">
        <v>24771917749</v>
      </c>
      <c r="G740">
        <v>0</v>
      </c>
      <c r="L740" t="s">
        <v>7</v>
      </c>
      <c r="M740" t="s">
        <v>7</v>
      </c>
      <c r="N740" t="s">
        <v>7</v>
      </c>
      <c r="P740">
        <f t="shared" si="999"/>
        <v>-0.46031746031746046</v>
      </c>
      <c r="Q740">
        <f t="shared" si="1000"/>
        <v>-11402946265.412703</v>
      </c>
      <c r="R740">
        <f t="shared" si="1001"/>
        <v>-378793460548.57825</v>
      </c>
      <c r="S740">
        <f t="shared" si="1002"/>
        <v>-3787934.6054857825</v>
      </c>
      <c r="T740">
        <f t="shared" si="1003"/>
        <v>-3787.9346054857824</v>
      </c>
    </row>
    <row r="741" spans="1:20" x14ac:dyDescent="0.25">
      <c r="A741" s="5">
        <v>43852</v>
      </c>
      <c r="B741">
        <v>9.7899999999999994E-5</v>
      </c>
      <c r="C741">
        <v>1.044E-4</v>
      </c>
      <c r="D741">
        <v>9.7800000000000006E-5</v>
      </c>
      <c r="E741">
        <v>1.037E-4</v>
      </c>
      <c r="F741">
        <v>22224813674</v>
      </c>
      <c r="G741">
        <v>0</v>
      </c>
      <c r="L741" t="s">
        <v>8</v>
      </c>
      <c r="M741" t="s">
        <v>7</v>
      </c>
      <c r="N741" t="s">
        <v>7</v>
      </c>
      <c r="P741">
        <f t="shared" si="999"/>
        <v>0.78787878787878673</v>
      </c>
      <c r="Q741">
        <f t="shared" si="1000"/>
        <v>17510459258.303005</v>
      </c>
      <c r="R741">
        <f t="shared" si="1001"/>
        <v>-367390514283.16553</v>
      </c>
      <c r="S741">
        <f t="shared" si="1002"/>
        <v>-3673905.1428316552</v>
      </c>
      <c r="T741">
        <f t="shared" si="1003"/>
        <v>-3673.9051428316552</v>
      </c>
    </row>
    <row r="742" spans="1:20" x14ac:dyDescent="0.25">
      <c r="A742" s="5">
        <v>43851</v>
      </c>
      <c r="B742">
        <v>9.7299999999999993E-5</v>
      </c>
      <c r="C742">
        <v>9.9099999999999996E-5</v>
      </c>
      <c r="D742">
        <v>9.7E-5</v>
      </c>
      <c r="E742">
        <v>9.7899999999999994E-5</v>
      </c>
      <c r="F742">
        <v>22219426210</v>
      </c>
      <c r="G742">
        <v>0</v>
      </c>
      <c r="L742" t="s">
        <v>7</v>
      </c>
      <c r="M742" t="s">
        <v>7</v>
      </c>
      <c r="N742" t="s">
        <v>7</v>
      </c>
      <c r="P742">
        <f t="shared" si="999"/>
        <v>-0.14285714285714654</v>
      </c>
      <c r="Q742">
        <f t="shared" si="1000"/>
        <v>-3174203744.2857962</v>
      </c>
      <c r="R742">
        <f t="shared" si="1001"/>
        <v>-384900973541.46851</v>
      </c>
      <c r="S742">
        <f t="shared" si="1002"/>
        <v>-3849009.7354146852</v>
      </c>
      <c r="T742">
        <f t="shared" si="1003"/>
        <v>-3849.0097354146851</v>
      </c>
    </row>
    <row r="743" spans="1:20" x14ac:dyDescent="0.25">
      <c r="A743" s="5">
        <v>43850</v>
      </c>
      <c r="B743">
        <v>9.6000000000000002E-5</v>
      </c>
      <c r="C743">
        <v>1.031E-4</v>
      </c>
      <c r="D743">
        <v>9.59E-5</v>
      </c>
      <c r="E743">
        <v>9.7399999999999996E-5</v>
      </c>
      <c r="F743">
        <v>22326642481</v>
      </c>
      <c r="G743">
        <v>0</v>
      </c>
      <c r="L743" t="s">
        <v>8</v>
      </c>
      <c r="M743" t="s">
        <v>7</v>
      </c>
      <c r="N743" t="s">
        <v>7</v>
      </c>
      <c r="P743">
        <f t="shared" si="999"/>
        <v>-0.58333333333333448</v>
      </c>
      <c r="Q743">
        <f t="shared" si="1000"/>
        <v>-13023874780.583359</v>
      </c>
      <c r="R743">
        <f t="shared" si="1001"/>
        <v>-381726769797.18274</v>
      </c>
      <c r="S743">
        <f t="shared" si="1002"/>
        <v>-3817267.6979718274</v>
      </c>
      <c r="T743">
        <f t="shared" si="1003"/>
        <v>-3817.2676979718271</v>
      </c>
    </row>
    <row r="744" spans="1:20" x14ac:dyDescent="0.25">
      <c r="A744" s="5">
        <v>43849</v>
      </c>
      <c r="B744">
        <v>1.0849999999999999E-4</v>
      </c>
      <c r="C744">
        <v>1.177E-4</v>
      </c>
      <c r="D744">
        <v>9.3200000000000002E-5</v>
      </c>
      <c r="E744">
        <v>9.59E-5</v>
      </c>
      <c r="F744">
        <v>22835026348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-0.77959183673469401</v>
      </c>
      <c r="Q744">
        <f t="shared" si="1000"/>
        <v>-17802000132.522453</v>
      </c>
      <c r="R744">
        <f t="shared" si="1001"/>
        <v>-368702895016.59937</v>
      </c>
      <c r="S744">
        <f t="shared" si="1002"/>
        <v>-3687028.9501659935</v>
      </c>
      <c r="T744">
        <f t="shared" si="1003"/>
        <v>-3687.0289501659936</v>
      </c>
    </row>
    <row r="745" spans="1:20" x14ac:dyDescent="0.25">
      <c r="A745" s="5">
        <v>43848</v>
      </c>
      <c r="B745">
        <v>1.01E-4</v>
      </c>
      <c r="C745">
        <v>1.0900000000000001E-4</v>
      </c>
      <c r="D745">
        <v>9.9400000000000004E-5</v>
      </c>
      <c r="E745">
        <v>1.0849999999999999E-4</v>
      </c>
      <c r="F745">
        <v>17663443057</v>
      </c>
      <c r="G745">
        <v>0</v>
      </c>
      <c r="L745" t="s">
        <v>8</v>
      </c>
      <c r="M745" t="s">
        <v>8</v>
      </c>
      <c r="N745" t="s">
        <v>7</v>
      </c>
      <c r="P745">
        <f t="shared" si="999"/>
        <v>0.89583333333333082</v>
      </c>
      <c r="Q745">
        <f t="shared" si="1000"/>
        <v>15823501071.895788</v>
      </c>
      <c r="R745">
        <f t="shared" si="1001"/>
        <v>-350900894884.0769</v>
      </c>
      <c r="S745">
        <f t="shared" si="1002"/>
        <v>-3509008.948840769</v>
      </c>
      <c r="T745">
        <f t="shared" si="1003"/>
        <v>-3509.0089488407689</v>
      </c>
    </row>
    <row r="746" spans="1:20" x14ac:dyDescent="0.25">
      <c r="A746" s="5">
        <v>43847</v>
      </c>
      <c r="B746">
        <v>9.6100000000000005E-5</v>
      </c>
      <c r="C746">
        <v>1.024E-4</v>
      </c>
      <c r="D746">
        <v>9.5699999999999995E-5</v>
      </c>
      <c r="E746">
        <v>1.009E-4</v>
      </c>
      <c r="F746">
        <v>25126211728</v>
      </c>
      <c r="G746">
        <v>0</v>
      </c>
      <c r="L746" t="s">
        <v>7</v>
      </c>
      <c r="M746" t="s">
        <v>8</v>
      </c>
      <c r="N746" t="s">
        <v>7</v>
      </c>
      <c r="P746">
        <f t="shared" si="999"/>
        <v>0.55223880597015051</v>
      </c>
      <c r="Q746">
        <f t="shared" si="1000"/>
        <v>13875669163.223913</v>
      </c>
      <c r="R746">
        <f t="shared" si="1001"/>
        <v>-366724395955.97272</v>
      </c>
      <c r="S746">
        <f t="shared" si="1002"/>
        <v>-3667243.959559727</v>
      </c>
      <c r="T746">
        <f t="shared" si="1003"/>
        <v>-3667.243959559727</v>
      </c>
    </row>
    <row r="747" spans="1:20" x14ac:dyDescent="0.25">
      <c r="A747" s="5">
        <v>43846</v>
      </c>
      <c r="B747">
        <v>1.0009999999999999E-4</v>
      </c>
      <c r="C747">
        <v>1.004E-4</v>
      </c>
      <c r="D747">
        <v>9.4300000000000002E-5</v>
      </c>
      <c r="E747">
        <v>9.6299999999999996E-5</v>
      </c>
      <c r="F747">
        <v>23361962375</v>
      </c>
      <c r="G747">
        <v>0</v>
      </c>
      <c r="L747" t="s">
        <v>8</v>
      </c>
      <c r="M747" t="s">
        <v>8</v>
      </c>
      <c r="N747" t="s">
        <v>7</v>
      </c>
      <c r="P747">
        <f t="shared" si="999"/>
        <v>-0.34426229508196898</v>
      </c>
      <c r="Q747">
        <f t="shared" si="1000"/>
        <v>-8042642784.8361073</v>
      </c>
      <c r="R747">
        <f t="shared" si="1001"/>
        <v>-380600065119.19666</v>
      </c>
      <c r="S747">
        <f t="shared" si="1002"/>
        <v>-3806000.6511919666</v>
      </c>
      <c r="T747">
        <f t="shared" si="1003"/>
        <v>-3806.0006511919664</v>
      </c>
    </row>
    <row r="748" spans="1:20" x14ac:dyDescent="0.25">
      <c r="A748" s="5">
        <v>43845</v>
      </c>
      <c r="B748">
        <v>9.5699999999999995E-5</v>
      </c>
      <c r="C748">
        <v>1.036E-4</v>
      </c>
      <c r="D748">
        <v>9.5400000000000001E-5</v>
      </c>
      <c r="E748">
        <v>1E-4</v>
      </c>
      <c r="F748">
        <v>15220689134</v>
      </c>
      <c r="G748">
        <v>0</v>
      </c>
      <c r="L748" t="s">
        <v>7</v>
      </c>
      <c r="M748" t="s">
        <v>8</v>
      </c>
      <c r="N748" t="s">
        <v>7</v>
      </c>
      <c r="P748">
        <f t="shared" si="999"/>
        <v>0.12195121951219649</v>
      </c>
      <c r="Q748">
        <f t="shared" si="1000"/>
        <v>1856181601.7073379</v>
      </c>
      <c r="R748">
        <f t="shared" si="1001"/>
        <v>-372557422334.36053</v>
      </c>
      <c r="S748">
        <f t="shared" si="1002"/>
        <v>-3725574.2233436052</v>
      </c>
      <c r="T748">
        <f t="shared" si="1003"/>
        <v>-3725.5742233436054</v>
      </c>
    </row>
    <row r="749" spans="1:20" x14ac:dyDescent="0.25">
      <c r="A749" s="5">
        <v>43844</v>
      </c>
      <c r="B749">
        <v>9.0799999999999998E-5</v>
      </c>
      <c r="C749">
        <v>9.6600000000000003E-5</v>
      </c>
      <c r="D749">
        <v>9.0799999999999998E-5</v>
      </c>
      <c r="E749">
        <v>9.5699999999999995E-5</v>
      </c>
      <c r="F749">
        <v>30032045743</v>
      </c>
      <c r="G749">
        <v>0</v>
      </c>
      <c r="L749" t="s">
        <v>8</v>
      </c>
      <c r="M749" t="s">
        <v>7</v>
      </c>
      <c r="N749" t="s">
        <v>7</v>
      </c>
      <c r="P749">
        <f t="shared" si="999"/>
        <v>0.68965517241379048</v>
      </c>
      <c r="Q749">
        <f t="shared" si="1000"/>
        <v>20711755684.827507</v>
      </c>
      <c r="R749">
        <f t="shared" si="1001"/>
        <v>-374413603936.06787</v>
      </c>
      <c r="S749">
        <f t="shared" si="1002"/>
        <v>-3744136.0393606788</v>
      </c>
      <c r="T749">
        <f t="shared" si="1003"/>
        <v>-3744.1360393606788</v>
      </c>
    </row>
    <row r="750" spans="1:20" x14ac:dyDescent="0.25">
      <c r="A750" s="5">
        <v>43843</v>
      </c>
      <c r="B750">
        <v>9.2899999999999995E-5</v>
      </c>
      <c r="C750">
        <v>9.3300000000000005E-5</v>
      </c>
      <c r="D750">
        <v>9.0400000000000002E-5</v>
      </c>
      <c r="E750">
        <v>9.0799999999999998E-5</v>
      </c>
      <c r="F750">
        <v>27562440710</v>
      </c>
      <c r="G750">
        <v>0</v>
      </c>
      <c r="L750" t="s">
        <v>7</v>
      </c>
      <c r="M750" t="s">
        <v>7</v>
      </c>
      <c r="N750" t="s">
        <v>7</v>
      </c>
      <c r="P750">
        <f t="shared" si="999"/>
        <v>-0.72413793103448565</v>
      </c>
      <c r="Q750">
        <f t="shared" si="1000"/>
        <v>-19959008790.00008</v>
      </c>
      <c r="R750">
        <f t="shared" si="1001"/>
        <v>-395125359620.89539</v>
      </c>
      <c r="S750">
        <f t="shared" si="1002"/>
        <v>-3951253.5962089538</v>
      </c>
      <c r="T750">
        <f t="shared" si="1003"/>
        <v>-3951.2535962089537</v>
      </c>
    </row>
    <row r="751" spans="1:20" x14ac:dyDescent="0.25">
      <c r="A751" s="5">
        <v>43842</v>
      </c>
      <c r="B751">
        <v>9.1899999999999998E-5</v>
      </c>
      <c r="C751">
        <v>9.3399999999999993E-5</v>
      </c>
      <c r="D751">
        <v>9.0799999999999998E-5</v>
      </c>
      <c r="E751">
        <v>9.2800000000000006E-5</v>
      </c>
      <c r="F751">
        <v>29067356881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0.53846153846154732</v>
      </c>
      <c r="Q751">
        <f t="shared" si="1000"/>
        <v>15651653705.154104</v>
      </c>
      <c r="R751">
        <f t="shared" si="1001"/>
        <v>-375166350830.89532</v>
      </c>
      <c r="S751">
        <f t="shared" si="1002"/>
        <v>-3751663.5083089531</v>
      </c>
      <c r="T751">
        <f t="shared" si="1003"/>
        <v>-3751.6635083089532</v>
      </c>
    </row>
    <row r="752" spans="1:20" x14ac:dyDescent="0.25">
      <c r="A752" s="5">
        <v>43841</v>
      </c>
      <c r="B752">
        <v>9.1700000000000006E-5</v>
      </c>
      <c r="C752">
        <v>9.2899999999999995E-5</v>
      </c>
      <c r="D752">
        <v>9.0299999999999999E-5</v>
      </c>
      <c r="E752">
        <v>9.1899999999999998E-5</v>
      </c>
      <c r="F752">
        <v>41626869358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0.23076923076923156</v>
      </c>
      <c r="Q752">
        <f t="shared" si="1000"/>
        <v>9606200621.0769558</v>
      </c>
      <c r="R752">
        <f t="shared" si="1001"/>
        <v>-390818004536.04944</v>
      </c>
      <c r="S752">
        <f t="shared" si="1002"/>
        <v>-3908180.0453604944</v>
      </c>
      <c r="T752">
        <f t="shared" si="1003"/>
        <v>-3908.1800453604942</v>
      </c>
    </row>
    <row r="753" spans="1:20" x14ac:dyDescent="0.25">
      <c r="A753" s="5">
        <v>43840</v>
      </c>
      <c r="B753">
        <v>9.0799999999999998E-5</v>
      </c>
      <c r="C753">
        <v>9.2899999999999995E-5</v>
      </c>
      <c r="D753">
        <v>8.9699999999999998E-5</v>
      </c>
      <c r="E753">
        <v>9.1600000000000004E-5</v>
      </c>
      <c r="F753">
        <v>19559243759</v>
      </c>
      <c r="G753">
        <v>0</v>
      </c>
      <c r="L753" t="s">
        <v>8</v>
      </c>
      <c r="M753" t="s">
        <v>7</v>
      </c>
      <c r="N753" t="s">
        <v>7</v>
      </c>
      <c r="P753">
        <f t="shared" si="999"/>
        <v>0.18750000000000477</v>
      </c>
      <c r="Q753">
        <f t="shared" si="1000"/>
        <v>3667358204.8125935</v>
      </c>
      <c r="R753">
        <f t="shared" si="1001"/>
        <v>-400424205157.1264</v>
      </c>
      <c r="S753">
        <f t="shared" si="1002"/>
        <v>-4004242.0515712639</v>
      </c>
      <c r="T753">
        <f t="shared" si="1003"/>
        <v>-4004.2420515712638</v>
      </c>
    </row>
    <row r="754" spans="1:20" x14ac:dyDescent="0.25">
      <c r="A754" s="5">
        <v>43839</v>
      </c>
      <c r="B754">
        <v>8.8700000000000001E-5</v>
      </c>
      <c r="C754">
        <v>9.1600000000000004E-5</v>
      </c>
      <c r="D754">
        <v>8.8300000000000005E-5</v>
      </c>
      <c r="E754">
        <v>9.0600000000000007E-5</v>
      </c>
      <c r="F754">
        <v>32536798523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0.39393939393939542</v>
      </c>
      <c r="Q754">
        <f t="shared" si="1000"/>
        <v>12817526690.878836</v>
      </c>
      <c r="R754">
        <f t="shared" si="1001"/>
        <v>-404091563361.93903</v>
      </c>
      <c r="S754">
        <f t="shared" si="1002"/>
        <v>-4040915.6336193904</v>
      </c>
      <c r="T754">
        <f t="shared" si="1003"/>
        <v>-4040.9156336193905</v>
      </c>
    </row>
    <row r="755" spans="1:20" x14ac:dyDescent="0.25">
      <c r="A755" s="5">
        <v>43838</v>
      </c>
      <c r="B755">
        <v>9.3399999999999993E-5</v>
      </c>
      <c r="C755">
        <v>9.4199999999999999E-5</v>
      </c>
      <c r="D755">
        <v>8.81E-5</v>
      </c>
      <c r="E755">
        <v>8.8700000000000001E-5</v>
      </c>
      <c r="F755">
        <v>11877362603</v>
      </c>
      <c r="G755">
        <v>0</v>
      </c>
      <c r="L755" t="s">
        <v>8</v>
      </c>
      <c r="M755" t="s">
        <v>7</v>
      </c>
      <c r="N755" t="s">
        <v>7</v>
      </c>
      <c r="P755">
        <f t="shared" si="999"/>
        <v>-0.80327868852458983</v>
      </c>
      <c r="Q755">
        <f t="shared" si="1000"/>
        <v>-9540832254.8688488</v>
      </c>
      <c r="R755">
        <f t="shared" si="1001"/>
        <v>-416909090052.81787</v>
      </c>
      <c r="S755">
        <f t="shared" si="1002"/>
        <v>-4169090.9005281786</v>
      </c>
      <c r="T755">
        <f t="shared" si="1003"/>
        <v>-4169.0909005281783</v>
      </c>
    </row>
    <row r="756" spans="1:20" x14ac:dyDescent="0.25">
      <c r="A756" s="5">
        <v>43837</v>
      </c>
      <c r="B756">
        <v>9.5000000000000005E-5</v>
      </c>
      <c r="C756">
        <v>9.6000000000000002E-5</v>
      </c>
      <c r="D756">
        <v>9.2499999999999999E-5</v>
      </c>
      <c r="E756">
        <v>9.3399999999999993E-5</v>
      </c>
      <c r="F756">
        <v>12240220135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-0.48571428571428926</v>
      </c>
      <c r="Q756">
        <f t="shared" si="1000"/>
        <v>-5945249779.8571863</v>
      </c>
      <c r="R756">
        <f t="shared" si="1001"/>
        <v>-407368257797.94904</v>
      </c>
      <c r="S756">
        <f t="shared" si="1002"/>
        <v>-4073682.5779794902</v>
      </c>
      <c r="T756">
        <f t="shared" si="1003"/>
        <v>-4073.6825779794904</v>
      </c>
    </row>
    <row r="757" spans="1:20" x14ac:dyDescent="0.25">
      <c r="A757" s="5">
        <v>43836</v>
      </c>
      <c r="B757">
        <v>9.2299999999999994E-5</v>
      </c>
      <c r="C757">
        <v>9.5400000000000001E-5</v>
      </c>
      <c r="D757">
        <v>9.2200000000000005E-5</v>
      </c>
      <c r="E757">
        <v>9.5000000000000005E-5</v>
      </c>
      <c r="F757">
        <v>38086058727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0.75000000000000211</v>
      </c>
      <c r="Q757">
        <f t="shared" si="1000"/>
        <v>28564544045.25008</v>
      </c>
      <c r="R757">
        <f t="shared" si="1001"/>
        <v>-401423008018.09186</v>
      </c>
      <c r="S757">
        <f t="shared" si="1002"/>
        <v>-4014230.0801809188</v>
      </c>
      <c r="T757">
        <f t="shared" si="1003"/>
        <v>-4014.2300801809188</v>
      </c>
    </row>
    <row r="758" spans="1:20" x14ac:dyDescent="0.25">
      <c r="A758" s="5">
        <v>43835</v>
      </c>
      <c r="B758">
        <v>9.1500000000000001E-5</v>
      </c>
      <c r="C758">
        <v>9.5500000000000004E-5</v>
      </c>
      <c r="D758">
        <v>9.1100000000000005E-5</v>
      </c>
      <c r="E758">
        <v>9.2299999999999994E-5</v>
      </c>
      <c r="F758">
        <v>26555343626</v>
      </c>
      <c r="G758">
        <v>0</v>
      </c>
      <c r="L758" t="s">
        <v>7</v>
      </c>
      <c r="M758" t="s">
        <v>7</v>
      </c>
      <c r="N758" t="s">
        <v>7</v>
      </c>
      <c r="P758">
        <f t="shared" si="999"/>
        <v>-0.45454545454545958</v>
      </c>
      <c r="Q758">
        <f t="shared" si="1000"/>
        <v>-12070610739.091043</v>
      </c>
      <c r="R758">
        <f t="shared" si="1001"/>
        <v>-429987552063.34192</v>
      </c>
      <c r="S758">
        <f t="shared" si="1002"/>
        <v>-4299875.520633419</v>
      </c>
      <c r="T758">
        <f t="shared" si="1003"/>
        <v>-4299.875520633419</v>
      </c>
    </row>
    <row r="759" spans="1:20" x14ac:dyDescent="0.25">
      <c r="A759" s="5">
        <v>43834</v>
      </c>
      <c r="B759">
        <v>9.1199999999999994E-5</v>
      </c>
      <c r="C759">
        <v>9.1899999999999998E-5</v>
      </c>
      <c r="D759">
        <v>9.0500000000000004E-5</v>
      </c>
      <c r="E759">
        <v>9.1100000000000005E-5</v>
      </c>
      <c r="F759">
        <v>12098054105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-0.14285714285713733</v>
      </c>
      <c r="Q759">
        <f t="shared" si="1000"/>
        <v>-1728293443.5713615</v>
      </c>
      <c r="R759">
        <f t="shared" si="1001"/>
        <v>-417916941324.25085</v>
      </c>
      <c r="S759">
        <f t="shared" si="1002"/>
        <v>-4179169.4132425087</v>
      </c>
      <c r="T759">
        <f t="shared" si="1003"/>
        <v>-4179.1694132425091</v>
      </c>
    </row>
    <row r="760" spans="1:20" x14ac:dyDescent="0.25">
      <c r="A760" s="5">
        <v>43833</v>
      </c>
      <c r="B760">
        <v>8.8499999999999996E-5</v>
      </c>
      <c r="C760">
        <v>9.2600000000000001E-5</v>
      </c>
      <c r="D760">
        <v>8.7100000000000003E-5</v>
      </c>
      <c r="E760">
        <v>9.1100000000000005E-5</v>
      </c>
      <c r="F760">
        <v>40354922041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0.45454545454545586</v>
      </c>
      <c r="Q760">
        <f t="shared" si="1000"/>
        <v>18343146382.272781</v>
      </c>
      <c r="R760">
        <f t="shared" si="1001"/>
        <v>-416188647880.6795</v>
      </c>
      <c r="S760">
        <f t="shared" si="1002"/>
        <v>-4161886.4788067951</v>
      </c>
      <c r="T760">
        <f t="shared" si="1003"/>
        <v>-4161.8864788067949</v>
      </c>
    </row>
    <row r="761" spans="1:20" x14ac:dyDescent="0.25">
      <c r="A761" s="5">
        <v>43832</v>
      </c>
      <c r="B761">
        <v>9.31E-5</v>
      </c>
      <c r="C761">
        <v>9.3900000000000006E-5</v>
      </c>
      <c r="D761">
        <v>8.7700000000000004E-5</v>
      </c>
      <c r="E761">
        <v>8.8499999999999996E-5</v>
      </c>
      <c r="F761">
        <v>71938629258</v>
      </c>
      <c r="G761">
        <v>0</v>
      </c>
      <c r="L761" t="s">
        <v>8</v>
      </c>
      <c r="M761" t="s">
        <v>7</v>
      </c>
      <c r="N761" t="s">
        <v>7</v>
      </c>
      <c r="P761">
        <f t="shared" si="999"/>
        <v>-0.7419354838709703</v>
      </c>
      <c r="Q761">
        <f t="shared" si="1000"/>
        <v>-53373821707.548569</v>
      </c>
      <c r="R761">
        <f t="shared" si="1001"/>
        <v>-434531794262.95227</v>
      </c>
      <c r="S761">
        <f t="shared" si="1002"/>
        <v>-4345317.9426295226</v>
      </c>
      <c r="T761">
        <f t="shared" si="1003"/>
        <v>-4345.3179426295228</v>
      </c>
    </row>
    <row r="762" spans="1:20" x14ac:dyDescent="0.25">
      <c r="A762" s="5">
        <v>43831</v>
      </c>
      <c r="B762">
        <v>9.2299999999999994E-5</v>
      </c>
      <c r="C762">
        <v>9.3999999999999994E-5</v>
      </c>
      <c r="D762">
        <v>9.1899999999999998E-5</v>
      </c>
      <c r="E762">
        <v>9.2999999999999997E-5</v>
      </c>
      <c r="F762">
        <v>56522383596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4.7619047619048852E-2</v>
      </c>
      <c r="Q762">
        <f t="shared" si="1000"/>
        <v>2691542076.0000696</v>
      </c>
      <c r="R762">
        <f t="shared" si="1001"/>
        <v>-381157972555.40369</v>
      </c>
      <c r="S762">
        <f t="shared" si="1002"/>
        <v>-3811579.7255540369</v>
      </c>
      <c r="T762">
        <f t="shared" si="1003"/>
        <v>-3811.5797255540369</v>
      </c>
    </row>
    <row r="763" spans="1:20" x14ac:dyDescent="0.25">
      <c r="A763" s="5">
        <v>43830</v>
      </c>
      <c r="B763">
        <v>9.2800000000000006E-5</v>
      </c>
      <c r="C763">
        <v>9.3200000000000002E-5</v>
      </c>
      <c r="D763">
        <v>9.09E-5</v>
      </c>
      <c r="E763">
        <v>9.2299999999999994E-5</v>
      </c>
      <c r="F763">
        <v>58005493875</v>
      </c>
      <c r="G763">
        <v>0</v>
      </c>
      <c r="L763" t="s">
        <v>8</v>
      </c>
      <c r="M763" t="s">
        <v>7</v>
      </c>
      <c r="N763" t="s">
        <v>7</v>
      </c>
      <c r="P763">
        <f t="shared" si="999"/>
        <v>0.21739130434781942</v>
      </c>
      <c r="Q763">
        <f t="shared" si="1000"/>
        <v>12609889972.825701</v>
      </c>
      <c r="R763">
        <f t="shared" si="1001"/>
        <v>-383849514631.40375</v>
      </c>
      <c r="S763">
        <f t="shared" si="1002"/>
        <v>-3838495.1463140375</v>
      </c>
      <c r="T763">
        <f t="shared" si="1003"/>
        <v>-3838.4951463140374</v>
      </c>
    </row>
    <row r="764" spans="1:20" x14ac:dyDescent="0.25">
      <c r="A764" s="5">
        <v>43829</v>
      </c>
      <c r="B764">
        <v>9.2999999999999997E-5</v>
      </c>
      <c r="C764">
        <v>9.6500000000000001E-5</v>
      </c>
      <c r="D764">
        <v>9.1700000000000006E-5</v>
      </c>
      <c r="E764">
        <v>9.2999999999999997E-5</v>
      </c>
      <c r="F764">
        <v>45205083323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-0.45833333333333653</v>
      </c>
      <c r="Q764">
        <f t="shared" si="1000"/>
        <v>-20718996523.041813</v>
      </c>
      <c r="R764">
        <f t="shared" si="1001"/>
        <v>-396459404604.22943</v>
      </c>
      <c r="S764">
        <f t="shared" si="1002"/>
        <v>-3964594.0460422942</v>
      </c>
      <c r="T764">
        <f t="shared" si="1003"/>
        <v>-3964.5940460422944</v>
      </c>
    </row>
    <row r="765" spans="1:20" x14ac:dyDescent="0.25">
      <c r="A765" s="5">
        <v>43828</v>
      </c>
      <c r="B765">
        <v>9.1899999999999998E-5</v>
      </c>
      <c r="C765">
        <v>9.3300000000000005E-5</v>
      </c>
      <c r="D765">
        <v>9.1100000000000005E-5</v>
      </c>
      <c r="E765">
        <v>9.2999999999999997E-5</v>
      </c>
      <c r="F765">
        <v>64147184196</v>
      </c>
      <c r="G765">
        <v>0</v>
      </c>
      <c r="L765" t="s">
        <v>8</v>
      </c>
      <c r="M765" t="s">
        <v>7</v>
      </c>
      <c r="N765" t="s">
        <v>7</v>
      </c>
      <c r="P765">
        <f t="shared" si="999"/>
        <v>0.72727272727272052</v>
      </c>
      <c r="Q765">
        <f t="shared" si="1000"/>
        <v>46652497597.090477</v>
      </c>
      <c r="R765">
        <f t="shared" si="1001"/>
        <v>-375740408081.18762</v>
      </c>
      <c r="S765">
        <f t="shared" si="1002"/>
        <v>-3757404.0808118763</v>
      </c>
      <c r="T765">
        <f t="shared" si="1003"/>
        <v>-3757.4040808118762</v>
      </c>
    </row>
    <row r="766" spans="1:20" x14ac:dyDescent="0.25">
      <c r="A766" s="5">
        <v>43827</v>
      </c>
      <c r="B766">
        <v>9.3399999999999993E-5</v>
      </c>
      <c r="C766">
        <v>9.48E-5</v>
      </c>
      <c r="D766">
        <v>9.1600000000000004E-5</v>
      </c>
      <c r="E766">
        <v>9.1799999999999995E-5</v>
      </c>
      <c r="F766">
        <v>64872610385</v>
      </c>
      <c r="G766">
        <v>0</v>
      </c>
      <c r="L766" t="s">
        <v>7</v>
      </c>
      <c r="M766" t="s">
        <v>7</v>
      </c>
      <c r="N766" t="s">
        <v>7</v>
      </c>
      <c r="P766">
        <f t="shared" si="999"/>
        <v>-0.87500000000000533</v>
      </c>
      <c r="Q766">
        <f t="shared" si="1000"/>
        <v>-56763534086.875343</v>
      </c>
      <c r="R766">
        <f t="shared" si="1001"/>
        <v>-422392905678.27808</v>
      </c>
      <c r="S766">
        <f t="shared" si="1002"/>
        <v>-4223929.0567827811</v>
      </c>
      <c r="T766">
        <f t="shared" si="1003"/>
        <v>-4223.9290567827811</v>
      </c>
    </row>
    <row r="767" spans="1:20" x14ac:dyDescent="0.25">
      <c r="A767" s="5">
        <v>43826</v>
      </c>
      <c r="B767">
        <v>9.3200000000000002E-5</v>
      </c>
      <c r="C767">
        <v>9.4400000000000004E-5</v>
      </c>
      <c r="D767">
        <v>9.0000000000000006E-5</v>
      </c>
      <c r="E767">
        <v>9.3499999999999996E-5</v>
      </c>
      <c r="F767">
        <v>64825344052</v>
      </c>
      <c r="G767">
        <v>0</v>
      </c>
      <c r="L767" t="s">
        <v>8</v>
      </c>
      <c r="M767" t="s">
        <v>7</v>
      </c>
      <c r="N767" t="s">
        <v>7</v>
      </c>
      <c r="P767">
        <f t="shared" ref="P767:P830" si="1004">IF(C767=D767,0,((E767-D767)-(C767-E767))/(C767-D767))</f>
        <v>0.59090909090908694</v>
      </c>
      <c r="Q767">
        <f t="shared" ref="Q767:Q830" si="1005">F767*P767</f>
        <v>38305885121.636108</v>
      </c>
      <c r="R767">
        <f t="shared" ref="R767:R830" si="1006">R768+Q767</f>
        <v>-365629371591.40271</v>
      </c>
      <c r="S767">
        <f t="shared" ref="S767:S830" si="1007">R767/100000</f>
        <v>-3656293.7159140273</v>
      </c>
      <c r="T767">
        <f t="shared" ref="T767:T830" si="1008">S767/1000</f>
        <v>-3656.2937159140274</v>
      </c>
    </row>
    <row r="768" spans="1:20" x14ac:dyDescent="0.25">
      <c r="A768" s="5">
        <v>43825</v>
      </c>
      <c r="B768">
        <v>9.3999999999999994E-5</v>
      </c>
      <c r="C768">
        <v>9.5600000000000006E-5</v>
      </c>
      <c r="D768">
        <v>9.2999999999999997E-5</v>
      </c>
      <c r="E768">
        <v>9.3399999999999993E-5</v>
      </c>
      <c r="F768">
        <v>42013410489</v>
      </c>
      <c r="G768">
        <v>0</v>
      </c>
      <c r="L768" t="s">
        <v>7</v>
      </c>
      <c r="M768" t="s">
        <v>7</v>
      </c>
      <c r="N768" t="s">
        <v>7</v>
      </c>
      <c r="P768">
        <f t="shared" si="1004"/>
        <v>-0.69230769230769629</v>
      </c>
      <c r="Q768">
        <f t="shared" si="1005"/>
        <v>-29086207261.615551</v>
      </c>
      <c r="R768">
        <f t="shared" si="1006"/>
        <v>-403935256713.03882</v>
      </c>
      <c r="S768">
        <f t="shared" si="1007"/>
        <v>-4039352.5671303882</v>
      </c>
      <c r="T768">
        <f t="shared" si="1008"/>
        <v>-4039.3525671303883</v>
      </c>
    </row>
    <row r="769" spans="1:20" x14ac:dyDescent="0.25">
      <c r="A769" s="5">
        <v>43824</v>
      </c>
      <c r="B769">
        <v>9.4699999999999998E-5</v>
      </c>
      <c r="C769">
        <v>9.6299999999999996E-5</v>
      </c>
      <c r="D769">
        <v>9.3200000000000002E-5</v>
      </c>
      <c r="E769">
        <v>9.3700000000000001E-5</v>
      </c>
      <c r="F769">
        <v>22359553573</v>
      </c>
      <c r="G769">
        <v>0</v>
      </c>
      <c r="L769" t="s">
        <v>8</v>
      </c>
      <c r="M769" t="s">
        <v>7</v>
      </c>
      <c r="N769" t="s">
        <v>7</v>
      </c>
      <c r="P769">
        <f t="shared" si="1004"/>
        <v>-0.67741935483870996</v>
      </c>
      <c r="Q769">
        <f t="shared" si="1005"/>
        <v>-15146794355.903233</v>
      </c>
      <c r="R769">
        <f t="shared" si="1006"/>
        <v>-374849049451.42328</v>
      </c>
      <c r="S769">
        <f t="shared" si="1007"/>
        <v>-3748490.494514233</v>
      </c>
      <c r="T769">
        <f t="shared" si="1008"/>
        <v>-3748.490494514233</v>
      </c>
    </row>
    <row r="770" spans="1:20" x14ac:dyDescent="0.25">
      <c r="A770" s="5">
        <v>43823</v>
      </c>
      <c r="B770">
        <v>9.59E-5</v>
      </c>
      <c r="C770">
        <v>9.7800000000000006E-5</v>
      </c>
      <c r="D770">
        <v>9.3599999999999998E-5</v>
      </c>
      <c r="E770">
        <v>9.4699999999999998E-5</v>
      </c>
      <c r="F770">
        <v>142078810653</v>
      </c>
      <c r="G770">
        <v>0</v>
      </c>
      <c r="L770" t="s">
        <v>7</v>
      </c>
      <c r="M770" t="s">
        <v>7</v>
      </c>
      <c r="N770" t="s">
        <v>7</v>
      </c>
      <c r="P770">
        <f t="shared" si="1004"/>
        <v>-0.47619047619047727</v>
      </c>
      <c r="Q770">
        <f t="shared" si="1005"/>
        <v>-67656576501.428726</v>
      </c>
      <c r="R770">
        <f t="shared" si="1006"/>
        <v>-359702255095.52002</v>
      </c>
      <c r="S770">
        <f t="shared" si="1007"/>
        <v>-3597022.5509552001</v>
      </c>
      <c r="T770">
        <f t="shared" si="1008"/>
        <v>-3597.0225509552001</v>
      </c>
    </row>
    <row r="771" spans="1:20" x14ac:dyDescent="0.25">
      <c r="A771" s="5">
        <v>43822</v>
      </c>
      <c r="B771">
        <v>9.7100000000000002E-5</v>
      </c>
      <c r="C771">
        <v>9.9699999999999998E-5</v>
      </c>
      <c r="D771">
        <v>9.2700000000000004E-5</v>
      </c>
      <c r="E771">
        <v>9.59E-5</v>
      </c>
      <c r="F771">
        <v>109807650432</v>
      </c>
      <c r="G771">
        <v>0</v>
      </c>
      <c r="L771" t="s">
        <v>8</v>
      </c>
      <c r="M771" t="s">
        <v>7</v>
      </c>
      <c r="N771" t="s">
        <v>7</v>
      </c>
      <c r="P771">
        <f t="shared" si="1004"/>
        <v>-8.5714285714285937E-2</v>
      </c>
      <c r="Q771">
        <f t="shared" si="1005"/>
        <v>-9412084322.7428818</v>
      </c>
      <c r="R771">
        <f t="shared" si="1006"/>
        <v>-292045678594.09131</v>
      </c>
      <c r="S771">
        <f t="shared" si="1007"/>
        <v>-2920456.785940913</v>
      </c>
      <c r="T771">
        <f t="shared" si="1008"/>
        <v>-2920.4567859409131</v>
      </c>
    </row>
    <row r="772" spans="1:20" x14ac:dyDescent="0.25">
      <c r="A772" s="5">
        <v>43821</v>
      </c>
      <c r="B772">
        <v>9.4400000000000004E-5</v>
      </c>
      <c r="C772">
        <v>9.9300000000000001E-5</v>
      </c>
      <c r="D772">
        <v>9.4300000000000002E-5</v>
      </c>
      <c r="E772">
        <v>9.7100000000000002E-5</v>
      </c>
      <c r="F772">
        <v>47749242838</v>
      </c>
      <c r="G772">
        <v>0</v>
      </c>
      <c r="L772" t="s">
        <v>7</v>
      </c>
      <c r="M772" t="s">
        <v>8</v>
      </c>
      <c r="N772" t="s">
        <v>7</v>
      </c>
      <c r="P772">
        <f t="shared" si="1004"/>
        <v>0.12000000000000022</v>
      </c>
      <c r="Q772">
        <f t="shared" si="1005"/>
        <v>5729909140.56001</v>
      </c>
      <c r="R772">
        <f t="shared" si="1006"/>
        <v>-282633594271.34845</v>
      </c>
      <c r="S772">
        <f t="shared" si="1007"/>
        <v>-2826335.9427134846</v>
      </c>
      <c r="T772">
        <f t="shared" si="1008"/>
        <v>-2826.3359427134847</v>
      </c>
    </row>
    <row r="773" spans="1:20" x14ac:dyDescent="0.25">
      <c r="A773" s="5">
        <v>43820</v>
      </c>
      <c r="B773">
        <v>9.59E-5</v>
      </c>
      <c r="C773">
        <v>9.6000000000000002E-5</v>
      </c>
      <c r="D773">
        <v>9.3700000000000001E-5</v>
      </c>
      <c r="E773">
        <v>9.4400000000000004E-5</v>
      </c>
      <c r="F773">
        <v>35367449083</v>
      </c>
      <c r="G773">
        <v>0</v>
      </c>
      <c r="L773" t="s">
        <v>8</v>
      </c>
      <c r="M773" t="s">
        <v>8</v>
      </c>
      <c r="N773" t="s">
        <v>7</v>
      </c>
      <c r="P773">
        <f t="shared" si="1004"/>
        <v>-0.39130434782608442</v>
      </c>
      <c r="Q773">
        <f t="shared" si="1005"/>
        <v>-13839436597.695562</v>
      </c>
      <c r="R773">
        <f t="shared" si="1006"/>
        <v>-288363503411.90845</v>
      </c>
      <c r="S773">
        <f t="shared" si="1007"/>
        <v>-2883635.0341190845</v>
      </c>
      <c r="T773">
        <f t="shared" si="1008"/>
        <v>-2883.6350341190846</v>
      </c>
    </row>
    <row r="774" spans="1:20" x14ac:dyDescent="0.25">
      <c r="A774" s="5">
        <v>43819</v>
      </c>
      <c r="B774">
        <v>9.7499999999999998E-5</v>
      </c>
      <c r="C774">
        <v>9.8099999999999999E-5</v>
      </c>
      <c r="D774">
        <v>9.3900000000000006E-5</v>
      </c>
      <c r="E774">
        <v>9.59E-5</v>
      </c>
      <c r="F774">
        <v>48629993094</v>
      </c>
      <c r="G774">
        <v>0</v>
      </c>
      <c r="L774" t="s">
        <v>7</v>
      </c>
      <c r="M774" t="s">
        <v>8</v>
      </c>
      <c r="N774" t="s">
        <v>7</v>
      </c>
      <c r="P774">
        <f t="shared" si="1004"/>
        <v>-4.7619047619048852E-2</v>
      </c>
      <c r="Q774">
        <f t="shared" si="1005"/>
        <v>-2315713956.857203</v>
      </c>
      <c r="R774">
        <f t="shared" si="1006"/>
        <v>-274524066814.21286</v>
      </c>
      <c r="S774">
        <f t="shared" si="1007"/>
        <v>-2745240.6681421287</v>
      </c>
      <c r="T774">
        <f t="shared" si="1008"/>
        <v>-2745.2406681421289</v>
      </c>
    </row>
    <row r="775" spans="1:20" x14ac:dyDescent="0.25">
      <c r="A775" s="5">
        <v>43818</v>
      </c>
      <c r="B775">
        <v>1.049E-4</v>
      </c>
      <c r="C775">
        <v>1.06E-4</v>
      </c>
      <c r="D775">
        <v>9.5000000000000005E-5</v>
      </c>
      <c r="E775">
        <v>9.7499999999999998E-5</v>
      </c>
      <c r="F775">
        <v>30495249437</v>
      </c>
      <c r="G775">
        <v>0</v>
      </c>
      <c r="L775" t="s">
        <v>8</v>
      </c>
      <c r="M775" t="s">
        <v>8</v>
      </c>
      <c r="N775" t="s">
        <v>7</v>
      </c>
      <c r="P775">
        <f t="shared" si="1004"/>
        <v>-0.54545454545454652</v>
      </c>
      <c r="Q775">
        <f t="shared" si="1005"/>
        <v>-16633772420.18185</v>
      </c>
      <c r="R775">
        <f t="shared" si="1006"/>
        <v>-272208352857.35565</v>
      </c>
      <c r="S775">
        <f t="shared" si="1007"/>
        <v>-2722083.5285735563</v>
      </c>
      <c r="T775">
        <f t="shared" si="1008"/>
        <v>-2722.0835285735561</v>
      </c>
    </row>
    <row r="776" spans="1:20" x14ac:dyDescent="0.25">
      <c r="A776" s="5">
        <v>43817</v>
      </c>
      <c r="B776">
        <v>9.8800000000000003E-5</v>
      </c>
      <c r="C776">
        <v>1.0840000000000001E-4</v>
      </c>
      <c r="D776">
        <v>9.6600000000000003E-5</v>
      </c>
      <c r="E776">
        <v>1.049E-4</v>
      </c>
      <c r="F776">
        <v>31025349698</v>
      </c>
      <c r="G776">
        <v>0</v>
      </c>
      <c r="L776" t="s">
        <v>7</v>
      </c>
      <c r="M776" t="s">
        <v>8</v>
      </c>
      <c r="N776" t="s">
        <v>7</v>
      </c>
      <c r="P776">
        <f t="shared" si="1004"/>
        <v>0.40677966101694862</v>
      </c>
      <c r="Q776">
        <f t="shared" si="1005"/>
        <v>12620481233.08473</v>
      </c>
      <c r="R776">
        <f t="shared" si="1006"/>
        <v>-255574580437.1738</v>
      </c>
      <c r="S776">
        <f t="shared" si="1007"/>
        <v>-2555745.8043717379</v>
      </c>
      <c r="T776">
        <f t="shared" si="1008"/>
        <v>-2555.7458043717379</v>
      </c>
    </row>
    <row r="777" spans="1:20" x14ac:dyDescent="0.25">
      <c r="A777" s="5">
        <v>43816</v>
      </c>
      <c r="B777">
        <v>9.2399999999999996E-5</v>
      </c>
      <c r="C777">
        <v>1.0730000000000001E-4</v>
      </c>
      <c r="D777">
        <v>9.2E-5</v>
      </c>
      <c r="E777">
        <v>9.8800000000000003E-5</v>
      </c>
      <c r="F777">
        <v>41653230619</v>
      </c>
      <c r="G777">
        <v>0</v>
      </c>
      <c r="L777" t="s">
        <v>8</v>
      </c>
      <c r="M777" t="s">
        <v>8</v>
      </c>
      <c r="N777" t="s">
        <v>7</v>
      </c>
      <c r="P777">
        <f t="shared" si="1004"/>
        <v>-0.1111111111111111</v>
      </c>
      <c r="Q777">
        <f t="shared" si="1005"/>
        <v>-4628136735.4444447</v>
      </c>
      <c r="R777">
        <f t="shared" si="1006"/>
        <v>-268195061670.25851</v>
      </c>
      <c r="S777">
        <f t="shared" si="1007"/>
        <v>-2681950.616702585</v>
      </c>
      <c r="T777">
        <f t="shared" si="1008"/>
        <v>-2681.9506167025852</v>
      </c>
    </row>
    <row r="778" spans="1:20" x14ac:dyDescent="0.25">
      <c r="A778" s="5">
        <v>43815</v>
      </c>
      <c r="B778">
        <v>9.6100000000000005E-5</v>
      </c>
      <c r="C778">
        <v>1.013E-4</v>
      </c>
      <c r="D778">
        <v>9.2200000000000005E-5</v>
      </c>
      <c r="E778">
        <v>9.2399999999999996E-5</v>
      </c>
      <c r="F778">
        <v>27663026685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-0.95604395604395787</v>
      </c>
      <c r="Q778">
        <f t="shared" si="1005"/>
        <v>-26447069468.076973</v>
      </c>
      <c r="R778">
        <f t="shared" si="1006"/>
        <v>-263566924934.81406</v>
      </c>
      <c r="S778">
        <f t="shared" si="1007"/>
        <v>-2635669.2493481408</v>
      </c>
      <c r="T778">
        <f t="shared" si="1008"/>
        <v>-2635.669249348141</v>
      </c>
    </row>
    <row r="779" spans="1:20" x14ac:dyDescent="0.25">
      <c r="A779" s="5">
        <v>43814</v>
      </c>
      <c r="B779">
        <v>9.4300000000000002E-5</v>
      </c>
      <c r="C779">
        <v>9.9099999999999996E-5</v>
      </c>
      <c r="D779">
        <v>9.2600000000000001E-5</v>
      </c>
      <c r="E779">
        <v>9.6000000000000002E-5</v>
      </c>
      <c r="F779">
        <v>49768265295</v>
      </c>
      <c r="G779">
        <v>0</v>
      </c>
      <c r="L779" t="s">
        <v>8</v>
      </c>
      <c r="M779" t="s">
        <v>7</v>
      </c>
      <c r="N779" t="s">
        <v>7</v>
      </c>
      <c r="P779">
        <f t="shared" si="1004"/>
        <v>4.6153846153847308E-2</v>
      </c>
      <c r="Q779">
        <f t="shared" si="1005"/>
        <v>2296996859.7692881</v>
      </c>
      <c r="R779">
        <f t="shared" si="1006"/>
        <v>-237119855466.73709</v>
      </c>
      <c r="S779">
        <f t="shared" si="1007"/>
        <v>-2371198.5546673709</v>
      </c>
      <c r="T779">
        <f t="shared" si="1008"/>
        <v>-2371.1985546673709</v>
      </c>
    </row>
    <row r="780" spans="1:20" x14ac:dyDescent="0.25">
      <c r="A780" s="5">
        <v>43813</v>
      </c>
      <c r="B780">
        <v>9.6799999999999995E-5</v>
      </c>
      <c r="C780">
        <v>1.044E-4</v>
      </c>
      <c r="D780">
        <v>9.1799999999999995E-5</v>
      </c>
      <c r="E780">
        <v>9.4199999999999999E-5</v>
      </c>
      <c r="F780">
        <v>53400414892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-0.61904761904761862</v>
      </c>
      <c r="Q780">
        <f t="shared" si="1005"/>
        <v>-33057399695.047596</v>
      </c>
      <c r="R780">
        <f t="shared" si="1006"/>
        <v>-239416852326.50638</v>
      </c>
      <c r="S780">
        <f t="shared" si="1007"/>
        <v>-2394168.5232650638</v>
      </c>
      <c r="T780">
        <f t="shared" si="1008"/>
        <v>-2394.1685232650639</v>
      </c>
    </row>
    <row r="781" spans="1:20" x14ac:dyDescent="0.25">
      <c r="A781" s="5">
        <v>43812</v>
      </c>
      <c r="B781">
        <v>9.3499999999999996E-5</v>
      </c>
      <c r="C781">
        <v>9.8300000000000004E-5</v>
      </c>
      <c r="D781">
        <v>9.31E-5</v>
      </c>
      <c r="E781">
        <v>9.6799999999999995E-5</v>
      </c>
      <c r="F781">
        <v>46776945657</v>
      </c>
      <c r="G781">
        <v>0</v>
      </c>
      <c r="L781" t="s">
        <v>8</v>
      </c>
      <c r="M781" t="s">
        <v>7</v>
      </c>
      <c r="N781" t="s">
        <v>7</v>
      </c>
      <c r="P781">
        <f t="shared" si="1004"/>
        <v>0.42307692307691996</v>
      </c>
      <c r="Q781">
        <f t="shared" si="1005"/>
        <v>19790246239.499855</v>
      </c>
      <c r="R781">
        <f t="shared" si="1006"/>
        <v>-206359452631.45877</v>
      </c>
      <c r="S781">
        <f t="shared" si="1007"/>
        <v>-2063594.5263145878</v>
      </c>
      <c r="T781">
        <f t="shared" si="1008"/>
        <v>-2063.5945263145877</v>
      </c>
    </row>
    <row r="782" spans="1:20" x14ac:dyDescent="0.25">
      <c r="A782" s="5">
        <v>43811</v>
      </c>
      <c r="B782">
        <v>9.5699999999999995E-5</v>
      </c>
      <c r="C782">
        <v>9.6199999999999994E-5</v>
      </c>
      <c r="D782">
        <v>9.1600000000000004E-5</v>
      </c>
      <c r="E782">
        <v>9.3499999999999996E-5</v>
      </c>
      <c r="F782">
        <v>18456646283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-0.17391304347826253</v>
      </c>
      <c r="Q782">
        <f t="shared" si="1005"/>
        <v>-3209851527.4782915</v>
      </c>
      <c r="R782">
        <f t="shared" si="1006"/>
        <v>-226149698870.95862</v>
      </c>
      <c r="S782">
        <f t="shared" si="1007"/>
        <v>-2261496.9887095862</v>
      </c>
      <c r="T782">
        <f t="shared" si="1008"/>
        <v>-2261.4969887095863</v>
      </c>
    </row>
    <row r="783" spans="1:20" x14ac:dyDescent="0.25">
      <c r="A783" s="5">
        <v>43810</v>
      </c>
      <c r="B783">
        <v>9.5500000000000004E-5</v>
      </c>
      <c r="C783">
        <v>9.8499999999999995E-5</v>
      </c>
      <c r="D783">
        <v>9.1600000000000004E-5</v>
      </c>
      <c r="E783">
        <v>9.5600000000000006E-5</v>
      </c>
      <c r="F783">
        <v>6545988668</v>
      </c>
      <c r="G783">
        <v>0</v>
      </c>
      <c r="L783" t="s">
        <v>8</v>
      </c>
      <c r="M783" t="s">
        <v>7</v>
      </c>
      <c r="N783" t="s">
        <v>7</v>
      </c>
      <c r="P783">
        <f t="shared" si="1004"/>
        <v>0.15942028985507456</v>
      </c>
      <c r="Q783">
        <f t="shared" si="1005"/>
        <v>1043563410.8405935</v>
      </c>
      <c r="R783">
        <f t="shared" si="1006"/>
        <v>-222939847343.48032</v>
      </c>
      <c r="S783">
        <f t="shared" si="1007"/>
        <v>-2229398.4734348031</v>
      </c>
      <c r="T783">
        <f t="shared" si="1008"/>
        <v>-2229.3984734348032</v>
      </c>
    </row>
    <row r="784" spans="1:20" x14ac:dyDescent="0.25">
      <c r="A784" s="5">
        <v>43809</v>
      </c>
      <c r="B784">
        <v>1.003E-4</v>
      </c>
      <c r="C784">
        <v>1.0280000000000001E-4</v>
      </c>
      <c r="D784">
        <v>9.0699999999999996E-5</v>
      </c>
      <c r="E784">
        <v>9.5500000000000004E-5</v>
      </c>
      <c r="F784">
        <v>9195689347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-0.20661157024793314</v>
      </c>
      <c r="Q784">
        <f t="shared" si="1005"/>
        <v>-1899935815.4958608</v>
      </c>
      <c r="R784">
        <f t="shared" si="1006"/>
        <v>-223983410754.32092</v>
      </c>
      <c r="S784">
        <f t="shared" si="1007"/>
        <v>-2239834.1075432091</v>
      </c>
      <c r="T784">
        <f t="shared" si="1008"/>
        <v>-2239.834107543209</v>
      </c>
    </row>
    <row r="785" spans="1:20" x14ac:dyDescent="0.25">
      <c r="A785" s="5">
        <v>43808</v>
      </c>
      <c r="B785">
        <v>1.078E-4</v>
      </c>
      <c r="C785">
        <v>1.097E-4</v>
      </c>
      <c r="D785">
        <v>9.9400000000000004E-5</v>
      </c>
      <c r="E785">
        <v>1.003E-4</v>
      </c>
      <c r="F785">
        <v>6676545141</v>
      </c>
      <c r="G785">
        <v>0</v>
      </c>
      <c r="L785" t="s">
        <v>8</v>
      </c>
      <c r="M785" t="s">
        <v>7</v>
      </c>
      <c r="N785" t="s">
        <v>7</v>
      </c>
      <c r="P785">
        <f t="shared" si="1004"/>
        <v>-0.8252427184466028</v>
      </c>
      <c r="Q785">
        <f t="shared" si="1005"/>
        <v>-5509770261.9902973</v>
      </c>
      <c r="R785">
        <f t="shared" si="1006"/>
        <v>-222083474938.82507</v>
      </c>
      <c r="S785">
        <f t="shared" si="1007"/>
        <v>-2220834.7493882505</v>
      </c>
      <c r="T785">
        <f t="shared" si="1008"/>
        <v>-2220.8347493882507</v>
      </c>
    </row>
    <row r="786" spans="1:20" x14ac:dyDescent="0.25">
      <c r="A786" s="5">
        <v>43807</v>
      </c>
      <c r="B786">
        <v>1.0280000000000001E-4</v>
      </c>
      <c r="C786">
        <v>1.091E-4</v>
      </c>
      <c r="D786">
        <v>1.005E-4</v>
      </c>
      <c r="E786">
        <v>1.078E-4</v>
      </c>
      <c r="F786">
        <v>8367755829</v>
      </c>
      <c r="G786">
        <v>0</v>
      </c>
      <c r="L786" t="s">
        <v>7</v>
      </c>
      <c r="M786" t="s">
        <v>7</v>
      </c>
      <c r="N786" t="s">
        <v>7</v>
      </c>
      <c r="P786">
        <f t="shared" si="1004"/>
        <v>0.69767441860465296</v>
      </c>
      <c r="Q786">
        <f t="shared" si="1005"/>
        <v>5837969183.0232706</v>
      </c>
      <c r="R786">
        <f t="shared" si="1006"/>
        <v>-216573704676.83478</v>
      </c>
      <c r="S786">
        <f t="shared" si="1007"/>
        <v>-2165737.0467683477</v>
      </c>
      <c r="T786">
        <f t="shared" si="1008"/>
        <v>-2165.7370467683477</v>
      </c>
    </row>
    <row r="787" spans="1:20" x14ac:dyDescent="0.25">
      <c r="A787" s="5">
        <v>43806</v>
      </c>
      <c r="B787">
        <v>1.036E-4</v>
      </c>
      <c r="C787">
        <v>1.055E-4</v>
      </c>
      <c r="D787">
        <v>1.015E-4</v>
      </c>
      <c r="E787">
        <v>1.0280000000000001E-4</v>
      </c>
      <c r="F787">
        <v>6772566924</v>
      </c>
      <c r="G787">
        <v>0</v>
      </c>
      <c r="L787" t="s">
        <v>8</v>
      </c>
      <c r="M787" t="s">
        <v>7</v>
      </c>
      <c r="N787" t="s">
        <v>7</v>
      </c>
      <c r="P787">
        <f t="shared" si="1004"/>
        <v>-0.34999999999999815</v>
      </c>
      <c r="Q787">
        <f t="shared" si="1005"/>
        <v>-2370398423.3999872</v>
      </c>
      <c r="R787">
        <f t="shared" si="1006"/>
        <v>-222411673859.85806</v>
      </c>
      <c r="S787">
        <f t="shared" si="1007"/>
        <v>-2224116.7385985805</v>
      </c>
      <c r="T787">
        <f t="shared" si="1008"/>
        <v>-2224.1167385985805</v>
      </c>
    </row>
    <row r="788" spans="1:20" x14ac:dyDescent="0.25">
      <c r="A788" s="5">
        <v>43805</v>
      </c>
      <c r="B788">
        <v>1.019E-4</v>
      </c>
      <c r="C788">
        <v>1.039E-4</v>
      </c>
      <c r="D788">
        <v>9.9500000000000006E-5</v>
      </c>
      <c r="E788">
        <v>1.036E-4</v>
      </c>
      <c r="F788">
        <v>7182605766</v>
      </c>
      <c r="G788">
        <v>0</v>
      </c>
      <c r="L788" t="s">
        <v>7</v>
      </c>
      <c r="M788" t="s">
        <v>7</v>
      </c>
      <c r="N788" t="s">
        <v>7</v>
      </c>
      <c r="P788">
        <f t="shared" si="1004"/>
        <v>0.86363636363636032</v>
      </c>
      <c r="Q788">
        <f t="shared" si="1005"/>
        <v>6203159525.1817942</v>
      </c>
      <c r="R788">
        <f t="shared" si="1006"/>
        <v>-220041275436.45807</v>
      </c>
      <c r="S788">
        <f t="shared" si="1007"/>
        <v>-2200412.7543645808</v>
      </c>
      <c r="T788">
        <f t="shared" si="1008"/>
        <v>-2200.4127543645809</v>
      </c>
    </row>
    <row r="789" spans="1:20" x14ac:dyDescent="0.25">
      <c r="A789" s="5">
        <v>43804</v>
      </c>
      <c r="B789">
        <v>1.0060000000000001E-4</v>
      </c>
      <c r="C789">
        <v>1.055E-4</v>
      </c>
      <c r="D789">
        <v>9.9699999999999998E-5</v>
      </c>
      <c r="E789">
        <v>1.019E-4</v>
      </c>
      <c r="F789">
        <v>6989119538</v>
      </c>
      <c r="G789">
        <v>0</v>
      </c>
      <c r="L789" t="s">
        <v>8</v>
      </c>
      <c r="M789" t="s">
        <v>7</v>
      </c>
      <c r="N789" t="s">
        <v>7</v>
      </c>
      <c r="P789">
        <f t="shared" si="1004"/>
        <v>-0.24137931034482854</v>
      </c>
      <c r="Q789">
        <f t="shared" si="1005"/>
        <v>-1687028854.0000067</v>
      </c>
      <c r="R789">
        <f t="shared" si="1006"/>
        <v>-226244434961.63986</v>
      </c>
      <c r="S789">
        <f t="shared" si="1007"/>
        <v>-2262444.3496163986</v>
      </c>
      <c r="T789">
        <f t="shared" si="1008"/>
        <v>-2262.4443496163985</v>
      </c>
    </row>
    <row r="790" spans="1:20" x14ac:dyDescent="0.25">
      <c r="A790" s="5">
        <v>43803</v>
      </c>
      <c r="B790">
        <v>1.0009999999999999E-4</v>
      </c>
      <c r="C790">
        <v>1.05E-4</v>
      </c>
      <c r="D790">
        <v>9.7100000000000002E-5</v>
      </c>
      <c r="E790">
        <v>1.009E-4</v>
      </c>
      <c r="F790">
        <v>6842978832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-3.7974683544304708E-2</v>
      </c>
      <c r="Q790">
        <f t="shared" si="1005"/>
        <v>-259859955.64557585</v>
      </c>
      <c r="R790">
        <f t="shared" si="1006"/>
        <v>-224557406107.63986</v>
      </c>
      <c r="S790">
        <f t="shared" si="1007"/>
        <v>-2245574.0610763985</v>
      </c>
      <c r="T790">
        <f t="shared" si="1008"/>
        <v>-2245.5740610763983</v>
      </c>
    </row>
    <row r="791" spans="1:20" x14ac:dyDescent="0.25">
      <c r="A791" s="5">
        <v>43802</v>
      </c>
      <c r="B791">
        <v>9.9500000000000006E-5</v>
      </c>
      <c r="C791">
        <v>1.015E-4</v>
      </c>
      <c r="D791">
        <v>9.8099999999999999E-5</v>
      </c>
      <c r="E791">
        <v>1.0009999999999999E-4</v>
      </c>
      <c r="F791">
        <v>4476552982</v>
      </c>
      <c r="G791">
        <v>0</v>
      </c>
      <c r="L791" t="s">
        <v>8</v>
      </c>
      <c r="M791" t="s">
        <v>7</v>
      </c>
      <c r="N791" t="s">
        <v>7</v>
      </c>
      <c r="P791">
        <f t="shared" si="1004"/>
        <v>0.17647058823529035</v>
      </c>
      <c r="Q791">
        <f t="shared" si="1005"/>
        <v>789979937.99998319</v>
      </c>
      <c r="R791">
        <f t="shared" si="1006"/>
        <v>-224297546151.99429</v>
      </c>
      <c r="S791">
        <f t="shared" si="1007"/>
        <v>-2242975.4615199431</v>
      </c>
      <c r="T791">
        <f t="shared" si="1008"/>
        <v>-2242.9754615199431</v>
      </c>
    </row>
    <row r="792" spans="1:20" x14ac:dyDescent="0.25">
      <c r="A792" s="5">
        <v>43801</v>
      </c>
      <c r="B792">
        <v>1.03E-4</v>
      </c>
      <c r="C792">
        <v>1.032E-4</v>
      </c>
      <c r="D792">
        <v>9.8300000000000004E-5</v>
      </c>
      <c r="E792">
        <v>9.9900000000000002E-5</v>
      </c>
      <c r="F792">
        <v>4131150266</v>
      </c>
      <c r="G792">
        <v>0</v>
      </c>
      <c r="L792" t="s">
        <v>7</v>
      </c>
      <c r="M792" t="s">
        <v>7</v>
      </c>
      <c r="N792" t="s">
        <v>7</v>
      </c>
      <c r="P792">
        <f t="shared" si="1004"/>
        <v>-0.34693877551020441</v>
      </c>
      <c r="Q792">
        <f t="shared" si="1005"/>
        <v>-1433256214.7346952</v>
      </c>
      <c r="R792">
        <f t="shared" si="1006"/>
        <v>-225087526089.99426</v>
      </c>
      <c r="S792">
        <f t="shared" si="1007"/>
        <v>-2250875.2608999428</v>
      </c>
      <c r="T792">
        <f t="shared" si="1008"/>
        <v>-2250.875260899943</v>
      </c>
    </row>
    <row r="793" spans="1:20" x14ac:dyDescent="0.25">
      <c r="A793" s="5">
        <v>43800</v>
      </c>
      <c r="B793">
        <v>1.0620000000000001E-4</v>
      </c>
      <c r="C793">
        <v>1.065E-4</v>
      </c>
      <c r="D793">
        <v>9.8900000000000005E-5</v>
      </c>
      <c r="E793">
        <v>1.03E-4</v>
      </c>
      <c r="F793">
        <v>5686402185</v>
      </c>
      <c r="G793">
        <v>0</v>
      </c>
      <c r="L793" t="s">
        <v>8</v>
      </c>
      <c r="M793" t="s">
        <v>7</v>
      </c>
      <c r="N793" t="s">
        <v>7</v>
      </c>
      <c r="P793">
        <f t="shared" si="1004"/>
        <v>7.8947368421051031E-2</v>
      </c>
      <c r="Q793">
        <f t="shared" si="1005"/>
        <v>448926488.28946459</v>
      </c>
      <c r="R793">
        <f t="shared" si="1006"/>
        <v>-223654269875.25958</v>
      </c>
      <c r="S793">
        <f t="shared" si="1007"/>
        <v>-2236542.698752596</v>
      </c>
      <c r="T793">
        <f t="shared" si="1008"/>
        <v>-2236.5426987525962</v>
      </c>
    </row>
    <row r="794" spans="1:20" x14ac:dyDescent="0.25">
      <c r="A794" s="5">
        <v>43799</v>
      </c>
      <c r="B794">
        <v>1.13E-4</v>
      </c>
      <c r="C794">
        <v>1.139E-4</v>
      </c>
      <c r="D794">
        <v>1.0179999999999999E-4</v>
      </c>
      <c r="E794">
        <v>1.0620000000000001E-4</v>
      </c>
      <c r="F794">
        <v>6685291190</v>
      </c>
      <c r="G794">
        <v>0</v>
      </c>
      <c r="L794" t="s">
        <v>7</v>
      </c>
      <c r="M794" t="s">
        <v>7</v>
      </c>
      <c r="N794" t="s">
        <v>7</v>
      </c>
      <c r="P794">
        <f t="shared" si="1004"/>
        <v>-0.27272727272727132</v>
      </c>
      <c r="Q794">
        <f t="shared" si="1005"/>
        <v>-1823261233.6363542</v>
      </c>
      <c r="R794">
        <f t="shared" si="1006"/>
        <v>-224103196363.54904</v>
      </c>
      <c r="S794">
        <f t="shared" si="1007"/>
        <v>-2241031.9636354903</v>
      </c>
      <c r="T794">
        <f t="shared" si="1008"/>
        <v>-2241.0319636354902</v>
      </c>
    </row>
    <row r="795" spans="1:20" x14ac:dyDescent="0.25">
      <c r="A795" s="5">
        <v>43798</v>
      </c>
      <c r="B795">
        <v>1.126E-4</v>
      </c>
      <c r="C795">
        <v>1.153E-4</v>
      </c>
      <c r="D795">
        <v>1.109E-4</v>
      </c>
      <c r="E795">
        <v>1.1290000000000001E-4</v>
      </c>
      <c r="F795">
        <v>4173726655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-9.0909090909086984E-2</v>
      </c>
      <c r="Q795">
        <f t="shared" si="1005"/>
        <v>-379429695.90907454</v>
      </c>
      <c r="R795">
        <f t="shared" si="1006"/>
        <v>-222279935129.91269</v>
      </c>
      <c r="S795">
        <f t="shared" si="1007"/>
        <v>-2222799.3512991271</v>
      </c>
      <c r="T795">
        <f t="shared" si="1008"/>
        <v>-2222.799351299127</v>
      </c>
    </row>
    <row r="796" spans="1:20" x14ac:dyDescent="0.25">
      <c r="A796" s="5">
        <v>43797</v>
      </c>
      <c r="B796">
        <v>1.0670000000000001E-4</v>
      </c>
      <c r="C796">
        <v>1.215E-4</v>
      </c>
      <c r="D796">
        <v>1.05E-4</v>
      </c>
      <c r="E796">
        <v>1.128E-4</v>
      </c>
      <c r="F796">
        <v>4398488321</v>
      </c>
      <c r="G796">
        <v>0</v>
      </c>
      <c r="L796" t="s">
        <v>7</v>
      </c>
      <c r="M796" t="s">
        <v>8</v>
      </c>
      <c r="N796" t="s">
        <v>7</v>
      </c>
      <c r="P796">
        <f t="shared" si="1004"/>
        <v>-5.4545454545454244E-2</v>
      </c>
      <c r="Q796">
        <f t="shared" si="1005"/>
        <v>-239917544.78181687</v>
      </c>
      <c r="R796">
        <f t="shared" si="1006"/>
        <v>-221900505434.0036</v>
      </c>
      <c r="S796">
        <f t="shared" si="1007"/>
        <v>-2219005.0543400361</v>
      </c>
      <c r="T796">
        <f t="shared" si="1008"/>
        <v>-2219.0050543400362</v>
      </c>
    </row>
    <row r="797" spans="1:20" x14ac:dyDescent="0.25">
      <c r="A797" s="5">
        <v>43796</v>
      </c>
      <c r="B797">
        <v>1.087E-4</v>
      </c>
      <c r="C797">
        <v>1.1069999999999999E-4</v>
      </c>
      <c r="D797">
        <v>9.6899999999999997E-5</v>
      </c>
      <c r="E797">
        <v>1.066E-4</v>
      </c>
      <c r="F797">
        <v>5924777824</v>
      </c>
      <c r="G797">
        <v>0</v>
      </c>
      <c r="L797" t="s">
        <v>8</v>
      </c>
      <c r="M797" t="s">
        <v>7</v>
      </c>
      <c r="N797" t="s">
        <v>7</v>
      </c>
      <c r="P797">
        <f t="shared" si="1004"/>
        <v>0.4057971014492765</v>
      </c>
      <c r="Q797">
        <f t="shared" si="1005"/>
        <v>2404257667.7101517</v>
      </c>
      <c r="R797">
        <f t="shared" si="1006"/>
        <v>-221660587889.22177</v>
      </c>
      <c r="S797">
        <f t="shared" si="1007"/>
        <v>-2216605.8788922178</v>
      </c>
      <c r="T797">
        <f t="shared" si="1008"/>
        <v>-2216.6058788922178</v>
      </c>
    </row>
    <row r="798" spans="1:20" x14ac:dyDescent="0.25">
      <c r="A798" s="5">
        <v>43795</v>
      </c>
      <c r="B798">
        <v>1.0789999999999999E-4</v>
      </c>
      <c r="C798">
        <v>1.12E-4</v>
      </c>
      <c r="D798">
        <v>1.0399999999999999E-4</v>
      </c>
      <c r="E798">
        <v>1.0900000000000001E-4</v>
      </c>
      <c r="F798">
        <v>4319706513</v>
      </c>
      <c r="G798">
        <v>0</v>
      </c>
      <c r="L798" t="s">
        <v>7</v>
      </c>
      <c r="M798" t="s">
        <v>7</v>
      </c>
      <c r="N798" t="s">
        <v>7</v>
      </c>
      <c r="P798">
        <f t="shared" si="1004"/>
        <v>0.25000000000000255</v>
      </c>
      <c r="Q798">
        <f t="shared" si="1005"/>
        <v>1079926628.250011</v>
      </c>
      <c r="R798">
        <f t="shared" si="1006"/>
        <v>-224064845556.93192</v>
      </c>
      <c r="S798">
        <f t="shared" si="1007"/>
        <v>-2240648.455569319</v>
      </c>
      <c r="T798">
        <f t="shared" si="1008"/>
        <v>-2240.6484555693191</v>
      </c>
    </row>
    <row r="799" spans="1:20" x14ac:dyDescent="0.25">
      <c r="A799" s="5">
        <v>43794</v>
      </c>
      <c r="B799">
        <v>1.1290000000000001E-4</v>
      </c>
      <c r="C799">
        <v>1.132E-4</v>
      </c>
      <c r="D799">
        <v>1.0289999999999999E-4</v>
      </c>
      <c r="E799">
        <v>1.08E-4</v>
      </c>
      <c r="F799">
        <v>5238958759</v>
      </c>
      <c r="G799">
        <v>0</v>
      </c>
      <c r="L799" t="s">
        <v>8</v>
      </c>
      <c r="M799" t="s">
        <v>7</v>
      </c>
      <c r="N799" t="s">
        <v>7</v>
      </c>
      <c r="P799">
        <f t="shared" si="1004"/>
        <v>-9.7087378640778998E-3</v>
      </c>
      <c r="Q799">
        <f t="shared" si="1005"/>
        <v>-50863677.271845862</v>
      </c>
      <c r="R799">
        <f t="shared" si="1006"/>
        <v>-225144772185.18192</v>
      </c>
      <c r="S799">
        <f t="shared" si="1007"/>
        <v>-2251447.7218518192</v>
      </c>
      <c r="T799">
        <f t="shared" si="1008"/>
        <v>-2251.4477218518191</v>
      </c>
    </row>
    <row r="800" spans="1:20" x14ac:dyDescent="0.25">
      <c r="A800" s="5">
        <v>43793</v>
      </c>
      <c r="B800">
        <v>1.2650000000000001E-4</v>
      </c>
      <c r="C800">
        <v>1.2659999999999999E-4</v>
      </c>
      <c r="D800">
        <v>1.122E-4</v>
      </c>
      <c r="E800">
        <v>1.1290000000000001E-4</v>
      </c>
      <c r="F800">
        <v>3009584515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-0.90277777777777724</v>
      </c>
      <c r="Q800">
        <f t="shared" si="1005"/>
        <v>-2716986020.4861093</v>
      </c>
      <c r="R800">
        <f t="shared" si="1006"/>
        <v>-225093908507.91006</v>
      </c>
      <c r="S800">
        <f t="shared" si="1007"/>
        <v>-2250939.0850791004</v>
      </c>
      <c r="T800">
        <f t="shared" si="1008"/>
        <v>-2250.9390850791006</v>
      </c>
    </row>
    <row r="801" spans="1:20" x14ac:dyDescent="0.25">
      <c r="A801" s="5">
        <v>43792</v>
      </c>
      <c r="B801">
        <v>1.2650000000000001E-4</v>
      </c>
      <c r="C801">
        <v>1.272E-4</v>
      </c>
      <c r="D801">
        <v>1.172E-4</v>
      </c>
      <c r="E801">
        <v>1.262E-4</v>
      </c>
      <c r="F801">
        <v>3236827075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0.80000000000000049</v>
      </c>
      <c r="Q801">
        <f t="shared" si="1005"/>
        <v>2589461660.0000014</v>
      </c>
      <c r="R801">
        <f t="shared" si="1006"/>
        <v>-222376922487.42395</v>
      </c>
      <c r="S801">
        <f t="shared" si="1007"/>
        <v>-2223769.2248742394</v>
      </c>
      <c r="T801">
        <f t="shared" si="1008"/>
        <v>-2223.7692248742396</v>
      </c>
    </row>
    <row r="802" spans="1:20" x14ac:dyDescent="0.25">
      <c r="A802" s="5">
        <v>43791</v>
      </c>
      <c r="B802">
        <v>1.339E-4</v>
      </c>
      <c r="C802">
        <v>1.3909999999999999E-4</v>
      </c>
      <c r="D802">
        <v>1.15E-4</v>
      </c>
      <c r="E802">
        <v>1.261E-4</v>
      </c>
      <c r="F802">
        <v>2526867932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-7.8838174273858627E-2</v>
      </c>
      <c r="Q802">
        <f t="shared" si="1005"/>
        <v>-199213654.39004076</v>
      </c>
      <c r="R802">
        <f t="shared" si="1006"/>
        <v>-224966384147.42395</v>
      </c>
      <c r="S802">
        <f t="shared" si="1007"/>
        <v>-2249663.8414742397</v>
      </c>
      <c r="T802">
        <f t="shared" si="1008"/>
        <v>-2249.6638414742397</v>
      </c>
    </row>
    <row r="803" spans="1:20" x14ac:dyDescent="0.25">
      <c r="A803" s="5">
        <v>43790</v>
      </c>
      <c r="B803">
        <v>1.5100000000000001E-4</v>
      </c>
      <c r="C803">
        <v>1.5109999999999999E-4</v>
      </c>
      <c r="D803">
        <v>1.3100000000000001E-4</v>
      </c>
      <c r="E803">
        <v>1.338E-4</v>
      </c>
      <c r="F803">
        <v>4295228645</v>
      </c>
      <c r="G803">
        <v>0</v>
      </c>
      <c r="L803" t="s">
        <v>8</v>
      </c>
      <c r="M803" t="s">
        <v>7</v>
      </c>
      <c r="N803" t="s">
        <v>7</v>
      </c>
      <c r="P803">
        <f t="shared" si="1004"/>
        <v>-0.72139303482587158</v>
      </c>
      <c r="Q803">
        <f t="shared" si="1005"/>
        <v>-3098548027.487566</v>
      </c>
      <c r="R803">
        <f t="shared" si="1006"/>
        <v>-224767170493.03391</v>
      </c>
      <c r="S803">
        <f t="shared" si="1007"/>
        <v>-2247671.704930339</v>
      </c>
      <c r="T803">
        <f t="shared" si="1008"/>
        <v>-2247.6717049303388</v>
      </c>
    </row>
    <row r="804" spans="1:20" x14ac:dyDescent="0.25">
      <c r="A804" s="5">
        <v>43789</v>
      </c>
      <c r="B804">
        <v>1.5530000000000001E-4</v>
      </c>
      <c r="C804">
        <v>1.5589999999999999E-4</v>
      </c>
      <c r="D804">
        <v>1.4750000000000001E-4</v>
      </c>
      <c r="E804">
        <v>1.5100000000000001E-4</v>
      </c>
      <c r="F804">
        <v>5755242842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-0.16666666666666452</v>
      </c>
      <c r="Q804">
        <f t="shared" si="1005"/>
        <v>-959207140.33332098</v>
      </c>
      <c r="R804">
        <f t="shared" si="1006"/>
        <v>-221668622465.54633</v>
      </c>
      <c r="S804">
        <f t="shared" si="1007"/>
        <v>-2216686.2246554634</v>
      </c>
      <c r="T804">
        <f t="shared" si="1008"/>
        <v>-2216.6862246554633</v>
      </c>
    </row>
    <row r="805" spans="1:20" x14ac:dyDescent="0.25">
      <c r="A805" s="5">
        <v>43788</v>
      </c>
      <c r="B805">
        <v>1.584E-4</v>
      </c>
      <c r="C805">
        <v>1.5890000000000001E-4</v>
      </c>
      <c r="D805">
        <v>1.5119999999999999E-4</v>
      </c>
      <c r="E805">
        <v>1.552E-4</v>
      </c>
      <c r="F805">
        <v>9478197839</v>
      </c>
      <c r="G805">
        <v>0</v>
      </c>
      <c r="L805" t="s">
        <v>8</v>
      </c>
      <c r="M805" t="s">
        <v>7</v>
      </c>
      <c r="N805" t="s">
        <v>7</v>
      </c>
      <c r="P805">
        <f t="shared" si="1004"/>
        <v>3.8961038961039786E-2</v>
      </c>
      <c r="Q805">
        <f t="shared" si="1005"/>
        <v>369280435.28572208</v>
      </c>
      <c r="R805">
        <f t="shared" si="1006"/>
        <v>-220709415325.21301</v>
      </c>
      <c r="S805">
        <f t="shared" si="1007"/>
        <v>-2207094.1532521299</v>
      </c>
      <c r="T805">
        <f t="shared" si="1008"/>
        <v>-2207.0941532521301</v>
      </c>
    </row>
    <row r="806" spans="1:20" x14ac:dyDescent="0.25">
      <c r="A806" s="5">
        <v>43787</v>
      </c>
      <c r="B806">
        <v>1.717E-4</v>
      </c>
      <c r="C806">
        <v>1.719E-4</v>
      </c>
      <c r="D806">
        <v>1.5779999999999999E-4</v>
      </c>
      <c r="E806">
        <v>1.584E-4</v>
      </c>
      <c r="F806">
        <v>6190884749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-0.91489361702127459</v>
      </c>
      <c r="Q806">
        <f t="shared" si="1005"/>
        <v>-5664000940.5744553</v>
      </c>
      <c r="R806">
        <f t="shared" si="1006"/>
        <v>-221078695760.49875</v>
      </c>
      <c r="S806">
        <f t="shared" si="1007"/>
        <v>-2210786.9576049875</v>
      </c>
      <c r="T806">
        <f t="shared" si="1008"/>
        <v>-2210.7869576049875</v>
      </c>
    </row>
    <row r="807" spans="1:20" x14ac:dyDescent="0.25">
      <c r="A807" s="5">
        <v>43786</v>
      </c>
      <c r="B807">
        <v>1.749E-4</v>
      </c>
      <c r="C807">
        <v>1.7550000000000001E-4</v>
      </c>
      <c r="D807">
        <v>1.706E-4</v>
      </c>
      <c r="E807">
        <v>1.717E-4</v>
      </c>
      <c r="F807">
        <v>5361462687</v>
      </c>
      <c r="G807">
        <v>0</v>
      </c>
      <c r="L807" t="s">
        <v>8</v>
      </c>
      <c r="M807" t="s">
        <v>7</v>
      </c>
      <c r="N807" t="s">
        <v>7</v>
      </c>
      <c r="P807">
        <f t="shared" si="1004"/>
        <v>-0.55102040816326647</v>
      </c>
      <c r="Q807">
        <f t="shared" si="1005"/>
        <v>-2954275358.1428633</v>
      </c>
      <c r="R807">
        <f t="shared" si="1006"/>
        <v>-215414694819.92429</v>
      </c>
      <c r="S807">
        <f t="shared" si="1007"/>
        <v>-2154146.9481992428</v>
      </c>
      <c r="T807">
        <f t="shared" si="1008"/>
        <v>-2154.1469481992426</v>
      </c>
    </row>
    <row r="808" spans="1:20" x14ac:dyDescent="0.25">
      <c r="A808" s="5">
        <v>43785</v>
      </c>
      <c r="B808">
        <v>1.7469999999999999E-4</v>
      </c>
      <c r="C808">
        <v>1.773E-4</v>
      </c>
      <c r="D808">
        <v>1.74E-4</v>
      </c>
      <c r="E808">
        <v>1.751E-4</v>
      </c>
      <c r="F808">
        <v>5114982368</v>
      </c>
      <c r="G808">
        <v>0</v>
      </c>
      <c r="L808" t="s">
        <v>7</v>
      </c>
      <c r="M808" t="s">
        <v>7</v>
      </c>
      <c r="N808" t="s">
        <v>7</v>
      </c>
      <c r="P808">
        <f t="shared" si="1004"/>
        <v>-0.33333333333333331</v>
      </c>
      <c r="Q808">
        <f t="shared" si="1005"/>
        <v>-1704994122.6666665</v>
      </c>
      <c r="R808">
        <f t="shared" si="1006"/>
        <v>-212460419461.78143</v>
      </c>
      <c r="S808">
        <f t="shared" si="1007"/>
        <v>-2124604.1946178144</v>
      </c>
      <c r="T808">
        <f t="shared" si="1008"/>
        <v>-2124.6041946178143</v>
      </c>
    </row>
    <row r="809" spans="1:20" x14ac:dyDescent="0.25">
      <c r="A809" s="5">
        <v>43784</v>
      </c>
      <c r="B809">
        <v>1.7780000000000001E-4</v>
      </c>
      <c r="C809">
        <v>1.8100000000000001E-4</v>
      </c>
      <c r="D809">
        <v>1.7100000000000001E-4</v>
      </c>
      <c r="E809">
        <v>1.7469999999999999E-4</v>
      </c>
      <c r="F809">
        <v>6698656796</v>
      </c>
      <c r="G809">
        <v>0</v>
      </c>
      <c r="L809" t="s">
        <v>8</v>
      </c>
      <c r="M809" t="s">
        <v>7</v>
      </c>
      <c r="N809" t="s">
        <v>7</v>
      </c>
      <c r="P809">
        <f t="shared" si="1004"/>
        <v>-0.26000000000000362</v>
      </c>
      <c r="Q809">
        <f t="shared" si="1005"/>
        <v>-1741650766.9600241</v>
      </c>
      <c r="R809">
        <f t="shared" si="1006"/>
        <v>-210755425339.11478</v>
      </c>
      <c r="S809">
        <f t="shared" si="1007"/>
        <v>-2107554.2533911476</v>
      </c>
      <c r="T809">
        <f t="shared" si="1008"/>
        <v>-2107.5542533911475</v>
      </c>
    </row>
    <row r="810" spans="1:20" x14ac:dyDescent="0.25">
      <c r="A810" s="5">
        <v>43783</v>
      </c>
      <c r="B810">
        <v>1.8249999999999999E-4</v>
      </c>
      <c r="C810">
        <v>1.839E-4</v>
      </c>
      <c r="D810">
        <v>1.738E-4</v>
      </c>
      <c r="E810">
        <v>1.7789999999999999E-4</v>
      </c>
      <c r="F810">
        <v>3019373667</v>
      </c>
      <c r="G810">
        <v>0</v>
      </c>
      <c r="L810" t="s">
        <v>7</v>
      </c>
      <c r="M810" t="s">
        <v>7</v>
      </c>
      <c r="N810" t="s">
        <v>7</v>
      </c>
      <c r="P810">
        <f t="shared" si="1004"/>
        <v>-0.18811881188118998</v>
      </c>
      <c r="Q810">
        <f t="shared" si="1005"/>
        <v>-568000986.86139178</v>
      </c>
      <c r="R810">
        <f t="shared" si="1006"/>
        <v>-209013774572.15475</v>
      </c>
      <c r="S810">
        <f t="shared" si="1007"/>
        <v>-2090137.7457215476</v>
      </c>
      <c r="T810">
        <f t="shared" si="1008"/>
        <v>-2090.1377457215476</v>
      </c>
    </row>
    <row r="811" spans="1:20" x14ac:dyDescent="0.25">
      <c r="A811" s="5">
        <v>43782</v>
      </c>
      <c r="B811">
        <v>1.819E-4</v>
      </c>
      <c r="C811">
        <v>1.872E-4</v>
      </c>
      <c r="D811">
        <v>1.774E-4</v>
      </c>
      <c r="E811">
        <v>1.827E-4</v>
      </c>
      <c r="F811">
        <v>5045606008</v>
      </c>
      <c r="G811">
        <v>0</v>
      </c>
      <c r="L811" t="s">
        <v>8</v>
      </c>
      <c r="M811" t="s">
        <v>7</v>
      </c>
      <c r="N811" t="s">
        <v>7</v>
      </c>
      <c r="P811">
        <f t="shared" si="1004"/>
        <v>8.1632653061223762E-2</v>
      </c>
      <c r="Q811">
        <f t="shared" si="1005"/>
        <v>411886204.73469019</v>
      </c>
      <c r="R811">
        <f t="shared" si="1006"/>
        <v>-208445773585.29337</v>
      </c>
      <c r="S811">
        <f t="shared" si="1007"/>
        <v>-2084457.7358529337</v>
      </c>
      <c r="T811">
        <f t="shared" si="1008"/>
        <v>-2084.4577358529336</v>
      </c>
    </row>
    <row r="812" spans="1:20" x14ac:dyDescent="0.25">
      <c r="A812" s="5">
        <v>43781</v>
      </c>
      <c r="B812">
        <v>1.807E-4</v>
      </c>
      <c r="C812">
        <v>1.8469999999999999E-4</v>
      </c>
      <c r="D812">
        <v>1.763E-4</v>
      </c>
      <c r="E812">
        <v>1.819E-4</v>
      </c>
      <c r="F812">
        <v>6613978048</v>
      </c>
      <c r="G812">
        <v>0</v>
      </c>
      <c r="L812" t="s">
        <v>7</v>
      </c>
      <c r="M812" t="s">
        <v>7</v>
      </c>
      <c r="N812" t="s">
        <v>7</v>
      </c>
      <c r="P812">
        <f t="shared" si="1004"/>
        <v>0.33333333333333548</v>
      </c>
      <c r="Q812">
        <f t="shared" si="1005"/>
        <v>2204659349.3333473</v>
      </c>
      <c r="R812">
        <f t="shared" si="1006"/>
        <v>-208857659790.02805</v>
      </c>
      <c r="S812">
        <f t="shared" si="1007"/>
        <v>-2088576.5979002805</v>
      </c>
      <c r="T812">
        <f t="shared" si="1008"/>
        <v>-2088.5765979002804</v>
      </c>
    </row>
    <row r="813" spans="1:20" x14ac:dyDescent="0.25">
      <c r="A813" s="5">
        <v>43780</v>
      </c>
      <c r="B813">
        <v>1.875E-4</v>
      </c>
      <c r="C813">
        <v>1.875E-4</v>
      </c>
      <c r="D813">
        <v>1.728E-4</v>
      </c>
      <c r="E813">
        <v>1.8090000000000001E-4</v>
      </c>
      <c r="F813">
        <v>6817270132</v>
      </c>
      <c r="G813">
        <v>0</v>
      </c>
      <c r="L813" t="s">
        <v>8</v>
      </c>
      <c r="M813" t="s">
        <v>7</v>
      </c>
      <c r="N813" t="s">
        <v>7</v>
      </c>
      <c r="P813">
        <f t="shared" si="1004"/>
        <v>0.10204081632653121</v>
      </c>
      <c r="Q813">
        <f t="shared" si="1005"/>
        <v>695639809.38775921</v>
      </c>
      <c r="R813">
        <f t="shared" si="1006"/>
        <v>-211062319139.36139</v>
      </c>
      <c r="S813">
        <f t="shared" si="1007"/>
        <v>-2110623.1913936138</v>
      </c>
      <c r="T813">
        <f t="shared" si="1008"/>
        <v>-2110.623191393614</v>
      </c>
    </row>
    <row r="814" spans="1:20" x14ac:dyDescent="0.25">
      <c r="A814" s="5">
        <v>43779</v>
      </c>
      <c r="B814">
        <v>1.794E-4</v>
      </c>
      <c r="C814">
        <v>2.1000000000000001E-4</v>
      </c>
      <c r="D814">
        <v>1.783E-4</v>
      </c>
      <c r="E814">
        <v>1.875E-4</v>
      </c>
      <c r="F814">
        <v>12888667161</v>
      </c>
      <c r="G814">
        <v>0</v>
      </c>
      <c r="L814" t="s">
        <v>7</v>
      </c>
      <c r="M814" t="s">
        <v>8</v>
      </c>
      <c r="N814" t="s">
        <v>7</v>
      </c>
      <c r="P814">
        <f t="shared" si="1004"/>
        <v>-0.41955835962145088</v>
      </c>
      <c r="Q814">
        <f t="shared" si="1005"/>
        <v>-5407548051.776022</v>
      </c>
      <c r="R814">
        <f t="shared" si="1006"/>
        <v>-211757958948.74915</v>
      </c>
      <c r="S814">
        <f t="shared" si="1007"/>
        <v>-2117579.5894874916</v>
      </c>
      <c r="T814">
        <f t="shared" si="1008"/>
        <v>-2117.5795894874918</v>
      </c>
    </row>
    <row r="815" spans="1:20" x14ac:dyDescent="0.25">
      <c r="A815" s="5">
        <v>43778</v>
      </c>
      <c r="B815">
        <v>1.7139999999999999E-4</v>
      </c>
      <c r="C815">
        <v>1.8259999999999999E-4</v>
      </c>
      <c r="D815">
        <v>1.6980000000000001E-4</v>
      </c>
      <c r="E815">
        <v>1.794E-4</v>
      </c>
      <c r="F815">
        <v>6185610626</v>
      </c>
      <c r="G815">
        <v>0</v>
      </c>
      <c r="L815" t="s">
        <v>8</v>
      </c>
      <c r="M815" t="s">
        <v>7</v>
      </c>
      <c r="N815" t="s">
        <v>7</v>
      </c>
      <c r="P815">
        <f t="shared" si="1004"/>
        <v>0.5</v>
      </c>
      <c r="Q815">
        <f t="shared" si="1005"/>
        <v>3092805313</v>
      </c>
      <c r="R815">
        <f t="shared" si="1006"/>
        <v>-206350410896.97311</v>
      </c>
      <c r="S815">
        <f t="shared" si="1007"/>
        <v>-2063504.1089697313</v>
      </c>
      <c r="T815">
        <f t="shared" si="1008"/>
        <v>-2063.5041089697311</v>
      </c>
    </row>
    <row r="816" spans="1:20" x14ac:dyDescent="0.25">
      <c r="A816" s="5">
        <v>43777</v>
      </c>
      <c r="B816">
        <v>1.73E-4</v>
      </c>
      <c r="C816">
        <v>1.7689999999999999E-4</v>
      </c>
      <c r="D816">
        <v>1.661E-4</v>
      </c>
      <c r="E816">
        <v>1.7149999999999999E-4</v>
      </c>
      <c r="F816">
        <v>7324171413</v>
      </c>
      <c r="G816">
        <v>0</v>
      </c>
      <c r="L816" t="s">
        <v>7</v>
      </c>
      <c r="M816" t="s">
        <v>7</v>
      </c>
      <c r="N816" t="s">
        <v>7</v>
      </c>
      <c r="P816">
        <f t="shared" si="1004"/>
        <v>0</v>
      </c>
      <c r="Q816">
        <f t="shared" si="1005"/>
        <v>0</v>
      </c>
      <c r="R816">
        <f t="shared" si="1006"/>
        <v>-209443216209.97311</v>
      </c>
      <c r="S816">
        <f t="shared" si="1007"/>
        <v>-2094432.1620997312</v>
      </c>
      <c r="T816">
        <f t="shared" si="1008"/>
        <v>-2094.4321620997312</v>
      </c>
    </row>
    <row r="817" spans="1:20" x14ac:dyDescent="0.25">
      <c r="A817" s="5">
        <v>43776</v>
      </c>
      <c r="B817">
        <v>1.771E-4</v>
      </c>
      <c r="C817">
        <v>1.775E-4</v>
      </c>
      <c r="D817">
        <v>1.7029999999999999E-4</v>
      </c>
      <c r="E817">
        <v>1.7310000000000001E-4</v>
      </c>
      <c r="F817">
        <v>7863332430</v>
      </c>
      <c r="G817">
        <v>0</v>
      </c>
      <c r="L817" t="s">
        <v>8</v>
      </c>
      <c r="M817" t="s">
        <v>7</v>
      </c>
      <c r="N817" t="s">
        <v>8</v>
      </c>
      <c r="P817">
        <f t="shared" si="1004"/>
        <v>-0.22222222222221971</v>
      </c>
      <c r="Q817">
        <f t="shared" si="1005"/>
        <v>-1747407206.666647</v>
      </c>
      <c r="R817">
        <f t="shared" si="1006"/>
        <v>-209443216209.97311</v>
      </c>
      <c r="S817">
        <f t="shared" si="1007"/>
        <v>-2094432.1620997312</v>
      </c>
      <c r="T817">
        <f t="shared" si="1008"/>
        <v>-2094.4321620997312</v>
      </c>
    </row>
    <row r="818" spans="1:20" x14ac:dyDescent="0.25">
      <c r="A818" s="5">
        <v>43775</v>
      </c>
      <c r="B818">
        <v>1.797E-4</v>
      </c>
      <c r="C818">
        <v>1.84E-4</v>
      </c>
      <c r="D818">
        <v>1.741E-4</v>
      </c>
      <c r="E818">
        <v>1.7689999999999999E-4</v>
      </c>
      <c r="F818">
        <v>7381957466</v>
      </c>
      <c r="G818">
        <v>0</v>
      </c>
      <c r="L818" t="s">
        <v>7</v>
      </c>
      <c r="M818" t="s">
        <v>7</v>
      </c>
      <c r="N818" t="s">
        <v>8</v>
      </c>
      <c r="P818">
        <f t="shared" si="1004"/>
        <v>-0.43434343434343681</v>
      </c>
      <c r="Q818">
        <f t="shared" si="1005"/>
        <v>-3206304757.9596143</v>
      </c>
      <c r="R818">
        <f t="shared" si="1006"/>
        <v>-207695809003.30646</v>
      </c>
      <c r="S818">
        <f t="shared" si="1007"/>
        <v>-2076958.0900330646</v>
      </c>
      <c r="T818">
        <f t="shared" si="1008"/>
        <v>-2076.9580900330648</v>
      </c>
    </row>
    <row r="819" spans="1:20" x14ac:dyDescent="0.25">
      <c r="A819" s="5">
        <v>43774</v>
      </c>
      <c r="B819">
        <v>1.8000000000000001E-4</v>
      </c>
      <c r="C819">
        <v>1.8000000000000001E-4</v>
      </c>
      <c r="D819">
        <v>1.738E-4</v>
      </c>
      <c r="E819">
        <v>1.797E-4</v>
      </c>
      <c r="F819">
        <v>7069807324</v>
      </c>
      <c r="G819">
        <v>0</v>
      </c>
      <c r="L819" t="s">
        <v>8</v>
      </c>
      <c r="M819" t="s">
        <v>7</v>
      </c>
      <c r="N819" t="s">
        <v>8</v>
      </c>
      <c r="P819">
        <f t="shared" si="1004"/>
        <v>0.90322580645161077</v>
      </c>
      <c r="Q819">
        <f t="shared" si="1005"/>
        <v>6385632421.6774044</v>
      </c>
      <c r="R819">
        <f t="shared" si="1006"/>
        <v>-204489504245.34683</v>
      </c>
      <c r="S819">
        <f t="shared" si="1007"/>
        <v>-2044895.0424534683</v>
      </c>
      <c r="T819">
        <f t="shared" si="1008"/>
        <v>-2044.8950424534682</v>
      </c>
    </row>
    <row r="820" spans="1:20" x14ac:dyDescent="0.25">
      <c r="A820" s="5">
        <v>43773</v>
      </c>
      <c r="B820">
        <v>1.8139999999999999E-4</v>
      </c>
      <c r="C820">
        <v>1.8770000000000001E-4</v>
      </c>
      <c r="D820">
        <v>1.7699999999999999E-4</v>
      </c>
      <c r="E820">
        <v>1.8000000000000001E-4</v>
      </c>
      <c r="F820">
        <v>9047198423</v>
      </c>
      <c r="G820">
        <v>0</v>
      </c>
      <c r="L820" t="s">
        <v>7</v>
      </c>
      <c r="M820" t="s">
        <v>7</v>
      </c>
      <c r="N820" t="s">
        <v>8</v>
      </c>
      <c r="P820">
        <f t="shared" si="1004"/>
        <v>-0.43925233644859546</v>
      </c>
      <c r="Q820">
        <f t="shared" si="1005"/>
        <v>-3974003045.6167984</v>
      </c>
      <c r="R820">
        <f t="shared" si="1006"/>
        <v>-210875136667.02423</v>
      </c>
      <c r="S820">
        <f t="shared" si="1007"/>
        <v>-2108751.3666702425</v>
      </c>
      <c r="T820">
        <f t="shared" si="1008"/>
        <v>-2108.7513666702425</v>
      </c>
    </row>
    <row r="821" spans="1:20" x14ac:dyDescent="0.25">
      <c r="A821" s="5">
        <v>43772</v>
      </c>
      <c r="B821">
        <v>1.885E-4</v>
      </c>
      <c r="C821">
        <v>1.908E-4</v>
      </c>
      <c r="D821">
        <v>1.7770000000000001E-4</v>
      </c>
      <c r="E821">
        <v>1.8139999999999999E-4</v>
      </c>
      <c r="F821">
        <v>8439688306</v>
      </c>
      <c r="G821">
        <v>0</v>
      </c>
      <c r="L821" t="s">
        <v>8</v>
      </c>
      <c r="M821" t="s">
        <v>7</v>
      </c>
      <c r="N821" t="s">
        <v>8</v>
      </c>
      <c r="P821">
        <f t="shared" si="1004"/>
        <v>-0.43511450381679639</v>
      </c>
      <c r="Q821">
        <f t="shared" si="1005"/>
        <v>-3672230789.6336088</v>
      </c>
      <c r="R821">
        <f t="shared" si="1006"/>
        <v>-206901133621.40744</v>
      </c>
      <c r="S821">
        <f t="shared" si="1007"/>
        <v>-2069011.3362140744</v>
      </c>
      <c r="T821">
        <f t="shared" si="1008"/>
        <v>-2069.0113362140746</v>
      </c>
    </row>
    <row r="822" spans="1:20" x14ac:dyDescent="0.25">
      <c r="A822" s="5">
        <v>43771</v>
      </c>
      <c r="B822">
        <v>1.916E-4</v>
      </c>
      <c r="C822">
        <v>1.9680000000000001E-4</v>
      </c>
      <c r="D822">
        <v>1.875E-4</v>
      </c>
      <c r="E822">
        <v>1.8799999999999999E-4</v>
      </c>
      <c r="F822">
        <v>8684378078</v>
      </c>
      <c r="G822">
        <v>0</v>
      </c>
      <c r="L822" t="s">
        <v>7</v>
      </c>
      <c r="M822" t="s">
        <v>7</v>
      </c>
      <c r="N822" t="s">
        <v>8</v>
      </c>
      <c r="P822">
        <f t="shared" si="1004"/>
        <v>-0.89247311827957321</v>
      </c>
      <c r="Q822">
        <f t="shared" si="1005"/>
        <v>-7750573983.5914268</v>
      </c>
      <c r="R822">
        <f t="shared" si="1006"/>
        <v>-203228902831.77383</v>
      </c>
      <c r="S822">
        <f t="shared" si="1007"/>
        <v>-2032289.0283177383</v>
      </c>
      <c r="T822">
        <f t="shared" si="1008"/>
        <v>-2032.2890283177383</v>
      </c>
    </row>
    <row r="823" spans="1:20" x14ac:dyDescent="0.25">
      <c r="A823" s="5">
        <v>43770</v>
      </c>
      <c r="B823">
        <v>1.974E-4</v>
      </c>
      <c r="C823">
        <v>2.1000000000000001E-4</v>
      </c>
      <c r="D823">
        <v>1.8660000000000001E-4</v>
      </c>
      <c r="E823">
        <v>1.916E-4</v>
      </c>
      <c r="F823">
        <v>11231835798</v>
      </c>
      <c r="G823">
        <v>0</v>
      </c>
      <c r="L823" t="s">
        <v>8</v>
      </c>
      <c r="M823" t="s">
        <v>7</v>
      </c>
      <c r="N823" t="s">
        <v>8</v>
      </c>
      <c r="P823">
        <f t="shared" si="1004"/>
        <v>-0.57264957264957383</v>
      </c>
      <c r="Q823">
        <f t="shared" si="1005"/>
        <v>-6431905969.7948847</v>
      </c>
      <c r="R823">
        <f t="shared" si="1006"/>
        <v>-195478328848.1824</v>
      </c>
      <c r="S823">
        <f t="shared" si="1007"/>
        <v>-1954783.2884818241</v>
      </c>
      <c r="T823">
        <f t="shared" si="1008"/>
        <v>-1954.783288481824</v>
      </c>
    </row>
    <row r="824" spans="1:20" x14ac:dyDescent="0.25">
      <c r="A824" s="5">
        <v>43769</v>
      </c>
      <c r="B824">
        <v>1.6459999999999999E-4</v>
      </c>
      <c r="C824">
        <v>2.3599999999999999E-4</v>
      </c>
      <c r="D824">
        <v>1.6459999999999999E-4</v>
      </c>
      <c r="E824">
        <v>1.974E-4</v>
      </c>
      <c r="F824">
        <v>18636665092</v>
      </c>
      <c r="G824">
        <v>0</v>
      </c>
      <c r="L824" t="s">
        <v>7</v>
      </c>
      <c r="M824" t="s">
        <v>8</v>
      </c>
      <c r="N824" t="s">
        <v>8</v>
      </c>
      <c r="P824">
        <f t="shared" si="1004"/>
        <v>-8.1232492997198577E-2</v>
      </c>
      <c r="Q824">
        <f t="shared" si="1005"/>
        <v>-1513902766.5770252</v>
      </c>
      <c r="R824">
        <f t="shared" si="1006"/>
        <v>-189046422878.38751</v>
      </c>
      <c r="S824">
        <f t="shared" si="1007"/>
        <v>-1890464.2287838752</v>
      </c>
      <c r="T824">
        <f t="shared" si="1008"/>
        <v>-1890.4642287838753</v>
      </c>
    </row>
    <row r="825" spans="1:20" x14ac:dyDescent="0.25">
      <c r="A825" s="5">
        <v>43768</v>
      </c>
      <c r="B825">
        <v>1.6019999999999999E-4</v>
      </c>
      <c r="C825">
        <v>1.693E-4</v>
      </c>
      <c r="D825">
        <v>1.5530000000000001E-4</v>
      </c>
      <c r="E825">
        <v>1.6449999999999999E-4</v>
      </c>
      <c r="F825">
        <v>9234428040</v>
      </c>
      <c r="G825">
        <v>0</v>
      </c>
      <c r="L825" t="s">
        <v>8</v>
      </c>
      <c r="M825" t="s">
        <v>8</v>
      </c>
      <c r="N825" t="s">
        <v>7</v>
      </c>
      <c r="P825">
        <f t="shared" si="1004"/>
        <v>0.3142857142857125</v>
      </c>
      <c r="Q825">
        <f t="shared" si="1005"/>
        <v>2902248812.5714121</v>
      </c>
      <c r="R825">
        <f t="shared" si="1006"/>
        <v>-187532520111.81049</v>
      </c>
      <c r="S825">
        <f t="shared" si="1007"/>
        <v>-1875325.2011181049</v>
      </c>
      <c r="T825">
        <f t="shared" si="1008"/>
        <v>-1875.3252011181048</v>
      </c>
    </row>
    <row r="826" spans="1:20" x14ac:dyDescent="0.25">
      <c r="A826" s="5">
        <v>43767</v>
      </c>
      <c r="B826">
        <v>1.496E-4</v>
      </c>
      <c r="C826">
        <v>1.66E-4</v>
      </c>
      <c r="D826">
        <v>1.4779999999999999E-4</v>
      </c>
      <c r="E826">
        <v>1.6019999999999999E-4</v>
      </c>
      <c r="F826">
        <v>8060255878</v>
      </c>
      <c r="G826">
        <v>0</v>
      </c>
      <c r="L826" t="s">
        <v>7</v>
      </c>
      <c r="M826" t="s">
        <v>8</v>
      </c>
      <c r="N826" t="s">
        <v>7</v>
      </c>
      <c r="P826">
        <f t="shared" si="1004"/>
        <v>0.36263736263736235</v>
      </c>
      <c r="Q826">
        <f t="shared" si="1005"/>
        <v>2922949933.7802176</v>
      </c>
      <c r="R826">
        <f t="shared" si="1006"/>
        <v>-190434768924.3819</v>
      </c>
      <c r="S826">
        <f t="shared" si="1007"/>
        <v>-1904347.6892438189</v>
      </c>
      <c r="T826">
        <f t="shared" si="1008"/>
        <v>-1904.3476892438189</v>
      </c>
    </row>
    <row r="827" spans="1:20" x14ac:dyDescent="0.25">
      <c r="A827" s="5">
        <v>43766</v>
      </c>
      <c r="B827">
        <v>1.527E-4</v>
      </c>
      <c r="C827">
        <v>1.6310000000000001E-4</v>
      </c>
      <c r="D827">
        <v>1.485E-4</v>
      </c>
      <c r="E827">
        <v>1.495E-4</v>
      </c>
      <c r="F827">
        <v>8005461460</v>
      </c>
      <c r="G827">
        <v>0</v>
      </c>
      <c r="L827" t="s">
        <v>8</v>
      </c>
      <c r="M827" t="s">
        <v>8</v>
      </c>
      <c r="N827" t="s">
        <v>7</v>
      </c>
      <c r="P827">
        <f t="shared" si="1004"/>
        <v>-0.86301369863013744</v>
      </c>
      <c r="Q827">
        <f t="shared" si="1005"/>
        <v>-6908822903.8356199</v>
      </c>
      <c r="R827">
        <f t="shared" si="1006"/>
        <v>-193357718858.16211</v>
      </c>
      <c r="S827">
        <f t="shared" si="1007"/>
        <v>-1933577.188581621</v>
      </c>
      <c r="T827">
        <f t="shared" si="1008"/>
        <v>-1933.5771885816209</v>
      </c>
    </row>
    <row r="828" spans="1:20" x14ac:dyDescent="0.25">
      <c r="A828" s="5">
        <v>43765</v>
      </c>
      <c r="B828">
        <v>1.3860000000000001E-4</v>
      </c>
      <c r="C828">
        <v>1.5650000000000001E-4</v>
      </c>
      <c r="D828">
        <v>1.3679999999999999E-4</v>
      </c>
      <c r="E828">
        <v>1.526E-4</v>
      </c>
      <c r="F828">
        <v>9422283929</v>
      </c>
      <c r="G828">
        <v>0</v>
      </c>
      <c r="L828" t="s">
        <v>7</v>
      </c>
      <c r="M828" t="s">
        <v>8</v>
      </c>
      <c r="N828" t="s">
        <v>7</v>
      </c>
      <c r="P828">
        <f t="shared" si="1004"/>
        <v>0.60406091370558279</v>
      </c>
      <c r="Q828">
        <f t="shared" si="1005"/>
        <v>5691633439.3451681</v>
      </c>
      <c r="R828">
        <f t="shared" si="1006"/>
        <v>-186448895954.32648</v>
      </c>
      <c r="S828">
        <f t="shared" si="1007"/>
        <v>-1864488.9595432647</v>
      </c>
      <c r="T828">
        <f t="shared" si="1008"/>
        <v>-1864.4889595432646</v>
      </c>
    </row>
    <row r="829" spans="1:20" x14ac:dyDescent="0.25">
      <c r="A829" s="5">
        <v>43764</v>
      </c>
      <c r="B829">
        <v>1.407E-4</v>
      </c>
      <c r="C829">
        <v>1.44E-4</v>
      </c>
      <c r="D829">
        <v>1.3630000000000001E-4</v>
      </c>
      <c r="E829">
        <v>1.3860000000000001E-4</v>
      </c>
      <c r="F829">
        <v>9859834880</v>
      </c>
      <c r="G829">
        <v>0</v>
      </c>
      <c r="L829" t="s">
        <v>8</v>
      </c>
      <c r="M829" t="s">
        <v>7</v>
      </c>
      <c r="N829" t="s">
        <v>7</v>
      </c>
      <c r="P829">
        <f t="shared" si="1004"/>
        <v>-0.40259740259740195</v>
      </c>
      <c r="Q829">
        <f t="shared" si="1005"/>
        <v>-3969543912.7272663</v>
      </c>
      <c r="R829">
        <f t="shared" si="1006"/>
        <v>-192140529393.67163</v>
      </c>
      <c r="S829">
        <f t="shared" si="1007"/>
        <v>-1921405.2939367164</v>
      </c>
      <c r="T829">
        <f t="shared" si="1008"/>
        <v>-1921.4052939367164</v>
      </c>
    </row>
    <row r="830" spans="1:20" x14ac:dyDescent="0.25">
      <c r="A830" s="5">
        <v>43763</v>
      </c>
      <c r="B830">
        <v>1.3459999999999999E-4</v>
      </c>
      <c r="C830">
        <v>1.415E-4</v>
      </c>
      <c r="D830">
        <v>1.2980000000000001E-4</v>
      </c>
      <c r="E830">
        <v>1.406E-4</v>
      </c>
      <c r="F830">
        <v>8576751650</v>
      </c>
      <c r="G830">
        <v>0</v>
      </c>
      <c r="L830" t="s">
        <v>7</v>
      </c>
      <c r="M830" t="s">
        <v>7</v>
      </c>
      <c r="N830" t="s">
        <v>7</v>
      </c>
      <c r="P830">
        <f t="shared" si="1004"/>
        <v>0.84615384615384681</v>
      </c>
      <c r="Q830">
        <f t="shared" si="1005"/>
        <v>7257251396.1538515</v>
      </c>
      <c r="R830">
        <f t="shared" si="1006"/>
        <v>-188170985480.94437</v>
      </c>
      <c r="S830">
        <f t="shared" si="1007"/>
        <v>-1881709.8548094437</v>
      </c>
      <c r="T830">
        <f t="shared" si="1008"/>
        <v>-1881.7098548094436</v>
      </c>
    </row>
    <row r="831" spans="1:20" x14ac:dyDescent="0.25">
      <c r="A831" s="5">
        <v>43762</v>
      </c>
      <c r="B831">
        <v>1.273E-4</v>
      </c>
      <c r="C831">
        <v>1.35E-4</v>
      </c>
      <c r="D831">
        <v>1.2540000000000001E-4</v>
      </c>
      <c r="E831">
        <v>1.3459999999999999E-4</v>
      </c>
      <c r="F831">
        <v>7027273238</v>
      </c>
      <c r="G831">
        <v>0</v>
      </c>
      <c r="L831" t="s">
        <v>8</v>
      </c>
      <c r="M831" t="s">
        <v>7</v>
      </c>
      <c r="N831" t="s">
        <v>7</v>
      </c>
      <c r="P831">
        <f t="shared" ref="P831:P894" si="1009">IF(C831=D831,0,((E831-D831)-(C831-E831))/(C831-D831))</f>
        <v>0.91666666666666452</v>
      </c>
      <c r="Q831">
        <f t="shared" ref="Q831:Q894" si="1010">F831*P831</f>
        <v>6441667134.8333187</v>
      </c>
      <c r="R831">
        <f t="shared" ref="R831:R894" si="1011">R832+Q831</f>
        <v>-195428236877.09821</v>
      </c>
      <c r="S831">
        <f t="shared" ref="S831:S894" si="1012">R831/100000</f>
        <v>-1954282.3687709821</v>
      </c>
      <c r="T831">
        <f t="shared" ref="T831:T894" si="1013">S831/1000</f>
        <v>-1954.2823687709822</v>
      </c>
    </row>
    <row r="832" spans="1:20" x14ac:dyDescent="0.25">
      <c r="A832" s="5">
        <v>43761</v>
      </c>
      <c r="B832">
        <v>1.381E-4</v>
      </c>
      <c r="C832">
        <v>1.383E-4</v>
      </c>
      <c r="D832">
        <v>1.198E-4</v>
      </c>
      <c r="E832">
        <v>1.273E-4</v>
      </c>
      <c r="F832">
        <v>8528053857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-0.18918918918918864</v>
      </c>
      <c r="Q832">
        <f t="shared" si="1010"/>
        <v>-1613415594.5675628</v>
      </c>
      <c r="R832">
        <f t="shared" si="1011"/>
        <v>-201869904011.93152</v>
      </c>
      <c r="S832">
        <f t="shared" si="1012"/>
        <v>-2018699.0401193153</v>
      </c>
      <c r="T832">
        <f t="shared" si="1013"/>
        <v>-2018.6990401193152</v>
      </c>
    </row>
    <row r="833" spans="1:20" x14ac:dyDescent="0.25">
      <c r="A833" s="5">
        <v>43760</v>
      </c>
      <c r="B833">
        <v>1.4449999999999999E-4</v>
      </c>
      <c r="C833">
        <v>1.4449999999999999E-4</v>
      </c>
      <c r="D833">
        <v>1.36E-4</v>
      </c>
      <c r="E833">
        <v>1.381E-4</v>
      </c>
      <c r="F833">
        <v>5973544910</v>
      </c>
      <c r="G833">
        <v>0</v>
      </c>
      <c r="L833" t="s">
        <v>8</v>
      </c>
      <c r="M833" t="s">
        <v>7</v>
      </c>
      <c r="N833" t="s">
        <v>7</v>
      </c>
      <c r="P833">
        <f t="shared" si="1009"/>
        <v>-0.50588235294117667</v>
      </c>
      <c r="Q833">
        <f t="shared" si="1010"/>
        <v>-3021910954.4705896</v>
      </c>
      <c r="R833">
        <f t="shared" si="1011"/>
        <v>-200256488417.36395</v>
      </c>
      <c r="S833">
        <f t="shared" si="1012"/>
        <v>-2002564.8841736396</v>
      </c>
      <c r="T833">
        <f t="shared" si="1013"/>
        <v>-2002.5648841736395</v>
      </c>
    </row>
    <row r="834" spans="1:20" x14ac:dyDescent="0.25">
      <c r="A834" s="5">
        <v>43759</v>
      </c>
      <c r="B834">
        <v>1.427E-4</v>
      </c>
      <c r="C834">
        <v>1.4449999999999999E-4</v>
      </c>
      <c r="D834">
        <v>1.405E-4</v>
      </c>
      <c r="E834">
        <v>1.4440000000000001E-4</v>
      </c>
      <c r="F834">
        <v>4859888907</v>
      </c>
      <c r="G834">
        <v>0</v>
      </c>
      <c r="L834" t="s">
        <v>7</v>
      </c>
      <c r="M834" t="s">
        <v>7</v>
      </c>
      <c r="N834" t="s">
        <v>7</v>
      </c>
      <c r="P834">
        <f t="shared" si="1009"/>
        <v>0.95000000000001217</v>
      </c>
      <c r="Q834">
        <f t="shared" si="1010"/>
        <v>4616894461.6500587</v>
      </c>
      <c r="R834">
        <f t="shared" si="1011"/>
        <v>-197234577462.89337</v>
      </c>
      <c r="S834">
        <f t="shared" si="1012"/>
        <v>-1972345.7746289338</v>
      </c>
      <c r="T834">
        <f t="shared" si="1013"/>
        <v>-1972.3457746289337</v>
      </c>
    </row>
    <row r="835" spans="1:20" x14ac:dyDescent="0.25">
      <c r="A835" s="5">
        <v>43758</v>
      </c>
      <c r="B835">
        <v>1.438E-4</v>
      </c>
      <c r="C835">
        <v>1.4410000000000001E-4</v>
      </c>
      <c r="D835">
        <v>1.381E-4</v>
      </c>
      <c r="E835">
        <v>1.427E-4</v>
      </c>
      <c r="F835">
        <v>6727955186</v>
      </c>
      <c r="G835">
        <v>0</v>
      </c>
      <c r="L835" t="s">
        <v>8</v>
      </c>
      <c r="M835" t="s">
        <v>7</v>
      </c>
      <c r="N835" t="s">
        <v>7</v>
      </c>
      <c r="P835">
        <f t="shared" si="1009"/>
        <v>0.53333333333333188</v>
      </c>
      <c r="Q835">
        <f t="shared" si="1010"/>
        <v>3588242765.8666568</v>
      </c>
      <c r="R835">
        <f t="shared" si="1011"/>
        <v>-201851471924.54343</v>
      </c>
      <c r="S835">
        <f t="shared" si="1012"/>
        <v>-2018514.7192454343</v>
      </c>
      <c r="T835">
        <f t="shared" si="1013"/>
        <v>-2018.5147192454342</v>
      </c>
    </row>
    <row r="836" spans="1:20" x14ac:dyDescent="0.25">
      <c r="A836" s="5">
        <v>43757</v>
      </c>
      <c r="B836">
        <v>1.4889999999999999E-4</v>
      </c>
      <c r="C836">
        <v>1.5200000000000001E-4</v>
      </c>
      <c r="D836">
        <v>1.426E-4</v>
      </c>
      <c r="E836">
        <v>1.438E-4</v>
      </c>
      <c r="F836">
        <v>5963534738</v>
      </c>
      <c r="G836">
        <v>0</v>
      </c>
      <c r="L836" t="s">
        <v>7</v>
      </c>
      <c r="M836" t="s">
        <v>8</v>
      </c>
      <c r="N836" t="s">
        <v>7</v>
      </c>
      <c r="P836">
        <f t="shared" si="1009"/>
        <v>-0.74468085106382964</v>
      </c>
      <c r="Q836">
        <f t="shared" si="1010"/>
        <v>-4440930124.042552</v>
      </c>
      <c r="R836">
        <f t="shared" si="1011"/>
        <v>-205439714690.4101</v>
      </c>
      <c r="S836">
        <f t="shared" si="1012"/>
        <v>-2054397.1469041009</v>
      </c>
      <c r="T836">
        <f t="shared" si="1013"/>
        <v>-2054.3971469041007</v>
      </c>
    </row>
    <row r="837" spans="1:20" x14ac:dyDescent="0.25">
      <c r="A837" s="5">
        <v>43756</v>
      </c>
      <c r="B837">
        <v>1.5430000000000001E-4</v>
      </c>
      <c r="C837">
        <v>1.6139999999999999E-4</v>
      </c>
      <c r="D837">
        <v>1.4410000000000001E-4</v>
      </c>
      <c r="E837">
        <v>1.4889999999999999E-4</v>
      </c>
      <c r="F837">
        <v>8415710700</v>
      </c>
      <c r="G837">
        <v>0</v>
      </c>
      <c r="L837" t="s">
        <v>8</v>
      </c>
      <c r="M837" t="s">
        <v>8</v>
      </c>
      <c r="N837" t="s">
        <v>7</v>
      </c>
      <c r="P837">
        <f t="shared" si="1009"/>
        <v>-0.44508670520231391</v>
      </c>
      <c r="Q837">
        <f t="shared" si="1010"/>
        <v>-3745720947.398859</v>
      </c>
      <c r="R837">
        <f t="shared" si="1011"/>
        <v>-200998784566.36755</v>
      </c>
      <c r="S837">
        <f t="shared" si="1012"/>
        <v>-2009987.8456636756</v>
      </c>
      <c r="T837">
        <f t="shared" si="1013"/>
        <v>-2009.9878456636757</v>
      </c>
    </row>
    <row r="838" spans="1:20" x14ac:dyDescent="0.25">
      <c r="A838" s="5">
        <v>43755</v>
      </c>
      <c r="B838">
        <v>1.394E-4</v>
      </c>
      <c r="C838">
        <v>1.649E-4</v>
      </c>
      <c r="D838">
        <v>1.36E-4</v>
      </c>
      <c r="E838">
        <v>1.5430000000000001E-4</v>
      </c>
      <c r="F838">
        <v>13314805736</v>
      </c>
      <c r="G838">
        <v>0</v>
      </c>
      <c r="L838" t="s">
        <v>7</v>
      </c>
      <c r="M838" t="s">
        <v>8</v>
      </c>
      <c r="N838" t="s">
        <v>7</v>
      </c>
      <c r="P838">
        <f t="shared" si="1009"/>
        <v>0.26643598615917041</v>
      </c>
      <c r="Q838">
        <f t="shared" si="1010"/>
        <v>3547543396.788939</v>
      </c>
      <c r="R838">
        <f t="shared" si="1011"/>
        <v>-197253063618.96869</v>
      </c>
      <c r="S838">
        <f t="shared" si="1012"/>
        <v>-1972530.6361896868</v>
      </c>
      <c r="T838">
        <f t="shared" si="1013"/>
        <v>-1972.5306361896869</v>
      </c>
    </row>
    <row r="839" spans="1:20" x14ac:dyDescent="0.25">
      <c r="A839" s="5">
        <v>43754</v>
      </c>
      <c r="B839">
        <v>1.5359999999999999E-4</v>
      </c>
      <c r="C839">
        <v>1.537E-4</v>
      </c>
      <c r="D839">
        <v>1.2889999999999999E-4</v>
      </c>
      <c r="E839">
        <v>1.393E-4</v>
      </c>
      <c r="F839">
        <v>8917019831</v>
      </c>
      <c r="G839">
        <v>0</v>
      </c>
      <c r="L839" t="s">
        <v>8</v>
      </c>
      <c r="M839" t="s">
        <v>7</v>
      </c>
      <c r="N839" t="s">
        <v>7</v>
      </c>
      <c r="P839">
        <f t="shared" si="1009"/>
        <v>-0.16129032258064466</v>
      </c>
      <c r="Q839">
        <f t="shared" si="1010"/>
        <v>-1438229004.9999955</v>
      </c>
      <c r="R839">
        <f t="shared" si="1011"/>
        <v>-200800607015.75763</v>
      </c>
      <c r="S839">
        <f t="shared" si="1012"/>
        <v>-2008006.0701575764</v>
      </c>
      <c r="T839">
        <f t="shared" si="1013"/>
        <v>-2008.0060701575765</v>
      </c>
    </row>
    <row r="840" spans="1:20" x14ac:dyDescent="0.25">
      <c r="A840" s="5">
        <v>43753</v>
      </c>
      <c r="B840">
        <v>1.6320000000000001E-4</v>
      </c>
      <c r="C840">
        <v>1.6479999999999999E-4</v>
      </c>
      <c r="D840">
        <v>1.496E-4</v>
      </c>
      <c r="E840">
        <v>1.5359999999999999E-4</v>
      </c>
      <c r="F840">
        <v>6428128145</v>
      </c>
      <c r="G840">
        <v>0</v>
      </c>
      <c r="L840" t="s">
        <v>7</v>
      </c>
      <c r="M840" t="s">
        <v>8</v>
      </c>
      <c r="N840" t="s">
        <v>7</v>
      </c>
      <c r="P840">
        <f t="shared" si="1009"/>
        <v>-0.47368421052631693</v>
      </c>
      <c r="Q840">
        <f t="shared" si="1010"/>
        <v>-3044902805.5263233</v>
      </c>
      <c r="R840">
        <f t="shared" si="1011"/>
        <v>-199362378010.75763</v>
      </c>
      <c r="S840">
        <f t="shared" si="1012"/>
        <v>-1993623.7801075764</v>
      </c>
      <c r="T840">
        <f t="shared" si="1013"/>
        <v>-1993.6237801075763</v>
      </c>
    </row>
    <row r="841" spans="1:20" x14ac:dyDescent="0.25">
      <c r="A841" s="5">
        <v>43752</v>
      </c>
      <c r="B841">
        <v>1.507E-4</v>
      </c>
      <c r="C841">
        <v>1.6990000000000001E-4</v>
      </c>
      <c r="D841">
        <v>1.4889999999999999E-4</v>
      </c>
      <c r="E841">
        <v>1.63E-4</v>
      </c>
      <c r="F841">
        <v>7975580137</v>
      </c>
      <c r="G841">
        <v>0</v>
      </c>
      <c r="L841" t="s">
        <v>8</v>
      </c>
      <c r="M841" t="s">
        <v>8</v>
      </c>
      <c r="N841" t="s">
        <v>7</v>
      </c>
      <c r="P841">
        <f t="shared" si="1009"/>
        <v>0.34285714285714308</v>
      </c>
      <c r="Q841">
        <f t="shared" si="1010"/>
        <v>2734484618.400002</v>
      </c>
      <c r="R841">
        <f t="shared" si="1011"/>
        <v>-196317475205.23129</v>
      </c>
      <c r="S841">
        <f t="shared" si="1012"/>
        <v>-1963174.7520523129</v>
      </c>
      <c r="T841">
        <f t="shared" si="1013"/>
        <v>-1963.1747520523129</v>
      </c>
    </row>
    <row r="842" spans="1:20" x14ac:dyDescent="0.25">
      <c r="A842" s="5">
        <v>43751</v>
      </c>
      <c r="B842">
        <v>1.5100000000000001E-4</v>
      </c>
      <c r="C842">
        <v>1.5799999999999999E-4</v>
      </c>
      <c r="D842">
        <v>1.485E-4</v>
      </c>
      <c r="E842">
        <v>1.5080000000000001E-4</v>
      </c>
      <c r="F842">
        <v>6172705624</v>
      </c>
      <c r="G842">
        <v>0</v>
      </c>
      <c r="L842" t="s">
        <v>7</v>
      </c>
      <c r="M842" t="s">
        <v>7</v>
      </c>
      <c r="N842" t="s">
        <v>7</v>
      </c>
      <c r="P842">
        <f t="shared" si="1009"/>
        <v>-0.51578947368420947</v>
      </c>
      <c r="Q842">
        <f t="shared" si="1010"/>
        <v>-3183816585.01052</v>
      </c>
      <c r="R842">
        <f t="shared" si="1011"/>
        <v>-199051959823.63129</v>
      </c>
      <c r="S842">
        <f t="shared" si="1012"/>
        <v>-1990519.5982363129</v>
      </c>
      <c r="T842">
        <f t="shared" si="1013"/>
        <v>-1990.519598236313</v>
      </c>
    </row>
    <row r="843" spans="1:20" x14ac:dyDescent="0.25">
      <c r="A843" s="5">
        <v>43750</v>
      </c>
      <c r="B843">
        <v>1.5249999999999999E-4</v>
      </c>
      <c r="C843">
        <v>1.551E-4</v>
      </c>
      <c r="D843">
        <v>1.4919999999999999E-4</v>
      </c>
      <c r="E843">
        <v>1.5090000000000001E-4</v>
      </c>
      <c r="F843">
        <v>5454473965</v>
      </c>
      <c r="G843">
        <v>0</v>
      </c>
      <c r="L843" t="s">
        <v>8</v>
      </c>
      <c r="M843" t="s">
        <v>7</v>
      </c>
      <c r="N843" t="s">
        <v>7</v>
      </c>
      <c r="P843">
        <f t="shared" si="1009"/>
        <v>-0.42372881355931796</v>
      </c>
      <c r="Q843">
        <f t="shared" si="1010"/>
        <v>-2311217781.7796388</v>
      </c>
      <c r="R843">
        <f t="shared" si="1011"/>
        <v>-195868143238.62076</v>
      </c>
      <c r="S843">
        <f t="shared" si="1012"/>
        <v>-1958681.4323862076</v>
      </c>
      <c r="T843">
        <f t="shared" si="1013"/>
        <v>-1958.6814323862077</v>
      </c>
    </row>
    <row r="844" spans="1:20" x14ac:dyDescent="0.25">
      <c r="A844" s="5">
        <v>43749</v>
      </c>
      <c r="B844">
        <v>1.4650000000000001E-4</v>
      </c>
      <c r="C844">
        <v>1.5689999999999999E-4</v>
      </c>
      <c r="D844">
        <v>1.439E-4</v>
      </c>
      <c r="E844">
        <v>1.5249999999999999E-4</v>
      </c>
      <c r="F844">
        <v>8191856643</v>
      </c>
      <c r="G844">
        <v>0</v>
      </c>
      <c r="L844" t="s">
        <v>7</v>
      </c>
      <c r="M844" t="s">
        <v>7</v>
      </c>
      <c r="N844" t="s">
        <v>7</v>
      </c>
      <c r="P844">
        <f t="shared" si="1009"/>
        <v>0.32307692307692282</v>
      </c>
      <c r="Q844">
        <f t="shared" si="1010"/>
        <v>2646599838.50769</v>
      </c>
      <c r="R844">
        <f t="shared" si="1011"/>
        <v>-193556925456.84113</v>
      </c>
      <c r="S844">
        <f t="shared" si="1012"/>
        <v>-1935569.2545684113</v>
      </c>
      <c r="T844">
        <f t="shared" si="1013"/>
        <v>-1935.5692545684112</v>
      </c>
    </row>
    <row r="845" spans="1:20" x14ac:dyDescent="0.25">
      <c r="A845" s="5">
        <v>43748</v>
      </c>
      <c r="B845">
        <v>1.5109999999999999E-4</v>
      </c>
      <c r="C845">
        <v>1.5359999999999999E-4</v>
      </c>
      <c r="D845">
        <v>1.415E-4</v>
      </c>
      <c r="E845">
        <v>1.4660000000000001E-4</v>
      </c>
      <c r="F845">
        <v>8730599070</v>
      </c>
      <c r="G845">
        <v>0</v>
      </c>
      <c r="L845" t="s">
        <v>8</v>
      </c>
      <c r="M845" t="s">
        <v>7</v>
      </c>
      <c r="N845" t="s">
        <v>7</v>
      </c>
      <c r="P845">
        <f t="shared" si="1009"/>
        <v>-0.1570247933884269</v>
      </c>
      <c r="Q845">
        <f t="shared" si="1010"/>
        <v>-1370920515.1239421</v>
      </c>
      <c r="R845">
        <f t="shared" si="1011"/>
        <v>-196203525295.34882</v>
      </c>
      <c r="S845">
        <f t="shared" si="1012"/>
        <v>-1962035.2529534881</v>
      </c>
      <c r="T845">
        <f t="shared" si="1013"/>
        <v>-1962.0352529534882</v>
      </c>
    </row>
    <row r="846" spans="1:20" x14ac:dyDescent="0.25">
      <c r="A846" s="5">
        <v>43747</v>
      </c>
      <c r="B846">
        <v>1.4770000000000001E-4</v>
      </c>
      <c r="C846">
        <v>1.571E-4</v>
      </c>
      <c r="D846">
        <v>1.4440000000000001E-4</v>
      </c>
      <c r="E846">
        <v>1.5119999999999999E-4</v>
      </c>
      <c r="F846">
        <v>9242480248</v>
      </c>
      <c r="G846">
        <v>0</v>
      </c>
      <c r="L846" t="s">
        <v>7</v>
      </c>
      <c r="M846" t="s">
        <v>7</v>
      </c>
      <c r="N846" t="s">
        <v>7</v>
      </c>
      <c r="P846">
        <f t="shared" si="1009"/>
        <v>7.0866141732281007E-2</v>
      </c>
      <c r="Q846">
        <f t="shared" si="1010"/>
        <v>654978915.21257567</v>
      </c>
      <c r="R846">
        <f t="shared" si="1011"/>
        <v>-194832604780.22488</v>
      </c>
      <c r="S846">
        <f t="shared" si="1012"/>
        <v>-1948326.0478022487</v>
      </c>
      <c r="T846">
        <f t="shared" si="1013"/>
        <v>-1948.3260478022487</v>
      </c>
    </row>
    <row r="847" spans="1:20" x14ac:dyDescent="0.25">
      <c r="A847" s="5">
        <v>43746</v>
      </c>
      <c r="B847">
        <v>1.4100000000000001E-4</v>
      </c>
      <c r="C847">
        <v>1.483E-4</v>
      </c>
      <c r="D847">
        <v>1.3899999999999999E-4</v>
      </c>
      <c r="E847">
        <v>1.4770000000000001E-4</v>
      </c>
      <c r="F847">
        <v>8071506312</v>
      </c>
      <c r="G847">
        <v>0</v>
      </c>
      <c r="L847" t="s">
        <v>8</v>
      </c>
      <c r="M847" t="s">
        <v>7</v>
      </c>
      <c r="N847" t="s">
        <v>7</v>
      </c>
      <c r="P847">
        <f t="shared" si="1009"/>
        <v>0.87096774193548665</v>
      </c>
      <c r="Q847">
        <f t="shared" si="1010"/>
        <v>7030021626.5806675</v>
      </c>
      <c r="R847">
        <f t="shared" si="1011"/>
        <v>-195487583695.43747</v>
      </c>
      <c r="S847">
        <f t="shared" si="1012"/>
        <v>-1954875.8369543748</v>
      </c>
      <c r="T847">
        <f t="shared" si="1013"/>
        <v>-1954.8758369543748</v>
      </c>
    </row>
    <row r="848" spans="1:20" x14ac:dyDescent="0.25">
      <c r="A848" s="5">
        <v>43745</v>
      </c>
      <c r="B848">
        <v>1.362E-4</v>
      </c>
      <c r="C848">
        <v>1.4310000000000001E-4</v>
      </c>
      <c r="D848">
        <v>1.3410000000000001E-4</v>
      </c>
      <c r="E848">
        <v>1.4100000000000001E-4</v>
      </c>
      <c r="F848">
        <v>6966691267</v>
      </c>
      <c r="G848">
        <v>0</v>
      </c>
      <c r="L848" t="s">
        <v>7</v>
      </c>
      <c r="M848" t="s">
        <v>7</v>
      </c>
      <c r="N848" t="s">
        <v>7</v>
      </c>
      <c r="P848">
        <f t="shared" si="1009"/>
        <v>0.5333333333333341</v>
      </c>
      <c r="Q848">
        <f t="shared" si="1010"/>
        <v>3715568675.7333388</v>
      </c>
      <c r="R848">
        <f t="shared" si="1011"/>
        <v>-202517605322.01813</v>
      </c>
      <c r="S848">
        <f t="shared" si="1012"/>
        <v>-2025176.0532201813</v>
      </c>
      <c r="T848">
        <f t="shared" si="1013"/>
        <v>-2025.1760532201813</v>
      </c>
    </row>
    <row r="849" spans="1:20" x14ac:dyDescent="0.25">
      <c r="A849" s="5">
        <v>43744</v>
      </c>
      <c r="B849">
        <v>1.439E-4</v>
      </c>
      <c r="C849">
        <v>1.4430000000000001E-4</v>
      </c>
      <c r="D849">
        <v>1.3459999999999999E-4</v>
      </c>
      <c r="E849">
        <v>1.362E-4</v>
      </c>
      <c r="F849">
        <v>7983091689</v>
      </c>
      <c r="G849">
        <v>0</v>
      </c>
      <c r="L849" t="s">
        <v>8</v>
      </c>
      <c r="M849" t="s">
        <v>7</v>
      </c>
      <c r="N849" t="s">
        <v>7</v>
      </c>
      <c r="P849">
        <f t="shared" si="1009"/>
        <v>-0.67010309278350333</v>
      </c>
      <c r="Q849">
        <f t="shared" si="1010"/>
        <v>-5349494430.773181</v>
      </c>
      <c r="R849">
        <f t="shared" si="1011"/>
        <v>-206233173997.75146</v>
      </c>
      <c r="S849">
        <f t="shared" si="1012"/>
        <v>-2062331.7399775146</v>
      </c>
      <c r="T849">
        <f t="shared" si="1013"/>
        <v>-2062.3317399775146</v>
      </c>
    </row>
    <row r="850" spans="1:20" x14ac:dyDescent="0.25">
      <c r="A850" s="5">
        <v>43743</v>
      </c>
      <c r="B850">
        <v>1.4779999999999999E-4</v>
      </c>
      <c r="C850">
        <v>1.4789999999999999E-4</v>
      </c>
      <c r="D850">
        <v>1.3960000000000001E-4</v>
      </c>
      <c r="E850">
        <v>1.439E-4</v>
      </c>
      <c r="F850">
        <v>8138606203</v>
      </c>
      <c r="G850">
        <v>0</v>
      </c>
      <c r="L850" t="s">
        <v>7</v>
      </c>
      <c r="M850" t="s">
        <v>7</v>
      </c>
      <c r="N850" t="s">
        <v>7</v>
      </c>
      <c r="P850">
        <f t="shared" si="1009"/>
        <v>3.6144578313253954E-2</v>
      </c>
      <c r="Q850">
        <f t="shared" si="1010"/>
        <v>294166489.26506793</v>
      </c>
      <c r="R850">
        <f t="shared" si="1011"/>
        <v>-200883679566.97827</v>
      </c>
      <c r="S850">
        <f t="shared" si="1012"/>
        <v>-2008836.7956697827</v>
      </c>
      <c r="T850">
        <f t="shared" si="1013"/>
        <v>-2008.8367956697828</v>
      </c>
    </row>
    <row r="851" spans="1:20" x14ac:dyDescent="0.25">
      <c r="A851" s="5">
        <v>43742</v>
      </c>
      <c r="B851">
        <v>1.4129999999999999E-4</v>
      </c>
      <c r="C851">
        <v>1.4999999999999999E-4</v>
      </c>
      <c r="D851">
        <v>1.3980000000000001E-4</v>
      </c>
      <c r="E851">
        <v>1.4760000000000001E-4</v>
      </c>
      <c r="F851">
        <v>9782964030</v>
      </c>
      <c r="G851">
        <v>0</v>
      </c>
      <c r="L851" t="s">
        <v>8</v>
      </c>
      <c r="M851" t="s">
        <v>7</v>
      </c>
      <c r="N851" t="s">
        <v>7</v>
      </c>
      <c r="P851">
        <f t="shared" si="1009"/>
        <v>0.5294117647058858</v>
      </c>
      <c r="Q851">
        <f t="shared" si="1010"/>
        <v>5179216251.1765041</v>
      </c>
      <c r="R851">
        <f t="shared" si="1011"/>
        <v>-201177846056.24335</v>
      </c>
      <c r="S851">
        <f t="shared" si="1012"/>
        <v>-2011778.4605624336</v>
      </c>
      <c r="T851">
        <f t="shared" si="1013"/>
        <v>-2011.7784605624336</v>
      </c>
    </row>
    <row r="852" spans="1:20" x14ac:dyDescent="0.25">
      <c r="A852" s="5">
        <v>43741</v>
      </c>
      <c r="B852">
        <v>1.3640000000000001E-4</v>
      </c>
      <c r="C852">
        <v>1.4530000000000001E-4</v>
      </c>
      <c r="D852">
        <v>1.351E-4</v>
      </c>
      <c r="E852">
        <v>1.4129999999999999E-4</v>
      </c>
      <c r="F852">
        <v>10103295026</v>
      </c>
      <c r="G852">
        <v>0</v>
      </c>
      <c r="L852" t="s">
        <v>7</v>
      </c>
      <c r="M852" t="s">
        <v>7</v>
      </c>
      <c r="N852" t="s">
        <v>7</v>
      </c>
      <c r="P852">
        <f t="shared" si="1009"/>
        <v>0.2156862745098011</v>
      </c>
      <c r="Q852">
        <f t="shared" si="1010"/>
        <v>2179142064.431344</v>
      </c>
      <c r="R852">
        <f t="shared" si="1011"/>
        <v>-206357062307.41986</v>
      </c>
      <c r="S852">
        <f t="shared" si="1012"/>
        <v>-2063570.6230741986</v>
      </c>
      <c r="T852">
        <f t="shared" si="1013"/>
        <v>-2063.5706230741985</v>
      </c>
    </row>
    <row r="853" spans="1:20" x14ac:dyDescent="0.25">
      <c r="A853" s="5">
        <v>43740</v>
      </c>
      <c r="B853">
        <v>1.4109999999999999E-4</v>
      </c>
      <c r="C853">
        <v>1.4129999999999999E-4</v>
      </c>
      <c r="D853">
        <v>1.3459999999999999E-4</v>
      </c>
      <c r="E853">
        <v>1.3630000000000001E-4</v>
      </c>
      <c r="F853">
        <v>9001668436</v>
      </c>
      <c r="G853">
        <v>0</v>
      </c>
      <c r="L853" t="s">
        <v>8</v>
      </c>
      <c r="M853" t="s">
        <v>7</v>
      </c>
      <c r="N853" t="s">
        <v>7</v>
      </c>
      <c r="P853">
        <f t="shared" si="1009"/>
        <v>-0.49253731343283158</v>
      </c>
      <c r="Q853">
        <f t="shared" si="1010"/>
        <v>-4433657587.880559</v>
      </c>
      <c r="R853">
        <f t="shared" si="1011"/>
        <v>-208536204371.8512</v>
      </c>
      <c r="S853">
        <f t="shared" si="1012"/>
        <v>-2085362.0437185119</v>
      </c>
      <c r="T853">
        <f t="shared" si="1013"/>
        <v>-2085.3620437185118</v>
      </c>
    </row>
    <row r="854" spans="1:20" x14ac:dyDescent="0.25">
      <c r="A854" s="5">
        <v>43739</v>
      </c>
      <c r="B854">
        <v>1.4799999999999999E-4</v>
      </c>
      <c r="C854">
        <v>1.528E-4</v>
      </c>
      <c r="D854">
        <v>1.3860000000000001E-4</v>
      </c>
      <c r="E854">
        <v>1.4109999999999999E-4</v>
      </c>
      <c r="F854">
        <v>11484145941</v>
      </c>
      <c r="G854">
        <v>0</v>
      </c>
      <c r="L854" t="s">
        <v>7</v>
      </c>
      <c r="M854" t="s">
        <v>7</v>
      </c>
      <c r="N854" t="s">
        <v>7</v>
      </c>
      <c r="P854">
        <f t="shared" si="1009"/>
        <v>-0.64788732394366466</v>
      </c>
      <c r="Q854">
        <f t="shared" si="1010"/>
        <v>-7440432581.4929886</v>
      </c>
      <c r="R854">
        <f t="shared" si="1011"/>
        <v>-204102546783.97064</v>
      </c>
      <c r="S854">
        <f t="shared" si="1012"/>
        <v>-2041025.4678397065</v>
      </c>
      <c r="T854">
        <f t="shared" si="1013"/>
        <v>-2041.0254678397064</v>
      </c>
    </row>
    <row r="855" spans="1:20" x14ac:dyDescent="0.25">
      <c r="A855" s="5">
        <v>43738</v>
      </c>
      <c r="B855">
        <v>1.66E-4</v>
      </c>
      <c r="C855">
        <v>1.6990000000000001E-4</v>
      </c>
      <c r="D855">
        <v>1.3799999999999999E-4</v>
      </c>
      <c r="E855">
        <v>1.4789999999999999E-4</v>
      </c>
      <c r="F855">
        <v>18172663965</v>
      </c>
      <c r="G855">
        <v>0</v>
      </c>
      <c r="L855" t="s">
        <v>8</v>
      </c>
      <c r="M855" t="s">
        <v>7</v>
      </c>
      <c r="N855" t="s">
        <v>7</v>
      </c>
      <c r="P855">
        <f t="shared" si="1009"/>
        <v>-0.37931034482758674</v>
      </c>
      <c r="Q855">
        <f t="shared" si="1010"/>
        <v>-6893079435.0000095</v>
      </c>
      <c r="R855">
        <f t="shared" si="1011"/>
        <v>-196662114202.47766</v>
      </c>
      <c r="S855">
        <f t="shared" si="1012"/>
        <v>-1966621.1420247767</v>
      </c>
      <c r="T855">
        <f t="shared" si="1013"/>
        <v>-1966.6211420247766</v>
      </c>
    </row>
    <row r="856" spans="1:20" x14ac:dyDescent="0.25">
      <c r="A856" s="5">
        <v>43737</v>
      </c>
      <c r="B856">
        <v>1.727E-4</v>
      </c>
      <c r="C856">
        <v>1.7469999999999999E-4</v>
      </c>
      <c r="D856">
        <v>1.638E-4</v>
      </c>
      <c r="E856">
        <v>1.66E-4</v>
      </c>
      <c r="F856">
        <v>12578278340</v>
      </c>
      <c r="G856">
        <v>0</v>
      </c>
      <c r="L856" t="s">
        <v>7</v>
      </c>
      <c r="M856" t="s">
        <v>7</v>
      </c>
      <c r="N856" t="s">
        <v>7</v>
      </c>
      <c r="P856">
        <f t="shared" si="1009"/>
        <v>-0.59633027522935766</v>
      </c>
      <c r="Q856">
        <f t="shared" si="1010"/>
        <v>-7500808184.4036684</v>
      </c>
      <c r="R856">
        <f t="shared" si="1011"/>
        <v>-189769034767.47766</v>
      </c>
      <c r="S856">
        <f t="shared" si="1012"/>
        <v>-1897690.3476747766</v>
      </c>
      <c r="T856">
        <f t="shared" si="1013"/>
        <v>-1897.6903476747766</v>
      </c>
    </row>
    <row r="857" spans="1:20" x14ac:dyDescent="0.25">
      <c r="A857" s="5">
        <v>43736</v>
      </c>
      <c r="B857">
        <v>1.6880000000000001E-4</v>
      </c>
      <c r="C857">
        <v>1.73E-4</v>
      </c>
      <c r="D857">
        <v>1.661E-4</v>
      </c>
      <c r="E857">
        <v>1.7259999999999999E-4</v>
      </c>
      <c r="F857">
        <v>10180181156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0.88405797101449002</v>
      </c>
      <c r="Q857">
        <f t="shared" si="1010"/>
        <v>8999870297.3333054</v>
      </c>
      <c r="R857">
        <f t="shared" si="1011"/>
        <v>-182268226583.07401</v>
      </c>
      <c r="S857">
        <f t="shared" si="1012"/>
        <v>-1822682.2658307401</v>
      </c>
      <c r="T857">
        <f t="shared" si="1013"/>
        <v>-1822.6822658307401</v>
      </c>
    </row>
    <row r="858" spans="1:20" x14ac:dyDescent="0.25">
      <c r="A858" s="5">
        <v>43735</v>
      </c>
      <c r="B858">
        <v>1.6640000000000001E-4</v>
      </c>
      <c r="C858">
        <v>1.7530000000000001E-4</v>
      </c>
      <c r="D858">
        <v>1.618E-4</v>
      </c>
      <c r="E858">
        <v>1.6870000000000001E-4</v>
      </c>
      <c r="F858">
        <v>8540276721</v>
      </c>
      <c r="G858">
        <v>0</v>
      </c>
      <c r="L858" t="s">
        <v>7</v>
      </c>
      <c r="M858" t="s">
        <v>7</v>
      </c>
      <c r="N858" t="s">
        <v>7</v>
      </c>
      <c r="P858">
        <f t="shared" si="1009"/>
        <v>2.2222222222222757E-2</v>
      </c>
      <c r="Q858">
        <f t="shared" si="1010"/>
        <v>189783927.13333791</v>
      </c>
      <c r="R858">
        <f t="shared" si="1011"/>
        <v>-191268096880.40732</v>
      </c>
      <c r="S858">
        <f t="shared" si="1012"/>
        <v>-1912680.9688040733</v>
      </c>
      <c r="T858">
        <f t="shared" si="1013"/>
        <v>-1912.6809688040732</v>
      </c>
    </row>
    <row r="859" spans="1:20" x14ac:dyDescent="0.25">
      <c r="A859" s="5">
        <v>43734</v>
      </c>
      <c r="B859">
        <v>1.738E-4</v>
      </c>
      <c r="C859">
        <v>1.7760000000000001E-4</v>
      </c>
      <c r="D859">
        <v>1.563E-4</v>
      </c>
      <c r="E859">
        <v>1.6640000000000001E-4</v>
      </c>
      <c r="F859">
        <v>10267671896</v>
      </c>
      <c r="G859">
        <v>0</v>
      </c>
      <c r="L859" t="s">
        <v>8</v>
      </c>
      <c r="M859" t="s">
        <v>7</v>
      </c>
      <c r="N859" t="s">
        <v>7</v>
      </c>
      <c r="P859">
        <f t="shared" si="1009"/>
        <v>-5.1643192488262886E-2</v>
      </c>
      <c r="Q859">
        <f t="shared" si="1010"/>
        <v>-530255356.13145512</v>
      </c>
      <c r="R859">
        <f t="shared" si="1011"/>
        <v>-191457880807.54065</v>
      </c>
      <c r="S859">
        <f t="shared" si="1012"/>
        <v>-1914578.8080754066</v>
      </c>
      <c r="T859">
        <f t="shared" si="1013"/>
        <v>-1914.5788080754066</v>
      </c>
    </row>
    <row r="860" spans="1:20" x14ac:dyDescent="0.25">
      <c r="A860" s="5">
        <v>43733</v>
      </c>
      <c r="B860">
        <v>1.7569999999999999E-4</v>
      </c>
      <c r="C860">
        <v>1.829E-4</v>
      </c>
      <c r="D860">
        <v>1.64E-4</v>
      </c>
      <c r="E860">
        <v>1.738E-4</v>
      </c>
      <c r="F860">
        <v>15735811244</v>
      </c>
      <c r="G860">
        <v>0</v>
      </c>
      <c r="L860" t="s">
        <v>7</v>
      </c>
      <c r="M860" t="s">
        <v>7</v>
      </c>
      <c r="N860" t="s">
        <v>7</v>
      </c>
      <c r="P860">
        <f t="shared" si="1009"/>
        <v>3.7037037037036508E-2</v>
      </c>
      <c r="Q860">
        <f t="shared" si="1010"/>
        <v>582807823.85184348</v>
      </c>
      <c r="R860">
        <f t="shared" si="1011"/>
        <v>-190927625451.40918</v>
      </c>
      <c r="S860">
        <f t="shared" si="1012"/>
        <v>-1909276.2545140919</v>
      </c>
      <c r="T860">
        <f t="shared" si="1013"/>
        <v>-1909.276254514092</v>
      </c>
    </row>
    <row r="861" spans="1:20" x14ac:dyDescent="0.25">
      <c r="A861" s="5">
        <v>43732</v>
      </c>
      <c r="B861">
        <v>2.141E-4</v>
      </c>
      <c r="C861">
        <v>2.1660000000000001E-4</v>
      </c>
      <c r="D861">
        <v>1.595E-4</v>
      </c>
      <c r="E861">
        <v>1.7569999999999999E-4</v>
      </c>
      <c r="F861">
        <v>16116574383</v>
      </c>
      <c r="G861">
        <v>0</v>
      </c>
      <c r="L861" t="s">
        <v>8</v>
      </c>
      <c r="M861" t="s">
        <v>7</v>
      </c>
      <c r="N861" t="s">
        <v>7</v>
      </c>
      <c r="P861">
        <f t="shared" si="1009"/>
        <v>-0.43257443082311786</v>
      </c>
      <c r="Q861">
        <f t="shared" si="1010"/>
        <v>-6971617990.5446672</v>
      </c>
      <c r="R861">
        <f t="shared" si="1011"/>
        <v>-191510433275.26102</v>
      </c>
      <c r="S861">
        <f t="shared" si="1012"/>
        <v>-1915104.3327526101</v>
      </c>
      <c r="T861">
        <f t="shared" si="1013"/>
        <v>-1915.1043327526102</v>
      </c>
    </row>
    <row r="862" spans="1:20" x14ac:dyDescent="0.25">
      <c r="A862" s="5">
        <v>43731</v>
      </c>
      <c r="B862">
        <v>2.3269999999999999E-4</v>
      </c>
      <c r="C862">
        <v>2.3809999999999999E-4</v>
      </c>
      <c r="D862">
        <v>2.1379999999999999E-4</v>
      </c>
      <c r="E862">
        <v>2.141E-4</v>
      </c>
      <c r="F862">
        <v>15055752512</v>
      </c>
      <c r="G862">
        <v>0</v>
      </c>
      <c r="L862" t="s">
        <v>7</v>
      </c>
      <c r="M862" t="s">
        <v>8</v>
      </c>
      <c r="N862" t="s">
        <v>7</v>
      </c>
      <c r="P862">
        <f t="shared" si="1009"/>
        <v>-0.97530864197530809</v>
      </c>
      <c r="Q862">
        <f t="shared" si="1010"/>
        <v>-14684005536.395054</v>
      </c>
      <c r="R862">
        <f t="shared" si="1011"/>
        <v>-184538815284.71634</v>
      </c>
      <c r="S862">
        <f t="shared" si="1012"/>
        <v>-1845388.1528471634</v>
      </c>
      <c r="T862">
        <f t="shared" si="1013"/>
        <v>-1845.3881528471634</v>
      </c>
    </row>
    <row r="863" spans="1:20" x14ac:dyDescent="0.25">
      <c r="A863" s="5">
        <v>43730</v>
      </c>
      <c r="B863">
        <v>2.455E-4</v>
      </c>
      <c r="C863">
        <v>2.5030000000000001E-4</v>
      </c>
      <c r="D863">
        <v>2.2589999999999999E-4</v>
      </c>
      <c r="E863">
        <v>2.3269999999999999E-4</v>
      </c>
      <c r="F863">
        <v>11904119134</v>
      </c>
      <c r="G863">
        <v>0</v>
      </c>
      <c r="L863" t="s">
        <v>8</v>
      </c>
      <c r="M863" t="s">
        <v>8</v>
      </c>
      <c r="N863" t="s">
        <v>7</v>
      </c>
      <c r="P863">
        <f t="shared" si="1009"/>
        <v>-0.44262295081967246</v>
      </c>
      <c r="Q863">
        <f t="shared" si="1010"/>
        <v>-5269036338.0000038</v>
      </c>
      <c r="R863">
        <f t="shared" si="1011"/>
        <v>-169854809748.32129</v>
      </c>
      <c r="S863">
        <f t="shared" si="1012"/>
        <v>-1698548.0974832128</v>
      </c>
      <c r="T863">
        <f t="shared" si="1013"/>
        <v>-1698.5480974832128</v>
      </c>
    </row>
    <row r="864" spans="1:20" x14ac:dyDescent="0.25">
      <c r="A864" s="5">
        <v>43729</v>
      </c>
      <c r="B864">
        <v>2.377E-4</v>
      </c>
      <c r="C864">
        <v>2.5389999999999999E-4</v>
      </c>
      <c r="D864">
        <v>2.3470000000000001E-4</v>
      </c>
      <c r="E864">
        <v>2.455E-4</v>
      </c>
      <c r="F864">
        <v>11672832095</v>
      </c>
      <c r="G864">
        <v>0</v>
      </c>
      <c r="L864" t="s">
        <v>7</v>
      </c>
      <c r="M864" t="s">
        <v>8</v>
      </c>
      <c r="N864" t="s">
        <v>7</v>
      </c>
      <c r="P864">
        <f t="shared" si="1009"/>
        <v>0.12500000000000036</v>
      </c>
      <c r="Q864">
        <f t="shared" si="1010"/>
        <v>1459104011.8750043</v>
      </c>
      <c r="R864">
        <f t="shared" si="1011"/>
        <v>-164585773410.32129</v>
      </c>
      <c r="S864">
        <f t="shared" si="1012"/>
        <v>-1645857.7341032128</v>
      </c>
      <c r="T864">
        <f t="shared" si="1013"/>
        <v>-1645.8577341032128</v>
      </c>
    </row>
    <row r="865" spans="1:20" x14ac:dyDescent="0.25">
      <c r="A865" s="5">
        <v>43728</v>
      </c>
      <c r="B865">
        <v>2.4159999999999999E-4</v>
      </c>
      <c r="C865">
        <v>2.4230000000000001E-4</v>
      </c>
      <c r="D865">
        <v>2.308E-4</v>
      </c>
      <c r="E865">
        <v>2.3780000000000001E-4</v>
      </c>
      <c r="F865">
        <v>13118731565</v>
      </c>
      <c r="G865">
        <v>0</v>
      </c>
      <c r="L865" t="s">
        <v>8</v>
      </c>
      <c r="M865" t="s">
        <v>8</v>
      </c>
      <c r="N865" t="s">
        <v>7</v>
      </c>
      <c r="P865">
        <f t="shared" si="1009"/>
        <v>0.2173913043478265</v>
      </c>
      <c r="Q865">
        <f t="shared" si="1010"/>
        <v>2851898166.3043532</v>
      </c>
      <c r="R865">
        <f t="shared" si="1011"/>
        <v>-166044877422.19629</v>
      </c>
      <c r="S865">
        <f t="shared" si="1012"/>
        <v>-1660448.7742219628</v>
      </c>
      <c r="T865">
        <f t="shared" si="1013"/>
        <v>-1660.4487742219628</v>
      </c>
    </row>
    <row r="866" spans="1:20" x14ac:dyDescent="0.25">
      <c r="A866" s="5">
        <v>43727</v>
      </c>
      <c r="B866">
        <v>2.4140000000000001E-4</v>
      </c>
      <c r="C866">
        <v>2.429E-4</v>
      </c>
      <c r="D866">
        <v>2.2130000000000001E-4</v>
      </c>
      <c r="E866">
        <v>2.418E-4</v>
      </c>
      <c r="F866">
        <v>10833761276</v>
      </c>
      <c r="G866">
        <v>0</v>
      </c>
      <c r="L866" t="s">
        <v>7</v>
      </c>
      <c r="M866" t="s">
        <v>8</v>
      </c>
      <c r="N866" t="s">
        <v>7</v>
      </c>
      <c r="P866">
        <f t="shared" si="1009"/>
        <v>0.89814814814814814</v>
      </c>
      <c r="Q866">
        <f t="shared" si="1010"/>
        <v>9730322627.5185184</v>
      </c>
      <c r="R866">
        <f t="shared" si="1011"/>
        <v>-168896775588.50064</v>
      </c>
      <c r="S866">
        <f t="shared" si="1012"/>
        <v>-1688967.7558850064</v>
      </c>
      <c r="T866">
        <f t="shared" si="1013"/>
        <v>-1688.9677558850065</v>
      </c>
    </row>
    <row r="867" spans="1:20" x14ac:dyDescent="0.25">
      <c r="A867" s="5">
        <v>43726</v>
      </c>
      <c r="B867">
        <v>2.3149999999999999E-4</v>
      </c>
      <c r="C867">
        <v>2.4610000000000002E-4</v>
      </c>
      <c r="D867">
        <v>2.2719999999999999E-4</v>
      </c>
      <c r="E867">
        <v>2.4140000000000001E-4</v>
      </c>
      <c r="F867">
        <v>11392497766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0.50264550264550267</v>
      </c>
      <c r="Q867">
        <f t="shared" si="1010"/>
        <v>5726387765.9788361</v>
      </c>
      <c r="R867">
        <f t="shared" si="1011"/>
        <v>-178627098216.01917</v>
      </c>
      <c r="S867">
        <f t="shared" si="1012"/>
        <v>-1786270.9821601918</v>
      </c>
      <c r="T867">
        <f t="shared" si="1013"/>
        <v>-1786.2709821601918</v>
      </c>
    </row>
    <row r="868" spans="1:20" x14ac:dyDescent="0.25">
      <c r="A868" s="5">
        <v>43725</v>
      </c>
      <c r="B868">
        <v>2.209E-4</v>
      </c>
      <c r="C868">
        <v>2.3729999999999999E-4</v>
      </c>
      <c r="D868">
        <v>2.1880000000000001E-4</v>
      </c>
      <c r="E868">
        <v>2.3149999999999999E-4</v>
      </c>
      <c r="F868">
        <v>15499039862</v>
      </c>
      <c r="G868">
        <v>0</v>
      </c>
      <c r="L868" t="s">
        <v>7</v>
      </c>
      <c r="M868" t="s">
        <v>7</v>
      </c>
      <c r="N868" t="s">
        <v>7</v>
      </c>
      <c r="P868">
        <f t="shared" si="1009"/>
        <v>0.37297297297297199</v>
      </c>
      <c r="Q868">
        <f t="shared" si="1010"/>
        <v>5780722975.5567417</v>
      </c>
      <c r="R868">
        <f t="shared" si="1011"/>
        <v>-184353485981.99802</v>
      </c>
      <c r="S868">
        <f t="shared" si="1012"/>
        <v>-1843534.8598199801</v>
      </c>
      <c r="T868">
        <f t="shared" si="1013"/>
        <v>-1843.5348598199801</v>
      </c>
    </row>
    <row r="869" spans="1:20" x14ac:dyDescent="0.25">
      <c r="A869" s="5">
        <v>43724</v>
      </c>
      <c r="B869">
        <v>2.2489999999999999E-4</v>
      </c>
      <c r="C869">
        <v>2.298E-4</v>
      </c>
      <c r="D869">
        <v>2.174E-4</v>
      </c>
      <c r="E869">
        <v>2.207E-4</v>
      </c>
      <c r="F869">
        <v>12140030587</v>
      </c>
      <c r="G869">
        <v>0</v>
      </c>
      <c r="L869" t="s">
        <v>8</v>
      </c>
      <c r="M869" t="s">
        <v>7</v>
      </c>
      <c r="N869" t="s">
        <v>7</v>
      </c>
      <c r="P869">
        <f t="shared" si="1009"/>
        <v>-0.46774193548387127</v>
      </c>
      <c r="Q869">
        <f t="shared" si="1010"/>
        <v>-5678401403.5967779</v>
      </c>
      <c r="R869">
        <f t="shared" si="1011"/>
        <v>-190134208957.55475</v>
      </c>
      <c r="S869">
        <f t="shared" si="1012"/>
        <v>-1901342.0895755475</v>
      </c>
      <c r="T869">
        <f t="shared" si="1013"/>
        <v>-1901.3420895755476</v>
      </c>
    </row>
    <row r="870" spans="1:20" x14ac:dyDescent="0.25">
      <c r="A870" s="5">
        <v>43723</v>
      </c>
      <c r="B870">
        <v>2.297E-4</v>
      </c>
      <c r="C870">
        <v>2.3389999999999999E-4</v>
      </c>
      <c r="D870">
        <v>2.2350000000000001E-4</v>
      </c>
      <c r="E870">
        <v>2.251E-4</v>
      </c>
      <c r="F870">
        <v>10394478606</v>
      </c>
      <c r="G870">
        <v>0</v>
      </c>
      <c r="L870" t="s">
        <v>7</v>
      </c>
      <c r="M870" t="s">
        <v>7</v>
      </c>
      <c r="N870" t="s">
        <v>7</v>
      </c>
      <c r="P870">
        <f t="shared" si="1009"/>
        <v>-0.69230769230769473</v>
      </c>
      <c r="Q870">
        <f t="shared" si="1010"/>
        <v>-7196177496.4615641</v>
      </c>
      <c r="R870">
        <f t="shared" si="1011"/>
        <v>-184455807553.95798</v>
      </c>
      <c r="S870">
        <f t="shared" si="1012"/>
        <v>-1844558.0755395798</v>
      </c>
      <c r="T870">
        <f t="shared" si="1013"/>
        <v>-1844.5580755395799</v>
      </c>
    </row>
    <row r="871" spans="1:20" x14ac:dyDescent="0.25">
      <c r="A871" s="5">
        <v>43722</v>
      </c>
      <c r="B871">
        <v>2.265E-4</v>
      </c>
      <c r="C871">
        <v>2.3269999999999999E-4</v>
      </c>
      <c r="D871">
        <v>2.231E-4</v>
      </c>
      <c r="E871">
        <v>2.296E-4</v>
      </c>
      <c r="F871">
        <v>9676223827</v>
      </c>
      <c r="G871">
        <v>0</v>
      </c>
      <c r="L871" t="s">
        <v>8</v>
      </c>
      <c r="M871" t="s">
        <v>7</v>
      </c>
      <c r="N871" t="s">
        <v>7</v>
      </c>
      <c r="P871">
        <f t="shared" si="1009"/>
        <v>0.35416666666666718</v>
      </c>
      <c r="Q871">
        <f t="shared" si="1010"/>
        <v>3426995938.7291718</v>
      </c>
      <c r="R871">
        <f t="shared" si="1011"/>
        <v>-177259630057.4964</v>
      </c>
      <c r="S871">
        <f t="shared" si="1012"/>
        <v>-1772596.3005749639</v>
      </c>
      <c r="T871">
        <f t="shared" si="1013"/>
        <v>-1772.5963005749638</v>
      </c>
    </row>
    <row r="872" spans="1:20" x14ac:dyDescent="0.25">
      <c r="A872" s="5">
        <v>43721</v>
      </c>
      <c r="B872">
        <v>2.2350000000000001E-4</v>
      </c>
      <c r="C872">
        <v>2.287E-4</v>
      </c>
      <c r="D872">
        <v>2.2039999999999999E-4</v>
      </c>
      <c r="E872">
        <v>2.262E-4</v>
      </c>
      <c r="F872">
        <v>14008634280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0.39759036144578241</v>
      </c>
      <c r="Q872">
        <f t="shared" si="1010"/>
        <v>5569697966.7469778</v>
      </c>
      <c r="R872">
        <f t="shared" si="1011"/>
        <v>-180686625996.22559</v>
      </c>
      <c r="S872">
        <f t="shared" si="1012"/>
        <v>-1806866.2599622558</v>
      </c>
      <c r="T872">
        <f t="shared" si="1013"/>
        <v>-1806.8662599622558</v>
      </c>
    </row>
    <row r="873" spans="1:20" x14ac:dyDescent="0.25">
      <c r="A873" s="5">
        <v>43720</v>
      </c>
      <c r="B873">
        <v>2.2660000000000001E-4</v>
      </c>
      <c r="C873">
        <v>2.287E-4</v>
      </c>
      <c r="D873">
        <v>2.085E-4</v>
      </c>
      <c r="E873">
        <v>2.2359999999999999E-4</v>
      </c>
      <c r="F873">
        <v>16493594353</v>
      </c>
      <c r="G873">
        <v>0</v>
      </c>
      <c r="L873" t="s">
        <v>8</v>
      </c>
      <c r="M873" t="s">
        <v>7</v>
      </c>
      <c r="N873" t="s">
        <v>7</v>
      </c>
      <c r="P873">
        <f t="shared" si="1009"/>
        <v>0.4950495049504936</v>
      </c>
      <c r="Q873">
        <f t="shared" si="1010"/>
        <v>8165145719.3069067</v>
      </c>
      <c r="R873">
        <f t="shared" si="1011"/>
        <v>-186256323962.97256</v>
      </c>
      <c r="S873">
        <f t="shared" si="1012"/>
        <v>-1862563.2396297257</v>
      </c>
      <c r="T873">
        <f t="shared" si="1013"/>
        <v>-1862.5632396297258</v>
      </c>
    </row>
    <row r="874" spans="1:20" x14ac:dyDescent="0.25">
      <c r="A874" s="5">
        <v>43719</v>
      </c>
      <c r="B874">
        <v>2.409E-4</v>
      </c>
      <c r="C874">
        <v>2.4169999999999999E-4</v>
      </c>
      <c r="D874">
        <v>2.2220000000000001E-4</v>
      </c>
      <c r="E874">
        <v>2.2670000000000001E-4</v>
      </c>
      <c r="F874">
        <v>17244906087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-0.53846153846153799</v>
      </c>
      <c r="Q874">
        <f t="shared" si="1010"/>
        <v>-9285718662.2307606</v>
      </c>
      <c r="R874">
        <f t="shared" si="1011"/>
        <v>-194421469682.27948</v>
      </c>
      <c r="S874">
        <f t="shared" si="1012"/>
        <v>-1944214.6968227949</v>
      </c>
      <c r="T874">
        <f t="shared" si="1013"/>
        <v>-1944.2146968227948</v>
      </c>
    </row>
    <row r="875" spans="1:20" x14ac:dyDescent="0.25">
      <c r="A875" s="5">
        <v>43718</v>
      </c>
      <c r="B875">
        <v>2.474E-4</v>
      </c>
      <c r="C875">
        <v>2.519E-4</v>
      </c>
      <c r="D875">
        <v>2.3570000000000001E-4</v>
      </c>
      <c r="E875">
        <v>2.4049999999999999E-4</v>
      </c>
      <c r="F875">
        <v>15190412777</v>
      </c>
      <c r="G875">
        <v>0</v>
      </c>
      <c r="L875" t="s">
        <v>8</v>
      </c>
      <c r="M875" t="s">
        <v>7</v>
      </c>
      <c r="N875" t="s">
        <v>7</v>
      </c>
      <c r="P875">
        <f t="shared" si="1009"/>
        <v>-0.40740740740740927</v>
      </c>
      <c r="Q875">
        <f t="shared" si="1010"/>
        <v>-6188686686.9259539</v>
      </c>
      <c r="R875">
        <f t="shared" si="1011"/>
        <v>-185135751020.04871</v>
      </c>
      <c r="S875">
        <f t="shared" si="1012"/>
        <v>-1851357.510200487</v>
      </c>
      <c r="T875">
        <f t="shared" si="1013"/>
        <v>-1851.357510200487</v>
      </c>
    </row>
    <row r="876" spans="1:20" x14ac:dyDescent="0.25">
      <c r="A876" s="5">
        <v>43717</v>
      </c>
      <c r="B876">
        <v>2.497E-4</v>
      </c>
      <c r="C876">
        <v>2.5250000000000001E-4</v>
      </c>
      <c r="D876">
        <v>2.43E-4</v>
      </c>
      <c r="E876">
        <v>2.474E-4</v>
      </c>
      <c r="F876">
        <v>12305127031</v>
      </c>
      <c r="G876">
        <v>0</v>
      </c>
      <c r="L876" t="s">
        <v>7</v>
      </c>
      <c r="M876" t="s">
        <v>7</v>
      </c>
      <c r="N876" t="s">
        <v>7</v>
      </c>
      <c r="P876">
        <f t="shared" si="1009"/>
        <v>-7.3684210526317476E-2</v>
      </c>
      <c r="Q876">
        <f t="shared" si="1010"/>
        <v>-906693570.70528388</v>
      </c>
      <c r="R876">
        <f t="shared" si="1011"/>
        <v>-178947064333.12274</v>
      </c>
      <c r="S876">
        <f t="shared" si="1012"/>
        <v>-1789470.6433312274</v>
      </c>
      <c r="T876">
        <f t="shared" si="1013"/>
        <v>-1789.4706433312274</v>
      </c>
    </row>
    <row r="877" spans="1:20" x14ac:dyDescent="0.25">
      <c r="A877" s="5">
        <v>43716</v>
      </c>
      <c r="B877">
        <v>2.5999999999999998E-4</v>
      </c>
      <c r="C877">
        <v>2.6289999999999999E-4</v>
      </c>
      <c r="D877">
        <v>2.42E-4</v>
      </c>
      <c r="E877">
        <v>2.497E-4</v>
      </c>
      <c r="F877">
        <v>11619942543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-0.26315789473684209</v>
      </c>
      <c r="Q877">
        <f t="shared" si="1010"/>
        <v>-3057879616.5789471</v>
      </c>
      <c r="R877">
        <f t="shared" si="1011"/>
        <v>-178040370762.41745</v>
      </c>
      <c r="S877">
        <f t="shared" si="1012"/>
        <v>-1780403.7076241744</v>
      </c>
      <c r="T877">
        <f t="shared" si="1013"/>
        <v>-1780.4037076241743</v>
      </c>
    </row>
    <row r="878" spans="1:20" x14ac:dyDescent="0.25">
      <c r="A878" s="5">
        <v>43715</v>
      </c>
      <c r="B878">
        <v>2.566E-4</v>
      </c>
      <c r="C878">
        <v>2.6650000000000003E-4</v>
      </c>
      <c r="D878">
        <v>2.452E-4</v>
      </c>
      <c r="E878">
        <v>2.6009999999999998E-4</v>
      </c>
      <c r="F878">
        <v>9368331547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0.3990610328638462</v>
      </c>
      <c r="Q878">
        <f t="shared" si="1010"/>
        <v>3738536063.3567743</v>
      </c>
      <c r="R878">
        <f t="shared" si="1011"/>
        <v>-174982491145.8385</v>
      </c>
      <c r="S878">
        <f t="shared" si="1012"/>
        <v>-1749824.9114583849</v>
      </c>
      <c r="T878">
        <f t="shared" si="1013"/>
        <v>-1749.824911458385</v>
      </c>
    </row>
    <row r="879" spans="1:20" x14ac:dyDescent="0.25">
      <c r="A879" s="5">
        <v>43714</v>
      </c>
      <c r="B879">
        <v>2.8620000000000002E-4</v>
      </c>
      <c r="C879">
        <v>2.8709999999999999E-4</v>
      </c>
      <c r="D879">
        <v>2.522E-4</v>
      </c>
      <c r="E879">
        <v>2.5670000000000001E-4</v>
      </c>
      <c r="F879">
        <v>11759800285</v>
      </c>
      <c r="G879">
        <v>0</v>
      </c>
      <c r="L879" t="s">
        <v>8</v>
      </c>
      <c r="M879" t="s">
        <v>7</v>
      </c>
      <c r="N879" t="s">
        <v>7</v>
      </c>
      <c r="P879">
        <f t="shared" si="1009"/>
        <v>-0.7421203438395414</v>
      </c>
      <c r="Q879">
        <f t="shared" si="1010"/>
        <v>-8727187030.9885368</v>
      </c>
      <c r="R879">
        <f t="shared" si="1011"/>
        <v>-178721027209.19528</v>
      </c>
      <c r="S879">
        <f t="shared" si="1012"/>
        <v>-1787210.2720919529</v>
      </c>
      <c r="T879">
        <f t="shared" si="1013"/>
        <v>-1787.2102720919529</v>
      </c>
    </row>
    <row r="880" spans="1:20" x14ac:dyDescent="0.25">
      <c r="A880" s="5">
        <v>43713</v>
      </c>
      <c r="B880">
        <v>2.9710000000000001E-4</v>
      </c>
      <c r="C880">
        <v>2.9720000000000001E-4</v>
      </c>
      <c r="D880">
        <v>2.8299999999999999E-4</v>
      </c>
      <c r="E880">
        <v>2.8620000000000002E-4</v>
      </c>
      <c r="F880">
        <v>6848709819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-0.54929577464788459</v>
      </c>
      <c r="Q880">
        <f t="shared" si="1010"/>
        <v>-3761967365.3661785</v>
      </c>
      <c r="R880">
        <f t="shared" si="1011"/>
        <v>-169993840178.20676</v>
      </c>
      <c r="S880">
        <f t="shared" si="1012"/>
        <v>-1699938.4017820675</v>
      </c>
      <c r="T880">
        <f t="shared" si="1013"/>
        <v>-1699.9384017820676</v>
      </c>
    </row>
    <row r="881" spans="1:20" x14ac:dyDescent="0.25">
      <c r="A881" s="5">
        <v>43712</v>
      </c>
      <c r="B881">
        <v>3.0430000000000002E-4</v>
      </c>
      <c r="C881">
        <v>3.0519999999999999E-4</v>
      </c>
      <c r="D881">
        <v>2.945E-4</v>
      </c>
      <c r="E881">
        <v>2.9710000000000001E-4</v>
      </c>
      <c r="F881">
        <v>7048403934</v>
      </c>
      <c r="G881">
        <v>0</v>
      </c>
      <c r="L881" t="s">
        <v>8</v>
      </c>
      <c r="M881" t="s">
        <v>7</v>
      </c>
      <c r="N881" t="s">
        <v>7</v>
      </c>
      <c r="P881">
        <f t="shared" si="1009"/>
        <v>-0.51401869158878288</v>
      </c>
      <c r="Q881">
        <f t="shared" si="1010"/>
        <v>-3623011367.9439101</v>
      </c>
      <c r="R881">
        <f t="shared" si="1011"/>
        <v>-166231872812.84058</v>
      </c>
      <c r="S881">
        <f t="shared" si="1012"/>
        <v>-1662318.7281284058</v>
      </c>
      <c r="T881">
        <f t="shared" si="1013"/>
        <v>-1662.3187281284058</v>
      </c>
    </row>
    <row r="882" spans="1:20" x14ac:dyDescent="0.25">
      <c r="A882" s="5">
        <v>43711</v>
      </c>
      <c r="B882">
        <v>3.1139999999999998E-4</v>
      </c>
      <c r="C882">
        <v>3.2160000000000001E-4</v>
      </c>
      <c r="D882">
        <v>2.9700000000000001E-4</v>
      </c>
      <c r="E882">
        <v>3.0430000000000002E-4</v>
      </c>
      <c r="F882">
        <v>55155246788</v>
      </c>
      <c r="G882">
        <v>0</v>
      </c>
      <c r="L882" t="s">
        <v>7</v>
      </c>
      <c r="M882" t="s">
        <v>7</v>
      </c>
      <c r="N882" t="s">
        <v>7</v>
      </c>
      <c r="P882">
        <f t="shared" si="1009"/>
        <v>-0.40650406504064923</v>
      </c>
      <c r="Q882">
        <f t="shared" si="1010"/>
        <v>-22420832027.642212</v>
      </c>
      <c r="R882">
        <f t="shared" si="1011"/>
        <v>-162608861444.89667</v>
      </c>
      <c r="S882">
        <f t="shared" si="1012"/>
        <v>-1626088.6144489667</v>
      </c>
      <c r="T882">
        <f t="shared" si="1013"/>
        <v>-1626.0886144489666</v>
      </c>
    </row>
    <row r="883" spans="1:20" x14ac:dyDescent="0.25">
      <c r="A883" s="5">
        <v>43710</v>
      </c>
      <c r="B883">
        <v>3.0600000000000001E-4</v>
      </c>
      <c r="C883">
        <v>3.1369999999999998E-4</v>
      </c>
      <c r="D883">
        <v>3.0009999999999998E-4</v>
      </c>
      <c r="E883">
        <v>3.1139999999999998E-4</v>
      </c>
      <c r="F883">
        <v>50911524460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0.66176470588235281</v>
      </c>
      <c r="Q883">
        <f t="shared" si="1010"/>
        <v>33691450010.294109</v>
      </c>
      <c r="R883">
        <f t="shared" si="1011"/>
        <v>-140188029417.25446</v>
      </c>
      <c r="S883">
        <f t="shared" si="1012"/>
        <v>-1401880.2941725445</v>
      </c>
      <c r="T883">
        <f t="shared" si="1013"/>
        <v>-1401.8802941725446</v>
      </c>
    </row>
    <row r="884" spans="1:20" x14ac:dyDescent="0.25">
      <c r="A884" s="5">
        <v>43709</v>
      </c>
      <c r="B884">
        <v>3.1070000000000002E-4</v>
      </c>
      <c r="C884">
        <v>3.1280000000000001E-4</v>
      </c>
      <c r="D884">
        <v>2.9980000000000002E-4</v>
      </c>
      <c r="E884">
        <v>3.0600000000000001E-4</v>
      </c>
      <c r="F884">
        <v>11441022162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-4.6153846153847308E-2</v>
      </c>
      <c r="Q884">
        <f t="shared" si="1010"/>
        <v>-528047176.7077055</v>
      </c>
      <c r="R884">
        <f t="shared" si="1011"/>
        <v>-173879479427.54855</v>
      </c>
      <c r="S884">
        <f t="shared" si="1012"/>
        <v>-1738794.7942754854</v>
      </c>
      <c r="T884">
        <f t="shared" si="1013"/>
        <v>-1738.7947942754854</v>
      </c>
    </row>
    <row r="885" spans="1:20" x14ac:dyDescent="0.25">
      <c r="A885" s="5">
        <v>43708</v>
      </c>
      <c r="B885">
        <v>3.2259999999999998E-4</v>
      </c>
      <c r="C885">
        <v>3.234E-4</v>
      </c>
      <c r="D885">
        <v>3.0499999999999999E-4</v>
      </c>
      <c r="E885">
        <v>3.1080000000000002E-4</v>
      </c>
      <c r="F885">
        <v>40454529152</v>
      </c>
      <c r="G885">
        <v>0</v>
      </c>
      <c r="L885" t="s">
        <v>8</v>
      </c>
      <c r="M885" t="s">
        <v>7</v>
      </c>
      <c r="N885" t="s">
        <v>7</v>
      </c>
      <c r="P885">
        <f t="shared" si="1009"/>
        <v>-0.36956521739130127</v>
      </c>
      <c r="Q885">
        <f t="shared" si="1010"/>
        <v>-14950586860.521614</v>
      </c>
      <c r="R885">
        <f t="shared" si="1011"/>
        <v>-173351432250.84085</v>
      </c>
      <c r="S885">
        <f t="shared" si="1012"/>
        <v>-1733514.3225084085</v>
      </c>
      <c r="T885">
        <f t="shared" si="1013"/>
        <v>-1733.5143225084084</v>
      </c>
    </row>
    <row r="886" spans="1:20" x14ac:dyDescent="0.25">
      <c r="A886" s="5">
        <v>43707</v>
      </c>
      <c r="B886">
        <v>3.1330000000000003E-4</v>
      </c>
      <c r="C886">
        <v>3.2699999999999998E-4</v>
      </c>
      <c r="D886">
        <v>3.101E-4</v>
      </c>
      <c r="E886">
        <v>3.2289999999999999E-4</v>
      </c>
      <c r="F886">
        <v>40999653610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0.51479289940828443</v>
      </c>
      <c r="Q886">
        <f t="shared" si="1010"/>
        <v>21106330556.627235</v>
      </c>
      <c r="R886">
        <f t="shared" si="1011"/>
        <v>-158400845390.31924</v>
      </c>
      <c r="S886">
        <f t="shared" si="1012"/>
        <v>-1584008.4539031924</v>
      </c>
      <c r="T886">
        <f t="shared" si="1013"/>
        <v>-1584.0084539031925</v>
      </c>
    </row>
    <row r="887" spans="1:20" x14ac:dyDescent="0.25">
      <c r="A887" s="5">
        <v>43706</v>
      </c>
      <c r="B887">
        <v>3.1710000000000001E-4</v>
      </c>
      <c r="C887">
        <v>3.301E-4</v>
      </c>
      <c r="D887">
        <v>2.9339999999999998E-4</v>
      </c>
      <c r="E887">
        <v>3.1320000000000002E-4</v>
      </c>
      <c r="F887">
        <v>76219135742</v>
      </c>
      <c r="G887">
        <v>0</v>
      </c>
      <c r="L887" t="s">
        <v>8</v>
      </c>
      <c r="M887" t="s">
        <v>7</v>
      </c>
      <c r="N887" t="s">
        <v>7</v>
      </c>
      <c r="P887">
        <f t="shared" si="1009"/>
        <v>7.901907356948415E-2</v>
      </c>
      <c r="Q887">
        <f t="shared" si="1010"/>
        <v>6022765494.599597</v>
      </c>
      <c r="R887">
        <f t="shared" si="1011"/>
        <v>-179507175946.94647</v>
      </c>
      <c r="S887">
        <f t="shared" si="1012"/>
        <v>-1795071.7594694647</v>
      </c>
      <c r="T887">
        <f t="shared" si="1013"/>
        <v>-1795.0717594694647</v>
      </c>
    </row>
    <row r="888" spans="1:20" x14ac:dyDescent="0.25">
      <c r="A888" s="5">
        <v>43705</v>
      </c>
      <c r="B888">
        <v>3.4860000000000002E-4</v>
      </c>
      <c r="C888">
        <v>3.5930000000000001E-4</v>
      </c>
      <c r="D888">
        <v>3.1310000000000002E-4</v>
      </c>
      <c r="E888">
        <v>3.1710000000000001E-4</v>
      </c>
      <c r="F888">
        <v>31739529967</v>
      </c>
      <c r="G888">
        <v>0</v>
      </c>
      <c r="L888" t="s">
        <v>7</v>
      </c>
      <c r="M888" t="s">
        <v>8</v>
      </c>
      <c r="N888" t="s">
        <v>7</v>
      </c>
      <c r="P888">
        <f t="shared" si="1009"/>
        <v>-0.82683982683982726</v>
      </c>
      <c r="Q888">
        <f t="shared" si="1010"/>
        <v>-26243507461.891788</v>
      </c>
      <c r="R888">
        <f t="shared" si="1011"/>
        <v>-185529941441.54608</v>
      </c>
      <c r="S888">
        <f t="shared" si="1012"/>
        <v>-1855299.4144154608</v>
      </c>
      <c r="T888">
        <f t="shared" si="1013"/>
        <v>-1855.2994144154609</v>
      </c>
    </row>
    <row r="889" spans="1:20" x14ac:dyDescent="0.25">
      <c r="A889" s="5">
        <v>43704</v>
      </c>
      <c r="B889">
        <v>3.166E-4</v>
      </c>
      <c r="C889">
        <v>3.6400000000000001E-4</v>
      </c>
      <c r="D889">
        <v>3.1280000000000001E-4</v>
      </c>
      <c r="E889">
        <v>3.4830000000000001E-4</v>
      </c>
      <c r="F889">
        <v>15378516876</v>
      </c>
      <c r="G889">
        <v>0</v>
      </c>
      <c r="L889" t="s">
        <v>8</v>
      </c>
      <c r="M889" t="s">
        <v>8</v>
      </c>
      <c r="N889" t="s">
        <v>7</v>
      </c>
      <c r="P889">
        <f t="shared" si="1009"/>
        <v>0.38671874999999989</v>
      </c>
      <c r="Q889">
        <f t="shared" si="1010"/>
        <v>5947160823.1406231</v>
      </c>
      <c r="R889">
        <f t="shared" si="1011"/>
        <v>-159286433979.6543</v>
      </c>
      <c r="S889">
        <f t="shared" si="1012"/>
        <v>-1592864.3397965429</v>
      </c>
      <c r="T889">
        <f t="shared" si="1013"/>
        <v>-1592.8643397965429</v>
      </c>
    </row>
    <row r="890" spans="1:20" x14ac:dyDescent="0.25">
      <c r="A890" s="5">
        <v>43703</v>
      </c>
      <c r="B890">
        <v>3.1379999999999998E-4</v>
      </c>
      <c r="C890">
        <v>3.2370000000000001E-4</v>
      </c>
      <c r="D890">
        <v>3.102E-4</v>
      </c>
      <c r="E890">
        <v>3.1740000000000002E-4</v>
      </c>
      <c r="F890">
        <v>7032952921</v>
      </c>
      <c r="G890">
        <v>0</v>
      </c>
      <c r="L890" t="s">
        <v>7</v>
      </c>
      <c r="M890" t="s">
        <v>7</v>
      </c>
      <c r="N890" t="s">
        <v>7</v>
      </c>
      <c r="P890">
        <f t="shared" si="1009"/>
        <v>6.6666666666668276E-2</v>
      </c>
      <c r="Q890">
        <f t="shared" si="1010"/>
        <v>468863528.06667799</v>
      </c>
      <c r="R890">
        <f t="shared" si="1011"/>
        <v>-165233594802.79492</v>
      </c>
      <c r="S890">
        <f t="shared" si="1012"/>
        <v>-1652335.9480279493</v>
      </c>
      <c r="T890">
        <f t="shared" si="1013"/>
        <v>-1652.3359480279494</v>
      </c>
    </row>
    <row r="891" spans="1:20" x14ac:dyDescent="0.25">
      <c r="A891" s="5">
        <v>43702</v>
      </c>
      <c r="B891">
        <v>3.2019999999999998E-4</v>
      </c>
      <c r="C891">
        <v>3.2749999999999999E-4</v>
      </c>
      <c r="D891">
        <v>3.0919999999999998E-4</v>
      </c>
      <c r="E891">
        <v>3.1490000000000001E-4</v>
      </c>
      <c r="F891">
        <v>3129802772</v>
      </c>
      <c r="G891">
        <v>0</v>
      </c>
      <c r="L891" t="s">
        <v>8</v>
      </c>
      <c r="M891" t="s">
        <v>7</v>
      </c>
      <c r="N891" t="s">
        <v>7</v>
      </c>
      <c r="P891">
        <f t="shared" si="1009"/>
        <v>-0.37704918032786594</v>
      </c>
      <c r="Q891">
        <f t="shared" si="1010"/>
        <v>-1180089569.7704828</v>
      </c>
      <c r="R891">
        <f t="shared" si="1011"/>
        <v>-165702458330.8616</v>
      </c>
      <c r="S891">
        <f t="shared" si="1012"/>
        <v>-1657024.583308616</v>
      </c>
      <c r="T891">
        <f t="shared" si="1013"/>
        <v>-1657.024583308616</v>
      </c>
    </row>
    <row r="892" spans="1:20" x14ac:dyDescent="0.25">
      <c r="A892" s="5">
        <v>43701</v>
      </c>
      <c r="B892">
        <v>3.2180000000000002E-4</v>
      </c>
      <c r="C892">
        <v>3.3290000000000001E-4</v>
      </c>
      <c r="D892">
        <v>3.1399999999999999E-4</v>
      </c>
      <c r="E892">
        <v>3.211E-4</v>
      </c>
      <c r="F892">
        <v>4090287384</v>
      </c>
      <c r="G892">
        <v>0</v>
      </c>
      <c r="L892" t="s">
        <v>7</v>
      </c>
      <c r="M892" t="s">
        <v>7</v>
      </c>
      <c r="N892" t="s">
        <v>7</v>
      </c>
      <c r="P892">
        <f t="shared" si="1009"/>
        <v>-0.24867724867724864</v>
      </c>
      <c r="Q892">
        <f t="shared" si="1010"/>
        <v>-1017161412.9523808</v>
      </c>
      <c r="R892">
        <f t="shared" si="1011"/>
        <v>-164522368761.09113</v>
      </c>
      <c r="S892">
        <f t="shared" si="1012"/>
        <v>-1645223.6876109112</v>
      </c>
      <c r="T892">
        <f t="shared" si="1013"/>
        <v>-1645.2236876109112</v>
      </c>
    </row>
    <row r="893" spans="1:20" x14ac:dyDescent="0.25">
      <c r="A893" s="5">
        <v>43700</v>
      </c>
      <c r="B893">
        <v>3.1920000000000001E-4</v>
      </c>
      <c r="C893">
        <v>3.3090000000000002E-4</v>
      </c>
      <c r="D893">
        <v>3.1379999999999998E-4</v>
      </c>
      <c r="E893">
        <v>3.2180000000000002E-4</v>
      </c>
      <c r="F893">
        <v>3765992298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-6.4327485380115221E-2</v>
      </c>
      <c r="Q893">
        <f t="shared" si="1010"/>
        <v>-242256814.49122152</v>
      </c>
      <c r="R893">
        <f t="shared" si="1011"/>
        <v>-163505207348.13873</v>
      </c>
      <c r="S893">
        <f t="shared" si="1012"/>
        <v>-1635052.0734813872</v>
      </c>
      <c r="T893">
        <f t="shared" si="1013"/>
        <v>-1635.0520734813872</v>
      </c>
    </row>
    <row r="894" spans="1:20" x14ac:dyDescent="0.25">
      <c r="A894" s="5">
        <v>43699</v>
      </c>
      <c r="B894">
        <v>3.143E-4</v>
      </c>
      <c r="C894">
        <v>3.2220000000000003E-4</v>
      </c>
      <c r="D894">
        <v>3.0709999999999998E-4</v>
      </c>
      <c r="E894">
        <v>3.2000000000000003E-4</v>
      </c>
      <c r="F894">
        <v>4472831368</v>
      </c>
      <c r="G894">
        <v>0</v>
      </c>
      <c r="L894" t="s">
        <v>7</v>
      </c>
      <c r="M894" t="s">
        <v>7</v>
      </c>
      <c r="N894" t="s">
        <v>7</v>
      </c>
      <c r="P894">
        <f t="shared" si="1009"/>
        <v>0.70860927152317976</v>
      </c>
      <c r="Q894">
        <f t="shared" si="1010"/>
        <v>3169489777.3245077</v>
      </c>
      <c r="R894">
        <f t="shared" si="1011"/>
        <v>-163262950533.64752</v>
      </c>
      <c r="S894">
        <f t="shared" si="1012"/>
        <v>-1632629.5053364753</v>
      </c>
      <c r="T894">
        <f t="shared" si="1013"/>
        <v>-1632.6295053364754</v>
      </c>
    </row>
    <row r="895" spans="1:20" x14ac:dyDescent="0.25">
      <c r="A895" s="5">
        <v>43698</v>
      </c>
      <c r="B895">
        <v>3.2380000000000001E-4</v>
      </c>
      <c r="C895">
        <v>3.2689999999999998E-4</v>
      </c>
      <c r="D895">
        <v>2.9750000000000002E-4</v>
      </c>
      <c r="E895">
        <v>3.1500000000000001E-4</v>
      </c>
      <c r="F895">
        <v>5198775298</v>
      </c>
      <c r="G895">
        <v>0</v>
      </c>
      <c r="L895" t="s">
        <v>8</v>
      </c>
      <c r="M895" t="s">
        <v>7</v>
      </c>
      <c r="N895" t="s">
        <v>7</v>
      </c>
      <c r="P895">
        <f t="shared" ref="P895:P915" si="1014">IF(C895=D895,0,((E895-D895)-(C895-E895))/(C895-D895))</f>
        <v>0.19047619047619171</v>
      </c>
      <c r="Q895">
        <f t="shared" ref="Q895:Q915" si="1015">F895*P895</f>
        <v>990242913.90476835</v>
      </c>
      <c r="R895">
        <f t="shared" ref="R895:R915" si="1016">R896+Q895</f>
        <v>-166432440310.97202</v>
      </c>
      <c r="S895">
        <f t="shared" ref="S895:S915" si="1017">R895/100000</f>
        <v>-1664324.4031097202</v>
      </c>
      <c r="T895">
        <f t="shared" ref="T895:T915" si="1018">S895/1000</f>
        <v>-1664.3244031097202</v>
      </c>
    </row>
    <row r="896" spans="1:20" x14ac:dyDescent="0.25">
      <c r="A896" s="5">
        <v>43697</v>
      </c>
      <c r="B896">
        <v>3.4039999999999998E-4</v>
      </c>
      <c r="C896">
        <v>3.4170000000000001E-4</v>
      </c>
      <c r="D896">
        <v>3.1950000000000001E-4</v>
      </c>
      <c r="E896">
        <v>3.2400000000000001E-4</v>
      </c>
      <c r="F896">
        <v>5760596979</v>
      </c>
      <c r="G896">
        <v>0</v>
      </c>
      <c r="L896" t="s">
        <v>7</v>
      </c>
      <c r="M896" t="s">
        <v>7</v>
      </c>
      <c r="N896" t="s">
        <v>7</v>
      </c>
      <c r="P896">
        <f t="shared" si="1014"/>
        <v>-0.59459459459459452</v>
      </c>
      <c r="Q896">
        <f t="shared" si="1015"/>
        <v>-3425219825.3513508</v>
      </c>
      <c r="R896">
        <f t="shared" si="1016"/>
        <v>-167422683224.87677</v>
      </c>
      <c r="S896">
        <f t="shared" si="1017"/>
        <v>-1674226.8322487676</v>
      </c>
      <c r="T896">
        <f t="shared" si="1018"/>
        <v>-1674.2268322487676</v>
      </c>
    </row>
    <row r="897" spans="1:20" x14ac:dyDescent="0.25">
      <c r="A897" s="5">
        <v>43696</v>
      </c>
      <c r="B897">
        <v>3.414E-4</v>
      </c>
      <c r="C897">
        <v>3.5199999999999999E-4</v>
      </c>
      <c r="D897">
        <v>3.3189999999999999E-4</v>
      </c>
      <c r="E897">
        <v>3.4049999999999998E-4</v>
      </c>
      <c r="F897">
        <v>4900277221</v>
      </c>
      <c r="G897">
        <v>0</v>
      </c>
      <c r="L897" t="s">
        <v>8</v>
      </c>
      <c r="M897" t="s">
        <v>7</v>
      </c>
      <c r="N897" t="s">
        <v>7</v>
      </c>
      <c r="P897">
        <f t="shared" si="1014"/>
        <v>-0.14427860696517494</v>
      </c>
      <c r="Q897">
        <f t="shared" si="1015"/>
        <v>-707005171.18905866</v>
      </c>
      <c r="R897">
        <f t="shared" si="1016"/>
        <v>-163997463399.52542</v>
      </c>
      <c r="S897">
        <f t="shared" si="1017"/>
        <v>-1639974.6339952543</v>
      </c>
      <c r="T897">
        <f t="shared" si="1018"/>
        <v>-1639.9746339952542</v>
      </c>
    </row>
    <row r="898" spans="1:20" x14ac:dyDescent="0.25">
      <c r="A898" s="5">
        <v>43695</v>
      </c>
      <c r="B898">
        <v>3.3270000000000001E-4</v>
      </c>
      <c r="C898">
        <v>3.6000000000000002E-4</v>
      </c>
      <c r="D898">
        <v>3.3159999999999998E-4</v>
      </c>
      <c r="E898">
        <v>3.413E-4</v>
      </c>
      <c r="F898">
        <v>4905046885</v>
      </c>
      <c r="G898">
        <v>0</v>
      </c>
      <c r="L898" t="s">
        <v>7</v>
      </c>
      <c r="M898" t="s">
        <v>7</v>
      </c>
      <c r="N898" t="s">
        <v>7</v>
      </c>
      <c r="P898">
        <f t="shared" si="1014"/>
        <v>-0.31690140845070386</v>
      </c>
      <c r="Q898">
        <f t="shared" si="1015"/>
        <v>-1554416266.3732376</v>
      </c>
      <c r="R898">
        <f t="shared" si="1016"/>
        <v>-163290458228.33636</v>
      </c>
      <c r="S898">
        <f t="shared" si="1017"/>
        <v>-1632904.5822833637</v>
      </c>
      <c r="T898">
        <f t="shared" si="1018"/>
        <v>-1632.9045822833637</v>
      </c>
    </row>
    <row r="899" spans="1:20" x14ac:dyDescent="0.25">
      <c r="A899" s="5">
        <v>43694</v>
      </c>
      <c r="B899">
        <v>3.3789999999999997E-4</v>
      </c>
      <c r="C899">
        <v>3.4259999999999998E-4</v>
      </c>
      <c r="D899">
        <v>3.255E-4</v>
      </c>
      <c r="E899">
        <v>3.3280000000000001E-4</v>
      </c>
      <c r="F899">
        <v>4301932088</v>
      </c>
      <c r="G899">
        <v>0</v>
      </c>
      <c r="L899" t="s">
        <v>8</v>
      </c>
      <c r="M899" t="s">
        <v>7</v>
      </c>
      <c r="N899" t="s">
        <v>7</v>
      </c>
      <c r="P899">
        <f t="shared" si="1014"/>
        <v>-0.14619883040935408</v>
      </c>
      <c r="Q899">
        <f t="shared" si="1015"/>
        <v>-628937439.76607049</v>
      </c>
      <c r="R899">
        <f t="shared" si="1016"/>
        <v>-161736041961.96313</v>
      </c>
      <c r="S899">
        <f t="shared" si="1017"/>
        <v>-1617360.4196196313</v>
      </c>
      <c r="T899">
        <f t="shared" si="1018"/>
        <v>-1617.3604196196313</v>
      </c>
    </row>
    <row r="900" spans="1:20" x14ac:dyDescent="0.25">
      <c r="A900" s="5">
        <v>43693</v>
      </c>
      <c r="B900">
        <v>3.2089999999999999E-4</v>
      </c>
      <c r="C900">
        <v>3.4969999999999999E-4</v>
      </c>
      <c r="D900">
        <v>3.2089999999999999E-4</v>
      </c>
      <c r="E900">
        <v>3.3789999999999997E-4</v>
      </c>
      <c r="F900">
        <v>8293988973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0.18055555555555433</v>
      </c>
      <c r="Q900">
        <f t="shared" si="1015"/>
        <v>1497525786.7916565</v>
      </c>
      <c r="R900">
        <f t="shared" si="1016"/>
        <v>-161107104522.19705</v>
      </c>
      <c r="S900">
        <f t="shared" si="1017"/>
        <v>-1611071.0452219704</v>
      </c>
      <c r="T900">
        <f t="shared" si="1018"/>
        <v>-1611.0710452219705</v>
      </c>
    </row>
    <row r="901" spans="1:20" x14ac:dyDescent="0.25">
      <c r="A901" s="5">
        <v>43692</v>
      </c>
      <c r="B901">
        <v>3.1639999999999999E-4</v>
      </c>
      <c r="C901">
        <v>3.3480000000000001E-4</v>
      </c>
      <c r="D901">
        <v>3.0820000000000001E-4</v>
      </c>
      <c r="E901">
        <v>3.2089999999999999E-4</v>
      </c>
      <c r="F901">
        <v>5800631779</v>
      </c>
      <c r="G901">
        <v>0</v>
      </c>
      <c r="L901" t="s">
        <v>8</v>
      </c>
      <c r="M901" t="s">
        <v>7</v>
      </c>
      <c r="N901" t="s">
        <v>7</v>
      </c>
      <c r="P901">
        <f t="shared" si="1014"/>
        <v>-4.5112781954888319E-2</v>
      </c>
      <c r="Q901">
        <f t="shared" si="1015"/>
        <v>-261682636.64662293</v>
      </c>
      <c r="R901">
        <f t="shared" si="1016"/>
        <v>-162604630308.98871</v>
      </c>
      <c r="S901">
        <f t="shared" si="1017"/>
        <v>-1626046.3030898871</v>
      </c>
      <c r="T901">
        <f t="shared" si="1018"/>
        <v>-1626.046303089887</v>
      </c>
    </row>
    <row r="902" spans="1:20" x14ac:dyDescent="0.25">
      <c r="A902" s="5">
        <v>43691</v>
      </c>
      <c r="B902">
        <v>3.5260000000000001E-4</v>
      </c>
      <c r="C902">
        <v>3.8880000000000002E-4</v>
      </c>
      <c r="D902">
        <v>3.1E-4</v>
      </c>
      <c r="E902">
        <v>3.1510000000000002E-4</v>
      </c>
      <c r="F902">
        <v>16976957853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-0.87055837563451743</v>
      </c>
      <c r="Q902">
        <f t="shared" si="1015"/>
        <v>-14779432851.723345</v>
      </c>
      <c r="R902">
        <f t="shared" si="1016"/>
        <v>-162342947672.34207</v>
      </c>
      <c r="S902">
        <f t="shared" si="1017"/>
        <v>-1623429.4767234207</v>
      </c>
      <c r="T902">
        <f t="shared" si="1018"/>
        <v>-1623.4294767234207</v>
      </c>
    </row>
    <row r="903" spans="1:20" x14ac:dyDescent="0.25">
      <c r="A903" s="5">
        <v>43690</v>
      </c>
      <c r="B903">
        <v>3.7970000000000001E-4</v>
      </c>
      <c r="C903">
        <v>3.97E-4</v>
      </c>
      <c r="D903">
        <v>3.39E-4</v>
      </c>
      <c r="E903">
        <v>3.522E-4</v>
      </c>
      <c r="F903">
        <v>22174537188</v>
      </c>
      <c r="G903">
        <v>0</v>
      </c>
      <c r="L903" t="s">
        <v>8</v>
      </c>
      <c r="M903" t="s">
        <v>7</v>
      </c>
      <c r="N903" t="s">
        <v>8</v>
      </c>
      <c r="P903">
        <f t="shared" si="1014"/>
        <v>-0.54482758620689675</v>
      </c>
      <c r="Q903">
        <f t="shared" si="1015"/>
        <v>-12081299571.393108</v>
      </c>
      <c r="R903">
        <f t="shared" si="1016"/>
        <v>-147563514820.61871</v>
      </c>
      <c r="S903">
        <f t="shared" si="1017"/>
        <v>-1475635.1482061872</v>
      </c>
      <c r="T903">
        <f t="shared" si="1018"/>
        <v>-1475.6351482061871</v>
      </c>
    </row>
    <row r="904" spans="1:20" x14ac:dyDescent="0.25">
      <c r="A904" s="5">
        <v>43689</v>
      </c>
      <c r="B904">
        <v>3.0440000000000003E-4</v>
      </c>
      <c r="C904">
        <v>4.347E-4</v>
      </c>
      <c r="D904">
        <v>3.0309999999999999E-4</v>
      </c>
      <c r="E904">
        <v>3.7990000000000002E-4</v>
      </c>
      <c r="F904">
        <v>39531562774</v>
      </c>
      <c r="G904">
        <v>0</v>
      </c>
      <c r="L904" t="s">
        <v>7</v>
      </c>
      <c r="M904" t="s">
        <v>8</v>
      </c>
      <c r="N904" t="s">
        <v>8</v>
      </c>
      <c r="P904">
        <f t="shared" si="1014"/>
        <v>0.16717325227963561</v>
      </c>
      <c r="Q904">
        <f t="shared" si="1015"/>
        <v>6608619916.6261539</v>
      </c>
      <c r="R904">
        <f t="shared" si="1016"/>
        <v>-135482215249.22562</v>
      </c>
      <c r="S904">
        <f t="shared" si="1017"/>
        <v>-1354822.1524922561</v>
      </c>
      <c r="T904">
        <f t="shared" si="1018"/>
        <v>-1354.8221524922562</v>
      </c>
    </row>
    <row r="905" spans="1:20" x14ac:dyDescent="0.25">
      <c r="A905" s="5">
        <v>43688</v>
      </c>
      <c r="B905">
        <v>3.1829999999999998E-4</v>
      </c>
      <c r="C905">
        <v>3.3090000000000002E-4</v>
      </c>
      <c r="D905">
        <v>2.9710000000000001E-4</v>
      </c>
      <c r="E905">
        <v>3.0479999999999998E-4</v>
      </c>
      <c r="F905">
        <v>13048567593</v>
      </c>
      <c r="G905">
        <v>0</v>
      </c>
      <c r="L905" t="s">
        <v>8</v>
      </c>
      <c r="M905" t="s">
        <v>8</v>
      </c>
      <c r="N905" t="s">
        <v>7</v>
      </c>
      <c r="P905">
        <f t="shared" si="1014"/>
        <v>-0.54437869822485396</v>
      </c>
      <c r="Q905">
        <f t="shared" si="1015"/>
        <v>-7103362239.9763565</v>
      </c>
      <c r="R905">
        <f t="shared" si="1016"/>
        <v>-142090835165.85178</v>
      </c>
      <c r="S905">
        <f t="shared" si="1017"/>
        <v>-1420908.3516585177</v>
      </c>
      <c r="T905">
        <f t="shared" si="1018"/>
        <v>-1420.9083516585176</v>
      </c>
    </row>
    <row r="906" spans="1:20" x14ac:dyDescent="0.25">
      <c r="A906" s="5">
        <v>43687</v>
      </c>
      <c r="B906">
        <v>3.0049999999999999E-4</v>
      </c>
      <c r="C906">
        <v>3.4400000000000001E-4</v>
      </c>
      <c r="D906">
        <v>2.8200000000000002E-4</v>
      </c>
      <c r="E906">
        <v>3.1829999999999998E-4</v>
      </c>
      <c r="F906">
        <v>13060786134</v>
      </c>
      <c r="G906">
        <v>0</v>
      </c>
      <c r="L906" t="s">
        <v>7</v>
      </c>
      <c r="M906" t="s">
        <v>7</v>
      </c>
      <c r="N906" t="s">
        <v>7</v>
      </c>
      <c r="P906">
        <f t="shared" si="1014"/>
        <v>0.17096774193548281</v>
      </c>
      <c r="Q906">
        <f t="shared" si="1015"/>
        <v>2232973113.232244</v>
      </c>
      <c r="R906">
        <f t="shared" si="1016"/>
        <v>-134987472925.87541</v>
      </c>
      <c r="S906">
        <f t="shared" si="1017"/>
        <v>-1349874.7292587541</v>
      </c>
      <c r="T906">
        <f t="shared" si="1018"/>
        <v>-1349.8747292587541</v>
      </c>
    </row>
    <row r="907" spans="1:20" x14ac:dyDescent="0.25">
      <c r="A907" s="5">
        <v>43686</v>
      </c>
      <c r="B907">
        <v>3.6010000000000003E-4</v>
      </c>
      <c r="C907">
        <v>3.6870000000000002E-4</v>
      </c>
      <c r="D907">
        <v>2.942E-4</v>
      </c>
      <c r="E907">
        <v>3.0049999999999999E-4</v>
      </c>
      <c r="F907">
        <v>17760899136</v>
      </c>
      <c r="G907">
        <v>0</v>
      </c>
      <c r="L907" t="s">
        <v>8</v>
      </c>
      <c r="M907" t="s">
        <v>7</v>
      </c>
      <c r="N907" t="s">
        <v>7</v>
      </c>
      <c r="P907">
        <f t="shared" si="1014"/>
        <v>-0.83087248322147678</v>
      </c>
      <c r="Q907">
        <f t="shared" si="1015"/>
        <v>-14757042369.374502</v>
      </c>
      <c r="R907">
        <f t="shared" si="1016"/>
        <v>-137220446039.10765</v>
      </c>
      <c r="S907">
        <f t="shared" si="1017"/>
        <v>-1372204.4603910765</v>
      </c>
      <c r="T907">
        <f t="shared" si="1018"/>
        <v>-1372.2044603910765</v>
      </c>
    </row>
    <row r="908" spans="1:20" x14ac:dyDescent="0.25">
      <c r="A908" s="5">
        <v>43685</v>
      </c>
      <c r="B908">
        <v>3.6329999999999999E-4</v>
      </c>
      <c r="C908">
        <v>3.7589999999999998E-4</v>
      </c>
      <c r="D908">
        <v>3.4410000000000002E-4</v>
      </c>
      <c r="E908">
        <v>3.6039999999999998E-4</v>
      </c>
      <c r="F908">
        <v>39779792990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2.5157232704401455E-2</v>
      </c>
      <c r="Q908">
        <f t="shared" si="1015"/>
        <v>1000749509.1823478</v>
      </c>
      <c r="R908">
        <f t="shared" si="1016"/>
        <v>-122463403669.73315</v>
      </c>
      <c r="S908">
        <f t="shared" si="1017"/>
        <v>-1224634.0366973316</v>
      </c>
      <c r="T908">
        <f t="shared" si="1018"/>
        <v>-1224.6340366973316</v>
      </c>
    </row>
    <row r="909" spans="1:20" x14ac:dyDescent="0.25">
      <c r="A909" s="5">
        <v>43684</v>
      </c>
      <c r="B909">
        <v>3.659E-4</v>
      </c>
      <c r="C909">
        <v>3.7280000000000001E-4</v>
      </c>
      <c r="D909">
        <v>3.5819999999999998E-4</v>
      </c>
      <c r="E909">
        <v>3.635E-4</v>
      </c>
      <c r="F909">
        <v>53696340847</v>
      </c>
      <c r="G909">
        <v>0</v>
      </c>
      <c r="L909" t="s">
        <v>8</v>
      </c>
      <c r="M909" t="s">
        <v>7</v>
      </c>
      <c r="N909" t="s">
        <v>7</v>
      </c>
      <c r="P909">
        <f t="shared" si="1014"/>
        <v>-0.27397260273972468</v>
      </c>
      <c r="Q909">
        <f t="shared" si="1015"/>
        <v>-14711326259.451982</v>
      </c>
      <c r="R909">
        <f t="shared" si="1016"/>
        <v>-123464153178.9155</v>
      </c>
      <c r="S909">
        <f t="shared" si="1017"/>
        <v>-1234641.531789155</v>
      </c>
      <c r="T909">
        <f t="shared" si="1018"/>
        <v>-1234.6415317891549</v>
      </c>
    </row>
    <row r="910" spans="1:20" x14ac:dyDescent="0.25">
      <c r="A910" s="5">
        <v>43683</v>
      </c>
      <c r="B910">
        <v>3.6820000000000001E-4</v>
      </c>
      <c r="C910">
        <v>3.7839999999999998E-4</v>
      </c>
      <c r="D910">
        <v>3.5169999999999998E-4</v>
      </c>
      <c r="E910">
        <v>3.657E-4</v>
      </c>
      <c r="F910">
        <v>61844288168</v>
      </c>
      <c r="G910">
        <v>0</v>
      </c>
      <c r="L910" t="s">
        <v>7</v>
      </c>
      <c r="M910" t="s">
        <v>7</v>
      </c>
      <c r="N910" t="s">
        <v>7</v>
      </c>
      <c r="P910">
        <f t="shared" si="1014"/>
        <v>4.8689138576780214E-2</v>
      </c>
      <c r="Q910">
        <f t="shared" si="1015"/>
        <v>3011145116.7940807</v>
      </c>
      <c r="R910">
        <f t="shared" si="1016"/>
        <v>-108752826919.46352</v>
      </c>
      <c r="S910">
        <f t="shared" si="1017"/>
        <v>-1087528.2691946351</v>
      </c>
      <c r="T910">
        <f t="shared" si="1018"/>
        <v>-1087.5282691946352</v>
      </c>
    </row>
    <row r="911" spans="1:20" x14ac:dyDescent="0.25">
      <c r="A911" s="5">
        <v>43682</v>
      </c>
      <c r="B911">
        <v>3.7090000000000002E-4</v>
      </c>
      <c r="C911">
        <v>3.859E-4</v>
      </c>
      <c r="D911">
        <v>3.6099999999999999E-4</v>
      </c>
      <c r="E911">
        <v>3.681E-4</v>
      </c>
      <c r="F911">
        <v>59469736330</v>
      </c>
      <c r="G911">
        <v>0</v>
      </c>
      <c r="L911" t="s">
        <v>8</v>
      </c>
      <c r="M911" t="s">
        <v>7</v>
      </c>
      <c r="N911" t="s">
        <v>7</v>
      </c>
      <c r="P911">
        <f t="shared" si="1014"/>
        <v>-0.42971887550200744</v>
      </c>
      <c r="Q911">
        <f t="shared" si="1015"/>
        <v>-25555268222.128479</v>
      </c>
      <c r="R911">
        <f t="shared" si="1016"/>
        <v>-111763972036.2576</v>
      </c>
      <c r="S911">
        <f t="shared" si="1017"/>
        <v>-1117639.720362576</v>
      </c>
      <c r="T911">
        <f t="shared" si="1018"/>
        <v>-1117.6397203625759</v>
      </c>
    </row>
    <row r="912" spans="1:20" x14ac:dyDescent="0.25">
      <c r="A912" s="5">
        <v>43681</v>
      </c>
      <c r="B912">
        <v>3.6430000000000002E-4</v>
      </c>
      <c r="C912">
        <v>4.2400000000000001E-4</v>
      </c>
      <c r="D912">
        <v>3.6299999999999999E-4</v>
      </c>
      <c r="E912">
        <v>3.7070000000000001E-4</v>
      </c>
      <c r="F912">
        <v>43106359845</v>
      </c>
      <c r="G912">
        <v>0</v>
      </c>
      <c r="L912" t="s">
        <v>7</v>
      </c>
      <c r="M912" t="s">
        <v>7</v>
      </c>
      <c r="N912" t="s">
        <v>7</v>
      </c>
      <c r="P912">
        <f t="shared" si="1014"/>
        <v>-0.74754098360655663</v>
      </c>
      <c r="Q912">
        <f t="shared" si="1015"/>
        <v>-32223770638.229477</v>
      </c>
      <c r="R912">
        <f t="shared" si="1016"/>
        <v>-86208703814.12912</v>
      </c>
      <c r="S912">
        <f t="shared" si="1017"/>
        <v>-862087.03814129124</v>
      </c>
      <c r="T912">
        <f t="shared" si="1018"/>
        <v>-862.08703814129126</v>
      </c>
    </row>
    <row r="913" spans="1:20" x14ac:dyDescent="0.25">
      <c r="A913" s="5">
        <v>43680</v>
      </c>
      <c r="B913">
        <v>3.9589999999999997E-4</v>
      </c>
      <c r="C913">
        <v>4.0039999999999997E-4</v>
      </c>
      <c r="D913">
        <v>3.5560000000000002E-4</v>
      </c>
      <c r="E913">
        <v>3.6430000000000002E-4</v>
      </c>
      <c r="F913">
        <v>11831071402</v>
      </c>
      <c r="G913">
        <v>0</v>
      </c>
      <c r="L913" t="s">
        <v>8</v>
      </c>
      <c r="M913" t="s">
        <v>7</v>
      </c>
      <c r="N913" t="s">
        <v>7</v>
      </c>
      <c r="P913">
        <f t="shared" si="1014"/>
        <v>-0.61160714285714268</v>
      </c>
      <c r="Q913">
        <f t="shared" si="1015"/>
        <v>-7235967777.1160698</v>
      </c>
      <c r="R913">
        <f t="shared" si="1016"/>
        <v>-53984933175.899643</v>
      </c>
      <c r="S913">
        <f t="shared" si="1017"/>
        <v>-539849.33175899647</v>
      </c>
      <c r="T913">
        <f t="shared" si="1018"/>
        <v>-539.84933175899653</v>
      </c>
    </row>
    <row r="914" spans="1:20" x14ac:dyDescent="0.25">
      <c r="A914" s="5">
        <v>43679</v>
      </c>
      <c r="B914">
        <v>4.461E-4</v>
      </c>
      <c r="C914">
        <v>4.4959999999999998E-4</v>
      </c>
      <c r="D914">
        <v>3.702E-4</v>
      </c>
      <c r="E914">
        <v>3.9580000000000003E-4</v>
      </c>
      <c r="F914">
        <v>15637700233</v>
      </c>
      <c r="G914">
        <v>0</v>
      </c>
      <c r="L914" t="s">
        <v>7</v>
      </c>
      <c r="M914" t="s">
        <v>7</v>
      </c>
      <c r="N914" t="s">
        <v>7</v>
      </c>
      <c r="P914">
        <f t="shared" si="1014"/>
        <v>-0.35516372795969692</v>
      </c>
      <c r="Q914">
        <f t="shared" si="1015"/>
        <v>-5553943911.4685011</v>
      </c>
      <c r="R914">
        <f t="shared" si="1016"/>
        <v>-46748965398.783577</v>
      </c>
      <c r="S914">
        <f t="shared" si="1017"/>
        <v>-467489.65398783574</v>
      </c>
      <c r="T914">
        <f t="shared" si="1018"/>
        <v>-467.48965398783577</v>
      </c>
    </row>
    <row r="915" spans="1:20" x14ac:dyDescent="0.25">
      <c r="A915" s="5">
        <v>43678</v>
      </c>
      <c r="B915">
        <v>4.1229999999999999E-4</v>
      </c>
      <c r="C915">
        <v>9.4799999999999995E-4</v>
      </c>
      <c r="D915">
        <v>3.9130000000000002E-4</v>
      </c>
      <c r="E915">
        <v>4.4309999999999998E-4</v>
      </c>
      <c r="F915">
        <v>50614143593</v>
      </c>
      <c r="G915">
        <v>0</v>
      </c>
      <c r="P915">
        <f t="shared" si="1014"/>
        <v>-0.81390335908029476</v>
      </c>
      <c r="Q915">
        <f t="shared" si="1015"/>
        <v>-41195021487.315079</v>
      </c>
      <c r="R915">
        <f t="shared" si="1016"/>
        <v>-41195021487.315079</v>
      </c>
      <c r="S915">
        <f t="shared" si="1017"/>
        <v>-411950.21487315081</v>
      </c>
      <c r="T915">
        <f t="shared" si="1018"/>
        <v>-411.9502148731508</v>
      </c>
    </row>
    <row r="916" spans="1:20" x14ac:dyDescent="0.25">
      <c r="A916" s="5"/>
      <c r="C916" s="4"/>
      <c r="D916" s="4"/>
    </row>
    <row r="917" spans="1:20" x14ac:dyDescent="0.25">
      <c r="A917" s="5"/>
      <c r="C917" s="4"/>
      <c r="D917" s="4"/>
    </row>
    <row r="918" spans="1:20" x14ac:dyDescent="0.25">
      <c r="A918" s="5"/>
      <c r="C918" s="4"/>
      <c r="D918" s="4"/>
    </row>
    <row r="919" spans="1:20" x14ac:dyDescent="0.25">
      <c r="A919" s="5"/>
      <c r="C919" s="4"/>
      <c r="D919" s="4"/>
    </row>
    <row r="920" spans="1:20" x14ac:dyDescent="0.25">
      <c r="A920" s="5"/>
      <c r="C920" s="4"/>
      <c r="D920" s="4"/>
    </row>
    <row r="921" spans="1:20" x14ac:dyDescent="0.25">
      <c r="A921" s="5"/>
      <c r="C921" s="4"/>
      <c r="D921" s="4"/>
    </row>
    <row r="922" spans="1:20" x14ac:dyDescent="0.25">
      <c r="A922" s="5"/>
      <c r="C922" s="4"/>
      <c r="D922" s="4"/>
    </row>
    <row r="923" spans="1:20" x14ac:dyDescent="0.25">
      <c r="A923" s="5"/>
      <c r="C923" s="4"/>
      <c r="D923" s="4"/>
    </row>
    <row r="924" spans="1:20" x14ac:dyDescent="0.25">
      <c r="A924" s="5"/>
      <c r="C924" s="4"/>
      <c r="D924" s="4"/>
    </row>
    <row r="925" spans="1:20" x14ac:dyDescent="0.25">
      <c r="A925" s="5"/>
      <c r="C925" s="4"/>
      <c r="D925" s="4"/>
    </row>
    <row r="926" spans="1:20" x14ac:dyDescent="0.25">
      <c r="A926" s="5"/>
      <c r="C926" s="4"/>
      <c r="D926" s="4"/>
    </row>
    <row r="927" spans="1:20" x14ac:dyDescent="0.25">
      <c r="A927" s="5"/>
      <c r="C927" s="4"/>
      <c r="D927" s="4"/>
    </row>
    <row r="928" spans="1:20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AHP937" sqref="AHP93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$A$936</v>
      </c>
      <c r="D111" s="1" t="str">
        <f>ADDRESS(C121-1,D121,1,1)</f>
        <v>$AHP$936</v>
      </c>
      <c r="E111"/>
    </row>
    <row r="112" spans="1:5" x14ac:dyDescent="0.25">
      <c r="A112" s="7">
        <v>12164.144957890772</v>
      </c>
      <c r="C112" s="1" t="str">
        <f>ADDRESS(C121,1,1,1)</f>
        <v>$A$937</v>
      </c>
      <c r="D112" s="1" t="str">
        <f>ADDRESS(C121,D121-1,1,1)</f>
        <v>$AHO$937</v>
      </c>
      <c r="E112"/>
    </row>
    <row r="113" spans="1:5" x14ac:dyDescent="0.25">
      <c r="A113" s="7">
        <v>11925.63231165762</v>
      </c>
      <c r="C113" s="1" t="str">
        <f>ADDRESS(C121+1,1,1,1)</f>
        <v>$A$938</v>
      </c>
      <c r="D113" s="1" t="str">
        <f>ADDRESS(C121-1,D121+1,1,1)</f>
        <v>$AHQ$936</v>
      </c>
    </row>
    <row r="114" spans="1:5" x14ac:dyDescent="0.25">
      <c r="A114" s="7">
        <v>11691.796383978059</v>
      </c>
      <c r="C114" s="1" t="str">
        <f>ADDRESS(C121,D121,1,1)</f>
        <v>$AHP$937</v>
      </c>
      <c r="D114" s="1" t="str">
        <f>ADDRESS(C121+1,D121+1,1,1)</f>
        <v>$AHQ$938</v>
      </c>
    </row>
    <row r="115" spans="1:5" x14ac:dyDescent="0.25">
      <c r="A115" s="7">
        <v>11462.545474488292</v>
      </c>
      <c r="C115" s="1" t="str">
        <f>ADDRESS(C121+1,D121,1,1)</f>
        <v>$AHP$938</v>
      </c>
    </row>
    <row r="116" spans="1:5" x14ac:dyDescent="0.25">
      <c r="A116" s="7">
        <v>11237.789680870874</v>
      </c>
      <c r="C116" s="1">
        <f>C117-1</f>
        <v>936</v>
      </c>
    </row>
    <row r="117" spans="1:5" x14ac:dyDescent="0.25">
      <c r="A117" s="7">
        <v>11017.440863598895</v>
      </c>
      <c r="C117" s="1">
        <f>C121</f>
        <v>937</v>
      </c>
      <c r="D117" s="1">
        <f>D121</f>
        <v>900</v>
      </c>
    </row>
    <row r="118" spans="1:5" x14ac:dyDescent="0.25">
      <c r="A118" s="7">
        <v>10801.412611371465</v>
      </c>
      <c r="C118" s="1">
        <f>C117+1</f>
        <v>938</v>
      </c>
      <c r="D118" s="1">
        <f>D117+1</f>
        <v>901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937</v>
      </c>
      <c r="D121" s="19">
        <v>900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R937</v>
      </c>
      <c r="D123" s="1" t="str">
        <f>"C"&amp;D121</f>
        <v>C900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17"/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0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6" x14ac:dyDescent="0.25">
      <c r="A705" s="7">
        <v>9.6645076037824032E-2</v>
      </c>
      <c r="B705"/>
      <c r="C705"/>
      <c r="D705"/>
      <c r="E705"/>
      <c r="F705" s="27" t="s">
        <v>7</v>
      </c>
    </row>
    <row r="706" spans="1:6" x14ac:dyDescent="0.25">
      <c r="A706" s="7">
        <v>9.4750074546886304E-2</v>
      </c>
      <c r="B706"/>
      <c r="C706"/>
      <c r="D706"/>
      <c r="E706"/>
      <c r="F706" s="27" t="s">
        <v>7</v>
      </c>
    </row>
    <row r="707" spans="1:6" x14ac:dyDescent="0.25">
      <c r="A707" s="7">
        <v>9.2892229947927743E-2</v>
      </c>
      <c r="B707"/>
      <c r="C707"/>
      <c r="D707"/>
      <c r="E707"/>
      <c r="F707" s="27" t="s">
        <v>7</v>
      </c>
    </row>
    <row r="708" spans="1:6" x14ac:dyDescent="0.25">
      <c r="A708" s="7">
        <v>9.1070813674438963E-2</v>
      </c>
      <c r="B708"/>
      <c r="C708"/>
      <c r="D708"/>
      <c r="E708"/>
      <c r="F708" s="27" t="s">
        <v>7</v>
      </c>
    </row>
    <row r="709" spans="1:6" x14ac:dyDescent="0.25">
      <c r="A709" s="7">
        <v>8.9285111445528392E-2</v>
      </c>
      <c r="B709"/>
      <c r="C709"/>
      <c r="D709"/>
      <c r="E709"/>
      <c r="F709" s="27" t="s">
        <v>7</v>
      </c>
    </row>
    <row r="710" spans="1:6" x14ac:dyDescent="0.25">
      <c r="A710" s="7">
        <v>8.7534422985812155E-2</v>
      </c>
      <c r="B710"/>
      <c r="C710"/>
      <c r="D710"/>
      <c r="E710"/>
      <c r="F710" s="27" t="s">
        <v>7</v>
      </c>
    </row>
    <row r="711" spans="1:6" x14ac:dyDescent="0.25">
      <c r="A711" s="7">
        <v>8.5818061750796232E-2</v>
      </c>
      <c r="B711"/>
      <c r="C711"/>
      <c r="D711"/>
      <c r="E711"/>
      <c r="F711" s="27" t="s">
        <v>7</v>
      </c>
    </row>
    <row r="712" spans="1:6" x14ac:dyDescent="0.25">
      <c r="A712" s="7">
        <v>8.4135354657643366E-2</v>
      </c>
      <c r="B712"/>
      <c r="C712"/>
      <c r="D712"/>
      <c r="E712"/>
      <c r="F712" s="27" t="s">
        <v>7</v>
      </c>
    </row>
    <row r="713" spans="1:6" x14ac:dyDescent="0.25">
      <c r="A713" s="7">
        <v>8.248564182121898E-2</v>
      </c>
      <c r="B713"/>
      <c r="C713"/>
      <c r="D713"/>
      <c r="E713"/>
      <c r="F713" s="27" t="s">
        <v>7</v>
      </c>
    </row>
    <row r="714" spans="1:6" x14ac:dyDescent="0.25">
      <c r="A714" s="7">
        <v>8.0868276295312735E-2</v>
      </c>
      <c r="B714"/>
      <c r="C714"/>
      <c r="D714"/>
      <c r="E714"/>
      <c r="F714" s="27" t="s">
        <v>7</v>
      </c>
    </row>
    <row r="715" spans="1:6" x14ac:dyDescent="0.25">
      <c r="A715" s="7">
        <v>7.9282623818934056E-2</v>
      </c>
      <c r="B715"/>
      <c r="C715"/>
      <c r="D715"/>
      <c r="E715"/>
      <c r="F715" s="27" t="s">
        <v>7</v>
      </c>
    </row>
    <row r="716" spans="1:6" x14ac:dyDescent="0.25">
      <c r="A716" s="7">
        <v>7.7728062567582412E-2</v>
      </c>
      <c r="B716"/>
      <c r="C716"/>
      <c r="D716"/>
      <c r="E716"/>
      <c r="F716" s="27" t="s">
        <v>7</v>
      </c>
    </row>
    <row r="717" spans="1:6" x14ac:dyDescent="0.25">
      <c r="A717" s="7">
        <v>7.6203982909394521E-2</v>
      </c>
      <c r="B717"/>
      <c r="C717"/>
      <c r="D717"/>
      <c r="E717"/>
      <c r="F717" s="27" t="s">
        <v>7</v>
      </c>
    </row>
    <row r="718" spans="1:6" x14ac:dyDescent="0.25">
      <c r="A718" s="7">
        <v>7.4709787166073058E-2</v>
      </c>
      <c r="B718"/>
      <c r="C718"/>
      <c r="D718"/>
      <c r="E718"/>
      <c r="F718" s="27" t="s">
        <v>7</v>
      </c>
    </row>
    <row r="719" spans="1:6" x14ac:dyDescent="0.25">
      <c r="A719" s="7">
        <v>7.3244889378503E-2</v>
      </c>
      <c r="B719"/>
      <c r="C719"/>
      <c r="D719"/>
      <c r="E719"/>
      <c r="F719" s="27" t="s">
        <v>7</v>
      </c>
    </row>
    <row r="720" spans="1:6" x14ac:dyDescent="0.25">
      <c r="A720" s="7">
        <v>7.1808715076963722E-2</v>
      </c>
      <c r="B720"/>
      <c r="C720"/>
      <c r="D720"/>
      <c r="E720"/>
      <c r="F720" s="27" t="s">
        <v>7</v>
      </c>
    </row>
    <row r="721" spans="1:6" x14ac:dyDescent="0.25">
      <c r="A721" s="7">
        <v>7.0400701055846782E-2</v>
      </c>
      <c r="B721"/>
      <c r="C721"/>
      <c r="D721"/>
      <c r="E721"/>
      <c r="F721" s="27" t="s">
        <v>7</v>
      </c>
    </row>
    <row r="722" spans="1:6" x14ac:dyDescent="0.25">
      <c r="A722" s="7">
        <v>6.9020295152790956E-2</v>
      </c>
      <c r="B722"/>
      <c r="C722"/>
      <c r="D722"/>
      <c r="E722"/>
      <c r="F722" s="27" t="s">
        <v>7</v>
      </c>
    </row>
    <row r="723" spans="1:6" x14ac:dyDescent="0.25">
      <c r="A723" s="7">
        <v>6.7666956032147993E-2</v>
      </c>
      <c r="B723"/>
      <c r="C723"/>
      <c r="D723"/>
      <c r="E723"/>
      <c r="F723" s="27" t="s">
        <v>7</v>
      </c>
    </row>
    <row r="724" spans="1:6" x14ac:dyDescent="0.25">
      <c r="A724" s="7">
        <v>6.6340152972694105E-2</v>
      </c>
      <c r="B724"/>
      <c r="C724"/>
      <c r="D724"/>
      <c r="E724"/>
      <c r="F724" s="27" t="s">
        <v>7</v>
      </c>
    </row>
    <row r="725" spans="1:6" x14ac:dyDescent="0.25">
      <c r="A725" s="7">
        <v>6.5039365659504023E-2</v>
      </c>
      <c r="B725"/>
      <c r="C725"/>
      <c r="D725"/>
      <c r="E725"/>
      <c r="F725" s="27" t="s">
        <v>7</v>
      </c>
    </row>
    <row r="726" spans="1:6" x14ac:dyDescent="0.25">
      <c r="A726" s="7">
        <v>6.3764083979905906E-2</v>
      </c>
      <c r="B726"/>
      <c r="C726"/>
      <c r="D726"/>
      <c r="E726"/>
      <c r="F726" s="27" t="s">
        <v>7</v>
      </c>
    </row>
    <row r="727" spans="1:6" x14ac:dyDescent="0.25">
      <c r="A727" s="7">
        <v>6.251380782343717E-2</v>
      </c>
      <c r="B727"/>
      <c r="C727"/>
      <c r="D727"/>
      <c r="E727"/>
      <c r="F727" s="27" t="s">
        <v>7</v>
      </c>
    </row>
    <row r="728" spans="1:6" x14ac:dyDescent="0.25">
      <c r="A728" s="7">
        <v>6.1288046885722716E-2</v>
      </c>
      <c r="B728"/>
      <c r="C728"/>
      <c r="D728"/>
      <c r="E728"/>
      <c r="F728" s="27" t="s">
        <v>7</v>
      </c>
    </row>
    <row r="729" spans="1:6" x14ac:dyDescent="0.25">
      <c r="A729" s="7">
        <v>6.0086320476198739E-2</v>
      </c>
      <c r="B729"/>
      <c r="C729"/>
      <c r="D729"/>
      <c r="E729"/>
      <c r="F729" s="27" t="s">
        <v>7</v>
      </c>
    </row>
    <row r="730" spans="1:6" x14ac:dyDescent="0.25">
      <c r="A730" s="7">
        <v>5.8908157329606609E-2</v>
      </c>
      <c r="B730"/>
      <c r="C730"/>
      <c r="D730"/>
      <c r="E730"/>
      <c r="F730" s="27" t="s">
        <v>7</v>
      </c>
    </row>
    <row r="731" spans="1:6" x14ac:dyDescent="0.25">
      <c r="A731" s="7">
        <v>5.7753095421182947E-2</v>
      </c>
      <c r="B731"/>
      <c r="C731"/>
      <c r="D731"/>
      <c r="E731"/>
      <c r="F731" s="27" t="s">
        <v>7</v>
      </c>
    </row>
    <row r="732" spans="1:6" x14ac:dyDescent="0.25">
      <c r="A732" s="7">
        <v>5.6620681785473484E-2</v>
      </c>
      <c r="B732"/>
      <c r="C732"/>
      <c r="D732"/>
      <c r="E732"/>
      <c r="F732" s="27" t="s">
        <v>7</v>
      </c>
    </row>
    <row r="733" spans="1:6" x14ac:dyDescent="0.25">
      <c r="A733" s="7">
        <v>5.5510472338699497E-2</v>
      </c>
      <c r="B733"/>
      <c r="C733"/>
      <c r="D733"/>
      <c r="E733"/>
      <c r="F733" s="27" t="s">
        <v>7</v>
      </c>
    </row>
    <row r="734" spans="1:6" x14ac:dyDescent="0.25">
      <c r="A734" s="7">
        <v>5.4422031704607354E-2</v>
      </c>
      <c r="B734"/>
      <c r="C734"/>
      <c r="D734"/>
      <c r="E734"/>
      <c r="F734" s="27" t="s">
        <v>7</v>
      </c>
    </row>
    <row r="735" spans="1:6" x14ac:dyDescent="0.25">
      <c r="A735" s="7">
        <v>5.3354933043732705E-2</v>
      </c>
      <c r="B735"/>
      <c r="C735"/>
      <c r="D735"/>
      <c r="E735"/>
      <c r="F735" s="27" t="s">
        <v>7</v>
      </c>
    </row>
    <row r="736" spans="1:6" x14ac:dyDescent="0.25">
      <c r="A736" s="7">
        <v>5.2308757886012455E-2</v>
      </c>
      <c r="B736"/>
      <c r="C736"/>
      <c r="D736"/>
      <c r="E736"/>
      <c r="F736" s="27" t="s">
        <v>7</v>
      </c>
    </row>
    <row r="737" spans="1:6" x14ac:dyDescent="0.25">
      <c r="A737" s="7">
        <v>5.1283095966678877E-2</v>
      </c>
      <c r="B737"/>
      <c r="C737"/>
      <c r="D737"/>
      <c r="E737"/>
      <c r="F737" s="27" t="s">
        <v>7</v>
      </c>
    </row>
    <row r="738" spans="1:6" x14ac:dyDescent="0.25">
      <c r="A738" s="7">
        <v>5.0277545065371444E-2</v>
      </c>
      <c r="B738"/>
      <c r="C738"/>
      <c r="D738"/>
      <c r="E738"/>
      <c r="F738" s="27" t="s">
        <v>7</v>
      </c>
    </row>
    <row r="739" spans="1:6" x14ac:dyDescent="0.25">
      <c r="A739" s="7">
        <v>4.9291710848403378E-2</v>
      </c>
      <c r="B739"/>
      <c r="C739"/>
      <c r="D739"/>
      <c r="E739"/>
      <c r="F739" s="27" t="s">
        <v>7</v>
      </c>
    </row>
    <row r="740" spans="1:6" x14ac:dyDescent="0.25">
      <c r="A740" s="7">
        <v>4.8325206714120959E-2</v>
      </c>
      <c r="B740"/>
      <c r="C740"/>
      <c r="D740"/>
      <c r="E740"/>
      <c r="F740" s="27" t="s">
        <v>7</v>
      </c>
    </row>
    <row r="741" spans="1:6" x14ac:dyDescent="0.25">
      <c r="A741" s="7">
        <v>4.7377653641295057E-2</v>
      </c>
      <c r="B741"/>
      <c r="C741"/>
      <c r="D741"/>
      <c r="E741"/>
      <c r="F741" s="27" t="s">
        <v>7</v>
      </c>
    </row>
    <row r="742" spans="1:6" x14ac:dyDescent="0.25">
      <c r="A742" s="7">
        <v>4.644868004048535E-2</v>
      </c>
      <c r="B742"/>
      <c r="C742"/>
      <c r="D742"/>
      <c r="E742"/>
      <c r="F742" s="27" t="s">
        <v>7</v>
      </c>
    </row>
    <row r="743" spans="1:6" x14ac:dyDescent="0.25">
      <c r="A743" s="7">
        <v>4.5537921608318974E-2</v>
      </c>
      <c r="B743"/>
      <c r="C743"/>
      <c r="D743"/>
      <c r="E743"/>
      <c r="F743" s="27" t="s">
        <v>7</v>
      </c>
    </row>
    <row r="744" spans="1:6" x14ac:dyDescent="0.25">
      <c r="A744" s="7">
        <v>4.4645021184626446E-2</v>
      </c>
      <c r="B744"/>
      <c r="C744"/>
      <c r="D744"/>
      <c r="E744"/>
      <c r="F744" s="27" t="s">
        <v>7</v>
      </c>
    </row>
    <row r="745" spans="1:6" x14ac:dyDescent="0.25">
      <c r="A745" s="7">
        <v>4.3769628612378868E-2</v>
      </c>
      <c r="B745"/>
      <c r="C745"/>
      <c r="D745"/>
      <c r="E745"/>
      <c r="F745" s="27" t="s">
        <v>7</v>
      </c>
    </row>
    <row r="746" spans="1:6" x14ac:dyDescent="0.25">
      <c r="A746" s="7">
        <v>4.2911400600371442E-2</v>
      </c>
      <c r="B746"/>
      <c r="C746"/>
      <c r="D746"/>
      <c r="E746"/>
      <c r="F746" s="27" t="s">
        <v>7</v>
      </c>
    </row>
    <row r="747" spans="1:6" x14ac:dyDescent="0.25">
      <c r="A747" s="7">
        <v>4.2070000588599457E-2</v>
      </c>
      <c r="B747"/>
      <c r="C747"/>
      <c r="D747"/>
      <c r="E747"/>
      <c r="F747" s="27" t="s">
        <v>7</v>
      </c>
    </row>
    <row r="748" spans="1:6" x14ac:dyDescent="0.25">
      <c r="A748" s="7">
        <v>4.1245098616273977E-2</v>
      </c>
      <c r="B748"/>
      <c r="C748"/>
      <c r="D748"/>
      <c r="E748"/>
      <c r="F748" s="27" t="s">
        <v>7</v>
      </c>
    </row>
    <row r="749" spans="1:6" x14ac:dyDescent="0.25">
      <c r="A749" s="7">
        <v>4.043637119242547E-2</v>
      </c>
      <c r="B749"/>
      <c r="C749"/>
      <c r="D749"/>
      <c r="E749"/>
      <c r="F749" s="27" t="s">
        <v>7</v>
      </c>
    </row>
    <row r="750" spans="1:6" x14ac:dyDescent="0.25">
      <c r="A750" s="7">
        <v>3.9643501169044582E-2</v>
      </c>
      <c r="B750"/>
      <c r="C750"/>
      <c r="D750"/>
      <c r="E750"/>
      <c r="F750" s="27" t="s">
        <v>7</v>
      </c>
    </row>
    <row r="751" spans="1:6" x14ac:dyDescent="0.25">
      <c r="A751" s="7">
        <v>3.8866177616710372E-2</v>
      </c>
      <c r="B751"/>
      <c r="C751"/>
      <c r="D751"/>
      <c r="E751"/>
      <c r="F751" s="27" t="s">
        <v>7</v>
      </c>
    </row>
    <row r="752" spans="1:6" x14ac:dyDescent="0.25">
      <c r="A752" s="7">
        <v>3.8104095702657229E-2</v>
      </c>
      <c r="B752"/>
      <c r="C752"/>
      <c r="D752"/>
      <c r="E752"/>
      <c r="F752" s="27" t="s">
        <v>7</v>
      </c>
    </row>
    <row r="753" spans="1:6" x14ac:dyDescent="0.25">
      <c r="A753" s="7">
        <v>3.7356956571232579E-2</v>
      </c>
      <c r="B753"/>
      <c r="C753"/>
      <c r="D753"/>
      <c r="E753"/>
      <c r="F753" s="27" t="s">
        <v>7</v>
      </c>
    </row>
    <row r="754" spans="1:6" x14ac:dyDescent="0.25">
      <c r="A754" s="7">
        <v>3.6624467226698605E-2</v>
      </c>
      <c r="B754"/>
      <c r="C754"/>
      <c r="D754"/>
      <c r="E754"/>
      <c r="F754" s="27" t="s">
        <v>7</v>
      </c>
    </row>
    <row r="755" spans="1:6" x14ac:dyDescent="0.25">
      <c r="A755" s="7">
        <v>3.5906340418331961E-2</v>
      </c>
      <c r="B755"/>
      <c r="C755"/>
      <c r="D755"/>
      <c r="E755"/>
      <c r="F755" s="27" t="s">
        <v>7</v>
      </c>
    </row>
    <row r="756" spans="1:6" x14ac:dyDescent="0.25">
      <c r="A756" s="7">
        <v>3.5202294527776436E-2</v>
      </c>
      <c r="B756"/>
      <c r="C756"/>
      <c r="D756"/>
      <c r="E756"/>
      <c r="F756" s="27" t="s">
        <v>7</v>
      </c>
    </row>
    <row r="757" spans="1:6" x14ac:dyDescent="0.25">
      <c r="A757" s="7">
        <v>3.451205345860435E-2</v>
      </c>
      <c r="B757"/>
      <c r="C757"/>
      <c r="D757"/>
      <c r="E757"/>
      <c r="F757" s="27" t="s">
        <v>7</v>
      </c>
    </row>
    <row r="758" spans="1:6" x14ac:dyDescent="0.25">
      <c r="A758" s="7">
        <v>3.3835346528043479E-2</v>
      </c>
      <c r="B758"/>
      <c r="C758"/>
      <c r="D758"/>
      <c r="E758"/>
      <c r="F758" s="27" t="s">
        <v>7</v>
      </c>
    </row>
    <row r="759" spans="1:6" x14ac:dyDescent="0.25">
      <c r="A759" s="7">
        <v>3.3171908360826938E-2</v>
      </c>
      <c r="B759"/>
      <c r="C759"/>
      <c r="D759"/>
      <c r="E759"/>
      <c r="F759" s="27" t="s">
        <v>7</v>
      </c>
    </row>
    <row r="760" spans="1:6" x14ac:dyDescent="0.25">
      <c r="A760" s="7">
        <v>3.2521478785124451E-2</v>
      </c>
      <c r="B760"/>
      <c r="C760"/>
      <c r="D760"/>
      <c r="E760"/>
      <c r="F760" s="27" t="s">
        <v>7</v>
      </c>
    </row>
    <row r="761" spans="1:6" x14ac:dyDescent="0.25">
      <c r="A761" s="7">
        <v>3.1883802730514173E-2</v>
      </c>
      <c r="B761"/>
      <c r="C761"/>
      <c r="D761"/>
      <c r="E761"/>
      <c r="F761" s="27" t="s">
        <v>7</v>
      </c>
    </row>
    <row r="762" spans="1:6" x14ac:dyDescent="0.25">
      <c r="A762" s="7">
        <v>3.1258630127955073E-2</v>
      </c>
      <c r="B762"/>
      <c r="C762"/>
      <c r="D762"/>
      <c r="E762"/>
      <c r="F762" s="27" t="s">
        <v>7</v>
      </c>
    </row>
    <row r="763" spans="1:6" x14ac:dyDescent="0.25">
      <c r="A763" s="7">
        <v>3.064571581172066E-2</v>
      </c>
      <c r="B763"/>
      <c r="C763"/>
      <c r="D763"/>
      <c r="E763"/>
      <c r="F763" s="27" t="s">
        <v>7</v>
      </c>
    </row>
    <row r="764" spans="1:6" x14ac:dyDescent="0.25">
      <c r="A764" s="7">
        <v>3.0044819423255549E-2</v>
      </c>
      <c r="B764"/>
      <c r="C764"/>
      <c r="D764"/>
      <c r="E764"/>
      <c r="F764" s="27" t="s">
        <v>7</v>
      </c>
    </row>
    <row r="765" spans="1:6" x14ac:dyDescent="0.25">
      <c r="A765" s="7">
        <v>2.9455705316917203E-2</v>
      </c>
      <c r="B765"/>
      <c r="C765"/>
      <c r="D765"/>
      <c r="E765"/>
      <c r="F765" s="27" t="s">
        <v>7</v>
      </c>
    </row>
    <row r="766" spans="1:6" x14ac:dyDescent="0.25">
      <c r="A766" s="7">
        <v>2.8878142467565884E-2</v>
      </c>
      <c r="B766"/>
      <c r="C766"/>
      <c r="D766"/>
      <c r="E766"/>
      <c r="F766" s="27" t="s">
        <v>7</v>
      </c>
    </row>
    <row r="767" spans="1:6" x14ac:dyDescent="0.25">
      <c r="A767" s="7">
        <v>2.8311904379966554E-2</v>
      </c>
      <c r="B767"/>
      <c r="C767"/>
      <c r="D767"/>
      <c r="E767"/>
      <c r="F767" s="27" t="s">
        <v>7</v>
      </c>
    </row>
    <row r="768" spans="1:6" x14ac:dyDescent="0.25">
      <c r="A768" s="7">
        <v>2.7756768999967207E-2</v>
      </c>
      <c r="B768"/>
      <c r="C768"/>
      <c r="D768"/>
      <c r="E768"/>
      <c r="F768" s="27" t="s">
        <v>7</v>
      </c>
    </row>
    <row r="769" spans="1:6" x14ac:dyDescent="0.25">
      <c r="A769" s="7">
        <v>2.7212518627418834E-2</v>
      </c>
      <c r="B769"/>
      <c r="C769"/>
      <c r="D769"/>
      <c r="E769"/>
      <c r="F769" s="27" t="s">
        <v>7</v>
      </c>
    </row>
    <row r="770" spans="1:6" x14ac:dyDescent="0.25">
      <c r="A770" s="7">
        <v>2.6678939830802779E-2</v>
      </c>
      <c r="B770"/>
      <c r="C770"/>
      <c r="D770"/>
      <c r="E770"/>
      <c r="F770" s="27" t="s">
        <v>7</v>
      </c>
    </row>
    <row r="771" spans="1:6" x14ac:dyDescent="0.25">
      <c r="A771" s="7">
        <v>2.615582336353214E-2</v>
      </c>
      <c r="B771"/>
      <c r="C771"/>
      <c r="D771"/>
      <c r="E771"/>
      <c r="F771" s="27" t="s">
        <v>7</v>
      </c>
    </row>
    <row r="772" spans="1:6" x14ac:dyDescent="0.25">
      <c r="A772" s="7">
        <v>2.5642964081894253E-2</v>
      </c>
      <c r="B772"/>
      <c r="C772"/>
      <c r="D772"/>
      <c r="E772"/>
      <c r="F772" s="27" t="s">
        <v>7</v>
      </c>
    </row>
    <row r="773" spans="1:6" x14ac:dyDescent="0.25">
      <c r="A773" s="7">
        <v>2.5140160864602207E-2</v>
      </c>
      <c r="B773"/>
      <c r="C773"/>
      <c r="D773"/>
      <c r="E773"/>
      <c r="F773" s="27" t="s">
        <v>7</v>
      </c>
    </row>
    <row r="774" spans="1:6" x14ac:dyDescent="0.25">
      <c r="A774" s="7">
        <v>2.4647216533923735E-2</v>
      </c>
      <c r="B774"/>
      <c r="C774"/>
      <c r="D774"/>
      <c r="E774"/>
      <c r="F774" s="27" t="s">
        <v>7</v>
      </c>
    </row>
    <row r="775" spans="1:6" x14ac:dyDescent="0.25">
      <c r="A775" s="7">
        <v>2.4163937778356601E-2</v>
      </c>
      <c r="B775"/>
      <c r="C775"/>
      <c r="D775"/>
      <c r="E775"/>
      <c r="F775" s="27" t="s">
        <v>7</v>
      </c>
    </row>
    <row r="776" spans="1:6" x14ac:dyDescent="0.25">
      <c r="A776" s="7">
        <v>2.3690135076820197E-2</v>
      </c>
      <c r="B776"/>
      <c r="C776"/>
      <c r="D776"/>
      <c r="E776"/>
      <c r="F776" s="27" t="s">
        <v>7</v>
      </c>
    </row>
    <row r="777" spans="1:6" x14ac:dyDescent="0.25">
      <c r="A777" s="7">
        <v>2.3225622624333527E-2</v>
      </c>
      <c r="B777"/>
      <c r="C777"/>
      <c r="D777"/>
      <c r="E777"/>
      <c r="F777" s="27" t="s">
        <v>7</v>
      </c>
    </row>
    <row r="778" spans="1:6" x14ac:dyDescent="0.25">
      <c r="A778" s="7">
        <v>2.2770218259150519E-2</v>
      </c>
      <c r="B778"/>
      <c r="C778"/>
      <c r="D778"/>
      <c r="E778"/>
      <c r="F778" s="27" t="s">
        <v>7</v>
      </c>
    </row>
    <row r="779" spans="1:6" x14ac:dyDescent="0.25">
      <c r="A779" s="7">
        <v>2.2323743391324039E-2</v>
      </c>
      <c r="B779"/>
      <c r="C779"/>
      <c r="D779"/>
      <c r="E779"/>
      <c r="F779" s="27" t="s">
        <v>7</v>
      </c>
    </row>
    <row r="780" spans="1:6" x14ac:dyDescent="0.25">
      <c r="A780" s="7">
        <v>2.188602293267063E-2</v>
      </c>
      <c r="B780"/>
      <c r="C780"/>
      <c r="D780"/>
      <c r="E780"/>
      <c r="F780" s="27" t="s">
        <v>7</v>
      </c>
    </row>
    <row r="781" spans="1:6" x14ac:dyDescent="0.25">
      <c r="A781" s="7">
        <v>2.1456885228108461E-2</v>
      </c>
      <c r="B781"/>
      <c r="C781"/>
      <c r="D781"/>
      <c r="E781"/>
      <c r="F781" s="27" t="s">
        <v>7</v>
      </c>
    </row>
    <row r="782" spans="1:6" x14ac:dyDescent="0.25">
      <c r="A782" s="7">
        <v>2.1036161988341632E-2</v>
      </c>
      <c r="B782"/>
      <c r="C782"/>
      <c r="D782"/>
      <c r="E782"/>
      <c r="F782" s="27" t="s">
        <v>7</v>
      </c>
    </row>
    <row r="783" spans="1:6" x14ac:dyDescent="0.25">
      <c r="A783" s="7">
        <v>2.0623688223864345E-2</v>
      </c>
      <c r="B783"/>
      <c r="C783"/>
      <c r="D783"/>
      <c r="E783"/>
      <c r="F783" s="27" t="s">
        <v>7</v>
      </c>
    </row>
    <row r="784" spans="1:6" x14ac:dyDescent="0.25">
      <c r="A784" s="7">
        <v>2.021930218025916E-2</v>
      </c>
      <c r="B784"/>
      <c r="C784"/>
      <c r="D784"/>
      <c r="E784"/>
      <c r="F784" s="27" t="s">
        <v>7</v>
      </c>
    </row>
    <row r="785" spans="1:6" x14ac:dyDescent="0.25">
      <c r="A785" s="7">
        <v>1.9822845274763884E-2</v>
      </c>
      <c r="B785"/>
      <c r="C785"/>
      <c r="D785"/>
      <c r="E785"/>
      <c r="F785" s="27" t="s">
        <v>7</v>
      </c>
    </row>
    <row r="786" spans="1:6" x14ac:dyDescent="0.25">
      <c r="A786" s="7">
        <v>1.9434162034082238E-2</v>
      </c>
      <c r="B786"/>
      <c r="C786"/>
      <c r="D786"/>
      <c r="E786"/>
      <c r="F786" s="27" t="s">
        <v>7</v>
      </c>
    </row>
    <row r="787" spans="1:6" x14ac:dyDescent="0.25">
      <c r="A787" s="7">
        <v>1.9053100033413959E-2</v>
      </c>
      <c r="B787"/>
      <c r="C787"/>
      <c r="D787"/>
      <c r="E787"/>
      <c r="F787" s="27" t="s">
        <v>7</v>
      </c>
    </row>
    <row r="788" spans="1:6" x14ac:dyDescent="0.25">
      <c r="A788" s="7">
        <v>1.867950983668035E-2</v>
      </c>
      <c r="B788"/>
      <c r="C788"/>
      <c r="D788"/>
      <c r="E788"/>
      <c r="F788" s="27" t="s">
        <v>7</v>
      </c>
    </row>
    <row r="789" spans="1:6" x14ac:dyDescent="0.25">
      <c r="A789" s="7">
        <v>1.8313244937921913E-2</v>
      </c>
      <c r="B789"/>
      <c r="C789"/>
      <c r="D789"/>
      <c r="E789"/>
      <c r="F789" s="27" t="s">
        <v>7</v>
      </c>
    </row>
    <row r="790" spans="1:6" x14ac:dyDescent="0.25">
      <c r="A790" s="7">
        <v>1.7954161703845013E-2</v>
      </c>
      <c r="B790"/>
      <c r="C790"/>
      <c r="D790"/>
      <c r="E790"/>
      <c r="F790" s="27" t="s">
        <v>7</v>
      </c>
    </row>
    <row r="791" spans="1:6" x14ac:dyDescent="0.25">
      <c r="A791" s="7">
        <v>1.7602119317495109E-2</v>
      </c>
      <c r="B791"/>
      <c r="C791"/>
      <c r="D791"/>
      <c r="E791"/>
      <c r="F791" s="27" t="s">
        <v>7</v>
      </c>
    </row>
    <row r="792" spans="1:6" x14ac:dyDescent="0.25">
      <c r="A792" s="7">
        <v>1.7256979723034419E-2</v>
      </c>
      <c r="B792"/>
      <c r="C792"/>
      <c r="D792"/>
      <c r="E792"/>
      <c r="F792" s="27" t="s">
        <v>7</v>
      </c>
    </row>
    <row r="793" spans="1:6" x14ac:dyDescent="0.25">
      <c r="A793" s="7">
        <v>1.6918607571602372E-2</v>
      </c>
      <c r="B793"/>
      <c r="C793"/>
      <c r="D793"/>
      <c r="E793"/>
      <c r="F793" s="27" t="s">
        <v>7</v>
      </c>
    </row>
    <row r="794" spans="1:6" x14ac:dyDescent="0.25">
      <c r="A794" s="7">
        <v>1.6586870168237622E-2</v>
      </c>
      <c r="B794"/>
      <c r="C794"/>
      <c r="D794"/>
      <c r="E794"/>
      <c r="F794" s="27" t="s">
        <v>7</v>
      </c>
    </row>
    <row r="795" spans="1:6" x14ac:dyDescent="0.25">
      <c r="A795" s="7">
        <v>1.6261637419840807E-2</v>
      </c>
      <c r="B795"/>
      <c r="C795"/>
      <c r="D795"/>
      <c r="E795"/>
      <c r="F795" s="27" t="s">
        <v>7</v>
      </c>
    </row>
    <row r="796" spans="1:6" x14ac:dyDescent="0.25">
      <c r="A796" s="7">
        <v>1.5942781784157655E-2</v>
      </c>
      <c r="B796"/>
      <c r="C796"/>
      <c r="D796"/>
      <c r="E796"/>
      <c r="F796" s="27" t="s">
        <v>7</v>
      </c>
    </row>
    <row r="797" spans="1:6" x14ac:dyDescent="0.25">
      <c r="A797" s="7">
        <v>1.5630178219762408E-2</v>
      </c>
      <c r="B797"/>
      <c r="C797"/>
      <c r="D797"/>
      <c r="E797"/>
      <c r="F797" s="27" t="s">
        <v>7</v>
      </c>
    </row>
    <row r="798" spans="1:6" x14ac:dyDescent="0.25">
      <c r="A798" s="7">
        <v>1.5323704137021967E-2</v>
      </c>
      <c r="B798"/>
      <c r="C798"/>
      <c r="D798"/>
      <c r="E798"/>
      <c r="F798" s="27" t="s">
        <v>7</v>
      </c>
    </row>
    <row r="799" spans="1:6" x14ac:dyDescent="0.25">
      <c r="A799" s="7">
        <v>1.5023239350021535E-2</v>
      </c>
      <c r="B799"/>
      <c r="C799"/>
      <c r="D799"/>
      <c r="E799"/>
      <c r="F799" s="27" t="s">
        <v>7</v>
      </c>
    </row>
    <row r="800" spans="1:6" x14ac:dyDescent="0.25">
      <c r="A800" s="7">
        <v>1.4728666029432878E-2</v>
      </c>
      <c r="B800"/>
      <c r="C800"/>
      <c r="D800"/>
      <c r="E800"/>
      <c r="F800" s="27" t="s">
        <v>7</v>
      </c>
    </row>
    <row r="801" spans="1:6" x14ac:dyDescent="0.25">
      <c r="A801" s="7">
        <v>1.4439868656306743E-2</v>
      </c>
      <c r="B801"/>
      <c r="C801"/>
      <c r="D801"/>
      <c r="E801"/>
      <c r="F801" s="27" t="s">
        <v>7</v>
      </c>
    </row>
    <row r="802" spans="1:6" x14ac:dyDescent="0.25">
      <c r="A802" s="7">
        <v>1.4156733976771318E-2</v>
      </c>
      <c r="B802"/>
      <c r="C802"/>
      <c r="D802"/>
      <c r="E802"/>
      <c r="F802" s="27" t="s">
        <v>7</v>
      </c>
    </row>
    <row r="803" spans="1:6" x14ac:dyDescent="0.25">
      <c r="A803" s="7">
        <v>1.3879150957618939E-2</v>
      </c>
      <c r="B803"/>
      <c r="C803"/>
      <c r="D803"/>
      <c r="E803"/>
      <c r="F803" s="27" t="s">
        <v>7</v>
      </c>
    </row>
    <row r="804" spans="1:6" x14ac:dyDescent="0.25">
      <c r="A804" s="7">
        <v>1.3607010742763666E-2</v>
      </c>
      <c r="B804"/>
      <c r="C804"/>
      <c r="D804"/>
      <c r="E804"/>
      <c r="F804" s="27" t="s">
        <v>7</v>
      </c>
    </row>
    <row r="805" spans="1:6" x14ac:dyDescent="0.25">
      <c r="A805" s="7">
        <v>1.3340206610552614E-2</v>
      </c>
      <c r="B805"/>
      <c r="C805"/>
      <c r="D805"/>
      <c r="E805"/>
      <c r="F805" s="27" t="s">
        <v>7</v>
      </c>
    </row>
    <row r="806" spans="1:6" x14ac:dyDescent="0.25">
      <c r="A806" s="7">
        <v>1.3078633931914328E-2</v>
      </c>
      <c r="B806"/>
      <c r="C806"/>
      <c r="D806"/>
      <c r="E806"/>
      <c r="F806" s="27" t="s">
        <v>7</v>
      </c>
    </row>
    <row r="807" spans="1:6" x14ac:dyDescent="0.25">
      <c r="A807" s="7">
        <v>1.2822190129327771E-2</v>
      </c>
      <c r="B807"/>
      <c r="C807"/>
      <c r="D807"/>
      <c r="E807"/>
      <c r="F807" s="27" t="s">
        <v>7</v>
      </c>
    </row>
    <row r="808" spans="1:6" x14ac:dyDescent="0.25">
      <c r="A808" s="7">
        <v>1.2570774636595854E-2</v>
      </c>
      <c r="B808"/>
      <c r="C808"/>
      <c r="D808"/>
      <c r="E808"/>
      <c r="F808" s="27" t="s">
        <v>7</v>
      </c>
    </row>
    <row r="809" spans="1:6" x14ac:dyDescent="0.25">
      <c r="A809" s="7">
        <v>1.23242888594077E-2</v>
      </c>
      <c r="B809"/>
      <c r="C809"/>
      <c r="D809"/>
      <c r="E809"/>
      <c r="F809" s="27" t="s">
        <v>7</v>
      </c>
    </row>
    <row r="810" spans="1:6" x14ac:dyDescent="0.25">
      <c r="A810" s="7">
        <v>1.2082636136674216E-2</v>
      </c>
      <c r="B810"/>
      <c r="C810"/>
      <c r="D810"/>
      <c r="E810"/>
      <c r="F810" s="27" t="s">
        <v>7</v>
      </c>
    </row>
    <row r="811" spans="1:6" x14ac:dyDescent="0.25">
      <c r="A811" s="7">
        <v>1.184572170262178E-2</v>
      </c>
      <c r="B811"/>
      <c r="C811"/>
      <c r="D811"/>
      <c r="E811"/>
      <c r="F811" s="27" t="s">
        <v>7</v>
      </c>
    </row>
    <row r="812" spans="1:6" x14ac:dyDescent="0.25">
      <c r="A812" s="7">
        <v>1.1613452649629196E-2</v>
      </c>
      <c r="B812"/>
      <c r="C812"/>
      <c r="D812"/>
      <c r="E812"/>
      <c r="F812" s="27" t="s">
        <v>7</v>
      </c>
    </row>
    <row r="813" spans="1:6" x14ac:dyDescent="0.25">
      <c r="A813" s="7">
        <v>1.138573789179333E-2</v>
      </c>
      <c r="B813"/>
      <c r="C813"/>
      <c r="D813"/>
      <c r="E813"/>
      <c r="F813" s="27" t="s">
        <v>7</v>
      </c>
    </row>
    <row r="814" spans="1:6" x14ac:dyDescent="0.25">
      <c r="A814" s="7">
        <v>1.1162488129209149E-2</v>
      </c>
      <c r="B814"/>
      <c r="C814"/>
      <c r="D814"/>
      <c r="E814"/>
      <c r="F814" s="27" t="s">
        <v>7</v>
      </c>
    </row>
    <row r="815" spans="1:6" x14ac:dyDescent="0.25">
      <c r="A815" s="7">
        <v>1.0943615812950145E-2</v>
      </c>
      <c r="B815"/>
      <c r="C815"/>
      <c r="D815"/>
      <c r="E815"/>
      <c r="F815" s="27" t="s">
        <v>7</v>
      </c>
    </row>
    <row r="816" spans="1:6" x14ac:dyDescent="0.25">
      <c r="A816" s="7">
        <v>1.0729035110735436E-2</v>
      </c>
      <c r="B816"/>
      <c r="C816"/>
      <c r="D816"/>
      <c r="E816"/>
      <c r="F816" s="27" t="s">
        <v>7</v>
      </c>
    </row>
    <row r="817" spans="1:6" x14ac:dyDescent="0.25">
      <c r="A817" s="7">
        <v>1.0518661873270036E-2</v>
      </c>
      <c r="B817"/>
      <c r="C817"/>
      <c r="D817"/>
      <c r="E817"/>
      <c r="F817" s="27" t="s">
        <v>7</v>
      </c>
    </row>
    <row r="818" spans="1:6" x14ac:dyDescent="0.25">
      <c r="A818" s="7">
        <v>1.0312413601245135E-2</v>
      </c>
      <c r="B818"/>
      <c r="C818"/>
      <c r="D818"/>
      <c r="E818"/>
      <c r="F818" s="27" t="s">
        <v>7</v>
      </c>
    </row>
    <row r="819" spans="1:6" x14ac:dyDescent="0.25">
      <c r="A819" s="7">
        <v>1.0110209412985426E-2</v>
      </c>
      <c r="B819"/>
      <c r="C819"/>
      <c r="D819"/>
      <c r="E819"/>
      <c r="F819" s="27" t="s">
        <v>7</v>
      </c>
    </row>
    <row r="820" spans="1:6" x14ac:dyDescent="0.25">
      <c r="A820" s="7">
        <v>9.9119700127308103E-3</v>
      </c>
      <c r="B820"/>
      <c r="C820"/>
      <c r="D820"/>
      <c r="E820"/>
      <c r="F820" s="27" t="s">
        <v>7</v>
      </c>
    </row>
    <row r="821" spans="1:6" x14ac:dyDescent="0.25">
      <c r="A821" s="7">
        <v>9.717617659540009E-3</v>
      </c>
      <c r="B821"/>
      <c r="C821"/>
      <c r="D821"/>
      <c r="E821"/>
      <c r="F821" s="27" t="s">
        <v>7</v>
      </c>
    </row>
    <row r="822" spans="1:6" x14ac:dyDescent="0.25">
      <c r="A822" s="7">
        <v>9.5270761368039299E-3</v>
      </c>
      <c r="B822"/>
      <c r="C822"/>
      <c r="D822"/>
      <c r="E822"/>
      <c r="F822" s="27" t="s">
        <v>7</v>
      </c>
    </row>
    <row r="823" spans="1:6" x14ac:dyDescent="0.25">
      <c r="A823" s="7">
        <v>9.3402707223567936E-3</v>
      </c>
      <c r="B823"/>
      <c r="C823"/>
      <c r="D823"/>
      <c r="E823"/>
      <c r="F823" s="27" t="s">
        <v>7</v>
      </c>
    </row>
    <row r="824" spans="1:6" x14ac:dyDescent="0.25">
      <c r="A824" s="7">
        <v>9.1571281591733261E-3</v>
      </c>
      <c r="B824"/>
      <c r="C824"/>
      <c r="D824"/>
      <c r="E824"/>
      <c r="F824" s="27" t="s">
        <v>7</v>
      </c>
    </row>
    <row r="825" spans="1:6" x14ac:dyDescent="0.25">
      <c r="A825" s="7">
        <v>8.9775766266405148E-3</v>
      </c>
      <c r="B825"/>
      <c r="C825"/>
      <c r="D825"/>
      <c r="E825"/>
      <c r="F825" s="27" t="s">
        <v>7</v>
      </c>
    </row>
    <row r="826" spans="1:6" x14ac:dyDescent="0.25">
      <c r="A826" s="7">
        <v>8.8015457123926614E-3</v>
      </c>
      <c r="B826"/>
      <c r="C826"/>
      <c r="D826"/>
      <c r="E826"/>
      <c r="F826" s="27" t="s">
        <v>7</v>
      </c>
    </row>
    <row r="827" spans="1:6" x14ac:dyDescent="0.25">
      <c r="A827" s="7">
        <v>8.6289663846986879E-3</v>
      </c>
      <c r="B827"/>
      <c r="C827"/>
      <c r="D827"/>
      <c r="E827"/>
      <c r="F827" s="27" t="s">
        <v>7</v>
      </c>
    </row>
    <row r="828" spans="1:6" x14ac:dyDescent="0.25">
      <c r="A828" s="7">
        <v>8.4597709653908715E-3</v>
      </c>
      <c r="B828"/>
      <c r="C828"/>
      <c r="D828"/>
      <c r="E828"/>
      <c r="F828" s="27" t="s">
        <v>7</v>
      </c>
    </row>
    <row r="829" spans="1:6" x14ac:dyDescent="0.25">
      <c r="A829" s="7">
        <v>8.2938931033243839E-3</v>
      </c>
      <c r="B829"/>
      <c r="C829"/>
      <c r="D829"/>
      <c r="E829"/>
      <c r="F829" s="27" t="s">
        <v>7</v>
      </c>
    </row>
    <row r="830" spans="1:6" x14ac:dyDescent="0.25">
      <c r="A830" s="7">
        <v>8.1312677483572383E-3</v>
      </c>
      <c r="B830"/>
      <c r="C830"/>
      <c r="D830"/>
      <c r="E830"/>
      <c r="F830" s="27" t="s">
        <v>7</v>
      </c>
    </row>
    <row r="831" spans="1:6" x14ac:dyDescent="0.25">
      <c r="A831" s="7">
        <v>7.9718311258404305E-3</v>
      </c>
      <c r="B831"/>
      <c r="C831"/>
      <c r="D831"/>
      <c r="E831"/>
      <c r="F831" s="27" t="s">
        <v>7</v>
      </c>
    </row>
    <row r="832" spans="1:6" x14ac:dyDescent="0.25">
      <c r="A832" s="7">
        <v>7.8155207116082648E-3</v>
      </c>
      <c r="B832"/>
      <c r="C832"/>
      <c r="D832"/>
      <c r="E832"/>
      <c r="F832" s="27" t="s">
        <v>7</v>
      </c>
    </row>
    <row r="833" spans="1:6" x14ac:dyDescent="0.25">
      <c r="A833" s="7">
        <v>7.6622752074590825E-3</v>
      </c>
      <c r="B833"/>
      <c r="C833"/>
      <c r="D833"/>
      <c r="E833"/>
      <c r="F833" s="27" t="s">
        <v>7</v>
      </c>
    </row>
    <row r="834" spans="1:6" x14ac:dyDescent="0.25">
      <c r="A834" s="7">
        <v>7.5120345171167469E-3</v>
      </c>
      <c r="B834"/>
      <c r="C834"/>
      <c r="D834"/>
      <c r="E834"/>
      <c r="F834" s="27" t="s">
        <v>7</v>
      </c>
    </row>
    <row r="835" spans="1:6" x14ac:dyDescent="0.25">
      <c r="A835" s="7">
        <v>7.3647397226634772E-3</v>
      </c>
      <c r="B835"/>
      <c r="C835"/>
      <c r="D835"/>
      <c r="E835"/>
      <c r="F835" s="27" t="s">
        <v>7</v>
      </c>
    </row>
    <row r="836" spans="1:6" x14ac:dyDescent="0.25">
      <c r="A836" s="7">
        <v>7.2203330614347815E-3</v>
      </c>
      <c r="B836"/>
      <c r="C836"/>
      <c r="D836"/>
      <c r="E836"/>
      <c r="F836" s="27" t="s">
        <v>7</v>
      </c>
    </row>
    <row r="837" spans="1:6" x14ac:dyDescent="0.25">
      <c r="A837" s="7">
        <v>7.0787579033674327E-3</v>
      </c>
      <c r="B837"/>
      <c r="C837"/>
      <c r="D837"/>
      <c r="E837"/>
      <c r="F837" s="27" t="s">
        <v>7</v>
      </c>
    </row>
    <row r="838" spans="1:6" x14ac:dyDescent="0.25">
      <c r="A838" s="7">
        <v>6.9399587287916013E-3</v>
      </c>
      <c r="B838"/>
      <c r="C838"/>
      <c r="D838"/>
      <c r="E838"/>
      <c r="F838" s="27" t="s">
        <v>7</v>
      </c>
    </row>
    <row r="839" spans="1:6" x14ac:dyDescent="0.25">
      <c r="A839" s="7">
        <v>6.8038811066584333E-3</v>
      </c>
      <c r="B839"/>
      <c r="C839"/>
      <c r="D839"/>
      <c r="E839"/>
      <c r="F839" s="27" t="s">
        <v>7</v>
      </c>
    </row>
    <row r="840" spans="1:6" x14ac:dyDescent="0.25">
      <c r="A840" s="7">
        <v>6.6704716731945425E-3</v>
      </c>
      <c r="B840"/>
      <c r="C840"/>
      <c r="D840"/>
      <c r="E840"/>
      <c r="F840" s="27" t="s">
        <v>7</v>
      </c>
    </row>
    <row r="841" spans="1:6" x14ac:dyDescent="0.25">
      <c r="A841" s="7">
        <v>6.5396781109750427E-3</v>
      </c>
      <c r="B841"/>
      <c r="C841"/>
      <c r="D841"/>
      <c r="E841"/>
      <c r="F841" s="27" t="s">
        <v>7</v>
      </c>
    </row>
    <row r="842" spans="1:6" x14ac:dyDescent="0.25">
      <c r="A842" s="7">
        <v>6.4114491284069045E-3</v>
      </c>
      <c r="B842"/>
      <c r="C842"/>
      <c r="D842"/>
      <c r="E842"/>
      <c r="F842" s="27" t="s">
        <v>7</v>
      </c>
    </row>
    <row r="843" spans="1:6" x14ac:dyDescent="0.25">
      <c r="A843" s="7">
        <v>6.2857344396146115E-3</v>
      </c>
      <c r="B843"/>
      <c r="C843"/>
      <c r="D843"/>
      <c r="E843"/>
      <c r="F843" s="27" t="s">
        <v>7</v>
      </c>
    </row>
    <row r="844" spans="1:6" x14ac:dyDescent="0.25">
      <c r="A844" s="7">
        <v>6.1624847447202076E-3</v>
      </c>
      <c r="B844"/>
      <c r="C844"/>
      <c r="D844"/>
      <c r="E844"/>
      <c r="F844" s="27" t="s">
        <v>7</v>
      </c>
    </row>
    <row r="845" spans="1:6" x14ac:dyDescent="0.25">
      <c r="A845" s="7">
        <v>6.0416517105100079E-3</v>
      </c>
      <c r="B845"/>
      <c r="C845"/>
      <c r="D845"/>
      <c r="E845"/>
      <c r="F845" s="27" t="s">
        <v>7</v>
      </c>
    </row>
    <row r="846" spans="1:6" x14ac:dyDescent="0.25">
      <c r="A846" s="7">
        <v>5.9231879514803996E-3</v>
      </c>
      <c r="B846"/>
      <c r="C846"/>
      <c r="D846"/>
      <c r="E846"/>
      <c r="F846" s="27" t="s">
        <v>7</v>
      </c>
    </row>
    <row r="847" spans="1:6" x14ac:dyDescent="0.25">
      <c r="A847" s="7">
        <v>5.8070470112552936E-3</v>
      </c>
      <c r="B847"/>
      <c r="C847"/>
      <c r="D847"/>
      <c r="E847"/>
      <c r="F847" s="27" t="s">
        <v>7</v>
      </c>
    </row>
    <row r="848" spans="1:6" x14ac:dyDescent="0.25">
      <c r="A848" s="7">
        <v>5.6931833443679353E-3</v>
      </c>
      <c r="B848"/>
      <c r="C848"/>
      <c r="D848"/>
      <c r="E848"/>
      <c r="F848" s="27" t="s">
        <v>7</v>
      </c>
    </row>
    <row r="849" spans="1:6" x14ac:dyDescent="0.25">
      <c r="A849" s="7">
        <v>5.5815522983999367E-3</v>
      </c>
      <c r="B849"/>
      <c r="C849"/>
      <c r="D849"/>
      <c r="E849"/>
      <c r="F849" s="27" t="s">
        <v>7</v>
      </c>
    </row>
    <row r="850" spans="1:6" x14ac:dyDescent="0.25">
      <c r="A850" s="7">
        <v>5.4721100964705257E-3</v>
      </c>
      <c r="B850"/>
      <c r="C850"/>
      <c r="D850"/>
      <c r="E850"/>
      <c r="F850" s="27" t="s">
        <v>7</v>
      </c>
    </row>
    <row r="851" spans="1:6" x14ac:dyDescent="0.25">
      <c r="A851" s="7">
        <v>5.3648138200691423E-3</v>
      </c>
      <c r="B851"/>
      <c r="C851"/>
      <c r="D851"/>
      <c r="E851"/>
      <c r="F851" s="27" t="s">
        <v>7</v>
      </c>
    </row>
    <row r="852" spans="1:6" x14ac:dyDescent="0.25">
      <c r="A852" s="7">
        <v>5.2596213922246494E-3</v>
      </c>
      <c r="B852"/>
      <c r="C852"/>
      <c r="D852"/>
      <c r="E852"/>
      <c r="F852" s="27" t="s">
        <v>7</v>
      </c>
    </row>
    <row r="853" spans="1:6" x14ac:dyDescent="0.25">
      <c r="A853" s="7">
        <v>5.1564915610045588E-3</v>
      </c>
      <c r="B853"/>
      <c r="C853"/>
      <c r="D853"/>
      <c r="E853"/>
      <c r="F853" s="27" t="s">
        <v>7</v>
      </c>
    </row>
    <row r="854" spans="1:6" x14ac:dyDescent="0.25">
      <c r="A854" s="7">
        <v>5.0553838833378023E-3</v>
      </c>
      <c r="B854"/>
      <c r="C854"/>
      <c r="D854"/>
      <c r="E854"/>
      <c r="F854" s="27" t="s">
        <v>7</v>
      </c>
    </row>
    <row r="855" spans="1:6" x14ac:dyDescent="0.25">
      <c r="A855" s="7">
        <v>4.9562587091547079E-3</v>
      </c>
      <c r="B855"/>
      <c r="C855"/>
      <c r="D855"/>
      <c r="E855"/>
      <c r="F855" s="27" t="s">
        <v>7</v>
      </c>
    </row>
    <row r="856" spans="1:6" x14ac:dyDescent="0.25">
      <c r="A856" s="7">
        <v>4.8590771658379491E-3</v>
      </c>
      <c r="B856"/>
      <c r="C856"/>
      <c r="D856"/>
      <c r="E856"/>
      <c r="F856" s="27" t="s">
        <v>7</v>
      </c>
    </row>
    <row r="857" spans="1:6" x14ac:dyDescent="0.25">
      <c r="A857" s="7">
        <v>4.7638011429783815E-3</v>
      </c>
      <c r="B857"/>
      <c r="C857"/>
      <c r="D857"/>
      <c r="E857"/>
      <c r="F857" s="27" t="s">
        <v>7</v>
      </c>
    </row>
    <row r="858" spans="1:6" x14ac:dyDescent="0.25">
      <c r="A858" s="7">
        <v>4.6703932774297859E-3</v>
      </c>
      <c r="B858"/>
      <c r="C858"/>
      <c r="D858"/>
      <c r="E858"/>
      <c r="F858" s="27" t="s">
        <v>7</v>
      </c>
    </row>
    <row r="859" spans="1:6" x14ac:dyDescent="0.25">
      <c r="A859" s="7">
        <v>4.5788169386566527E-3</v>
      </c>
      <c r="B859"/>
      <c r="C859"/>
      <c r="D859"/>
      <c r="E859"/>
      <c r="F859" s="27" t="s">
        <v>7</v>
      </c>
    </row>
    <row r="860" spans="1:6" x14ac:dyDescent="0.25">
      <c r="A860" s="7">
        <v>4.4890362143692672E-3</v>
      </c>
      <c r="B860"/>
      <c r="C860"/>
      <c r="D860"/>
      <c r="E860"/>
      <c r="F860" s="27" t="s">
        <v>7</v>
      </c>
    </row>
    <row r="861" spans="1:6" x14ac:dyDescent="0.25">
      <c r="A861" s="7">
        <v>4.4010158964404578E-3</v>
      </c>
      <c r="B861"/>
      <c r="C861"/>
      <c r="D861"/>
      <c r="E861"/>
      <c r="F861" s="27" t="s">
        <v>7</v>
      </c>
    </row>
    <row r="862" spans="1:6" x14ac:dyDescent="0.25">
      <c r="A862" s="7">
        <v>4.314721467098488E-3</v>
      </c>
      <c r="B862"/>
      <c r="C862"/>
      <c r="D862"/>
      <c r="E862"/>
      <c r="F862" s="27" t="s">
        <v>7</v>
      </c>
    </row>
    <row r="863" spans="1:6" x14ac:dyDescent="0.25">
      <c r="A863" s="7">
        <v>4.2301190853906746E-3</v>
      </c>
      <c r="B863"/>
      <c r="C863"/>
      <c r="D863"/>
      <c r="E863"/>
      <c r="F863" s="27" t="s">
        <v>7</v>
      </c>
    </row>
    <row r="864" spans="1:6" x14ac:dyDescent="0.25">
      <c r="A864" s="7">
        <v>4.1471755739124266E-3</v>
      </c>
      <c r="B864"/>
      <c r="C864"/>
      <c r="D864"/>
      <c r="E864"/>
      <c r="F864" s="27" t="s">
        <v>7</v>
      </c>
    </row>
    <row r="865" spans="1:6" x14ac:dyDescent="0.25">
      <c r="A865" s="7">
        <v>4.0658584057964966E-3</v>
      </c>
      <c r="B865"/>
      <c r="C865"/>
      <c r="D865"/>
      <c r="E865"/>
      <c r="F865" s="27" t="s">
        <v>7</v>
      </c>
    </row>
    <row r="866" spans="1:6" x14ac:dyDescent="0.25">
      <c r="A866" s="7">
        <v>3.9861356919573491E-3</v>
      </c>
      <c r="B866"/>
      <c r="C866"/>
      <c r="D866"/>
      <c r="E866"/>
      <c r="F866" s="27" t="s">
        <v>7</v>
      </c>
    </row>
    <row r="867" spans="1:6" x14ac:dyDescent="0.25">
      <c r="A867" s="7">
        <v>3.9079761685856364E-3</v>
      </c>
      <c r="B867"/>
      <c r="C867"/>
      <c r="D867"/>
      <c r="E867"/>
      <c r="F867" s="27" t="s">
        <v>7</v>
      </c>
    </row>
    <row r="868" spans="1:6" x14ac:dyDescent="0.25">
      <c r="A868" s="7">
        <v>3.8313491848878793E-3</v>
      </c>
      <c r="B868"/>
      <c r="C868"/>
      <c r="D868"/>
      <c r="E868"/>
      <c r="F868" s="27" t="s">
        <v>7</v>
      </c>
    </row>
    <row r="869" spans="1:6" x14ac:dyDescent="0.25">
      <c r="A869" s="7">
        <v>3.7562246910665485E-3</v>
      </c>
      <c r="B869"/>
      <c r="C869"/>
      <c r="D869"/>
      <c r="E869"/>
      <c r="F869" s="27" t="s">
        <v>7</v>
      </c>
    </row>
    <row r="870" spans="1:6" x14ac:dyDescent="0.25">
      <c r="A870" s="7">
        <v>3.6825732265358315E-3</v>
      </c>
      <c r="B870"/>
      <c r="C870"/>
      <c r="D870"/>
      <c r="E870"/>
      <c r="F870" s="27" t="s">
        <v>7</v>
      </c>
    </row>
    <row r="871" spans="1:6" x14ac:dyDescent="0.25">
      <c r="A871" s="7">
        <v>3.6103659083684624E-3</v>
      </c>
      <c r="B871"/>
      <c r="C871"/>
      <c r="D871"/>
      <c r="E871"/>
      <c r="F871" s="27" t="s">
        <v>7</v>
      </c>
    </row>
    <row r="872" spans="1:6" x14ac:dyDescent="0.25">
      <c r="A872" s="7">
        <v>3.539574419969081E-3</v>
      </c>
      <c r="B872"/>
      <c r="C872"/>
      <c r="D872"/>
      <c r="E872"/>
      <c r="F872" s="27" t="s">
        <v>7</v>
      </c>
    </row>
    <row r="873" spans="1:6" x14ac:dyDescent="0.25">
      <c r="A873" s="7">
        <v>3.4701709999696872E-3</v>
      </c>
      <c r="B873"/>
      <c r="C873"/>
      <c r="D873"/>
      <c r="E873"/>
      <c r="F873" s="27" t="s">
        <v>7</v>
      </c>
    </row>
    <row r="874" spans="1:6" x14ac:dyDescent="0.25">
      <c r="A874" s="7">
        <v>3.4021284313428307E-3</v>
      </c>
      <c r="B874"/>
      <c r="C874"/>
      <c r="D874"/>
      <c r="E874"/>
      <c r="F874" s="27" t="s">
        <v>7</v>
      </c>
    </row>
    <row r="875" spans="1:6" x14ac:dyDescent="0.25">
      <c r="A875" s="7">
        <v>3.3354200307282654E-3</v>
      </c>
      <c r="B875"/>
      <c r="C875"/>
      <c r="D875"/>
      <c r="E875"/>
      <c r="F875" s="27" t="s">
        <v>7</v>
      </c>
    </row>
    <row r="876" spans="1:6" x14ac:dyDescent="0.25">
      <c r="A876" s="7">
        <v>3.2700196379688881E-3</v>
      </c>
      <c r="B876"/>
      <c r="C876"/>
      <c r="D876"/>
      <c r="E876"/>
      <c r="F876" s="27" t="s">
        <v>7</v>
      </c>
    </row>
    <row r="877" spans="1:6" x14ac:dyDescent="0.25">
      <c r="A877" s="7">
        <v>3.205901605851851E-3</v>
      </c>
      <c r="B877"/>
      <c r="C877"/>
      <c r="D877"/>
      <c r="E877"/>
      <c r="F877" s="27" t="s">
        <v>7</v>
      </c>
    </row>
    <row r="878" spans="1:6" x14ac:dyDescent="0.25">
      <c r="A878" s="7">
        <v>3.1430407900508344E-3</v>
      </c>
      <c r="B878"/>
      <c r="C878"/>
      <c r="D878"/>
      <c r="E878"/>
      <c r="F878" s="27" t="s">
        <v>7</v>
      </c>
    </row>
    <row r="879" spans="1:6" x14ac:dyDescent="0.25">
      <c r="A879" s="7">
        <v>3.0814125392655241E-3</v>
      </c>
      <c r="B879"/>
      <c r="C879"/>
      <c r="D879"/>
      <c r="E879"/>
      <c r="F879" s="27" t="s">
        <v>7</v>
      </c>
    </row>
    <row r="880" spans="1:6" x14ac:dyDescent="0.25">
      <c r="A880" s="7">
        <v>3.0209926855544354E-3</v>
      </c>
      <c r="B880"/>
      <c r="C880"/>
      <c r="D880"/>
      <c r="E880"/>
      <c r="F880" s="27" t="s">
        <v>7</v>
      </c>
    </row>
    <row r="881" spans="1:616" x14ac:dyDescent="0.25">
      <c r="A881" s="7">
        <v>2.9617575348572897E-3</v>
      </c>
      <c r="B881"/>
      <c r="C881"/>
      <c r="D881"/>
      <c r="E881"/>
      <c r="F881" s="27" t="s">
        <v>7</v>
      </c>
      <c r="WQ881" s="27" t="s">
        <v>8</v>
      </c>
    </row>
    <row r="882" spans="1:616" x14ac:dyDescent="0.25">
      <c r="A882" s="7">
        <v>2.9036838577032251E-3</v>
      </c>
      <c r="B882"/>
      <c r="C882"/>
      <c r="D882"/>
      <c r="E882"/>
      <c r="F882" s="27" t="s">
        <v>7</v>
      </c>
      <c r="WQ882" s="27" t="s">
        <v>8</v>
      </c>
      <c r="WR882" s="27" t="s">
        <v>7</v>
      </c>
    </row>
    <row r="883" spans="1:616" x14ac:dyDescent="0.25">
      <c r="A883" s="7">
        <v>2.8467488801012012E-3</v>
      </c>
      <c r="B883"/>
      <c r="C883"/>
      <c r="D883"/>
      <c r="E883"/>
      <c r="F883" s="27" t="s">
        <v>7</v>
      </c>
      <c r="WQ883" s="27" t="s">
        <v>8</v>
      </c>
      <c r="WR883" s="27" t="s">
        <v>7</v>
      </c>
    </row>
    <row r="884" spans="1:616" x14ac:dyDescent="0.25">
      <c r="A884" s="7">
        <v>2.7909302746090209E-3</v>
      </c>
      <c r="B884"/>
      <c r="C884"/>
      <c r="D884"/>
      <c r="E884"/>
      <c r="F884" s="27" t="s">
        <v>7</v>
      </c>
      <c r="WQ884" s="27" t="s">
        <v>8</v>
      </c>
      <c r="WR884" s="27" t="s">
        <v>7</v>
      </c>
    </row>
    <row r="885" spans="1:616" x14ac:dyDescent="0.25">
      <c r="A885" s="7">
        <v>2.7362061515774716E-3</v>
      </c>
      <c r="B885"/>
      <c r="C885"/>
      <c r="D885"/>
      <c r="E885"/>
      <c r="F885" s="27" t="s">
        <v>7</v>
      </c>
      <c r="WQ885" s="27" t="s">
        <v>8</v>
      </c>
      <c r="WR885" s="27" t="s">
        <v>7</v>
      </c>
    </row>
    <row r="886" spans="1:616" x14ac:dyDescent="0.25">
      <c r="A886" s="7">
        <v>2.6825550505661486E-3</v>
      </c>
      <c r="B886"/>
      <c r="C886"/>
      <c r="D886"/>
      <c r="E886"/>
      <c r="F886" s="27" t="s">
        <v>7</v>
      </c>
      <c r="WQ886" s="27" t="s">
        <v>8</v>
      </c>
      <c r="WR886" s="27" t="s">
        <v>7</v>
      </c>
    </row>
    <row r="887" spans="1:616" x14ac:dyDescent="0.25">
      <c r="A887" s="7">
        <v>2.6299559319275965E-3</v>
      </c>
      <c r="B887"/>
      <c r="C887"/>
      <c r="D887"/>
      <c r="E887"/>
      <c r="F887" s="27" t="s">
        <v>7</v>
      </c>
      <c r="WQ887" s="27" t="s">
        <v>8</v>
      </c>
      <c r="WR887" s="27" t="s">
        <v>7</v>
      </c>
    </row>
    <row r="888" spans="1:616" x14ac:dyDescent="0.25">
      <c r="A888" s="7">
        <v>2.578388168556467E-3</v>
      </c>
      <c r="B888"/>
      <c r="C888"/>
      <c r="D888"/>
      <c r="E888"/>
      <c r="F888" s="27" t="s">
        <v>7</v>
      </c>
      <c r="WQ888" s="27" t="s">
        <v>8</v>
      </c>
      <c r="WR888" s="27" t="s">
        <v>7</v>
      </c>
    </row>
    <row r="889" spans="1:616" x14ac:dyDescent="0.25">
      <c r="A889" s="7">
        <v>2.5278315378004577E-3</v>
      </c>
      <c r="B889"/>
      <c r="C889"/>
      <c r="D889"/>
      <c r="E889"/>
      <c r="F889" s="27" t="s">
        <v>7</v>
      </c>
      <c r="WQ889" s="27" t="s">
        <v>8</v>
      </c>
      <c r="WR889" s="27" t="s">
        <v>7</v>
      </c>
    </row>
    <row r="890" spans="1:616" x14ac:dyDescent="0.25">
      <c r="A890" s="7">
        <v>2.4782662135298603E-3</v>
      </c>
      <c r="B890"/>
      <c r="C890"/>
      <c r="D890"/>
      <c r="E890"/>
      <c r="F890" s="27" t="s">
        <v>7</v>
      </c>
      <c r="WQ890" s="27" t="s">
        <v>8</v>
      </c>
      <c r="WR890" s="27" t="s">
        <v>7</v>
      </c>
    </row>
    <row r="891" spans="1:616" x14ac:dyDescent="0.25">
      <c r="A891" s="7">
        <v>2.4296727583626083E-3</v>
      </c>
      <c r="B891"/>
      <c r="C891"/>
      <c r="D891"/>
      <c r="E891"/>
      <c r="F891" s="27" t="s">
        <v>7</v>
      </c>
      <c r="WQ891" s="27" t="s">
        <v>8</v>
      </c>
      <c r="WR891" s="27" t="s">
        <v>7</v>
      </c>
    </row>
    <row r="892" spans="1:616" x14ac:dyDescent="0.25">
      <c r="A892" s="7">
        <v>2.3820321160417726E-3</v>
      </c>
      <c r="B892"/>
      <c r="C892"/>
      <c r="D892"/>
      <c r="E892"/>
      <c r="F892" s="27" t="s">
        <v>7</v>
      </c>
      <c r="WQ892" s="27" t="s">
        <v>8</v>
      </c>
      <c r="WR892" s="27" t="s">
        <v>7</v>
      </c>
    </row>
    <row r="893" spans="1:616" x14ac:dyDescent="0.25">
      <c r="A893" s="7">
        <v>2.3353256039625224E-3</v>
      </c>
      <c r="B893"/>
      <c r="C893"/>
      <c r="D893"/>
      <c r="E893"/>
      <c r="F893" s="27" t="s">
        <v>7</v>
      </c>
      <c r="WQ893" s="27" t="s">
        <v>8</v>
      </c>
      <c r="WR893" s="27" t="s">
        <v>7</v>
      </c>
    </row>
    <row r="894" spans="1:616" x14ac:dyDescent="0.25">
      <c r="A894" s="7">
        <v>2.2895349058456101E-3</v>
      </c>
      <c r="B894"/>
      <c r="C894"/>
      <c r="D894"/>
      <c r="E894"/>
      <c r="F894" s="27" t="s">
        <v>7</v>
      </c>
      <c r="WQ894" s="27" t="s">
        <v>8</v>
      </c>
      <c r="WR894" s="27" t="s">
        <v>7</v>
      </c>
    </row>
    <row r="895" spans="1:616" x14ac:dyDescent="0.25">
      <c r="A895" s="7">
        <v>2.24464206455452E-3</v>
      </c>
      <c r="B895"/>
      <c r="C895"/>
      <c r="D895"/>
      <c r="E895"/>
      <c r="F895" s="27" t="s">
        <v>7</v>
      </c>
      <c r="WQ895" s="27" t="s">
        <v>8</v>
      </c>
      <c r="WR895" s="27" t="s">
        <v>7</v>
      </c>
    </row>
    <row r="896" spans="1:616" x14ac:dyDescent="0.25">
      <c r="A896" s="7">
        <v>2.200629475053451E-3</v>
      </c>
      <c r="B896"/>
      <c r="C896"/>
      <c r="D896"/>
      <c r="E896"/>
      <c r="F896" s="27" t="s">
        <v>7</v>
      </c>
      <c r="WQ896" s="27" t="s">
        <v>8</v>
      </c>
      <c r="WR896" s="27" t="s">
        <v>7</v>
      </c>
    </row>
    <row r="897" spans="1:624" x14ac:dyDescent="0.25">
      <c r="A897" s="7">
        <v>2.1574798775033832E-3</v>
      </c>
      <c r="B897"/>
      <c r="C897"/>
      <c r="D897"/>
      <c r="E897"/>
      <c r="F897" s="27" t="s">
        <v>7</v>
      </c>
      <c r="WQ897" s="27" t="s">
        <v>8</v>
      </c>
      <c r="WR897" s="27" t="s">
        <v>7</v>
      </c>
    </row>
    <row r="898" spans="1:624" x14ac:dyDescent="0.25">
      <c r="A898" s="7">
        <v>2.115176350493513E-3</v>
      </c>
      <c r="B898"/>
      <c r="C898"/>
      <c r="D898"/>
      <c r="E898"/>
      <c r="F898" s="27" t="s">
        <v>7</v>
      </c>
      <c r="WQ898" s="27" t="s">
        <v>8</v>
      </c>
      <c r="WR898" s="27" t="s">
        <v>7</v>
      </c>
      <c r="WS898" s="27" t="s">
        <v>8</v>
      </c>
    </row>
    <row r="899" spans="1:624" x14ac:dyDescent="0.25">
      <c r="A899" s="7">
        <v>2.0737023044054047E-3</v>
      </c>
      <c r="B899"/>
      <c r="C899"/>
      <c r="D899"/>
      <c r="E899"/>
      <c r="F899" s="27" t="s">
        <v>7</v>
      </c>
      <c r="WQ899" s="27" t="s">
        <v>8</v>
      </c>
      <c r="WR899" s="27" t="s">
        <v>7</v>
      </c>
      <c r="WS899" s="27" t="s">
        <v>8</v>
      </c>
      <c r="WT899" s="27" t="s">
        <v>7</v>
      </c>
    </row>
    <row r="900" spans="1:624" x14ac:dyDescent="0.25">
      <c r="A900" s="7">
        <v>2.0330414749072595E-3</v>
      </c>
      <c r="B900"/>
      <c r="C900"/>
      <c r="D900"/>
      <c r="E900"/>
      <c r="F900" s="27" t="s">
        <v>7</v>
      </c>
      <c r="WQ900" s="27" t="s">
        <v>8</v>
      </c>
      <c r="WR900" s="27" t="s">
        <v>7</v>
      </c>
      <c r="WS900" s="27" t="s">
        <v>8</v>
      </c>
      <c r="WT900" s="27" t="s">
        <v>7</v>
      </c>
    </row>
    <row r="901" spans="1:624" x14ac:dyDescent="0.25">
      <c r="A901" s="7">
        <v>1.9931779165757446E-3</v>
      </c>
      <c r="B901"/>
      <c r="C901"/>
      <c r="D901"/>
      <c r="E901"/>
      <c r="F901" s="27" t="s">
        <v>7</v>
      </c>
      <c r="WQ901" s="27" t="s">
        <v>8</v>
      </c>
      <c r="WR901" s="27" t="s">
        <v>7</v>
      </c>
      <c r="WS901" s="27" t="s">
        <v>8</v>
      </c>
      <c r="WT901" s="27" t="s">
        <v>7</v>
      </c>
    </row>
    <row r="902" spans="1:624" x14ac:dyDescent="0.25">
      <c r="A902" s="7">
        <v>1.954095996642887E-3</v>
      </c>
      <c r="B902"/>
      <c r="C902"/>
      <c r="D902"/>
      <c r="E902"/>
      <c r="F902" s="27" t="s">
        <v>7</v>
      </c>
      <c r="WQ902" s="27" t="s">
        <v>8</v>
      </c>
      <c r="WR902" s="27" t="s">
        <v>7</v>
      </c>
      <c r="WS902" s="27" t="s">
        <v>8</v>
      </c>
      <c r="WT902" s="27" t="s">
        <v>7</v>
      </c>
    </row>
    <row r="903" spans="1:624" x14ac:dyDescent="0.25">
      <c r="A903" s="7">
        <v>1.9157803888655755E-3</v>
      </c>
      <c r="B903"/>
      <c r="C903"/>
      <c r="D903"/>
      <c r="E903"/>
      <c r="F903" s="27" t="s">
        <v>7</v>
      </c>
      <c r="WQ903" s="27" t="s">
        <v>8</v>
      </c>
      <c r="WR903" s="27" t="s">
        <v>7</v>
      </c>
      <c r="WS903" s="27" t="s">
        <v>8</v>
      </c>
      <c r="WT903" s="27" t="s">
        <v>7</v>
      </c>
    </row>
    <row r="904" spans="1:624" x14ac:dyDescent="0.25">
      <c r="A904" s="7">
        <v>1.8782160675152703E-3</v>
      </c>
      <c r="B904"/>
      <c r="C904"/>
      <c r="D904"/>
      <c r="E904"/>
      <c r="F904" s="27" t="s">
        <v>7</v>
      </c>
      <c r="WQ904" s="27" t="s">
        <v>8</v>
      </c>
      <c r="WR904" s="27" t="s">
        <v>7</v>
      </c>
      <c r="WS904" s="27" t="s">
        <v>8</v>
      </c>
      <c r="WT904" s="27" t="s">
        <v>7</v>
      </c>
    </row>
    <row r="905" spans="1:624" x14ac:dyDescent="0.25">
      <c r="A905" s="7">
        <v>1.8413883014855592E-3</v>
      </c>
      <c r="B905"/>
      <c r="C905"/>
      <c r="D905"/>
      <c r="E905"/>
      <c r="F905" s="27" t="s">
        <v>7</v>
      </c>
      <c r="WQ905" s="27" t="s">
        <v>8</v>
      </c>
      <c r="WR905" s="27" t="s">
        <v>7</v>
      </c>
      <c r="WS905" s="27" t="s">
        <v>8</v>
      </c>
      <c r="WT905" s="27" t="s">
        <v>7</v>
      </c>
      <c r="WU905" s="27" t="s">
        <v>8</v>
      </c>
    </row>
    <row r="906" spans="1:624" x14ac:dyDescent="0.25">
      <c r="A906" s="7">
        <v>1.8052826485152542E-3</v>
      </c>
      <c r="B906"/>
      <c r="C906"/>
      <c r="D906"/>
      <c r="E906"/>
      <c r="F906" s="27" t="s">
        <v>7</v>
      </c>
      <c r="WQ906" s="27" t="s">
        <v>8</v>
      </c>
      <c r="WR906" s="27" t="s">
        <v>7</v>
      </c>
      <c r="WS906" s="27" t="s">
        <v>8</v>
      </c>
      <c r="WT906" s="27" t="s">
        <v>7</v>
      </c>
      <c r="WU906" s="27" t="s">
        <v>8</v>
      </c>
      <c r="WV906" s="27" t="s">
        <v>7</v>
      </c>
      <c r="WW906" s="27" t="s">
        <v>8</v>
      </c>
    </row>
    <row r="907" spans="1:624" x14ac:dyDescent="0.25">
      <c r="A907" s="7">
        <v>1.7698849495247592E-3</v>
      </c>
      <c r="B907"/>
      <c r="C907"/>
      <c r="D907"/>
      <c r="E907"/>
      <c r="F907" s="27" t="s">
        <v>7</v>
      </c>
      <c r="WQ907" s="27" t="s">
        <v>8</v>
      </c>
      <c r="WR907" s="27" t="s">
        <v>7</v>
      </c>
      <c r="WS907" s="27" t="s">
        <v>8</v>
      </c>
      <c r="WT907" s="27" t="s">
        <v>7</v>
      </c>
      <c r="WU907" s="27" t="s">
        <v>8</v>
      </c>
      <c r="WV907" s="27" t="s">
        <v>7</v>
      </c>
      <c r="WW907" s="27" t="s">
        <v>8</v>
      </c>
      <c r="WX907" s="27" t="s">
        <v>7</v>
      </c>
      <c r="WY907" s="27" t="s">
        <v>8</v>
      </c>
    </row>
    <row r="908" spans="1:624" x14ac:dyDescent="0.25">
      <c r="A908" s="7">
        <v>1.7351813230634893E-3</v>
      </c>
      <c r="B908"/>
      <c r="C908"/>
      <c r="D908"/>
      <c r="E908"/>
      <c r="F908" s="27" t="s">
        <v>7</v>
      </c>
      <c r="WQ908" s="27" t="s">
        <v>8</v>
      </c>
      <c r="WR908" s="27" t="s">
        <v>7</v>
      </c>
      <c r="WS908" s="27" t="s">
        <v>8</v>
      </c>
      <c r="WT908" s="27" t="s">
        <v>7</v>
      </c>
      <c r="WU908" s="27" t="s">
        <v>8</v>
      </c>
      <c r="WV908" s="27" t="s">
        <v>7</v>
      </c>
      <c r="WW908" s="27" t="s">
        <v>8</v>
      </c>
      <c r="WX908" s="27" t="s">
        <v>7</v>
      </c>
      <c r="WY908" s="27" t="s">
        <v>8</v>
      </c>
      <c r="WZ908" s="27" t="s">
        <v>7</v>
      </c>
    </row>
    <row r="909" spans="1:624" x14ac:dyDescent="0.25">
      <c r="A909" s="7">
        <v>1.701158159866166E-3</v>
      </c>
      <c r="B909"/>
      <c r="C909"/>
      <c r="D909"/>
      <c r="E909"/>
      <c r="F909" s="27" t="s">
        <v>7</v>
      </c>
      <c r="WQ909" s="27" t="s">
        <v>8</v>
      </c>
      <c r="WR909" s="27" t="s">
        <v>7</v>
      </c>
      <c r="WS909" s="27" t="s">
        <v>8</v>
      </c>
      <c r="WT909" s="27" t="s">
        <v>7</v>
      </c>
      <c r="WU909" s="27" t="s">
        <v>8</v>
      </c>
      <c r="WV909" s="27" t="s">
        <v>7</v>
      </c>
      <c r="WW909" s="27" t="s">
        <v>8</v>
      </c>
      <c r="WX909" s="27" t="s">
        <v>7</v>
      </c>
      <c r="WY909" s="27" t="s">
        <v>8</v>
      </c>
      <c r="WZ909" s="27" t="s">
        <v>7</v>
      </c>
    </row>
    <row r="910" spans="1:624" x14ac:dyDescent="0.25">
      <c r="A910" s="7">
        <v>1.6678021175158492E-3</v>
      </c>
      <c r="B910"/>
      <c r="C910"/>
      <c r="D910"/>
      <c r="E910"/>
      <c r="F910" s="27" t="s">
        <v>7</v>
      </c>
      <c r="WQ910" s="27" t="s">
        <v>8</v>
      </c>
      <c r="WR910" s="27" t="s">
        <v>7</v>
      </c>
      <c r="WS910" s="27" t="s">
        <v>8</v>
      </c>
      <c r="WT910" s="27" t="s">
        <v>7</v>
      </c>
      <c r="WU910" s="27" t="s">
        <v>8</v>
      </c>
      <c r="WV910" s="27" t="s">
        <v>7</v>
      </c>
      <c r="WW910" s="27" t="s">
        <v>8</v>
      </c>
      <c r="WX910" s="27" t="s">
        <v>7</v>
      </c>
      <c r="WY910" s="27" t="s">
        <v>8</v>
      </c>
      <c r="WZ910" s="27" t="s">
        <v>7</v>
      </c>
    </row>
    <row r="911" spans="1:624" x14ac:dyDescent="0.25">
      <c r="A911" s="7">
        <v>1.6351001152116167E-3</v>
      </c>
      <c r="B911"/>
      <c r="C911"/>
      <c r="D911"/>
      <c r="E911"/>
      <c r="F911" s="27" t="s">
        <v>7</v>
      </c>
      <c r="WQ911" s="27" t="s">
        <v>8</v>
      </c>
      <c r="WR911" s="27" t="s">
        <v>7</v>
      </c>
      <c r="WS911" s="27" t="s">
        <v>8</v>
      </c>
      <c r="WT911" s="27" t="s">
        <v>7</v>
      </c>
      <c r="WU911" s="27" t="s">
        <v>8</v>
      </c>
      <c r="WV911" s="27" t="s">
        <v>7</v>
      </c>
      <c r="WW911" s="27" t="s">
        <v>8</v>
      </c>
      <c r="WX911" s="27" t="s">
        <v>7</v>
      </c>
      <c r="WY911" s="27" t="s">
        <v>8</v>
      </c>
      <c r="WZ911" s="27" t="s">
        <v>7</v>
      </c>
    </row>
    <row r="912" spans="1:624" x14ac:dyDescent="0.25">
      <c r="A912" s="7">
        <v>1.60303932863884E-3</v>
      </c>
      <c r="B912"/>
      <c r="C912"/>
      <c r="D912"/>
      <c r="E912"/>
      <c r="F912" s="27" t="s">
        <v>7</v>
      </c>
      <c r="WQ912" s="27" t="s">
        <v>8</v>
      </c>
      <c r="WR912" s="27" t="s">
        <v>7</v>
      </c>
      <c r="WS912" s="27" t="s">
        <v>8</v>
      </c>
      <c r="WT912" s="27" t="s">
        <v>7</v>
      </c>
      <c r="WU912" s="27" t="s">
        <v>8</v>
      </c>
      <c r="WV912" s="27" t="s">
        <v>7</v>
      </c>
      <c r="WW912" s="27" t="s">
        <v>8</v>
      </c>
      <c r="WX912" s="27" t="s">
        <v>7</v>
      </c>
      <c r="WY912" s="27" t="s">
        <v>8</v>
      </c>
      <c r="WZ912" s="27" t="s">
        <v>7</v>
      </c>
    </row>
    <row r="913" spans="1:640" x14ac:dyDescent="0.25">
      <c r="A913" s="7">
        <v>1.5716071849400392E-3</v>
      </c>
      <c r="B913"/>
      <c r="C913"/>
      <c r="D913"/>
      <c r="E913"/>
      <c r="F913" s="27" t="s">
        <v>7</v>
      </c>
      <c r="WQ913" s="27" t="s">
        <v>8</v>
      </c>
      <c r="WR913" s="27" t="s">
        <v>7</v>
      </c>
      <c r="WS913" s="27" t="s">
        <v>8</v>
      </c>
      <c r="WT913" s="27" t="s">
        <v>7</v>
      </c>
      <c r="WU913" s="27" t="s">
        <v>8</v>
      </c>
      <c r="WV913" s="27" t="s">
        <v>7</v>
      </c>
      <c r="WW913" s="27" t="s">
        <v>8</v>
      </c>
      <c r="WX913" s="27" t="s">
        <v>7</v>
      </c>
      <c r="WY913" s="27" t="s">
        <v>8</v>
      </c>
      <c r="WZ913" s="27" t="s">
        <v>7</v>
      </c>
    </row>
    <row r="914" spans="1:640" x14ac:dyDescent="0.25">
      <c r="A914" s="7">
        <v>1.5407913577843522E-3</v>
      </c>
      <c r="B914"/>
      <c r="C914"/>
      <c r="D914"/>
      <c r="E914"/>
      <c r="F914" s="27" t="s">
        <v>7</v>
      </c>
      <c r="WQ914" s="27" t="s">
        <v>8</v>
      </c>
      <c r="WR914" s="27" t="s">
        <v>7</v>
      </c>
      <c r="WS914" s="27" t="s">
        <v>8</v>
      </c>
      <c r="WT914" s="27" t="s">
        <v>7</v>
      </c>
      <c r="WU914" s="27" t="s">
        <v>8</v>
      </c>
      <c r="WV914" s="27" t="s">
        <v>7</v>
      </c>
      <c r="WW914" s="27" t="s">
        <v>8</v>
      </c>
      <c r="WX914" s="27" t="s">
        <v>7</v>
      </c>
      <c r="WY914" s="27" t="s">
        <v>8</v>
      </c>
      <c r="WZ914" s="27" t="s">
        <v>7</v>
      </c>
      <c r="XA914" s="27" t="s">
        <v>8</v>
      </c>
      <c r="XG914" s="27" t="s">
        <v>8</v>
      </c>
    </row>
    <row r="915" spans="1:640" x14ac:dyDescent="0.25">
      <c r="A915" s="7">
        <v>1.5105797625336785E-3</v>
      </c>
      <c r="B915"/>
      <c r="C915"/>
      <c r="D915"/>
      <c r="E915"/>
      <c r="F915" s="27" t="s">
        <v>7</v>
      </c>
      <c r="WQ915" s="27" t="s">
        <v>8</v>
      </c>
      <c r="WR915" s="27" t="s">
        <v>7</v>
      </c>
      <c r="WS915" s="27" t="s">
        <v>8</v>
      </c>
      <c r="WT915" s="27" t="s">
        <v>7</v>
      </c>
      <c r="WU915" s="27" t="s">
        <v>8</v>
      </c>
      <c r="WV915" s="27" t="s">
        <v>7</v>
      </c>
      <c r="WW915" s="27" t="s">
        <v>8</v>
      </c>
      <c r="WX915" s="27" t="s">
        <v>7</v>
      </c>
      <c r="WY915" s="27" t="s">
        <v>8</v>
      </c>
      <c r="WZ915" s="27" t="s">
        <v>7</v>
      </c>
      <c r="XA915" s="27" t="s">
        <v>8</v>
      </c>
      <c r="XB915" s="27" t="s">
        <v>7</v>
      </c>
      <c r="XG915" s="27" t="s">
        <v>8</v>
      </c>
      <c r="XH915" s="27" t="s">
        <v>7</v>
      </c>
    </row>
    <row r="916" spans="1:640" x14ac:dyDescent="0.25">
      <c r="A916" s="7">
        <v>1.4809605515036064E-3</v>
      </c>
      <c r="B916"/>
      <c r="C916"/>
      <c r="D916"/>
      <c r="E916"/>
      <c r="F916" s="27" t="s">
        <v>7</v>
      </c>
      <c r="WQ916" s="27" t="s">
        <v>8</v>
      </c>
      <c r="WR916" s="27" t="s">
        <v>7</v>
      </c>
      <c r="WS916" s="27" t="s">
        <v>8</v>
      </c>
      <c r="WT916" s="27" t="s">
        <v>7</v>
      </c>
      <c r="WU916" s="27" t="s">
        <v>8</v>
      </c>
      <c r="WV916" s="27" t="s">
        <v>7</v>
      </c>
      <c r="WW916" s="27" t="s">
        <v>8</v>
      </c>
      <c r="WX916" s="27" t="s">
        <v>7</v>
      </c>
      <c r="WY916" s="27" t="s">
        <v>8</v>
      </c>
      <c r="WZ916" s="27" t="s">
        <v>7</v>
      </c>
      <c r="XA916" s="27" t="s">
        <v>8</v>
      </c>
      <c r="XB916" s="27" t="s">
        <v>7</v>
      </c>
      <c r="XE916" s="27" t="s">
        <v>8</v>
      </c>
      <c r="XG916" s="27" t="s">
        <v>8</v>
      </c>
      <c r="XH916" s="27" t="s">
        <v>7</v>
      </c>
      <c r="XO916" s="27" t="s">
        <v>8</v>
      </c>
    </row>
    <row r="917" spans="1:640" x14ac:dyDescent="0.25">
      <c r="A917" s="7">
        <v>1.4519221093172612E-3</v>
      </c>
      <c r="B917"/>
      <c r="C917"/>
      <c r="D917"/>
      <c r="E917"/>
      <c r="F917" s="27" t="s">
        <v>7</v>
      </c>
      <c r="WQ917" s="27" t="s">
        <v>8</v>
      </c>
      <c r="WR917" s="27" t="s">
        <v>7</v>
      </c>
      <c r="WS917" s="27" t="s">
        <v>8</v>
      </c>
      <c r="WT917" s="27" t="s">
        <v>7</v>
      </c>
      <c r="WU917" s="27" t="s">
        <v>8</v>
      </c>
      <c r="WV917" s="27" t="s">
        <v>7</v>
      </c>
      <c r="WW917" s="27" t="s">
        <v>8</v>
      </c>
      <c r="WX917" s="27" t="s">
        <v>7</v>
      </c>
      <c r="WZ917" s="27" t="s">
        <v>7</v>
      </c>
      <c r="XA917" s="27" t="s">
        <v>8</v>
      </c>
      <c r="XB917" s="27" t="s">
        <v>7</v>
      </c>
      <c r="XE917" s="27" t="s">
        <v>8</v>
      </c>
      <c r="XF917" s="27" t="s">
        <v>7</v>
      </c>
      <c r="XG917" s="27" t="s">
        <v>8</v>
      </c>
      <c r="XH917" s="27" t="s">
        <v>7</v>
      </c>
      <c r="XO917" s="27" t="s">
        <v>8</v>
      </c>
      <c r="XP917" s="27" t="s">
        <v>7</v>
      </c>
    </row>
    <row r="918" spans="1:640" x14ac:dyDescent="0.25">
      <c r="A918" s="7">
        <v>1.423453048350256E-3</v>
      </c>
      <c r="B918"/>
      <c r="C918"/>
      <c r="D918"/>
      <c r="E918"/>
      <c r="F918" s="27" t="s">
        <v>7</v>
      </c>
      <c r="WQ918" s="27" t="s">
        <v>8</v>
      </c>
      <c r="WR918" s="27" t="s">
        <v>7</v>
      </c>
      <c r="WT918" s="27" t="s">
        <v>7</v>
      </c>
      <c r="WU918" s="27" t="s">
        <v>8</v>
      </c>
      <c r="WV918" s="27" t="s">
        <v>7</v>
      </c>
      <c r="WZ918" s="27" t="s">
        <v>7</v>
      </c>
      <c r="XA918" s="27" t="s">
        <v>8</v>
      </c>
      <c r="XB918" s="27" t="s">
        <v>7</v>
      </c>
      <c r="XE918" s="27" t="s">
        <v>8</v>
      </c>
      <c r="XF918" s="27" t="s">
        <v>7</v>
      </c>
      <c r="XG918" s="27" t="s">
        <v>8</v>
      </c>
      <c r="XH918" s="27" t="s">
        <v>7</v>
      </c>
      <c r="XO918" s="27" t="s">
        <v>8</v>
      </c>
      <c r="XP918" s="27" t="s">
        <v>7</v>
      </c>
    </row>
    <row r="919" spans="1:640" x14ac:dyDescent="0.25">
      <c r="A919" s="7">
        <v>1.3955422042649568E-3</v>
      </c>
      <c r="B919"/>
      <c r="C919"/>
      <c r="D919"/>
      <c r="E919"/>
      <c r="F919" s="27" t="s">
        <v>7</v>
      </c>
      <c r="WQ919" s="27" t="s">
        <v>8</v>
      </c>
      <c r="WT919" s="27" t="s">
        <v>7</v>
      </c>
      <c r="WU919" s="27" t="s">
        <v>8</v>
      </c>
      <c r="WZ919" s="27" t="s">
        <v>7</v>
      </c>
      <c r="XA919" s="27" t="s">
        <v>8</v>
      </c>
      <c r="XB919" s="27" t="s">
        <v>7</v>
      </c>
      <c r="XE919" s="27" t="s">
        <v>8</v>
      </c>
      <c r="XF919" s="27" t="s">
        <v>7</v>
      </c>
      <c r="XG919" s="27" t="s">
        <v>8</v>
      </c>
      <c r="XH919" s="27" t="s">
        <v>7</v>
      </c>
      <c r="XI919" s="27" t="s">
        <v>8</v>
      </c>
      <c r="XK919" s="27" t="s">
        <v>8</v>
      </c>
      <c r="XO919" s="27" t="s">
        <v>8</v>
      </c>
      <c r="XP919" s="27" t="s">
        <v>7</v>
      </c>
    </row>
    <row r="920" spans="1:640" x14ac:dyDescent="0.25">
      <c r="A920" s="7">
        <v>1.3681786316323105E-3</v>
      </c>
      <c r="B920"/>
      <c r="C920"/>
      <c r="D920"/>
      <c r="E920"/>
      <c r="F920" s="27" t="s">
        <v>7</v>
      </c>
      <c r="WQ920" s="27" t="s">
        <v>8</v>
      </c>
      <c r="WT920" s="27" t="s">
        <v>7</v>
      </c>
      <c r="WU920" s="27" t="s">
        <v>8</v>
      </c>
      <c r="WZ920" s="27" t="s">
        <v>7</v>
      </c>
      <c r="XA920" s="27" t="s">
        <v>8</v>
      </c>
      <c r="XB920" s="27" t="s">
        <v>7</v>
      </c>
      <c r="XE920" s="27" t="s">
        <v>8</v>
      </c>
      <c r="XF920" s="27" t="s">
        <v>7</v>
      </c>
      <c r="XG920" s="27" t="s">
        <v>8</v>
      </c>
      <c r="XH920" s="27" t="s">
        <v>7</v>
      </c>
      <c r="XI920" s="27" t="s">
        <v>8</v>
      </c>
      <c r="XJ920" s="27" t="s">
        <v>7</v>
      </c>
      <c r="XK920" s="27" t="s">
        <v>8</v>
      </c>
      <c r="XL920" s="27" t="s">
        <v>7</v>
      </c>
      <c r="XM920" s="27" t="s">
        <v>8</v>
      </c>
      <c r="XO920" s="27" t="s">
        <v>8</v>
      </c>
      <c r="XP920" s="27" t="s">
        <v>7</v>
      </c>
    </row>
    <row r="921" spans="1:640" x14ac:dyDescent="0.25">
      <c r="A921" s="7">
        <v>1.3413515996395203E-3</v>
      </c>
      <c r="B921"/>
      <c r="C921"/>
      <c r="D921"/>
      <c r="E921"/>
      <c r="F921" s="27" t="s">
        <v>7</v>
      </c>
      <c r="WQ921" s="27" t="s">
        <v>8</v>
      </c>
      <c r="WT921" s="27" t="s">
        <v>7</v>
      </c>
      <c r="WU921" s="27" t="s">
        <v>8</v>
      </c>
      <c r="WZ921" s="27" t="s">
        <v>7</v>
      </c>
      <c r="XA921" s="27" t="s">
        <v>8</v>
      </c>
      <c r="XB921" s="27" t="s">
        <v>7</v>
      </c>
      <c r="XC921" s="27" t="s">
        <v>8</v>
      </c>
      <c r="XE921" s="27" t="s">
        <v>8</v>
      </c>
      <c r="XF921" s="27" t="s">
        <v>7</v>
      </c>
      <c r="XG921" s="27" t="s">
        <v>8</v>
      </c>
      <c r="XH921" s="27" t="s">
        <v>7</v>
      </c>
      <c r="XI921" s="27" t="s">
        <v>8</v>
      </c>
      <c r="XJ921" s="27" t="s">
        <v>7</v>
      </c>
      <c r="XK921" s="27" t="s">
        <v>8</v>
      </c>
      <c r="XL921" s="27" t="s">
        <v>7</v>
      </c>
      <c r="XM921" s="27" t="s">
        <v>8</v>
      </c>
      <c r="XN921" s="27" t="s">
        <v>7</v>
      </c>
      <c r="XO921" s="27" t="s">
        <v>8</v>
      </c>
      <c r="XP921" s="27" t="s">
        <v>7</v>
      </c>
    </row>
    <row r="922" spans="1:640" x14ac:dyDescent="0.25">
      <c r="A922" s="7">
        <v>1.3150505878818826E-3</v>
      </c>
      <c r="B922"/>
      <c r="C922"/>
      <c r="D922"/>
      <c r="E922"/>
      <c r="F922" s="27" t="s">
        <v>7</v>
      </c>
      <c r="WQ922" s="27" t="s">
        <v>8</v>
      </c>
      <c r="WT922" s="27" t="s">
        <v>7</v>
      </c>
      <c r="WZ922" s="27" t="s">
        <v>7</v>
      </c>
      <c r="XB922" s="27" t="s">
        <v>7</v>
      </c>
      <c r="XC922" s="27" t="s">
        <v>8</v>
      </c>
      <c r="XD922" s="27" t="s">
        <v>7</v>
      </c>
      <c r="XE922" s="27" t="s">
        <v>8</v>
      </c>
      <c r="XF922" s="27" t="s">
        <v>7</v>
      </c>
      <c r="XG922" s="27" t="s">
        <v>8</v>
      </c>
      <c r="XH922" s="27" t="s">
        <v>7</v>
      </c>
      <c r="XI922" s="27" t="s">
        <v>8</v>
      </c>
      <c r="XJ922" s="27" t="s">
        <v>7</v>
      </c>
      <c r="XK922" s="27" t="s">
        <v>8</v>
      </c>
      <c r="XL922" s="27" t="s">
        <v>7</v>
      </c>
      <c r="XM922" s="27" t="s">
        <v>8</v>
      </c>
      <c r="XN922" s="27" t="s">
        <v>7</v>
      </c>
      <c r="XO922" s="27" t="s">
        <v>8</v>
      </c>
      <c r="XP922" s="27" t="s">
        <v>7</v>
      </c>
    </row>
    <row r="923" spans="1:640" x14ac:dyDescent="0.25">
      <c r="A923" s="7">
        <v>1.2892652822371396E-3</v>
      </c>
      <c r="B923"/>
      <c r="C923"/>
      <c r="D923"/>
      <c r="E923"/>
      <c r="F923" s="27" t="s">
        <v>7</v>
      </c>
      <c r="WQ923" s="27" t="s">
        <v>8</v>
      </c>
      <c r="XB923" s="27" t="s">
        <v>7</v>
      </c>
      <c r="XC923" s="27" t="s">
        <v>8</v>
      </c>
      <c r="XD923" s="27" t="s">
        <v>7</v>
      </c>
      <c r="XE923" s="27" t="s">
        <v>8</v>
      </c>
      <c r="XF923" s="27" t="s">
        <v>7</v>
      </c>
      <c r="XG923" s="27" t="s">
        <v>8</v>
      </c>
      <c r="XH923" s="27" t="s">
        <v>7</v>
      </c>
      <c r="XI923" s="27" t="s">
        <v>8</v>
      </c>
      <c r="XJ923" s="27" t="s">
        <v>7</v>
      </c>
      <c r="XL923" s="27" t="s">
        <v>7</v>
      </c>
      <c r="XM923" s="27" t="s">
        <v>8</v>
      </c>
      <c r="XN923" s="27" t="s">
        <v>7</v>
      </c>
      <c r="XO923" s="27" t="s">
        <v>8</v>
      </c>
      <c r="XP923" s="27" t="s">
        <v>7</v>
      </c>
    </row>
    <row r="924" spans="1:640" x14ac:dyDescent="0.25">
      <c r="A924" s="7">
        <v>1.2639855708207251E-3</v>
      </c>
      <c r="B924"/>
      <c r="C924"/>
      <c r="D924"/>
      <c r="E924"/>
      <c r="F924" s="27" t="s">
        <v>7</v>
      </c>
      <c r="WQ924" s="27" t="s">
        <v>8</v>
      </c>
      <c r="XB924" s="27" t="s">
        <v>7</v>
      </c>
      <c r="XC924" s="27" t="s">
        <v>8</v>
      </c>
      <c r="XD924" s="27" t="s">
        <v>7</v>
      </c>
      <c r="XE924" s="27" t="s">
        <v>8</v>
      </c>
      <c r="XF924" s="27" t="s">
        <v>7</v>
      </c>
      <c r="XG924" s="27" t="s">
        <v>8</v>
      </c>
      <c r="XH924" s="27" t="s">
        <v>7</v>
      </c>
      <c r="XI924" s="27" t="s">
        <v>8</v>
      </c>
      <c r="XL924" s="27" t="s">
        <v>7</v>
      </c>
      <c r="XN924" s="27" t="s">
        <v>7</v>
      </c>
      <c r="XO924" s="27" t="s">
        <v>8</v>
      </c>
      <c r="XP924" s="27" t="s">
        <v>7</v>
      </c>
    </row>
    <row r="925" spans="1:640" x14ac:dyDescent="0.25">
      <c r="A925" s="7">
        <v>1.2392015400203187E-3</v>
      </c>
      <c r="B925"/>
      <c r="C925"/>
      <c r="D925"/>
      <c r="E925"/>
      <c r="F925" s="27" t="s">
        <v>7</v>
      </c>
      <c r="WQ925" s="27" t="s">
        <v>8</v>
      </c>
      <c r="XB925" s="27" t="s">
        <v>7</v>
      </c>
      <c r="XC925" s="27" t="s">
        <v>8</v>
      </c>
      <c r="XD925" s="27" t="s">
        <v>7</v>
      </c>
      <c r="XE925" s="27" t="s">
        <v>8</v>
      </c>
      <c r="XF925" s="27" t="s">
        <v>7</v>
      </c>
      <c r="XG925" s="27" t="s">
        <v>8</v>
      </c>
      <c r="XH925" s="27" t="s">
        <v>7</v>
      </c>
      <c r="XI925" s="27" t="s">
        <v>8</v>
      </c>
      <c r="XN925" s="27" t="s">
        <v>7</v>
      </c>
      <c r="XO925" s="27" t="s">
        <v>8</v>
      </c>
      <c r="XP925" s="27" t="s">
        <v>7</v>
      </c>
    </row>
    <row r="926" spans="1:640" x14ac:dyDescent="0.25">
      <c r="A926" s="7">
        <v>1.2149034706081556E-3</v>
      </c>
      <c r="B926"/>
      <c r="C926"/>
      <c r="D926"/>
      <c r="E926"/>
      <c r="F926" s="27" t="s">
        <v>7</v>
      </c>
      <c r="WQ926" s="27" t="s">
        <v>8</v>
      </c>
      <c r="XB926" s="27" t="s">
        <v>7</v>
      </c>
      <c r="XC926" s="27" t="s">
        <v>8</v>
      </c>
      <c r="XD926" s="27" t="s">
        <v>7</v>
      </c>
      <c r="XE926" s="27" t="s">
        <v>8</v>
      </c>
      <c r="XF926" s="27" t="s">
        <v>7</v>
      </c>
      <c r="XG926" s="27" t="s">
        <v>8</v>
      </c>
      <c r="XH926" s="27" t="s">
        <v>7</v>
      </c>
      <c r="XN926" s="27" t="s">
        <v>7</v>
      </c>
      <c r="XO926" s="27" t="s">
        <v>8</v>
      </c>
      <c r="XP926" s="27" t="s">
        <v>7</v>
      </c>
    </row>
    <row r="927" spans="1:640" x14ac:dyDescent="0.25">
      <c r="A927" s="7">
        <v>1.1910818339295644E-3</v>
      </c>
      <c r="B927"/>
      <c r="C927"/>
      <c r="D927"/>
      <c r="E927"/>
      <c r="F927" s="27" t="s">
        <v>7</v>
      </c>
      <c r="WQ927" s="27" t="s">
        <v>8</v>
      </c>
      <c r="XB927" s="27" t="s">
        <v>7</v>
      </c>
      <c r="XC927" s="27" t="s">
        <v>8</v>
      </c>
      <c r="XD927" s="27" t="s">
        <v>7</v>
      </c>
      <c r="XE927" s="27" t="s">
        <v>8</v>
      </c>
      <c r="XF927" s="27" t="s">
        <v>7</v>
      </c>
      <c r="XG927" s="27" t="s">
        <v>8</v>
      </c>
      <c r="XN927" s="27" t="s">
        <v>7</v>
      </c>
      <c r="XO927" s="27" t="s">
        <v>8</v>
      </c>
      <c r="XP927" s="27" t="s">
        <v>7</v>
      </c>
    </row>
    <row r="928" spans="1:640" x14ac:dyDescent="0.25">
      <c r="A928" s="7">
        <v>1.1677272881662395E-3</v>
      </c>
      <c r="B928"/>
      <c r="C928"/>
      <c r="D928"/>
      <c r="E928"/>
      <c r="F928" s="27" t="s">
        <v>7</v>
      </c>
      <c r="WQ928" s="27" t="s">
        <v>8</v>
      </c>
      <c r="XB928" s="27" t="s">
        <v>7</v>
      </c>
      <c r="XC928" s="27" t="s">
        <v>8</v>
      </c>
      <c r="XD928" s="27" t="s">
        <v>7</v>
      </c>
      <c r="XE928" s="27" t="s">
        <v>8</v>
      </c>
      <c r="XF928" s="27" t="s">
        <v>7</v>
      </c>
      <c r="XG928" s="27" t="s">
        <v>8</v>
      </c>
      <c r="XN928" s="27" t="s">
        <v>7</v>
      </c>
      <c r="XO928" s="27" t="s">
        <v>8</v>
      </c>
      <c r="XP928" s="27" t="s">
        <v>7</v>
      </c>
    </row>
    <row r="929" spans="1:900" x14ac:dyDescent="0.25">
      <c r="A929" s="7">
        <v>1.1448306746727837E-3</v>
      </c>
      <c r="B929"/>
      <c r="C929"/>
      <c r="D929"/>
      <c r="E929"/>
      <c r="F929" s="27" t="s">
        <v>7</v>
      </c>
      <c r="WQ929" s="27" t="s">
        <v>8</v>
      </c>
      <c r="XB929" s="27" t="s">
        <v>7</v>
      </c>
      <c r="XC929" s="27" t="s">
        <v>8</v>
      </c>
      <c r="XD929" s="27" t="s">
        <v>7</v>
      </c>
      <c r="XE929" s="27" t="s">
        <v>8</v>
      </c>
      <c r="XF929" s="27" t="s">
        <v>7</v>
      </c>
      <c r="XG929" s="27" t="s">
        <v>8</v>
      </c>
      <c r="XN929" s="27" t="s">
        <v>7</v>
      </c>
      <c r="XO929" s="27" t="s">
        <v>8</v>
      </c>
      <c r="XP929" s="27" t="s">
        <v>7</v>
      </c>
    </row>
    <row r="930" spans="1:900" x14ac:dyDescent="0.25">
      <c r="A930" s="7">
        <v>1.1223830143850821E-3</v>
      </c>
      <c r="B930"/>
      <c r="C930"/>
      <c r="D930"/>
      <c r="E930"/>
      <c r="F930" s="27" t="s">
        <v>7</v>
      </c>
      <c r="WQ930" s="27" t="s">
        <v>8</v>
      </c>
      <c r="XB930" s="27" t="s">
        <v>7</v>
      </c>
      <c r="XC930" s="27" t="s">
        <v>8</v>
      </c>
      <c r="XD930" s="27" t="s">
        <v>7</v>
      </c>
      <c r="XE930" s="27" t="s">
        <v>8</v>
      </c>
      <c r="XF930" s="27" t="s">
        <v>7</v>
      </c>
      <c r="XG930" s="27" t="s">
        <v>8</v>
      </c>
      <c r="XN930" s="27" t="s">
        <v>7</v>
      </c>
      <c r="XP930" s="27" t="s">
        <v>7</v>
      </c>
      <c r="XQ930" s="27" t="s">
        <v>8</v>
      </c>
    </row>
    <row r="931" spans="1:900" x14ac:dyDescent="0.25">
      <c r="A931" s="7">
        <v>1.1003755042991001E-3</v>
      </c>
      <c r="B931"/>
      <c r="C931"/>
      <c r="D931"/>
      <c r="E931"/>
      <c r="F931" s="27" t="s">
        <v>7</v>
      </c>
      <c r="WQ931" s="27" t="s">
        <v>8</v>
      </c>
      <c r="XB931" s="27" t="s">
        <v>7</v>
      </c>
      <c r="XC931" s="27" t="s">
        <v>8</v>
      </c>
      <c r="XD931" s="27" t="s">
        <v>7</v>
      </c>
      <c r="XE931" s="27" t="s">
        <v>8</v>
      </c>
      <c r="XF931" s="27" t="s">
        <v>7</v>
      </c>
      <c r="XG931" s="27" t="s">
        <v>8</v>
      </c>
      <c r="XP931" s="27" t="s">
        <v>7</v>
      </c>
      <c r="XQ931" s="27" t="s">
        <v>8</v>
      </c>
      <c r="XR931" s="27" t="s">
        <v>7</v>
      </c>
    </row>
    <row r="932" spans="1:900" x14ac:dyDescent="0.25">
      <c r="A932" s="7">
        <v>1.0787995140187257E-3</v>
      </c>
      <c r="B932"/>
      <c r="C932"/>
      <c r="D932"/>
      <c r="E932"/>
      <c r="F932" s="27" t="s">
        <v>7</v>
      </c>
      <c r="WQ932" s="27" t="s">
        <v>8</v>
      </c>
      <c r="XB932" s="27" t="s">
        <v>7</v>
      </c>
      <c r="XC932" s="27" t="s">
        <v>8</v>
      </c>
      <c r="XD932" s="27" t="s">
        <v>7</v>
      </c>
      <c r="XE932" s="27" t="s">
        <v>8</v>
      </c>
      <c r="XF932" s="27" t="s">
        <v>7</v>
      </c>
      <c r="XG932" s="27" t="s">
        <v>8</v>
      </c>
      <c r="XP932" s="27" t="s">
        <v>7</v>
      </c>
      <c r="XQ932" s="27" t="s">
        <v>8</v>
      </c>
      <c r="XR932" s="27" t="s">
        <v>7</v>
      </c>
      <c r="XU932" s="27" t="s">
        <v>8</v>
      </c>
      <c r="AEU932" s="27" t="s">
        <v>8</v>
      </c>
    </row>
    <row r="933" spans="1:900" x14ac:dyDescent="0.25">
      <c r="A933" s="7">
        <v>1.0576465823712996E-3</v>
      </c>
      <c r="B933"/>
      <c r="C933"/>
      <c r="D933"/>
      <c r="E933"/>
      <c r="F933" s="27" t="s">
        <v>7</v>
      </c>
      <c r="WQ933" s="27" t="s">
        <v>8</v>
      </c>
      <c r="XB933" s="27" t="s">
        <v>7</v>
      </c>
      <c r="XD933" s="27" t="s">
        <v>7</v>
      </c>
      <c r="XE933" s="27" t="s">
        <v>8</v>
      </c>
      <c r="XF933" s="27" t="s">
        <v>7</v>
      </c>
      <c r="XG933" s="27" t="s">
        <v>8</v>
      </c>
      <c r="XP933" s="27" t="s">
        <v>7</v>
      </c>
      <c r="XQ933" s="27" t="s">
        <v>8</v>
      </c>
      <c r="XR933" s="27" t="s">
        <v>7</v>
      </c>
      <c r="XU933" s="27" t="s">
        <v>8</v>
      </c>
      <c r="XV933" s="27" t="s">
        <v>7</v>
      </c>
      <c r="AEU933" s="27" t="s">
        <v>8</v>
      </c>
      <c r="AEV933" s="27" t="s">
        <v>7</v>
      </c>
    </row>
    <row r="934" spans="1:900" x14ac:dyDescent="0.25">
      <c r="A934" s="7">
        <v>1.0369084140895094E-3</v>
      </c>
      <c r="B934"/>
      <c r="C934"/>
      <c r="D934"/>
      <c r="E934"/>
      <c r="F934" s="27" t="s">
        <v>7</v>
      </c>
      <c r="WQ934" s="27" t="s">
        <v>8</v>
      </c>
      <c r="XD934" s="27" t="s">
        <v>7</v>
      </c>
      <c r="XE934" s="27" t="s">
        <v>8</v>
      </c>
      <c r="XF934" s="27" t="s">
        <v>7</v>
      </c>
      <c r="XG934" s="27" t="s">
        <v>8</v>
      </c>
      <c r="XP934" s="27" t="s">
        <v>7</v>
      </c>
      <c r="XQ934" s="27" t="s">
        <v>8</v>
      </c>
      <c r="XR934" s="27" t="s">
        <v>7</v>
      </c>
      <c r="XU934" s="27" t="s">
        <v>8</v>
      </c>
      <c r="XV934" s="27" t="s">
        <v>7</v>
      </c>
      <c r="AEU934" s="27" t="s">
        <v>8</v>
      </c>
      <c r="AEV934" s="27" t="s">
        <v>7</v>
      </c>
    </row>
    <row r="935" spans="1:900" x14ac:dyDescent="0.25">
      <c r="A935" s="7">
        <v>1.0165768765583426E-3</v>
      </c>
      <c r="B935"/>
      <c r="C935"/>
      <c r="D935"/>
      <c r="E935"/>
      <c r="F935" s="27" t="s">
        <v>7</v>
      </c>
      <c r="WQ935" s="27" t="s">
        <v>8</v>
      </c>
      <c r="XD935" s="27" t="s">
        <v>7</v>
      </c>
      <c r="XE935" s="27" t="s">
        <v>8</v>
      </c>
      <c r="XF935" s="27" t="s">
        <v>7</v>
      </c>
      <c r="XG935" s="27" t="s">
        <v>8</v>
      </c>
      <c r="XP935" s="27" t="s">
        <v>7</v>
      </c>
      <c r="XQ935" s="27" t="s">
        <v>8</v>
      </c>
      <c r="XR935" s="27" t="s">
        <v>7</v>
      </c>
      <c r="XU935" s="27" t="s">
        <v>8</v>
      </c>
      <c r="XV935" s="27" t="s">
        <v>7</v>
      </c>
      <c r="AEU935" s="27" t="s">
        <v>8</v>
      </c>
      <c r="AEV935" s="27" t="s">
        <v>7</v>
      </c>
    </row>
    <row r="936" spans="1:900" x14ac:dyDescent="0.25">
      <c r="A936" s="7">
        <v>9.966439966258261E-4</v>
      </c>
      <c r="B936"/>
      <c r="C936"/>
      <c r="D936"/>
      <c r="E936"/>
      <c r="F936" s="27" t="s">
        <v>7</v>
      </c>
      <c r="G936" s="27" t="s">
        <v>8</v>
      </c>
      <c r="I936" s="27" t="s">
        <v>8</v>
      </c>
      <c r="K936" s="27" t="s">
        <v>8</v>
      </c>
      <c r="M936" s="27" t="s">
        <v>8</v>
      </c>
      <c r="O936" s="27" t="s">
        <v>8</v>
      </c>
      <c r="Q936" s="27" t="s">
        <v>8</v>
      </c>
      <c r="S936" s="27" t="s">
        <v>8</v>
      </c>
      <c r="U936" s="27" t="s">
        <v>8</v>
      </c>
      <c r="W936" s="27" t="s">
        <v>8</v>
      </c>
      <c r="Y936" s="27" t="s">
        <v>8</v>
      </c>
      <c r="AA936" s="27" t="s">
        <v>8</v>
      </c>
      <c r="AC936" s="27" t="s">
        <v>8</v>
      </c>
      <c r="AE936" s="27" t="s">
        <v>8</v>
      </c>
      <c r="AG936" s="27" t="s">
        <v>8</v>
      </c>
      <c r="AI936" s="27" t="s">
        <v>8</v>
      </c>
      <c r="AK936" s="27" t="s">
        <v>8</v>
      </c>
      <c r="AM936" s="27" t="s">
        <v>8</v>
      </c>
      <c r="AO936" s="27" t="s">
        <v>8</v>
      </c>
      <c r="AQ936" s="27" t="s">
        <v>8</v>
      </c>
      <c r="AS936" s="27" t="s">
        <v>8</v>
      </c>
      <c r="AU936" s="27" t="s">
        <v>8</v>
      </c>
      <c r="AW936" s="27" t="s">
        <v>8</v>
      </c>
      <c r="AY936" s="27" t="s">
        <v>8</v>
      </c>
      <c r="BA936" s="27" t="s">
        <v>8</v>
      </c>
      <c r="BC936" s="27" t="s">
        <v>8</v>
      </c>
      <c r="BE936" s="27" t="s">
        <v>8</v>
      </c>
      <c r="BG936" s="27" t="s">
        <v>8</v>
      </c>
      <c r="BI936" s="27" t="s">
        <v>8</v>
      </c>
      <c r="BK936" s="27" t="s">
        <v>8</v>
      </c>
      <c r="BM936" s="27" t="s">
        <v>8</v>
      </c>
      <c r="BO936" s="27" t="s">
        <v>8</v>
      </c>
      <c r="BQ936" s="27" t="s">
        <v>8</v>
      </c>
      <c r="BS936" s="27" t="s">
        <v>8</v>
      </c>
      <c r="BU936" s="27" t="s">
        <v>8</v>
      </c>
      <c r="BW936" s="27" t="s">
        <v>8</v>
      </c>
      <c r="BY936" s="27" t="s">
        <v>8</v>
      </c>
      <c r="CA936" s="27" t="s">
        <v>8</v>
      </c>
      <c r="CC936" s="27" t="s">
        <v>8</v>
      </c>
      <c r="CE936" s="27" t="s">
        <v>8</v>
      </c>
      <c r="CG936" s="27" t="s">
        <v>8</v>
      </c>
      <c r="CI936" s="27" t="s">
        <v>8</v>
      </c>
      <c r="CK936" s="27" t="s">
        <v>8</v>
      </c>
      <c r="CM936" s="27" t="s">
        <v>8</v>
      </c>
      <c r="CO936" s="27" t="s">
        <v>8</v>
      </c>
      <c r="CQ936" s="27" t="s">
        <v>8</v>
      </c>
      <c r="CS936" s="27" t="s">
        <v>8</v>
      </c>
      <c r="CU936" s="27" t="s">
        <v>8</v>
      </c>
      <c r="CW936" s="27" t="s">
        <v>8</v>
      </c>
      <c r="CY936" s="27" t="s">
        <v>8</v>
      </c>
      <c r="DA936" s="27" t="s">
        <v>8</v>
      </c>
      <c r="DC936" s="27" t="s">
        <v>8</v>
      </c>
      <c r="DE936" s="27" t="s">
        <v>8</v>
      </c>
      <c r="DG936" s="27" t="s">
        <v>8</v>
      </c>
      <c r="DI936" s="27" t="s">
        <v>8</v>
      </c>
      <c r="DK936" s="27" t="s">
        <v>8</v>
      </c>
      <c r="DM936" s="27" t="s">
        <v>8</v>
      </c>
      <c r="DO936" s="27" t="s">
        <v>8</v>
      </c>
      <c r="DQ936" s="27" t="s">
        <v>8</v>
      </c>
      <c r="DS936" s="27" t="s">
        <v>8</v>
      </c>
      <c r="DU936" s="27" t="s">
        <v>8</v>
      </c>
      <c r="DW936" s="27" t="s">
        <v>8</v>
      </c>
      <c r="DY936" s="27" t="s">
        <v>8</v>
      </c>
      <c r="EA936" s="27" t="s">
        <v>8</v>
      </c>
      <c r="EC936" s="27" t="s">
        <v>8</v>
      </c>
      <c r="EE936" s="27" t="s">
        <v>8</v>
      </c>
      <c r="EG936" s="27" t="s">
        <v>8</v>
      </c>
      <c r="EI936" s="27" t="s">
        <v>8</v>
      </c>
      <c r="EK936" s="27" t="s">
        <v>8</v>
      </c>
      <c r="EM936" s="27" t="s">
        <v>8</v>
      </c>
      <c r="EO936" s="27" t="s">
        <v>8</v>
      </c>
      <c r="EQ936" s="27" t="s">
        <v>8</v>
      </c>
      <c r="ES936" s="27" t="s">
        <v>8</v>
      </c>
      <c r="EU936" s="27" t="s">
        <v>8</v>
      </c>
      <c r="EW936" s="27" t="s">
        <v>8</v>
      </c>
      <c r="EY936" s="27" t="s">
        <v>8</v>
      </c>
      <c r="FA936" s="27" t="s">
        <v>8</v>
      </c>
      <c r="FC936" s="27" t="s">
        <v>8</v>
      </c>
      <c r="FE936" s="27" t="s">
        <v>8</v>
      </c>
      <c r="FG936" s="27" t="s">
        <v>8</v>
      </c>
      <c r="FI936" s="27" t="s">
        <v>8</v>
      </c>
      <c r="FK936" s="27" t="s">
        <v>8</v>
      </c>
      <c r="FM936" s="27" t="s">
        <v>8</v>
      </c>
      <c r="FO936" s="27" t="s">
        <v>8</v>
      </c>
      <c r="FQ936" s="27" t="s">
        <v>8</v>
      </c>
      <c r="FS936" s="27" t="s">
        <v>8</v>
      </c>
      <c r="FU936" s="27" t="s">
        <v>8</v>
      </c>
      <c r="FW936" s="27" t="s">
        <v>8</v>
      </c>
      <c r="FY936" s="27" t="s">
        <v>8</v>
      </c>
      <c r="GA936" s="27" t="s">
        <v>8</v>
      </c>
      <c r="GC936" s="27" t="s">
        <v>8</v>
      </c>
      <c r="GE936" s="27" t="s">
        <v>8</v>
      </c>
      <c r="GG936" s="27" t="s">
        <v>8</v>
      </c>
      <c r="GI936" s="27" t="s">
        <v>8</v>
      </c>
      <c r="GK936" s="27" t="s">
        <v>8</v>
      </c>
      <c r="GM936" s="27" t="s">
        <v>8</v>
      </c>
      <c r="GO936" s="27" t="s">
        <v>8</v>
      </c>
      <c r="GQ936" s="27" t="s">
        <v>8</v>
      </c>
      <c r="GS936" s="27" t="s">
        <v>8</v>
      </c>
      <c r="GU936" s="27" t="s">
        <v>8</v>
      </c>
      <c r="GW936" s="27" t="s">
        <v>8</v>
      </c>
      <c r="GY936" s="27" t="s">
        <v>8</v>
      </c>
      <c r="HA936" s="27" t="s">
        <v>8</v>
      </c>
      <c r="HC936" s="27" t="s">
        <v>8</v>
      </c>
      <c r="HE936" s="27" t="s">
        <v>8</v>
      </c>
      <c r="HG936" s="27" t="s">
        <v>8</v>
      </c>
      <c r="HI936" s="27" t="s">
        <v>8</v>
      </c>
      <c r="HK936" s="27" t="s">
        <v>8</v>
      </c>
      <c r="HM936" s="27" t="s">
        <v>8</v>
      </c>
      <c r="HO936" s="27" t="s">
        <v>8</v>
      </c>
      <c r="HQ936" s="27" t="s">
        <v>8</v>
      </c>
      <c r="HS936" s="27" t="s">
        <v>8</v>
      </c>
      <c r="HU936" s="27" t="s">
        <v>8</v>
      </c>
      <c r="HW936" s="27" t="s">
        <v>8</v>
      </c>
      <c r="HY936" s="27" t="s">
        <v>8</v>
      </c>
      <c r="IA936" s="27" t="s">
        <v>8</v>
      </c>
      <c r="IC936" s="27" t="s">
        <v>8</v>
      </c>
      <c r="IE936" s="27" t="s">
        <v>8</v>
      </c>
      <c r="IG936" s="27" t="s">
        <v>8</v>
      </c>
      <c r="II936" s="27" t="s">
        <v>8</v>
      </c>
      <c r="IK936" s="27" t="s">
        <v>8</v>
      </c>
      <c r="IM936" s="27" t="s">
        <v>8</v>
      </c>
      <c r="IO936" s="27" t="s">
        <v>8</v>
      </c>
      <c r="IQ936" s="27" t="s">
        <v>8</v>
      </c>
      <c r="IS936" s="27" t="s">
        <v>8</v>
      </c>
      <c r="IU936" s="27" t="s">
        <v>8</v>
      </c>
      <c r="IW936" s="27" t="s">
        <v>8</v>
      </c>
      <c r="IY936" s="27" t="s">
        <v>8</v>
      </c>
      <c r="JA936" s="27" t="s">
        <v>8</v>
      </c>
      <c r="JC936" s="27" t="s">
        <v>8</v>
      </c>
      <c r="JE936" s="27" t="s">
        <v>8</v>
      </c>
      <c r="JG936" s="27" t="s">
        <v>8</v>
      </c>
      <c r="JI936" s="27" t="s">
        <v>8</v>
      </c>
      <c r="JK936" s="27" t="s">
        <v>8</v>
      </c>
      <c r="JM936" s="27" t="s">
        <v>8</v>
      </c>
      <c r="JO936" s="27" t="s">
        <v>8</v>
      </c>
      <c r="JQ936" s="27" t="s">
        <v>8</v>
      </c>
      <c r="JS936" s="27" t="s">
        <v>8</v>
      </c>
      <c r="JU936" s="27" t="s">
        <v>8</v>
      </c>
      <c r="JW936" s="27" t="s">
        <v>8</v>
      </c>
      <c r="JY936" s="27" t="s">
        <v>8</v>
      </c>
      <c r="KA936" s="27" t="s">
        <v>8</v>
      </c>
      <c r="KC936" s="27" t="s">
        <v>8</v>
      </c>
      <c r="KE936" s="27" t="s">
        <v>8</v>
      </c>
      <c r="KG936" s="27" t="s">
        <v>8</v>
      </c>
      <c r="KI936" s="27" t="s">
        <v>8</v>
      </c>
      <c r="KK936" s="27" t="s">
        <v>8</v>
      </c>
      <c r="KM936" s="27" t="s">
        <v>8</v>
      </c>
      <c r="KO936" s="27" t="s">
        <v>8</v>
      </c>
      <c r="KQ936" s="27" t="s">
        <v>8</v>
      </c>
      <c r="KS936" s="27" t="s">
        <v>8</v>
      </c>
      <c r="KU936" s="27" t="s">
        <v>8</v>
      </c>
      <c r="KW936" s="27" t="s">
        <v>8</v>
      </c>
      <c r="KY936" s="27" t="s">
        <v>8</v>
      </c>
      <c r="LA936" s="27" t="s">
        <v>8</v>
      </c>
      <c r="LC936" s="27" t="s">
        <v>8</v>
      </c>
      <c r="LE936" s="27" t="s">
        <v>8</v>
      </c>
      <c r="LG936" s="27" t="s">
        <v>8</v>
      </c>
      <c r="LI936" s="27" t="s">
        <v>8</v>
      </c>
      <c r="LK936" s="27" t="s">
        <v>8</v>
      </c>
      <c r="LM936" s="27" t="s">
        <v>8</v>
      </c>
      <c r="LO936" s="27" t="s">
        <v>8</v>
      </c>
      <c r="LQ936" s="27" t="s">
        <v>8</v>
      </c>
      <c r="LS936" s="27" t="s">
        <v>8</v>
      </c>
      <c r="LU936" s="27" t="s">
        <v>8</v>
      </c>
      <c r="LW936" s="27" t="s">
        <v>8</v>
      </c>
      <c r="LY936" s="27" t="s">
        <v>8</v>
      </c>
      <c r="MA936" s="27" t="s">
        <v>8</v>
      </c>
      <c r="MC936" s="27" t="s">
        <v>8</v>
      </c>
      <c r="ME936" s="27" t="s">
        <v>8</v>
      </c>
      <c r="MG936" s="27" t="s">
        <v>8</v>
      </c>
      <c r="MI936" s="27" t="s">
        <v>8</v>
      </c>
      <c r="MK936" s="27" t="s">
        <v>8</v>
      </c>
      <c r="MM936" s="27" t="s">
        <v>8</v>
      </c>
      <c r="MO936" s="27" t="s">
        <v>8</v>
      </c>
      <c r="MQ936" s="27" t="s">
        <v>8</v>
      </c>
      <c r="MS936" s="27" t="s">
        <v>8</v>
      </c>
      <c r="MU936" s="27" t="s">
        <v>8</v>
      </c>
      <c r="MW936" s="27" t="s">
        <v>8</v>
      </c>
      <c r="MY936" s="27" t="s">
        <v>8</v>
      </c>
      <c r="NA936" s="27" t="s">
        <v>8</v>
      </c>
      <c r="NC936" s="27" t="s">
        <v>8</v>
      </c>
      <c r="NE936" s="27" t="s">
        <v>8</v>
      </c>
      <c r="NG936" s="27" t="s">
        <v>8</v>
      </c>
      <c r="NI936" s="27" t="s">
        <v>8</v>
      </c>
      <c r="NK936" s="27" t="s">
        <v>8</v>
      </c>
      <c r="NM936" s="27" t="s">
        <v>8</v>
      </c>
      <c r="NO936" s="27" t="s">
        <v>8</v>
      </c>
      <c r="NQ936" s="27" t="s">
        <v>8</v>
      </c>
      <c r="NS936" s="27" t="s">
        <v>8</v>
      </c>
      <c r="NU936" s="27" t="s">
        <v>8</v>
      </c>
      <c r="NW936" s="27" t="s">
        <v>8</v>
      </c>
      <c r="NY936" s="27" t="s">
        <v>8</v>
      </c>
      <c r="OA936" s="27" t="s">
        <v>8</v>
      </c>
      <c r="OC936" s="27" t="s">
        <v>8</v>
      </c>
      <c r="OE936" s="27" t="s">
        <v>8</v>
      </c>
      <c r="OG936" s="27" t="s">
        <v>8</v>
      </c>
      <c r="OI936" s="27" t="s">
        <v>8</v>
      </c>
      <c r="OK936" s="27" t="s">
        <v>8</v>
      </c>
      <c r="OM936" s="27" t="s">
        <v>8</v>
      </c>
      <c r="OO936" s="27" t="s">
        <v>8</v>
      </c>
      <c r="OQ936" s="27" t="s">
        <v>8</v>
      </c>
      <c r="OS936" s="27" t="s">
        <v>8</v>
      </c>
      <c r="OU936" s="27" t="s">
        <v>8</v>
      </c>
      <c r="OW936" s="27" t="s">
        <v>8</v>
      </c>
      <c r="OY936" s="27" t="s">
        <v>8</v>
      </c>
      <c r="PA936" s="27" t="s">
        <v>8</v>
      </c>
      <c r="PC936" s="27" t="s">
        <v>8</v>
      </c>
      <c r="PE936" s="27" t="s">
        <v>8</v>
      </c>
      <c r="PG936" s="27" t="s">
        <v>8</v>
      </c>
      <c r="PI936" s="27" t="s">
        <v>8</v>
      </c>
      <c r="PK936" s="27" t="s">
        <v>8</v>
      </c>
      <c r="PM936" s="27" t="s">
        <v>8</v>
      </c>
      <c r="PO936" s="27" t="s">
        <v>8</v>
      </c>
      <c r="PQ936" s="27" t="s">
        <v>8</v>
      </c>
      <c r="PS936" s="27" t="s">
        <v>8</v>
      </c>
      <c r="PU936" s="27" t="s">
        <v>8</v>
      </c>
      <c r="PW936" s="27" t="s">
        <v>8</v>
      </c>
      <c r="PY936" s="27" t="s">
        <v>8</v>
      </c>
      <c r="QA936" s="27" t="s">
        <v>8</v>
      </c>
      <c r="QC936" s="27" t="s">
        <v>8</v>
      </c>
      <c r="QE936" s="27" t="s">
        <v>8</v>
      </c>
      <c r="QG936" s="27" t="s">
        <v>8</v>
      </c>
      <c r="QI936" s="27" t="s">
        <v>8</v>
      </c>
      <c r="QK936" s="27" t="s">
        <v>8</v>
      </c>
      <c r="QM936" s="27" t="s">
        <v>8</v>
      </c>
      <c r="QO936" s="27" t="s">
        <v>8</v>
      </c>
      <c r="QQ936" s="27" t="s">
        <v>8</v>
      </c>
      <c r="QS936" s="27" t="s">
        <v>8</v>
      </c>
      <c r="QU936" s="27" t="s">
        <v>8</v>
      </c>
      <c r="QW936" s="27" t="s">
        <v>8</v>
      </c>
      <c r="QY936" s="27" t="s">
        <v>8</v>
      </c>
      <c r="RA936" s="27" t="s">
        <v>8</v>
      </c>
      <c r="RC936" s="27" t="s">
        <v>8</v>
      </c>
      <c r="RE936" s="27" t="s">
        <v>8</v>
      </c>
      <c r="RG936" s="27" t="s">
        <v>8</v>
      </c>
      <c r="RI936" s="27" t="s">
        <v>8</v>
      </c>
      <c r="RK936" s="27" t="s">
        <v>8</v>
      </c>
      <c r="RM936" s="27" t="s">
        <v>8</v>
      </c>
      <c r="RO936" s="27" t="s">
        <v>8</v>
      </c>
      <c r="RQ936" s="27" t="s">
        <v>8</v>
      </c>
      <c r="RS936" s="27" t="s">
        <v>8</v>
      </c>
      <c r="RU936" s="27" t="s">
        <v>8</v>
      </c>
      <c r="RW936" s="27" t="s">
        <v>8</v>
      </c>
      <c r="RY936" s="27" t="s">
        <v>8</v>
      </c>
      <c r="SA936" s="27" t="s">
        <v>8</v>
      </c>
      <c r="SC936" s="27" t="s">
        <v>8</v>
      </c>
      <c r="SE936" s="27" t="s">
        <v>8</v>
      </c>
      <c r="SG936" s="27" t="s">
        <v>8</v>
      </c>
      <c r="SI936" s="27" t="s">
        <v>8</v>
      </c>
      <c r="SK936" s="27" t="s">
        <v>8</v>
      </c>
      <c r="SM936" s="27" t="s">
        <v>8</v>
      </c>
      <c r="SO936" s="27" t="s">
        <v>8</v>
      </c>
      <c r="SQ936" s="27" t="s">
        <v>8</v>
      </c>
      <c r="SS936" s="27" t="s">
        <v>8</v>
      </c>
      <c r="SU936" s="27" t="s">
        <v>8</v>
      </c>
      <c r="SW936" s="27" t="s">
        <v>8</v>
      </c>
      <c r="SY936" s="27" t="s">
        <v>8</v>
      </c>
      <c r="TA936" s="27" t="s">
        <v>8</v>
      </c>
      <c r="TC936" s="27" t="s">
        <v>8</v>
      </c>
      <c r="TE936" s="27" t="s">
        <v>8</v>
      </c>
      <c r="TG936" s="27" t="s">
        <v>8</v>
      </c>
      <c r="TI936" s="27" t="s">
        <v>8</v>
      </c>
      <c r="TK936" s="27" t="s">
        <v>8</v>
      </c>
      <c r="TM936" s="27" t="s">
        <v>8</v>
      </c>
      <c r="TO936" s="27" t="s">
        <v>8</v>
      </c>
      <c r="TQ936" s="27" t="s">
        <v>8</v>
      </c>
      <c r="TS936" s="27" t="s">
        <v>8</v>
      </c>
      <c r="TU936" s="27" t="s">
        <v>8</v>
      </c>
      <c r="TW936" s="27" t="s">
        <v>8</v>
      </c>
      <c r="TY936" s="27" t="s">
        <v>8</v>
      </c>
      <c r="UA936" s="27" t="s">
        <v>8</v>
      </c>
      <c r="UC936" s="27" t="s">
        <v>8</v>
      </c>
      <c r="UE936" s="27" t="s">
        <v>8</v>
      </c>
      <c r="UG936" s="27" t="s">
        <v>8</v>
      </c>
      <c r="UI936" s="27" t="s">
        <v>8</v>
      </c>
      <c r="UK936" s="27" t="s">
        <v>8</v>
      </c>
      <c r="UM936" s="27" t="s">
        <v>8</v>
      </c>
      <c r="UO936" s="27" t="s">
        <v>8</v>
      </c>
      <c r="UQ936" s="27" t="s">
        <v>8</v>
      </c>
      <c r="US936" s="27" t="s">
        <v>8</v>
      </c>
      <c r="UU936" s="27" t="s">
        <v>8</v>
      </c>
      <c r="UW936" s="27" t="s">
        <v>8</v>
      </c>
      <c r="UY936" s="27" t="s">
        <v>8</v>
      </c>
      <c r="VA936" s="27" t="s">
        <v>8</v>
      </c>
      <c r="VC936" s="27" t="s">
        <v>8</v>
      </c>
      <c r="VE936" s="27" t="s">
        <v>8</v>
      </c>
      <c r="VG936" s="27" t="s">
        <v>8</v>
      </c>
      <c r="VI936" s="27" t="s">
        <v>8</v>
      </c>
      <c r="VK936" s="27" t="s">
        <v>8</v>
      </c>
      <c r="VM936" s="27" t="s">
        <v>8</v>
      </c>
      <c r="VO936" s="27" t="s">
        <v>8</v>
      </c>
      <c r="VQ936" s="27" t="s">
        <v>8</v>
      </c>
      <c r="VS936" s="27" t="s">
        <v>8</v>
      </c>
      <c r="VU936" s="27" t="s">
        <v>8</v>
      </c>
      <c r="VW936" s="27" t="s">
        <v>8</v>
      </c>
      <c r="VY936" s="27" t="s">
        <v>8</v>
      </c>
      <c r="WA936" s="27" t="s">
        <v>8</v>
      </c>
      <c r="WC936" s="27" t="s">
        <v>8</v>
      </c>
      <c r="WE936" s="27" t="s">
        <v>8</v>
      </c>
      <c r="WG936" s="27" t="s">
        <v>8</v>
      </c>
      <c r="WI936" s="27" t="s">
        <v>8</v>
      </c>
      <c r="WK936" s="27" t="s">
        <v>8</v>
      </c>
      <c r="WM936" s="27" t="s">
        <v>8</v>
      </c>
      <c r="WO936" s="27" t="s">
        <v>8</v>
      </c>
      <c r="WQ936" s="27" t="s">
        <v>8</v>
      </c>
      <c r="XD936" s="27" t="s">
        <v>7</v>
      </c>
      <c r="XE936" s="27" t="s">
        <v>8</v>
      </c>
      <c r="XF936" s="27" t="s">
        <v>7</v>
      </c>
      <c r="XG936" s="27" t="s">
        <v>8</v>
      </c>
      <c r="XP936" s="27" t="s">
        <v>7</v>
      </c>
      <c r="XR936" s="27" t="s">
        <v>7</v>
      </c>
      <c r="XS936" s="27" t="s">
        <v>8</v>
      </c>
      <c r="XU936" s="27" t="s">
        <v>8</v>
      </c>
      <c r="XV936" s="27" t="s">
        <v>7</v>
      </c>
      <c r="XW936" s="27" t="s">
        <v>8</v>
      </c>
      <c r="XY936" s="27" t="s">
        <v>8</v>
      </c>
      <c r="YA936" s="27" t="s">
        <v>8</v>
      </c>
      <c r="YC936" s="27" t="s">
        <v>8</v>
      </c>
      <c r="YE936" s="27" t="s">
        <v>8</v>
      </c>
      <c r="YG936" s="27" t="s">
        <v>8</v>
      </c>
      <c r="YI936" s="27" t="s">
        <v>8</v>
      </c>
      <c r="YK936" s="27" t="s">
        <v>8</v>
      </c>
      <c r="YM936" s="27" t="s">
        <v>8</v>
      </c>
      <c r="YO936" s="27" t="s">
        <v>8</v>
      </c>
      <c r="YQ936" s="27" t="s">
        <v>8</v>
      </c>
      <c r="YS936" s="27" t="s">
        <v>8</v>
      </c>
      <c r="YU936" s="27" t="s">
        <v>8</v>
      </c>
      <c r="YW936" s="27" t="s">
        <v>8</v>
      </c>
      <c r="YY936" s="27" t="s">
        <v>8</v>
      </c>
      <c r="ZA936" s="27" t="s">
        <v>8</v>
      </c>
      <c r="ZC936" s="27" t="s">
        <v>8</v>
      </c>
      <c r="ZE936" s="27" t="s">
        <v>8</v>
      </c>
      <c r="ZG936" s="27" t="s">
        <v>8</v>
      </c>
      <c r="ZI936" s="27" t="s">
        <v>8</v>
      </c>
      <c r="ZK936" s="27" t="s">
        <v>8</v>
      </c>
      <c r="ZM936" s="27" t="s">
        <v>8</v>
      </c>
      <c r="ZO936" s="27" t="s">
        <v>8</v>
      </c>
      <c r="ZQ936" s="27" t="s">
        <v>8</v>
      </c>
      <c r="ZS936" s="27" t="s">
        <v>8</v>
      </c>
      <c r="ZU936" s="27" t="s">
        <v>8</v>
      </c>
      <c r="ZW936" s="27" t="s">
        <v>8</v>
      </c>
      <c r="ZY936" s="27" t="s">
        <v>8</v>
      </c>
      <c r="AAA936" s="27" t="s">
        <v>8</v>
      </c>
      <c r="AAC936" s="27" t="s">
        <v>8</v>
      </c>
      <c r="AAE936" s="27" t="s">
        <v>8</v>
      </c>
      <c r="AAG936" s="18" t="s">
        <v>8</v>
      </c>
      <c r="AAI936" s="27" t="s">
        <v>8</v>
      </c>
      <c r="AAK936" s="27" t="s">
        <v>8</v>
      </c>
      <c r="AAM936" s="27" t="s">
        <v>8</v>
      </c>
      <c r="AAO936" s="27" t="s">
        <v>8</v>
      </c>
      <c r="AAQ936" s="27" t="s">
        <v>8</v>
      </c>
      <c r="AAS936" s="27" t="s">
        <v>8</v>
      </c>
      <c r="AAU936" s="27" t="s">
        <v>8</v>
      </c>
      <c r="AAW936" s="27" t="s">
        <v>8</v>
      </c>
      <c r="AAY936" s="27" t="s">
        <v>8</v>
      </c>
      <c r="ABA936" s="27" t="s">
        <v>8</v>
      </c>
      <c r="ABC936" s="27" t="s">
        <v>8</v>
      </c>
      <c r="ABE936" s="27" t="s">
        <v>8</v>
      </c>
      <c r="ABG936" s="27" t="s">
        <v>8</v>
      </c>
      <c r="ABI936" s="27" t="s">
        <v>8</v>
      </c>
      <c r="ABK936" s="27" t="s">
        <v>8</v>
      </c>
      <c r="ABM936" s="27" t="s">
        <v>8</v>
      </c>
      <c r="ABO936" s="27" t="s">
        <v>8</v>
      </c>
      <c r="ABQ936" s="27" t="s">
        <v>8</v>
      </c>
      <c r="ABS936" s="27" t="s">
        <v>8</v>
      </c>
      <c r="ABU936" s="27" t="s">
        <v>8</v>
      </c>
      <c r="ABW936" s="27" t="s">
        <v>8</v>
      </c>
      <c r="ABY936" s="27" t="s">
        <v>8</v>
      </c>
      <c r="ACA936" s="27" t="s">
        <v>8</v>
      </c>
      <c r="ACC936" s="27" t="s">
        <v>8</v>
      </c>
      <c r="ACE936" s="27" t="s">
        <v>8</v>
      </c>
      <c r="ACG936" s="27" t="s">
        <v>8</v>
      </c>
      <c r="ACI936" s="27" t="s">
        <v>8</v>
      </c>
      <c r="ACK936" s="27" t="s">
        <v>8</v>
      </c>
      <c r="ACM936" s="27" t="s">
        <v>8</v>
      </c>
      <c r="ACO936" s="27" t="s">
        <v>8</v>
      </c>
      <c r="ACQ936" s="27" t="s">
        <v>8</v>
      </c>
      <c r="ACS936" s="27" t="s">
        <v>8</v>
      </c>
      <c r="ACU936" s="27" t="s">
        <v>8</v>
      </c>
      <c r="ACW936" s="27" t="s">
        <v>8</v>
      </c>
      <c r="ACY936" s="27" t="s">
        <v>8</v>
      </c>
      <c r="ADA936" s="27" t="s">
        <v>8</v>
      </c>
      <c r="ADC936" s="27" t="s">
        <v>8</v>
      </c>
      <c r="ADE936" s="27" t="s">
        <v>8</v>
      </c>
      <c r="ADG936" s="27" t="s">
        <v>8</v>
      </c>
      <c r="ADI936" s="27" t="s">
        <v>8</v>
      </c>
      <c r="ADK936" s="27" t="s">
        <v>8</v>
      </c>
      <c r="ADM936" s="27" t="s">
        <v>8</v>
      </c>
      <c r="ADO936" s="27" t="s">
        <v>8</v>
      </c>
      <c r="ADQ936" s="27" t="s">
        <v>8</v>
      </c>
      <c r="ADS936" s="27" t="s">
        <v>8</v>
      </c>
      <c r="ADU936" s="27" t="s">
        <v>8</v>
      </c>
      <c r="ADW936" s="27" t="s">
        <v>8</v>
      </c>
      <c r="ADY936" s="27" t="s">
        <v>8</v>
      </c>
      <c r="AEA936" s="27" t="s">
        <v>8</v>
      </c>
      <c r="AEC936" s="27" t="s">
        <v>8</v>
      </c>
      <c r="AEE936" s="27" t="s">
        <v>8</v>
      </c>
      <c r="AEG936" s="27" t="s">
        <v>8</v>
      </c>
      <c r="AEI936" s="27" t="s">
        <v>8</v>
      </c>
      <c r="AEK936" s="27" t="s">
        <v>8</v>
      </c>
      <c r="AEM936" s="27" t="s">
        <v>8</v>
      </c>
      <c r="AEO936" s="27" t="s">
        <v>8</v>
      </c>
      <c r="AEQ936" s="27" t="s">
        <v>8</v>
      </c>
      <c r="AES936" s="27" t="s">
        <v>8</v>
      </c>
      <c r="AEU936" s="27" t="s">
        <v>8</v>
      </c>
      <c r="AEV936" s="27" t="s">
        <v>7</v>
      </c>
      <c r="AEW936" s="27" t="s">
        <v>8</v>
      </c>
      <c r="AEY936" s="27" t="s">
        <v>8</v>
      </c>
      <c r="AFA936" s="27" t="s">
        <v>8</v>
      </c>
      <c r="AFC936" s="27" t="s">
        <v>8</v>
      </c>
      <c r="AFE936" s="27" t="s">
        <v>8</v>
      </c>
      <c r="AFG936" s="27" t="s">
        <v>8</v>
      </c>
      <c r="AFI936" s="27" t="s">
        <v>8</v>
      </c>
      <c r="AFK936" s="27" t="s">
        <v>8</v>
      </c>
      <c r="AFM936" s="27" t="s">
        <v>8</v>
      </c>
      <c r="AFO936" s="27" t="s">
        <v>8</v>
      </c>
      <c r="AFQ936" s="27" t="s">
        <v>8</v>
      </c>
      <c r="AFS936" s="27" t="s">
        <v>8</v>
      </c>
      <c r="AFU936" s="27" t="s">
        <v>8</v>
      </c>
      <c r="AFW936" s="27" t="s">
        <v>8</v>
      </c>
      <c r="AFY936" s="27" t="s">
        <v>8</v>
      </c>
      <c r="AGA936" s="27" t="s">
        <v>8</v>
      </c>
      <c r="AGC936" s="27" t="s">
        <v>8</v>
      </c>
      <c r="AGE936" s="27" t="s">
        <v>8</v>
      </c>
      <c r="AGG936" s="27" t="s">
        <v>8</v>
      </c>
      <c r="AGI936" s="27" t="s">
        <v>8</v>
      </c>
      <c r="AGK936" s="27" t="s">
        <v>8</v>
      </c>
      <c r="AGM936" s="27" t="s">
        <v>8</v>
      </c>
      <c r="AGO936" s="27" t="s">
        <v>8</v>
      </c>
      <c r="AGQ936" s="27" t="s">
        <v>8</v>
      </c>
      <c r="AGS936" s="27" t="s">
        <v>8</v>
      </c>
      <c r="AGU936" s="27" t="s">
        <v>8</v>
      </c>
      <c r="AGW936" s="27" t="s">
        <v>8</v>
      </c>
      <c r="AGY936" s="27" t="s">
        <v>8</v>
      </c>
      <c r="AHA936" s="27" t="s">
        <v>8</v>
      </c>
      <c r="AHC936" s="27" t="s">
        <v>8</v>
      </c>
      <c r="AHE936" s="27" t="s">
        <v>8</v>
      </c>
      <c r="AHG936" s="27" t="s">
        <v>8</v>
      </c>
      <c r="AHI936" s="27" t="s">
        <v>8</v>
      </c>
      <c r="AHK936" s="27" t="s">
        <v>8</v>
      </c>
      <c r="AHM936" s="27" t="s">
        <v>8</v>
      </c>
      <c r="AHO936" s="27" t="s">
        <v>8</v>
      </c>
    </row>
    <row r="937" spans="1:900" x14ac:dyDescent="0.25">
      <c r="F937" s="27" t="s">
        <v>7</v>
      </c>
      <c r="H937" s="27" t="s">
        <v>7</v>
      </c>
      <c r="J937" s="27" t="s">
        <v>7</v>
      </c>
      <c r="L937" s="27" t="s">
        <v>7</v>
      </c>
      <c r="N937" s="27" t="s">
        <v>7</v>
      </c>
      <c r="P937" s="27" t="s">
        <v>7</v>
      </c>
      <c r="R937" s="27" t="s">
        <v>7</v>
      </c>
      <c r="T937" s="27" t="s">
        <v>7</v>
      </c>
      <c r="V937" s="27" t="s">
        <v>7</v>
      </c>
      <c r="X937" s="27" t="s">
        <v>7</v>
      </c>
      <c r="Z937" s="27" t="s">
        <v>7</v>
      </c>
      <c r="AB937" s="27" t="s">
        <v>7</v>
      </c>
      <c r="AD937" s="27" t="s">
        <v>7</v>
      </c>
      <c r="AF937" s="27" t="s">
        <v>7</v>
      </c>
      <c r="AH937" s="27" t="s">
        <v>7</v>
      </c>
      <c r="AJ937" s="27" t="s">
        <v>7</v>
      </c>
      <c r="AL937" s="27" t="s">
        <v>7</v>
      </c>
      <c r="AN937" s="27" t="s">
        <v>7</v>
      </c>
      <c r="AP937" s="27" t="s">
        <v>7</v>
      </c>
      <c r="AR937" s="27" t="s">
        <v>7</v>
      </c>
      <c r="AT937" s="27" t="s">
        <v>7</v>
      </c>
      <c r="AV937" s="27" t="s">
        <v>7</v>
      </c>
      <c r="AX937" s="27" t="s">
        <v>7</v>
      </c>
      <c r="AZ937" s="27" t="s">
        <v>7</v>
      </c>
      <c r="BB937" s="27" t="s">
        <v>7</v>
      </c>
      <c r="BD937" s="27" t="s">
        <v>7</v>
      </c>
      <c r="BF937" s="27" t="s">
        <v>7</v>
      </c>
      <c r="BH937" s="27" t="s">
        <v>7</v>
      </c>
      <c r="BJ937" s="27" t="s">
        <v>7</v>
      </c>
      <c r="BL937" s="27" t="s">
        <v>7</v>
      </c>
      <c r="BN937" s="27" t="s">
        <v>7</v>
      </c>
      <c r="BP937" s="27" t="s">
        <v>7</v>
      </c>
      <c r="BR937" s="27" t="s">
        <v>7</v>
      </c>
      <c r="BT937" s="27" t="s">
        <v>7</v>
      </c>
      <c r="BV937" s="27" t="s">
        <v>7</v>
      </c>
      <c r="BX937" s="27" t="s">
        <v>7</v>
      </c>
      <c r="BZ937" s="27" t="s">
        <v>7</v>
      </c>
      <c r="CB937" s="27" t="s">
        <v>7</v>
      </c>
      <c r="CD937" s="27" t="s">
        <v>7</v>
      </c>
      <c r="CF937" s="27" t="s">
        <v>7</v>
      </c>
      <c r="CH937" s="27" t="s">
        <v>7</v>
      </c>
      <c r="CJ937" s="27" t="s">
        <v>7</v>
      </c>
      <c r="CL937" s="27" t="s">
        <v>7</v>
      </c>
      <c r="CN937" s="27" t="s">
        <v>7</v>
      </c>
      <c r="CP937" s="27" t="s">
        <v>7</v>
      </c>
      <c r="CR937" s="27" t="s">
        <v>7</v>
      </c>
      <c r="CT937" s="27" t="s">
        <v>7</v>
      </c>
      <c r="CV937" s="27" t="s">
        <v>7</v>
      </c>
      <c r="CX937" s="27" t="s">
        <v>7</v>
      </c>
      <c r="CZ937" s="27" t="s">
        <v>7</v>
      </c>
      <c r="DB937" s="27" t="s">
        <v>7</v>
      </c>
      <c r="DD937" s="27" t="s">
        <v>7</v>
      </c>
      <c r="DF937" s="27" t="s">
        <v>7</v>
      </c>
      <c r="DH937" s="27" t="s">
        <v>7</v>
      </c>
      <c r="DJ937" s="27" t="s">
        <v>7</v>
      </c>
      <c r="DL937" s="27" t="s">
        <v>7</v>
      </c>
      <c r="DN937" s="27" t="s">
        <v>7</v>
      </c>
      <c r="DP937" s="27" t="s">
        <v>7</v>
      </c>
      <c r="DR937" s="27" t="s">
        <v>7</v>
      </c>
      <c r="DT937" s="27" t="s">
        <v>7</v>
      </c>
      <c r="DV937" s="27" t="s">
        <v>7</v>
      </c>
      <c r="DX937" s="27" t="s">
        <v>7</v>
      </c>
      <c r="DZ937" s="27" t="s">
        <v>7</v>
      </c>
      <c r="EB937" s="27" t="s">
        <v>7</v>
      </c>
      <c r="ED937" s="27" t="s">
        <v>7</v>
      </c>
      <c r="EF937" s="27" t="s">
        <v>7</v>
      </c>
      <c r="EH937" s="27" t="s">
        <v>7</v>
      </c>
      <c r="EJ937" s="27" t="s">
        <v>7</v>
      </c>
      <c r="EL937" s="27" t="s">
        <v>7</v>
      </c>
      <c r="EN937" s="27" t="s">
        <v>7</v>
      </c>
      <c r="EP937" s="27" t="s">
        <v>7</v>
      </c>
      <c r="ER937" s="27" t="s">
        <v>7</v>
      </c>
      <c r="ET937" s="27" t="s">
        <v>7</v>
      </c>
      <c r="EV937" s="27" t="s">
        <v>7</v>
      </c>
      <c r="EX937" s="27" t="s">
        <v>7</v>
      </c>
      <c r="EZ937" s="27" t="s">
        <v>7</v>
      </c>
      <c r="FB937" s="27" t="s">
        <v>7</v>
      </c>
      <c r="FD937" s="27" t="s">
        <v>7</v>
      </c>
      <c r="FF937" s="27" t="s">
        <v>7</v>
      </c>
      <c r="FH937" s="27" t="s">
        <v>7</v>
      </c>
      <c r="FJ937" s="27" t="s">
        <v>7</v>
      </c>
      <c r="FL937" s="27" t="s">
        <v>7</v>
      </c>
      <c r="FN937" s="27" t="s">
        <v>7</v>
      </c>
      <c r="FP937" s="27" t="s">
        <v>7</v>
      </c>
      <c r="FR937" s="27" t="s">
        <v>7</v>
      </c>
      <c r="FT937" s="27" t="s">
        <v>7</v>
      </c>
      <c r="FV937" s="27" t="s">
        <v>7</v>
      </c>
      <c r="FX937" s="27" t="s">
        <v>7</v>
      </c>
      <c r="FZ937" s="27" t="s">
        <v>7</v>
      </c>
      <c r="GB937" s="27" t="s">
        <v>7</v>
      </c>
      <c r="GD937" s="27" t="s">
        <v>7</v>
      </c>
      <c r="GF937" s="27" t="s">
        <v>7</v>
      </c>
      <c r="GH937" s="27" t="s">
        <v>7</v>
      </c>
      <c r="GJ937" s="27" t="s">
        <v>7</v>
      </c>
      <c r="GL937" s="27" t="s">
        <v>7</v>
      </c>
      <c r="GN937" s="27" t="s">
        <v>7</v>
      </c>
      <c r="GP937" s="27" t="s">
        <v>7</v>
      </c>
      <c r="GR937" s="27" t="s">
        <v>7</v>
      </c>
      <c r="GT937" s="27" t="s">
        <v>7</v>
      </c>
      <c r="GV937" s="27" t="s">
        <v>7</v>
      </c>
      <c r="GX937" s="27" t="s">
        <v>7</v>
      </c>
      <c r="GZ937" s="27" t="s">
        <v>7</v>
      </c>
      <c r="HB937" s="27" t="s">
        <v>7</v>
      </c>
      <c r="HD937" s="27" t="s">
        <v>7</v>
      </c>
      <c r="HF937" s="27" t="s">
        <v>7</v>
      </c>
      <c r="HH937" s="27" t="s">
        <v>7</v>
      </c>
      <c r="HJ937" s="27" t="s">
        <v>7</v>
      </c>
      <c r="HL937" s="27" t="s">
        <v>7</v>
      </c>
      <c r="HN937" s="27" t="s">
        <v>7</v>
      </c>
      <c r="HP937" s="27" t="s">
        <v>7</v>
      </c>
      <c r="HR937" s="27" t="s">
        <v>7</v>
      </c>
      <c r="HT937" s="27" t="s">
        <v>7</v>
      </c>
      <c r="HV937" s="27" t="s">
        <v>7</v>
      </c>
      <c r="HX937" s="27" t="s">
        <v>7</v>
      </c>
      <c r="HZ937" s="27" t="s">
        <v>7</v>
      </c>
      <c r="IB937" s="27" t="s">
        <v>7</v>
      </c>
      <c r="ID937" s="27" t="s">
        <v>7</v>
      </c>
      <c r="IF937" s="27" t="s">
        <v>7</v>
      </c>
      <c r="IH937" s="27" t="s">
        <v>7</v>
      </c>
      <c r="IJ937" s="27" t="s">
        <v>7</v>
      </c>
      <c r="IL937" s="27" t="s">
        <v>7</v>
      </c>
      <c r="IN937" s="27" t="s">
        <v>7</v>
      </c>
      <c r="IP937" s="27" t="s">
        <v>7</v>
      </c>
      <c r="IR937" s="27" t="s">
        <v>7</v>
      </c>
      <c r="IT937" s="27" t="s">
        <v>7</v>
      </c>
      <c r="IV937" s="27" t="s">
        <v>7</v>
      </c>
      <c r="IX937" s="27" t="s">
        <v>7</v>
      </c>
      <c r="IZ937" s="27" t="s">
        <v>7</v>
      </c>
      <c r="JB937" s="27" t="s">
        <v>7</v>
      </c>
      <c r="JD937" s="27" t="s">
        <v>7</v>
      </c>
      <c r="JF937" s="27" t="s">
        <v>7</v>
      </c>
      <c r="JH937" s="27" t="s">
        <v>7</v>
      </c>
      <c r="JJ937" s="27" t="s">
        <v>7</v>
      </c>
      <c r="JL937" s="27" t="s">
        <v>7</v>
      </c>
      <c r="JN937" s="27" t="s">
        <v>7</v>
      </c>
      <c r="JP937" s="27" t="s">
        <v>7</v>
      </c>
      <c r="JR937" s="27" t="s">
        <v>7</v>
      </c>
      <c r="JT937" s="27" t="s">
        <v>7</v>
      </c>
      <c r="JV937" s="27" t="s">
        <v>7</v>
      </c>
      <c r="JX937" s="27" t="s">
        <v>7</v>
      </c>
      <c r="JZ937" s="27" t="s">
        <v>7</v>
      </c>
      <c r="KB937" s="27" t="s">
        <v>7</v>
      </c>
      <c r="KD937" s="27" t="s">
        <v>7</v>
      </c>
      <c r="KF937" s="27" t="s">
        <v>7</v>
      </c>
      <c r="KH937" s="27" t="s">
        <v>7</v>
      </c>
      <c r="KJ937" s="27" t="s">
        <v>7</v>
      </c>
      <c r="KL937" s="27" t="s">
        <v>7</v>
      </c>
      <c r="KN937" s="27" t="s">
        <v>7</v>
      </c>
      <c r="KP937" s="27" t="s">
        <v>7</v>
      </c>
      <c r="KR937" s="27" t="s">
        <v>7</v>
      </c>
      <c r="KT937" s="27" t="s">
        <v>7</v>
      </c>
      <c r="KV937" s="27" t="s">
        <v>7</v>
      </c>
      <c r="KX937" s="27" t="s">
        <v>7</v>
      </c>
      <c r="KZ937" s="27" t="s">
        <v>7</v>
      </c>
      <c r="LB937" s="27" t="s">
        <v>7</v>
      </c>
      <c r="LD937" s="27" t="s">
        <v>7</v>
      </c>
      <c r="LF937" s="27" t="s">
        <v>7</v>
      </c>
      <c r="LH937" s="27" t="s">
        <v>7</v>
      </c>
      <c r="LJ937" s="27" t="s">
        <v>7</v>
      </c>
      <c r="LL937" s="27" t="s">
        <v>7</v>
      </c>
      <c r="LN937" s="27" t="s">
        <v>7</v>
      </c>
      <c r="LP937" s="27" t="s">
        <v>7</v>
      </c>
      <c r="LR937" s="27" t="s">
        <v>7</v>
      </c>
      <c r="LT937" s="27" t="s">
        <v>7</v>
      </c>
      <c r="LV937" s="27" t="s">
        <v>7</v>
      </c>
      <c r="LX937" s="27" t="s">
        <v>7</v>
      </c>
      <c r="LZ937" s="27" t="s">
        <v>7</v>
      </c>
      <c r="MB937" s="27" t="s">
        <v>7</v>
      </c>
      <c r="MD937" s="27" t="s">
        <v>7</v>
      </c>
      <c r="MF937" s="27" t="s">
        <v>7</v>
      </c>
      <c r="MH937" s="27" t="s">
        <v>7</v>
      </c>
      <c r="MJ937" s="27" t="s">
        <v>7</v>
      </c>
      <c r="ML937" s="27" t="s">
        <v>7</v>
      </c>
      <c r="MN937" s="27" t="s">
        <v>7</v>
      </c>
      <c r="MP937" s="27" t="s">
        <v>7</v>
      </c>
      <c r="MR937" s="27" t="s">
        <v>7</v>
      </c>
      <c r="MT937" s="27" t="s">
        <v>7</v>
      </c>
      <c r="MV937" s="27" t="s">
        <v>7</v>
      </c>
      <c r="MX937" s="27" t="s">
        <v>7</v>
      </c>
      <c r="MZ937" s="27" t="s">
        <v>7</v>
      </c>
      <c r="NB937" s="27" t="s">
        <v>7</v>
      </c>
      <c r="ND937" s="27" t="s">
        <v>7</v>
      </c>
      <c r="NF937" s="27" t="s">
        <v>7</v>
      </c>
      <c r="NH937" s="27" t="s">
        <v>7</v>
      </c>
      <c r="NJ937" s="27" t="s">
        <v>7</v>
      </c>
      <c r="NL937" s="27" t="s">
        <v>7</v>
      </c>
      <c r="NN937" s="27" t="s">
        <v>7</v>
      </c>
      <c r="NP937" s="27" t="s">
        <v>7</v>
      </c>
      <c r="NR937" s="27" t="s">
        <v>7</v>
      </c>
      <c r="NT937" s="27" t="s">
        <v>7</v>
      </c>
      <c r="NV937" s="27" t="s">
        <v>7</v>
      </c>
      <c r="NX937" s="27" t="s">
        <v>7</v>
      </c>
      <c r="NZ937" s="27" t="s">
        <v>7</v>
      </c>
      <c r="OB937" s="27" t="s">
        <v>7</v>
      </c>
      <c r="OD937" s="27" t="s">
        <v>7</v>
      </c>
      <c r="OF937" s="27" t="s">
        <v>7</v>
      </c>
      <c r="OH937" s="27" t="s">
        <v>7</v>
      </c>
      <c r="OJ937" s="27" t="s">
        <v>7</v>
      </c>
      <c r="OL937" s="27" t="s">
        <v>7</v>
      </c>
      <c r="ON937" s="27" t="s">
        <v>7</v>
      </c>
      <c r="OP937" s="27" t="s">
        <v>7</v>
      </c>
      <c r="OR937" s="27" t="s">
        <v>7</v>
      </c>
      <c r="OT937" s="27" t="s">
        <v>7</v>
      </c>
      <c r="OV937" s="27" t="s">
        <v>7</v>
      </c>
      <c r="OX937" s="27" t="s">
        <v>7</v>
      </c>
      <c r="OZ937" s="27" t="s">
        <v>7</v>
      </c>
      <c r="PB937" s="27" t="s">
        <v>7</v>
      </c>
      <c r="PD937" s="27" t="s">
        <v>7</v>
      </c>
      <c r="PF937" s="27" t="s">
        <v>7</v>
      </c>
      <c r="PH937" s="27" t="s">
        <v>7</v>
      </c>
      <c r="PJ937" s="27" t="s">
        <v>7</v>
      </c>
      <c r="PL937" s="27" t="s">
        <v>7</v>
      </c>
      <c r="PN937" s="27" t="s">
        <v>7</v>
      </c>
      <c r="PP937" s="27" t="s">
        <v>7</v>
      </c>
      <c r="PR937" s="27" t="s">
        <v>7</v>
      </c>
      <c r="PT937" s="27" t="s">
        <v>7</v>
      </c>
      <c r="PV937" s="27" t="s">
        <v>7</v>
      </c>
      <c r="PX937" s="27" t="s">
        <v>7</v>
      </c>
      <c r="PZ937" s="27" t="s">
        <v>7</v>
      </c>
      <c r="QB937" s="27" t="s">
        <v>7</v>
      </c>
      <c r="QD937" s="27" t="s">
        <v>7</v>
      </c>
      <c r="QF937" s="27" t="s">
        <v>7</v>
      </c>
      <c r="QH937" s="27" t="s">
        <v>7</v>
      </c>
      <c r="QJ937" s="27" t="s">
        <v>7</v>
      </c>
      <c r="QL937" s="27" t="s">
        <v>7</v>
      </c>
      <c r="QN937" s="27" t="s">
        <v>7</v>
      </c>
      <c r="QP937" s="27" t="s">
        <v>7</v>
      </c>
      <c r="QR937" s="27" t="s">
        <v>7</v>
      </c>
      <c r="QT937" s="27" t="s">
        <v>7</v>
      </c>
      <c r="QV937" s="27" t="s">
        <v>7</v>
      </c>
      <c r="QX937" s="27" t="s">
        <v>7</v>
      </c>
      <c r="QZ937" s="27" t="s">
        <v>7</v>
      </c>
      <c r="RB937" s="27" t="s">
        <v>7</v>
      </c>
      <c r="RD937" s="27" t="s">
        <v>7</v>
      </c>
      <c r="RF937" s="27" t="s">
        <v>7</v>
      </c>
      <c r="RH937" s="27" t="s">
        <v>7</v>
      </c>
      <c r="RJ937" s="27" t="s">
        <v>7</v>
      </c>
      <c r="RL937" s="27" t="s">
        <v>7</v>
      </c>
      <c r="RN937" s="27" t="s">
        <v>7</v>
      </c>
      <c r="RP937" s="27" t="s">
        <v>7</v>
      </c>
      <c r="RR937" s="27" t="s">
        <v>7</v>
      </c>
      <c r="RT937" s="27" t="s">
        <v>7</v>
      </c>
      <c r="RV937" s="27" t="s">
        <v>7</v>
      </c>
      <c r="RX937" s="27" t="s">
        <v>7</v>
      </c>
      <c r="RZ937" s="27" t="s">
        <v>7</v>
      </c>
      <c r="SB937" s="27" t="s">
        <v>7</v>
      </c>
      <c r="SD937" s="27" t="s">
        <v>7</v>
      </c>
      <c r="SF937" s="27" t="s">
        <v>7</v>
      </c>
      <c r="SH937" s="27" t="s">
        <v>7</v>
      </c>
      <c r="SJ937" s="27" t="s">
        <v>7</v>
      </c>
      <c r="SL937" s="27" t="s">
        <v>7</v>
      </c>
      <c r="SN937" s="27" t="s">
        <v>7</v>
      </c>
      <c r="SP937" s="27" t="s">
        <v>7</v>
      </c>
      <c r="SR937" s="27" t="s">
        <v>7</v>
      </c>
      <c r="ST937" s="27" t="s">
        <v>7</v>
      </c>
      <c r="SV937" s="27" t="s">
        <v>7</v>
      </c>
      <c r="SX937" s="27" t="s">
        <v>7</v>
      </c>
      <c r="SZ937" s="27" t="s">
        <v>7</v>
      </c>
      <c r="TB937" s="27" t="s">
        <v>7</v>
      </c>
      <c r="TD937" s="27" t="s">
        <v>7</v>
      </c>
      <c r="TF937" s="27" t="s">
        <v>7</v>
      </c>
      <c r="TH937" s="27" t="s">
        <v>7</v>
      </c>
      <c r="TJ937" s="27" t="s">
        <v>7</v>
      </c>
      <c r="TL937" s="27" t="s">
        <v>7</v>
      </c>
      <c r="TN937" s="27" t="s">
        <v>7</v>
      </c>
      <c r="TP937" s="27" t="s">
        <v>7</v>
      </c>
      <c r="TR937" s="27" t="s">
        <v>7</v>
      </c>
      <c r="TT937" s="27" t="s">
        <v>7</v>
      </c>
      <c r="TV937" s="27" t="s">
        <v>7</v>
      </c>
      <c r="TX937" s="27" t="s">
        <v>7</v>
      </c>
      <c r="TZ937" s="27" t="s">
        <v>7</v>
      </c>
      <c r="UB937" s="27" t="s">
        <v>7</v>
      </c>
      <c r="UD937" s="27" t="s">
        <v>7</v>
      </c>
      <c r="UF937" s="27" t="s">
        <v>7</v>
      </c>
      <c r="UH937" s="27" t="s">
        <v>7</v>
      </c>
      <c r="UJ937" s="27" t="s">
        <v>7</v>
      </c>
      <c r="UL937" s="27" t="s">
        <v>7</v>
      </c>
      <c r="UN937" s="27" t="s">
        <v>7</v>
      </c>
      <c r="UP937" s="27" t="s">
        <v>7</v>
      </c>
      <c r="UR937" s="27" t="s">
        <v>7</v>
      </c>
      <c r="UT937" s="27" t="s">
        <v>7</v>
      </c>
      <c r="UV937" s="27" t="s">
        <v>7</v>
      </c>
      <c r="UX937" s="27" t="s">
        <v>7</v>
      </c>
      <c r="UZ937" s="27" t="s">
        <v>7</v>
      </c>
      <c r="VB937" s="27" t="s">
        <v>7</v>
      </c>
      <c r="VD937" s="27" t="s">
        <v>7</v>
      </c>
      <c r="VF937" s="27" t="s">
        <v>7</v>
      </c>
      <c r="VH937" s="27" t="s">
        <v>7</v>
      </c>
      <c r="VJ937" s="27" t="s">
        <v>7</v>
      </c>
      <c r="VL937" s="27" t="s">
        <v>7</v>
      </c>
      <c r="VN937" s="27" t="s">
        <v>7</v>
      </c>
      <c r="VP937" s="27" t="s">
        <v>7</v>
      </c>
      <c r="VR937" s="27" t="s">
        <v>7</v>
      </c>
      <c r="VT937" s="27" t="s">
        <v>7</v>
      </c>
      <c r="VV937" s="27" t="s">
        <v>7</v>
      </c>
      <c r="VX937" s="27" t="s">
        <v>7</v>
      </c>
      <c r="VZ937" s="27" t="s">
        <v>7</v>
      </c>
      <c r="WB937" s="27" t="s">
        <v>7</v>
      </c>
      <c r="WD937" s="27" t="s">
        <v>7</v>
      </c>
      <c r="WF937" s="27" t="s">
        <v>7</v>
      </c>
      <c r="WH937" s="27" t="s">
        <v>7</v>
      </c>
      <c r="WJ937" s="27" t="s">
        <v>7</v>
      </c>
      <c r="WL937" s="27" t="s">
        <v>7</v>
      </c>
      <c r="WN937" s="27" t="s">
        <v>7</v>
      </c>
      <c r="WP937" s="27" t="s">
        <v>7</v>
      </c>
      <c r="XD937" s="27" t="s">
        <v>7</v>
      </c>
      <c r="XF937" s="27" t="s">
        <v>7</v>
      </c>
      <c r="XR937" s="27" t="s">
        <v>7</v>
      </c>
      <c r="XT937" s="27" t="s">
        <v>7</v>
      </c>
      <c r="XV937" s="27" t="s">
        <v>7</v>
      </c>
      <c r="XX937" s="27" t="s">
        <v>7</v>
      </c>
      <c r="XZ937" s="27" t="s">
        <v>7</v>
      </c>
      <c r="YB937" s="27" t="s">
        <v>7</v>
      </c>
      <c r="YD937" s="27" t="s">
        <v>7</v>
      </c>
      <c r="YF937" s="27" t="s">
        <v>7</v>
      </c>
      <c r="YH937" s="27" t="s">
        <v>7</v>
      </c>
      <c r="YJ937" s="27" t="s">
        <v>7</v>
      </c>
      <c r="YL937" s="27" t="s">
        <v>7</v>
      </c>
      <c r="YN937" s="27" t="s">
        <v>7</v>
      </c>
      <c r="YP937" s="27" t="s">
        <v>7</v>
      </c>
      <c r="YR937" s="27" t="s">
        <v>7</v>
      </c>
      <c r="YT937" s="27" t="s">
        <v>7</v>
      </c>
      <c r="YV937" s="27" t="s">
        <v>7</v>
      </c>
      <c r="YX937" s="27" t="s">
        <v>7</v>
      </c>
      <c r="YZ937" s="27" t="s">
        <v>7</v>
      </c>
      <c r="ZB937" s="27" t="s">
        <v>7</v>
      </c>
      <c r="ZD937" s="27" t="s">
        <v>7</v>
      </c>
      <c r="ZF937" s="27" t="s">
        <v>7</v>
      </c>
      <c r="ZH937" s="27" t="s">
        <v>7</v>
      </c>
      <c r="ZJ937" s="27" t="s">
        <v>7</v>
      </c>
      <c r="ZL937" s="27" t="s">
        <v>7</v>
      </c>
      <c r="ZN937" s="27" t="s">
        <v>7</v>
      </c>
      <c r="ZP937" s="27" t="s">
        <v>7</v>
      </c>
      <c r="ZR937" s="27" t="s">
        <v>7</v>
      </c>
      <c r="ZT937" s="27" t="s">
        <v>7</v>
      </c>
      <c r="ZV937" s="27" t="s">
        <v>7</v>
      </c>
      <c r="ZX937" s="27" t="s">
        <v>7</v>
      </c>
      <c r="ZZ937" s="27" t="s">
        <v>7</v>
      </c>
      <c r="AAB937" s="27" t="s">
        <v>7</v>
      </c>
      <c r="AAD937" s="27" t="s">
        <v>7</v>
      </c>
      <c r="AAF937" s="27" t="s">
        <v>7</v>
      </c>
      <c r="AAH937" s="27" t="s">
        <v>7</v>
      </c>
      <c r="AAJ937" s="27" t="s">
        <v>7</v>
      </c>
      <c r="AAL937" s="27" t="s">
        <v>7</v>
      </c>
      <c r="AAN937" s="27" t="s">
        <v>7</v>
      </c>
      <c r="AAP937" s="27" t="s">
        <v>7</v>
      </c>
      <c r="AAR937" s="27" t="s">
        <v>7</v>
      </c>
      <c r="AAT937" s="27" t="s">
        <v>7</v>
      </c>
      <c r="AAV937" s="27" t="s">
        <v>7</v>
      </c>
      <c r="AAX937" s="27" t="s">
        <v>7</v>
      </c>
      <c r="AAZ937" s="27" t="s">
        <v>7</v>
      </c>
      <c r="ABB937" s="27" t="s">
        <v>7</v>
      </c>
      <c r="ABD937" s="27" t="s">
        <v>7</v>
      </c>
      <c r="ABF937" s="27" t="s">
        <v>7</v>
      </c>
      <c r="ABH937" s="27" t="s">
        <v>7</v>
      </c>
      <c r="ABJ937" s="27" t="s">
        <v>7</v>
      </c>
      <c r="ABL937" s="27" t="s">
        <v>7</v>
      </c>
      <c r="ABN937" s="27" t="s">
        <v>7</v>
      </c>
      <c r="ABP937" s="27" t="s">
        <v>7</v>
      </c>
      <c r="ABR937" s="27" t="s">
        <v>7</v>
      </c>
      <c r="ABT937" s="27" t="s">
        <v>7</v>
      </c>
      <c r="ABV937" s="27" t="s">
        <v>7</v>
      </c>
      <c r="ABX937" s="27" t="s">
        <v>7</v>
      </c>
      <c r="ABZ937" s="27" t="s">
        <v>7</v>
      </c>
      <c r="ACB937" s="27" t="s">
        <v>7</v>
      </c>
      <c r="ACD937" s="27" t="s">
        <v>7</v>
      </c>
      <c r="ACF937" s="27" t="s">
        <v>7</v>
      </c>
      <c r="ACH937" s="27" t="s">
        <v>7</v>
      </c>
      <c r="ACJ937" s="27" t="s">
        <v>7</v>
      </c>
      <c r="ACL937" s="27" t="s">
        <v>7</v>
      </c>
      <c r="ACN937" s="27" t="s">
        <v>7</v>
      </c>
      <c r="ACP937" s="27" t="s">
        <v>7</v>
      </c>
      <c r="ACR937" s="27" t="s">
        <v>7</v>
      </c>
      <c r="ACT937" s="27" t="s">
        <v>7</v>
      </c>
      <c r="ACV937" s="27" t="s">
        <v>7</v>
      </c>
      <c r="ACX937" s="27" t="s">
        <v>7</v>
      </c>
      <c r="ACZ937" s="27" t="s">
        <v>7</v>
      </c>
      <c r="ADB937" s="27" t="s">
        <v>7</v>
      </c>
      <c r="ADD937" s="27" t="s">
        <v>7</v>
      </c>
      <c r="ADF937" s="27" t="s">
        <v>7</v>
      </c>
      <c r="ADH937" s="27" t="s">
        <v>7</v>
      </c>
      <c r="ADJ937" s="27" t="s">
        <v>7</v>
      </c>
      <c r="ADL937" s="27" t="s">
        <v>7</v>
      </c>
      <c r="ADN937" s="27" t="s">
        <v>7</v>
      </c>
      <c r="ADP937" s="27" t="s">
        <v>7</v>
      </c>
      <c r="ADR937" s="27" t="s">
        <v>7</v>
      </c>
      <c r="ADT937" s="27" t="s">
        <v>7</v>
      </c>
      <c r="ADV937" s="27" t="s">
        <v>7</v>
      </c>
      <c r="ADX937" s="27" t="s">
        <v>7</v>
      </c>
      <c r="ADZ937" s="27" t="s">
        <v>7</v>
      </c>
      <c r="AEB937" s="27" t="s">
        <v>7</v>
      </c>
      <c r="AED937" s="27" t="s">
        <v>7</v>
      </c>
      <c r="AEF937" s="27" t="s">
        <v>7</v>
      </c>
      <c r="AEH937" s="27" t="s">
        <v>7</v>
      </c>
      <c r="AEJ937" s="27" t="s">
        <v>7</v>
      </c>
      <c r="AEL937" s="27" t="s">
        <v>7</v>
      </c>
      <c r="AEN937" s="27" t="s">
        <v>7</v>
      </c>
      <c r="AEP937" s="27" t="s">
        <v>7</v>
      </c>
      <c r="AER937" s="27" t="s">
        <v>7</v>
      </c>
      <c r="AET937" s="27" t="s">
        <v>7</v>
      </c>
      <c r="AEV937" s="27" t="s">
        <v>7</v>
      </c>
      <c r="AEX937" s="27" t="s">
        <v>7</v>
      </c>
      <c r="AEZ937" s="27" t="s">
        <v>7</v>
      </c>
      <c r="AFB937" s="27" t="s">
        <v>7</v>
      </c>
      <c r="AFD937" s="27" t="s">
        <v>7</v>
      </c>
      <c r="AFF937" s="27" t="s">
        <v>7</v>
      </c>
      <c r="AFH937" s="27" t="s">
        <v>7</v>
      </c>
      <c r="AFJ937" s="27" t="s">
        <v>7</v>
      </c>
      <c r="AFL937" s="27" t="s">
        <v>7</v>
      </c>
      <c r="AFN937" s="27" t="s">
        <v>7</v>
      </c>
      <c r="AFP937" s="27" t="s">
        <v>7</v>
      </c>
      <c r="AFR937" s="27" t="s">
        <v>7</v>
      </c>
      <c r="AFT937" s="27" t="s">
        <v>7</v>
      </c>
      <c r="AFV937" s="27" t="s">
        <v>7</v>
      </c>
      <c r="AFX937" s="27" t="s">
        <v>7</v>
      </c>
      <c r="AFZ937" s="27" t="s">
        <v>7</v>
      </c>
      <c r="AGB937" s="27" t="s">
        <v>7</v>
      </c>
      <c r="AGD937" s="27" t="s">
        <v>7</v>
      </c>
      <c r="AGF937" s="27" t="s">
        <v>7</v>
      </c>
      <c r="AGH937" s="27" t="s">
        <v>7</v>
      </c>
      <c r="AGJ937" s="27" t="s">
        <v>7</v>
      </c>
      <c r="AGL937" s="27" t="s">
        <v>7</v>
      </c>
      <c r="AGN937" s="27" t="s">
        <v>7</v>
      </c>
      <c r="AGP937" s="27" t="s">
        <v>7</v>
      </c>
      <c r="AGR937" s="27" t="s">
        <v>7</v>
      </c>
      <c r="AGT937" s="27" t="s">
        <v>7</v>
      </c>
      <c r="AGV937" s="27" t="s">
        <v>7</v>
      </c>
      <c r="AGX937" s="27" t="s">
        <v>7</v>
      </c>
      <c r="AGZ937" s="27" t="s">
        <v>7</v>
      </c>
      <c r="AHB937" s="27" t="s">
        <v>7</v>
      </c>
      <c r="AHD937" s="27" t="s">
        <v>7</v>
      </c>
      <c r="AHF937" s="27" t="s">
        <v>7</v>
      </c>
      <c r="AHH937" s="27" t="s">
        <v>7</v>
      </c>
      <c r="AHJ937" s="27" t="s">
        <v>7</v>
      </c>
      <c r="AHL937" s="27" t="s">
        <v>7</v>
      </c>
      <c r="AHN937" s="27" t="s">
        <v>7</v>
      </c>
      <c r="AHP937" s="27" t="s">
        <v>7</v>
      </c>
    </row>
  </sheetData>
  <conditionalFormatting sqref="C27">
    <cfRule type="cellIs" dxfId="90" priority="1316" operator="equal">
      <formula>$U$1</formula>
    </cfRule>
    <cfRule type="cellIs" dxfId="89" priority="1317" operator="equal">
      <formula>$S$1</formula>
    </cfRule>
  </conditionalFormatting>
  <conditionalFormatting sqref="D27">
    <cfRule type="cellIs" dxfId="88" priority="1314" operator="equal">
      <formula>$S$1</formula>
    </cfRule>
    <cfRule type="cellIs" dxfId="87" priority="1315" operator="equal">
      <formula>$U$1</formula>
    </cfRule>
  </conditionalFormatting>
  <conditionalFormatting sqref="C164">
    <cfRule type="cellIs" dxfId="86" priority="1312" operator="equal">
      <formula>$U$1</formula>
    </cfRule>
    <cfRule type="cellIs" dxfId="85" priority="1313" operator="equal">
      <formula>$S$1</formula>
    </cfRule>
  </conditionalFormatting>
  <conditionalFormatting sqref="D164">
    <cfRule type="cellIs" dxfId="84" priority="1310" operator="equal">
      <formula>$S$1</formula>
    </cfRule>
    <cfRule type="cellIs" dxfId="83" priority="1311" operator="equal">
      <formula>$U$1</formula>
    </cfRule>
  </conditionalFormatting>
  <conditionalFormatting sqref="C55">
    <cfRule type="cellIs" dxfId="82" priority="1308" operator="equal">
      <formula>$U$1</formula>
    </cfRule>
    <cfRule type="cellIs" dxfId="81" priority="1309" operator="equal">
      <formula>$S$1</formula>
    </cfRule>
  </conditionalFormatting>
  <conditionalFormatting sqref="D55">
    <cfRule type="cellIs" dxfId="80" priority="1306" operator="equal">
      <formula>$S$1</formula>
    </cfRule>
    <cfRule type="cellIs" dxfId="79" priority="1307" operator="equal">
      <formula>$U$1</formula>
    </cfRule>
  </conditionalFormatting>
  <conditionalFormatting sqref="C89">
    <cfRule type="cellIs" dxfId="78" priority="1304" operator="equal">
      <formula>$U$1</formula>
    </cfRule>
    <cfRule type="cellIs" dxfId="77" priority="1305" operator="equal">
      <formula>$S$1</formula>
    </cfRule>
  </conditionalFormatting>
  <conditionalFormatting sqref="D89">
    <cfRule type="cellIs" dxfId="76" priority="1302" operator="equal">
      <formula>$S$1</formula>
    </cfRule>
    <cfRule type="cellIs" dxfId="75" priority="1303" operator="equal">
      <formula>$U$1</formula>
    </cfRule>
  </conditionalFormatting>
  <conditionalFormatting sqref="C136">
    <cfRule type="cellIs" dxfId="74" priority="1300" operator="equal">
      <formula>$U$1</formula>
    </cfRule>
    <cfRule type="cellIs" dxfId="73" priority="1301" operator="equal">
      <formula>$S$1</formula>
    </cfRule>
  </conditionalFormatting>
  <conditionalFormatting sqref="D136">
    <cfRule type="cellIs" dxfId="72" priority="1298" operator="equal">
      <formula>$S$1</formula>
    </cfRule>
    <cfRule type="cellIs" dxfId="71" priority="1299" operator="equal">
      <formula>$U$1</formula>
    </cfRule>
  </conditionalFormatting>
  <conditionalFormatting sqref="C1">
    <cfRule type="cellIs" dxfId="70" priority="129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FA403" sqref="FA40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$A$402</v>
      </c>
      <c r="D111" s="1" t="str">
        <f>ADDRESS(C121-1,D121,1,1)</f>
        <v>$FA$402</v>
      </c>
      <c r="E111"/>
    </row>
    <row r="112" spans="1:5" x14ac:dyDescent="0.25">
      <c r="A112" s="30">
        <v>515.50191262726139</v>
      </c>
      <c r="C112" s="1" t="str">
        <f>ADDRESS(C121,1,1,1)</f>
        <v>$A$403</v>
      </c>
      <c r="D112" s="1" t="str">
        <f>ADDRESS(C121,D121-1,1,1)</f>
        <v>$EZ$403</v>
      </c>
      <c r="E112"/>
    </row>
    <row r="113" spans="1:5" x14ac:dyDescent="0.25">
      <c r="A113" s="30">
        <v>490.95420250215363</v>
      </c>
      <c r="C113" s="1" t="str">
        <f>ADDRESS(C121+1,1,1,1)</f>
        <v>$A$404</v>
      </c>
      <c r="D113" s="1" t="str">
        <f>ADDRESS(C121-1,D121+1,1,1)</f>
        <v>$FB$402</v>
      </c>
    </row>
    <row r="114" spans="1:5" x14ac:dyDescent="0.25">
      <c r="A114" s="30">
        <v>467.57543095443202</v>
      </c>
      <c r="C114" s="1" t="str">
        <f>ADDRESS(C121,D121,1,1)</f>
        <v>$FA$403</v>
      </c>
      <c r="D114" s="1" t="str">
        <f>ADDRESS(C121+1,D121+1,1,1)</f>
        <v>$FB$404</v>
      </c>
    </row>
    <row r="115" spans="1:5" x14ac:dyDescent="0.25">
      <c r="A115" s="30">
        <v>445.30993424231622</v>
      </c>
      <c r="C115" s="1" t="str">
        <f>ADDRESS(C121+1,D121,1,1)</f>
        <v>$FA$404</v>
      </c>
    </row>
    <row r="116" spans="1:5" x14ac:dyDescent="0.25">
      <c r="A116" s="30">
        <v>424.10469927839637</v>
      </c>
      <c r="C116" s="1">
        <f>C117-1</f>
        <v>402</v>
      </c>
    </row>
    <row r="117" spans="1:5" x14ac:dyDescent="0.25">
      <c r="A117" s="30">
        <v>403.9092374079965</v>
      </c>
      <c r="C117" s="1">
        <f>C121</f>
        <v>403</v>
      </c>
      <c r="D117" s="1">
        <f>D121</f>
        <v>157</v>
      </c>
    </row>
    <row r="118" spans="1:5" x14ac:dyDescent="0.25">
      <c r="A118" s="30">
        <v>384.6754641980919</v>
      </c>
      <c r="C118" s="1">
        <f>C117+1</f>
        <v>404</v>
      </c>
      <c r="D118" s="1">
        <f>D117+1</f>
        <v>158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403</v>
      </c>
      <c r="D121" s="19">
        <v>157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R403</v>
      </c>
      <c r="D123" s="1" t="str">
        <f>"C"&amp;D121</f>
        <v>C157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3.3283435492036491E-4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6" x14ac:dyDescent="0.25">
      <c r="A273" s="30">
        <v>0.19987253960121379</v>
      </c>
      <c r="B273"/>
      <c r="C273"/>
      <c r="D273"/>
      <c r="E273"/>
      <c r="F273" s="27" t="s">
        <v>7</v>
      </c>
    </row>
    <row r="274" spans="1:6" x14ac:dyDescent="0.25">
      <c r="A274" s="30">
        <v>0.19035479962020352</v>
      </c>
      <c r="B274"/>
      <c r="C274"/>
      <c r="D274"/>
      <c r="E274"/>
      <c r="F274" s="27" t="s">
        <v>7</v>
      </c>
    </row>
    <row r="275" spans="1:6" x14ac:dyDescent="0.25">
      <c r="A275" s="30">
        <v>0.18129028535257471</v>
      </c>
      <c r="B275"/>
      <c r="C275"/>
      <c r="D275"/>
      <c r="E275"/>
      <c r="F275" s="27" t="s">
        <v>7</v>
      </c>
    </row>
    <row r="276" spans="1:6" x14ac:dyDescent="0.25">
      <c r="A276" s="30">
        <v>0.17265741462149967</v>
      </c>
      <c r="B276"/>
      <c r="C276"/>
      <c r="D276"/>
      <c r="E276"/>
      <c r="F276" s="27" t="s">
        <v>7</v>
      </c>
    </row>
    <row r="277" spans="1:6" x14ac:dyDescent="0.25">
      <c r="A277" s="30">
        <v>0.16443563297285677</v>
      </c>
      <c r="B277"/>
      <c r="C277"/>
      <c r="D277"/>
      <c r="E277"/>
      <c r="F277" s="27" t="s">
        <v>7</v>
      </c>
    </row>
    <row r="278" spans="1:6" x14ac:dyDescent="0.25">
      <c r="A278" s="30">
        <v>0.15660536473605399</v>
      </c>
      <c r="B278"/>
      <c r="C278"/>
      <c r="D278"/>
      <c r="E278"/>
      <c r="F278" s="27" t="s">
        <v>7</v>
      </c>
    </row>
    <row r="279" spans="1:6" x14ac:dyDescent="0.25">
      <c r="A279" s="30">
        <v>0.14914796641528946</v>
      </c>
      <c r="B279"/>
      <c r="C279"/>
      <c r="D279"/>
      <c r="E279"/>
      <c r="F279" s="27" t="s">
        <v>7</v>
      </c>
    </row>
    <row r="280" spans="1:6" x14ac:dyDescent="0.25">
      <c r="A280" s="30">
        <v>0.14204568230027562</v>
      </c>
      <c r="B280"/>
      <c r="C280"/>
      <c r="D280"/>
      <c r="E280"/>
      <c r="F280" s="27" t="s">
        <v>7</v>
      </c>
    </row>
    <row r="281" spans="1:6" x14ac:dyDescent="0.25">
      <c r="A281" s="30">
        <v>0.13528160219073862</v>
      </c>
      <c r="B281"/>
      <c r="C281"/>
      <c r="D281"/>
      <c r="E281"/>
      <c r="F281" s="27" t="s">
        <v>7</v>
      </c>
    </row>
    <row r="282" spans="1:6" x14ac:dyDescent="0.25">
      <c r="A282" s="30">
        <v>0.12883962113403674</v>
      </c>
      <c r="B282"/>
      <c r="C282"/>
      <c r="D282"/>
      <c r="E282"/>
      <c r="F282" s="27" t="s">
        <v>7</v>
      </c>
    </row>
    <row r="283" spans="1:6" x14ac:dyDescent="0.25">
      <c r="A283" s="30">
        <v>0.12270440108003494</v>
      </c>
      <c r="B283"/>
      <c r="C283"/>
      <c r="D283"/>
      <c r="E283"/>
      <c r="F283" s="27" t="s">
        <v>7</v>
      </c>
    </row>
    <row r="284" spans="1:6" x14ac:dyDescent="0.25">
      <c r="A284" s="30">
        <v>0.11686133436193799</v>
      </c>
      <c r="B284"/>
      <c r="C284"/>
      <c r="D284"/>
      <c r="E284"/>
      <c r="F284" s="27" t="s">
        <v>7</v>
      </c>
    </row>
    <row r="285" spans="1:6" x14ac:dyDescent="0.25">
      <c r="A285" s="30">
        <v>0.11129650891613138</v>
      </c>
      <c r="B285"/>
      <c r="C285"/>
      <c r="D285"/>
      <c r="E285"/>
      <c r="F285" s="27" t="s">
        <v>7</v>
      </c>
    </row>
    <row r="286" spans="1:6" x14ac:dyDescent="0.25">
      <c r="A286" s="30">
        <v>0.10599667515822032</v>
      </c>
      <c r="B286"/>
      <c r="C286"/>
      <c r="D286"/>
      <c r="E286"/>
      <c r="F286" s="27" t="s">
        <v>7</v>
      </c>
    </row>
    <row r="287" spans="1:6" x14ac:dyDescent="0.25">
      <c r="A287" s="30">
        <v>0.10094921443640027</v>
      </c>
      <c r="B287"/>
      <c r="C287"/>
      <c r="D287"/>
      <c r="E287"/>
      <c r="F287" s="27" t="s">
        <v>7</v>
      </c>
    </row>
    <row r="288" spans="1:6" x14ac:dyDescent="0.25">
      <c r="A288" s="30">
        <v>9.6142108987047836E-2</v>
      </c>
      <c r="B288"/>
      <c r="C288"/>
      <c r="D288"/>
      <c r="E288"/>
      <c r="F288" s="27" t="s">
        <v>7</v>
      </c>
    </row>
    <row r="289" spans="1:6" x14ac:dyDescent="0.25">
      <c r="A289" s="30">
        <v>9.1563913320997906E-2</v>
      </c>
      <c r="B289"/>
      <c r="C289"/>
      <c r="D289"/>
      <c r="E289"/>
      <c r="F289" s="27" t="s">
        <v>7</v>
      </c>
    </row>
    <row r="290" spans="1:6" x14ac:dyDescent="0.25">
      <c r="A290" s="30">
        <v>8.7203726972378923E-2</v>
      </c>
      <c r="B290"/>
      <c r="C290"/>
      <c r="D290"/>
      <c r="E290"/>
      <c r="F290" s="27" t="s">
        <v>7</v>
      </c>
    </row>
    <row r="291" spans="1:6" x14ac:dyDescent="0.25">
      <c r="A291" s="30">
        <v>8.3051168545122747E-2</v>
      </c>
      <c r="B291"/>
      <c r="C291"/>
      <c r="D291"/>
      <c r="E291"/>
      <c r="F291" s="27" t="s">
        <v>7</v>
      </c>
    </row>
    <row r="292" spans="1:6" x14ac:dyDescent="0.25">
      <c r="A292" s="30">
        <v>7.9096350995354961E-2</v>
      </c>
      <c r="B292"/>
      <c r="C292"/>
      <c r="D292"/>
      <c r="E292"/>
      <c r="F292" s="27" t="s">
        <v>7</v>
      </c>
    </row>
    <row r="293" spans="1:6" x14ac:dyDescent="0.25">
      <c r="A293" s="30">
        <v>7.5329858090814217E-2</v>
      </c>
      <c r="B293"/>
      <c r="C293"/>
      <c r="D293"/>
      <c r="E293"/>
      <c r="F293" s="27" t="s">
        <v>7</v>
      </c>
    </row>
    <row r="294" spans="1:6" x14ac:dyDescent="0.25">
      <c r="A294" s="30">
        <v>7.1742721991251604E-2</v>
      </c>
      <c r="B294"/>
      <c r="C294"/>
      <c r="D294"/>
      <c r="E294"/>
      <c r="F294" s="27" t="s">
        <v>7</v>
      </c>
    </row>
    <row r="295" spans="1:6" x14ac:dyDescent="0.25">
      <c r="A295" s="30">
        <v>6.8326401896430078E-2</v>
      </c>
      <c r="B295"/>
      <c r="C295"/>
      <c r="D295"/>
      <c r="E295"/>
      <c r="F295" s="27" t="s">
        <v>7</v>
      </c>
    </row>
    <row r="296" spans="1:6" x14ac:dyDescent="0.25">
      <c r="A296" s="30">
        <v>6.5072763710885759E-2</v>
      </c>
      <c r="B296"/>
      <c r="C296"/>
      <c r="D296"/>
      <c r="E296"/>
      <c r="F296" s="27" t="s">
        <v>7</v>
      </c>
    </row>
    <row r="297" spans="1:6" x14ac:dyDescent="0.25">
      <c r="A297" s="30">
        <v>6.197406067703403E-2</v>
      </c>
      <c r="B297"/>
      <c r="C297"/>
      <c r="D297"/>
      <c r="E297"/>
      <c r="F297" s="27" t="s">
        <v>7</v>
      </c>
    </row>
    <row r="298" spans="1:6" x14ac:dyDescent="0.25">
      <c r="A298" s="30">
        <v>5.9022914930508576E-2</v>
      </c>
      <c r="B298"/>
      <c r="C298"/>
      <c r="D298"/>
      <c r="E298"/>
      <c r="F298" s="27" t="s">
        <v>7</v>
      </c>
    </row>
    <row r="299" spans="1:6" x14ac:dyDescent="0.25">
      <c r="A299" s="30">
        <v>5.6212299933817669E-2</v>
      </c>
      <c r="B299"/>
      <c r="C299"/>
      <c r="D299"/>
      <c r="E299"/>
      <c r="F299" s="27" t="s">
        <v>7</v>
      </c>
    </row>
    <row r="300" spans="1:6" x14ac:dyDescent="0.25">
      <c r="A300" s="30">
        <v>5.3535523746492994E-2</v>
      </c>
      <c r="B300"/>
      <c r="C300"/>
      <c r="D300"/>
      <c r="E300"/>
      <c r="F300" s="27" t="s">
        <v>7</v>
      </c>
    </row>
    <row r="301" spans="1:6" x14ac:dyDescent="0.25">
      <c r="A301" s="30">
        <v>5.0986213091898068E-2</v>
      </c>
      <c r="B301"/>
      <c r="C301"/>
      <c r="D301"/>
      <c r="E301"/>
      <c r="F301" s="27" t="s">
        <v>7</v>
      </c>
    </row>
    <row r="302" spans="1:6" x14ac:dyDescent="0.25">
      <c r="A302" s="30">
        <v>4.8558298182760043E-2</v>
      </c>
      <c r="B302"/>
      <c r="C302"/>
      <c r="D302"/>
      <c r="E302"/>
      <c r="F302" s="27" t="s">
        <v>7</v>
      </c>
    </row>
    <row r="303" spans="1:6" x14ac:dyDescent="0.25">
      <c r="A303" s="30">
        <v>4.6245998269295263E-2</v>
      </c>
      <c r="B303"/>
      <c r="C303"/>
      <c r="D303"/>
      <c r="E303"/>
      <c r="F303" s="27" t="s">
        <v>7</v>
      </c>
    </row>
    <row r="304" spans="1:6" x14ac:dyDescent="0.25">
      <c r="A304" s="30">
        <v>4.4043807875519279E-2</v>
      </c>
      <c r="B304"/>
      <c r="C304"/>
      <c r="D304"/>
      <c r="E304"/>
      <c r="F304" s="27" t="s">
        <v>7</v>
      </c>
    </row>
    <row r="305" spans="1:6" x14ac:dyDescent="0.25">
      <c r="A305" s="30">
        <v>4.1946483690970725E-2</v>
      </c>
      <c r="B305"/>
      <c r="C305"/>
      <c r="D305"/>
      <c r="E305"/>
      <c r="F305" s="27" t="s">
        <v>7</v>
      </c>
    </row>
    <row r="306" spans="1:6" x14ac:dyDescent="0.25">
      <c r="A306" s="30">
        <v>3.9949032086638768E-2</v>
      </c>
      <c r="B306"/>
      <c r="C306"/>
      <c r="D306"/>
      <c r="E306"/>
      <c r="F306" s="27" t="s">
        <v>7</v>
      </c>
    </row>
    <row r="307" spans="1:6" x14ac:dyDescent="0.25">
      <c r="A307" s="30">
        <v>3.8046697225370241E-2</v>
      </c>
      <c r="B307"/>
      <c r="C307"/>
      <c r="D307"/>
      <c r="E307"/>
      <c r="F307" s="27" t="s">
        <v>7</v>
      </c>
    </row>
    <row r="308" spans="1:6" x14ac:dyDescent="0.25">
      <c r="A308" s="30">
        <v>3.6234949738447833E-2</v>
      </c>
      <c r="B308"/>
      <c r="C308"/>
      <c r="D308"/>
      <c r="E308"/>
      <c r="F308" s="27" t="s">
        <v>7</v>
      </c>
    </row>
    <row r="309" spans="1:6" x14ac:dyDescent="0.25">
      <c r="A309" s="30">
        <v>3.4509475941378875E-2</v>
      </c>
      <c r="B309"/>
      <c r="C309"/>
      <c r="D309"/>
      <c r="E309"/>
      <c r="F309" s="27" t="s">
        <v>7</v>
      </c>
    </row>
    <row r="310" spans="1:6" x14ac:dyDescent="0.25">
      <c r="A310" s="30">
        <v>3.286616756321796E-2</v>
      </c>
      <c r="B310"/>
      <c r="C310"/>
      <c r="D310"/>
      <c r="E310"/>
      <c r="F310" s="27" t="s">
        <v>7</v>
      </c>
    </row>
    <row r="311" spans="1:6" x14ac:dyDescent="0.25">
      <c r="A311" s="30">
        <v>3.1301111964969472E-2</v>
      </c>
      <c r="B311"/>
      <c r="C311"/>
      <c r="D311"/>
      <c r="E311"/>
      <c r="F311" s="27" t="s">
        <v>7</v>
      </c>
    </row>
    <row r="312" spans="1:6" x14ac:dyDescent="0.25">
      <c r="A312" s="30">
        <v>2.9810582823780438E-2</v>
      </c>
      <c r="B312"/>
      <c r="C312"/>
      <c r="D312"/>
      <c r="E312"/>
      <c r="F312" s="27" t="s">
        <v>7</v>
      </c>
    </row>
    <row r="313" spans="1:6" x14ac:dyDescent="0.25">
      <c r="A313" s="30">
        <v>2.8391031260743264E-2</v>
      </c>
      <c r="B313"/>
      <c r="C313"/>
      <c r="D313"/>
      <c r="E313"/>
      <c r="F313" s="27" t="s">
        <v>7</v>
      </c>
    </row>
    <row r="314" spans="1:6" x14ac:dyDescent="0.25">
      <c r="A314" s="30">
        <v>2.7039077391184052E-2</v>
      </c>
      <c r="B314"/>
      <c r="C314"/>
      <c r="D314"/>
      <c r="E314"/>
      <c r="F314" s="27" t="s">
        <v>7</v>
      </c>
    </row>
    <row r="315" spans="1:6" x14ac:dyDescent="0.25">
      <c r="A315" s="30">
        <v>2.5751502277318133E-2</v>
      </c>
      <c r="B315"/>
      <c r="C315"/>
      <c r="D315"/>
      <c r="E315"/>
      <c r="F315" s="27" t="s">
        <v>7</v>
      </c>
    </row>
    <row r="316" spans="1:6" x14ac:dyDescent="0.25">
      <c r="A316" s="30">
        <v>2.4525240264112496E-2</v>
      </c>
      <c r="B316"/>
      <c r="C316"/>
      <c r="D316"/>
      <c r="E316"/>
      <c r="F316" s="27" t="s">
        <v>7</v>
      </c>
    </row>
    <row r="317" spans="1:6" x14ac:dyDescent="0.25">
      <c r="A317" s="30">
        <v>2.3357371680107129E-2</v>
      </c>
      <c r="B317"/>
      <c r="C317"/>
      <c r="D317"/>
      <c r="E317"/>
      <c r="F317" s="27" t="s">
        <v>7</v>
      </c>
    </row>
    <row r="318" spans="1:6" x14ac:dyDescent="0.25">
      <c r="A318" s="30">
        <v>2.2245115885816305E-2</v>
      </c>
      <c r="B318"/>
      <c r="C318"/>
      <c r="D318"/>
      <c r="E318"/>
      <c r="F318" s="27" t="s">
        <v>7</v>
      </c>
    </row>
    <row r="319" spans="1:6" x14ac:dyDescent="0.25">
      <c r="A319" s="30">
        <v>2.1185824653158377E-2</v>
      </c>
      <c r="B319"/>
      <c r="C319"/>
      <c r="D319"/>
      <c r="E319"/>
      <c r="F319" s="27" t="s">
        <v>7</v>
      </c>
    </row>
    <row r="320" spans="1:6" x14ac:dyDescent="0.25">
      <c r="A320" s="30">
        <v>2.0176975860150829E-2</v>
      </c>
      <c r="B320"/>
      <c r="C320"/>
      <c r="D320"/>
      <c r="E320"/>
      <c r="F320" s="27" t="s">
        <v>7</v>
      </c>
    </row>
    <row r="321" spans="1:6" x14ac:dyDescent="0.25">
      <c r="A321" s="30">
        <v>1.9216167485857926E-2</v>
      </c>
      <c r="B321"/>
      <c r="C321"/>
      <c r="D321"/>
      <c r="E321"/>
      <c r="F321" s="27" t="s">
        <v>7</v>
      </c>
    </row>
    <row r="322" spans="1:6" x14ac:dyDescent="0.25">
      <c r="A322" s="30">
        <v>1.8301111891293256E-2</v>
      </c>
      <c r="B322"/>
      <c r="C322"/>
      <c r="D322"/>
      <c r="E322"/>
      <c r="F322" s="27" t="s">
        <v>7</v>
      </c>
    </row>
    <row r="323" spans="1:6" x14ac:dyDescent="0.25">
      <c r="A323" s="30">
        <v>1.7429630372660238E-2</v>
      </c>
      <c r="B323"/>
      <c r="C323"/>
      <c r="D323"/>
      <c r="E323"/>
      <c r="F323" s="27" t="s">
        <v>7</v>
      </c>
    </row>
    <row r="324" spans="1:6" x14ac:dyDescent="0.25">
      <c r="A324" s="30">
        <v>1.6599647973962125E-2</v>
      </c>
      <c r="B324"/>
      <c r="C324"/>
      <c r="D324"/>
      <c r="E324"/>
      <c r="F324" s="27" t="s">
        <v>7</v>
      </c>
    </row>
    <row r="325" spans="1:6" x14ac:dyDescent="0.25">
      <c r="A325" s="30">
        <v>1.580918854663059E-2</v>
      </c>
      <c r="B325"/>
      <c r="C325"/>
      <c r="D325"/>
      <c r="E325"/>
      <c r="F325" s="27" t="s">
        <v>7</v>
      </c>
    </row>
    <row r="326" spans="1:6" x14ac:dyDescent="0.25">
      <c r="A326" s="30">
        <v>1.5056370044410079E-2</v>
      </c>
      <c r="B326"/>
      <c r="C326"/>
      <c r="D326"/>
      <c r="E326"/>
      <c r="F326" s="27" t="s">
        <v>7</v>
      </c>
    </row>
    <row r="327" spans="1:6" x14ac:dyDescent="0.25">
      <c r="A327" s="30">
        <v>1.4339400042295308E-2</v>
      </c>
      <c r="B327"/>
      <c r="C327"/>
      <c r="D327"/>
      <c r="E327"/>
      <c r="F327" s="27" t="s">
        <v>7</v>
      </c>
    </row>
    <row r="328" spans="1:6" x14ac:dyDescent="0.25">
      <c r="A328" s="30">
        <v>1.365657146885267E-2</v>
      </c>
      <c r="B328"/>
      <c r="C328"/>
      <c r="D328"/>
      <c r="E328"/>
      <c r="F328" s="27" t="s">
        <v>7</v>
      </c>
    </row>
    <row r="329" spans="1:6" x14ac:dyDescent="0.25">
      <c r="A329" s="30">
        <v>1.3006258541764442E-2</v>
      </c>
      <c r="B329"/>
      <c r="C329"/>
      <c r="D329"/>
      <c r="E329"/>
      <c r="F329" s="27" t="s">
        <v>7</v>
      </c>
    </row>
    <row r="330" spans="1:6" x14ac:dyDescent="0.25">
      <c r="A330" s="30">
        <v>1.2386912896918512E-2</v>
      </c>
      <c r="B330"/>
      <c r="C330"/>
      <c r="D330"/>
      <c r="E330"/>
      <c r="F330" s="27" t="s">
        <v>7</v>
      </c>
    </row>
    <row r="331" spans="1:6" x14ac:dyDescent="0.25">
      <c r="A331" s="30">
        <v>1.179705990182715E-2</v>
      </c>
      <c r="B331"/>
      <c r="C331"/>
      <c r="D331"/>
      <c r="E331"/>
      <c r="F331" s="27" t="s">
        <v>7</v>
      </c>
    </row>
    <row r="332" spans="1:6" x14ac:dyDescent="0.25">
      <c r="A332" s="30">
        <v>1.1235295144597281E-2</v>
      </c>
      <c r="B332"/>
      <c r="C332"/>
      <c r="D332"/>
      <c r="E332"/>
      <c r="F332" s="27" t="s">
        <v>7</v>
      </c>
    </row>
    <row r="333" spans="1:6" x14ac:dyDescent="0.25">
      <c r="A333" s="30">
        <v>1.0700281090092644E-2</v>
      </c>
      <c r="B333"/>
      <c r="C333"/>
      <c r="D333"/>
      <c r="E333"/>
      <c r="F333" s="27" t="s">
        <v>7</v>
      </c>
    </row>
    <row r="334" spans="1:6" x14ac:dyDescent="0.25">
      <c r="A334" s="30">
        <v>1.0190743895326324E-2</v>
      </c>
      <c r="B334"/>
      <c r="C334"/>
      <c r="D334"/>
      <c r="E334"/>
      <c r="F334" s="27" t="s">
        <v>7</v>
      </c>
    </row>
    <row r="335" spans="1:6" x14ac:dyDescent="0.25">
      <c r="A335" s="30">
        <v>9.7054703765012563E-3</v>
      </c>
      <c r="B335"/>
      <c r="C335"/>
      <c r="D335"/>
      <c r="E335"/>
      <c r="F335" s="27" t="s">
        <v>7</v>
      </c>
    </row>
    <row r="336" spans="1:6" x14ac:dyDescent="0.25">
      <c r="A336" s="30">
        <v>9.2433051204773835E-3</v>
      </c>
      <c r="B336"/>
      <c r="C336"/>
      <c r="D336"/>
      <c r="E336"/>
      <c r="F336" s="27" t="s">
        <v>7</v>
      </c>
    </row>
    <row r="337" spans="1:6" x14ac:dyDescent="0.25">
      <c r="A337" s="30">
        <v>8.8031477337879808E-3</v>
      </c>
      <c r="B337"/>
      <c r="C337"/>
      <c r="D337"/>
      <c r="E337"/>
      <c r="F337" s="27" t="s">
        <v>7</v>
      </c>
    </row>
    <row r="338" spans="1:6" x14ac:dyDescent="0.25">
      <c r="A338" s="30">
        <v>8.3839502226552166E-3</v>
      </c>
      <c r="B338"/>
      <c r="C338"/>
      <c r="D338"/>
      <c r="E338"/>
      <c r="F338" s="27" t="s">
        <v>7</v>
      </c>
    </row>
    <row r="339" spans="1:6" x14ac:dyDescent="0.25">
      <c r="A339" s="30">
        <v>7.9847144977668698E-3</v>
      </c>
      <c r="B339"/>
      <c r="C339"/>
      <c r="D339"/>
      <c r="E339"/>
      <c r="F339" s="27" t="s">
        <v>7</v>
      </c>
    </row>
    <row r="340" spans="1:6" x14ac:dyDescent="0.25">
      <c r="A340" s="30">
        <v>7.6044899978732058E-3</v>
      </c>
      <c r="B340"/>
      <c r="C340"/>
      <c r="D340"/>
      <c r="E340"/>
      <c r="F340" s="27" t="s">
        <v>7</v>
      </c>
    </row>
    <row r="341" spans="1:6" x14ac:dyDescent="0.25">
      <c r="A341" s="30">
        <v>7.2423714265459072E-3</v>
      </c>
      <c r="B341"/>
      <c r="C341"/>
      <c r="D341"/>
      <c r="E341"/>
      <c r="F341" s="27" t="s">
        <v>7</v>
      </c>
    </row>
    <row r="342" spans="1:6" x14ac:dyDescent="0.25">
      <c r="A342" s="30">
        <v>6.8974965967103846E-3</v>
      </c>
      <c r="B342"/>
      <c r="C342"/>
      <c r="D342"/>
      <c r="E342"/>
      <c r="F342" s="27" t="s">
        <v>7</v>
      </c>
    </row>
    <row r="343" spans="1:6" x14ac:dyDescent="0.25">
      <c r="A343" s="30">
        <v>6.5690443778194116E-3</v>
      </c>
      <c r="B343"/>
      <c r="C343"/>
      <c r="D343"/>
      <c r="E343"/>
      <c r="F343" s="27" t="s">
        <v>7</v>
      </c>
    </row>
    <row r="344" spans="1:6" x14ac:dyDescent="0.25">
      <c r="A344" s="30">
        <v>6.2562327407803897E-3</v>
      </c>
      <c r="B344"/>
      <c r="C344"/>
      <c r="D344"/>
      <c r="E344"/>
      <c r="F344" s="27" t="s">
        <v>7</v>
      </c>
    </row>
    <row r="345" spans="1:6" x14ac:dyDescent="0.25">
      <c r="A345" s="30">
        <v>5.9583168959813212E-3</v>
      </c>
      <c r="B345"/>
      <c r="C345"/>
      <c r="D345"/>
      <c r="E345"/>
      <c r="F345" s="27" t="s">
        <v>7</v>
      </c>
    </row>
    <row r="346" spans="1:6" x14ac:dyDescent="0.25">
      <c r="A346" s="30">
        <v>5.6745875199822084E-3</v>
      </c>
      <c r="B346"/>
      <c r="C346"/>
      <c r="D346"/>
      <c r="E346"/>
      <c r="F346" s="27" t="s">
        <v>7</v>
      </c>
    </row>
    <row r="347" spans="1:6" x14ac:dyDescent="0.25">
      <c r="A347" s="30">
        <v>5.4043690666497205E-3</v>
      </c>
      <c r="B347"/>
      <c r="C347"/>
      <c r="D347"/>
      <c r="E347"/>
      <c r="F347" s="27" t="s">
        <v>7</v>
      </c>
    </row>
    <row r="348" spans="1:6" x14ac:dyDescent="0.25">
      <c r="A348" s="30">
        <v>5.1470181587140174E-3</v>
      </c>
      <c r="B348"/>
      <c r="C348"/>
      <c r="D348"/>
      <c r="E348"/>
      <c r="F348" s="27" t="s">
        <v>7</v>
      </c>
    </row>
    <row r="349" spans="1:6" x14ac:dyDescent="0.25">
      <c r="A349" s="30">
        <v>4.9019220559181099E-3</v>
      </c>
      <c r="B349"/>
      <c r="C349"/>
      <c r="D349"/>
      <c r="E349"/>
      <c r="F349" s="27" t="s">
        <v>7</v>
      </c>
    </row>
    <row r="350" spans="1:6" x14ac:dyDescent="0.25">
      <c r="A350" s="30">
        <v>4.6684971961124836E-3</v>
      </c>
      <c r="B350"/>
      <c r="C350"/>
      <c r="D350"/>
      <c r="E350"/>
      <c r="F350" s="27" t="s">
        <v>7</v>
      </c>
    </row>
    <row r="351" spans="1:6" x14ac:dyDescent="0.25">
      <c r="A351" s="30">
        <v>4.4461878058214112E-3</v>
      </c>
      <c r="B351"/>
      <c r="C351"/>
      <c r="D351"/>
      <c r="E351"/>
      <c r="F351" s="27" t="s">
        <v>7</v>
      </c>
    </row>
    <row r="352" spans="1:6" x14ac:dyDescent="0.25">
      <c r="A352" s="30">
        <v>4.2344645769727711E-3</v>
      </c>
      <c r="B352"/>
      <c r="C352"/>
      <c r="D352"/>
      <c r="E352"/>
      <c r="F352" s="27" t="s">
        <v>7</v>
      </c>
    </row>
    <row r="353" spans="1:84" x14ac:dyDescent="0.25">
      <c r="A353" s="30">
        <v>4.0328234066407329E-3</v>
      </c>
      <c r="B353"/>
      <c r="C353"/>
      <c r="D353"/>
      <c r="E353"/>
      <c r="F353" s="27" t="s">
        <v>7</v>
      </c>
    </row>
    <row r="354" spans="1:84" x14ac:dyDescent="0.25">
      <c r="A354" s="30">
        <v>3.8407841968006963E-3</v>
      </c>
      <c r="B354"/>
      <c r="C354"/>
      <c r="D354"/>
      <c r="E354"/>
      <c r="F354" s="27" t="s">
        <v>7</v>
      </c>
    </row>
    <row r="355" spans="1:84" x14ac:dyDescent="0.25">
      <c r="A355" s="30">
        <v>3.6578897112387568E-3</v>
      </c>
      <c r="B355"/>
      <c r="C355"/>
      <c r="D355"/>
      <c r="E355"/>
      <c r="F355" s="27" t="s">
        <v>7</v>
      </c>
    </row>
    <row r="356" spans="1:84" x14ac:dyDescent="0.25">
      <c r="A356" s="30">
        <v>3.4837044868940526E-3</v>
      </c>
      <c r="B356"/>
      <c r="C356"/>
      <c r="D356"/>
      <c r="E356"/>
      <c r="F356" s="27" t="s">
        <v>7</v>
      </c>
    </row>
    <row r="357" spans="1:84" x14ac:dyDescent="0.25">
      <c r="A357" s="30">
        <v>3.3178137970419535E-3</v>
      </c>
      <c r="B357"/>
      <c r="C357"/>
      <c r="D357"/>
      <c r="E357"/>
      <c r="F357" s="27" t="s">
        <v>7</v>
      </c>
    </row>
    <row r="358" spans="1:84" x14ac:dyDescent="0.25">
      <c r="A358" s="30">
        <v>3.1598226638494781E-3</v>
      </c>
      <c r="B358"/>
      <c r="C358"/>
      <c r="D358"/>
      <c r="E358"/>
      <c r="F358" s="27" t="s">
        <v>7</v>
      </c>
    </row>
    <row r="359" spans="1:84" x14ac:dyDescent="0.25">
      <c r="A359" s="30">
        <v>3.0093549179518826E-3</v>
      </c>
      <c r="B359"/>
      <c r="C359"/>
      <c r="D359"/>
      <c r="E359"/>
      <c r="F359" s="27" t="s">
        <v>7</v>
      </c>
    </row>
    <row r="360" spans="1:84" x14ac:dyDescent="0.25">
      <c r="A360" s="30">
        <v>2.8660523028113155E-3</v>
      </c>
      <c r="B360"/>
      <c r="C360"/>
      <c r="D360"/>
      <c r="E360"/>
      <c r="F360" s="27" t="s">
        <v>7</v>
      </c>
      <c r="CC360" s="27" t="s">
        <v>8</v>
      </c>
    </row>
    <row r="361" spans="1:84" x14ac:dyDescent="0.25">
      <c r="A361" s="30">
        <v>2.7295736217250611E-3</v>
      </c>
      <c r="B361"/>
      <c r="C361"/>
      <c r="D361"/>
      <c r="E361"/>
      <c r="F361" s="27" t="s">
        <v>7</v>
      </c>
      <c r="CC361" s="27" t="s">
        <v>8</v>
      </c>
      <c r="CD361" s="27" t="s">
        <v>7</v>
      </c>
    </row>
    <row r="362" spans="1:84" x14ac:dyDescent="0.25">
      <c r="A362" s="30">
        <v>2.5995939254524381E-3</v>
      </c>
      <c r="B362"/>
      <c r="C362"/>
      <c r="D362"/>
      <c r="E362"/>
      <c r="F362" s="27" t="s">
        <v>7</v>
      </c>
      <c r="CC362" s="27" t="s">
        <v>8</v>
      </c>
      <c r="CD362" s="27" t="s">
        <v>7</v>
      </c>
    </row>
    <row r="363" spans="1:84" x14ac:dyDescent="0.25">
      <c r="A363" s="30">
        <v>2.4758037385261304E-3</v>
      </c>
      <c r="B363"/>
      <c r="C363"/>
      <c r="D363"/>
      <c r="E363"/>
      <c r="F363" s="27" t="s">
        <v>7</v>
      </c>
      <c r="CC363" s="27" t="s">
        <v>8</v>
      </c>
      <c r="CD363" s="27" t="s">
        <v>7</v>
      </c>
    </row>
    <row r="364" spans="1:84" x14ac:dyDescent="0.25">
      <c r="A364" s="30">
        <v>2.3579083224058374E-3</v>
      </c>
      <c r="B364"/>
      <c r="C364"/>
      <c r="D364"/>
      <c r="E364"/>
      <c r="F364" s="27" t="s">
        <v>7</v>
      </c>
      <c r="CC364" s="27" t="s">
        <v>8</v>
      </c>
      <c r="CD364" s="27" t="s">
        <v>7</v>
      </c>
    </row>
    <row r="365" spans="1:84" x14ac:dyDescent="0.25">
      <c r="A365" s="30">
        <v>2.245626973719844E-3</v>
      </c>
      <c r="B365"/>
      <c r="C365"/>
      <c r="D365"/>
      <c r="E365"/>
      <c r="F365" s="27" t="s">
        <v>7</v>
      </c>
      <c r="CC365" s="27" t="s">
        <v>8</v>
      </c>
      <c r="CD365" s="27" t="s">
        <v>7</v>
      </c>
    </row>
    <row r="366" spans="1:84" x14ac:dyDescent="0.25">
      <c r="A366" s="30">
        <v>2.1386923559236601E-3</v>
      </c>
      <c r="B366"/>
      <c r="C366"/>
      <c r="D366"/>
      <c r="E366"/>
      <c r="F366" s="27" t="s">
        <v>7</v>
      </c>
      <c r="CC366" s="27" t="s">
        <v>8</v>
      </c>
      <c r="CD366" s="27" t="s">
        <v>7</v>
      </c>
      <c r="CE366" s="27" t="s">
        <v>8</v>
      </c>
    </row>
    <row r="367" spans="1:84" x14ac:dyDescent="0.25">
      <c r="A367" s="30">
        <v>2.0368498627844375E-3</v>
      </c>
      <c r="B367"/>
      <c r="C367"/>
      <c r="D367"/>
      <c r="E367"/>
      <c r="F367" s="27" t="s">
        <v>7</v>
      </c>
      <c r="CC367" s="27" t="s">
        <v>8</v>
      </c>
      <c r="CD367" s="27" t="s">
        <v>7</v>
      </c>
      <c r="CE367" s="27" t="s">
        <v>8</v>
      </c>
      <c r="CF367" s="27" t="s">
        <v>7</v>
      </c>
    </row>
    <row r="368" spans="1:84" x14ac:dyDescent="0.25">
      <c r="A368" s="30">
        <v>1.9398570121756541E-3</v>
      </c>
      <c r="B368"/>
      <c r="C368"/>
      <c r="D368"/>
      <c r="E368"/>
      <c r="F368" s="27" t="s">
        <v>7</v>
      </c>
      <c r="CC368" s="27" t="s">
        <v>8</v>
      </c>
      <c r="CD368" s="27" t="s">
        <v>7</v>
      </c>
      <c r="CE368" s="27" t="s">
        <v>8</v>
      </c>
      <c r="CF368" s="27" t="s">
        <v>7</v>
      </c>
    </row>
    <row r="369" spans="1:148" x14ac:dyDescent="0.25">
      <c r="A369" s="30">
        <v>1.8474828687387174E-3</v>
      </c>
      <c r="B369"/>
      <c r="C369"/>
      <c r="D369"/>
      <c r="E369"/>
      <c r="F369" s="27" t="s">
        <v>7</v>
      </c>
      <c r="CC369" s="27" t="s">
        <v>8</v>
      </c>
      <c r="CD369" s="27" t="s">
        <v>7</v>
      </c>
      <c r="CE369" s="27" t="s">
        <v>8</v>
      </c>
      <c r="CF369" s="27" t="s">
        <v>7</v>
      </c>
      <c r="CG369" s="27" t="s">
        <v>8</v>
      </c>
    </row>
    <row r="370" spans="1:148" x14ac:dyDescent="0.25">
      <c r="A370" s="30">
        <v>1.759507494036873E-3</v>
      </c>
      <c r="B370"/>
      <c r="C370"/>
      <c r="D370"/>
      <c r="E370"/>
      <c r="F370" s="27" t="s">
        <v>7</v>
      </c>
      <c r="CC370" s="27" t="s">
        <v>8</v>
      </c>
      <c r="CD370" s="27" t="s">
        <v>7</v>
      </c>
      <c r="CE370" s="27" t="s">
        <v>8</v>
      </c>
      <c r="CF370" s="27" t="s">
        <v>7</v>
      </c>
      <c r="CG370" s="27" t="s">
        <v>8</v>
      </c>
      <c r="CH370" s="27" t="s">
        <v>7</v>
      </c>
      <c r="CI370" s="27" t="s">
        <v>8</v>
      </c>
      <c r="CK370" s="27" t="s">
        <v>8</v>
      </c>
    </row>
    <row r="371" spans="1:148" x14ac:dyDescent="0.25">
      <c r="A371" s="30">
        <v>1.6757214228922594E-3</v>
      </c>
      <c r="B371"/>
      <c r="C371"/>
      <c r="D371"/>
      <c r="E371"/>
      <c r="F371" s="27" t="s">
        <v>7</v>
      </c>
      <c r="CC371" s="27" t="s">
        <v>8</v>
      </c>
      <c r="CD371" s="27" t="s">
        <v>7</v>
      </c>
      <c r="CE371" s="27" t="s">
        <v>8</v>
      </c>
      <c r="CF371" s="27" t="s">
        <v>7</v>
      </c>
      <c r="CG371" s="27" t="s">
        <v>8</v>
      </c>
      <c r="CH371" s="27" t="s">
        <v>7</v>
      </c>
      <c r="CI371" s="27" t="s">
        <v>8</v>
      </c>
      <c r="CJ371" s="27" t="s">
        <v>7</v>
      </c>
      <c r="CK371" s="27" t="s">
        <v>8</v>
      </c>
      <c r="CL371" s="27" t="s">
        <v>7</v>
      </c>
    </row>
    <row r="372" spans="1:148" x14ac:dyDescent="0.25">
      <c r="A372" s="30">
        <v>1.595925164659294E-3</v>
      </c>
      <c r="B372"/>
      <c r="C372"/>
      <c r="D372"/>
      <c r="E372"/>
      <c r="F372" s="27" t="s">
        <v>7</v>
      </c>
      <c r="CC372" s="27" t="s">
        <v>8</v>
      </c>
      <c r="CD372" s="27" t="s">
        <v>7</v>
      </c>
      <c r="CE372" s="27" t="s">
        <v>8</v>
      </c>
      <c r="CF372" s="27" t="s">
        <v>7</v>
      </c>
      <c r="CG372" s="27" t="s">
        <v>8</v>
      </c>
      <c r="CH372" s="27" t="s">
        <v>7</v>
      </c>
      <c r="CI372" s="27" t="s">
        <v>8</v>
      </c>
      <c r="CJ372" s="27" t="s">
        <v>7</v>
      </c>
      <c r="CK372" s="27" t="s">
        <v>8</v>
      </c>
      <c r="CL372" s="27" t="s">
        <v>7</v>
      </c>
    </row>
    <row r="373" spans="1:148" x14ac:dyDescent="0.25">
      <c r="A373" s="30">
        <v>1.5199287282469461E-3</v>
      </c>
      <c r="B373"/>
      <c r="C373"/>
      <c r="D373"/>
      <c r="E373"/>
      <c r="F373" s="27" t="s">
        <v>7</v>
      </c>
      <c r="CC373" s="27" t="s">
        <v>8</v>
      </c>
      <c r="CD373" s="27" t="s">
        <v>7</v>
      </c>
      <c r="CE373" s="27" t="s">
        <v>8</v>
      </c>
      <c r="CF373" s="27" t="s">
        <v>7</v>
      </c>
      <c r="CG373" s="27" t="s">
        <v>8</v>
      </c>
      <c r="CH373" s="27" t="s">
        <v>7</v>
      </c>
      <c r="CI373" s="27" t="s">
        <v>8</v>
      </c>
      <c r="CJ373" s="27" t="s">
        <v>7</v>
      </c>
      <c r="CK373" s="27" t="s">
        <v>8</v>
      </c>
      <c r="CL373" s="27" t="s">
        <v>7</v>
      </c>
      <c r="CM373" s="27" t="s">
        <v>8</v>
      </c>
      <c r="CS373" s="27" t="s">
        <v>8</v>
      </c>
    </row>
    <row r="374" spans="1:148" x14ac:dyDescent="0.25">
      <c r="A374" s="30">
        <v>1.4475511697589958E-3</v>
      </c>
      <c r="B374"/>
      <c r="C374"/>
      <c r="D374"/>
      <c r="E374"/>
      <c r="F374" s="27" t="s">
        <v>7</v>
      </c>
      <c r="CC374" s="27" t="s">
        <v>8</v>
      </c>
      <c r="CD374" s="27" t="s">
        <v>7</v>
      </c>
      <c r="CF374" s="27" t="s">
        <v>7</v>
      </c>
      <c r="CG374" s="27" t="s">
        <v>8</v>
      </c>
      <c r="CH374" s="27" t="s">
        <v>7</v>
      </c>
      <c r="CJ374" s="27" t="s">
        <v>7</v>
      </c>
      <c r="CL374" s="27" t="s">
        <v>7</v>
      </c>
      <c r="CM374" s="27" t="s">
        <v>8</v>
      </c>
      <c r="CN374" s="27" t="s">
        <v>7</v>
      </c>
      <c r="CS374" s="27" t="s">
        <v>8</v>
      </c>
      <c r="CT374" s="27" t="s">
        <v>7</v>
      </c>
      <c r="CU374" s="27" t="s">
        <v>8</v>
      </c>
    </row>
    <row r="375" spans="1:148" x14ac:dyDescent="0.25">
      <c r="A375" s="30">
        <v>1.3786201616752334E-3</v>
      </c>
      <c r="B375"/>
      <c r="C375"/>
      <c r="D375"/>
      <c r="E375"/>
      <c r="F375" s="27" t="s">
        <v>7</v>
      </c>
      <c r="CC375" s="27" t="s">
        <v>8</v>
      </c>
      <c r="CF375" s="27" t="s">
        <v>7</v>
      </c>
      <c r="CG375" s="27" t="s">
        <v>8</v>
      </c>
      <c r="CL375" s="27" t="s">
        <v>7</v>
      </c>
      <c r="CM375" s="27" t="s">
        <v>8</v>
      </c>
      <c r="CN375" s="27" t="s">
        <v>7</v>
      </c>
      <c r="CS375" s="27" t="s">
        <v>8</v>
      </c>
      <c r="CT375" s="27" t="s">
        <v>7</v>
      </c>
      <c r="CU375" s="27" t="s">
        <v>8</v>
      </c>
      <c r="CV375" s="27" t="s">
        <v>7</v>
      </c>
    </row>
    <row r="376" spans="1:148" x14ac:dyDescent="0.25">
      <c r="A376" s="30">
        <v>1.3129715825478407E-3</v>
      </c>
      <c r="B376"/>
      <c r="C376"/>
      <c r="D376"/>
      <c r="E376"/>
      <c r="F376" s="27" t="s">
        <v>7</v>
      </c>
      <c r="CC376" s="27" t="s">
        <v>8</v>
      </c>
      <c r="CF376" s="27" t="s">
        <v>7</v>
      </c>
      <c r="CL376" s="27" t="s">
        <v>7</v>
      </c>
      <c r="CN376" s="27" t="s">
        <v>7</v>
      </c>
      <c r="CO376" s="27" t="s">
        <v>8</v>
      </c>
      <c r="CQ376" s="27" t="s">
        <v>8</v>
      </c>
      <c r="CS376" s="27" t="s">
        <v>8</v>
      </c>
      <c r="CT376" s="27" t="s">
        <v>7</v>
      </c>
      <c r="CU376" s="27" t="s">
        <v>8</v>
      </c>
      <c r="CV376" s="27" t="s">
        <v>7</v>
      </c>
    </row>
    <row r="377" spans="1:148" x14ac:dyDescent="0.25">
      <c r="A377" s="30">
        <v>1.2504491262360382E-3</v>
      </c>
      <c r="B377"/>
      <c r="C377"/>
      <c r="D377"/>
      <c r="E377"/>
      <c r="F377" s="27" t="s">
        <v>7</v>
      </c>
      <c r="CC377" s="27" t="s">
        <v>8</v>
      </c>
      <c r="CN377" s="27" t="s">
        <v>7</v>
      </c>
      <c r="CO377" s="27" t="s">
        <v>8</v>
      </c>
      <c r="CP377" s="27" t="s">
        <v>7</v>
      </c>
      <c r="CQ377" s="27" t="s">
        <v>8</v>
      </c>
      <c r="CR377" s="27" t="s">
        <v>7</v>
      </c>
      <c r="CS377" s="27" t="s">
        <v>8</v>
      </c>
      <c r="CT377" s="27" t="s">
        <v>7</v>
      </c>
      <c r="CU377" s="27" t="s">
        <v>8</v>
      </c>
      <c r="CV377" s="27" t="s">
        <v>7</v>
      </c>
    </row>
    <row r="378" spans="1:148" x14ac:dyDescent="0.25">
      <c r="A378" s="30">
        <v>1.1909039297486072E-3</v>
      </c>
      <c r="B378"/>
      <c r="C378"/>
      <c r="D378"/>
      <c r="E378"/>
      <c r="F378" s="27" t="s">
        <v>7</v>
      </c>
      <c r="CC378" s="27" t="s">
        <v>8</v>
      </c>
      <c r="CN378" s="27" t="s">
        <v>7</v>
      </c>
      <c r="CO378" s="27" t="s">
        <v>8</v>
      </c>
      <c r="CP378" s="27" t="s">
        <v>7</v>
      </c>
      <c r="CQ378" s="27" t="s">
        <v>8</v>
      </c>
      <c r="CR378" s="27" t="s">
        <v>7</v>
      </c>
      <c r="CS378" s="27" t="s">
        <v>8</v>
      </c>
      <c r="CT378" s="27" t="s">
        <v>7</v>
      </c>
      <c r="CU378" s="27" t="s">
        <v>8</v>
      </c>
      <c r="CV378" s="27" t="s">
        <v>7</v>
      </c>
    </row>
    <row r="379" spans="1:148" x14ac:dyDescent="0.25">
      <c r="A379" s="30">
        <v>1.1341942188081969E-3</v>
      </c>
      <c r="B379"/>
      <c r="C379"/>
      <c r="D379"/>
      <c r="E379"/>
      <c r="F379" s="27" t="s">
        <v>7</v>
      </c>
      <c r="CC379" s="27" t="s">
        <v>8</v>
      </c>
      <c r="CN379" s="27" t="s">
        <v>7</v>
      </c>
      <c r="CO379" s="27" t="s">
        <v>8</v>
      </c>
      <c r="CP379" s="27" t="s">
        <v>7</v>
      </c>
      <c r="CQ379" s="27" t="s">
        <v>8</v>
      </c>
      <c r="CR379" s="27" t="s">
        <v>7</v>
      </c>
      <c r="CS379" s="27" t="s">
        <v>8</v>
      </c>
      <c r="CT379" s="27" t="s">
        <v>7</v>
      </c>
      <c r="CV379" s="27" t="s">
        <v>7</v>
      </c>
    </row>
    <row r="380" spans="1:148" x14ac:dyDescent="0.25">
      <c r="A380" s="30">
        <v>1.0801849702935203E-3</v>
      </c>
      <c r="B380"/>
      <c r="C380"/>
      <c r="D380"/>
      <c r="E380"/>
      <c r="F380" s="27" t="s">
        <v>7</v>
      </c>
      <c r="CC380" s="27" t="s">
        <v>8</v>
      </c>
      <c r="CN380" s="27" t="s">
        <v>7</v>
      </c>
      <c r="CP380" s="27" t="s">
        <v>7</v>
      </c>
      <c r="CQ380" s="27" t="s">
        <v>8</v>
      </c>
      <c r="CR380" s="27" t="s">
        <v>7</v>
      </c>
      <c r="CS380" s="27" t="s">
        <v>8</v>
      </c>
      <c r="CV380" s="27" t="s">
        <v>7</v>
      </c>
      <c r="CY380" s="27" t="s">
        <v>8</v>
      </c>
      <c r="EO380" s="27" t="s">
        <v>8</v>
      </c>
    </row>
    <row r="381" spans="1:148" x14ac:dyDescent="0.25">
      <c r="A381" s="30">
        <v>1.0287475907557332E-3</v>
      </c>
      <c r="B381"/>
      <c r="C381"/>
      <c r="D381"/>
      <c r="E381"/>
      <c r="F381" s="27" t="s">
        <v>7</v>
      </c>
      <c r="CC381" s="27" t="s">
        <v>8</v>
      </c>
      <c r="CP381" s="27" t="s">
        <v>7</v>
      </c>
      <c r="CQ381" s="27" t="s">
        <v>8</v>
      </c>
      <c r="CR381" s="27" t="s">
        <v>7</v>
      </c>
      <c r="CS381" s="27" t="s">
        <v>8</v>
      </c>
      <c r="CV381" s="27" t="s">
        <v>7</v>
      </c>
      <c r="CY381" s="27" t="s">
        <v>8</v>
      </c>
      <c r="CZ381" s="27" t="s">
        <v>7</v>
      </c>
      <c r="EO381" s="27" t="s">
        <v>8</v>
      </c>
      <c r="EP381" s="27" t="s">
        <v>7</v>
      </c>
    </row>
    <row r="382" spans="1:148" x14ac:dyDescent="0.25">
      <c r="A382" s="30">
        <v>9.7731021121794646E-4</v>
      </c>
      <c r="F382" s="27" t="s">
        <v>7</v>
      </c>
      <c r="CC382" s="27" t="s">
        <v>8</v>
      </c>
      <c r="CP382" s="27" t="s">
        <v>7</v>
      </c>
      <c r="CQ382" s="27" t="s">
        <v>8</v>
      </c>
      <c r="CR382" s="27" t="s">
        <v>7</v>
      </c>
      <c r="CV382" s="27" t="s">
        <v>7</v>
      </c>
      <c r="CW382" s="27" t="s">
        <v>8</v>
      </c>
      <c r="CY382" s="27" t="s">
        <v>8</v>
      </c>
      <c r="CZ382" s="27" t="s">
        <v>7</v>
      </c>
      <c r="EK382" s="27" t="s">
        <v>8</v>
      </c>
      <c r="EO382" s="27" t="s">
        <v>8</v>
      </c>
      <c r="EP382" s="27" t="s">
        <v>7</v>
      </c>
    </row>
    <row r="383" spans="1:148" x14ac:dyDescent="0.25">
      <c r="A383" s="30">
        <v>9.2844470065704904E-4</v>
      </c>
      <c r="F383" s="27" t="s">
        <v>7</v>
      </c>
      <c r="CC383" s="27" t="s">
        <v>8</v>
      </c>
      <c r="CP383" s="27" t="s">
        <v>7</v>
      </c>
      <c r="CQ383" s="27" t="s">
        <v>8</v>
      </c>
      <c r="CV383" s="27" t="s">
        <v>7</v>
      </c>
      <c r="CW383" s="27" t="s">
        <v>8</v>
      </c>
      <c r="CX383" s="27" t="s">
        <v>7</v>
      </c>
      <c r="CY383" s="27" t="s">
        <v>8</v>
      </c>
      <c r="CZ383" s="27" t="s">
        <v>7</v>
      </c>
      <c r="EK383" s="27" t="s">
        <v>8</v>
      </c>
      <c r="EL383" s="27" t="s">
        <v>7</v>
      </c>
      <c r="EO383" s="27" t="s">
        <v>8</v>
      </c>
      <c r="EP383" s="27" t="s">
        <v>7</v>
      </c>
      <c r="EQ383" s="27" t="s">
        <v>8</v>
      </c>
    </row>
    <row r="384" spans="1:148" x14ac:dyDescent="0.25">
      <c r="A384" s="30">
        <v>8.8202246562419653E-4</v>
      </c>
      <c r="F384" s="27" t="s">
        <v>7</v>
      </c>
      <c r="CC384" s="27" t="s">
        <v>8</v>
      </c>
      <c r="CP384" s="27" t="s">
        <v>7</v>
      </c>
      <c r="CQ384" s="27" t="s">
        <v>8</v>
      </c>
      <c r="CV384" s="27" t="s">
        <v>7</v>
      </c>
      <c r="CW384" s="27" t="s">
        <v>8</v>
      </c>
      <c r="CX384" s="27" t="s">
        <v>7</v>
      </c>
      <c r="CY384" s="27" t="s">
        <v>8</v>
      </c>
      <c r="CZ384" s="27" t="s">
        <v>7</v>
      </c>
      <c r="EK384" s="27" t="s">
        <v>8</v>
      </c>
      <c r="EL384" s="27" t="s">
        <v>7</v>
      </c>
      <c r="EO384" s="27" t="s">
        <v>8</v>
      </c>
      <c r="EP384" s="27" t="s">
        <v>7</v>
      </c>
      <c r="EQ384" s="27" t="s">
        <v>8</v>
      </c>
      <c r="ER384" s="27" t="s">
        <v>7</v>
      </c>
    </row>
    <row r="385" spans="1:156" x14ac:dyDescent="0.25">
      <c r="A385" s="30">
        <v>8.3792134234298668E-4</v>
      </c>
      <c r="F385" s="27" t="s">
        <v>7</v>
      </c>
      <c r="CC385" s="27" t="s">
        <v>8</v>
      </c>
      <c r="CP385" s="27" t="s">
        <v>7</v>
      </c>
      <c r="CQ385" s="27" t="s">
        <v>8</v>
      </c>
      <c r="CV385" s="27" t="s">
        <v>7</v>
      </c>
      <c r="CX385" s="27" t="s">
        <v>7</v>
      </c>
      <c r="CZ385" s="27" t="s">
        <v>7</v>
      </c>
      <c r="DS385" s="27" t="s">
        <v>8</v>
      </c>
      <c r="EK385" s="27" t="s">
        <v>8</v>
      </c>
      <c r="EL385" s="27" t="s">
        <v>7</v>
      </c>
      <c r="EO385" s="27" t="s">
        <v>8</v>
      </c>
      <c r="EP385" s="27" t="s">
        <v>7</v>
      </c>
      <c r="EQ385" s="27" t="s">
        <v>8</v>
      </c>
      <c r="ER385" s="27" t="s">
        <v>7</v>
      </c>
    </row>
    <row r="386" spans="1:156" x14ac:dyDescent="0.25">
      <c r="A386" s="30">
        <v>7.9602527522583736E-4</v>
      </c>
      <c r="F386" s="27" t="s">
        <v>7</v>
      </c>
      <c r="CC386" s="27" t="s">
        <v>8</v>
      </c>
      <c r="CP386" s="27" t="s">
        <v>7</v>
      </c>
      <c r="CQ386" s="27" t="s">
        <v>8</v>
      </c>
      <c r="CZ386" s="27" t="s">
        <v>7</v>
      </c>
      <c r="DS386" s="27" t="s">
        <v>8</v>
      </c>
      <c r="DT386" s="27" t="s">
        <v>7</v>
      </c>
      <c r="DU386" s="27" t="s">
        <v>8</v>
      </c>
      <c r="EK386" s="27" t="s">
        <v>8</v>
      </c>
      <c r="EL386" s="27" t="s">
        <v>7</v>
      </c>
      <c r="EM386" s="27" t="s">
        <v>8</v>
      </c>
      <c r="EO386" s="27" t="s">
        <v>8</v>
      </c>
      <c r="EP386" s="27" t="s">
        <v>7</v>
      </c>
      <c r="EQ386" s="27" t="s">
        <v>8</v>
      </c>
      <c r="ER386" s="27" t="s">
        <v>7</v>
      </c>
    </row>
    <row r="387" spans="1:156" x14ac:dyDescent="0.25">
      <c r="A387" s="30">
        <v>7.5622401146454546E-4</v>
      </c>
      <c r="F387" s="27" t="s">
        <v>7</v>
      </c>
      <c r="CC387" s="27" t="s">
        <v>8</v>
      </c>
      <c r="CP387" s="27" t="s">
        <v>7</v>
      </c>
      <c r="CQ387" s="27" t="s">
        <v>8</v>
      </c>
      <c r="CZ387" s="27" t="s">
        <v>7</v>
      </c>
      <c r="DS387" s="27" t="s">
        <v>8</v>
      </c>
      <c r="DT387" s="27" t="s">
        <v>7</v>
      </c>
      <c r="DU387" s="27" t="s">
        <v>8</v>
      </c>
      <c r="DV387" s="27" t="s">
        <v>7</v>
      </c>
      <c r="DY387" s="27" t="s">
        <v>8</v>
      </c>
      <c r="EK387" s="27" t="s">
        <v>8</v>
      </c>
      <c r="EL387" s="27" t="s">
        <v>7</v>
      </c>
      <c r="EM387" s="27" t="s">
        <v>8</v>
      </c>
      <c r="EN387" s="27" t="s">
        <v>7</v>
      </c>
      <c r="EO387" s="27" t="s">
        <v>8</v>
      </c>
      <c r="EP387" s="27" t="s">
        <v>7</v>
      </c>
      <c r="EQ387" s="27" t="s">
        <v>8</v>
      </c>
      <c r="ER387" s="27" t="s">
        <v>7</v>
      </c>
    </row>
    <row r="388" spans="1:156" x14ac:dyDescent="0.25">
      <c r="A388" s="30">
        <v>7.1841281089131816E-4</v>
      </c>
      <c r="F388" s="27" t="s">
        <v>7</v>
      </c>
      <c r="CC388" s="27" t="s">
        <v>8</v>
      </c>
      <c r="CP388" s="27" t="s">
        <v>7</v>
      </c>
      <c r="CZ388" s="27" t="s">
        <v>7</v>
      </c>
      <c r="DS388" s="27" t="s">
        <v>8</v>
      </c>
      <c r="DT388" s="27" t="s">
        <v>7</v>
      </c>
      <c r="DU388" s="27" t="s">
        <v>8</v>
      </c>
      <c r="DV388" s="27" t="s">
        <v>7</v>
      </c>
      <c r="DW388" s="27" t="s">
        <v>8</v>
      </c>
      <c r="DY388" s="27" t="s">
        <v>8</v>
      </c>
      <c r="DZ388" s="27" t="s">
        <v>7</v>
      </c>
      <c r="EI388" s="27" t="s">
        <v>8</v>
      </c>
      <c r="EK388" s="27" t="s">
        <v>8</v>
      </c>
      <c r="EL388" s="27" t="s">
        <v>7</v>
      </c>
      <c r="EM388" s="27" t="s">
        <v>8</v>
      </c>
      <c r="EN388" s="27" t="s">
        <v>7</v>
      </c>
      <c r="EO388" s="27" t="s">
        <v>8</v>
      </c>
      <c r="EP388" s="27" t="s">
        <v>7</v>
      </c>
      <c r="ER388" s="27" t="s">
        <v>7</v>
      </c>
    </row>
    <row r="389" spans="1:156" x14ac:dyDescent="0.25">
      <c r="A389" s="30">
        <v>6.8249217034675226E-4</v>
      </c>
      <c r="F389" s="27" t="s">
        <v>7</v>
      </c>
      <c r="CA389" s="27" t="s">
        <v>8</v>
      </c>
      <c r="CC389" s="27" t="s">
        <v>8</v>
      </c>
      <c r="CZ389" s="27" t="s">
        <v>7</v>
      </c>
      <c r="DA389" s="27" t="s">
        <v>8</v>
      </c>
      <c r="DS389" s="27" t="s">
        <v>8</v>
      </c>
      <c r="DT389" s="27" t="s">
        <v>7</v>
      </c>
      <c r="DU389" s="27" t="s">
        <v>8</v>
      </c>
      <c r="DV389" s="27" t="s">
        <v>7</v>
      </c>
      <c r="DW389" s="27" t="s">
        <v>8</v>
      </c>
      <c r="DX389" s="27" t="s">
        <v>7</v>
      </c>
      <c r="DY389" s="27" t="s">
        <v>8</v>
      </c>
      <c r="DZ389" s="27" t="s">
        <v>7</v>
      </c>
      <c r="EA389" s="27" t="s">
        <v>8</v>
      </c>
      <c r="EI389" s="27" t="s">
        <v>8</v>
      </c>
      <c r="EJ389" s="27" t="s">
        <v>7</v>
      </c>
      <c r="EK389" s="27" t="s">
        <v>8</v>
      </c>
      <c r="EL389" s="27" t="s">
        <v>7</v>
      </c>
      <c r="EN389" s="27" t="s">
        <v>7</v>
      </c>
      <c r="ER389" s="27" t="s">
        <v>7</v>
      </c>
    </row>
    <row r="390" spans="1:156" x14ac:dyDescent="0.25">
      <c r="A390" s="30">
        <v>6.4836756182941465E-4</v>
      </c>
      <c r="F390" s="27" t="s">
        <v>7</v>
      </c>
      <c r="CA390" s="27" t="s">
        <v>8</v>
      </c>
      <c r="CB390" s="27" t="s">
        <v>7</v>
      </c>
      <c r="CC390" s="27" t="s">
        <v>8</v>
      </c>
      <c r="CZ390" s="27" t="s">
        <v>7</v>
      </c>
      <c r="DA390" s="27" t="s">
        <v>8</v>
      </c>
      <c r="DB390" s="27" t="s">
        <v>7</v>
      </c>
      <c r="DS390" s="27" t="s">
        <v>8</v>
      </c>
      <c r="DT390" s="27" t="s">
        <v>7</v>
      </c>
      <c r="DV390" s="27" t="s">
        <v>7</v>
      </c>
      <c r="DW390" s="27" t="s">
        <v>8</v>
      </c>
      <c r="DX390" s="27" t="s">
        <v>7</v>
      </c>
      <c r="DY390" s="27" t="s">
        <v>8</v>
      </c>
      <c r="DZ390" s="27" t="s">
        <v>7</v>
      </c>
      <c r="EA390" s="27" t="s">
        <v>8</v>
      </c>
      <c r="EB390" s="27" t="s">
        <v>7</v>
      </c>
      <c r="EE390" s="27" t="s">
        <v>8</v>
      </c>
      <c r="EI390" s="27" t="s">
        <v>8</v>
      </c>
      <c r="EJ390" s="27" t="s">
        <v>7</v>
      </c>
      <c r="EK390" s="27" t="s">
        <v>8</v>
      </c>
      <c r="ER390" s="27" t="s">
        <v>7</v>
      </c>
    </row>
    <row r="391" spans="1:156" x14ac:dyDescent="0.25">
      <c r="A391" s="30">
        <v>6.1594918373794388E-4</v>
      </c>
      <c r="F391" s="27" t="s">
        <v>7</v>
      </c>
      <c r="CA391" s="27" t="s">
        <v>8</v>
      </c>
      <c r="CB391" s="27" t="s">
        <v>7</v>
      </c>
      <c r="CC391" s="27" t="s">
        <v>8</v>
      </c>
      <c r="CZ391" s="27" t="s">
        <v>7</v>
      </c>
      <c r="DA391" s="27" t="s">
        <v>8</v>
      </c>
      <c r="DB391" s="27" t="s">
        <v>7</v>
      </c>
      <c r="DE391" s="27" t="s">
        <v>8</v>
      </c>
      <c r="DS391" s="27" t="s">
        <v>8</v>
      </c>
      <c r="DV391" s="27" t="s">
        <v>7</v>
      </c>
      <c r="DX391" s="27" t="s">
        <v>7</v>
      </c>
      <c r="DY391" s="27" t="s">
        <v>8</v>
      </c>
      <c r="DZ391" s="27" t="s">
        <v>7</v>
      </c>
      <c r="EB391" s="27" t="s">
        <v>7</v>
      </c>
      <c r="EE391" s="27" t="s">
        <v>8</v>
      </c>
      <c r="EF391" s="27" t="s">
        <v>7</v>
      </c>
      <c r="EG391" s="27" t="s">
        <v>8</v>
      </c>
      <c r="EI391" s="27" t="s">
        <v>8</v>
      </c>
      <c r="EJ391" s="27" t="s">
        <v>7</v>
      </c>
      <c r="EK391" s="27" t="s">
        <v>8</v>
      </c>
      <c r="ER391" s="27" t="s">
        <v>7</v>
      </c>
      <c r="ES391" s="27" t="s">
        <v>8</v>
      </c>
    </row>
    <row r="392" spans="1:156" x14ac:dyDescent="0.25">
      <c r="A392" s="30">
        <v>5.8515172455104666E-4</v>
      </c>
      <c r="F392" s="27" t="s">
        <v>7</v>
      </c>
      <c r="CA392" s="27" t="s">
        <v>8</v>
      </c>
      <c r="CB392" s="27" t="s">
        <v>7</v>
      </c>
      <c r="CC392" s="27" t="s">
        <v>8</v>
      </c>
      <c r="CZ392" s="27" t="s">
        <v>7</v>
      </c>
      <c r="DA392" s="27" t="s">
        <v>8</v>
      </c>
      <c r="DB392" s="27" t="s">
        <v>7</v>
      </c>
      <c r="DE392" s="27" t="s">
        <v>8</v>
      </c>
      <c r="DF392" s="27" t="s">
        <v>7</v>
      </c>
      <c r="DS392" s="27" t="s">
        <v>8</v>
      </c>
      <c r="DX392" s="27" t="s">
        <v>7</v>
      </c>
      <c r="EB392" s="27" t="s">
        <v>7</v>
      </c>
      <c r="EC392" s="27" t="s">
        <v>8</v>
      </c>
      <c r="EE392" s="27" t="s">
        <v>8</v>
      </c>
      <c r="EF392" s="27" t="s">
        <v>7</v>
      </c>
      <c r="EG392" s="27" t="s">
        <v>8</v>
      </c>
      <c r="EH392" s="27" t="s">
        <v>7</v>
      </c>
      <c r="EI392" s="27" t="s">
        <v>8</v>
      </c>
      <c r="EJ392" s="27" t="s">
        <v>7</v>
      </c>
      <c r="EK392" s="27" t="s">
        <v>8</v>
      </c>
      <c r="ER392" s="27" t="s">
        <v>7</v>
      </c>
      <c r="ES392" s="27" t="s">
        <v>8</v>
      </c>
      <c r="ET392" s="27" t="s">
        <v>7</v>
      </c>
    </row>
    <row r="393" spans="1:156" x14ac:dyDescent="0.25">
      <c r="A393" s="30">
        <v>5.5589413832349429E-4</v>
      </c>
      <c r="F393" s="27" t="s">
        <v>7</v>
      </c>
      <c r="CA393" s="27" t="s">
        <v>8</v>
      </c>
      <c r="CB393" s="27" t="s">
        <v>7</v>
      </c>
      <c r="CC393" s="27" t="s">
        <v>8</v>
      </c>
      <c r="CZ393" s="27" t="s">
        <v>7</v>
      </c>
      <c r="DA393" s="27" t="s">
        <v>8</v>
      </c>
      <c r="DB393" s="27" t="s">
        <v>7</v>
      </c>
      <c r="DC393" s="27" t="s">
        <v>8</v>
      </c>
      <c r="DE393" s="27" t="s">
        <v>8</v>
      </c>
      <c r="DF393" s="27" t="s">
        <v>7</v>
      </c>
      <c r="DG393" s="27" t="s">
        <v>8</v>
      </c>
      <c r="DK393" s="27" t="s">
        <v>8</v>
      </c>
      <c r="DS393" s="27" t="s">
        <v>8</v>
      </c>
      <c r="EB393" s="27" t="s">
        <v>7</v>
      </c>
      <c r="EC393" s="27" t="s">
        <v>8</v>
      </c>
      <c r="ED393" s="27" t="s">
        <v>7</v>
      </c>
      <c r="EE393" s="27" t="s">
        <v>8</v>
      </c>
      <c r="EF393" s="27" t="s">
        <v>7</v>
      </c>
      <c r="EG393" s="27" t="s">
        <v>8</v>
      </c>
      <c r="EH393" s="27" t="s">
        <v>7</v>
      </c>
      <c r="EI393" s="27" t="s">
        <v>8</v>
      </c>
      <c r="EJ393" s="27" t="s">
        <v>7</v>
      </c>
      <c r="ER393" s="27" t="s">
        <v>7</v>
      </c>
      <c r="ES393" s="27" t="s">
        <v>8</v>
      </c>
      <c r="ET393" s="27" t="s">
        <v>7</v>
      </c>
    </row>
    <row r="394" spans="1:156" x14ac:dyDescent="0.25">
      <c r="A394" s="30">
        <v>5.2809943140731956E-4</v>
      </c>
      <c r="F394" s="27" t="s">
        <v>7</v>
      </c>
      <c r="CA394" s="27" t="s">
        <v>8</v>
      </c>
      <c r="CB394" s="27" t="s">
        <v>7</v>
      </c>
      <c r="CZ394" s="27" t="s">
        <v>7</v>
      </c>
      <c r="DA394" s="27" t="s">
        <v>8</v>
      </c>
      <c r="DB394" s="27" t="s">
        <v>7</v>
      </c>
      <c r="DC394" s="27" t="s">
        <v>8</v>
      </c>
      <c r="DD394" s="27" t="s">
        <v>7</v>
      </c>
      <c r="DE394" s="27" t="s">
        <v>8</v>
      </c>
      <c r="DF394" s="27" t="s">
        <v>7</v>
      </c>
      <c r="DG394" s="27" t="s">
        <v>8</v>
      </c>
      <c r="DH394" s="27" t="s">
        <v>7</v>
      </c>
      <c r="DK394" s="27" t="s">
        <v>8</v>
      </c>
      <c r="DL394" s="27" t="s">
        <v>7</v>
      </c>
      <c r="DS394" s="27" t="s">
        <v>8</v>
      </c>
      <c r="EB394" s="27" t="s">
        <v>7</v>
      </c>
      <c r="EC394" s="27" t="s">
        <v>8</v>
      </c>
      <c r="ED394" s="27" t="s">
        <v>7</v>
      </c>
      <c r="EE394" s="27" t="s">
        <v>8</v>
      </c>
      <c r="EF394" s="27" t="s">
        <v>7</v>
      </c>
      <c r="EH394" s="27" t="s">
        <v>7</v>
      </c>
      <c r="EI394" s="27" t="s">
        <v>8</v>
      </c>
      <c r="ER394" s="27" t="s">
        <v>7</v>
      </c>
      <c r="ES394" s="27" t="s">
        <v>8</v>
      </c>
      <c r="ET394" s="27" t="s">
        <v>7</v>
      </c>
      <c r="EU394" s="27" t="s">
        <v>8</v>
      </c>
      <c r="EW394" s="27" t="s">
        <v>8</v>
      </c>
    </row>
    <row r="395" spans="1:156" x14ac:dyDescent="0.25">
      <c r="A395" s="30">
        <v>5.0169445983695357E-4</v>
      </c>
      <c r="F395" s="27" t="s">
        <v>7</v>
      </c>
      <c r="CA395" s="27" t="s">
        <v>8</v>
      </c>
      <c r="CZ395" s="27" t="s">
        <v>7</v>
      </c>
      <c r="DA395" s="27" t="s">
        <v>8</v>
      </c>
      <c r="DB395" s="27" t="s">
        <v>7</v>
      </c>
      <c r="DC395" s="27" t="s">
        <v>8</v>
      </c>
      <c r="DD395" s="27" t="s">
        <v>7</v>
      </c>
      <c r="DE395" s="27" t="s">
        <v>8</v>
      </c>
      <c r="DF395" s="27" t="s">
        <v>7</v>
      </c>
      <c r="DG395" s="27" t="s">
        <v>8</v>
      </c>
      <c r="DH395" s="27" t="s">
        <v>7</v>
      </c>
      <c r="DK395" s="27" t="s">
        <v>8</v>
      </c>
      <c r="DL395" s="27" t="s">
        <v>7</v>
      </c>
      <c r="DS395" s="27" t="s">
        <v>8</v>
      </c>
      <c r="EB395" s="27" t="s">
        <v>7</v>
      </c>
      <c r="EC395" s="27" t="s">
        <v>8</v>
      </c>
      <c r="ED395" s="27" t="s">
        <v>7</v>
      </c>
      <c r="EE395" s="27" t="s">
        <v>8</v>
      </c>
      <c r="EH395" s="27" t="s">
        <v>7</v>
      </c>
      <c r="ER395" s="27" t="s">
        <v>7</v>
      </c>
      <c r="ET395" s="27" t="s">
        <v>7</v>
      </c>
      <c r="EU395" s="27" t="s">
        <v>8</v>
      </c>
      <c r="EV395" s="27" t="s">
        <v>7</v>
      </c>
      <c r="EW395" s="27" t="s">
        <v>8</v>
      </c>
      <c r="EX395" s="27" t="s">
        <v>7</v>
      </c>
    </row>
    <row r="396" spans="1:156" x14ac:dyDescent="0.25">
      <c r="A396" s="30">
        <v>4.7660973684510589E-4</v>
      </c>
      <c r="F396" s="27" t="s">
        <v>7</v>
      </c>
      <c r="BW396" s="27" t="s">
        <v>8</v>
      </c>
      <c r="CA396" s="27" t="s">
        <v>8</v>
      </c>
      <c r="CZ396" s="27" t="s">
        <v>7</v>
      </c>
      <c r="DA396" s="27" t="s">
        <v>8</v>
      </c>
      <c r="DB396" s="27" t="s">
        <v>7</v>
      </c>
      <c r="DC396" s="27" t="s">
        <v>8</v>
      </c>
      <c r="DD396" s="27" t="s">
        <v>7</v>
      </c>
      <c r="DE396" s="27" t="s">
        <v>8</v>
      </c>
      <c r="DF396" s="27" t="s">
        <v>7</v>
      </c>
      <c r="DH396" s="27" t="s">
        <v>7</v>
      </c>
      <c r="DI396" s="27" t="s">
        <v>8</v>
      </c>
      <c r="DK396" s="27" t="s">
        <v>8</v>
      </c>
      <c r="DL396" s="27" t="s">
        <v>7</v>
      </c>
      <c r="DS396" s="27" t="s">
        <v>8</v>
      </c>
      <c r="EB396" s="27" t="s">
        <v>7</v>
      </c>
      <c r="EC396" s="27" t="s">
        <v>8</v>
      </c>
      <c r="ED396" s="27" t="s">
        <v>7</v>
      </c>
      <c r="EE396" s="27" t="s">
        <v>8</v>
      </c>
      <c r="ET396" s="27" t="s">
        <v>7</v>
      </c>
      <c r="EU396" s="27" t="s">
        <v>8</v>
      </c>
      <c r="EV396" s="27" t="s">
        <v>7</v>
      </c>
      <c r="EW396" s="27" t="s">
        <v>8</v>
      </c>
      <c r="EX396" s="27" t="s">
        <v>7</v>
      </c>
    </row>
    <row r="397" spans="1:156" x14ac:dyDescent="0.25">
      <c r="A397" s="30">
        <v>4.5277925000285056E-4</v>
      </c>
      <c r="F397" s="27" t="s">
        <v>7</v>
      </c>
      <c r="BW397" s="27" t="s">
        <v>8</v>
      </c>
      <c r="BX397" s="27" t="s">
        <v>7</v>
      </c>
      <c r="CA397" s="27" t="s">
        <v>8</v>
      </c>
      <c r="CZ397" s="27" t="s">
        <v>7</v>
      </c>
      <c r="DA397" s="27" t="s">
        <v>8</v>
      </c>
      <c r="DB397" s="27" t="s">
        <v>7</v>
      </c>
      <c r="DD397" s="27" t="s">
        <v>7</v>
      </c>
      <c r="DE397" s="27" t="s">
        <v>8</v>
      </c>
      <c r="DH397" s="27" t="s">
        <v>7</v>
      </c>
      <c r="DI397" s="27" t="s">
        <v>8</v>
      </c>
      <c r="DJ397" s="27" t="s">
        <v>7</v>
      </c>
      <c r="DK397" s="27" t="s">
        <v>8</v>
      </c>
      <c r="DL397" s="27" t="s">
        <v>7</v>
      </c>
      <c r="DS397" s="27" t="s">
        <v>8</v>
      </c>
      <c r="EB397" s="27" t="s">
        <v>7</v>
      </c>
      <c r="EC397" s="27" t="s">
        <v>8</v>
      </c>
      <c r="ED397" s="27" t="s">
        <v>7</v>
      </c>
      <c r="EE397" s="27" t="s">
        <v>8</v>
      </c>
      <c r="ET397" s="27" t="s">
        <v>7</v>
      </c>
      <c r="EV397" s="27" t="s">
        <v>7</v>
      </c>
      <c r="EW397" s="27" t="s">
        <v>8</v>
      </c>
      <c r="EX397" s="27" t="s">
        <v>7</v>
      </c>
      <c r="EY397" s="27" t="s">
        <v>8</v>
      </c>
    </row>
    <row r="398" spans="1:156" x14ac:dyDescent="0.25">
      <c r="A398" s="30">
        <v>4.3014028750270803E-4</v>
      </c>
      <c r="F398" s="27" t="s">
        <v>7</v>
      </c>
      <c r="G398" s="27" t="s">
        <v>8</v>
      </c>
      <c r="BW398" s="27" t="s">
        <v>8</v>
      </c>
      <c r="BX398" s="27" t="s">
        <v>7</v>
      </c>
      <c r="BY398" s="27" t="s">
        <v>8</v>
      </c>
      <c r="CA398" s="27" t="s">
        <v>8</v>
      </c>
      <c r="CZ398" s="27" t="s">
        <v>7</v>
      </c>
      <c r="DD398" s="27" t="s">
        <v>7</v>
      </c>
      <c r="DE398" s="27" t="s">
        <v>8</v>
      </c>
      <c r="DH398" s="27" t="s">
        <v>7</v>
      </c>
      <c r="DI398" s="27" t="s">
        <v>8</v>
      </c>
      <c r="DJ398" s="27" t="s">
        <v>7</v>
      </c>
      <c r="DL398" s="27" t="s">
        <v>7</v>
      </c>
      <c r="DM398" s="27" t="s">
        <v>8</v>
      </c>
      <c r="DO398" s="27" t="s">
        <v>8</v>
      </c>
      <c r="DS398" s="27" t="s">
        <v>8</v>
      </c>
      <c r="EB398" s="27" t="s">
        <v>7</v>
      </c>
      <c r="EC398" s="27" t="s">
        <v>8</v>
      </c>
      <c r="ED398" s="27" t="s">
        <v>7</v>
      </c>
      <c r="EE398" s="27" t="s">
        <v>8</v>
      </c>
      <c r="EV398" s="27" t="s">
        <v>7</v>
      </c>
      <c r="EX398" s="27" t="s">
        <v>7</v>
      </c>
      <c r="EY398" s="27" t="s">
        <v>8</v>
      </c>
      <c r="EZ398" s="27" t="s">
        <v>7</v>
      </c>
    </row>
    <row r="399" spans="1:156" x14ac:dyDescent="0.25">
      <c r="A399" s="30">
        <v>4.0863327312757263E-4</v>
      </c>
      <c r="F399" s="27" t="s">
        <v>7</v>
      </c>
      <c r="G399" s="27" t="s">
        <v>8</v>
      </c>
      <c r="H399" s="27" t="s">
        <v>7</v>
      </c>
      <c r="BW399" s="27" t="s">
        <v>8</v>
      </c>
      <c r="BX399" s="27" t="s">
        <v>7</v>
      </c>
      <c r="BY399" s="27" t="s">
        <v>8</v>
      </c>
      <c r="BZ399" s="27" t="s">
        <v>7</v>
      </c>
      <c r="CA399" s="27" t="s">
        <v>8</v>
      </c>
      <c r="DD399" s="27" t="s">
        <v>7</v>
      </c>
      <c r="DE399" s="27" t="s">
        <v>8</v>
      </c>
      <c r="DH399" s="27" t="s">
        <v>7</v>
      </c>
      <c r="DL399" s="27" t="s">
        <v>7</v>
      </c>
      <c r="DM399" s="27" t="s">
        <v>8</v>
      </c>
      <c r="DN399" s="27" t="s">
        <v>7</v>
      </c>
      <c r="DO399" s="27" t="s">
        <v>8</v>
      </c>
      <c r="DP399" s="27" t="s">
        <v>7</v>
      </c>
      <c r="DQ399" s="27" t="s">
        <v>8</v>
      </c>
      <c r="DS399" s="27" t="s">
        <v>8</v>
      </c>
      <c r="EB399" s="27" t="s">
        <v>7</v>
      </c>
      <c r="EC399" s="27" t="s">
        <v>8</v>
      </c>
      <c r="ED399" s="27" t="s">
        <v>7</v>
      </c>
      <c r="EE399" s="27" t="s">
        <v>8</v>
      </c>
      <c r="EX399" s="27" t="s">
        <v>7</v>
      </c>
      <c r="EY399" s="27" t="s">
        <v>8</v>
      </c>
      <c r="EZ399" s="27" t="s">
        <v>7</v>
      </c>
    </row>
    <row r="400" spans="1:156" x14ac:dyDescent="0.25">
      <c r="A400" s="30">
        <v>3.8820160947119396E-4</v>
      </c>
      <c r="F400" s="27" t="s">
        <v>7</v>
      </c>
      <c r="G400" s="27" t="s">
        <v>8</v>
      </c>
      <c r="H400" s="27" t="s">
        <v>7</v>
      </c>
      <c r="BW400" s="27" t="s">
        <v>8</v>
      </c>
      <c r="BX400" s="27" t="s">
        <v>7</v>
      </c>
      <c r="BY400" s="27" t="s">
        <v>8</v>
      </c>
      <c r="BZ400" s="27" t="s">
        <v>7</v>
      </c>
      <c r="CA400" s="27" t="s">
        <v>8</v>
      </c>
      <c r="DD400" s="27" t="s">
        <v>7</v>
      </c>
      <c r="DE400" s="27" t="s">
        <v>8</v>
      </c>
      <c r="DL400" s="27" t="s">
        <v>7</v>
      </c>
      <c r="DM400" s="27" t="s">
        <v>8</v>
      </c>
      <c r="DN400" s="27" t="s">
        <v>7</v>
      </c>
      <c r="DO400" s="27" t="s">
        <v>8</v>
      </c>
      <c r="DP400" s="27" t="s">
        <v>7</v>
      </c>
      <c r="DQ400" s="27" t="s">
        <v>8</v>
      </c>
      <c r="DR400" s="27" t="s">
        <v>7</v>
      </c>
      <c r="DS400" s="27" t="s">
        <v>8</v>
      </c>
      <c r="EB400" s="27" t="s">
        <v>7</v>
      </c>
      <c r="EC400" s="27" t="s">
        <v>8</v>
      </c>
      <c r="ED400" s="27" t="s">
        <v>7</v>
      </c>
      <c r="EX400" s="27" t="s">
        <v>7</v>
      </c>
      <c r="EY400" s="27" t="s">
        <v>8</v>
      </c>
      <c r="EZ400" s="27" t="s">
        <v>7</v>
      </c>
    </row>
    <row r="401" spans="1:157" x14ac:dyDescent="0.25">
      <c r="A401" s="30">
        <v>3.6879152899763426E-4</v>
      </c>
      <c r="F401" s="27" t="s">
        <v>7</v>
      </c>
      <c r="G401" s="27" t="s">
        <v>8</v>
      </c>
      <c r="H401" s="27" t="s">
        <v>7</v>
      </c>
      <c r="BW401" s="27" t="s">
        <v>8</v>
      </c>
      <c r="BX401" s="27" t="s">
        <v>7</v>
      </c>
      <c r="BY401" s="27" t="s">
        <v>8</v>
      </c>
      <c r="BZ401" s="27" t="s">
        <v>7</v>
      </c>
      <c r="CA401" s="27" t="s">
        <v>8</v>
      </c>
      <c r="DD401" s="27" t="s">
        <v>7</v>
      </c>
      <c r="DL401" s="27" t="s">
        <v>7</v>
      </c>
      <c r="DM401" s="27" t="s">
        <v>8</v>
      </c>
      <c r="DN401" s="27" t="s">
        <v>7</v>
      </c>
      <c r="DO401" s="27" t="s">
        <v>8</v>
      </c>
      <c r="DP401" s="27" t="s">
        <v>7</v>
      </c>
      <c r="DQ401" s="27" t="s">
        <v>8</v>
      </c>
      <c r="DR401" s="27" t="s">
        <v>7</v>
      </c>
      <c r="DS401" s="27" t="s">
        <v>8</v>
      </c>
      <c r="EB401" s="27" t="s">
        <v>7</v>
      </c>
      <c r="EX401" s="27" t="s">
        <v>7</v>
      </c>
      <c r="EY401" s="27" t="s">
        <v>8</v>
      </c>
      <c r="EZ401" s="27" t="s">
        <v>7</v>
      </c>
    </row>
    <row r="402" spans="1:157" x14ac:dyDescent="0.25">
      <c r="A402" s="30">
        <v>3.5035195254775253E-4</v>
      </c>
      <c r="F402" s="27" t="s">
        <v>7</v>
      </c>
      <c r="G402" s="27" t="s">
        <v>8</v>
      </c>
      <c r="H402" s="27" t="s">
        <v>7</v>
      </c>
      <c r="I402" s="27" t="s">
        <v>8</v>
      </c>
      <c r="BW402" s="27" t="s">
        <v>8</v>
      </c>
      <c r="BX402" s="27" t="s">
        <v>7</v>
      </c>
      <c r="BZ402" s="27" t="s">
        <v>7</v>
      </c>
      <c r="CA402" s="27" t="s">
        <v>8</v>
      </c>
      <c r="DL402" s="27" t="s">
        <v>7</v>
      </c>
      <c r="DM402" s="27" t="s">
        <v>8</v>
      </c>
      <c r="DN402" s="27" t="s">
        <v>7</v>
      </c>
      <c r="DP402" s="27" t="s">
        <v>7</v>
      </c>
      <c r="DQ402" s="27" t="s">
        <v>8</v>
      </c>
      <c r="DR402" s="27" t="s">
        <v>7</v>
      </c>
      <c r="DS402" s="27" t="s">
        <v>8</v>
      </c>
      <c r="EX402" s="27" t="s">
        <v>7</v>
      </c>
      <c r="EZ402" s="27" t="s">
        <v>7</v>
      </c>
    </row>
    <row r="403" spans="1:157" x14ac:dyDescent="0.25">
      <c r="A403" s="30">
        <v>3.3283435492036491E-4</v>
      </c>
      <c r="F403" s="27" t="s">
        <v>7</v>
      </c>
      <c r="G403" s="27" t="s">
        <v>8</v>
      </c>
      <c r="H403" s="27" t="s">
        <v>7</v>
      </c>
      <c r="I403" s="27" t="s">
        <v>8</v>
      </c>
      <c r="J403" s="27" t="s">
        <v>7</v>
      </c>
      <c r="BW403" s="27" t="s">
        <v>8</v>
      </c>
      <c r="BZ403" s="27" t="s">
        <v>7</v>
      </c>
      <c r="CA403" s="27" t="s">
        <v>8</v>
      </c>
      <c r="DL403" s="27" t="s">
        <v>7</v>
      </c>
      <c r="DM403" s="27" t="s">
        <v>8</v>
      </c>
      <c r="DP403" s="27" t="s">
        <v>7</v>
      </c>
      <c r="DQ403" s="27" t="s">
        <v>8</v>
      </c>
      <c r="DR403" s="27" t="s">
        <v>7</v>
      </c>
      <c r="EZ403" s="27" t="s">
        <v>7</v>
      </c>
      <c r="FA403" s="27" t="s">
        <v>8</v>
      </c>
    </row>
    <row r="404" spans="1:157" x14ac:dyDescent="0.25">
      <c r="A404" s="30">
        <v>3.1619263717434668E-4</v>
      </c>
      <c r="F404" s="27" t="s">
        <v>7</v>
      </c>
      <c r="G404" s="27" t="s">
        <v>8</v>
      </c>
      <c r="H404" s="27" t="s">
        <v>7</v>
      </c>
      <c r="I404" s="27" t="s">
        <v>8</v>
      </c>
      <c r="J404" s="27" t="s">
        <v>7</v>
      </c>
      <c r="BO404" s="27" t="s">
        <v>8</v>
      </c>
      <c r="BU404" s="27" t="s">
        <v>8</v>
      </c>
      <c r="BW404" s="27" t="s">
        <v>8</v>
      </c>
      <c r="BZ404" s="27" t="s">
        <v>7</v>
      </c>
      <c r="DL404" s="27" t="s">
        <v>7</v>
      </c>
      <c r="DM404" s="27" t="s">
        <v>8</v>
      </c>
      <c r="DP404" s="27" t="s">
        <v>7</v>
      </c>
      <c r="DQ404" s="27" t="s">
        <v>8</v>
      </c>
      <c r="EZ404" s="27" t="s">
        <v>7</v>
      </c>
      <c r="FA404" s="27" t="s">
        <v>8</v>
      </c>
    </row>
    <row r="405" spans="1:157" x14ac:dyDescent="0.25">
      <c r="A405" s="30">
        <v>3.0038300531562933E-4</v>
      </c>
      <c r="F405" s="27" t="s">
        <v>7</v>
      </c>
      <c r="G405" s="27" t="s">
        <v>8</v>
      </c>
      <c r="H405" s="27" t="s">
        <v>7</v>
      </c>
      <c r="J405" s="27" t="s">
        <v>7</v>
      </c>
      <c r="BO405" s="27" t="s">
        <v>8</v>
      </c>
      <c r="BP405" s="27" t="s">
        <v>7</v>
      </c>
      <c r="BQ405" s="27" t="s">
        <v>8</v>
      </c>
      <c r="BU405" s="27" t="s">
        <v>8</v>
      </c>
      <c r="BV405" s="27" t="s">
        <v>7</v>
      </c>
      <c r="BW405" s="27" t="s">
        <v>8</v>
      </c>
      <c r="DL405" s="27" t="s">
        <v>7</v>
      </c>
      <c r="DM405" s="27" t="s">
        <v>8</v>
      </c>
      <c r="DP405" s="18" t="s">
        <v>7</v>
      </c>
      <c r="DQ405" s="27" t="s">
        <v>8</v>
      </c>
      <c r="EZ405" s="27" t="s">
        <v>7</v>
      </c>
      <c r="FA405" s="27" t="s">
        <v>8</v>
      </c>
    </row>
    <row r="406" spans="1:157" x14ac:dyDescent="0.25">
      <c r="A406" s="30">
        <v>2.8536385504984783E-4</v>
      </c>
      <c r="F406" s="27" t="s">
        <v>7</v>
      </c>
      <c r="J406" s="27" t="s">
        <v>7</v>
      </c>
      <c r="BO406" s="27" t="s">
        <v>8</v>
      </c>
      <c r="BP406" s="27" t="s">
        <v>7</v>
      </c>
      <c r="BQ406" s="27" t="s">
        <v>8</v>
      </c>
      <c r="BR406" s="27" t="s">
        <v>7</v>
      </c>
      <c r="BU406" s="27" t="s">
        <v>8</v>
      </c>
      <c r="BV406" s="27" t="s">
        <v>7</v>
      </c>
      <c r="BW406" s="27" t="s">
        <v>8</v>
      </c>
      <c r="DL406" s="27" t="s">
        <v>7</v>
      </c>
      <c r="DP406" s="27" t="s">
        <v>7</v>
      </c>
      <c r="DQ406" s="27" t="s">
        <v>8</v>
      </c>
      <c r="EZ406" s="27" t="s">
        <v>7</v>
      </c>
      <c r="FA406" s="27" t="s">
        <v>8</v>
      </c>
    </row>
    <row r="407" spans="1:157" x14ac:dyDescent="0.25">
      <c r="A407" s="30">
        <v>2.7109566229735542E-4</v>
      </c>
      <c r="J407" s="27" t="s">
        <v>7</v>
      </c>
      <c r="BO407" s="27" t="s">
        <v>8</v>
      </c>
      <c r="BP407" s="27" t="s">
        <v>7</v>
      </c>
      <c r="BQ407" s="27" t="s">
        <v>8</v>
      </c>
      <c r="BR407" s="27" t="s">
        <v>7</v>
      </c>
      <c r="BS407" s="27" t="s">
        <v>8</v>
      </c>
      <c r="BU407" s="27" t="s">
        <v>8</v>
      </c>
      <c r="BV407" s="27" t="s">
        <v>7</v>
      </c>
      <c r="BW407" s="27" t="s">
        <v>8</v>
      </c>
      <c r="DP407" s="27" t="s">
        <v>7</v>
      </c>
      <c r="EZ407" s="27" t="s">
        <v>7</v>
      </c>
    </row>
    <row r="408" spans="1:157" x14ac:dyDescent="0.25">
      <c r="A408" s="30">
        <v>2.5754087918248761E-4</v>
      </c>
      <c r="J408" s="27" t="s">
        <v>7</v>
      </c>
      <c r="BO408" s="27" t="s">
        <v>8</v>
      </c>
      <c r="BP408" s="27" t="s">
        <v>7</v>
      </c>
      <c r="BQ408" s="27" t="s">
        <v>8</v>
      </c>
      <c r="BR408" s="27" t="s">
        <v>7</v>
      </c>
      <c r="BS408" s="27" t="s">
        <v>8</v>
      </c>
      <c r="BT408" s="27" t="s">
        <v>7</v>
      </c>
      <c r="BU408" s="27" t="s">
        <v>8</v>
      </c>
      <c r="BV408" s="27" t="s">
        <v>7</v>
      </c>
    </row>
    <row r="409" spans="1:157" x14ac:dyDescent="0.25">
      <c r="A409" s="30">
        <v>2.4466383522336323E-4</v>
      </c>
      <c r="J409" s="27" t="s">
        <v>7</v>
      </c>
      <c r="K409" s="27" t="s">
        <v>8</v>
      </c>
      <c r="BO409" s="27" t="s">
        <v>8</v>
      </c>
      <c r="BP409" s="27" t="s">
        <v>7</v>
      </c>
      <c r="BQ409" s="27" t="s">
        <v>8</v>
      </c>
      <c r="BR409" s="27" t="s">
        <v>7</v>
      </c>
      <c r="BS409" s="27" t="s">
        <v>8</v>
      </c>
      <c r="BT409" s="27" t="s">
        <v>7</v>
      </c>
      <c r="BU409" s="27" t="s">
        <v>8</v>
      </c>
    </row>
    <row r="410" spans="1:157" x14ac:dyDescent="0.25">
      <c r="A410" s="30">
        <v>2.3243064346219506E-4</v>
      </c>
      <c r="J410" s="27" t="s">
        <v>7</v>
      </c>
      <c r="K410" s="27" t="s">
        <v>8</v>
      </c>
      <c r="L410" s="27" t="s">
        <v>7</v>
      </c>
      <c r="Q410" s="27" t="s">
        <v>8</v>
      </c>
      <c r="BO410" s="27" t="s">
        <v>8</v>
      </c>
      <c r="BP410" s="27" t="s">
        <v>7</v>
      </c>
      <c r="BQ410" s="27" t="s">
        <v>8</v>
      </c>
      <c r="BR410" s="27" t="s">
        <v>7</v>
      </c>
      <c r="BS410" s="27" t="s">
        <v>8</v>
      </c>
      <c r="BT410" s="27" t="s">
        <v>7</v>
      </c>
      <c r="BU410" s="27" t="s">
        <v>8</v>
      </c>
    </row>
    <row r="411" spans="1:157" x14ac:dyDescent="0.25">
      <c r="A411" s="30">
        <v>2.2080911128908529E-4</v>
      </c>
      <c r="J411" s="27" t="s">
        <v>7</v>
      </c>
      <c r="K411" s="27" t="s">
        <v>8</v>
      </c>
      <c r="L411" s="27" t="s">
        <v>7</v>
      </c>
      <c r="Q411" s="27" t="s">
        <v>8</v>
      </c>
      <c r="R411" s="27" t="s">
        <v>7</v>
      </c>
      <c r="BO411" s="27" t="s">
        <v>8</v>
      </c>
      <c r="BP411" s="27" t="s">
        <v>7</v>
      </c>
      <c r="BQ411" s="27" t="s">
        <v>8</v>
      </c>
      <c r="BR411" s="27" t="s">
        <v>7</v>
      </c>
      <c r="BS411" s="27" t="s">
        <v>8</v>
      </c>
      <c r="BT411" s="27" t="s">
        <v>7</v>
      </c>
      <c r="BU411" s="27" t="s">
        <v>8</v>
      </c>
    </row>
    <row r="412" spans="1:157" x14ac:dyDescent="0.25">
      <c r="A412" s="30">
        <v>2.0976865572463102E-4</v>
      </c>
      <c r="J412" s="27" t="s">
        <v>7</v>
      </c>
      <c r="L412" s="27" t="s">
        <v>7</v>
      </c>
      <c r="Q412" s="27" t="s">
        <v>8</v>
      </c>
      <c r="R412" s="27" t="s">
        <v>7</v>
      </c>
      <c r="S412" s="27" t="s">
        <v>8</v>
      </c>
      <c r="BO412" s="27" t="s">
        <v>8</v>
      </c>
      <c r="BP412" s="27" t="s">
        <v>7</v>
      </c>
      <c r="BQ412" s="27" t="s">
        <v>8</v>
      </c>
      <c r="BR412" s="27" t="s">
        <v>7</v>
      </c>
      <c r="BS412" s="27" t="s">
        <v>8</v>
      </c>
      <c r="BT412" s="27" t="s">
        <v>7</v>
      </c>
      <c r="BU412" s="27" t="s">
        <v>8</v>
      </c>
    </row>
    <row r="413" spans="1:157" x14ac:dyDescent="0.25">
      <c r="A413" s="30">
        <v>1.9928022293839946E-4</v>
      </c>
      <c r="L413" s="27" t="s">
        <v>7</v>
      </c>
      <c r="Q413" s="27" t="s">
        <v>8</v>
      </c>
      <c r="R413" s="27" t="s">
        <v>7</v>
      </c>
      <c r="S413" s="27" t="s">
        <v>8</v>
      </c>
      <c r="T413" s="27" t="s">
        <v>7</v>
      </c>
      <c r="BO413" s="27" t="s">
        <v>8</v>
      </c>
      <c r="BP413" s="27" t="s">
        <v>7</v>
      </c>
      <c r="BQ413" s="27" t="s">
        <v>8</v>
      </c>
      <c r="BR413" s="27" t="s">
        <v>7</v>
      </c>
      <c r="BT413" s="27" t="s">
        <v>7</v>
      </c>
      <c r="BU413" s="27" t="s">
        <v>8</v>
      </c>
    </row>
    <row r="414" spans="1:157" x14ac:dyDescent="0.25">
      <c r="A414" s="30">
        <v>1.8931621179147948E-4</v>
      </c>
      <c r="L414" s="27" t="s">
        <v>7</v>
      </c>
      <c r="Q414" s="27" t="s">
        <v>8</v>
      </c>
      <c r="R414" s="27" t="s">
        <v>7</v>
      </c>
      <c r="S414" s="27" t="s">
        <v>8</v>
      </c>
      <c r="T414" s="27" t="s">
        <v>7</v>
      </c>
      <c r="BO414" s="27" t="s">
        <v>8</v>
      </c>
      <c r="BP414" s="27" t="s">
        <v>7</v>
      </c>
      <c r="BQ414" s="27" t="s">
        <v>8</v>
      </c>
      <c r="BT414" s="27" t="s">
        <v>7</v>
      </c>
      <c r="BU414" s="27" t="s">
        <v>8</v>
      </c>
    </row>
    <row r="415" spans="1:157" x14ac:dyDescent="0.25">
      <c r="A415" s="30">
        <v>1.798504012019055E-4</v>
      </c>
      <c r="L415" s="27" t="s">
        <v>7</v>
      </c>
      <c r="Q415" s="27" t="s">
        <v>8</v>
      </c>
      <c r="R415" s="27" t="s">
        <v>7</v>
      </c>
      <c r="S415" s="27" t="s">
        <v>8</v>
      </c>
      <c r="T415" s="27" t="s">
        <v>7</v>
      </c>
      <c r="BO415" s="27" t="s">
        <v>8</v>
      </c>
      <c r="BP415" s="27" t="s">
        <v>7</v>
      </c>
      <c r="BT415" s="27" t="s">
        <v>7</v>
      </c>
      <c r="BU415" s="27" t="s">
        <v>8</v>
      </c>
    </row>
    <row r="416" spans="1:157" x14ac:dyDescent="0.25">
      <c r="A416" s="30">
        <v>1.7085788114181021E-4</v>
      </c>
      <c r="L416" s="27" t="s">
        <v>7</v>
      </c>
      <c r="Q416" s="27" t="s">
        <v>8</v>
      </c>
      <c r="R416" s="27" t="s">
        <v>7</v>
      </c>
      <c r="T416" s="27" t="s">
        <v>7</v>
      </c>
      <c r="BO416" s="27" t="s">
        <v>8</v>
      </c>
      <c r="BT416" s="27" t="s">
        <v>7</v>
      </c>
      <c r="BU416" s="27" t="s">
        <v>8</v>
      </c>
    </row>
    <row r="417" spans="1:72" x14ac:dyDescent="0.25">
      <c r="A417" s="30">
        <v>1.623149870847197E-4</v>
      </c>
      <c r="L417" s="27" t="s">
        <v>7</v>
      </c>
      <c r="M417" s="27" t="s">
        <v>8</v>
      </c>
      <c r="O417" s="27" t="s">
        <v>8</v>
      </c>
      <c r="Q417" s="27" t="s">
        <v>8</v>
      </c>
      <c r="T417" s="27" t="s">
        <v>7</v>
      </c>
      <c r="BO417" s="27" t="s">
        <v>8</v>
      </c>
      <c r="BT417" s="27" t="s">
        <v>7</v>
      </c>
    </row>
    <row r="418" spans="1:72" x14ac:dyDescent="0.25">
      <c r="A418" s="30">
        <v>1.541992377304837E-4</v>
      </c>
      <c r="L418" s="27" t="s">
        <v>7</v>
      </c>
      <c r="M418" s="27" t="s">
        <v>8</v>
      </c>
      <c r="N418" s="27" t="s">
        <v>7</v>
      </c>
      <c r="O418" s="27" t="s">
        <v>8</v>
      </c>
      <c r="P418" s="27" t="s">
        <v>7</v>
      </c>
      <c r="Q418" s="27" t="s">
        <v>8</v>
      </c>
      <c r="T418" s="27" t="s">
        <v>7</v>
      </c>
      <c r="AU418" s="27" t="s">
        <v>8</v>
      </c>
      <c r="BO418" s="27" t="s">
        <v>8</v>
      </c>
    </row>
    <row r="419" spans="1:72" x14ac:dyDescent="0.25">
      <c r="A419" s="30">
        <v>1.4648927584395952E-4</v>
      </c>
      <c r="L419" s="27" t="s">
        <v>7</v>
      </c>
      <c r="M419" s="27" t="s">
        <v>8</v>
      </c>
      <c r="N419" s="27" t="s">
        <v>7</v>
      </c>
      <c r="O419" s="27" t="s">
        <v>8</v>
      </c>
      <c r="P419" s="27" t="s">
        <v>7</v>
      </c>
      <c r="Q419" s="27" t="s">
        <v>8</v>
      </c>
      <c r="T419" s="27" t="s">
        <v>7</v>
      </c>
      <c r="AU419" s="27" t="s">
        <v>8</v>
      </c>
      <c r="AV419" s="27" t="s">
        <v>7</v>
      </c>
      <c r="BO419" s="27" t="s">
        <v>8</v>
      </c>
    </row>
    <row r="420" spans="1:72" x14ac:dyDescent="0.25">
      <c r="A420" s="30">
        <v>1.3916481205176153E-4</v>
      </c>
      <c r="L420" s="27" t="s">
        <v>7</v>
      </c>
      <c r="N420" s="27" t="s">
        <v>7</v>
      </c>
      <c r="O420" s="27" t="s">
        <v>8</v>
      </c>
      <c r="P420" s="27" t="s">
        <v>7</v>
      </c>
      <c r="Q420" s="27" t="s">
        <v>8</v>
      </c>
      <c r="T420" s="27" t="s">
        <v>7</v>
      </c>
      <c r="AA420" s="27" t="s">
        <v>8</v>
      </c>
      <c r="AO420" s="27" t="s">
        <v>8</v>
      </c>
      <c r="AQ420" s="27" t="s">
        <v>8</v>
      </c>
      <c r="AS420" s="27" t="s">
        <v>8</v>
      </c>
      <c r="AU420" s="27" t="s">
        <v>8</v>
      </c>
      <c r="AV420" s="27" t="s">
        <v>7</v>
      </c>
      <c r="BM420" s="27" t="s">
        <v>8</v>
      </c>
      <c r="BO420" s="27" t="s">
        <v>8</v>
      </c>
    </row>
    <row r="421" spans="1:72" x14ac:dyDescent="0.25">
      <c r="A421" s="30">
        <v>1.3220657144917344E-4</v>
      </c>
      <c r="N421" s="27" t="s">
        <v>7</v>
      </c>
      <c r="P421" s="27" t="s">
        <v>7</v>
      </c>
      <c r="Q421" s="27" t="s">
        <v>8</v>
      </c>
      <c r="T421" s="27" t="s">
        <v>7</v>
      </c>
      <c r="AA421" s="27" t="s">
        <v>8</v>
      </c>
      <c r="AB421" s="27" t="s">
        <v>7</v>
      </c>
      <c r="AO421" s="27" t="s">
        <v>8</v>
      </c>
      <c r="AP421" s="27" t="s">
        <v>7</v>
      </c>
      <c r="AQ421" s="27" t="s">
        <v>8</v>
      </c>
      <c r="AR421" s="27" t="s">
        <v>7</v>
      </c>
      <c r="AS421" s="27" t="s">
        <v>8</v>
      </c>
      <c r="AT421" s="27" t="s">
        <v>7</v>
      </c>
      <c r="AU421" s="27" t="s">
        <v>8</v>
      </c>
      <c r="AV421" s="27" t="s">
        <v>7</v>
      </c>
      <c r="BM421" s="27" t="s">
        <v>8</v>
      </c>
      <c r="BN421" s="27" t="s">
        <v>7</v>
      </c>
      <c r="BO421" s="27" t="s">
        <v>8</v>
      </c>
    </row>
    <row r="422" spans="1:72" x14ac:dyDescent="0.25">
      <c r="A422" s="30">
        <v>1.2559624287671476E-4</v>
      </c>
      <c r="P422" s="27" t="s">
        <v>7</v>
      </c>
      <c r="T422" s="27" t="s">
        <v>7</v>
      </c>
      <c r="AA422" s="27" t="s">
        <v>8</v>
      </c>
      <c r="AB422" s="27" t="s">
        <v>7</v>
      </c>
      <c r="AO422" s="27" t="s">
        <v>8</v>
      </c>
      <c r="AP422" s="27" t="s">
        <v>7</v>
      </c>
      <c r="AQ422" s="27" t="s">
        <v>8</v>
      </c>
      <c r="AR422" s="27" t="s">
        <v>7</v>
      </c>
      <c r="AS422" s="27" t="s">
        <v>8</v>
      </c>
      <c r="AT422" s="27" t="s">
        <v>7</v>
      </c>
      <c r="AU422" s="27" t="s">
        <v>8</v>
      </c>
      <c r="AV422" s="27" t="s">
        <v>7</v>
      </c>
      <c r="BM422" s="27" t="s">
        <v>8</v>
      </c>
      <c r="BN422" s="27" t="s">
        <v>7</v>
      </c>
      <c r="BO422" s="27" t="s">
        <v>8</v>
      </c>
    </row>
    <row r="423" spans="1:72" x14ac:dyDescent="0.25">
      <c r="A423" s="30">
        <v>1.1931643073287902E-4</v>
      </c>
      <c r="T423" s="27" t="s">
        <v>7</v>
      </c>
      <c r="U423" s="27" t="s">
        <v>8</v>
      </c>
      <c r="AA423" s="27" t="s">
        <v>8</v>
      </c>
      <c r="AB423" s="27" t="s">
        <v>7</v>
      </c>
      <c r="AO423" s="27" t="s">
        <v>8</v>
      </c>
      <c r="AP423" s="27" t="s">
        <v>7</v>
      </c>
      <c r="AQ423" s="27" t="s">
        <v>8</v>
      </c>
      <c r="AR423" s="27" t="s">
        <v>7</v>
      </c>
      <c r="AS423" s="27" t="s">
        <v>8</v>
      </c>
      <c r="AT423" s="27" t="s">
        <v>7</v>
      </c>
      <c r="AV423" s="27" t="s">
        <v>7</v>
      </c>
      <c r="AW423" s="27" t="s">
        <v>8</v>
      </c>
      <c r="AY423" s="27" t="s">
        <v>8</v>
      </c>
      <c r="BM423" s="27" t="s">
        <v>8</v>
      </c>
      <c r="BN423" s="27" t="s">
        <v>7</v>
      </c>
      <c r="BO423" s="27" t="s">
        <v>8</v>
      </c>
    </row>
    <row r="424" spans="1:72" x14ac:dyDescent="0.25">
      <c r="A424" s="30">
        <v>1.1335060919623506E-4</v>
      </c>
      <c r="T424" s="27" t="s">
        <v>7</v>
      </c>
      <c r="U424" s="27" t="s">
        <v>8</v>
      </c>
      <c r="V424" s="27" t="s">
        <v>7</v>
      </c>
      <c r="Y424" s="27" t="s">
        <v>8</v>
      </c>
      <c r="AA424" s="27" t="s">
        <v>8</v>
      </c>
      <c r="AB424" s="27" t="s">
        <v>7</v>
      </c>
      <c r="AO424" s="27" t="s">
        <v>8</v>
      </c>
      <c r="AP424" s="27" t="s">
        <v>7</v>
      </c>
      <c r="AQ424" s="27" t="s">
        <v>8</v>
      </c>
      <c r="AR424" s="27" t="s">
        <v>7</v>
      </c>
      <c r="AS424" s="27" t="s">
        <v>8</v>
      </c>
      <c r="AV424" s="27" t="s">
        <v>7</v>
      </c>
      <c r="AW424" s="27" t="s">
        <v>8</v>
      </c>
      <c r="AX424" s="27" t="s">
        <v>7</v>
      </c>
      <c r="AY424" s="27" t="s">
        <v>8</v>
      </c>
      <c r="AZ424" s="27" t="s">
        <v>7</v>
      </c>
      <c r="BM424" s="27" t="s">
        <v>8</v>
      </c>
      <c r="BN424" s="27" t="s">
        <v>7</v>
      </c>
      <c r="BO424" s="27" t="s">
        <v>8</v>
      </c>
    </row>
    <row r="425" spans="1:72" x14ac:dyDescent="0.25">
      <c r="A425" s="30">
        <v>1.076830787364233E-4</v>
      </c>
      <c r="T425" s="27" t="s">
        <v>7</v>
      </c>
      <c r="U425" s="27" t="s">
        <v>8</v>
      </c>
      <c r="V425" s="27" t="s">
        <v>7</v>
      </c>
      <c r="W425" s="27" t="s">
        <v>8</v>
      </c>
      <c r="Y425" s="27" t="s">
        <v>8</v>
      </c>
      <c r="Z425" s="27" t="s">
        <v>7</v>
      </c>
      <c r="AA425" s="27" t="s">
        <v>8</v>
      </c>
      <c r="AB425" s="27" t="s">
        <v>7</v>
      </c>
      <c r="AO425" s="27" t="s">
        <v>8</v>
      </c>
      <c r="AP425" s="27" t="s">
        <v>7</v>
      </c>
      <c r="AQ425" s="27" t="s">
        <v>8</v>
      </c>
      <c r="AR425" s="27" t="s">
        <v>7</v>
      </c>
      <c r="AS425" s="27" t="s">
        <v>8</v>
      </c>
      <c r="AV425" s="27" t="s">
        <v>7</v>
      </c>
      <c r="AW425" s="27" t="s">
        <v>8</v>
      </c>
      <c r="AX425" s="27" t="s">
        <v>7</v>
      </c>
      <c r="AY425" s="27" t="s">
        <v>8</v>
      </c>
      <c r="AZ425" s="27" t="s">
        <v>7</v>
      </c>
      <c r="BA425" s="27" t="s">
        <v>8</v>
      </c>
      <c r="BK425" s="27" t="s">
        <v>8</v>
      </c>
      <c r="BM425" s="27" t="s">
        <v>8</v>
      </c>
      <c r="BN425" s="27" t="s">
        <v>7</v>
      </c>
      <c r="BO425" s="27" t="s">
        <v>8</v>
      </c>
    </row>
    <row r="426" spans="1:72" x14ac:dyDescent="0.25">
      <c r="A426" s="30">
        <v>1.0229892479960213E-4</v>
      </c>
      <c r="T426" s="27" t="s">
        <v>7</v>
      </c>
      <c r="U426" s="27" t="s">
        <v>8</v>
      </c>
      <c r="V426" s="27" t="s">
        <v>7</v>
      </c>
      <c r="W426" s="27" t="s">
        <v>8</v>
      </c>
      <c r="X426" s="27" t="s">
        <v>7</v>
      </c>
      <c r="Y426" s="27" t="s">
        <v>8</v>
      </c>
      <c r="Z426" s="27" t="s">
        <v>7</v>
      </c>
      <c r="AA426" s="27" t="s">
        <v>8</v>
      </c>
      <c r="AB426" s="27" t="s">
        <v>7</v>
      </c>
      <c r="AC426" s="27" t="s">
        <v>8</v>
      </c>
      <c r="AO426" s="27" t="s">
        <v>8</v>
      </c>
      <c r="AP426" s="27" t="s">
        <v>7</v>
      </c>
      <c r="AR426" s="27" t="s">
        <v>7</v>
      </c>
      <c r="AV426" s="27" t="s">
        <v>7</v>
      </c>
      <c r="AX426" s="27" t="s">
        <v>7</v>
      </c>
      <c r="AY426" s="27" t="s">
        <v>8</v>
      </c>
      <c r="AZ426" s="27" t="s">
        <v>7</v>
      </c>
      <c r="BA426" s="27" t="s">
        <v>8</v>
      </c>
      <c r="BB426" s="27" t="s">
        <v>7</v>
      </c>
      <c r="BK426" s="27" t="s">
        <v>8</v>
      </c>
      <c r="BL426" s="27" t="s">
        <v>7</v>
      </c>
      <c r="BM426" s="27" t="s">
        <v>8</v>
      </c>
      <c r="BN426" s="27" t="s">
        <v>7</v>
      </c>
    </row>
    <row r="427" spans="1:72" x14ac:dyDescent="0.25">
      <c r="A427" s="30">
        <v>9.7183978559622027E-5</v>
      </c>
      <c r="T427" s="27" t="s">
        <v>7</v>
      </c>
      <c r="V427" s="27" t="s">
        <v>7</v>
      </c>
      <c r="W427" s="27" t="s">
        <v>8</v>
      </c>
      <c r="X427" s="27" t="s">
        <v>7</v>
      </c>
      <c r="Y427" s="27" t="s">
        <v>8</v>
      </c>
      <c r="Z427" s="27" t="s">
        <v>7</v>
      </c>
      <c r="AB427" s="27" t="s">
        <v>7</v>
      </c>
      <c r="AC427" s="27" t="s">
        <v>8</v>
      </c>
      <c r="AD427" s="27" t="s">
        <v>7</v>
      </c>
      <c r="AI427" s="27" t="s">
        <v>8</v>
      </c>
      <c r="AO427" s="27" t="s">
        <v>8</v>
      </c>
      <c r="AX427" s="27" t="s">
        <v>7</v>
      </c>
      <c r="AZ427" s="27" t="s">
        <v>7</v>
      </c>
      <c r="BA427" s="27" t="s">
        <v>8</v>
      </c>
      <c r="BB427" s="27" t="s">
        <v>7</v>
      </c>
      <c r="BC427" s="27" t="s">
        <v>8</v>
      </c>
      <c r="BK427" s="27" t="s">
        <v>8</v>
      </c>
      <c r="BL427" s="27" t="s">
        <v>7</v>
      </c>
      <c r="BM427" s="27" t="s">
        <v>8</v>
      </c>
    </row>
    <row r="428" spans="1:72" x14ac:dyDescent="0.25">
      <c r="A428" s="30">
        <v>9.2324779631640922E-5</v>
      </c>
      <c r="V428" s="27" t="s">
        <v>7</v>
      </c>
      <c r="X428" s="27" t="s">
        <v>7</v>
      </c>
      <c r="Y428" s="27" t="s">
        <v>8</v>
      </c>
      <c r="AB428" s="27" t="s">
        <v>7</v>
      </c>
      <c r="AC428" s="27" t="s">
        <v>8</v>
      </c>
      <c r="AD428" s="27" t="s">
        <v>7</v>
      </c>
      <c r="AI428" s="27" t="s">
        <v>8</v>
      </c>
      <c r="AJ428" s="27" t="s">
        <v>7</v>
      </c>
      <c r="AK428" s="27" t="s">
        <v>8</v>
      </c>
      <c r="AM428" s="27" t="s">
        <v>8</v>
      </c>
      <c r="AO428" s="27" t="s">
        <v>8</v>
      </c>
      <c r="AZ428" s="27" t="s">
        <v>7</v>
      </c>
      <c r="BA428" s="27" t="s">
        <v>8</v>
      </c>
      <c r="BB428" s="27" t="s">
        <v>7</v>
      </c>
      <c r="BC428" s="27" t="s">
        <v>8</v>
      </c>
      <c r="BD428" s="27" t="s">
        <v>7</v>
      </c>
      <c r="BG428" s="27" t="s">
        <v>8</v>
      </c>
      <c r="BI428" s="27" t="s">
        <v>8</v>
      </c>
      <c r="BK428" s="27" t="s">
        <v>8</v>
      </c>
      <c r="BL428" s="27" t="s">
        <v>7</v>
      </c>
      <c r="BM428" s="27" t="s">
        <v>8</v>
      </c>
    </row>
    <row r="429" spans="1:72" x14ac:dyDescent="0.25">
      <c r="A429" s="30">
        <v>8.7708540650058869E-5</v>
      </c>
      <c r="X429" s="27" t="s">
        <v>7</v>
      </c>
      <c r="AB429" s="27" t="s">
        <v>7</v>
      </c>
      <c r="AD429" s="27" t="s">
        <v>7</v>
      </c>
      <c r="AE429" s="27" t="s">
        <v>8</v>
      </c>
      <c r="AI429" s="27" t="s">
        <v>8</v>
      </c>
      <c r="AJ429" s="27" t="s">
        <v>7</v>
      </c>
      <c r="AK429" s="27" t="s">
        <v>8</v>
      </c>
      <c r="AL429" s="27" t="s">
        <v>7</v>
      </c>
      <c r="AM429" s="27" t="s">
        <v>8</v>
      </c>
      <c r="AN429" s="27" t="s">
        <v>7</v>
      </c>
      <c r="AO429" s="27" t="s">
        <v>8</v>
      </c>
      <c r="AZ429" s="27" t="s">
        <v>7</v>
      </c>
      <c r="BA429" s="27" t="s">
        <v>8</v>
      </c>
      <c r="BB429" s="27" t="s">
        <v>7</v>
      </c>
      <c r="BC429" s="27" t="s">
        <v>8</v>
      </c>
      <c r="BD429" s="27" t="s">
        <v>7</v>
      </c>
      <c r="BE429" s="27" t="s">
        <v>8</v>
      </c>
      <c r="BG429" s="27" t="s">
        <v>8</v>
      </c>
      <c r="BH429" s="27" t="s">
        <v>7</v>
      </c>
      <c r="BI429" s="27" t="s">
        <v>8</v>
      </c>
      <c r="BJ429" s="27" t="s">
        <v>7</v>
      </c>
      <c r="BK429" s="27" t="s">
        <v>8</v>
      </c>
      <c r="BL429" s="27" t="s">
        <v>7</v>
      </c>
    </row>
    <row r="430" spans="1:72" x14ac:dyDescent="0.25">
      <c r="A430" s="30">
        <v>8.3323113617555917E-5</v>
      </c>
      <c r="AD430" s="27" t="s">
        <v>7</v>
      </c>
      <c r="AE430" s="27" t="s">
        <v>8</v>
      </c>
      <c r="AF430" s="27" t="s">
        <v>7</v>
      </c>
      <c r="AI430" s="27" t="s">
        <v>8</v>
      </c>
      <c r="AJ430" s="27" t="s">
        <v>7</v>
      </c>
      <c r="AK430" s="27" t="s">
        <v>8</v>
      </c>
      <c r="AL430" s="27" t="s">
        <v>7</v>
      </c>
      <c r="AM430" s="27" t="s">
        <v>8</v>
      </c>
      <c r="AN430" s="27" t="s">
        <v>7</v>
      </c>
      <c r="AO430" s="27" t="s">
        <v>8</v>
      </c>
      <c r="AZ430" s="27" t="s">
        <v>7</v>
      </c>
      <c r="BA430" s="27" t="s">
        <v>8</v>
      </c>
      <c r="BB430" s="27" t="s">
        <v>7</v>
      </c>
      <c r="BD430" s="27" t="s">
        <v>7</v>
      </c>
      <c r="BE430" s="27" t="s">
        <v>8</v>
      </c>
      <c r="BF430" s="27" t="s">
        <v>7</v>
      </c>
      <c r="BG430" s="27" t="s">
        <v>8</v>
      </c>
      <c r="BH430" s="27" t="s">
        <v>7</v>
      </c>
      <c r="BI430" s="27" t="s">
        <v>8</v>
      </c>
      <c r="BJ430" s="27" t="s">
        <v>7</v>
      </c>
      <c r="BK430" s="27" t="s">
        <v>8</v>
      </c>
    </row>
    <row r="431" spans="1:72" x14ac:dyDescent="0.25">
      <c r="A431" s="30">
        <v>7.9156957936678114E-5</v>
      </c>
      <c r="AD431" s="27" t="s">
        <v>7</v>
      </c>
      <c r="AE431" s="27" t="s">
        <v>8</v>
      </c>
      <c r="AF431" s="27" t="s">
        <v>7</v>
      </c>
      <c r="AG431" s="27" t="s">
        <v>8</v>
      </c>
      <c r="AI431" s="27" t="s">
        <v>8</v>
      </c>
      <c r="AJ431" s="27" t="s">
        <v>7</v>
      </c>
      <c r="AK431" s="27" t="s">
        <v>8</v>
      </c>
      <c r="AL431" s="27" t="s">
        <v>7</v>
      </c>
      <c r="AM431" s="27" t="s">
        <v>8</v>
      </c>
      <c r="AN431" s="27" t="s">
        <v>7</v>
      </c>
      <c r="AO431" s="27" t="s">
        <v>8</v>
      </c>
      <c r="AZ431" s="27" t="s">
        <v>7</v>
      </c>
      <c r="BA431" s="27" t="s">
        <v>8</v>
      </c>
      <c r="BD431" s="27" t="s">
        <v>7</v>
      </c>
      <c r="BE431" s="27" t="s">
        <v>8</v>
      </c>
      <c r="BF431" s="27" t="s">
        <v>7</v>
      </c>
      <c r="BG431" s="27" t="s">
        <v>8</v>
      </c>
      <c r="BH431" s="27" t="s">
        <v>7</v>
      </c>
      <c r="BI431" s="27" t="s">
        <v>8</v>
      </c>
      <c r="BJ431" s="27" t="s">
        <v>7</v>
      </c>
      <c r="BK431" s="27" t="s">
        <v>8</v>
      </c>
    </row>
    <row r="432" spans="1:72" x14ac:dyDescent="0.25">
      <c r="A432" s="30">
        <v>7.5199110039844203E-5</v>
      </c>
      <c r="AD432" s="27" t="s">
        <v>7</v>
      </c>
      <c r="AE432" s="27" t="s">
        <v>8</v>
      </c>
      <c r="AF432" s="27" t="s">
        <v>7</v>
      </c>
      <c r="AG432" s="27" t="s">
        <v>8</v>
      </c>
      <c r="AH432" s="27" t="s">
        <v>7</v>
      </c>
      <c r="AI432" s="27" t="s">
        <v>8</v>
      </c>
      <c r="AJ432" s="27" t="s">
        <v>7</v>
      </c>
      <c r="AL432" s="27" t="s">
        <v>7</v>
      </c>
      <c r="AM432" s="27" t="s">
        <v>8</v>
      </c>
      <c r="AN432" s="27" t="s">
        <v>7</v>
      </c>
      <c r="AO432" s="27" t="s">
        <v>8</v>
      </c>
      <c r="AZ432" s="27" t="s">
        <v>7</v>
      </c>
      <c r="BD432" s="27" t="s">
        <v>7</v>
      </c>
      <c r="BE432" s="27" t="s">
        <v>8</v>
      </c>
      <c r="BF432" s="27" t="s">
        <v>7</v>
      </c>
      <c r="BG432" s="27" t="s">
        <v>8</v>
      </c>
      <c r="BH432" s="27" t="s">
        <v>7</v>
      </c>
      <c r="BI432" s="27" t="s">
        <v>8</v>
      </c>
      <c r="BJ432" s="27" t="s">
        <v>7</v>
      </c>
    </row>
    <row r="433" spans="1:61" x14ac:dyDescent="0.25">
      <c r="A433" s="30">
        <v>7.1439154537851989E-5</v>
      </c>
      <c r="AD433" s="27" t="s">
        <v>7</v>
      </c>
      <c r="AE433" s="27" t="s">
        <v>8</v>
      </c>
      <c r="AF433" s="27" t="s">
        <v>7</v>
      </c>
      <c r="AG433" s="27" t="s">
        <v>8</v>
      </c>
      <c r="AH433" s="27" t="s">
        <v>7</v>
      </c>
      <c r="AI433" s="27" t="s">
        <v>8</v>
      </c>
      <c r="AL433" s="27" t="s">
        <v>7</v>
      </c>
      <c r="AM433" s="27" t="s">
        <v>8</v>
      </c>
      <c r="AN433" s="27" t="s">
        <v>7</v>
      </c>
      <c r="BD433" s="27" t="s">
        <v>7</v>
      </c>
      <c r="BF433" s="27" t="s">
        <v>7</v>
      </c>
      <c r="BG433" s="27" t="s">
        <v>8</v>
      </c>
      <c r="BH433" s="27" t="s">
        <v>7</v>
      </c>
      <c r="BI433" s="27" t="s">
        <v>8</v>
      </c>
    </row>
    <row r="434" spans="1:61" x14ac:dyDescent="0.25">
      <c r="A434" s="30">
        <v>6.7867196810959381E-5</v>
      </c>
      <c r="AD434" s="27" t="s">
        <v>7</v>
      </c>
      <c r="AE434" s="27" t="s">
        <v>8</v>
      </c>
      <c r="AF434" s="27" t="s">
        <v>7</v>
      </c>
      <c r="AG434" s="27" t="s">
        <v>8</v>
      </c>
      <c r="AH434" s="27" t="s">
        <v>7</v>
      </c>
      <c r="AL434" s="27" t="s">
        <v>7</v>
      </c>
      <c r="BF434" s="27" t="s">
        <v>7</v>
      </c>
      <c r="BG434" s="27" t="s">
        <v>8</v>
      </c>
      <c r="BH434" s="27" t="s">
        <v>7</v>
      </c>
    </row>
    <row r="435" spans="1:61" x14ac:dyDescent="0.25">
      <c r="A435" s="30">
        <v>6.4473836970411412E-5</v>
      </c>
      <c r="AD435" s="27" t="s">
        <v>7</v>
      </c>
      <c r="AE435" s="27" t="s">
        <v>8</v>
      </c>
      <c r="AF435" s="27" t="s">
        <v>7</v>
      </c>
      <c r="AG435" s="27" t="s">
        <v>8</v>
      </c>
      <c r="BF435" s="27" t="s">
        <v>7</v>
      </c>
      <c r="BG435" s="27" t="s">
        <v>8</v>
      </c>
    </row>
    <row r="436" spans="1:61" x14ac:dyDescent="0.25">
      <c r="A436" s="30">
        <v>6.1250145121890834E-5</v>
      </c>
      <c r="AD436" s="27" t="s">
        <v>7</v>
      </c>
      <c r="AE436" s="27" t="s">
        <v>8</v>
      </c>
      <c r="AF436" s="27" t="s">
        <v>7</v>
      </c>
      <c r="BF436" s="27" t="s">
        <v>7</v>
      </c>
      <c r="BG436" s="27" t="s">
        <v>8</v>
      </c>
    </row>
    <row r="437" spans="1:61" x14ac:dyDescent="0.25">
      <c r="A437" s="30">
        <v>5.8187637865796292E-5</v>
      </c>
      <c r="AD437" s="27" t="s">
        <v>7</v>
      </c>
      <c r="AE437" s="27" t="s">
        <v>8</v>
      </c>
      <c r="BF437" s="27" t="s">
        <v>7</v>
      </c>
    </row>
    <row r="438" spans="1:61" x14ac:dyDescent="0.25">
      <c r="A438" s="30">
        <v>5.5278255972506478E-5</v>
      </c>
      <c r="AD438" s="27" t="s">
        <v>7</v>
      </c>
      <c r="AE438" s="27" t="s">
        <v>8</v>
      </c>
    </row>
    <row r="439" spans="1:61" x14ac:dyDescent="0.25">
      <c r="A439" s="30">
        <v>5.251434317388115E-5</v>
      </c>
      <c r="AD439" s="27" t="s">
        <v>7</v>
      </c>
      <c r="AE439" s="27" t="s">
        <v>8</v>
      </c>
    </row>
    <row r="440" spans="1:61" x14ac:dyDescent="0.25">
      <c r="A440" s="30">
        <v>4.9888626015187091E-5</v>
      </c>
      <c r="AD440" s="27" t="s">
        <v>7</v>
      </c>
      <c r="AE440" s="27" t="s">
        <v>8</v>
      </c>
    </row>
    <row r="441" spans="1:61" x14ac:dyDescent="0.25">
      <c r="A441" s="30">
        <v>4.7394194714427735E-5</v>
      </c>
      <c r="AD441" s="27" t="s">
        <v>7</v>
      </c>
      <c r="AE441" s="27" t="s">
        <v>8</v>
      </c>
    </row>
    <row r="442" spans="1:61" x14ac:dyDescent="0.25">
      <c r="A442" s="30">
        <v>4.5024484978706345E-5</v>
      </c>
      <c r="AD442" s="27" t="s">
        <v>7</v>
      </c>
      <c r="AE442" s="27" t="s">
        <v>8</v>
      </c>
    </row>
    <row r="443" spans="1:61" x14ac:dyDescent="0.25">
      <c r="A443" s="30">
        <v>4.2773260729771024E-5</v>
      </c>
      <c r="AD443" s="27" t="s">
        <v>7</v>
      </c>
      <c r="AE443" s="27" t="s">
        <v>8</v>
      </c>
    </row>
    <row r="444" spans="1:61" x14ac:dyDescent="0.25">
      <c r="A444" s="30">
        <v>4.0634597693282472E-5</v>
      </c>
      <c r="AD444" s="27" t="s">
        <v>7</v>
      </c>
      <c r="AE444" s="27" t="s">
        <v>8</v>
      </c>
    </row>
    <row r="445" spans="1:61" x14ac:dyDescent="0.25">
      <c r="A445" s="30">
        <v>3.8602867808618349E-5</v>
      </c>
      <c r="AD445" s="27" t="s">
        <v>7</v>
      </c>
    </row>
    <row r="446" spans="1:61" x14ac:dyDescent="0.25">
      <c r="A446" s="30">
        <v>3.6672724418187428E-5</v>
      </c>
    </row>
    <row r="447" spans="1:61" x14ac:dyDescent="0.25">
      <c r="A447" s="30">
        <v>3.4839088197278057E-5</v>
      </c>
    </row>
    <row r="448" spans="1:6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331" operator="equal">
      <formula>$U$1</formula>
    </cfRule>
    <cfRule type="cellIs" dxfId="67" priority="1332" operator="equal">
      <formula>$S$1</formula>
    </cfRule>
  </conditionalFormatting>
  <conditionalFormatting sqref="D136">
    <cfRule type="cellIs" dxfId="66" priority="1329" operator="equal">
      <formula>$S$1</formula>
    </cfRule>
    <cfRule type="cellIs" dxfId="65" priority="1330" operator="equal">
      <formula>$U$1</formula>
    </cfRule>
  </conditionalFormatting>
  <conditionalFormatting sqref="C162">
    <cfRule type="cellIs" dxfId="64" priority="1327" operator="equal">
      <formula>$U$1</formula>
    </cfRule>
    <cfRule type="cellIs" dxfId="63" priority="1328" operator="equal">
      <formula>$S$1</formula>
    </cfRule>
  </conditionalFormatting>
  <conditionalFormatting sqref="D162">
    <cfRule type="cellIs" dxfId="62" priority="1325" operator="equal">
      <formula>$S$1</formula>
    </cfRule>
    <cfRule type="cellIs" dxfId="61" priority="1326" operator="equal">
      <formula>$U$1</formula>
    </cfRule>
  </conditionalFormatting>
  <conditionalFormatting sqref="C187">
    <cfRule type="cellIs" dxfId="60" priority="1323" operator="equal">
      <formula>$U$1</formula>
    </cfRule>
    <cfRule type="cellIs" dxfId="59" priority="1324" operator="equal">
      <formula>$S$1</formula>
    </cfRule>
  </conditionalFormatting>
  <conditionalFormatting sqref="D187">
    <cfRule type="cellIs" dxfId="58" priority="1321" operator="equal">
      <formula>$S$1</formula>
    </cfRule>
    <cfRule type="cellIs" dxfId="57" priority="1322" operator="equal">
      <formula>$U$1</formula>
    </cfRule>
  </conditionalFormatting>
  <conditionalFormatting sqref="C212">
    <cfRule type="cellIs" dxfId="56" priority="1319" operator="equal">
      <formula>$U$1</formula>
    </cfRule>
    <cfRule type="cellIs" dxfId="55" priority="1320" operator="equal">
      <formula>$S$1</formula>
    </cfRule>
  </conditionalFormatting>
  <conditionalFormatting sqref="D212">
    <cfRule type="cellIs" dxfId="54" priority="1317" operator="equal">
      <formula>$S$1</formula>
    </cfRule>
    <cfRule type="cellIs" dxfId="53" priority="1318" operator="equal">
      <formula>$U$1</formula>
    </cfRule>
  </conditionalFormatting>
  <conditionalFormatting sqref="C237">
    <cfRule type="cellIs" dxfId="52" priority="1315" operator="equal">
      <formula>$U$1</formula>
    </cfRule>
    <cfRule type="cellIs" dxfId="51" priority="1316" operator="equal">
      <formula>$S$1</formula>
    </cfRule>
  </conditionalFormatting>
  <conditionalFormatting sqref="D237">
    <cfRule type="cellIs" dxfId="50" priority="1313" operator="equal">
      <formula>$S$1</formula>
    </cfRule>
    <cfRule type="cellIs" dxfId="49" priority="1314" operator="equal">
      <formula>$U$1</formula>
    </cfRule>
  </conditionalFormatting>
  <conditionalFormatting sqref="C106">
    <cfRule type="cellIs" dxfId="48" priority="1311" operator="equal">
      <formula>$U$1</formula>
    </cfRule>
    <cfRule type="cellIs" dxfId="47" priority="1312" operator="equal">
      <formula>$S$1</formula>
    </cfRule>
  </conditionalFormatting>
  <conditionalFormatting sqref="D106">
    <cfRule type="cellIs" dxfId="46" priority="1309" operator="equal">
      <formula>$S$1</formula>
    </cfRule>
    <cfRule type="cellIs" dxfId="45" priority="1310" operator="equal">
      <formula>$U$1</formula>
    </cfRule>
  </conditionalFormatting>
  <conditionalFormatting sqref="C81">
    <cfRule type="cellIs" dxfId="44" priority="1307" operator="equal">
      <formula>$U$1</formula>
    </cfRule>
    <cfRule type="cellIs" dxfId="43" priority="1308" operator="equal">
      <formula>$S$1</formula>
    </cfRule>
  </conditionalFormatting>
  <conditionalFormatting sqref="D81">
    <cfRule type="cellIs" dxfId="42" priority="1305" operator="equal">
      <formula>$S$1</formula>
    </cfRule>
    <cfRule type="cellIs" dxfId="41" priority="1306" operator="equal">
      <formula>$U$1</formula>
    </cfRule>
  </conditionalFormatting>
  <conditionalFormatting sqref="C56">
    <cfRule type="cellIs" dxfId="40" priority="1303" operator="equal">
      <formula>$U$1</formula>
    </cfRule>
    <cfRule type="cellIs" dxfId="39" priority="1304" operator="equal">
      <formula>$S$1</formula>
    </cfRule>
  </conditionalFormatting>
  <conditionalFormatting sqref="D56">
    <cfRule type="cellIs" dxfId="38" priority="1301" operator="equal">
      <formula>$S$1</formula>
    </cfRule>
    <cfRule type="cellIs" dxfId="37" priority="1302" operator="equal">
      <formula>$U$1</formula>
    </cfRule>
  </conditionalFormatting>
  <conditionalFormatting sqref="C31">
    <cfRule type="cellIs" dxfId="36" priority="1299" operator="equal">
      <formula>$U$1</formula>
    </cfRule>
    <cfRule type="cellIs" dxfId="35" priority="1300" operator="equal">
      <formula>$S$1</formula>
    </cfRule>
  </conditionalFormatting>
  <conditionalFormatting sqref="D31">
    <cfRule type="cellIs" dxfId="34" priority="1297" operator="equal">
      <formula>$S$1</formula>
    </cfRule>
    <cfRule type="cellIs" dxfId="33" priority="129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H206" sqref="BH20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$A$205</v>
      </c>
      <c r="D111" s="1" t="str">
        <f>ADDRESS(C121-1,D121,1,1)</f>
        <v>$BH$205</v>
      </c>
      <c r="E111"/>
    </row>
    <row r="112" spans="1:5" x14ac:dyDescent="0.25">
      <c r="A112" s="30">
        <v>2.3579476910000019</v>
      </c>
      <c r="C112" s="1" t="str">
        <f>ADDRESS(C121,1,1,1)</f>
        <v>$A$206</v>
      </c>
      <c r="D112" s="1" t="str">
        <f>ADDRESS(C121,D121-1,1,1)</f>
        <v>$BG$206</v>
      </c>
      <c r="E112"/>
    </row>
    <row r="113" spans="1:6" x14ac:dyDescent="0.25">
      <c r="A113" s="30">
        <v>2.1435888100000016</v>
      </c>
      <c r="C113" s="1" t="str">
        <f>ADDRESS(C121+1,1,1,1)</f>
        <v>$A$207</v>
      </c>
      <c r="D113" s="1" t="str">
        <f>ADDRESS(C121-1,D121+1,1,1)</f>
        <v>$BI$205</v>
      </c>
    </row>
    <row r="114" spans="1:6" x14ac:dyDescent="0.25">
      <c r="A114" s="30">
        <v>1.9487171000000014</v>
      </c>
      <c r="C114" s="1" t="str">
        <f>ADDRESS(C121,D121,1,1)</f>
        <v>$BH$206</v>
      </c>
      <c r="D114" s="1" t="str">
        <f>ADDRESS(C121+1,D121+1,1,1)</f>
        <v>$BI$207</v>
      </c>
    </row>
    <row r="115" spans="1:6" x14ac:dyDescent="0.25">
      <c r="A115" s="30">
        <v>1.7715610000000011</v>
      </c>
      <c r="C115" s="1" t="str">
        <f>ADDRESS(C121+1,D121,1,1)</f>
        <v>$BH$207</v>
      </c>
    </row>
    <row r="116" spans="1:6" x14ac:dyDescent="0.25">
      <c r="A116" s="30">
        <v>1.6105100000000008</v>
      </c>
      <c r="C116" s="1">
        <f>C117-1</f>
        <v>205</v>
      </c>
    </row>
    <row r="117" spans="1:6" x14ac:dyDescent="0.25">
      <c r="A117" s="30">
        <v>1.4641000000000006</v>
      </c>
      <c r="C117" s="1">
        <f>C121</f>
        <v>206</v>
      </c>
      <c r="D117" s="1">
        <f>D121</f>
        <v>60</v>
      </c>
    </row>
    <row r="118" spans="1:6" x14ac:dyDescent="0.25">
      <c r="A118" s="30">
        <v>1.3310000000000004</v>
      </c>
      <c r="C118" s="1">
        <f>C117+1</f>
        <v>207</v>
      </c>
      <c r="D118" s="1">
        <f>D117+1</f>
        <v>61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206</v>
      </c>
      <c r="D121" s="19">
        <v>60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R206</v>
      </c>
      <c r="D123" s="1" t="str">
        <f>"C"&amp;D121</f>
        <v>C60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2.7414082002480487E-4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6" x14ac:dyDescent="0.25">
      <c r="A145" s="30">
        <v>0.10152559799477026</v>
      </c>
      <c r="B145"/>
      <c r="C145"/>
      <c r="D145"/>
      <c r="E145"/>
      <c r="F145" s="27" t="s">
        <v>7</v>
      </c>
    </row>
    <row r="146" spans="1:6" x14ac:dyDescent="0.25">
      <c r="A146" s="30">
        <v>9.2295998177063854E-2</v>
      </c>
      <c r="B146"/>
      <c r="C146"/>
      <c r="D146"/>
      <c r="E146"/>
      <c r="F146" s="27" t="s">
        <v>7</v>
      </c>
    </row>
    <row r="147" spans="1:6" x14ac:dyDescent="0.25">
      <c r="A147" s="30">
        <v>8.3905452888239848E-2</v>
      </c>
      <c r="B147"/>
      <c r="C147"/>
      <c r="D147"/>
      <c r="E147"/>
      <c r="F147" s="27" t="s">
        <v>7</v>
      </c>
    </row>
    <row r="148" spans="1:6" x14ac:dyDescent="0.25">
      <c r="A148" s="30">
        <v>7.6277684443854396E-2</v>
      </c>
      <c r="B148"/>
      <c r="C148"/>
      <c r="D148"/>
      <c r="E148"/>
      <c r="F148" s="27" t="s">
        <v>7</v>
      </c>
    </row>
    <row r="149" spans="1:6" x14ac:dyDescent="0.25">
      <c r="A149" s="30">
        <v>6.9343349494413078E-2</v>
      </c>
      <c r="B149"/>
      <c r="C149"/>
      <c r="D149"/>
      <c r="E149"/>
      <c r="F149" s="27" t="s">
        <v>7</v>
      </c>
    </row>
    <row r="150" spans="1:6" x14ac:dyDescent="0.25">
      <c r="A150" s="30">
        <v>6.3039408631284613E-2</v>
      </c>
      <c r="B150"/>
      <c r="C150"/>
      <c r="D150"/>
      <c r="E150"/>
      <c r="F150" s="27" t="s">
        <v>7</v>
      </c>
    </row>
    <row r="151" spans="1:6" x14ac:dyDescent="0.25">
      <c r="A151" s="30">
        <v>5.7308553301167818E-2</v>
      </c>
      <c r="B151"/>
      <c r="C151"/>
      <c r="D151"/>
      <c r="E151"/>
      <c r="F151" s="27" t="s">
        <v>7</v>
      </c>
    </row>
    <row r="152" spans="1:6" x14ac:dyDescent="0.25">
      <c r="A152" s="30">
        <v>5.2098684819243464E-2</v>
      </c>
      <c r="B152"/>
      <c r="C152"/>
      <c r="D152"/>
      <c r="E152"/>
      <c r="F152" s="27" t="s">
        <v>7</v>
      </c>
    </row>
    <row r="153" spans="1:6" x14ac:dyDescent="0.25">
      <c r="A153" s="30">
        <v>4.7362440744766775E-2</v>
      </c>
      <c r="B153"/>
      <c r="C153"/>
      <c r="D153"/>
      <c r="E153"/>
      <c r="F153" s="27" t="s">
        <v>7</v>
      </c>
    </row>
    <row r="154" spans="1:6" x14ac:dyDescent="0.25">
      <c r="A154" s="30">
        <v>4.3056764313424332E-2</v>
      </c>
      <c r="B154"/>
      <c r="C154"/>
      <c r="D154"/>
      <c r="E154"/>
      <c r="F154" s="27" t="s">
        <v>7</v>
      </c>
    </row>
    <row r="155" spans="1:6" x14ac:dyDescent="0.25">
      <c r="A155" s="30">
        <v>3.9142513012203929E-2</v>
      </c>
      <c r="B155"/>
      <c r="C155"/>
      <c r="D155"/>
      <c r="E155"/>
      <c r="F155" s="27" t="s">
        <v>7</v>
      </c>
    </row>
    <row r="156" spans="1:6" x14ac:dyDescent="0.25">
      <c r="A156" s="30">
        <v>3.55841027383672E-2</v>
      </c>
      <c r="B156"/>
      <c r="C156"/>
      <c r="D156"/>
      <c r="E156"/>
      <c r="F156" s="27" t="s">
        <v>7</v>
      </c>
    </row>
    <row r="157" spans="1:6" x14ac:dyDescent="0.25">
      <c r="A157" s="30">
        <v>3.2349184307606541E-2</v>
      </c>
      <c r="B157"/>
      <c r="C157"/>
      <c r="D157"/>
      <c r="E157"/>
      <c r="F157" s="27" t="s">
        <v>7</v>
      </c>
    </row>
    <row r="158" spans="1:6" x14ac:dyDescent="0.25">
      <c r="A158" s="30">
        <v>2.9408349370551395E-2</v>
      </c>
      <c r="B158"/>
      <c r="C158"/>
      <c r="D158"/>
      <c r="E158"/>
      <c r="F158" s="27" t="s">
        <v>7</v>
      </c>
    </row>
    <row r="159" spans="1:6" x14ac:dyDescent="0.25">
      <c r="A159" s="30">
        <v>2.6734863064137627E-2</v>
      </c>
      <c r="B159"/>
      <c r="C159"/>
      <c r="D159"/>
      <c r="E159"/>
      <c r="F159" s="27" t="s">
        <v>7</v>
      </c>
    </row>
    <row r="160" spans="1:6" x14ac:dyDescent="0.25">
      <c r="A160" s="30">
        <v>2.4304420967397839E-2</v>
      </c>
      <c r="B160"/>
      <c r="C160"/>
      <c r="D160"/>
      <c r="E160"/>
      <c r="F160" s="27" t="s">
        <v>7</v>
      </c>
    </row>
    <row r="161" spans="1:6" x14ac:dyDescent="0.25">
      <c r="A161" s="30">
        <v>2.2094928152179852E-2</v>
      </c>
      <c r="B161"/>
      <c r="C161"/>
      <c r="D161"/>
      <c r="E161"/>
      <c r="F161" s="27" t="s">
        <v>7</v>
      </c>
    </row>
    <row r="162" spans="1:6" x14ac:dyDescent="0.25">
      <c r="A162" s="30">
        <v>2.0086298320163499E-2</v>
      </c>
      <c r="B162"/>
      <c r="C162"/>
      <c r="D162"/>
      <c r="E162"/>
      <c r="F162" s="27" t="s">
        <v>7</v>
      </c>
    </row>
    <row r="163" spans="1:6" x14ac:dyDescent="0.25">
      <c r="A163" s="30">
        <v>1.8260271200148632E-2</v>
      </c>
      <c r="B163"/>
      <c r="C163"/>
      <c r="D163"/>
      <c r="E163"/>
      <c r="F163" s="27" t="s">
        <v>7</v>
      </c>
    </row>
    <row r="164" spans="1:6" x14ac:dyDescent="0.25">
      <c r="A164" s="30">
        <v>1.6600246545589663E-2</v>
      </c>
      <c r="B164"/>
      <c r="C164"/>
      <c r="D164"/>
      <c r="E164"/>
      <c r="F164" s="27" t="s">
        <v>7</v>
      </c>
    </row>
    <row r="165" spans="1:6" x14ac:dyDescent="0.25">
      <c r="A165" s="30">
        <v>1.5091133223263328E-2</v>
      </c>
      <c r="B165"/>
      <c r="C165"/>
      <c r="D165"/>
      <c r="E165"/>
      <c r="F165" s="27" t="s">
        <v>7</v>
      </c>
    </row>
    <row r="166" spans="1:6" x14ac:dyDescent="0.25">
      <c r="A166" s="30">
        <v>1.3719212021148477E-2</v>
      </c>
      <c r="B166"/>
      <c r="C166"/>
      <c r="D166"/>
      <c r="E166"/>
      <c r="F166" s="27" t="s">
        <v>7</v>
      </c>
    </row>
    <row r="167" spans="1:6" x14ac:dyDescent="0.25">
      <c r="A167" s="30">
        <v>1.2472010928316795E-2</v>
      </c>
      <c r="B167"/>
      <c r="C167"/>
      <c r="D167"/>
      <c r="E167"/>
      <c r="F167" s="27" t="s">
        <v>7</v>
      </c>
    </row>
    <row r="168" spans="1:6" x14ac:dyDescent="0.25">
      <c r="A168" s="30">
        <v>1.1338191753015267E-2</v>
      </c>
      <c r="B168"/>
      <c r="C168"/>
      <c r="D168"/>
      <c r="E168"/>
      <c r="F168" s="27" t="s">
        <v>7</v>
      </c>
    </row>
    <row r="169" spans="1:6" x14ac:dyDescent="0.25">
      <c r="A169" s="30">
        <v>1.0307447048195697E-2</v>
      </c>
      <c r="B169"/>
      <c r="C169"/>
      <c r="D169"/>
      <c r="E169"/>
      <c r="F169" s="27" t="s">
        <v>7</v>
      </c>
    </row>
    <row r="170" spans="1:6" x14ac:dyDescent="0.25">
      <c r="A170" s="30">
        <v>9.3704064074506318E-3</v>
      </c>
      <c r="B170"/>
      <c r="C170"/>
      <c r="D170"/>
      <c r="E170"/>
      <c r="F170" s="27" t="s">
        <v>7</v>
      </c>
    </row>
    <row r="171" spans="1:6" x14ac:dyDescent="0.25">
      <c r="A171" s="30">
        <v>8.5185512795005747E-3</v>
      </c>
      <c r="F171" s="27" t="s">
        <v>7</v>
      </c>
    </row>
    <row r="172" spans="1:6" x14ac:dyDescent="0.25">
      <c r="A172" s="30">
        <v>7.744137526818704E-3</v>
      </c>
      <c r="F172" s="27" t="s">
        <v>7</v>
      </c>
    </row>
    <row r="173" spans="1:6" x14ac:dyDescent="0.25">
      <c r="A173" s="30">
        <v>7.0401250243806394E-3</v>
      </c>
      <c r="F173" s="27" t="s">
        <v>7</v>
      </c>
    </row>
    <row r="174" spans="1:6" x14ac:dyDescent="0.25">
      <c r="A174" s="30">
        <v>6.4001136585278536E-3</v>
      </c>
      <c r="F174" s="27" t="s">
        <v>7</v>
      </c>
    </row>
    <row r="175" spans="1:6" x14ac:dyDescent="0.25">
      <c r="A175" s="30">
        <v>5.8182851441162305E-3</v>
      </c>
      <c r="F175" s="27" t="s">
        <v>7</v>
      </c>
    </row>
    <row r="176" spans="1:6" x14ac:dyDescent="0.25">
      <c r="A176" s="30">
        <v>5.2893501310147546E-3</v>
      </c>
      <c r="F176" s="27" t="s">
        <v>7</v>
      </c>
    </row>
    <row r="177" spans="1:42" x14ac:dyDescent="0.25">
      <c r="A177" s="30">
        <v>4.8085001191043222E-3</v>
      </c>
      <c r="F177" s="27" t="s">
        <v>7</v>
      </c>
    </row>
    <row r="178" spans="1:42" x14ac:dyDescent="0.25">
      <c r="A178" s="30">
        <v>4.3713637446402926E-3</v>
      </c>
      <c r="F178" s="27" t="s">
        <v>7</v>
      </c>
    </row>
    <row r="179" spans="1:42" x14ac:dyDescent="0.25">
      <c r="A179" s="30">
        <v>3.9739670405820838E-3</v>
      </c>
      <c r="F179" s="27" t="s">
        <v>7</v>
      </c>
    </row>
    <row r="180" spans="1:42" x14ac:dyDescent="0.25">
      <c r="A180" s="30">
        <v>3.6126973096200759E-3</v>
      </c>
      <c r="F180" s="27" t="s">
        <v>7</v>
      </c>
    </row>
    <row r="181" spans="1:42" x14ac:dyDescent="0.25">
      <c r="A181" s="30">
        <v>3.2842702814727962E-3</v>
      </c>
      <c r="F181" s="27" t="s">
        <v>7</v>
      </c>
    </row>
    <row r="182" spans="1:42" x14ac:dyDescent="0.25">
      <c r="A182" s="30">
        <v>2.9857002558843601E-3</v>
      </c>
      <c r="F182" s="27" t="s">
        <v>7</v>
      </c>
    </row>
    <row r="183" spans="1:42" x14ac:dyDescent="0.25">
      <c r="A183" s="30">
        <v>2.7142729598948726E-3</v>
      </c>
      <c r="F183" s="27" t="s">
        <v>7</v>
      </c>
      <c r="AI183" s="27" t="s">
        <v>8</v>
      </c>
    </row>
    <row r="184" spans="1:42" x14ac:dyDescent="0.25">
      <c r="A184" s="30">
        <v>2.4675208726317021E-3</v>
      </c>
      <c r="F184" s="27" t="s">
        <v>7</v>
      </c>
      <c r="AI184" s="27" t="s">
        <v>8</v>
      </c>
      <c r="AJ184" s="27" t="s">
        <v>7</v>
      </c>
    </row>
    <row r="185" spans="1:42" x14ac:dyDescent="0.25">
      <c r="A185" s="30">
        <v>2.2432007933015472E-3</v>
      </c>
      <c r="F185" s="27" t="s">
        <v>7</v>
      </c>
      <c r="AI185" s="27" t="s">
        <v>8</v>
      </c>
      <c r="AJ185" s="27" t="s">
        <v>7</v>
      </c>
    </row>
    <row r="186" spans="1:42" x14ac:dyDescent="0.25">
      <c r="A186" s="30">
        <v>2.0392734484559519E-3</v>
      </c>
      <c r="F186" s="27" t="s">
        <v>7</v>
      </c>
      <c r="AI186" s="27" t="s">
        <v>8</v>
      </c>
      <c r="AJ186" s="27" t="s">
        <v>7</v>
      </c>
      <c r="AK186" s="27" t="s">
        <v>8</v>
      </c>
    </row>
    <row r="187" spans="1:42" x14ac:dyDescent="0.25">
      <c r="A187" s="30">
        <v>1.8538849531417744E-3</v>
      </c>
      <c r="F187" s="27" t="s">
        <v>7</v>
      </c>
      <c r="AI187" s="27" t="s">
        <v>8</v>
      </c>
      <c r="AJ187" s="27" t="s">
        <v>7</v>
      </c>
      <c r="AK187" s="27" t="s">
        <v>8</v>
      </c>
      <c r="AL187" s="27" t="s">
        <v>7</v>
      </c>
      <c r="AM187" s="27" t="s">
        <v>8</v>
      </c>
    </row>
    <row r="188" spans="1:42" x14ac:dyDescent="0.25">
      <c r="A188" s="30">
        <v>1.6853499574016129E-3</v>
      </c>
      <c r="F188" s="27" t="s">
        <v>7</v>
      </c>
      <c r="AI188" s="27" t="s">
        <v>8</v>
      </c>
      <c r="AJ188" s="27" t="s">
        <v>7</v>
      </c>
      <c r="AK188" s="27" t="s">
        <v>8</v>
      </c>
      <c r="AL188" s="27" t="s">
        <v>7</v>
      </c>
      <c r="AM188" s="27" t="s">
        <v>8</v>
      </c>
      <c r="AN188" s="27" t="s">
        <v>7</v>
      </c>
    </row>
    <row r="189" spans="1:42" x14ac:dyDescent="0.25">
      <c r="A189" s="30">
        <v>1.5321363249105571E-3</v>
      </c>
      <c r="F189" s="27" t="s">
        <v>7</v>
      </c>
      <c r="AI189" s="27" t="s">
        <v>8</v>
      </c>
      <c r="AJ189" s="27" t="s">
        <v>7</v>
      </c>
      <c r="AL189" s="27" t="s">
        <v>7</v>
      </c>
      <c r="AM189" s="27" t="s">
        <v>8</v>
      </c>
      <c r="AN189" s="27" t="s">
        <v>7</v>
      </c>
      <c r="AO189" s="27" t="s">
        <v>8</v>
      </c>
    </row>
    <row r="190" spans="1:42" x14ac:dyDescent="0.25">
      <c r="A190" s="30">
        <v>1.3928512044641427E-3</v>
      </c>
      <c r="F190" s="27" t="s">
        <v>7</v>
      </c>
      <c r="AI190" s="27" t="s">
        <v>8</v>
      </c>
      <c r="AL190" s="27" t="s">
        <v>7</v>
      </c>
      <c r="AN190" s="27" t="s">
        <v>7</v>
      </c>
      <c r="AO190" s="27" t="s">
        <v>8</v>
      </c>
      <c r="AP190" s="27" t="s">
        <v>7</v>
      </c>
    </row>
    <row r="191" spans="1:42" x14ac:dyDescent="0.25">
      <c r="A191" s="30">
        <v>1.2662283676946752E-3</v>
      </c>
      <c r="F191" s="27" t="s">
        <v>7</v>
      </c>
      <c r="AI191" s="27" t="s">
        <v>8</v>
      </c>
      <c r="AN191" s="27" t="s">
        <v>7</v>
      </c>
      <c r="AO191" s="27" t="s">
        <v>8</v>
      </c>
      <c r="AP191" s="27" t="s">
        <v>7</v>
      </c>
    </row>
    <row r="192" spans="1:42" x14ac:dyDescent="0.25">
      <c r="A192" s="30">
        <v>1.15111669790425E-3</v>
      </c>
      <c r="F192" s="27" t="s">
        <v>7</v>
      </c>
      <c r="AI192" s="27" t="s">
        <v>8</v>
      </c>
      <c r="AN192" s="27" t="s">
        <v>7</v>
      </c>
      <c r="AO192" s="27" t="s">
        <v>8</v>
      </c>
      <c r="AP192" s="27" t="s">
        <v>7</v>
      </c>
    </row>
    <row r="193" spans="1:60" x14ac:dyDescent="0.25">
      <c r="A193" s="30">
        <v>1.0464697253675E-3</v>
      </c>
      <c r="F193" s="27" t="s">
        <v>7</v>
      </c>
      <c r="AI193" s="27" t="s">
        <v>8</v>
      </c>
      <c r="AN193" s="27" t="s">
        <v>7</v>
      </c>
      <c r="AO193" s="27" t="s">
        <v>8</v>
      </c>
      <c r="AP193" s="27" t="s">
        <v>7</v>
      </c>
      <c r="BE193" s="27" t="s">
        <v>8</v>
      </c>
    </row>
    <row r="194" spans="1:60" x14ac:dyDescent="0.25">
      <c r="A194" s="30">
        <v>9.5133611397045449E-4</v>
      </c>
      <c r="F194" s="27" t="s">
        <v>7</v>
      </c>
      <c r="AI194" s="27" t="s">
        <v>8</v>
      </c>
      <c r="AN194" s="27" t="s">
        <v>7</v>
      </c>
      <c r="AO194" s="27" t="s">
        <v>8</v>
      </c>
      <c r="AP194" s="27" t="s">
        <v>7</v>
      </c>
      <c r="BC194" s="27" t="s">
        <v>8</v>
      </c>
      <c r="BE194" s="27" t="s">
        <v>8</v>
      </c>
      <c r="BF194" s="27" t="s">
        <v>7</v>
      </c>
    </row>
    <row r="195" spans="1:60" x14ac:dyDescent="0.25">
      <c r="A195" s="30">
        <v>8.6485101270041313E-4</v>
      </c>
      <c r="F195" s="27" t="s">
        <v>7</v>
      </c>
      <c r="AI195" s="27" t="s">
        <v>8</v>
      </c>
      <c r="AN195" s="27" t="s">
        <v>7</v>
      </c>
      <c r="AO195" s="27" t="s">
        <v>8</v>
      </c>
      <c r="AP195" s="27" t="s">
        <v>7</v>
      </c>
      <c r="BC195" s="27" t="s">
        <v>8</v>
      </c>
      <c r="BD195" s="27" t="s">
        <v>7</v>
      </c>
      <c r="BE195" s="27" t="s">
        <v>8</v>
      </c>
      <c r="BF195" s="27" t="s">
        <v>7</v>
      </c>
      <c r="BG195" s="27" t="s">
        <v>8</v>
      </c>
    </row>
    <row r="196" spans="1:60" x14ac:dyDescent="0.25">
      <c r="A196" s="30">
        <v>7.862281933640119E-4</v>
      </c>
      <c r="F196" s="27" t="s">
        <v>7</v>
      </c>
      <c r="AI196" s="27" t="s">
        <v>8</v>
      </c>
      <c r="AN196" s="27" t="s">
        <v>7</v>
      </c>
      <c r="AO196" s="27" t="s">
        <v>8</v>
      </c>
      <c r="AP196" s="27" t="s">
        <v>7</v>
      </c>
      <c r="AY196" s="27" t="s">
        <v>8</v>
      </c>
      <c r="BC196" s="27" t="s">
        <v>8</v>
      </c>
      <c r="BD196" s="27" t="s">
        <v>7</v>
      </c>
      <c r="BE196" s="27" t="s">
        <v>8</v>
      </c>
      <c r="BF196" s="27" t="s">
        <v>7</v>
      </c>
      <c r="BG196" s="27" t="s">
        <v>8</v>
      </c>
      <c r="BH196" s="27" t="s">
        <v>7</v>
      </c>
    </row>
    <row r="197" spans="1:60" x14ac:dyDescent="0.25">
      <c r="A197" s="30">
        <v>7.0760537402761068E-4</v>
      </c>
      <c r="F197" s="27" t="s">
        <v>7</v>
      </c>
      <c r="AI197" s="27" t="s">
        <v>8</v>
      </c>
      <c r="AN197" s="27" t="s">
        <v>7</v>
      </c>
      <c r="AP197" s="27" t="s">
        <v>7</v>
      </c>
      <c r="AY197" s="27" t="s">
        <v>8</v>
      </c>
      <c r="AZ197" s="27" t="s">
        <v>7</v>
      </c>
      <c r="BC197" s="27" t="s">
        <v>8</v>
      </c>
      <c r="BD197" s="27" t="s">
        <v>7</v>
      </c>
      <c r="BF197" s="27" t="s">
        <v>7</v>
      </c>
      <c r="BH197" s="27" t="s">
        <v>7</v>
      </c>
    </row>
    <row r="198" spans="1:60" x14ac:dyDescent="0.25">
      <c r="A198" s="30">
        <v>6.368448366248496E-4</v>
      </c>
      <c r="F198" s="27" t="s">
        <v>7</v>
      </c>
      <c r="AI198" s="27" t="s">
        <v>8</v>
      </c>
      <c r="AP198" s="27" t="s">
        <v>7</v>
      </c>
      <c r="AQ198" s="27" t="s">
        <v>8</v>
      </c>
      <c r="AS198" s="27" t="s">
        <v>8</v>
      </c>
      <c r="AY198" s="27" t="s">
        <v>8</v>
      </c>
      <c r="AZ198" s="27" t="s">
        <v>7</v>
      </c>
      <c r="BC198" s="27" t="s">
        <v>8</v>
      </c>
      <c r="BH198" s="27" t="s">
        <v>7</v>
      </c>
    </row>
    <row r="199" spans="1:60" x14ac:dyDescent="0.25">
      <c r="A199" s="30">
        <v>5.7316035296236471E-4</v>
      </c>
      <c r="F199" s="27" t="s">
        <v>7</v>
      </c>
      <c r="AI199" s="27" t="s">
        <v>8</v>
      </c>
      <c r="AP199" s="27" t="s">
        <v>7</v>
      </c>
      <c r="AQ199" s="27" t="s">
        <v>8</v>
      </c>
      <c r="AR199" s="27" t="s">
        <v>7</v>
      </c>
      <c r="AS199" s="27" t="s">
        <v>8</v>
      </c>
      <c r="AT199" s="27" t="s">
        <v>7</v>
      </c>
      <c r="AU199" s="27" t="s">
        <v>8</v>
      </c>
      <c r="AY199" s="27" t="s">
        <v>8</v>
      </c>
      <c r="AZ199" s="27" t="s">
        <v>7</v>
      </c>
      <c r="BA199" s="27" t="s">
        <v>8</v>
      </c>
      <c r="BC199" s="27" t="s">
        <v>8</v>
      </c>
      <c r="BH199" s="27" t="s">
        <v>7</v>
      </c>
    </row>
    <row r="200" spans="1:60" x14ac:dyDescent="0.25">
      <c r="A200" s="30">
        <v>5.1584431766612821E-4</v>
      </c>
      <c r="F200" s="27" t="s">
        <v>7</v>
      </c>
      <c r="AI200" s="27" t="s">
        <v>8</v>
      </c>
      <c r="AP200" s="27" t="s">
        <v>7</v>
      </c>
      <c r="AQ200" s="27" t="s">
        <v>8</v>
      </c>
      <c r="AR200" s="27" t="s">
        <v>7</v>
      </c>
      <c r="AS200" s="27" t="s">
        <v>8</v>
      </c>
      <c r="AT200" s="27" t="s">
        <v>7</v>
      </c>
      <c r="AU200" s="27" t="s">
        <v>8</v>
      </c>
      <c r="AV200" s="27" t="s">
        <v>7</v>
      </c>
      <c r="AY200" s="27" t="s">
        <v>8</v>
      </c>
      <c r="AZ200" s="27" t="s">
        <v>7</v>
      </c>
      <c r="BA200" s="27" t="s">
        <v>8</v>
      </c>
      <c r="BB200" s="27" t="s">
        <v>7</v>
      </c>
      <c r="BC200" s="27" t="s">
        <v>8</v>
      </c>
      <c r="BH200" s="27" t="s">
        <v>7</v>
      </c>
    </row>
    <row r="201" spans="1:60" x14ac:dyDescent="0.25">
      <c r="A201" s="30">
        <v>4.6425988589951538E-4</v>
      </c>
      <c r="F201" s="27" t="s">
        <v>7</v>
      </c>
      <c r="AG201" s="27" t="s">
        <v>8</v>
      </c>
      <c r="AI201" s="27" t="s">
        <v>8</v>
      </c>
      <c r="AP201" s="27" t="s">
        <v>7</v>
      </c>
      <c r="AQ201" s="27" t="s">
        <v>8</v>
      </c>
      <c r="AR201" s="27" t="s">
        <v>7</v>
      </c>
      <c r="AS201" s="27" t="s">
        <v>8</v>
      </c>
      <c r="AT201" s="27" t="s">
        <v>7</v>
      </c>
      <c r="AU201" s="27" t="s">
        <v>8</v>
      </c>
      <c r="AV201" s="27" t="s">
        <v>7</v>
      </c>
      <c r="AY201" s="27" t="s">
        <v>8</v>
      </c>
      <c r="AZ201" s="27" t="s">
        <v>7</v>
      </c>
      <c r="BA201" s="27" t="s">
        <v>8</v>
      </c>
      <c r="BB201" s="27" t="s">
        <v>7</v>
      </c>
      <c r="BC201" s="27" t="s">
        <v>8</v>
      </c>
      <c r="BH201" s="27" t="s">
        <v>7</v>
      </c>
    </row>
    <row r="202" spans="1:60" x14ac:dyDescent="0.25">
      <c r="A202" s="30">
        <v>4.1783389730956383E-4</v>
      </c>
      <c r="F202" s="27" t="s">
        <v>7</v>
      </c>
      <c r="G202" s="27" t="s">
        <v>8</v>
      </c>
      <c r="AG202" s="27" t="s">
        <v>8</v>
      </c>
      <c r="AH202" s="27" t="s">
        <v>7</v>
      </c>
      <c r="AI202" s="27" t="s">
        <v>8</v>
      </c>
      <c r="AP202" s="27" t="s">
        <v>7</v>
      </c>
      <c r="AR202" s="27" t="s">
        <v>7</v>
      </c>
      <c r="AS202" s="27" t="s">
        <v>8</v>
      </c>
      <c r="AT202" s="27" t="s">
        <v>7</v>
      </c>
      <c r="AV202" s="27" t="s">
        <v>7</v>
      </c>
      <c r="AW202" s="27" t="s">
        <v>8</v>
      </c>
      <c r="AY202" s="27" t="s">
        <v>8</v>
      </c>
      <c r="AZ202" s="27" t="s">
        <v>7</v>
      </c>
      <c r="BA202" s="27" t="s">
        <v>8</v>
      </c>
      <c r="BB202" s="27" t="s">
        <v>7</v>
      </c>
      <c r="BC202" s="27" t="s">
        <v>8</v>
      </c>
      <c r="BH202" s="27" t="s">
        <v>7</v>
      </c>
    </row>
    <row r="203" spans="1:60" x14ac:dyDescent="0.25">
      <c r="A203" s="30">
        <v>3.7605050757860746E-4</v>
      </c>
      <c r="F203" s="27" t="s">
        <v>7</v>
      </c>
      <c r="G203" s="27" t="s">
        <v>8</v>
      </c>
      <c r="H203" s="27" t="s">
        <v>7</v>
      </c>
      <c r="AG203" s="27" t="s">
        <v>8</v>
      </c>
      <c r="AH203" s="27" t="s">
        <v>7</v>
      </c>
      <c r="AI203" s="27" t="s">
        <v>8</v>
      </c>
      <c r="AR203" s="27" t="s">
        <v>7</v>
      </c>
      <c r="AV203" s="27" t="s">
        <v>7</v>
      </c>
      <c r="AW203" s="27" t="s">
        <v>8</v>
      </c>
      <c r="AX203" s="27" t="s">
        <v>7</v>
      </c>
      <c r="AY203" s="27" t="s">
        <v>8</v>
      </c>
      <c r="AZ203" s="27" t="s">
        <v>7</v>
      </c>
      <c r="BB203" s="27" t="s">
        <v>7</v>
      </c>
      <c r="BH203" s="27" t="s">
        <v>7</v>
      </c>
    </row>
    <row r="204" spans="1:60" x14ac:dyDescent="0.25">
      <c r="A204" s="30">
        <v>3.3844545682074675E-4</v>
      </c>
      <c r="F204" s="27" t="s">
        <v>7</v>
      </c>
      <c r="G204" s="27" t="s">
        <v>8</v>
      </c>
      <c r="H204" s="27" t="s">
        <v>7</v>
      </c>
      <c r="AG204" s="27" t="s">
        <v>8</v>
      </c>
      <c r="AH204" s="27" t="s">
        <v>7</v>
      </c>
      <c r="AV204" s="27" t="s">
        <v>7</v>
      </c>
      <c r="AW204" s="27" t="s">
        <v>8</v>
      </c>
      <c r="AX204" s="27" t="s">
        <v>7</v>
      </c>
      <c r="AY204" s="27" t="s">
        <v>8</v>
      </c>
      <c r="BH204" s="27" t="s">
        <v>7</v>
      </c>
    </row>
    <row r="205" spans="1:60" x14ac:dyDescent="0.25">
      <c r="A205" s="30">
        <v>3.0460091113867208E-4</v>
      </c>
      <c r="F205" s="27" t="s">
        <v>7</v>
      </c>
      <c r="H205" s="27" t="s">
        <v>7</v>
      </c>
      <c r="AA205" s="27" t="s">
        <v>8</v>
      </c>
      <c r="AG205" s="27" t="s">
        <v>8</v>
      </c>
      <c r="AV205" s="27" t="s">
        <v>7</v>
      </c>
      <c r="AX205" s="18" t="s">
        <v>7</v>
      </c>
      <c r="AY205" s="27" t="s">
        <v>8</v>
      </c>
      <c r="BH205" s="27" t="s">
        <v>7</v>
      </c>
    </row>
    <row r="206" spans="1:60" x14ac:dyDescent="0.25">
      <c r="A206" s="30">
        <v>2.7414082002480487E-4</v>
      </c>
      <c r="H206" s="27" t="s">
        <v>7</v>
      </c>
      <c r="AA206" s="27" t="s">
        <v>8</v>
      </c>
      <c r="AB206" s="27" t="s">
        <v>7</v>
      </c>
      <c r="AC206" s="27" t="s">
        <v>8</v>
      </c>
      <c r="AE206" s="27" t="s">
        <v>8</v>
      </c>
      <c r="AG206" s="27" t="s">
        <v>8</v>
      </c>
      <c r="AX206" s="27" t="s">
        <v>7</v>
      </c>
      <c r="BH206" s="27" t="s">
        <v>7</v>
      </c>
    </row>
    <row r="207" spans="1:60" x14ac:dyDescent="0.25">
      <c r="A207" s="30">
        <v>2.4672673802232442E-4</v>
      </c>
      <c r="H207" s="27" t="s">
        <v>7</v>
      </c>
      <c r="AA207" s="27" t="s">
        <v>8</v>
      </c>
      <c r="AB207" s="27" t="s">
        <v>7</v>
      </c>
      <c r="AC207" s="27" t="s">
        <v>8</v>
      </c>
      <c r="AD207" s="27" t="s">
        <v>7</v>
      </c>
      <c r="AE207" s="27" t="s">
        <v>8</v>
      </c>
      <c r="AF207" s="27" t="s">
        <v>7</v>
      </c>
      <c r="AG207" s="27" t="s">
        <v>8</v>
      </c>
    </row>
    <row r="208" spans="1:60" x14ac:dyDescent="0.25">
      <c r="A208" s="30">
        <v>2.2205406422009198E-4</v>
      </c>
      <c r="H208" s="27" t="s">
        <v>7</v>
      </c>
      <c r="I208" s="27" t="s">
        <v>8</v>
      </c>
      <c r="AA208" s="27" t="s">
        <v>8</v>
      </c>
      <c r="AB208" s="27" t="s">
        <v>7</v>
      </c>
      <c r="AC208" s="27" t="s">
        <v>8</v>
      </c>
      <c r="AD208" s="27" t="s">
        <v>7</v>
      </c>
      <c r="AE208" s="27" t="s">
        <v>8</v>
      </c>
      <c r="AF208" s="27" t="s">
        <v>7</v>
      </c>
      <c r="AG208" s="27" t="s">
        <v>8</v>
      </c>
    </row>
    <row r="209" spans="1:33" x14ac:dyDescent="0.25">
      <c r="A209" s="30">
        <v>1.998486577980828E-4</v>
      </c>
      <c r="H209" s="27" t="s">
        <v>7</v>
      </c>
      <c r="I209" s="27" t="s">
        <v>8</v>
      </c>
      <c r="J209" s="27" t="s">
        <v>7</v>
      </c>
      <c r="AA209" s="27" t="s">
        <v>8</v>
      </c>
      <c r="AB209" s="27" t="s">
        <v>7</v>
      </c>
      <c r="AC209" s="27" t="s">
        <v>8</v>
      </c>
      <c r="AD209" s="27" t="s">
        <v>7</v>
      </c>
      <c r="AF209" s="27" t="s">
        <v>7</v>
      </c>
      <c r="AG209" s="27" t="s">
        <v>8</v>
      </c>
    </row>
    <row r="210" spans="1:33" x14ac:dyDescent="0.25">
      <c r="A210" s="30">
        <v>1.7986379201827453E-4</v>
      </c>
      <c r="H210" s="27" t="s">
        <v>7</v>
      </c>
      <c r="I210" s="27" t="s">
        <v>8</v>
      </c>
      <c r="J210" s="27" t="s">
        <v>7</v>
      </c>
      <c r="AA210" s="27" t="s">
        <v>8</v>
      </c>
      <c r="AB210" s="27" t="s">
        <v>7</v>
      </c>
      <c r="AF210" s="27" t="s">
        <v>7</v>
      </c>
      <c r="AG210" s="27" t="s">
        <v>8</v>
      </c>
    </row>
    <row r="211" spans="1:33" x14ac:dyDescent="0.25">
      <c r="A211" s="30">
        <v>1.6187741281644709E-4</v>
      </c>
      <c r="H211" s="27" t="s">
        <v>7</v>
      </c>
      <c r="I211" s="27" t="s">
        <v>8</v>
      </c>
      <c r="J211" s="27" t="s">
        <v>7</v>
      </c>
      <c r="AA211" s="27" t="s">
        <v>8</v>
      </c>
      <c r="AF211" s="27" t="s">
        <v>7</v>
      </c>
    </row>
    <row r="212" spans="1:33" x14ac:dyDescent="0.25">
      <c r="A212" s="30">
        <v>1.4568967153480238E-4</v>
      </c>
      <c r="H212" s="27" t="s">
        <v>7</v>
      </c>
      <c r="I212" s="27" t="s">
        <v>8</v>
      </c>
      <c r="J212" s="27" t="s">
        <v>7</v>
      </c>
      <c r="S212" s="27" t="s">
        <v>8</v>
      </c>
      <c r="Y212" s="27" t="s">
        <v>8</v>
      </c>
      <c r="AA212" s="27" t="s">
        <v>8</v>
      </c>
    </row>
    <row r="213" spans="1:33" x14ac:dyDescent="0.25">
      <c r="A213" s="30">
        <v>1.3112070438132215E-4</v>
      </c>
      <c r="H213" s="27" t="s">
        <v>7</v>
      </c>
      <c r="J213" s="27" t="s">
        <v>7</v>
      </c>
      <c r="K213" s="27" t="s">
        <v>8</v>
      </c>
      <c r="Q213" s="27" t="s">
        <v>8</v>
      </c>
      <c r="S213" s="27" t="s">
        <v>8</v>
      </c>
      <c r="T213" s="27" t="s">
        <v>7</v>
      </c>
      <c r="Y213" s="27" t="s">
        <v>8</v>
      </c>
      <c r="Z213" s="27" t="s">
        <v>7</v>
      </c>
      <c r="AA213" s="27" t="s">
        <v>8</v>
      </c>
    </row>
    <row r="214" spans="1:33" x14ac:dyDescent="0.25">
      <c r="A214" s="30">
        <v>1.1800863394318995E-4</v>
      </c>
      <c r="J214" s="27" t="s">
        <v>7</v>
      </c>
      <c r="K214" s="27" t="s">
        <v>8</v>
      </c>
      <c r="L214" s="27" t="s">
        <v>7</v>
      </c>
      <c r="Q214" s="27" t="s">
        <v>8</v>
      </c>
      <c r="R214" s="27" t="s">
        <v>7</v>
      </c>
      <c r="S214" s="27" t="s">
        <v>8</v>
      </c>
      <c r="T214" s="27" t="s">
        <v>7</v>
      </c>
      <c r="Y214" s="27" t="s">
        <v>8</v>
      </c>
      <c r="Z214" s="27" t="s">
        <v>7</v>
      </c>
      <c r="AA214" s="27" t="s">
        <v>8</v>
      </c>
    </row>
    <row r="215" spans="1:33" x14ac:dyDescent="0.25">
      <c r="A215" s="30">
        <v>1.0620777054887096E-4</v>
      </c>
      <c r="J215" s="27" t="s">
        <v>7</v>
      </c>
      <c r="K215" s="27" t="s">
        <v>8</v>
      </c>
      <c r="L215" s="27" t="s">
        <v>7</v>
      </c>
      <c r="Q215" s="27" t="s">
        <v>8</v>
      </c>
      <c r="R215" s="27" t="s">
        <v>7</v>
      </c>
      <c r="T215" s="27" t="s">
        <v>7</v>
      </c>
      <c r="U215" s="27" t="s">
        <v>8</v>
      </c>
      <c r="Y215" s="27" t="s">
        <v>8</v>
      </c>
      <c r="Z215" s="27" t="s">
        <v>7</v>
      </c>
    </row>
    <row r="216" spans="1:33" x14ac:dyDescent="0.25">
      <c r="A216" s="30">
        <v>9.5586993493983861E-5</v>
      </c>
      <c r="J216" s="27" t="s">
        <v>7</v>
      </c>
      <c r="L216" s="27" t="s">
        <v>7</v>
      </c>
      <c r="O216" s="27" t="s">
        <v>8</v>
      </c>
      <c r="Q216" s="27" t="s">
        <v>8</v>
      </c>
      <c r="T216" s="27" t="s">
        <v>7</v>
      </c>
      <c r="U216" s="27" t="s">
        <v>8</v>
      </c>
      <c r="V216" s="27" t="s">
        <v>7</v>
      </c>
      <c r="W216" s="27" t="s">
        <v>8</v>
      </c>
      <c r="Y216" s="27" t="s">
        <v>8</v>
      </c>
    </row>
    <row r="217" spans="1:33" x14ac:dyDescent="0.25">
      <c r="A217" s="30">
        <v>8.6028294144585476E-5</v>
      </c>
      <c r="L217" s="27" t="s">
        <v>7</v>
      </c>
      <c r="M217" s="27" t="s">
        <v>8</v>
      </c>
      <c r="O217" s="27" t="s">
        <v>8</v>
      </c>
      <c r="P217" s="27" t="s">
        <v>7</v>
      </c>
      <c r="Q217" s="27" t="s">
        <v>8</v>
      </c>
      <c r="T217" s="27" t="s">
        <v>7</v>
      </c>
      <c r="U217" s="27" t="s">
        <v>8</v>
      </c>
      <c r="V217" s="27" t="s">
        <v>7</v>
      </c>
      <c r="W217" s="27" t="s">
        <v>8</v>
      </c>
      <c r="X217" s="27" t="s">
        <v>7</v>
      </c>
      <c r="Y217" s="27" t="s">
        <v>8</v>
      </c>
    </row>
    <row r="218" spans="1:33" x14ac:dyDescent="0.25">
      <c r="A218" s="30">
        <v>7.7425464730126924E-5</v>
      </c>
      <c r="L218" s="27" t="s">
        <v>7</v>
      </c>
      <c r="M218" s="27" t="s">
        <v>8</v>
      </c>
      <c r="N218" s="27" t="s">
        <v>7</v>
      </c>
      <c r="O218" s="27" t="s">
        <v>8</v>
      </c>
      <c r="P218" s="27" t="s">
        <v>7</v>
      </c>
      <c r="Q218" s="27" t="s">
        <v>8</v>
      </c>
      <c r="T218" s="27" t="s">
        <v>7</v>
      </c>
      <c r="V218" s="27" t="s">
        <v>7</v>
      </c>
      <c r="W218" s="27" t="s">
        <v>8</v>
      </c>
      <c r="X218" s="27" t="s">
        <v>7</v>
      </c>
      <c r="Y218" s="27" t="s">
        <v>8</v>
      </c>
    </row>
    <row r="219" spans="1:33" x14ac:dyDescent="0.25">
      <c r="A219" s="30">
        <v>6.9682918257114228E-5</v>
      </c>
      <c r="L219" s="27" t="s">
        <v>7</v>
      </c>
      <c r="M219" s="27" t="s">
        <v>8</v>
      </c>
      <c r="N219" s="27" t="s">
        <v>7</v>
      </c>
      <c r="O219" s="27" t="s">
        <v>8</v>
      </c>
      <c r="P219" s="27" t="s">
        <v>7</v>
      </c>
      <c r="V219" s="27" t="s">
        <v>7</v>
      </c>
      <c r="W219" s="27" t="s">
        <v>8</v>
      </c>
      <c r="X219" s="27" t="s">
        <v>7</v>
      </c>
    </row>
    <row r="220" spans="1:33" x14ac:dyDescent="0.25">
      <c r="A220" s="30">
        <v>6.2714626431402813E-5</v>
      </c>
      <c r="L220" s="27" t="s">
        <v>7</v>
      </c>
      <c r="M220" s="27" t="s">
        <v>8</v>
      </c>
      <c r="N220" s="27" t="s">
        <v>7</v>
      </c>
      <c r="V220" s="27" t="s">
        <v>7</v>
      </c>
      <c r="W220" s="27" t="s">
        <v>8</v>
      </c>
    </row>
    <row r="221" spans="1:33" x14ac:dyDescent="0.25">
      <c r="A221" s="30">
        <v>5.6443163788262536E-5</v>
      </c>
      <c r="L221" s="27" t="s">
        <v>7</v>
      </c>
      <c r="M221" s="27" t="s">
        <v>8</v>
      </c>
      <c r="V221" s="27" t="s">
        <v>7</v>
      </c>
    </row>
    <row r="222" spans="1:33" x14ac:dyDescent="0.25">
      <c r="A222" s="30">
        <v>5.0798847409436286E-5</v>
      </c>
      <c r="L222" s="27" t="s">
        <v>7</v>
      </c>
      <c r="M222" s="27" t="s">
        <v>8</v>
      </c>
    </row>
    <row r="223" spans="1:33" x14ac:dyDescent="0.25">
      <c r="A223" s="30">
        <v>4.5718962668492656E-5</v>
      </c>
      <c r="L223" s="27" t="s">
        <v>7</v>
      </c>
      <c r="M223" s="27" t="s">
        <v>8</v>
      </c>
    </row>
    <row r="224" spans="1:33" x14ac:dyDescent="0.25">
      <c r="A224" s="30">
        <v>4.1147066401643391E-5</v>
      </c>
      <c r="L224" s="27" t="s">
        <v>7</v>
      </c>
      <c r="M224" s="27" t="s">
        <v>8</v>
      </c>
    </row>
    <row r="225" spans="1:12" x14ac:dyDescent="0.25">
      <c r="A225" s="30">
        <v>3.7032359761479051E-5</v>
      </c>
      <c r="L225" s="27" t="s">
        <v>7</v>
      </c>
    </row>
    <row r="226" spans="1:12" x14ac:dyDescent="0.25">
      <c r="A226" s="30">
        <v>3.3329123785331146E-5</v>
      </c>
    </row>
    <row r="227" spans="1:12" x14ac:dyDescent="0.25">
      <c r="A227" s="30">
        <v>2.9996211406798031E-5</v>
      </c>
    </row>
    <row r="228" spans="1:12" x14ac:dyDescent="0.25">
      <c r="A228" s="30">
        <v>2.6996590266118227E-5</v>
      </c>
    </row>
    <row r="229" spans="1:12" x14ac:dyDescent="0.25">
      <c r="A229" s="30">
        <v>2.4296931239506405E-5</v>
      </c>
    </row>
    <row r="230" spans="1:12" x14ac:dyDescent="0.25">
      <c r="A230" s="30">
        <v>2.1867238115555765E-5</v>
      </c>
    </row>
    <row r="231" spans="1:12" x14ac:dyDescent="0.25">
      <c r="A231" s="30">
        <v>1.968051430400019E-5</v>
      </c>
    </row>
    <row r="232" spans="1:12" x14ac:dyDescent="0.25">
      <c r="A232" s="30">
        <v>1.7712462873600173E-5</v>
      </c>
    </row>
    <row r="233" spans="1:12" x14ac:dyDescent="0.25">
      <c r="A233" s="30">
        <v>1.5941216586240156E-5</v>
      </c>
    </row>
    <row r="234" spans="1:12" x14ac:dyDescent="0.25">
      <c r="A234" s="30">
        <v>1.434709492761614E-5</v>
      </c>
    </row>
    <row r="235" spans="1:12" x14ac:dyDescent="0.25">
      <c r="A235" s="30">
        <v>1.2912385434854527E-5</v>
      </c>
    </row>
    <row r="236" spans="1:12" x14ac:dyDescent="0.25">
      <c r="A236" s="30">
        <v>1.1621146891369075E-5</v>
      </c>
    </row>
    <row r="237" spans="1:12" x14ac:dyDescent="0.25">
      <c r="A237" s="30">
        <v>1.0459032202232167E-5</v>
      </c>
    </row>
    <row r="238" spans="1:12" x14ac:dyDescent="0.25">
      <c r="A238" s="30">
        <v>9.4131289820089515E-6</v>
      </c>
    </row>
    <row r="239" spans="1:12" x14ac:dyDescent="0.25">
      <c r="A239" s="30">
        <v>8.4718160838080567E-6</v>
      </c>
    </row>
    <row r="240" spans="1:12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315" operator="equal">
      <formula>$U$1</formula>
    </cfRule>
    <cfRule type="cellIs" dxfId="30" priority="1316" operator="equal">
      <formula>$S$1</formula>
    </cfRule>
  </conditionalFormatting>
  <conditionalFormatting sqref="D136">
    <cfRule type="cellIs" dxfId="29" priority="1313" operator="equal">
      <formula>$S$1</formula>
    </cfRule>
    <cfRule type="cellIs" dxfId="28" priority="1314" operator="equal">
      <formula>$U$1</formula>
    </cfRule>
  </conditionalFormatting>
  <conditionalFormatting sqref="C102">
    <cfRule type="cellIs" dxfId="27" priority="1311" operator="equal">
      <formula>$U$1</formula>
    </cfRule>
    <cfRule type="cellIs" dxfId="26" priority="1312" operator="equal">
      <formula>$S$1</formula>
    </cfRule>
  </conditionalFormatting>
  <conditionalFormatting sqref="D102">
    <cfRule type="cellIs" dxfId="25" priority="1309" operator="equal">
      <formula>$S$1</formula>
    </cfRule>
    <cfRule type="cellIs" dxfId="24" priority="1310" operator="equal">
      <formula>$U$1</formula>
    </cfRule>
  </conditionalFormatting>
  <conditionalFormatting sqref="C77">
    <cfRule type="cellIs" dxfId="23" priority="1307" operator="equal">
      <formula>$U$1</formula>
    </cfRule>
    <cfRule type="cellIs" dxfId="22" priority="1308" operator="equal">
      <formula>$S$1</formula>
    </cfRule>
  </conditionalFormatting>
  <conditionalFormatting sqref="D77">
    <cfRule type="cellIs" dxfId="21" priority="1305" operator="equal">
      <formula>$S$1</formula>
    </cfRule>
    <cfRule type="cellIs" dxfId="20" priority="1306" operator="equal">
      <formula>$U$1</formula>
    </cfRule>
  </conditionalFormatting>
  <conditionalFormatting sqref="C52">
    <cfRule type="cellIs" dxfId="19" priority="1303" operator="equal">
      <formula>$U$1</formula>
    </cfRule>
    <cfRule type="cellIs" dxfId="18" priority="1304" operator="equal">
      <formula>$S$1</formula>
    </cfRule>
  </conditionalFormatting>
  <conditionalFormatting sqref="D52">
    <cfRule type="cellIs" dxfId="17" priority="1301" operator="equal">
      <formula>$S$1</formula>
    </cfRule>
    <cfRule type="cellIs" dxfId="16" priority="1302" operator="equal">
      <formula>$U$1</formula>
    </cfRule>
  </conditionalFormatting>
  <conditionalFormatting sqref="C26">
    <cfRule type="cellIs" dxfId="15" priority="1299" operator="equal">
      <formula>$U$1</formula>
    </cfRule>
    <cfRule type="cellIs" dxfId="14" priority="1300" operator="equal">
      <formula>$S$1</formula>
    </cfRule>
  </conditionalFormatting>
  <conditionalFormatting sqref="D26">
    <cfRule type="cellIs" dxfId="13" priority="1297" operator="equal">
      <formula>$S$1</formula>
    </cfRule>
    <cfRule type="cellIs" dxfId="12" priority="129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2022-01-28T01:23:04Z</dcterms:modified>
</cp:coreProperties>
</file>