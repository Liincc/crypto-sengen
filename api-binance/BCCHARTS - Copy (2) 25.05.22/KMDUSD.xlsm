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673261F-D730-416C-AC3A-5D09792C06F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4"/>
  <c r="C118" i="4"/>
  <c r="D136" i="5"/>
  <c r="C136" i="5"/>
  <c r="D136" i="4"/>
  <c r="C136" i="4"/>
  <c r="C116" i="3"/>
  <c r="C122" i="3"/>
  <c r="C133" i="3" s="1"/>
  <c r="D136" i="3" s="1"/>
  <c r="R765" i="1"/>
  <c r="C138" i="4" l="1"/>
  <c r="C138" i="5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<sst xmlns="http://schemas.openxmlformats.org/spreadsheetml/2006/main" count="5271" uniqueCount="34">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</sst>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0.47689999999999999</c:v>
                </c:pt>
                <c:pt idx="1">
                  <c:v>0.4854</c:v>
                </c:pt>
                <c:pt idx="2">
                  <c:v>0.4909</c:v>
                </c:pt>
                <c:pt idx="3">
                  <c:v>0.48730000000000001</c:v>
                </c:pt>
                <c:pt idx="4">
                  <c:v>0.49709999999999999</c:v>
                </c:pt>
                <c:pt idx="5">
                  <c:v>0.47120000000000001</c:v>
                </c:pt>
                <c:pt idx="6">
                  <c:v>0.52759999999999996</c:v>
                </c:pt>
                <c:pt idx="7">
                  <c:v>0.5746</c:v>
                </c:pt>
                <c:pt idx="8">
                  <c:v>0.59460000000000002</c:v>
                </c:pt>
                <c:pt idx="9">
                  <c:v>0.62929999999999997</c:v>
                </c:pt>
                <c:pt idx="10">
                  <c:v>0.62409999999999999</c:v>
                </c:pt>
                <c:pt idx="11">
                  <c:v>0.64119999999999999</c:v>
                </c:pt>
                <c:pt idx="12">
                  <c:v>0.64639999999999997</c:v>
                </c:pt>
                <c:pt idx="13">
                  <c:v>0.65259999999999996</c:v>
                </c:pt>
                <c:pt idx="14">
                  <c:v>0.63919999999999999</c:v>
                </c:pt>
                <c:pt idx="15">
                  <c:v>0.66659999999999997</c:v>
                </c:pt>
                <c:pt idx="16">
                  <c:v>0.64049999999999996</c:v>
                </c:pt>
                <c:pt idx="17">
                  <c:v>0.62009999999999998</c:v>
                </c:pt>
                <c:pt idx="18">
                  <c:v>0.63270000000000004</c:v>
                </c:pt>
                <c:pt idx="19">
                  <c:v>0.62119999999999997</c:v>
                </c:pt>
                <c:pt idx="20">
                  <c:v>0.64929999999999999</c:v>
                </c:pt>
                <c:pt idx="21">
                  <c:v>0.6825</c:v>
                </c:pt>
                <c:pt idx="22">
                  <c:v>0.70189999999999997</c:v>
                </c:pt>
                <c:pt idx="23">
                  <c:v>0.74509999999999998</c:v>
                </c:pt>
                <c:pt idx="24">
                  <c:v>0.72929999999999995</c:v>
                </c:pt>
                <c:pt idx="25">
                  <c:v>0.75619999999999998</c:v>
                </c:pt>
                <c:pt idx="26">
                  <c:v>0.73929999999999996</c:v>
                </c:pt>
                <c:pt idx="27">
                  <c:v>0.7298</c:v>
                </c:pt>
                <c:pt idx="28">
                  <c:v>0.76160000000000005</c:v>
                </c:pt>
                <c:pt idx="29">
                  <c:v>0.71950000000000003</c:v>
                </c:pt>
                <c:pt idx="30">
                  <c:v>0.74980000000000002</c:v>
                </c:pt>
                <c:pt idx="31">
                  <c:v>0.80289999999999995</c:v>
                </c:pt>
                <c:pt idx="32">
                  <c:v>0.79630000000000001</c:v>
                </c:pt>
                <c:pt idx="33">
                  <c:v>0.80030000000000001</c:v>
                </c:pt>
                <c:pt idx="34">
                  <c:v>0.78580000000000005</c:v>
                </c:pt>
                <c:pt idx="35">
                  <c:v>0.77190000000000003</c:v>
                </c:pt>
                <c:pt idx="36">
                  <c:v>0.72619999999999996</c:v>
                </c:pt>
                <c:pt idx="37">
                  <c:v>0.70079999999999998</c:v>
                </c:pt>
                <c:pt idx="38">
                  <c:v>0.68569999999999998</c:v>
                </c:pt>
                <c:pt idx="39">
                  <c:v>0.71150000000000002</c:v>
                </c:pt>
                <c:pt idx="40">
                  <c:v>0.7258</c:v>
                </c:pt>
                <c:pt idx="41">
                  <c:v>0.7</c:v>
                </c:pt>
                <c:pt idx="42">
                  <c:v>0.71120000000000005</c:v>
                </c:pt>
                <c:pt idx="43">
                  <c:v>0.72250000000000003</c:v>
                </c:pt>
                <c:pt idx="44">
                  <c:v>0.68730000000000002</c:v>
                </c:pt>
                <c:pt idx="45">
                  <c:v>0.69340000000000002</c:v>
                </c:pt>
                <c:pt idx="46">
                  <c:v>0.77</c:v>
                </c:pt>
                <c:pt idx="47">
                  <c:v>0.76270000000000004</c:v>
                </c:pt>
                <c:pt idx="48">
                  <c:v>0.75729999999999997</c:v>
                </c:pt>
                <c:pt idx="49">
                  <c:v>0.79459999999999997</c:v>
                </c:pt>
                <c:pt idx="50">
                  <c:v>0.8972</c:v>
                </c:pt>
                <c:pt idx="51">
                  <c:v>0.86780000000000002</c:v>
                </c:pt>
                <c:pt idx="52">
                  <c:v>0.88890000000000002</c:v>
                </c:pt>
                <c:pt idx="53">
                  <c:v>0.82530000000000003</c:v>
                </c:pt>
                <c:pt idx="54">
                  <c:v>0.90449999999999997</c:v>
                </c:pt>
                <c:pt idx="55">
                  <c:v>1.0831999999999999</c:v>
                </c:pt>
                <c:pt idx="56">
                  <c:v>1.1399999999999999</c:v>
                </c:pt>
                <c:pt idx="57">
                  <c:v>0.98440000000000005</c:v>
                </c:pt>
                <c:pt idx="58">
                  <c:v>0.95309999999999995</c:v>
                </c:pt>
                <c:pt idx="59">
                  <c:v>0.96989999999999998</c:v>
                </c:pt>
                <c:pt idx="60">
                  <c:v>0.99919999999999998</c:v>
                </c:pt>
                <c:pt idx="61">
                  <c:v>1.0562</c:v>
                </c:pt>
                <c:pt idx="62">
                  <c:v>0.9819</c:v>
                </c:pt>
                <c:pt idx="63">
                  <c:v>1.0053000000000001</c:v>
                </c:pt>
                <c:pt idx="64">
                  <c:v>0.94130000000000003</c:v>
                </c:pt>
                <c:pt idx="65">
                  <c:v>0.95289999999999997</c:v>
                </c:pt>
                <c:pt idx="66">
                  <c:v>0.9214</c:v>
                </c:pt>
                <c:pt idx="67">
                  <c:v>0.96940000000000004</c:v>
                </c:pt>
                <c:pt idx="68">
                  <c:v>0.96689999999999998</c:v>
                </c:pt>
                <c:pt idx="69">
                  <c:v>0.89080000000000004</c:v>
                </c:pt>
                <c:pt idx="70">
                  <c:v>0.84099999999999997</c:v>
                </c:pt>
                <c:pt idx="71">
                  <c:v>0.92630000000000001</c:v>
                </c:pt>
                <c:pt idx="72">
                  <c:v>0.90380000000000005</c:v>
                </c:pt>
                <c:pt idx="73">
                  <c:v>0.97670000000000001</c:v>
                </c:pt>
                <c:pt idx="74">
                  <c:v>0.98829999999999996</c:v>
                </c:pt>
                <c:pt idx="75">
                  <c:v>1.0169999999999999</c:v>
                </c:pt>
                <c:pt idx="76">
                  <c:v>1.0076000000000001</c:v>
                </c:pt>
                <c:pt idx="77">
                  <c:v>1.0230999999999999</c:v>
                </c:pt>
                <c:pt idx="78">
                  <c:v>0.97570000000000001</c:v>
                </c:pt>
                <c:pt idx="79">
                  <c:v>1.0307999999999999</c:v>
                </c:pt>
                <c:pt idx="80">
                  <c:v>1.0285</c:v>
                </c:pt>
                <c:pt idx="81">
                  <c:v>1.0361</c:v>
                </c:pt>
                <c:pt idx="82">
                  <c:v>1.0127999999999999</c:v>
                </c:pt>
                <c:pt idx="83">
                  <c:v>1.0206999999999999</c:v>
                </c:pt>
                <c:pt idx="84">
                  <c:v>1.0152000000000001</c:v>
                </c:pt>
                <c:pt idx="85">
                  <c:v>1.0840000000000001</c:v>
                </c:pt>
                <c:pt idx="86">
                  <c:v>1.0857000000000001</c:v>
                </c:pt>
                <c:pt idx="87">
                  <c:v>1.0438000000000001</c:v>
                </c:pt>
                <c:pt idx="88">
                  <c:v>1.0783</c:v>
                </c:pt>
                <c:pt idx="89">
                  <c:v>1.0518000000000001</c:v>
                </c:pt>
                <c:pt idx="90">
                  <c:v>1.0408999999999999</c:v>
                </c:pt>
                <c:pt idx="91">
                  <c:v>1.0055000000000001</c:v>
                </c:pt>
                <c:pt idx="92">
                  <c:v>0.93759999999999999</c:v>
                </c:pt>
                <c:pt idx="93">
                  <c:v>1.0374000000000001</c:v>
                </c:pt>
                <c:pt idx="94">
                  <c:v>1.0609</c:v>
                </c:pt>
                <c:pt idx="95">
                  <c:v>1.0438000000000001</c:v>
                </c:pt>
                <c:pt idx="96">
                  <c:v>1.0926</c:v>
                </c:pt>
                <c:pt idx="97">
                  <c:v>1.1204000000000001</c:v>
                </c:pt>
                <c:pt idx="98">
                  <c:v>1.1104000000000001</c:v>
                </c:pt>
                <c:pt idx="99">
                  <c:v>1.0848</c:v>
                </c:pt>
                <c:pt idx="100">
                  <c:v>1.0382</c:v>
                </c:pt>
                <c:pt idx="101">
                  <c:v>1.0507</c:v>
                </c:pt>
                <c:pt idx="102">
                  <c:v>1.0532999999999999</c:v>
                </c:pt>
                <c:pt idx="103">
                  <c:v>1.0703</c:v>
                </c:pt>
                <c:pt idx="104">
                  <c:v>1.0404</c:v>
                </c:pt>
                <c:pt idx="105">
                  <c:v>1.0198</c:v>
                </c:pt>
                <c:pt idx="106">
                  <c:v>0.98899999999999999</c:v>
                </c:pt>
                <c:pt idx="107">
                  <c:v>0.99119999999999997</c:v>
                </c:pt>
                <c:pt idx="108">
                  <c:v>0.99139999999999995</c:v>
                </c:pt>
                <c:pt idx="109">
                  <c:v>1.0043</c:v>
                </c:pt>
                <c:pt idx="110">
                  <c:v>1.0646</c:v>
                </c:pt>
                <c:pt idx="111">
                  <c:v>1.0621</c:v>
                </c:pt>
                <c:pt idx="112">
                  <c:v>1.0541</c:v>
                </c:pt>
                <c:pt idx="113">
                  <c:v>1.0431999999999999</c:v>
                </c:pt>
                <c:pt idx="114">
                  <c:v>1.0414000000000001</c:v>
                </c:pt>
                <c:pt idx="115">
                  <c:v>1.0291999999999999</c:v>
                </c:pt>
                <c:pt idx="116">
                  <c:v>1.0029999999999999</c:v>
                </c:pt>
                <c:pt idx="117">
                  <c:v>0.95450000000000002</c:v>
                </c:pt>
                <c:pt idx="118">
                  <c:v>0.95009999999999994</c:v>
                </c:pt>
                <c:pt idx="119">
                  <c:v>0.874</c:v>
                </c:pt>
                <c:pt idx="120">
                  <c:v>0.84330000000000005</c:v>
                </c:pt>
                <c:pt idx="121">
                  <c:v>0.83860000000000001</c:v>
                </c:pt>
                <c:pt idx="122">
                  <c:v>0.90680000000000005</c:v>
                </c:pt>
                <c:pt idx="123">
                  <c:v>0.92249999999999999</c:v>
                </c:pt>
                <c:pt idx="124">
                  <c:v>0.94030000000000002</c:v>
                </c:pt>
                <c:pt idx="125">
                  <c:v>0.88859999999999995</c:v>
                </c:pt>
                <c:pt idx="126">
                  <c:v>0.97150000000000003</c:v>
                </c:pt>
                <c:pt idx="127">
                  <c:v>0.97240000000000004</c:v>
                </c:pt>
                <c:pt idx="128">
                  <c:v>0.8468</c:v>
                </c:pt>
                <c:pt idx="129">
                  <c:v>0.93610000000000004</c:v>
                </c:pt>
                <c:pt idx="130">
                  <c:v>1.0288999999999999</c:v>
                </c:pt>
                <c:pt idx="131">
                  <c:v>1.0724</c:v>
                </c:pt>
                <c:pt idx="132">
                  <c:v>1.0435000000000001</c:v>
                </c:pt>
                <c:pt idx="133">
                  <c:v>1.1080000000000001</c:v>
                </c:pt>
                <c:pt idx="134">
                  <c:v>1.1606000000000001</c:v>
                </c:pt>
                <c:pt idx="135">
                  <c:v>1.1114999999999999</c:v>
                </c:pt>
                <c:pt idx="136">
                  <c:v>1.0900000000000001</c:v>
                </c:pt>
                <c:pt idx="137">
                  <c:v>1.1612</c:v>
                </c:pt>
                <c:pt idx="138">
                  <c:v>1.1714</c:v>
                </c:pt>
                <c:pt idx="139">
                  <c:v>1.0507</c:v>
                </c:pt>
                <c:pt idx="140">
                  <c:v>1.1106</c:v>
                </c:pt>
                <c:pt idx="141">
                  <c:v>1.1311</c:v>
                </c:pt>
                <c:pt idx="142">
                  <c:v>1.1334</c:v>
                </c:pt>
                <c:pt idx="143">
                  <c:v>1.4507000000000001</c:v>
                </c:pt>
                <c:pt idx="144">
                  <c:v>1.3407</c:v>
                </c:pt>
                <c:pt idx="145">
                  <c:v>1.2766</c:v>
                </c:pt>
                <c:pt idx="146">
                  <c:v>1.2326999999999999</c:v>
                </c:pt>
                <c:pt idx="147">
                  <c:v>1.1967000000000001</c:v>
                </c:pt>
                <c:pt idx="148">
                  <c:v>1.1950000000000001</c:v>
                </c:pt>
                <c:pt idx="149">
                  <c:v>1.0808</c:v>
                </c:pt>
                <c:pt idx="150">
                  <c:v>1.0874999999999999</c:v>
                </c:pt>
                <c:pt idx="151">
                  <c:v>1.0562</c:v>
                </c:pt>
                <c:pt idx="152">
                  <c:v>1.0456000000000001</c:v>
                </c:pt>
                <c:pt idx="153">
                  <c:v>1.0893999999999999</c:v>
                </c:pt>
                <c:pt idx="154">
                  <c:v>1.0492999999999999</c:v>
                </c:pt>
                <c:pt idx="155">
                  <c:v>1.1361000000000001</c:v>
                </c:pt>
                <c:pt idx="156">
                  <c:v>1.0946</c:v>
                </c:pt>
                <c:pt idx="157">
                  <c:v>1.2031000000000001</c:v>
                </c:pt>
                <c:pt idx="158">
                  <c:v>1.1458999999999999</c:v>
                </c:pt>
                <c:pt idx="159">
                  <c:v>1.1394</c:v>
                </c:pt>
                <c:pt idx="160">
                  <c:v>1.1796</c:v>
                </c:pt>
                <c:pt idx="161">
                  <c:v>1.1356999999999999</c:v>
                </c:pt>
                <c:pt idx="162">
                  <c:v>1.0333000000000001</c:v>
                </c:pt>
                <c:pt idx="163">
                  <c:v>1.0602</c:v>
                </c:pt>
                <c:pt idx="164">
                  <c:v>1.1795</c:v>
                </c:pt>
                <c:pt idx="165">
                  <c:v>1.2364999999999999</c:v>
                </c:pt>
                <c:pt idx="166">
                  <c:v>1.2690999999999999</c:v>
                </c:pt>
                <c:pt idx="167">
                  <c:v>1.1384000000000001</c:v>
                </c:pt>
                <c:pt idx="168">
                  <c:v>0.9466</c:v>
                </c:pt>
                <c:pt idx="169">
                  <c:v>1.0049999999999999</c:v>
                </c:pt>
                <c:pt idx="170">
                  <c:v>0.98740000000000006</c:v>
                </c:pt>
                <c:pt idx="171">
                  <c:v>0.87960000000000005</c:v>
                </c:pt>
                <c:pt idx="172">
                  <c:v>0.84709999999999996</c:v>
                </c:pt>
                <c:pt idx="173">
                  <c:v>0.90939999999999999</c:v>
                </c:pt>
                <c:pt idx="174">
                  <c:v>0.89990000000000003</c:v>
                </c:pt>
                <c:pt idx="175">
                  <c:v>0.84550000000000003</c:v>
                </c:pt>
                <c:pt idx="176">
                  <c:v>0.82509999999999994</c:v>
                </c:pt>
                <c:pt idx="177">
                  <c:v>0.80079999999999996</c:v>
                </c:pt>
                <c:pt idx="178">
                  <c:v>0.83389999999999997</c:v>
                </c:pt>
                <c:pt idx="179">
                  <c:v>0.86019999999999996</c:v>
                </c:pt>
                <c:pt idx="180">
                  <c:v>0.80120000000000002</c:v>
                </c:pt>
                <c:pt idx="181">
                  <c:v>0.76570000000000005</c:v>
                </c:pt>
                <c:pt idx="182">
                  <c:v>0.74070000000000003</c:v>
                </c:pt>
                <c:pt idx="183">
                  <c:v>0.70899999999999996</c:v>
                </c:pt>
                <c:pt idx="184">
                  <c:v>0.69140000000000001</c:v>
                </c:pt>
                <c:pt idx="185">
                  <c:v>0.68140000000000001</c:v>
                </c:pt>
                <c:pt idx="186">
                  <c:v>0.66800000000000004</c:v>
                </c:pt>
                <c:pt idx="187">
                  <c:v>0.66020000000000001</c:v>
                </c:pt>
                <c:pt idx="188">
                  <c:v>0.65410000000000001</c:v>
                </c:pt>
                <c:pt idx="189">
                  <c:v>0.65359999999999996</c:v>
                </c:pt>
                <c:pt idx="190">
                  <c:v>0.63560000000000005</c:v>
                </c:pt>
                <c:pt idx="191">
                  <c:v>0.59709999999999996</c:v>
                </c:pt>
                <c:pt idx="192">
                  <c:v>0.65169999999999995</c:v>
                </c:pt>
                <c:pt idx="193">
                  <c:v>0.68079999999999996</c:v>
                </c:pt>
                <c:pt idx="194">
                  <c:v>0.63560000000000005</c:v>
                </c:pt>
                <c:pt idx="195">
                  <c:v>0.64290000000000003</c:v>
                </c:pt>
                <c:pt idx="196">
                  <c:v>0.69120000000000004</c:v>
                </c:pt>
                <c:pt idx="197">
                  <c:v>0.74160000000000004</c:v>
                </c:pt>
                <c:pt idx="198">
                  <c:v>0.73480000000000001</c:v>
                </c:pt>
                <c:pt idx="199">
                  <c:v>0.83360000000000001</c:v>
                </c:pt>
                <c:pt idx="200">
                  <c:v>0.76119999999999999</c:v>
                </c:pt>
                <c:pt idx="201">
                  <c:v>0.74280000000000002</c:v>
                </c:pt>
                <c:pt idx="202">
                  <c:v>0.80359999999999998</c:v>
                </c:pt>
                <c:pt idx="203">
                  <c:v>0.7349</c:v>
                </c:pt>
                <c:pt idx="204">
                  <c:v>0.8125</c:v>
                </c:pt>
                <c:pt idx="205">
                  <c:v>0.77380000000000004</c:v>
                </c:pt>
                <c:pt idx="206">
                  <c:v>0.59440000000000004</c:v>
                </c:pt>
                <c:pt idx="207">
                  <c:v>0.64190000000000003</c:v>
                </c:pt>
                <c:pt idx="208">
                  <c:v>0.62580000000000002</c:v>
                </c:pt>
                <c:pt idx="209">
                  <c:v>0.55669999999999997</c:v>
                </c:pt>
                <c:pt idx="210">
                  <c:v>0.56710000000000005</c:v>
                </c:pt>
                <c:pt idx="211">
                  <c:v>0.59399999999999997</c:v>
                </c:pt>
                <c:pt idx="212">
                  <c:v>0.60109999999999997</c:v>
                </c:pt>
                <c:pt idx="213">
                  <c:v>0.55859999999999999</c:v>
                </c:pt>
                <c:pt idx="214">
                  <c:v>0.54749999999999999</c:v>
                </c:pt>
                <c:pt idx="215">
                  <c:v>0.57340000000000002</c:v>
                </c:pt>
                <c:pt idx="216">
                  <c:v>0.5998</c:v>
                </c:pt>
                <c:pt idx="217">
                  <c:v>0.66779999999999995</c:v>
                </c:pt>
                <c:pt idx="218">
                  <c:v>0.6159</c:v>
                </c:pt>
                <c:pt idx="219">
                  <c:v>0.58130000000000004</c:v>
                </c:pt>
                <c:pt idx="220">
                  <c:v>0.61319999999999997</c:v>
                </c:pt>
                <c:pt idx="221">
                  <c:v>0.86029999999999995</c:v>
                </c:pt>
                <c:pt idx="222">
                  <c:v>0.84030000000000005</c:v>
                </c:pt>
                <c:pt idx="223">
                  <c:v>0.88980000000000004</c:v>
                </c:pt>
                <c:pt idx="224">
                  <c:v>1.0395000000000001</c:v>
                </c:pt>
                <c:pt idx="225">
                  <c:v>1.0567</c:v>
                </c:pt>
                <c:pt idx="226">
                  <c:v>1.1358999999999999</c:v>
                </c:pt>
                <c:pt idx="227">
                  <c:v>1.1276999999999999</c:v>
                </c:pt>
                <c:pt idx="228">
                  <c:v>1.1019000000000001</c:v>
                </c:pt>
                <c:pt idx="229">
                  <c:v>1.0412999999999999</c:v>
                </c:pt>
                <c:pt idx="230">
                  <c:v>1.1620999999999999</c:v>
                </c:pt>
                <c:pt idx="231">
                  <c:v>1.4490000000000001</c:v>
                </c:pt>
                <c:pt idx="232">
                  <c:v>1.5401</c:v>
                </c:pt>
                <c:pt idx="233">
                  <c:v>1.4081999999999999</c:v>
                </c:pt>
                <c:pt idx="234">
                  <c:v>1.5134000000000001</c:v>
                </c:pt>
                <c:pt idx="235">
                  <c:v>1.56</c:v>
                </c:pt>
                <c:pt idx="236">
                  <c:v>1.4890000000000001</c:v>
                </c:pt>
                <c:pt idx="237">
                  <c:v>1.5508</c:v>
                </c:pt>
                <c:pt idx="238">
                  <c:v>1.7113</c:v>
                </c:pt>
                <c:pt idx="239">
                  <c:v>1.651</c:v>
                </c:pt>
                <c:pt idx="240">
                  <c:v>1.5844</c:v>
                </c:pt>
                <c:pt idx="241">
                  <c:v>1.5462</c:v>
                </c:pt>
                <c:pt idx="242">
                  <c:v>1.4793000000000001</c:v>
                </c:pt>
                <c:pt idx="243">
                  <c:v>1.4464999999999999</c:v>
                </c:pt>
                <c:pt idx="244">
                  <c:v>1.5350999999999999</c:v>
                </c:pt>
                <c:pt idx="245">
                  <c:v>1.7525999999999999</c:v>
                </c:pt>
                <c:pt idx="246">
                  <c:v>1.8083</c:v>
                </c:pt>
                <c:pt idx="247">
                  <c:v>1.6950000000000001</c:v>
                </c:pt>
                <c:pt idx="248">
                  <c:v>1.6492</c:v>
                </c:pt>
                <c:pt idx="249">
                  <c:v>1.3634999999999999</c:v>
                </c:pt>
                <c:pt idx="250">
                  <c:v>1.7019</c:v>
                </c:pt>
                <c:pt idx="251">
                  <c:v>1.7481</c:v>
                </c:pt>
                <c:pt idx="252">
                  <c:v>1.774</c:v>
                </c:pt>
                <c:pt idx="253">
                  <c:v>1.5064</c:v>
                </c:pt>
                <c:pt idx="254">
                  <c:v>2.2345999999999999</c:v>
                </c:pt>
                <c:pt idx="255">
                  <c:v>2.0364</c:v>
                </c:pt>
                <c:pt idx="256">
                  <c:v>2.3136000000000001</c:v>
                </c:pt>
                <c:pt idx="257">
                  <c:v>2.3513000000000002</c:v>
                </c:pt>
                <c:pt idx="258">
                  <c:v>2.6074000000000002</c:v>
                </c:pt>
                <c:pt idx="259">
                  <c:v>2.4510000000000001</c:v>
                </c:pt>
                <c:pt idx="260">
                  <c:v>2.4973999999999998</c:v>
                </c:pt>
                <c:pt idx="261">
                  <c:v>3.1133000000000002</c:v>
                </c:pt>
                <c:pt idx="262">
                  <c:v>2.9342000000000001</c:v>
                </c:pt>
                <c:pt idx="263">
                  <c:v>3.4255</c:v>
                </c:pt>
                <c:pt idx="264">
                  <c:v>3.51</c:v>
                </c:pt>
                <c:pt idx="265">
                  <c:v>3.1899000000000002</c:v>
                </c:pt>
                <c:pt idx="266">
                  <c:v>3.1339999999999999</c:v>
                </c:pt>
                <c:pt idx="267">
                  <c:v>2.8066</c:v>
                </c:pt>
                <c:pt idx="268">
                  <c:v>2.5358999999999998</c:v>
                </c:pt>
                <c:pt idx="269">
                  <c:v>2.8851</c:v>
                </c:pt>
                <c:pt idx="270">
                  <c:v>2.7471999999999999</c:v>
                </c:pt>
                <c:pt idx="271">
                  <c:v>2.8336000000000001</c:v>
                </c:pt>
                <c:pt idx="272">
                  <c:v>2.8780000000000001</c:v>
                </c:pt>
                <c:pt idx="273">
                  <c:v>2.8159999999999998</c:v>
                </c:pt>
                <c:pt idx="274">
                  <c:v>2.6267</c:v>
                </c:pt>
                <c:pt idx="275">
                  <c:v>2.7797000000000001</c:v>
                </c:pt>
                <c:pt idx="276">
                  <c:v>2.4946999999999999</c:v>
                </c:pt>
                <c:pt idx="277">
                  <c:v>2.0975000000000001</c:v>
                </c:pt>
                <c:pt idx="278">
                  <c:v>2.0266999999999999</c:v>
                </c:pt>
                <c:pt idx="279">
                  <c:v>2.1558000000000002</c:v>
                </c:pt>
                <c:pt idx="280">
                  <c:v>2.2631999999999999</c:v>
                </c:pt>
                <c:pt idx="281">
                  <c:v>2.7522000000000002</c:v>
                </c:pt>
                <c:pt idx="282">
                  <c:v>2.7444999999999999</c:v>
                </c:pt>
                <c:pt idx="283">
                  <c:v>2.7235999999999998</c:v>
                </c:pt>
                <c:pt idx="284">
                  <c:v>2.9068000000000001</c:v>
                </c:pt>
                <c:pt idx="285">
                  <c:v>3.3963000000000001</c:v>
                </c:pt>
                <c:pt idx="286">
                  <c:v>3.3816000000000002</c:v>
                </c:pt>
                <c:pt idx="287">
                  <c:v>3.5878999999999999</c:v>
                </c:pt>
                <c:pt idx="288">
                  <c:v>3.3980000000000001</c:v>
                </c:pt>
                <c:pt idx="289">
                  <c:v>3.7366000000000001</c:v>
                </c:pt>
                <c:pt idx="290">
                  <c:v>3.5859000000000001</c:v>
                </c:pt>
                <c:pt idx="291">
                  <c:v>3.7364999999999999</c:v>
                </c:pt>
                <c:pt idx="292">
                  <c:v>3.9224000000000001</c:v>
                </c:pt>
                <c:pt idx="293">
                  <c:v>4.2683999999999997</c:v>
                </c:pt>
                <c:pt idx="294">
                  <c:v>4.7382</c:v>
                </c:pt>
                <c:pt idx="295">
                  <c:v>3.8864000000000001</c:v>
                </c:pt>
                <c:pt idx="296">
                  <c:v>2.5524</c:v>
                </c:pt>
                <c:pt idx="297">
                  <c:v>2.6697000000000002</c:v>
                </c:pt>
                <c:pt idx="298">
                  <c:v>2.6242000000000001</c:v>
                </c:pt>
                <c:pt idx="299">
                  <c:v>2.4746999999999999</c:v>
                </c:pt>
                <c:pt idx="300">
                  <c:v>2.7282000000000002</c:v>
                </c:pt>
                <c:pt idx="301">
                  <c:v>2.6682000000000001</c:v>
                </c:pt>
                <c:pt idx="302">
                  <c:v>2.6840000000000002</c:v>
                </c:pt>
                <c:pt idx="303">
                  <c:v>2.7635999999999998</c:v>
                </c:pt>
                <c:pt idx="304">
                  <c:v>2.54</c:v>
                </c:pt>
                <c:pt idx="305">
                  <c:v>2.1349999999999998</c:v>
                </c:pt>
                <c:pt idx="306">
                  <c:v>2.1625999999999999</c:v>
                </c:pt>
                <c:pt idx="307">
                  <c:v>1.8875999999999999</c:v>
                </c:pt>
                <c:pt idx="308">
                  <c:v>1.7044999999999999</c:v>
                </c:pt>
                <c:pt idx="309">
                  <c:v>1.8117000000000001</c:v>
                </c:pt>
                <c:pt idx="310">
                  <c:v>2.1566000000000001</c:v>
                </c:pt>
                <c:pt idx="311">
                  <c:v>1.786</c:v>
                </c:pt>
                <c:pt idx="312">
                  <c:v>1.7293000000000001</c:v>
                </c:pt>
                <c:pt idx="313">
                  <c:v>1.6870000000000001</c:v>
                </c:pt>
                <c:pt idx="314">
                  <c:v>1.7565</c:v>
                </c:pt>
                <c:pt idx="315">
                  <c:v>1.8109</c:v>
                </c:pt>
                <c:pt idx="316">
                  <c:v>1.5174000000000001</c:v>
                </c:pt>
                <c:pt idx="317">
                  <c:v>1.4769000000000001</c:v>
                </c:pt>
                <c:pt idx="318">
                  <c:v>1.4470000000000001</c:v>
                </c:pt>
                <c:pt idx="319">
                  <c:v>1.4592000000000001</c:v>
                </c:pt>
                <c:pt idx="320">
                  <c:v>1.5134000000000001</c:v>
                </c:pt>
                <c:pt idx="321">
                  <c:v>1.4615</c:v>
                </c:pt>
                <c:pt idx="322">
                  <c:v>1.468</c:v>
                </c:pt>
                <c:pt idx="323">
                  <c:v>1.4763999999999999</c:v>
                </c:pt>
                <c:pt idx="324">
                  <c:v>1.5499000000000001</c:v>
                </c:pt>
                <c:pt idx="325">
                  <c:v>1.5001</c:v>
                </c:pt>
                <c:pt idx="326">
                  <c:v>1.5178</c:v>
                </c:pt>
                <c:pt idx="327">
                  <c:v>1.5419</c:v>
                </c:pt>
                <c:pt idx="328">
                  <c:v>1.3781000000000001</c:v>
                </c:pt>
                <c:pt idx="329">
                  <c:v>1.3678999999999999</c:v>
                </c:pt>
                <c:pt idx="330">
                  <c:v>1.389</c:v>
                </c:pt>
                <c:pt idx="331">
                  <c:v>1.2565</c:v>
                </c:pt>
                <c:pt idx="332">
                  <c:v>1.2805</c:v>
                </c:pt>
                <c:pt idx="333">
                  <c:v>1.2054</c:v>
                </c:pt>
                <c:pt idx="334">
                  <c:v>1.3112999999999999</c:v>
                </c:pt>
                <c:pt idx="335">
                  <c:v>1.2371000000000001</c:v>
                </c:pt>
                <c:pt idx="336">
                  <c:v>1.25</c:v>
                </c:pt>
                <c:pt idx="337">
                  <c:v>1.208</c:v>
                </c:pt>
                <c:pt idx="338">
                  <c:v>1.1999</c:v>
                </c:pt>
                <c:pt idx="339">
                  <c:v>1.5639000000000001</c:v>
                </c:pt>
                <c:pt idx="340">
                  <c:v>1.6345000000000001</c:v>
                </c:pt>
                <c:pt idx="341">
                  <c:v>1.4321999999999999</c:v>
                </c:pt>
                <c:pt idx="342">
                  <c:v>1.4642999999999999</c:v>
                </c:pt>
                <c:pt idx="343">
                  <c:v>1.3753</c:v>
                </c:pt>
                <c:pt idx="344">
                  <c:v>1.2801</c:v>
                </c:pt>
                <c:pt idx="345">
                  <c:v>1.2811999999999999</c:v>
                </c:pt>
                <c:pt idx="346">
                  <c:v>1.3888</c:v>
                </c:pt>
                <c:pt idx="347">
                  <c:v>1.2990999999999999</c:v>
                </c:pt>
                <c:pt idx="348">
                  <c:v>1.3048</c:v>
                </c:pt>
                <c:pt idx="349">
                  <c:v>1.1454</c:v>
                </c:pt>
                <c:pt idx="350">
                  <c:v>1.1112</c:v>
                </c:pt>
                <c:pt idx="351">
                  <c:v>0.90449999999999997</c:v>
                </c:pt>
                <c:pt idx="352">
                  <c:v>0.875</c:v>
                </c:pt>
                <c:pt idx="353">
                  <c:v>0.83789999999999998</c:v>
                </c:pt>
                <c:pt idx="354">
                  <c:v>0.79049999999999998</c:v>
                </c:pt>
                <c:pt idx="355">
                  <c:v>0.81089999999999995</c:v>
                </c:pt>
                <c:pt idx="356">
                  <c:v>0.84919999999999995</c:v>
                </c:pt>
                <c:pt idx="357">
                  <c:v>0.72340000000000004</c:v>
                </c:pt>
                <c:pt idx="358">
                  <c:v>0.76039999999999996</c:v>
                </c:pt>
                <c:pt idx="359">
                  <c:v>0.76870000000000005</c:v>
                </c:pt>
                <c:pt idx="360">
                  <c:v>0.68859999999999999</c:v>
                </c:pt>
                <c:pt idx="361">
                  <c:v>0.71850000000000003</c:v>
                </c:pt>
                <c:pt idx="362">
                  <c:v>0.75060000000000004</c:v>
                </c:pt>
                <c:pt idx="363">
                  <c:v>0.61919999999999997</c:v>
                </c:pt>
                <c:pt idx="364">
                  <c:v>0.62929999999999997</c:v>
                </c:pt>
                <c:pt idx="365">
                  <c:v>0.54</c:v>
                </c:pt>
                <c:pt idx="366">
                  <c:v>0.59030000000000005</c:v>
                </c:pt>
                <c:pt idx="367">
                  <c:v>0.59989999999999999</c:v>
                </c:pt>
                <c:pt idx="368">
                  <c:v>0.623</c:v>
                </c:pt>
                <c:pt idx="369">
                  <c:v>0.61309999999999998</c:v>
                </c:pt>
                <c:pt idx="370">
                  <c:v>0.58189999999999997</c:v>
                </c:pt>
                <c:pt idx="371">
                  <c:v>0.56769999999999998</c:v>
                </c:pt>
                <c:pt idx="372">
                  <c:v>0.65480000000000005</c:v>
                </c:pt>
                <c:pt idx="373">
                  <c:v>0.66930000000000001</c:v>
                </c:pt>
                <c:pt idx="374">
                  <c:v>0.64559999999999995</c:v>
                </c:pt>
                <c:pt idx="375">
                  <c:v>0.62560000000000004</c:v>
                </c:pt>
                <c:pt idx="376">
                  <c:v>0.6179</c:v>
                </c:pt>
                <c:pt idx="377">
                  <c:v>0.57889999999999997</c:v>
                </c:pt>
                <c:pt idx="378">
                  <c:v>0.58430000000000004</c:v>
                </c:pt>
                <c:pt idx="379">
                  <c:v>0.57650000000000001</c:v>
                </c:pt>
                <c:pt idx="380">
                  <c:v>0.5544</c:v>
                </c:pt>
                <c:pt idx="381">
                  <c:v>0.56189999999999996</c:v>
                </c:pt>
                <c:pt idx="382">
                  <c:v>0.59319999999999995</c:v>
                </c:pt>
                <c:pt idx="383">
                  <c:v>0.62</c:v>
                </c:pt>
                <c:pt idx="384">
                  <c:v>0.56100000000000005</c:v>
                </c:pt>
                <c:pt idx="385">
                  <c:v>0.57689999999999997</c:v>
                </c:pt>
                <c:pt idx="386">
                  <c:v>0.56999999999999995</c:v>
                </c:pt>
                <c:pt idx="387">
                  <c:v>0.54</c:v>
                </c:pt>
                <c:pt idx="388">
                  <c:v>0.53310000000000002</c:v>
                </c:pt>
                <c:pt idx="389">
                  <c:v>0.4803</c:v>
                </c:pt>
                <c:pt idx="390">
                  <c:v>0.47399999999999998</c:v>
                </c:pt>
                <c:pt idx="391">
                  <c:v>0.50080000000000002</c:v>
                </c:pt>
                <c:pt idx="392">
                  <c:v>0.51370000000000005</c:v>
                </c:pt>
                <c:pt idx="393">
                  <c:v>0.52259999999999995</c:v>
                </c:pt>
                <c:pt idx="394">
                  <c:v>0.53049999999999997</c:v>
                </c:pt>
                <c:pt idx="395">
                  <c:v>0.53339999999999999</c:v>
                </c:pt>
                <c:pt idx="396">
                  <c:v>0.52649999999999997</c:v>
                </c:pt>
                <c:pt idx="397">
                  <c:v>0.51949999999999996</c:v>
                </c:pt>
                <c:pt idx="398">
                  <c:v>0.53110000000000002</c:v>
                </c:pt>
                <c:pt idx="399">
                  <c:v>0.52629999999999999</c:v>
                </c:pt>
                <c:pt idx="400">
                  <c:v>0.49230000000000002</c:v>
                </c:pt>
                <c:pt idx="401">
                  <c:v>0.56479999999999997</c:v>
                </c:pt>
                <c:pt idx="402">
                  <c:v>0.56999999999999995</c:v>
                </c:pt>
                <c:pt idx="403">
                  <c:v>0.57979999999999998</c:v>
                </c:pt>
                <c:pt idx="404">
                  <c:v>0.61680000000000001</c:v>
                </c:pt>
                <c:pt idx="405">
                  <c:v>0.5867</c:v>
                </c:pt>
                <c:pt idx="406">
                  <c:v>0.54890000000000005</c:v>
                </c:pt>
                <c:pt idx="407">
                  <c:v>0.55900000000000005</c:v>
                </c:pt>
                <c:pt idx="408">
                  <c:v>0.54720000000000002</c:v>
                </c:pt>
                <c:pt idx="409">
                  <c:v>0.5514</c:v>
                </c:pt>
                <c:pt idx="410">
                  <c:v>0.55259999999999998</c:v>
                </c:pt>
                <c:pt idx="411">
                  <c:v>0.54910000000000003</c:v>
                </c:pt>
                <c:pt idx="412">
                  <c:v>0.5101</c:v>
                </c:pt>
                <c:pt idx="413">
                  <c:v>0.52629999999999999</c:v>
                </c:pt>
                <c:pt idx="414">
                  <c:v>0.54590000000000005</c:v>
                </c:pt>
                <c:pt idx="415">
                  <c:v>0.55100000000000005</c:v>
                </c:pt>
                <c:pt idx="416">
                  <c:v>0.57999999999999996</c:v>
                </c:pt>
                <c:pt idx="417">
                  <c:v>0.57279999999999998</c:v>
                </c:pt>
                <c:pt idx="418">
                  <c:v>0.58130000000000004</c:v>
                </c:pt>
                <c:pt idx="419">
                  <c:v>0.55459999999999998</c:v>
                </c:pt>
                <c:pt idx="420">
                  <c:v>0.60489999999999999</c:v>
                </c:pt>
                <c:pt idx="421">
                  <c:v>0.60960000000000003</c:v>
                </c:pt>
                <c:pt idx="422">
                  <c:v>0.57999999999999996</c:v>
                </c:pt>
                <c:pt idx="423">
                  <c:v>0.58989999999999998</c:v>
                </c:pt>
                <c:pt idx="424">
                  <c:v>0.57299999999999995</c:v>
                </c:pt>
                <c:pt idx="425">
                  <c:v>0.57940000000000003</c:v>
                </c:pt>
                <c:pt idx="426">
                  <c:v>0.5413</c:v>
                </c:pt>
                <c:pt idx="427">
                  <c:v>0.52739999999999998</c:v>
                </c:pt>
                <c:pt idx="428">
                  <c:v>0.60319999999999996</c:v>
                </c:pt>
                <c:pt idx="429">
                  <c:v>0.62880000000000003</c:v>
                </c:pt>
                <c:pt idx="430">
                  <c:v>0.5101</c:v>
                </c:pt>
                <c:pt idx="431">
                  <c:v>0.48459999999999998</c:v>
                </c:pt>
                <c:pt idx="432">
                  <c:v>0.51680000000000004</c:v>
                </c:pt>
                <c:pt idx="433">
                  <c:v>0.47420000000000001</c:v>
                </c:pt>
                <c:pt idx="434">
                  <c:v>0.46639999999999998</c:v>
                </c:pt>
                <c:pt idx="435">
                  <c:v>0.46250000000000002</c:v>
                </c:pt>
                <c:pt idx="436">
                  <c:v>0.47310000000000002</c:v>
                </c:pt>
                <c:pt idx="437">
                  <c:v>0.46629999999999999</c:v>
                </c:pt>
                <c:pt idx="438">
                  <c:v>0.45779999999999998</c:v>
                </c:pt>
                <c:pt idx="439">
                  <c:v>0.4834</c:v>
                </c:pt>
                <c:pt idx="440">
                  <c:v>0.48430000000000001</c:v>
                </c:pt>
                <c:pt idx="441">
                  <c:v>0.46389999999999998</c:v>
                </c:pt>
                <c:pt idx="442">
                  <c:v>0.4743</c:v>
                </c:pt>
                <c:pt idx="443">
                  <c:v>0.48570000000000002</c:v>
                </c:pt>
                <c:pt idx="444">
                  <c:v>0.4592</c:v>
                </c:pt>
                <c:pt idx="445">
                  <c:v>0.45829999999999999</c:v>
                </c:pt>
                <c:pt idx="446">
                  <c:v>0.43109999999999998</c:v>
                </c:pt>
                <c:pt idx="447">
                  <c:v>0.45860000000000001</c:v>
                </c:pt>
                <c:pt idx="448">
                  <c:v>0.43609999999999999</c:v>
                </c:pt>
                <c:pt idx="449">
                  <c:v>0.43080000000000002</c:v>
                </c:pt>
                <c:pt idx="450">
                  <c:v>0.42020000000000002</c:v>
                </c:pt>
                <c:pt idx="451">
                  <c:v>0.43049999999999999</c:v>
                </c:pt>
                <c:pt idx="452">
                  <c:v>0.43070000000000003</c:v>
                </c:pt>
                <c:pt idx="453">
                  <c:v>0.43490000000000001</c:v>
                </c:pt>
                <c:pt idx="454">
                  <c:v>0.43409999999999999</c:v>
                </c:pt>
                <c:pt idx="455">
                  <c:v>0.46400000000000002</c:v>
                </c:pt>
                <c:pt idx="456">
                  <c:v>0.47289999999999999</c:v>
                </c:pt>
                <c:pt idx="457">
                  <c:v>0.49359999999999998</c:v>
                </c:pt>
                <c:pt idx="458">
                  <c:v>0.49880000000000002</c:v>
                </c:pt>
                <c:pt idx="459">
                  <c:v>0.4965</c:v>
                </c:pt>
                <c:pt idx="460">
                  <c:v>0.52280000000000004</c:v>
                </c:pt>
                <c:pt idx="461">
                  <c:v>0.5081</c:v>
                </c:pt>
                <c:pt idx="462">
                  <c:v>0.50329999999999997</c:v>
                </c:pt>
                <c:pt idx="463">
                  <c:v>0.49199999999999999</c:v>
                </c:pt>
                <c:pt idx="464">
                  <c:v>0.48580000000000001</c:v>
                </c:pt>
                <c:pt idx="465">
                  <c:v>0.52080000000000004</c:v>
                </c:pt>
                <c:pt idx="466">
                  <c:v>0.52639999999999998</c:v>
                </c:pt>
                <c:pt idx="467">
                  <c:v>0.51980000000000004</c:v>
                </c:pt>
                <c:pt idx="468">
                  <c:v>0.52629999999999999</c:v>
                </c:pt>
                <c:pt idx="469">
                  <c:v>0.53290000000000004</c:v>
                </c:pt>
                <c:pt idx="470">
                  <c:v>0.55089999999999995</c:v>
                </c:pt>
                <c:pt idx="471">
                  <c:v>0.55610000000000004</c:v>
                </c:pt>
                <c:pt idx="472">
                  <c:v>0.5665</c:v>
                </c:pt>
                <c:pt idx="473">
                  <c:v>0.56799999999999995</c:v>
                </c:pt>
                <c:pt idx="474">
                  <c:v>0.57210000000000005</c:v>
                </c:pt>
                <c:pt idx="475">
                  <c:v>0.56120000000000003</c:v>
                </c:pt>
                <c:pt idx="476">
                  <c:v>0.5393</c:v>
                </c:pt>
                <c:pt idx="477">
                  <c:v>0.52059999999999995</c:v>
                </c:pt>
                <c:pt idx="478">
                  <c:v>0.52049999999999996</c:v>
                </c:pt>
                <c:pt idx="479">
                  <c:v>0.56220000000000003</c:v>
                </c:pt>
                <c:pt idx="480">
                  <c:v>0.55169999999999997</c:v>
                </c:pt>
                <c:pt idx="481">
                  <c:v>0.54079999999999995</c:v>
                </c:pt>
                <c:pt idx="482">
                  <c:v>0.53959999999999997</c:v>
                </c:pt>
                <c:pt idx="483">
                  <c:v>0.56200000000000006</c:v>
                </c:pt>
                <c:pt idx="484">
                  <c:v>0.57140000000000002</c:v>
                </c:pt>
                <c:pt idx="485">
                  <c:v>0.57720000000000005</c:v>
                </c:pt>
                <c:pt idx="486">
                  <c:v>0.55840000000000001</c:v>
                </c:pt>
                <c:pt idx="487">
                  <c:v>0.56940000000000002</c:v>
                </c:pt>
                <c:pt idx="488">
                  <c:v>0.56489999999999996</c:v>
                </c:pt>
                <c:pt idx="489">
                  <c:v>0.56779999999999997</c:v>
                </c:pt>
                <c:pt idx="490">
                  <c:v>0.55300000000000005</c:v>
                </c:pt>
                <c:pt idx="491">
                  <c:v>0.51790000000000003</c:v>
                </c:pt>
                <c:pt idx="492">
                  <c:v>0.57189999999999996</c:v>
                </c:pt>
                <c:pt idx="493">
                  <c:v>0.57740000000000002</c:v>
                </c:pt>
                <c:pt idx="494">
                  <c:v>0.6431</c:v>
                </c:pt>
                <c:pt idx="495">
                  <c:v>0.62109999999999999</c:v>
                </c:pt>
                <c:pt idx="496">
                  <c:v>0.60540000000000005</c:v>
                </c:pt>
                <c:pt idx="497">
                  <c:v>0.62109999999999999</c:v>
                </c:pt>
                <c:pt idx="498">
                  <c:v>0.61699999999999999</c:v>
                </c:pt>
                <c:pt idx="499">
                  <c:v>0.60229999999999995</c:v>
                </c:pt>
                <c:pt idx="500">
                  <c:v>0.63660000000000005</c:v>
                </c:pt>
                <c:pt idx="501">
                  <c:v>0.61129999999999995</c:v>
                </c:pt>
                <c:pt idx="502">
                  <c:v>0.65549999999999997</c:v>
                </c:pt>
                <c:pt idx="503">
                  <c:v>0.64810000000000001</c:v>
                </c:pt>
                <c:pt idx="504">
                  <c:v>0.62749999999999995</c:v>
                </c:pt>
                <c:pt idx="505">
                  <c:v>0.61599999999999999</c:v>
                </c:pt>
                <c:pt idx="506">
                  <c:v>0.58720000000000006</c:v>
                </c:pt>
                <c:pt idx="507">
                  <c:v>0.61019999999999996</c:v>
                </c:pt>
                <c:pt idx="508">
                  <c:v>0.61809999999999998</c:v>
                </c:pt>
                <c:pt idx="509">
                  <c:v>0.58940000000000003</c:v>
                </c:pt>
                <c:pt idx="510">
                  <c:v>0.62649999999999995</c:v>
                </c:pt>
                <c:pt idx="511">
                  <c:v>0.60329999999999995</c:v>
                </c:pt>
                <c:pt idx="512">
                  <c:v>0.70640000000000003</c:v>
                </c:pt>
                <c:pt idx="513">
                  <c:v>0.7571</c:v>
                </c:pt>
                <c:pt idx="514">
                  <c:v>0.80030000000000001</c:v>
                </c:pt>
                <c:pt idx="515">
                  <c:v>0.78120000000000001</c:v>
                </c:pt>
                <c:pt idx="516">
                  <c:v>0.79579999999999995</c:v>
                </c:pt>
                <c:pt idx="517">
                  <c:v>0.78490000000000004</c:v>
                </c:pt>
                <c:pt idx="518">
                  <c:v>0.75049999999999994</c:v>
                </c:pt>
                <c:pt idx="519">
                  <c:v>0.83499999999999996</c:v>
                </c:pt>
                <c:pt idx="520">
                  <c:v>0.81259999999999999</c:v>
                </c:pt>
                <c:pt idx="521">
                  <c:v>0.89949999999999997</c:v>
                </c:pt>
                <c:pt idx="522">
                  <c:v>0.90610000000000002</c:v>
                </c:pt>
                <c:pt idx="523">
                  <c:v>0.97989999999999999</c:v>
                </c:pt>
                <c:pt idx="524">
                  <c:v>0.85309999999999997</c:v>
                </c:pt>
                <c:pt idx="525">
                  <c:v>0.85929999999999995</c:v>
                </c:pt>
                <c:pt idx="526">
                  <c:v>0.8145</c:v>
                </c:pt>
                <c:pt idx="527">
                  <c:v>0.82499999999999996</c:v>
                </c:pt>
                <c:pt idx="528">
                  <c:v>0.77669999999999995</c:v>
                </c:pt>
                <c:pt idx="529">
                  <c:v>0.78969999999999996</c:v>
                </c:pt>
                <c:pt idx="530">
                  <c:v>0.77200000000000002</c:v>
                </c:pt>
                <c:pt idx="531">
                  <c:v>0.79759999999999998</c:v>
                </c:pt>
                <c:pt idx="532">
                  <c:v>0.78669999999999995</c:v>
                </c:pt>
                <c:pt idx="533">
                  <c:v>0.79949999999999999</c:v>
                </c:pt>
                <c:pt idx="534">
                  <c:v>0.72929999999999995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E-4879-A500-A6C1A56C331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-0.65870982320331817</c:v>
                </c:pt>
                <c:pt idx="1">
                  <c:v>-0.65849611320331813</c:v>
                </c:pt>
                <c:pt idx="2">
                  <c:v>-0.65453984920331809</c:v>
                </c:pt>
                <c:pt idx="3">
                  <c:v>-0.65357692113552146</c:v>
                </c:pt>
                <c:pt idx="4">
                  <c:v>-0.65782481020370331</c:v>
                </c:pt>
                <c:pt idx="5">
                  <c:v>-0.66247071565824878</c:v>
                </c:pt>
                <c:pt idx="6">
                  <c:v>-0.65248918180972804</c:v>
                </c:pt>
                <c:pt idx="7">
                  <c:v>-0.6405929166813088</c:v>
                </c:pt>
                <c:pt idx="8">
                  <c:v>-0.63645219049633772</c:v>
                </c:pt>
                <c:pt idx="9">
                  <c:v>-0.63319504549633765</c:v>
                </c:pt>
                <c:pt idx="10">
                  <c:v>-0.63394545921647416</c:v>
                </c:pt>
                <c:pt idx="11">
                  <c:v>-0.63211666841002256</c:v>
                </c:pt>
                <c:pt idx="12">
                  <c:v>-0.63103052507668933</c:v>
                </c:pt>
                <c:pt idx="13">
                  <c:v>-0.63072939135575901</c:v>
                </c:pt>
                <c:pt idx="14">
                  <c:v>-0.63229412262158191</c:v>
                </c:pt>
                <c:pt idx="15">
                  <c:v>-0.62970977595491529</c:v>
                </c:pt>
                <c:pt idx="16">
                  <c:v>-0.63487038568942855</c:v>
                </c:pt>
                <c:pt idx="17">
                  <c:v>-0.63860700674744897</c:v>
                </c:pt>
                <c:pt idx="18">
                  <c:v>-0.63915823312475661</c:v>
                </c:pt>
                <c:pt idx="19">
                  <c:v>-0.64147595332609897</c:v>
                </c:pt>
                <c:pt idx="20">
                  <c:v>-0.63644855932609901</c:v>
                </c:pt>
                <c:pt idx="21">
                  <c:v>-0.63522082880159814</c:v>
                </c:pt>
                <c:pt idx="22">
                  <c:v>-0.63366458780800838</c:v>
                </c:pt>
                <c:pt idx="23">
                  <c:v>-0.63127073889891749</c:v>
                </c:pt>
                <c:pt idx="24">
                  <c:v>-0.63093069356558407</c:v>
                </c:pt>
                <c:pt idx="25">
                  <c:v>-0.62877417206558417</c:v>
                </c:pt>
                <c:pt idx="26">
                  <c:v>-0.63291200539891745</c:v>
                </c:pt>
                <c:pt idx="27">
                  <c:v>-0.63487943854577067</c:v>
                </c:pt>
                <c:pt idx="28">
                  <c:v>-0.63029240174279666</c:v>
                </c:pt>
                <c:pt idx="29">
                  <c:v>-0.6156938479112426</c:v>
                </c:pt>
                <c:pt idx="30">
                  <c:v>-0.61011985719557538</c:v>
                </c:pt>
                <c:pt idx="31">
                  <c:v>-0.60090585287125098</c:v>
                </c:pt>
                <c:pt idx="32">
                  <c:v>-0.554366808871251</c:v>
                </c:pt>
                <c:pt idx="33">
                  <c:v>-0.55989693200168589</c:v>
                </c:pt>
                <c:pt idx="34">
                  <c:v>-0.51419017662394417</c:v>
                </c:pt>
                <c:pt idx="35">
                  <c:v>-0.51421435897873224</c:v>
                </c:pt>
                <c:pt idx="36">
                  <c:v>-0.53237929822900787</c:v>
                </c:pt>
                <c:pt idx="37">
                  <c:v>-0.53728582558194915</c:v>
                </c:pt>
                <c:pt idx="38">
                  <c:v>-0.5401357050302249</c:v>
                </c:pt>
                <c:pt idx="39">
                  <c:v>-0.54000984842956479</c:v>
                </c:pt>
                <c:pt idx="40">
                  <c:v>-0.53850997906188336</c:v>
                </c:pt>
                <c:pt idx="41">
                  <c:v>-0.53749390541847242</c:v>
                </c:pt>
                <c:pt idx="42">
                  <c:v>-0.52410904865200525</c:v>
                </c:pt>
                <c:pt idx="43">
                  <c:v>-0.516179845810677</c:v>
                </c:pt>
                <c:pt idx="44">
                  <c:v>-0.52157513844725656</c:v>
                </c:pt>
                <c:pt idx="45">
                  <c:v>-0.51112583611296258</c:v>
                </c:pt>
                <c:pt idx="46">
                  <c:v>-0.50398258051868206</c:v>
                </c:pt>
                <c:pt idx="47">
                  <c:v>-0.47358019835651993</c:v>
                </c:pt>
                <c:pt idx="48">
                  <c:v>-0.47421167577587475</c:v>
                </c:pt>
                <c:pt idx="49">
                  <c:v>-0.44538565011215792</c:v>
                </c:pt>
                <c:pt idx="50">
                  <c:v>-0.42252332464502984</c:v>
                </c:pt>
                <c:pt idx="51">
                  <c:v>-0.41129044794600073</c:v>
                </c:pt>
                <c:pt idx="52">
                  <c:v>-0.36752483380200068</c:v>
                </c:pt>
                <c:pt idx="53">
                  <c:v>-0.37044987115176903</c:v>
                </c:pt>
                <c:pt idx="54">
                  <c:v>-0.34536483858665457</c:v>
                </c:pt>
                <c:pt idx="55">
                  <c:v>-0.31502853755299121</c:v>
                </c:pt>
                <c:pt idx="56">
                  <c:v>-0.21668856575951295</c:v>
                </c:pt>
                <c:pt idx="57">
                  <c:v>1.06501651068804E-2</c:v>
                </c:pt>
                <c:pt idx="58">
                  <c:v>1.4366159644126396E-2</c:v>
                </c:pt>
                <c:pt idx="59">
                  <c:v>1.8890874254516046E-2</c:v>
                </c:pt>
                <c:pt idx="60">
                  <c:v>3.5856398537423756E-2</c:v>
                </c:pt>
                <c:pt idx="61">
                  <c:v>3.3517837006892454E-2</c:v>
                </c:pt>
                <c:pt idx="62">
                  <c:v>1.217057700689245E-2</c:v>
                </c:pt>
                <c:pt idx="63">
                  <c:v>9.8287489709381601E-2</c:v>
                </c:pt>
                <c:pt idx="64">
                  <c:v>9.7471608596034792E-2</c:v>
                </c:pt>
                <c:pt idx="65">
                  <c:v>9.8090886170966687E-2</c:v>
                </c:pt>
                <c:pt idx="66">
                  <c:v>9.9111936415764726E-2</c:v>
                </c:pt>
                <c:pt idx="67">
                  <c:v>0.10489446011203982</c:v>
                </c:pt>
                <c:pt idx="68">
                  <c:v>0.11441960717941102</c:v>
                </c:pt>
                <c:pt idx="69">
                  <c:v>0.10651600367492854</c:v>
                </c:pt>
                <c:pt idx="70">
                  <c:v>9.9879028488682117E-2</c:v>
                </c:pt>
                <c:pt idx="71">
                  <c:v>0.11085457587240305</c:v>
                </c:pt>
                <c:pt idx="72">
                  <c:v>0.10327127567079013</c:v>
                </c:pt>
                <c:pt idx="73">
                  <c:v>0.11398223281678353</c:v>
                </c:pt>
                <c:pt idx="74">
                  <c:v>0.11974608884327359</c:v>
                </c:pt>
                <c:pt idx="75">
                  <c:v>0.12164711973104582</c:v>
                </c:pt>
                <c:pt idx="76">
                  <c:v>0.12293842110325856</c:v>
                </c:pt>
                <c:pt idx="77">
                  <c:v>0.12441874540705603</c:v>
                </c:pt>
                <c:pt idx="78">
                  <c:v>0.11741962380830998</c:v>
                </c:pt>
                <c:pt idx="79">
                  <c:v>0.13247861038823561</c:v>
                </c:pt>
                <c:pt idx="80">
                  <c:v>0.13338567343171395</c:v>
                </c:pt>
                <c:pt idx="81">
                  <c:v>0.13884290406551675</c:v>
                </c:pt>
                <c:pt idx="82">
                  <c:v>0.13568979704797285</c:v>
                </c:pt>
                <c:pt idx="83">
                  <c:v>0.13440027026656154</c:v>
                </c:pt>
                <c:pt idx="84">
                  <c:v>0.13671176022191872</c:v>
                </c:pt>
                <c:pt idx="85">
                  <c:v>0.15303751214852418</c:v>
                </c:pt>
                <c:pt idx="86">
                  <c:v>0.14691570028039228</c:v>
                </c:pt>
                <c:pt idx="87">
                  <c:v>0.15582308403360559</c:v>
                </c:pt>
                <c:pt idx="88">
                  <c:v>0.16400014725038878</c:v>
                </c:pt>
                <c:pt idx="89">
                  <c:v>0.1547898755876253</c:v>
                </c:pt>
                <c:pt idx="90">
                  <c:v>0.15351811502687757</c:v>
                </c:pt>
                <c:pt idx="91">
                  <c:v>0.14761012478783375</c:v>
                </c:pt>
                <c:pt idx="92">
                  <c:v>0.14148273101223266</c:v>
                </c:pt>
                <c:pt idx="93">
                  <c:v>0.15660324004745471</c:v>
                </c:pt>
                <c:pt idx="94">
                  <c:v>0.16697116271161977</c:v>
                </c:pt>
                <c:pt idx="95">
                  <c:v>0.16609436801188093</c:v>
                </c:pt>
                <c:pt idx="96">
                  <c:v>0.17137492008288679</c:v>
                </c:pt>
                <c:pt idx="97">
                  <c:v>0.17067014666095992</c:v>
                </c:pt>
                <c:pt idx="98">
                  <c:v>0.17930925507670151</c:v>
                </c:pt>
                <c:pt idx="99">
                  <c:v>0.16542562192020277</c:v>
                </c:pt>
                <c:pt idx="100">
                  <c:v>0.15561197189422879</c:v>
                </c:pt>
                <c:pt idx="101">
                  <c:v>0.15797184891748456</c:v>
                </c:pt>
                <c:pt idx="102">
                  <c:v>0.15187102962544916</c:v>
                </c:pt>
                <c:pt idx="103">
                  <c:v>0.15412249482691442</c:v>
                </c:pt>
                <c:pt idx="104">
                  <c:v>0.24589082770892606</c:v>
                </c:pt>
                <c:pt idx="105">
                  <c:v>0.24530282358642902</c:v>
                </c:pt>
                <c:pt idx="106">
                  <c:v>0.23691310124935036</c:v>
                </c:pt>
                <c:pt idx="107">
                  <c:v>0.23312766710248206</c:v>
                </c:pt>
                <c:pt idx="108">
                  <c:v>0.23175248895807771</c:v>
                </c:pt>
                <c:pt idx="109">
                  <c:v>0.25147509677057772</c:v>
                </c:pt>
                <c:pt idx="110">
                  <c:v>0.28125107794704829</c:v>
                </c:pt>
                <c:pt idx="111">
                  <c:v>0.30364940810736896</c:v>
                </c:pt>
                <c:pt idx="112">
                  <c:v>0.30992256633955895</c:v>
                </c:pt>
                <c:pt idx="113">
                  <c:v>0.32690685680792381</c:v>
                </c:pt>
                <c:pt idx="114">
                  <c:v>0.27556390605291625</c:v>
                </c:pt>
                <c:pt idx="115">
                  <c:v>0.28633227586211896</c:v>
                </c:pt>
                <c:pt idx="116">
                  <c:v>0.29560287733617568</c:v>
                </c:pt>
                <c:pt idx="117">
                  <c:v>0.30037656447067895</c:v>
                </c:pt>
                <c:pt idx="118">
                  <c:v>0.30153788493796868</c:v>
                </c:pt>
                <c:pt idx="119">
                  <c:v>0.29642620142528614</c:v>
                </c:pt>
                <c:pt idx="120">
                  <c:v>0.29507102693484022</c:v>
                </c:pt>
                <c:pt idx="121">
                  <c:v>0.29981503191214731</c:v>
                </c:pt>
                <c:pt idx="122">
                  <c:v>0.33295293949564431</c:v>
                </c:pt>
                <c:pt idx="123">
                  <c:v>0.39816939376547755</c:v>
                </c:pt>
                <c:pt idx="124">
                  <c:v>0.42234343982608363</c:v>
                </c:pt>
                <c:pt idx="125">
                  <c:v>0.40398600591576972</c:v>
                </c:pt>
                <c:pt idx="126">
                  <c:v>0.40842105808460982</c:v>
                </c:pt>
                <c:pt idx="127">
                  <c:v>0.37100370675005745</c:v>
                </c:pt>
                <c:pt idx="128">
                  <c:v>0.34928515161457357</c:v>
                </c:pt>
                <c:pt idx="129">
                  <c:v>0.35946608914229033</c:v>
                </c:pt>
                <c:pt idx="130">
                  <c:v>0.36593368755157668</c:v>
                </c:pt>
                <c:pt idx="131">
                  <c:v>0.37171809733750938</c:v>
                </c:pt>
                <c:pt idx="132">
                  <c:v>0.37116482413377683</c:v>
                </c:pt>
                <c:pt idx="133">
                  <c:v>0.37898098359522114</c:v>
                </c:pt>
                <c:pt idx="134">
                  <c:v>0.38468790609522102</c:v>
                </c:pt>
                <c:pt idx="135">
                  <c:v>0.37597019072107141</c:v>
                </c:pt>
                <c:pt idx="136">
                  <c:v>0.36605935332866635</c:v>
                </c:pt>
                <c:pt idx="137">
                  <c:v>0.36799329179020485</c:v>
                </c:pt>
                <c:pt idx="138">
                  <c:v>0.36477153730248257</c:v>
                </c:pt>
                <c:pt idx="139">
                  <c:v>0.35717193528635349</c:v>
                </c:pt>
                <c:pt idx="140">
                  <c:v>0.37323436861384912</c:v>
                </c:pt>
                <c:pt idx="141">
                  <c:v>0.38654199600979366</c:v>
                </c:pt>
                <c:pt idx="142">
                  <c:v>0.37854048951439073</c:v>
                </c:pt>
                <c:pt idx="143">
                  <c:v>0.39317678090782487</c:v>
                </c:pt>
                <c:pt idx="144">
                  <c:v>0.42237350384780403</c:v>
                </c:pt>
                <c:pt idx="145">
                  <c:v>0.39915830165656596</c:v>
                </c:pt>
                <c:pt idx="146">
                  <c:v>0.38364576194371031</c:v>
                </c:pt>
                <c:pt idx="147">
                  <c:v>0.37746241437849287</c:v>
                </c:pt>
                <c:pt idx="148">
                  <c:v>0.39515193938661658</c:v>
                </c:pt>
                <c:pt idx="149">
                  <c:v>0.37074623442974652</c:v>
                </c:pt>
                <c:pt idx="150">
                  <c:v>0.39631009532643274</c:v>
                </c:pt>
                <c:pt idx="151">
                  <c:v>0.40593417617482674</c:v>
                </c:pt>
                <c:pt idx="152">
                  <c:v>0.40555935908527452</c:v>
                </c:pt>
                <c:pt idx="153">
                  <c:v>0.4202450356723052</c:v>
                </c:pt>
                <c:pt idx="154">
                  <c:v>0.39888213252523275</c:v>
                </c:pt>
                <c:pt idx="155">
                  <c:v>0.41501759113515008</c:v>
                </c:pt>
                <c:pt idx="156">
                  <c:v>0.34994857937989787</c:v>
                </c:pt>
                <c:pt idx="157">
                  <c:v>0.39676321760233918</c:v>
                </c:pt>
                <c:pt idx="158">
                  <c:v>0.40143158489576186</c:v>
                </c:pt>
                <c:pt idx="159">
                  <c:v>0.4011115389182619</c:v>
                </c:pt>
                <c:pt idx="160">
                  <c:v>0.40786127561076618</c:v>
                </c:pt>
                <c:pt idx="161">
                  <c:v>0.39567461451277025</c:v>
                </c:pt>
                <c:pt idx="162">
                  <c:v>0.37146686156291775</c:v>
                </c:pt>
                <c:pt idx="163">
                  <c:v>0.37431612967200861</c:v>
                </c:pt>
                <c:pt idx="164">
                  <c:v>0.41637032739322077</c:v>
                </c:pt>
                <c:pt idx="165">
                  <c:v>0.43098174578883663</c:v>
                </c:pt>
                <c:pt idx="166">
                  <c:v>0.41180715550672592</c:v>
                </c:pt>
                <c:pt idx="167">
                  <c:v>0.37174662983326678</c:v>
                </c:pt>
                <c:pt idx="168">
                  <c:v>0.33028296435493909</c:v>
                </c:pt>
                <c:pt idx="169">
                  <c:v>0.37031124327712822</c:v>
                </c:pt>
                <c:pt idx="170">
                  <c:v>0.37604322906748971</c:v>
                </c:pt>
                <c:pt idx="171">
                  <c:v>0.35052748168032816</c:v>
                </c:pt>
                <c:pt idx="172">
                  <c:v>0.33310051932362456</c:v>
                </c:pt>
                <c:pt idx="173">
                  <c:v>0.35172308039610783</c:v>
                </c:pt>
                <c:pt idx="174">
                  <c:v>0.34971968917520874</c:v>
                </c:pt>
                <c:pt idx="175">
                  <c:v>0.3191554312499138</c:v>
                </c:pt>
                <c:pt idx="176">
                  <c:v>0.30344355436209802</c:v>
                </c:pt>
                <c:pt idx="177">
                  <c:v>0.29027668980752491</c:v>
                </c:pt>
                <c:pt idx="178">
                  <c:v>0.30569544392271697</c:v>
                </c:pt>
                <c:pt idx="179">
                  <c:v>0.31746513931335529</c:v>
                </c:pt>
                <c:pt idx="180">
                  <c:v>0.33546357914405922</c:v>
                </c:pt>
                <c:pt idx="181">
                  <c:v>0.31780258686421725</c:v>
                </c:pt>
                <c:pt idx="182">
                  <c:v>0.30445174660524948</c:v>
                </c:pt>
                <c:pt idx="183">
                  <c:v>0.28869085388442295</c:v>
                </c:pt>
                <c:pt idx="184">
                  <c:v>0.30505163051779272</c:v>
                </c:pt>
                <c:pt idx="185">
                  <c:v>0.29951693218696102</c:v>
                </c:pt>
                <c:pt idx="186">
                  <c:v>0.31974914680762878</c:v>
                </c:pt>
                <c:pt idx="187">
                  <c:v>0.29973029237087201</c:v>
                </c:pt>
                <c:pt idx="188">
                  <c:v>0.30787281549171458</c:v>
                </c:pt>
                <c:pt idx="189">
                  <c:v>0.29873701710314915</c:v>
                </c:pt>
                <c:pt idx="190">
                  <c:v>0.295710931150722</c:v>
                </c:pt>
                <c:pt idx="191">
                  <c:v>0.28906505739667526</c:v>
                </c:pt>
                <c:pt idx="192">
                  <c:v>0.30269046238417535</c:v>
                </c:pt>
                <c:pt idx="193">
                  <c:v>0.32132712177762995</c:v>
                </c:pt>
                <c:pt idx="194">
                  <c:v>0.32211818856675573</c:v>
                </c:pt>
                <c:pt idx="195">
                  <c:v>0.33359316570275571</c:v>
                </c:pt>
                <c:pt idx="196">
                  <c:v>0.3478003046258123</c:v>
                </c:pt>
                <c:pt idx="197">
                  <c:v>0.35719211752174174</c:v>
                </c:pt>
                <c:pt idx="198">
                  <c:v>0.33781588653611971</c:v>
                </c:pt>
                <c:pt idx="199">
                  <c:v>0.37235066359417868</c:v>
                </c:pt>
                <c:pt idx="200">
                  <c:v>0.35569091782413587</c:v>
                </c:pt>
                <c:pt idx="201">
                  <c:v>0.34766583130835754</c:v>
                </c:pt>
                <c:pt idx="202">
                  <c:v>0.37839740938446148</c:v>
                </c:pt>
                <c:pt idx="203">
                  <c:v>0.34518698483930021</c:v>
                </c:pt>
                <c:pt idx="204">
                  <c:v>0.41334369125208537</c:v>
                </c:pt>
                <c:pt idx="205">
                  <c:v>0.57099630212050634</c:v>
                </c:pt>
                <c:pt idx="206">
                  <c:v>0.48727691191097333</c:v>
                </c:pt>
                <c:pt idx="207">
                  <c:v>0.50421600581097337</c:v>
                </c:pt>
                <c:pt idx="208">
                  <c:v>0.49892621764871525</c:v>
                </c:pt>
                <c:pt idx="209">
                  <c:v>0.47338009064456582</c:v>
                </c:pt>
                <c:pt idx="210">
                  <c:v>0.465488943892714</c:v>
                </c:pt>
                <c:pt idx="211">
                  <c:v>0.47271303959407146</c:v>
                </c:pt>
                <c:pt idx="212">
                  <c:v>0.46915391973744164</c:v>
                </c:pt>
                <c:pt idx="213">
                  <c:v>0.46226351403874649</c:v>
                </c:pt>
                <c:pt idx="214">
                  <c:v>0.41809112859454056</c:v>
                </c:pt>
                <c:pt idx="215">
                  <c:v>0.42578864166120722</c:v>
                </c:pt>
                <c:pt idx="216">
                  <c:v>0.42343210269861292</c:v>
                </c:pt>
                <c:pt idx="217">
                  <c:v>0.43889125733312057</c:v>
                </c:pt>
                <c:pt idx="218">
                  <c:v>0.4224881350581568</c:v>
                </c:pt>
                <c:pt idx="219">
                  <c:v>0.41728012789238139</c:v>
                </c:pt>
                <c:pt idx="220">
                  <c:v>0.40875701688450783</c:v>
                </c:pt>
                <c:pt idx="221">
                  <c:v>0.44344340429358065</c:v>
                </c:pt>
                <c:pt idx="222">
                  <c:v>0.42117585957929499</c:v>
                </c:pt>
                <c:pt idx="223">
                  <c:v>0.43741368858213098</c:v>
                </c:pt>
                <c:pt idx="224">
                  <c:v>0.46765957374033984</c:v>
                </c:pt>
                <c:pt idx="225">
                  <c:v>0.4942661426713808</c:v>
                </c:pt>
                <c:pt idx="226">
                  <c:v>0.50369551148203162</c:v>
                </c:pt>
                <c:pt idx="227">
                  <c:v>0.50366398154794423</c:v>
                </c:pt>
                <c:pt idx="228">
                  <c:v>0.46629330392805984</c:v>
                </c:pt>
                <c:pt idx="229">
                  <c:v>0.44146229405076887</c:v>
                </c:pt>
                <c:pt idx="230">
                  <c:v>0.47048330970832097</c:v>
                </c:pt>
                <c:pt idx="231">
                  <c:v>0.54943954017038599</c:v>
                </c:pt>
                <c:pt idx="232">
                  <c:v>0.57364478441093114</c:v>
                </c:pt>
                <c:pt idx="233">
                  <c:v>0.57371885756684515</c:v>
                </c:pt>
                <c:pt idx="234">
                  <c:v>0.57236960036127671</c:v>
                </c:pt>
                <c:pt idx="235">
                  <c:v>0.58897021883396194</c:v>
                </c:pt>
                <c:pt idx="236">
                  <c:v>0.59433670290048457</c:v>
                </c:pt>
                <c:pt idx="237">
                  <c:v>0.59973005799908352</c:v>
                </c:pt>
                <c:pt idx="238">
                  <c:v>0.60309104182624873</c:v>
                </c:pt>
                <c:pt idx="239">
                  <c:v>0.60505672792035714</c:v>
                </c:pt>
                <c:pt idx="240">
                  <c:v>0.61486783617220031</c:v>
                </c:pt>
                <c:pt idx="241">
                  <c:v>0.61427264299775008</c:v>
                </c:pt>
                <c:pt idx="242">
                  <c:v>0.60942690161859692</c:v>
                </c:pt>
                <c:pt idx="243">
                  <c:v>0.60496112540798463</c:v>
                </c:pt>
                <c:pt idx="244">
                  <c:v>0.60923212598494492</c:v>
                </c:pt>
                <c:pt idx="245">
                  <c:v>0.61383392877288379</c:v>
                </c:pt>
                <c:pt idx="246">
                  <c:v>0.61213738057465239</c:v>
                </c:pt>
                <c:pt idx="247">
                  <c:v>0.60420226139180422</c:v>
                </c:pt>
                <c:pt idx="248">
                  <c:v>0.59507919940400889</c:v>
                </c:pt>
                <c:pt idx="249">
                  <c:v>0.57274820090420742</c:v>
                </c:pt>
                <c:pt idx="250">
                  <c:v>0.57845154980973479</c:v>
                </c:pt>
                <c:pt idx="251">
                  <c:v>0.59760892091416273</c:v>
                </c:pt>
                <c:pt idx="252">
                  <c:v>0.59909104167841132</c:v>
                </c:pt>
                <c:pt idx="253">
                  <c:v>0.58426939938603495</c:v>
                </c:pt>
                <c:pt idx="254">
                  <c:v>0.60480562175402908</c:v>
                </c:pt>
                <c:pt idx="255">
                  <c:v>0.59621783672191686</c:v>
                </c:pt>
                <c:pt idx="256">
                  <c:v>0.60870530718203253</c:v>
                </c:pt>
                <c:pt idx="257">
                  <c:v>0.61104219700014417</c:v>
                </c:pt>
                <c:pt idx="258">
                  <c:v>0.61704200197529824</c:v>
                </c:pt>
                <c:pt idx="259">
                  <c:v>0.60594897185851171</c:v>
                </c:pt>
                <c:pt idx="260">
                  <c:v>0.60522883149497753</c:v>
                </c:pt>
                <c:pt idx="261">
                  <c:v>0.62607286769588122</c:v>
                </c:pt>
                <c:pt idx="262">
                  <c:v>0.60468916869076417</c:v>
                </c:pt>
                <c:pt idx="263">
                  <c:v>0.61435348458407946</c:v>
                </c:pt>
                <c:pt idx="264">
                  <c:v>0.62668426097493557</c:v>
                </c:pt>
                <c:pt idx="265">
                  <c:v>0.64773640382378461</c:v>
                </c:pt>
                <c:pt idx="266">
                  <c:v>0.66979483017011432</c:v>
                </c:pt>
                <c:pt idx="267">
                  <c:v>0.70030934914609388</c:v>
                </c:pt>
                <c:pt idx="268">
                  <c:v>0.68878687218518353</c:v>
                </c:pt>
                <c:pt idx="269">
                  <c:v>0.70277831323313955</c:v>
                </c:pt>
                <c:pt idx="270">
                  <c:v>0.69670811398341992</c:v>
                </c:pt>
                <c:pt idx="271">
                  <c:v>0.69853137376126773</c:v>
                </c:pt>
                <c:pt idx="272">
                  <c:v>0.69800854350025077</c:v>
                </c:pt>
                <c:pt idx="273">
                  <c:v>0.69886889917547235</c:v>
                </c:pt>
                <c:pt idx="274">
                  <c:v>0.70313298652214196</c:v>
                </c:pt>
                <c:pt idx="275">
                  <c:v>0.70737323764788762</c:v>
                </c:pt>
                <c:pt idx="276">
                  <c:v>0.68981765119655125</c:v>
                </c:pt>
                <c:pt idx="277">
                  <c:v>0.67781729978642913</c:v>
                </c:pt>
                <c:pt idx="278">
                  <c:v>0.67246286124137178</c:v>
                </c:pt>
                <c:pt idx="279">
                  <c:v>0.70043497988573156</c:v>
                </c:pt>
                <c:pt idx="280">
                  <c:v>0.67712697515567566</c:v>
                </c:pt>
                <c:pt idx="281">
                  <c:v>0.69653099352567194</c:v>
                </c:pt>
                <c:pt idx="282">
                  <c:v>0.71476280568721839</c:v>
                </c:pt>
                <c:pt idx="283">
                  <c:v>0.71331755774120142</c:v>
                </c:pt>
                <c:pt idx="284">
                  <c:v>0.73164294032817101</c:v>
                </c:pt>
                <c:pt idx="285">
                  <c:v>0.73530799854422424</c:v>
                </c:pt>
                <c:pt idx="286">
                  <c:v>0.74550432755938045</c:v>
                </c:pt>
                <c:pt idx="287">
                  <c:v>0.7455943280797509</c:v>
                </c:pt>
                <c:pt idx="288">
                  <c:v>0.73535229262440815</c:v>
                </c:pt>
                <c:pt idx="289">
                  <c:v>0.73900250213488228</c:v>
                </c:pt>
                <c:pt idx="290">
                  <c:v>0.72769327067040934</c:v>
                </c:pt>
                <c:pt idx="291">
                  <c:v>0.74390830082269443</c:v>
                </c:pt>
                <c:pt idx="292">
                  <c:v>0.74249022523043773</c:v>
                </c:pt>
                <c:pt idx="293">
                  <c:v>0.75003286710946171</c:v>
                </c:pt>
                <c:pt idx="294">
                  <c:v>0.77875614884132205</c:v>
                </c:pt>
                <c:pt idx="295">
                  <c:v>0.58835863634465524</c:v>
                </c:pt>
                <c:pt idx="296">
                  <c:v>0.31813857266192808</c:v>
                </c:pt>
                <c:pt idx="297">
                  <c:v>0.31724524640477958</c:v>
                </c:pt>
                <c:pt idx="298">
                  <c:v>0.2930339515061407</c:v>
                </c:pt>
                <c:pt idx="299">
                  <c:v>0.27539815696129388</c:v>
                </c:pt>
                <c:pt idx="300">
                  <c:v>0.29564478150437901</c:v>
                </c:pt>
                <c:pt idx="301">
                  <c:v>0.28769219395108708</c:v>
                </c:pt>
                <c:pt idx="302">
                  <c:v>0.29765449575799618</c:v>
                </c:pt>
                <c:pt idx="303">
                  <c:v>0.29191315702232734</c:v>
                </c:pt>
                <c:pt idx="304">
                  <c:v>0.28377846632373921</c:v>
                </c:pt>
                <c:pt idx="305">
                  <c:v>0.24403458670874661</c:v>
                </c:pt>
                <c:pt idx="306">
                  <c:v>0.26573547575293621</c:v>
                </c:pt>
                <c:pt idx="307">
                  <c:v>0.24286669623716015</c:v>
                </c:pt>
                <c:pt idx="308">
                  <c:v>0.23311995167219249</c:v>
                </c:pt>
                <c:pt idx="309">
                  <c:v>0.23966773720122159</c:v>
                </c:pt>
                <c:pt idx="310">
                  <c:v>0.26947051797870131</c:v>
                </c:pt>
                <c:pt idx="311">
                  <c:v>0.22958876336143985</c:v>
                </c:pt>
                <c:pt idx="312">
                  <c:v>0.25046496119827988</c:v>
                </c:pt>
                <c:pt idx="313">
                  <c:v>0.23735129051466786</c:v>
                </c:pt>
                <c:pt idx="314">
                  <c:v>0.27462750367347905</c:v>
                </c:pt>
                <c:pt idx="315">
                  <c:v>0.28373199180272429</c:v>
                </c:pt>
                <c:pt idx="316">
                  <c:v>0.24138088435190203</c:v>
                </c:pt>
                <c:pt idx="317">
                  <c:v>0.22629038814166688</c:v>
                </c:pt>
                <c:pt idx="318">
                  <c:v>0.21326165844166689</c:v>
                </c:pt>
                <c:pt idx="319">
                  <c:v>0.20658709653067212</c:v>
                </c:pt>
                <c:pt idx="320">
                  <c:v>0.21091691132461152</c:v>
                </c:pt>
                <c:pt idx="321">
                  <c:v>0.19970546303977332</c:v>
                </c:pt>
                <c:pt idx="322">
                  <c:v>0.19717014484301659</c:v>
                </c:pt>
                <c:pt idx="323">
                  <c:v>0.19264522910879697</c:v>
                </c:pt>
                <c:pt idx="324">
                  <c:v>0.20503247669597913</c:v>
                </c:pt>
                <c:pt idx="325">
                  <c:v>0.19621328147093822</c:v>
                </c:pt>
                <c:pt idx="326">
                  <c:v>0.19062758329705429</c:v>
                </c:pt>
                <c:pt idx="327">
                  <c:v>0.17900106715037745</c:v>
                </c:pt>
                <c:pt idx="328">
                  <c:v>0.15242395322572727</c:v>
                </c:pt>
                <c:pt idx="329">
                  <c:v>0.14362667952660294</c:v>
                </c:pt>
                <c:pt idx="330">
                  <c:v>0.14402077655860296</c:v>
                </c:pt>
                <c:pt idx="331">
                  <c:v>0.13918798276684519</c:v>
                </c:pt>
                <c:pt idx="332">
                  <c:v>0.13780892322695396</c:v>
                </c:pt>
                <c:pt idx="333">
                  <c:v>0.12979397017352656</c:v>
                </c:pt>
                <c:pt idx="334">
                  <c:v>0.13496778147279664</c:v>
                </c:pt>
                <c:pt idx="335">
                  <c:v>0.12743755637220844</c:v>
                </c:pt>
                <c:pt idx="336">
                  <c:v>0.12165419681450884</c:v>
                </c:pt>
                <c:pt idx="337">
                  <c:v>0.14489249069237636</c:v>
                </c:pt>
                <c:pt idx="338">
                  <c:v>0.14416257721168804</c:v>
                </c:pt>
                <c:pt idx="339">
                  <c:v>0.15804570457273426</c:v>
                </c:pt>
                <c:pt idx="340">
                  <c:v>0.15653187536304988</c:v>
                </c:pt>
                <c:pt idx="341">
                  <c:v>0.15235073073668626</c:v>
                </c:pt>
                <c:pt idx="342">
                  <c:v>0.16905515911849084</c:v>
                </c:pt>
                <c:pt idx="343">
                  <c:v>0.15226905265994539</c:v>
                </c:pt>
                <c:pt idx="344">
                  <c:v>0.13998137914479389</c:v>
                </c:pt>
                <c:pt idx="345">
                  <c:v>0.12978791454256008</c:v>
                </c:pt>
                <c:pt idx="346">
                  <c:v>0.13788411494017172</c:v>
                </c:pt>
                <c:pt idx="347">
                  <c:v>0.12827983832185058</c:v>
                </c:pt>
                <c:pt idx="348">
                  <c:v>0.16206707954113539</c:v>
                </c:pt>
                <c:pt idx="349">
                  <c:v>0.12340332320504457</c:v>
                </c:pt>
                <c:pt idx="350">
                  <c:v>0.11039909982749756</c:v>
                </c:pt>
                <c:pt idx="351">
                  <c:v>3.3896184188529029E-2</c:v>
                </c:pt>
                <c:pt idx="352">
                  <c:v>1.4943006376746544E-2</c:v>
                </c:pt>
                <c:pt idx="353">
                  <c:v>1.5141545522876552E-2</c:v>
                </c:pt>
                <c:pt idx="354">
                  <c:v>1.0964099969556641E-2</c:v>
                </c:pt>
                <c:pt idx="355">
                  <c:v>1.2291807905348397E-2</c:v>
                </c:pt>
                <c:pt idx="356">
                  <c:v>2.7393459844258422E-2</c:v>
                </c:pt>
                <c:pt idx="357">
                  <c:v>4.9372889363230813E-3</c:v>
                </c:pt>
                <c:pt idx="358">
                  <c:v>9.1760969408868128E-3</c:v>
                </c:pt>
                <c:pt idx="359">
                  <c:v>8.5334220006938986E-3</c:v>
                </c:pt>
                <c:pt idx="360">
                  <c:v>-4.861091672437424E-3</c:v>
                </c:pt>
                <c:pt idx="361">
                  <c:v>-1.8562158487715199E-3</c:v>
                </c:pt>
                <c:pt idx="362">
                  <c:v>1.6194358248552854E-2</c:v>
                </c:pt>
                <c:pt idx="363">
                  <c:v>3.8425213348321871E-2</c:v>
                </c:pt>
                <c:pt idx="364">
                  <c:v>4.6381708323469814E-2</c:v>
                </c:pt>
                <c:pt idx="365">
                  <c:v>3.8690127064779645E-2</c:v>
                </c:pt>
                <c:pt idx="366">
                  <c:v>4.3471983379016921E-2</c:v>
                </c:pt>
                <c:pt idx="367">
                  <c:v>4.3068888719348393E-2</c:v>
                </c:pt>
                <c:pt idx="368">
                  <c:v>4.8272610702308025E-2</c:v>
                </c:pt>
                <c:pt idx="369">
                  <c:v>4.954804970593276E-2</c:v>
                </c:pt>
                <c:pt idx="370">
                  <c:v>4.462421685977893E-2</c:v>
                </c:pt>
                <c:pt idx="371">
                  <c:v>4.1447325251738727E-2</c:v>
                </c:pt>
                <c:pt idx="372">
                  <c:v>4.7965148120068871E-2</c:v>
                </c:pt>
                <c:pt idx="373">
                  <c:v>4.4823365403051638E-2</c:v>
                </c:pt>
                <c:pt idx="374">
                  <c:v>4.4187169148194483E-2</c:v>
                </c:pt>
                <c:pt idx="375">
                  <c:v>3.3859040549380263E-2</c:v>
                </c:pt>
                <c:pt idx="376">
                  <c:v>2.8727135120808829E-2</c:v>
                </c:pt>
                <c:pt idx="377">
                  <c:v>2.4282807920480428E-2</c:v>
                </c:pt>
                <c:pt idx="378">
                  <c:v>2.0241691436353449E-2</c:v>
                </c:pt>
                <c:pt idx="379">
                  <c:v>1.5882491613810071E-2</c:v>
                </c:pt>
                <c:pt idx="380">
                  <c:v>6.0638181138100719E-3</c:v>
                </c:pt>
                <c:pt idx="381">
                  <c:v>4.3398163401097622E-3</c:v>
                </c:pt>
                <c:pt idx="382">
                  <c:v>-7.1095011888603807E-4</c:v>
                </c:pt>
                <c:pt idx="383">
                  <c:v>-5.4198306339212348E-4</c:v>
                </c:pt>
                <c:pt idx="384">
                  <c:v>-7.8248917472904227E-3</c:v>
                </c:pt>
                <c:pt idx="385">
                  <c:v>-9.7698472669902614E-3</c:v>
                </c:pt>
                <c:pt idx="386">
                  <c:v>-1.8171075314298568E-2</c:v>
                </c:pt>
                <c:pt idx="387">
                  <c:v>-2.2600114495705578E-2</c:v>
                </c:pt>
                <c:pt idx="388">
                  <c:v>-2.9886598758331877E-2</c:v>
                </c:pt>
                <c:pt idx="389">
                  <c:v>-3.736412647135217E-2</c:v>
                </c:pt>
                <c:pt idx="390">
                  <c:v>-3.8698802109773223E-2</c:v>
                </c:pt>
                <c:pt idx="391">
                  <c:v>-3.752275782747657E-2</c:v>
                </c:pt>
                <c:pt idx="392">
                  <c:v>-3.5940980695133337E-2</c:v>
                </c:pt>
                <c:pt idx="393">
                  <c:v>-3.6114174952014078E-2</c:v>
                </c:pt>
                <c:pt idx="394">
                  <c:v>-3.4289691127104317E-2</c:v>
                </c:pt>
                <c:pt idx="395">
                  <c:v>-3.5724200747847344E-2</c:v>
                </c:pt>
                <c:pt idx="396">
                  <c:v>-3.4938954769158814E-2</c:v>
                </c:pt>
                <c:pt idx="397">
                  <c:v>-3.425002107154413E-2</c:v>
                </c:pt>
                <c:pt idx="398">
                  <c:v>-3.3926973649321908E-2</c:v>
                </c:pt>
                <c:pt idx="399">
                  <c:v>-3.3533351919592176E-2</c:v>
                </c:pt>
                <c:pt idx="400">
                  <c:v>-3.5076438919372406E-2</c:v>
                </c:pt>
                <c:pt idx="401">
                  <c:v>-3.3118763398580324E-2</c:v>
                </c:pt>
                <c:pt idx="402">
                  <c:v>-3.3713505541823563E-2</c:v>
                </c:pt>
                <c:pt idx="403">
                  <c:v>-3.4280994441823566E-2</c:v>
                </c:pt>
                <c:pt idx="404">
                  <c:v>-3.2330206041823566E-2</c:v>
                </c:pt>
                <c:pt idx="405">
                  <c:v>-2.8600895389043073E-2</c:v>
                </c:pt>
                <c:pt idx="406">
                  <c:v>-2.2458812733455687E-2</c:v>
                </c:pt>
                <c:pt idx="407">
                  <c:v>-2.2864405807233475E-2</c:v>
                </c:pt>
                <c:pt idx="408">
                  <c:v>-2.5019155211872666E-2</c:v>
                </c:pt>
                <c:pt idx="409">
                  <c:v>-2.5482057646488056E-2</c:v>
                </c:pt>
                <c:pt idx="410">
                  <c:v>-2.6783384462585609E-2</c:v>
                </c:pt>
                <c:pt idx="411">
                  <c:v>-2.1267289434014177E-2</c:v>
                </c:pt>
                <c:pt idx="412">
                  <c:v>-2.3525938196191847E-2</c:v>
                </c:pt>
                <c:pt idx="413">
                  <c:v>-2.3208425729899711E-2</c:v>
                </c:pt>
                <c:pt idx="414">
                  <c:v>-2.3002064909156683E-2</c:v>
                </c:pt>
                <c:pt idx="415">
                  <c:v>-2.5060971585403713E-2</c:v>
                </c:pt>
                <c:pt idx="416">
                  <c:v>-2.2584655042979469E-2</c:v>
                </c:pt>
                <c:pt idx="417">
                  <c:v>-2.351469594414678E-2</c:v>
                </c:pt>
                <c:pt idx="418">
                  <c:v>-2.356098831191537E-2</c:v>
                </c:pt>
                <c:pt idx="419">
                  <c:v>-2.5578186911915365E-2</c:v>
                </c:pt>
                <c:pt idx="420">
                  <c:v>-2.195492525255708E-2</c:v>
                </c:pt>
                <c:pt idx="421">
                  <c:v>-1.9986583267317226E-2</c:v>
                </c:pt>
                <c:pt idx="422">
                  <c:v>-2.2636790411105424E-2</c:v>
                </c:pt>
                <c:pt idx="423">
                  <c:v>-2.3750569353443489E-2</c:v>
                </c:pt>
                <c:pt idx="424">
                  <c:v>-2.6416475441615534E-2</c:v>
                </c:pt>
                <c:pt idx="425">
                  <c:v>-2.6155622256631508E-2</c:v>
                </c:pt>
                <c:pt idx="426">
                  <c:v>-2.6307451626596579E-2</c:v>
                </c:pt>
                <c:pt idx="427">
                  <c:v>-2.7246612388298706E-2</c:v>
                </c:pt>
                <c:pt idx="428">
                  <c:v>-2.3669684829784335E-2</c:v>
                </c:pt>
                <c:pt idx="429">
                  <c:v>-1.4516500207464025E-2</c:v>
                </c:pt>
                <c:pt idx="430">
                  <c:v>-8.3410281228486378E-3</c:v>
                </c:pt>
                <c:pt idx="431">
                  <c:v>-1.1632781535531574E-2</c:v>
                </c:pt>
                <c:pt idx="432">
                  <c:v>-9.035892906960134E-3</c:v>
                </c:pt>
                <c:pt idx="433">
                  <c:v>-1.28736153976837E-2</c:v>
                </c:pt>
                <c:pt idx="434">
                  <c:v>-1.1822205666413342E-2</c:v>
                </c:pt>
                <c:pt idx="435">
                  <c:v>-9.2373444563403472E-3</c:v>
                </c:pt>
                <c:pt idx="436">
                  <c:v>-9.4925264932531027E-3</c:v>
                </c:pt>
                <c:pt idx="437">
                  <c:v>-1.0872190810618371E-2</c:v>
                </c:pt>
                <c:pt idx="438">
                  <c:v>-1.1458778785973822E-2</c:v>
                </c:pt>
                <c:pt idx="439">
                  <c:v>-9.8185446276151528E-3</c:v>
                </c:pt>
                <c:pt idx="440">
                  <c:v>-9.7397905433342178E-3</c:v>
                </c:pt>
                <c:pt idx="441">
                  <c:v>-1.043442766421334E-2</c:v>
                </c:pt>
                <c:pt idx="442">
                  <c:v>-9.9844862724607596E-3</c:v>
                </c:pt>
                <c:pt idx="443">
                  <c:v>-7.5794631724607599E-3</c:v>
                </c:pt>
                <c:pt idx="444">
                  <c:v>-8.438920303333243E-3</c:v>
                </c:pt>
                <c:pt idx="445">
                  <c:v>-8.8917021306059735E-3</c:v>
                </c:pt>
                <c:pt idx="446">
                  <c:v>-9.8695592807579464E-3</c:v>
                </c:pt>
                <c:pt idx="447">
                  <c:v>-7.5914167847579463E-3</c:v>
                </c:pt>
                <c:pt idx="448">
                  <c:v>-9.2496853280149508E-3</c:v>
                </c:pt>
                <c:pt idx="449">
                  <c:v>-9.3963259255759185E-3</c:v>
                </c:pt>
                <c:pt idx="450">
                  <c:v>-1.0743634001054847E-2</c:v>
                </c:pt>
                <c:pt idx="451">
                  <c:v>-1.0821860018970156E-2</c:v>
                </c:pt>
                <c:pt idx="452">
                  <c:v>-1.0494283007465731E-2</c:v>
                </c:pt>
                <c:pt idx="453">
                  <c:v>-1.0523904314928421E-2</c:v>
                </c:pt>
                <c:pt idx="454">
                  <c:v>-9.9978976181542296E-3</c:v>
                </c:pt>
                <c:pt idx="455">
                  <c:v>-9.2346549186529819E-3</c:v>
                </c:pt>
                <c:pt idx="456">
                  <c:v>-8.6998117628154202E-3</c:v>
                </c:pt>
                <c:pt idx="457">
                  <c:v>-6.642121012815418E-3</c:v>
                </c:pt>
                <c:pt idx="458">
                  <c:v>-5.8041637887190269E-3</c:v>
                </c:pt>
                <c:pt idx="459">
                  <c:v>-5.2856625670974072E-3</c:v>
                </c:pt>
                <c:pt idx="460">
                  <c:v>-4.6676756104991673E-3</c:v>
                </c:pt>
                <c:pt idx="461">
                  <c:v>-3.3122194748402599E-3</c:v>
                </c:pt>
                <c:pt idx="462">
                  <c:v>-2.6815348820258874E-3</c:v>
                </c:pt>
                <c:pt idx="463">
                  <c:v>-3.328367579428484E-3</c:v>
                </c:pt>
                <c:pt idx="464">
                  <c:v>-3.8892059604100776E-3</c:v>
                </c:pt>
                <c:pt idx="465">
                  <c:v>-2.3757867164540341E-3</c:v>
                </c:pt>
                <c:pt idx="466">
                  <c:v>-1.8800174835773371E-3</c:v>
                </c:pt>
                <c:pt idx="467">
                  <c:v>-1.4892109895375991E-3</c:v>
                </c:pt>
                <c:pt idx="468">
                  <c:v>-1.3162322382555499E-3</c:v>
                </c:pt>
                <c:pt idx="469">
                  <c:v>-1.3497880219434898E-3</c:v>
                </c:pt>
                <c:pt idx="470">
                  <c:v>-9.0639107599754906E-4</c:v>
                </c:pt>
                <c:pt idx="471">
                  <c:v>-4.8507963599754274E-4</c:v>
                </c:pt>
                <c:pt idx="472">
                  <c:v>-3.4708540527128692E-4</c:v>
                </c:pt>
                <c:pt idx="473">
                  <c:v>-4.6044284022274238E-4</c:v>
                </c:pt>
                <c:pt idx="474">
                  <c:v>-3.8452606496500814E-4</c:v>
                </c:pt>
                <c:pt idx="475">
                  <c:v>2.0456500912102789E-3</c:v>
                </c:pt>
                <c:pt idx="476">
                  <c:v>1.1389798522789809E-3</c:v>
                </c:pt>
                <c:pt idx="477">
                  <c:v>5.9456231299959181E-5</c:v>
                </c:pt>
                <c:pt idx="478">
                  <c:v>-2.7874901870003204E-4</c:v>
                </c:pt>
                <c:pt idx="479">
                  <c:v>5.4159587653049355E-4</c:v>
                </c:pt>
                <c:pt idx="480">
                  <c:v>-2.8160722346950642E-4</c:v>
                </c:pt>
                <c:pt idx="481">
                  <c:v>-1.2386084342920181E-3</c:v>
                </c:pt>
                <c:pt idx="482">
                  <c:v>-1.2301940281695654E-3</c:v>
                </c:pt>
                <c:pt idx="483">
                  <c:v>-5.0562284666271547E-4</c:v>
                </c:pt>
                <c:pt idx="484">
                  <c:v>1.4077377125830463E-5</c:v>
                </c:pt>
                <c:pt idx="485">
                  <c:v>-1.6221512929128127E-4</c:v>
                </c:pt>
                <c:pt idx="486">
                  <c:v>-6.8277798820601157E-4</c:v>
                </c:pt>
                <c:pt idx="487">
                  <c:v>5.1910272635709352E-4</c:v>
                </c:pt>
                <c:pt idx="488">
                  <c:v>2.3579445498237493E-3</c:v>
                </c:pt>
                <c:pt idx="489">
                  <c:v>2.6025513718576543E-3</c:v>
                </c:pt>
                <c:pt idx="490">
                  <c:v>1.7878248602297506E-3</c:v>
                </c:pt>
                <c:pt idx="491">
                  <c:v>4.9439168928957567E-4</c:v>
                </c:pt>
                <c:pt idx="492">
                  <c:v>1.8712822697396455E-3</c:v>
                </c:pt>
                <c:pt idx="493">
                  <c:v>1.1059363172469807E-3</c:v>
                </c:pt>
                <c:pt idx="494">
                  <c:v>4.1522748712249438E-3</c:v>
                </c:pt>
                <c:pt idx="495">
                  <c:v>1.8419344684407278E-3</c:v>
                </c:pt>
                <c:pt idx="496">
                  <c:v>1.0822014405718727E-3</c:v>
                </c:pt>
                <c:pt idx="497">
                  <c:v>1.4301139271292458E-3</c:v>
                </c:pt>
                <c:pt idx="498">
                  <c:v>1.0793743840258E-3</c:v>
                </c:pt>
                <c:pt idx="499">
                  <c:v>-6.5162228826639299E-4</c:v>
                </c:pt>
                <c:pt idx="500">
                  <c:v>1.4734839500865516E-3</c:v>
                </c:pt>
                <c:pt idx="501">
                  <c:v>-6.1165586738918816E-4</c:v>
                </c:pt>
                <c:pt idx="502">
                  <c:v>1.6909996977390168E-3</c:v>
                </c:pt>
                <c:pt idx="503">
                  <c:v>9.2341220414471456E-4</c:v>
                </c:pt>
                <c:pt idx="504">
                  <c:v>-2.6296998253126599E-3</c:v>
                </c:pt>
                <c:pt idx="505">
                  <c:v>7.754614646471843E-4</c:v>
                </c:pt>
                <c:pt idx="506">
                  <c:v>-8.4318950833983246E-5</c:v>
                </c:pt>
                <c:pt idx="507">
                  <c:v>1.4443111962248328E-3</c:v>
                </c:pt>
                <c:pt idx="508">
                  <c:v>6.1633966260781804E-4</c:v>
                </c:pt>
                <c:pt idx="509">
                  <c:v>-2.6677208619535842E-3</c:v>
                </c:pt>
                <c:pt idx="510">
                  <c:v>-2.151715868737844E-3</c:v>
                </c:pt>
                <c:pt idx="511">
                  <c:v>-4.6170581474263631E-3</c:v>
                </c:pt>
                <c:pt idx="512">
                  <c:v>-6.2259664381189702E-4</c:v>
                </c:pt>
                <c:pt idx="513">
                  <c:v>1.602702945193948E-3</c:v>
                </c:pt>
                <c:pt idx="514">
                  <c:v>5.4980680396893621E-3</c:v>
                </c:pt>
                <c:pt idx="515">
                  <c:v>4.299517467740357E-3</c:v>
                </c:pt>
                <c:pt idx="516">
                  <c:v>6.2416501078265563E-3</c:v>
                </c:pt>
                <c:pt idx="517">
                  <c:v>6.1981508282566824E-3</c:v>
                </c:pt>
                <c:pt idx="518">
                  <c:v>3.7234011490809753E-3</c:v>
                </c:pt>
                <c:pt idx="519">
                  <c:v>6.7516514573284017E-3</c:v>
                </c:pt>
                <c:pt idx="520">
                  <c:v>2.3748453573284021E-3</c:v>
                </c:pt>
                <c:pt idx="521">
                  <c:v>5.6254752514867373E-3</c:v>
                </c:pt>
                <c:pt idx="522">
                  <c:v>2.2606949240431447E-3</c:v>
                </c:pt>
                <c:pt idx="523">
                  <c:v>5.5586070197183391E-3</c:v>
                </c:pt>
                <c:pt idx="524">
                  <c:v>-6.5975956429322512E-3</c:v>
                </c:pt>
                <c:pt idx="525">
                  <c:v>2.3111499980719235E-3</c:v>
                </c:pt>
                <c:pt idx="526">
                  <c:v>-6.4448050690693688E-3</c:v>
                </c:pt>
                <c:pt idx="527">
                  <c:v>-4.8578362370808904E-3</c:v>
                </c:pt>
                <c:pt idx="528">
                  <c:v>-9.1589003172922248E-3</c:v>
                </c:pt>
                <c:pt idx="529">
                  <c:v>-7.1030530585646495E-3</c:v>
                </c:pt>
                <c:pt idx="530">
                  <c:v>-8.024419577880049E-3</c:v>
                </c:pt>
                <c:pt idx="531">
                  <c:v>-6.4427843077201931E-3</c:v>
                </c:pt>
                <c:pt idx="532">
                  <c:v>-2.2018539837201814E-3</c:v>
                </c:pt>
                <c:pt idx="533">
                  <c:v>-1.7505164059795899E-3</c:v>
                </c:pt>
                <c:pt idx="534">
                  <c:v>-5.3243224787068652E-3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6E-4879-A500-A6C1A56C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294576"/>
        <c:axId val="499296656"/>
      </c:lineChart>
      <c:dateAx>
        <c:axId val="499294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96656"/>
        <c:crosses val="autoZero"/>
        <c:auto val="1"/>
        <c:lblOffset val="100"/>
        <c:baseTimeUnit val="days"/>
      </c:dateAx>
      <c:valAx>
        <c:axId val="49929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9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3BBC742-9E1E-47B4-8CD2-2C174EBF0FDC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27D516-1C2E-49CB-B12D-43D53F698C7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4.7426000000000004</v>
      </c>
      <c r="D2" s="4">
        <f>MIN(D3:D1912)</f>
        <v>0.38800000000000001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0.48499999999999999</v>
      </c>
      <c r="C5">
        <v>0.48959999999999998</v>
      </c>
      <c r="D5">
        <v>0.47689999999999999</v>
      </c>
      <c r="E5">
        <v>0.47689999999999999</v>
      </c>
      <c r="F5">
        <v>21371</v>
      </c>
      <c r="G5">
        <v>0.47689999999999999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-21371</v>
      </c>
      <c r="R5">
        <f t="shared" ref="R5" si="2">R6+Q5</f>
        <v>-65870982.320331812</v>
      </c>
      <c r="S5">
        <f t="shared" ref="S5" si="3">R5/100000</f>
        <v>-658.70982320331814</v>
      </c>
      <c r="T5">
        <f t="shared" ref="T5" si="4">S5/1000</f>
        <v>-0.65870982320331817</v>
      </c>
    </row>
    <row r="6" spans="1:20" x14ac:dyDescent="0.25">
      <c r="A6" s="5">
        <v>44587</v>
      </c>
      <c r="B6">
        <v>0.48980000000000001</v>
      </c>
      <c r="C6">
        <v>0.52910000000000001</v>
      </c>
      <c r="D6">
        <v>0.47660000000000002</v>
      </c>
      <c r="E6">
        <v>0.4854</v>
      </c>
      <c r="F6">
        <v>595140</v>
      </c>
      <c r="G6">
        <v>0.4854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-0.66476190476190566</v>
      </c>
      <c r="Q6">
        <f t="shared" ref="Q6" si="6">F6*P6</f>
        <v>-395626.40000000055</v>
      </c>
      <c r="R6">
        <f t="shared" ref="R6" si="7">R7+Q6</f>
        <v>-65849611.320331812</v>
      </c>
      <c r="S6">
        <f t="shared" ref="S6" si="8">R6/100000</f>
        <v>-658.49611320331815</v>
      </c>
      <c r="T6">
        <f t="shared" ref="T6" si="9">S6/1000</f>
        <v>-0.65849611320331813</v>
      </c>
    </row>
    <row r="7" spans="1:20" x14ac:dyDescent="0.25">
      <c r="A7" s="5">
        <v>44586</v>
      </c>
      <c r="B7">
        <v>0.49149999999999999</v>
      </c>
      <c r="C7">
        <v>0.50949999999999995</v>
      </c>
      <c r="D7">
        <v>0.48</v>
      </c>
      <c r="E7">
        <v>0.4909</v>
      </c>
      <c r="F7">
        <v>368914</v>
      </c>
      <c r="G7">
        <v>0.4909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-0.26101694915254026</v>
      </c>
      <c r="Q7">
        <f t="shared" ref="Q7" si="11">F7*P7</f>
        <v>-96292.806779660241</v>
      </c>
      <c r="R7">
        <f t="shared" ref="R7" si="12">R8+Q7</f>
        <v>-65453984.920331813</v>
      </c>
      <c r="S7">
        <f t="shared" ref="S7" si="13">R7/100000</f>
        <v>-654.53984920331811</v>
      </c>
      <c r="T7">
        <f t="shared" ref="T7" si="14">S7/1000</f>
        <v>-0.65453984920331809</v>
      </c>
    </row>
    <row r="8" spans="1:20" x14ac:dyDescent="0.25">
      <c r="A8" s="5">
        <v>44585</v>
      </c>
      <c r="B8">
        <v>0.4975</v>
      </c>
      <c r="C8">
        <v>0.499</v>
      </c>
      <c r="D8">
        <v>0.44619999999999999</v>
      </c>
      <c r="E8">
        <v>0.48730000000000001</v>
      </c>
      <c r="F8">
        <v>762886.2</v>
      </c>
      <c r="G8">
        <v>0.48730000000000001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0.55681818181818243</v>
      </c>
      <c r="Q8">
        <f t="shared" ref="Q8" si="16">F8*P8</f>
        <v>424788.90681818227</v>
      </c>
      <c r="R8">
        <f t="shared" ref="R8" si="17">R9+Q8</f>
        <v>-65357692.113552153</v>
      </c>
      <c r="S8">
        <f t="shared" ref="S8" si="18">R8/100000</f>
        <v>-653.5769211355215</v>
      </c>
      <c r="T8">
        <f t="shared" ref="T8" si="19">S8/1000</f>
        <v>-0.65357692113552146</v>
      </c>
    </row>
    <row r="9" spans="1:20" x14ac:dyDescent="0.25">
      <c r="A9" s="5">
        <v>44584</v>
      </c>
      <c r="B9">
        <v>0.4708</v>
      </c>
      <c r="C9">
        <v>0.50160000000000005</v>
      </c>
      <c r="D9">
        <v>0.46860000000000002</v>
      </c>
      <c r="E9">
        <v>0.49709999999999999</v>
      </c>
      <c r="F9">
        <v>638812</v>
      </c>
      <c r="G9">
        <v>0.49709999999999999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0.72727272727272396</v>
      </c>
      <c r="Q9">
        <f t="shared" ref="Q9" si="21">F9*P9</f>
        <v>464590.54545454332</v>
      </c>
      <c r="R9">
        <f t="shared" ref="R9" si="22">R10+Q9</f>
        <v>-65782481.020370334</v>
      </c>
      <c r="S9">
        <f t="shared" ref="S9" si="23">R9/100000</f>
        <v>-657.82481020370335</v>
      </c>
      <c r="T9">
        <f t="shared" ref="T9" si="24">S9/1000</f>
        <v>-0.65782481020370331</v>
      </c>
    </row>
    <row r="10" spans="1:20" x14ac:dyDescent="0.25">
      <c r="A10" s="5">
        <v>44583</v>
      </c>
      <c r="B10">
        <v>0.52759999999999996</v>
      </c>
      <c r="C10">
        <v>0.53990000000000005</v>
      </c>
      <c r="D10">
        <v>0.45540000000000003</v>
      </c>
      <c r="E10">
        <v>0.47120000000000001</v>
      </c>
      <c r="F10">
        <v>1594403.8</v>
      </c>
      <c r="G10">
        <v>0.47120000000000001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-0.62603550295858046</v>
      </c>
      <c r="Q10">
        <f t="shared" ref="Q10" si="26">F10*P10</f>
        <v>-998153.38485207199</v>
      </c>
      <c r="R10">
        <f t="shared" ref="R10" si="27">R11+Q10</f>
        <v>-66247071.565824881</v>
      </c>
      <c r="S10">
        <f t="shared" ref="S10" si="28">R10/100000</f>
        <v>-662.47071565824876</v>
      </c>
      <c r="T10">
        <f t="shared" ref="T10" si="29">S10/1000</f>
        <v>-0.66247071565824878</v>
      </c>
    </row>
    <row r="11" spans="1:20" x14ac:dyDescent="0.25">
      <c r="A11" s="5">
        <v>44582</v>
      </c>
      <c r="B11">
        <v>0.57389999999999997</v>
      </c>
      <c r="C11">
        <v>0.57820000000000005</v>
      </c>
      <c r="D11">
        <v>0.52190000000000003</v>
      </c>
      <c r="E11">
        <v>0.52759999999999996</v>
      </c>
      <c r="F11">
        <v>1491669.77</v>
      </c>
      <c r="G11">
        <v>0.52759999999999996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-0.79751332149200971</v>
      </c>
      <c r="Q11">
        <f t="shared" ref="Q11" si="31">F11*P11</f>
        <v>-1189626.5128419222</v>
      </c>
      <c r="R11">
        <f t="shared" ref="R11" si="32">R12+Q11</f>
        <v>-65248918.180972807</v>
      </c>
      <c r="S11">
        <f t="shared" ref="S11" si="33">R11/100000</f>
        <v>-652.48918180972805</v>
      </c>
      <c r="T11">
        <f t="shared" ref="T11" si="34">S11/1000</f>
        <v>-0.65248918180972804</v>
      </c>
    </row>
    <row r="12" spans="1:20" x14ac:dyDescent="0.25">
      <c r="A12" s="5">
        <v>44581</v>
      </c>
      <c r="B12">
        <v>0.59460000000000002</v>
      </c>
      <c r="C12">
        <v>0.622</v>
      </c>
      <c r="D12">
        <v>0.57010000000000005</v>
      </c>
      <c r="E12">
        <v>0.5746</v>
      </c>
      <c r="F12">
        <v>500941</v>
      </c>
      <c r="G12">
        <v>0.5746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-0.8265895953757243</v>
      </c>
      <c r="Q12">
        <f t="shared" ref="Q12" si="36">F12*P12</f>
        <v>-414072.61849711073</v>
      </c>
      <c r="R12">
        <f t="shared" ref="R12" si="37">R13+Q12</f>
        <v>-64059291.668130882</v>
      </c>
      <c r="S12">
        <f t="shared" ref="S12" si="38">R12/100000</f>
        <v>-640.59291668130879</v>
      </c>
      <c r="T12">
        <f t="shared" ref="T12" si="39">S12/1000</f>
        <v>-0.6405929166813088</v>
      </c>
    </row>
    <row r="13" spans="1:20" x14ac:dyDescent="0.25">
      <c r="A13" s="5">
        <v>44580</v>
      </c>
      <c r="B13">
        <v>0.62960000000000005</v>
      </c>
      <c r="C13">
        <v>0.63070000000000004</v>
      </c>
      <c r="D13">
        <v>0.5927</v>
      </c>
      <c r="E13">
        <v>0.59460000000000002</v>
      </c>
      <c r="F13">
        <v>361905</v>
      </c>
      <c r="G13">
        <v>0.59460000000000002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-0.89999999999999947</v>
      </c>
      <c r="Q13">
        <f t="shared" ref="Q13" si="41">F13*P13</f>
        <v>-325714.49999999983</v>
      </c>
      <c r="R13">
        <f t="shared" ref="R13" si="42">R14+Q13</f>
        <v>-63645219.049633771</v>
      </c>
      <c r="S13">
        <f t="shared" ref="S13" si="43">R13/100000</f>
        <v>-636.45219049633772</v>
      </c>
      <c r="T13">
        <f t="shared" ref="T13" si="44">S13/1000</f>
        <v>-0.63645219049633772</v>
      </c>
    </row>
    <row r="14" spans="1:20" x14ac:dyDescent="0.25">
      <c r="A14" s="5">
        <v>44579</v>
      </c>
      <c r="B14">
        <v>0.62190000000000001</v>
      </c>
      <c r="C14">
        <v>0.64059999999999995</v>
      </c>
      <c r="D14">
        <v>0.61129999999999995</v>
      </c>
      <c r="E14">
        <v>0.62929999999999997</v>
      </c>
      <c r="F14">
        <v>328166</v>
      </c>
      <c r="G14">
        <v>0.62929999999999997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0.22866894197952359</v>
      </c>
      <c r="Q14">
        <f t="shared" ref="Q14" si="46">F14*P14</f>
        <v>75041.372013652333</v>
      </c>
      <c r="R14">
        <f t="shared" ref="R14" si="47">R15+Q14</f>
        <v>-63319504.549633771</v>
      </c>
      <c r="S14">
        <f t="shared" ref="S14" si="48">R14/100000</f>
        <v>-633.19504549633768</v>
      </c>
      <c r="T14">
        <f t="shared" ref="T14" si="49">S14/1000</f>
        <v>-0.63319504549633765</v>
      </c>
    </row>
    <row r="15" spans="1:20" x14ac:dyDescent="0.25">
      <c r="A15" s="5">
        <v>44578</v>
      </c>
      <c r="B15">
        <v>0.64190000000000003</v>
      </c>
      <c r="C15">
        <v>0.6431</v>
      </c>
      <c r="D15">
        <v>0.61829999999999996</v>
      </c>
      <c r="E15">
        <v>0.62409999999999999</v>
      </c>
      <c r="F15">
        <v>343591</v>
      </c>
      <c r="G15">
        <v>0.62409999999999999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-0.53225806451612767</v>
      </c>
      <c r="Q15">
        <f t="shared" ref="Q15" si="51">F15*P15</f>
        <v>-182879.08064516084</v>
      </c>
      <c r="R15">
        <f t="shared" ref="R15" si="52">R16+Q15</f>
        <v>-63394545.921647422</v>
      </c>
      <c r="S15">
        <f t="shared" ref="S15" si="53">R15/100000</f>
        <v>-633.94545921647421</v>
      </c>
      <c r="T15">
        <f t="shared" ref="T15" si="54">S15/1000</f>
        <v>-0.63394545921647416</v>
      </c>
    </row>
    <row r="16" spans="1:20" x14ac:dyDescent="0.25">
      <c r="A16" s="5">
        <v>44577</v>
      </c>
      <c r="B16">
        <v>0.64810000000000001</v>
      </c>
      <c r="C16">
        <v>0.65</v>
      </c>
      <c r="D16">
        <v>0.63800000000000001</v>
      </c>
      <c r="E16">
        <v>0.64119999999999999</v>
      </c>
      <c r="F16">
        <v>232745</v>
      </c>
      <c r="G16">
        <v>0.64119999999999999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-0.46666666666667039</v>
      </c>
      <c r="Q16">
        <f t="shared" ref="Q16" si="56">F16*P16</f>
        <v>-108614.3333333342</v>
      </c>
      <c r="R16">
        <f t="shared" ref="R16" si="57">R17+Q16</f>
        <v>-63211666.841002263</v>
      </c>
      <c r="S16">
        <f t="shared" ref="S16" si="58">R16/100000</f>
        <v>-632.11666841002261</v>
      </c>
      <c r="T16">
        <f t="shared" ref="T16" si="59">S16/1000</f>
        <v>-0.63211666841002256</v>
      </c>
    </row>
    <row r="17" spans="1:20" x14ac:dyDescent="0.25">
      <c r="A17" s="5">
        <v>44576</v>
      </c>
      <c r="B17">
        <v>0.65259999999999996</v>
      </c>
      <c r="C17">
        <v>0.65559999999999996</v>
      </c>
      <c r="D17">
        <v>0.63839999999999997</v>
      </c>
      <c r="E17">
        <v>0.64639999999999997</v>
      </c>
      <c r="F17">
        <v>431625</v>
      </c>
      <c r="G17">
        <v>0.64639999999999997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-6.9767441860463922E-2</v>
      </c>
      <c r="Q17">
        <f t="shared" ref="Q17" si="61">F17*P17</f>
        <v>-30113.372093022739</v>
      </c>
      <c r="R17">
        <f t="shared" ref="R17" si="62">R18+Q17</f>
        <v>-63103052.507668927</v>
      </c>
      <c r="S17">
        <f t="shared" ref="S17" si="63">R17/100000</f>
        <v>-631.03052507668929</v>
      </c>
      <c r="T17">
        <f t="shared" ref="T17" si="64">S17/1000</f>
        <v>-0.63103052507668933</v>
      </c>
    </row>
    <row r="18" spans="1:20" x14ac:dyDescent="0.25">
      <c r="A18" s="5">
        <v>44575</v>
      </c>
      <c r="B18">
        <v>0.63729999999999998</v>
      </c>
      <c r="C18">
        <v>0.66500000000000004</v>
      </c>
      <c r="D18">
        <v>0.62549999999999994</v>
      </c>
      <c r="E18">
        <v>0.65259999999999996</v>
      </c>
      <c r="F18">
        <v>420455</v>
      </c>
      <c r="G18">
        <v>0.65259999999999996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0.3721518987341747</v>
      </c>
      <c r="Q18">
        <f t="shared" ref="Q18" si="66">F18*P18</f>
        <v>156473.12658227741</v>
      </c>
      <c r="R18">
        <f t="shared" ref="R18" si="67">R19+Q18</f>
        <v>-63072939.135575905</v>
      </c>
      <c r="S18">
        <f t="shared" ref="S18" si="68">R18/100000</f>
        <v>-630.72939135575905</v>
      </c>
      <c r="T18">
        <f t="shared" ref="T18" si="69">S18/1000</f>
        <v>-0.63072939135575901</v>
      </c>
    </row>
    <row r="19" spans="1:20" x14ac:dyDescent="0.25">
      <c r="A19" s="5">
        <v>44574</v>
      </c>
      <c r="B19">
        <v>0.66659999999999997</v>
      </c>
      <c r="C19">
        <v>0.66790000000000005</v>
      </c>
      <c r="D19">
        <v>0.63039999999999996</v>
      </c>
      <c r="E19">
        <v>0.63919999999999999</v>
      </c>
      <c r="F19">
        <v>487000</v>
      </c>
      <c r="G19">
        <v>0.63919999999999999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-0.53066666666666618</v>
      </c>
      <c r="Q19">
        <f t="shared" ref="Q19" si="71">F19*P19</f>
        <v>-258434.66666666642</v>
      </c>
      <c r="R19">
        <f t="shared" ref="R19" si="72">R20+Q19</f>
        <v>-63229412.262158185</v>
      </c>
      <c r="S19">
        <f t="shared" ref="S19" si="73">R19/100000</f>
        <v>-632.29412262158189</v>
      </c>
      <c r="T19">
        <f t="shared" ref="T19" si="74">S19/1000</f>
        <v>-0.63229412262158191</v>
      </c>
    </row>
    <row r="20" spans="1:20" x14ac:dyDescent="0.25">
      <c r="A20" s="5">
        <v>44573</v>
      </c>
      <c r="B20">
        <v>0.64</v>
      </c>
      <c r="C20">
        <v>0.67769999999999997</v>
      </c>
      <c r="D20">
        <v>0.63249999999999995</v>
      </c>
      <c r="E20">
        <v>0.66659999999999997</v>
      </c>
      <c r="F20">
        <v>1014172</v>
      </c>
      <c r="G20">
        <v>0.66659999999999997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0.50884955752212413</v>
      </c>
      <c r="Q20">
        <f t="shared" ref="Q20" si="76">F20*P20</f>
        <v>516060.97345132765</v>
      </c>
      <c r="R20">
        <f t="shared" ref="R20" si="77">R21+Q20</f>
        <v>-62970977.595491521</v>
      </c>
      <c r="S20">
        <f t="shared" ref="S20" si="78">R20/100000</f>
        <v>-629.70977595491524</v>
      </c>
      <c r="T20">
        <f t="shared" ref="T20" si="79">S20/1000</f>
        <v>-0.62970977595491529</v>
      </c>
    </row>
    <row r="21" spans="1:20" x14ac:dyDescent="0.25">
      <c r="A21" s="5">
        <v>44572</v>
      </c>
      <c r="B21">
        <v>0.62009999999999998</v>
      </c>
      <c r="C21">
        <v>0.64280000000000004</v>
      </c>
      <c r="D21">
        <v>0.61350000000000005</v>
      </c>
      <c r="E21">
        <v>0.64049999999999996</v>
      </c>
      <c r="F21">
        <v>443251</v>
      </c>
      <c r="G21">
        <v>0.64049999999999996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0.84300341296927783</v>
      </c>
      <c r="Q21">
        <f t="shared" ref="Q21" si="81">F21*P21</f>
        <v>373662.10580204538</v>
      </c>
      <c r="R21">
        <f t="shared" ref="R21" si="82">R22+Q21</f>
        <v>-63487038.568942852</v>
      </c>
      <c r="S21">
        <f t="shared" ref="S21" si="83">R21/100000</f>
        <v>-634.87038568942853</v>
      </c>
      <c r="T21">
        <f t="shared" ref="T21" si="84">S21/1000</f>
        <v>-0.63487038568942855</v>
      </c>
    </row>
    <row r="22" spans="1:20" x14ac:dyDescent="0.25">
      <c r="A22" s="5">
        <v>44571</v>
      </c>
      <c r="B22">
        <v>0.63139999999999996</v>
      </c>
      <c r="C22">
        <v>0.64380000000000004</v>
      </c>
      <c r="D22">
        <v>0.59179999999999999</v>
      </c>
      <c r="E22">
        <v>0.62009999999999998</v>
      </c>
      <c r="F22">
        <v>623125.47</v>
      </c>
      <c r="G22">
        <v>0.62009999999999998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8.8461538461537176E-2</v>
      </c>
      <c r="Q22">
        <f t="shared" ref="Q22" si="86">F22*P22</f>
        <v>55122.637730768431</v>
      </c>
      <c r="R22">
        <f t="shared" ref="R22" si="87">R23+Q22</f>
        <v>-63860700.674744897</v>
      </c>
      <c r="S22">
        <f t="shared" ref="S22" si="88">R22/100000</f>
        <v>-638.60700674744896</v>
      </c>
      <c r="T22">
        <f t="shared" ref="T22" si="89">S22/1000</f>
        <v>-0.63860700674744897</v>
      </c>
    </row>
    <row r="23" spans="1:20" x14ac:dyDescent="0.25">
      <c r="A23" s="5">
        <v>44570</v>
      </c>
      <c r="B23">
        <v>0.62050000000000005</v>
      </c>
      <c r="C23">
        <v>0.64329999999999998</v>
      </c>
      <c r="D23">
        <v>0.61350000000000005</v>
      </c>
      <c r="E23">
        <v>0.63270000000000004</v>
      </c>
      <c r="F23">
        <v>803117</v>
      </c>
      <c r="G23">
        <v>0.63270000000000004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0.288590604026848</v>
      </c>
      <c r="Q23">
        <f t="shared" ref="Q23" si="91">F23*P23</f>
        <v>231772.02013423009</v>
      </c>
      <c r="R23">
        <f t="shared" ref="R23" si="92">R24+Q23</f>
        <v>-63915823.312475666</v>
      </c>
      <c r="S23">
        <f t="shared" ref="S23" si="93">R23/100000</f>
        <v>-639.15823312475663</v>
      </c>
      <c r="T23">
        <f t="shared" ref="T23" si="94">S23/1000</f>
        <v>-0.63915823312475661</v>
      </c>
    </row>
    <row r="24" spans="1:20" x14ac:dyDescent="0.25">
      <c r="A24" s="5">
        <v>44569</v>
      </c>
      <c r="B24">
        <v>0.65180000000000005</v>
      </c>
      <c r="C24">
        <v>0.68200000000000005</v>
      </c>
      <c r="D24">
        <v>0.61</v>
      </c>
      <c r="E24">
        <v>0.62119999999999997</v>
      </c>
      <c r="F24">
        <v>729783</v>
      </c>
      <c r="G24">
        <v>0.62119999999999997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-0.68888888888888955</v>
      </c>
      <c r="Q24">
        <f t="shared" ref="Q24" si="96">F24*P24</f>
        <v>-502739.40000000049</v>
      </c>
      <c r="R24">
        <f t="shared" ref="R24" si="97">R25+Q24</f>
        <v>-64147595.332609899</v>
      </c>
      <c r="S24">
        <f t="shared" ref="S24" si="98">R24/100000</f>
        <v>-641.47595332609899</v>
      </c>
      <c r="T24">
        <f t="shared" ref="T24" si="99">S24/1000</f>
        <v>-0.64147595332609897</v>
      </c>
    </row>
    <row r="25" spans="1:20" x14ac:dyDescent="0.25">
      <c r="A25" s="5">
        <v>44568</v>
      </c>
      <c r="B25">
        <v>0.6825</v>
      </c>
      <c r="C25">
        <v>0.68259999999999998</v>
      </c>
      <c r="D25">
        <v>0.62749999999999995</v>
      </c>
      <c r="E25">
        <v>0.64929999999999999</v>
      </c>
      <c r="F25">
        <v>588243.06000000006</v>
      </c>
      <c r="G25">
        <v>0.64929999999999999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-0.20871143375680484</v>
      </c>
      <c r="Q25">
        <f t="shared" ref="Q25" si="101">F25*P25</f>
        <v>-122773.05245009018</v>
      </c>
      <c r="R25">
        <f t="shared" ref="R25" si="102">R26+Q25</f>
        <v>-63644855.932609901</v>
      </c>
      <c r="S25">
        <f t="shared" ref="S25" si="103">R25/100000</f>
        <v>-636.44855932609903</v>
      </c>
      <c r="T25">
        <f t="shared" ref="T25" si="104">S25/1000</f>
        <v>-0.63644855932609901</v>
      </c>
    </row>
    <row r="26" spans="1:20" x14ac:dyDescent="0.25">
      <c r="A26" s="5">
        <v>44567</v>
      </c>
      <c r="B26">
        <v>0.70250000000000001</v>
      </c>
      <c r="C26">
        <v>0.7198</v>
      </c>
      <c r="D26">
        <v>0.65739999999999998</v>
      </c>
      <c r="E26">
        <v>0.6825</v>
      </c>
      <c r="F26">
        <v>795979</v>
      </c>
      <c r="G26">
        <v>0.6825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-0.19551282051282029</v>
      </c>
      <c r="Q26">
        <f t="shared" ref="Q26" si="106">F26*P26</f>
        <v>-155624.09935897417</v>
      </c>
      <c r="R26">
        <f t="shared" ref="R26" si="107">R27+Q26</f>
        <v>-63522082.88015981</v>
      </c>
      <c r="S26">
        <f t="shared" ref="S26" si="108">R26/100000</f>
        <v>-635.22082880159815</v>
      </c>
      <c r="T26">
        <f t="shared" ref="T26" si="109">S26/1000</f>
        <v>-0.63522082880159814</v>
      </c>
    </row>
    <row r="27" spans="1:20" x14ac:dyDescent="0.25">
      <c r="A27" s="5">
        <v>44566</v>
      </c>
      <c r="B27">
        <v>0.74509999999999998</v>
      </c>
      <c r="C27">
        <v>0.77029999999999998</v>
      </c>
      <c r="D27">
        <v>0.65480000000000005</v>
      </c>
      <c r="E27">
        <v>0.70189999999999997</v>
      </c>
      <c r="F27">
        <v>1298073</v>
      </c>
      <c r="G27">
        <v>0.70189999999999997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-0.18441558441558537</v>
      </c>
      <c r="Q27">
        <f t="shared" ref="Q27" si="111">F27*P27</f>
        <v>-239384.89090909215</v>
      </c>
      <c r="R27">
        <f t="shared" ref="R27" si="112">R28+Q27</f>
        <v>-63366458.780800834</v>
      </c>
      <c r="S27">
        <f t="shared" ref="S27" si="113">R27/100000</f>
        <v>-633.66458780800838</v>
      </c>
      <c r="T27">
        <f t="shared" ref="T27" si="114">S27/1000</f>
        <v>-0.63366458780800838</v>
      </c>
    </row>
    <row r="28" spans="1:20" x14ac:dyDescent="0.25">
      <c r="A28" s="5">
        <v>44565</v>
      </c>
      <c r="B28">
        <v>0.73170000000000002</v>
      </c>
      <c r="C28">
        <v>0.77349999999999997</v>
      </c>
      <c r="D28">
        <v>0.71799999999999997</v>
      </c>
      <c r="E28">
        <v>0.74509999999999998</v>
      </c>
      <c r="F28">
        <v>1451732</v>
      </c>
      <c r="G28">
        <v>0.74509999999999998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-2.3423423423422848E-2</v>
      </c>
      <c r="Q28">
        <f t="shared" ref="Q28" si="116">F28*P28</f>
        <v>-34004.533333332496</v>
      </c>
      <c r="R28">
        <f t="shared" ref="R28" si="117">R29+Q28</f>
        <v>-63127073.889891744</v>
      </c>
      <c r="S28">
        <f t="shared" ref="S28" si="118">R28/100000</f>
        <v>-631.27073889891744</v>
      </c>
      <c r="T28">
        <f t="shared" ref="T28" si="119">S28/1000</f>
        <v>-0.63127073889891749</v>
      </c>
    </row>
    <row r="29" spans="1:20" x14ac:dyDescent="0.25">
      <c r="A29" s="5">
        <v>44564</v>
      </c>
      <c r="B29">
        <v>0.75349999999999995</v>
      </c>
      <c r="C29">
        <v>0.75900000000000001</v>
      </c>
      <c r="D29">
        <v>0.71499999999999997</v>
      </c>
      <c r="E29">
        <v>0.72929999999999995</v>
      </c>
      <c r="F29">
        <v>616149</v>
      </c>
      <c r="G29">
        <v>0.72929999999999995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-0.35000000000000153</v>
      </c>
      <c r="Q29">
        <f t="shared" ref="Q29" si="121">F29*P29</f>
        <v>-215652.15000000095</v>
      </c>
      <c r="R29">
        <f t="shared" ref="R29" si="122">R30+Q29</f>
        <v>-63093069.356558412</v>
      </c>
      <c r="S29">
        <f t="shared" ref="S29" si="123">R29/100000</f>
        <v>-630.93069356558408</v>
      </c>
      <c r="T29">
        <f t="shared" ref="T29" si="124">S29/1000</f>
        <v>-0.63093069356558407</v>
      </c>
    </row>
    <row r="30" spans="1:20" x14ac:dyDescent="0.25">
      <c r="A30" s="5">
        <v>44563</v>
      </c>
      <c r="B30">
        <v>0.73939999999999995</v>
      </c>
      <c r="C30">
        <v>0.75839999999999996</v>
      </c>
      <c r="D30">
        <v>0.73199999999999998</v>
      </c>
      <c r="E30">
        <v>0.75619999999999998</v>
      </c>
      <c r="F30">
        <v>496540</v>
      </c>
      <c r="G30">
        <v>0.75619999999999998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0.8333333333333347</v>
      </c>
      <c r="Q30">
        <f t="shared" ref="Q30" si="126">F30*P30</f>
        <v>413783.33333333401</v>
      </c>
      <c r="R30">
        <f t="shared" ref="R30" si="127">R31+Q30</f>
        <v>-62877417.206558414</v>
      </c>
      <c r="S30">
        <f t="shared" ref="S30" si="128">R30/100000</f>
        <v>-628.77417206558414</v>
      </c>
      <c r="T30">
        <f t="shared" ref="T30" si="129">S30/1000</f>
        <v>-0.62877417206558417</v>
      </c>
    </row>
    <row r="31" spans="1:20" x14ac:dyDescent="0.25">
      <c r="A31" s="5">
        <v>44562</v>
      </c>
      <c r="B31">
        <v>0.7298</v>
      </c>
      <c r="C31">
        <v>0.74890000000000001</v>
      </c>
      <c r="D31">
        <v>0.72030000000000005</v>
      </c>
      <c r="E31">
        <v>0.73929999999999996</v>
      </c>
      <c r="F31">
        <v>598602</v>
      </c>
      <c r="G31">
        <v>0.73929999999999996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0.32867132867132398</v>
      </c>
      <c r="Q31">
        <f t="shared" ref="Q31" si="131">F31*P31</f>
        <v>196743.31468531187</v>
      </c>
      <c r="R31">
        <f t="shared" ref="R31" si="132">R32+Q31</f>
        <v>-63291200.53989175</v>
      </c>
      <c r="S31">
        <f t="shared" ref="S31" si="133">R31/100000</f>
        <v>-632.91200539891747</v>
      </c>
      <c r="T31">
        <f t="shared" ref="T31" si="134">S31/1000</f>
        <v>-0.63291200539891745</v>
      </c>
    </row>
    <row r="32" spans="1:20" x14ac:dyDescent="0.25">
      <c r="A32" s="5">
        <v>44561</v>
      </c>
      <c r="B32">
        <v>0.76160000000000005</v>
      </c>
      <c r="C32">
        <v>0.76770000000000005</v>
      </c>
      <c r="D32">
        <v>0.71389999999999998</v>
      </c>
      <c r="E32">
        <v>0.7298</v>
      </c>
      <c r="F32">
        <v>1121739</v>
      </c>
      <c r="G32">
        <v>0.7298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-0.40892193308550168</v>
      </c>
      <c r="Q32">
        <f t="shared" ref="Q32" si="136">F32*P32</f>
        <v>-458703.68029739754</v>
      </c>
      <c r="R32">
        <f t="shared" ref="R32" si="137">R33+Q32</f>
        <v>-63487943.854577065</v>
      </c>
      <c r="S32">
        <f t="shared" ref="S32" si="138">R32/100000</f>
        <v>-634.87943854577065</v>
      </c>
      <c r="T32">
        <f t="shared" ref="T32" si="139">S32/1000</f>
        <v>-0.63487943854577067</v>
      </c>
    </row>
    <row r="33" spans="1:20" x14ac:dyDescent="0.25">
      <c r="A33" s="5">
        <v>44560</v>
      </c>
      <c r="B33">
        <v>0.72089999999999999</v>
      </c>
      <c r="C33">
        <v>0.88</v>
      </c>
      <c r="D33">
        <v>0.71140000000000003</v>
      </c>
      <c r="E33">
        <v>0.76160000000000005</v>
      </c>
      <c r="F33">
        <v>3608968</v>
      </c>
      <c r="G33">
        <v>0.76160000000000005</v>
      </c>
      <c r="L33" t="s">
        <v>7</v>
      </c>
      <c r="M33" t="s">
        <v>8</v>
      </c>
      <c r="N33" t="s">
        <v>8</v>
      </c>
      <c r="P33">
        <f t="shared" ref="P33" si="140">IF(C33=D33,0,((E33-D33)-(C33-E33))/(C33-D33))</f>
        <v>-0.40450771055753226</v>
      </c>
      <c r="Q33">
        <f t="shared" ref="Q33" si="141">F33*P33</f>
        <v>-1459855.3831553962</v>
      </c>
      <c r="R33">
        <f t="shared" ref="R33" si="142">R34+Q33</f>
        <v>-63029240.174279667</v>
      </c>
      <c r="S33">
        <f t="shared" ref="S33" si="143">R33/100000</f>
        <v>-630.29240174279664</v>
      </c>
      <c r="T33">
        <f t="shared" ref="T33" si="144">S33/1000</f>
        <v>-0.63029240174279666</v>
      </c>
    </row>
    <row r="34" spans="1:20" x14ac:dyDescent="0.25">
      <c r="A34" s="5">
        <v>44559</v>
      </c>
      <c r="B34">
        <v>0.74950000000000006</v>
      </c>
      <c r="C34">
        <v>0.7671</v>
      </c>
      <c r="D34">
        <v>0.71540000000000004</v>
      </c>
      <c r="E34">
        <v>0.71950000000000003</v>
      </c>
      <c r="F34">
        <v>662472</v>
      </c>
      <c r="G34">
        <v>0.71950000000000003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-0.84139264990328844</v>
      </c>
      <c r="Q34">
        <f t="shared" ref="Q34" si="146">F34*P34</f>
        <v>-557399.07156673132</v>
      </c>
      <c r="R34">
        <f t="shared" ref="R34" si="147">R35+Q34</f>
        <v>-61569384.791124269</v>
      </c>
      <c r="S34">
        <f t="shared" ref="S34" si="148">R34/100000</f>
        <v>-615.69384791124264</v>
      </c>
      <c r="T34">
        <f t="shared" ref="T34" si="149">S34/1000</f>
        <v>-0.6156938479112426</v>
      </c>
    </row>
    <row r="35" spans="1:20" x14ac:dyDescent="0.25">
      <c r="A35" s="5">
        <v>44558</v>
      </c>
      <c r="B35">
        <v>0.80300000000000005</v>
      </c>
      <c r="C35">
        <v>0.8095</v>
      </c>
      <c r="D35">
        <v>0.7429</v>
      </c>
      <c r="E35">
        <v>0.74980000000000002</v>
      </c>
      <c r="F35">
        <v>1162221</v>
      </c>
      <c r="G35">
        <v>0.74980000000000002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-0.79279279279279224</v>
      </c>
      <c r="Q35">
        <f t="shared" ref="Q35" si="151">F35*P35</f>
        <v>-921400.43243243184</v>
      </c>
      <c r="R35">
        <f t="shared" ref="R35" si="152">R36+Q35</f>
        <v>-61011985.719557539</v>
      </c>
      <c r="S35">
        <f t="shared" ref="S35" si="153">R35/100000</f>
        <v>-610.11985719557538</v>
      </c>
      <c r="T35">
        <f t="shared" ref="T35" si="154">S35/1000</f>
        <v>-0.61011985719557538</v>
      </c>
    </row>
    <row r="36" spans="1:20" x14ac:dyDescent="0.25">
      <c r="A36" s="5">
        <v>44557</v>
      </c>
      <c r="B36">
        <v>0.79630000000000001</v>
      </c>
      <c r="C36">
        <v>0.98</v>
      </c>
      <c r="D36">
        <v>0.79600000000000004</v>
      </c>
      <c r="E36">
        <v>0.80289999999999995</v>
      </c>
      <c r="F36">
        <v>5031248</v>
      </c>
      <c r="G36">
        <v>0.80289999999999995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-0.92500000000000104</v>
      </c>
      <c r="Q36">
        <f t="shared" ref="Q36" si="156">F36*P36</f>
        <v>-4653904.400000005</v>
      </c>
      <c r="R36">
        <f t="shared" ref="R36" si="157">R37+Q36</f>
        <v>-60090585.287125103</v>
      </c>
      <c r="S36">
        <f t="shared" ref="S36" si="158">R36/100000</f>
        <v>-600.905852871251</v>
      </c>
      <c r="T36">
        <f t="shared" ref="T36" si="159">S36/1000</f>
        <v>-0.60090585287125098</v>
      </c>
    </row>
    <row r="37" spans="1:20" x14ac:dyDescent="0.25">
      <c r="A37" s="5">
        <v>44556</v>
      </c>
      <c r="B37">
        <v>0.80030000000000001</v>
      </c>
      <c r="C37">
        <v>0.80889999999999995</v>
      </c>
      <c r="D37">
        <v>0.76290000000000002</v>
      </c>
      <c r="E37">
        <v>0.79630000000000001</v>
      </c>
      <c r="F37">
        <v>1223008</v>
      </c>
      <c r="G37">
        <v>0.79630000000000001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0.45217391304347981</v>
      </c>
      <c r="Q37">
        <f t="shared" ref="Q37" si="161">F37*P37</f>
        <v>553012.31304348016</v>
      </c>
      <c r="R37">
        <f t="shared" ref="R37" si="162">R38+Q37</f>
        <v>-55436680.887125097</v>
      </c>
      <c r="S37">
        <f t="shared" ref="S37" si="163">R37/100000</f>
        <v>-554.36680887125101</v>
      </c>
      <c r="T37">
        <f t="shared" ref="T37" si="164">S37/1000</f>
        <v>-0.554366808871251</v>
      </c>
    </row>
    <row r="38" spans="1:20" x14ac:dyDescent="0.25">
      <c r="A38" s="5">
        <v>44555</v>
      </c>
      <c r="B38">
        <v>0.78759999999999997</v>
      </c>
      <c r="C38">
        <v>0.90820000000000001</v>
      </c>
      <c r="D38">
        <v>0.78510000000000002</v>
      </c>
      <c r="E38">
        <v>0.80030000000000001</v>
      </c>
      <c r="F38">
        <v>6069581</v>
      </c>
      <c r="G38">
        <v>0.80030000000000001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-0.75304630381803428</v>
      </c>
      <c r="Q38">
        <f t="shared" ref="Q38" si="166">F38*P38</f>
        <v>-4570675.537774168</v>
      </c>
      <c r="R38">
        <f t="shared" ref="R38" si="167">R39+Q38</f>
        <v>-55989693.20016858</v>
      </c>
      <c r="S38">
        <f t="shared" ref="S38" si="168">R38/100000</f>
        <v>-559.89693200168585</v>
      </c>
      <c r="T38">
        <f t="shared" ref="T38" si="169">S38/1000</f>
        <v>-0.55989693200168589</v>
      </c>
    </row>
    <row r="39" spans="1:20" x14ac:dyDescent="0.25">
      <c r="A39" s="5">
        <v>44554</v>
      </c>
      <c r="B39">
        <v>0.77190000000000003</v>
      </c>
      <c r="C39">
        <v>0.81759999999999999</v>
      </c>
      <c r="D39">
        <v>0.75390000000000001</v>
      </c>
      <c r="E39">
        <v>0.78580000000000005</v>
      </c>
      <c r="F39">
        <v>1540416</v>
      </c>
      <c r="G39">
        <v>0.78580000000000005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1.569858712717426E-3</v>
      </c>
      <c r="Q39">
        <f t="shared" ref="Q39" si="171">F39*P39</f>
        <v>2418.2354788093267</v>
      </c>
      <c r="R39">
        <f t="shared" ref="R39" si="172">R40+Q39</f>
        <v>-51419017.662394412</v>
      </c>
      <c r="S39">
        <f t="shared" ref="S39" si="173">R39/100000</f>
        <v>-514.19017662394413</v>
      </c>
      <c r="T39">
        <f t="shared" ref="T39" si="174">S39/1000</f>
        <v>-0.51419017662394417</v>
      </c>
    </row>
    <row r="40" spans="1:20" x14ac:dyDescent="0.25">
      <c r="A40" s="5">
        <v>44553</v>
      </c>
      <c r="B40">
        <v>0.72609999999999997</v>
      </c>
      <c r="C40">
        <v>0.79500000000000004</v>
      </c>
      <c r="D40">
        <v>0.70430000000000004</v>
      </c>
      <c r="E40">
        <v>0.77190000000000003</v>
      </c>
      <c r="F40">
        <v>3702382</v>
      </c>
      <c r="G40">
        <v>0.77190000000000003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0.49062844542447609</v>
      </c>
      <c r="Q40">
        <f t="shared" ref="Q40" si="176">F40*P40</f>
        <v>1816493.9250275625</v>
      </c>
      <c r="R40">
        <f t="shared" ref="R40" si="177">R41+Q40</f>
        <v>-51421435.897873223</v>
      </c>
      <c r="S40">
        <f t="shared" ref="S40" si="178">R40/100000</f>
        <v>-514.21435897873221</v>
      </c>
      <c r="T40">
        <f t="shared" ref="T40" si="179">S40/1000</f>
        <v>-0.51421435897873224</v>
      </c>
    </row>
    <row r="41" spans="1:20" x14ac:dyDescent="0.25">
      <c r="A41" s="5">
        <v>44552</v>
      </c>
      <c r="B41">
        <v>0.70050000000000001</v>
      </c>
      <c r="C41">
        <v>0.73329999999999995</v>
      </c>
      <c r="D41">
        <v>0.69930000000000003</v>
      </c>
      <c r="E41">
        <v>0.72619999999999996</v>
      </c>
      <c r="F41">
        <v>842535</v>
      </c>
      <c r="G41">
        <v>0.72619999999999996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0.58235294117646985</v>
      </c>
      <c r="Q41">
        <f t="shared" ref="Q41" si="181">F41*P41</f>
        <v>490652.73529411701</v>
      </c>
      <c r="R41">
        <f t="shared" ref="R41" si="182">R42+Q41</f>
        <v>-53237929.822900787</v>
      </c>
      <c r="S41">
        <f t="shared" ref="S41" si="183">R41/100000</f>
        <v>-532.37929822900787</v>
      </c>
      <c r="T41">
        <f t="shared" ref="T41" si="184">S41/1000</f>
        <v>-0.53237929822900787</v>
      </c>
    </row>
    <row r="42" spans="1:20" x14ac:dyDescent="0.25">
      <c r="A42" s="5">
        <v>44551</v>
      </c>
      <c r="B42">
        <v>0.68759999999999999</v>
      </c>
      <c r="C42">
        <v>0.7077</v>
      </c>
      <c r="D42">
        <v>0.67869999999999997</v>
      </c>
      <c r="E42">
        <v>0.70079999999999998</v>
      </c>
      <c r="F42">
        <v>543727</v>
      </c>
      <c r="G42">
        <v>0.70079999999999998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0.52413793103448203</v>
      </c>
      <c r="Q42">
        <f t="shared" ref="Q42" si="186">F42*P42</f>
        <v>284987.94482758583</v>
      </c>
      <c r="R42">
        <f t="shared" ref="R42" si="187">R43+Q42</f>
        <v>-53728582.558194906</v>
      </c>
      <c r="S42">
        <f t="shared" ref="S42" si="188">R42/100000</f>
        <v>-537.2858255819491</v>
      </c>
      <c r="T42">
        <f t="shared" ref="T42" si="189">S42/1000</f>
        <v>-0.53728582558194915</v>
      </c>
    </row>
    <row r="43" spans="1:20" x14ac:dyDescent="0.25">
      <c r="A43" s="5">
        <v>44550</v>
      </c>
      <c r="B43">
        <v>0.71</v>
      </c>
      <c r="C43">
        <v>0.71650000000000003</v>
      </c>
      <c r="D43">
        <v>0.65590000000000004</v>
      </c>
      <c r="E43">
        <v>0.68569999999999998</v>
      </c>
      <c r="F43">
        <v>762691</v>
      </c>
      <c r="G43">
        <v>0.68569999999999998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-1.6501650165018353E-2</v>
      </c>
      <c r="Q43">
        <f t="shared" ref="Q43" si="191">F43*P43</f>
        <v>-12585.660066008013</v>
      </c>
      <c r="R43">
        <f t="shared" ref="R43" si="192">R44+Q43</f>
        <v>-54013570.503022492</v>
      </c>
      <c r="S43">
        <f t="shared" ref="S43" si="193">R43/100000</f>
        <v>-540.13570503022493</v>
      </c>
      <c r="T43">
        <f t="shared" ref="T43" si="194">S43/1000</f>
        <v>-0.5401357050302249</v>
      </c>
    </row>
    <row r="44" spans="1:20" x14ac:dyDescent="0.25">
      <c r="A44" s="5">
        <v>44549</v>
      </c>
      <c r="B44">
        <v>0.7258</v>
      </c>
      <c r="C44">
        <v>0.73819999999999997</v>
      </c>
      <c r="D44">
        <v>0.69550000000000001</v>
      </c>
      <c r="E44">
        <v>0.71150000000000002</v>
      </c>
      <c r="F44">
        <v>598546</v>
      </c>
      <c r="G44">
        <v>0.71150000000000002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-0.25058548009367543</v>
      </c>
      <c r="Q44">
        <f t="shared" ref="Q44" si="196">F44*P44</f>
        <v>-149986.93676814905</v>
      </c>
      <c r="R44">
        <f t="shared" ref="R44" si="197">R45+Q44</f>
        <v>-54000984.842956483</v>
      </c>
      <c r="S44">
        <f t="shared" ref="S44" si="198">R44/100000</f>
        <v>-540.00984842956484</v>
      </c>
      <c r="T44">
        <f t="shared" ref="T44" si="199">S44/1000</f>
        <v>-0.54000984842956479</v>
      </c>
    </row>
    <row r="45" spans="1:20" x14ac:dyDescent="0.25">
      <c r="A45" s="5">
        <v>44548</v>
      </c>
      <c r="B45">
        <v>0.69969999999999999</v>
      </c>
      <c r="C45">
        <v>0.76700000000000002</v>
      </c>
      <c r="D45">
        <v>0.68959999999999999</v>
      </c>
      <c r="E45">
        <v>0.7258</v>
      </c>
      <c r="F45">
        <v>1572882</v>
      </c>
      <c r="G45">
        <v>0.7258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-6.4599483204134403E-2</v>
      </c>
      <c r="Q45">
        <f t="shared" ref="Q45" si="201">F45*P45</f>
        <v>-101607.36434108533</v>
      </c>
      <c r="R45">
        <f t="shared" ref="R45" si="202">R46+Q45</f>
        <v>-53850997.906188332</v>
      </c>
      <c r="S45">
        <f t="shared" ref="S45" si="203">R45/100000</f>
        <v>-538.50997906188331</v>
      </c>
      <c r="T45">
        <f t="shared" ref="T45" si="204">S45/1000</f>
        <v>-0.53850997906188336</v>
      </c>
    </row>
    <row r="46" spans="1:20" x14ac:dyDescent="0.25">
      <c r="A46" s="5">
        <v>44547</v>
      </c>
      <c r="B46">
        <v>0.70899999999999996</v>
      </c>
      <c r="C46">
        <v>0.77</v>
      </c>
      <c r="D46">
        <v>0.6865</v>
      </c>
      <c r="E46">
        <v>0.7</v>
      </c>
      <c r="F46">
        <v>1978116</v>
      </c>
      <c r="G46">
        <v>0.7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-0.67664670658682746</v>
      </c>
      <c r="Q46">
        <f t="shared" ref="Q46" si="206">F46*P46</f>
        <v>-1338485.6766467087</v>
      </c>
      <c r="R46">
        <f t="shared" ref="R46" si="207">R47+Q46</f>
        <v>-53749390.541847244</v>
      </c>
      <c r="S46">
        <f t="shared" ref="S46" si="208">R46/100000</f>
        <v>-537.49390541847242</v>
      </c>
      <c r="T46">
        <f t="shared" ref="T46" si="209">S46/1000</f>
        <v>-0.53749390541847242</v>
      </c>
    </row>
    <row r="47" spans="1:20" x14ac:dyDescent="0.25">
      <c r="A47" s="5">
        <v>44546</v>
      </c>
      <c r="B47">
        <v>0.72099999999999997</v>
      </c>
      <c r="C47">
        <v>0.75560000000000005</v>
      </c>
      <c r="D47">
        <v>0.70140000000000002</v>
      </c>
      <c r="E47">
        <v>0.71120000000000005</v>
      </c>
      <c r="F47">
        <v>1242089</v>
      </c>
      <c r="G47">
        <v>0.71120000000000005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-0.63837638376383665</v>
      </c>
      <c r="Q47">
        <f t="shared" ref="Q47" si="211">F47*P47</f>
        <v>-792920.28413284011</v>
      </c>
      <c r="R47">
        <f t="shared" ref="R47" si="212">R48+Q47</f>
        <v>-52410904.865200534</v>
      </c>
      <c r="S47">
        <f t="shared" ref="S47" si="213">R47/100000</f>
        <v>-524.1090486520053</v>
      </c>
      <c r="T47">
        <f t="shared" ref="T47" si="214">S47/1000</f>
        <v>-0.52410904865200525</v>
      </c>
    </row>
    <row r="48" spans="1:20" x14ac:dyDescent="0.25">
      <c r="A48" s="5">
        <v>44545</v>
      </c>
      <c r="B48">
        <v>0.68730000000000002</v>
      </c>
      <c r="C48">
        <v>0.74839999999999995</v>
      </c>
      <c r="D48">
        <v>0.66420000000000001</v>
      </c>
      <c r="E48">
        <v>0.72250000000000003</v>
      </c>
      <c r="F48">
        <v>1402110</v>
      </c>
      <c r="G48">
        <v>0.72250000000000003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0.3847980997624717</v>
      </c>
      <c r="Q48">
        <f t="shared" ref="Q48" si="216">F48*P48</f>
        <v>539529.26365795918</v>
      </c>
      <c r="R48">
        <f t="shared" ref="R48" si="217">R49+Q48</f>
        <v>-51617984.581067696</v>
      </c>
      <c r="S48">
        <f t="shared" ref="S48" si="218">R48/100000</f>
        <v>-516.17984581067697</v>
      </c>
      <c r="T48">
        <f t="shared" ref="T48" si="219">S48/1000</f>
        <v>-0.516179845810677</v>
      </c>
    </row>
    <row r="49" spans="1:20" x14ac:dyDescent="0.25">
      <c r="A49" s="5">
        <v>44544</v>
      </c>
      <c r="B49">
        <v>0.69279999999999997</v>
      </c>
      <c r="C49">
        <v>0.76239999999999997</v>
      </c>
      <c r="D49">
        <v>0.6583</v>
      </c>
      <c r="E49">
        <v>0.68730000000000002</v>
      </c>
      <c r="F49">
        <v>2359593</v>
      </c>
      <c r="G49">
        <v>0.68730000000000002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-0.44284341978866409</v>
      </c>
      <c r="Q49">
        <f t="shared" ref="Q49" si="221">F49*P49</f>
        <v>-1044930.2334293933</v>
      </c>
      <c r="R49">
        <f t="shared" ref="R49" si="222">R50+Q49</f>
        <v>-52157513.844725654</v>
      </c>
      <c r="S49">
        <f t="shared" ref="S49" si="223">R49/100000</f>
        <v>-521.57513844725656</v>
      </c>
      <c r="T49">
        <f t="shared" ref="T49" si="224">S49/1000</f>
        <v>-0.52157513844725656</v>
      </c>
    </row>
    <row r="50" spans="1:20" x14ac:dyDescent="0.25">
      <c r="A50" s="5">
        <v>44543</v>
      </c>
      <c r="B50">
        <v>0.77</v>
      </c>
      <c r="C50">
        <v>0.77190000000000003</v>
      </c>
      <c r="D50">
        <v>0.66</v>
      </c>
      <c r="E50">
        <v>0.69340000000000002</v>
      </c>
      <c r="F50">
        <v>1772351</v>
      </c>
      <c r="G50">
        <v>0.69340000000000002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-0.40303842716711374</v>
      </c>
      <c r="Q50">
        <f t="shared" ref="Q50" si="226">F50*P50</f>
        <v>-714325.55942806124</v>
      </c>
      <c r="R50">
        <f t="shared" ref="R50" si="227">R51+Q50</f>
        <v>-51112583.611296259</v>
      </c>
      <c r="S50">
        <f t="shared" ref="S50" si="228">R50/100000</f>
        <v>-511.12583611296259</v>
      </c>
      <c r="T50">
        <f t="shared" ref="T50" si="229">S50/1000</f>
        <v>-0.51112583611296258</v>
      </c>
    </row>
    <row r="51" spans="1:20" x14ac:dyDescent="0.25">
      <c r="A51" s="5">
        <v>44542</v>
      </c>
      <c r="B51">
        <v>0.77869999999999995</v>
      </c>
      <c r="C51">
        <v>0.81499999999999995</v>
      </c>
      <c r="D51">
        <v>0.75949999999999995</v>
      </c>
      <c r="E51">
        <v>0.77</v>
      </c>
      <c r="F51">
        <v>4890818</v>
      </c>
      <c r="G51">
        <v>0.77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-0.62162162162161927</v>
      </c>
      <c r="Q51">
        <f t="shared" ref="Q51" si="231">F51*P51</f>
        <v>-3040238.2162162047</v>
      </c>
      <c r="R51">
        <f t="shared" ref="R51" si="232">R52+Q51</f>
        <v>-50398258.0518682</v>
      </c>
      <c r="S51">
        <f t="shared" ref="S51" si="233">R51/100000</f>
        <v>-503.98258051868203</v>
      </c>
      <c r="T51">
        <f t="shared" ref="T51" si="234">S51/1000</f>
        <v>-0.50398258051868206</v>
      </c>
    </row>
    <row r="52" spans="1:20" x14ac:dyDescent="0.25">
      <c r="A52" s="5">
        <v>44541</v>
      </c>
      <c r="B52">
        <v>0.75739999999999996</v>
      </c>
      <c r="C52">
        <v>0.7671</v>
      </c>
      <c r="D52">
        <v>0.74229999999999996</v>
      </c>
      <c r="E52">
        <v>0.76270000000000004</v>
      </c>
      <c r="F52">
        <v>97879</v>
      </c>
      <c r="G52">
        <v>0.76270000000000004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0.64516129032258451</v>
      </c>
      <c r="Q52">
        <f t="shared" ref="Q52" si="236">F52*P52</f>
        <v>63147.74193548425</v>
      </c>
      <c r="R52">
        <f t="shared" ref="R52" si="237">R53+Q52</f>
        <v>-47358019.835651994</v>
      </c>
      <c r="S52">
        <f t="shared" ref="S52" si="238">R52/100000</f>
        <v>-473.58019835651993</v>
      </c>
      <c r="T52">
        <f t="shared" ref="T52" si="239">S52/1000</f>
        <v>-0.47358019835651993</v>
      </c>
    </row>
    <row r="53" spans="1:20" x14ac:dyDescent="0.25">
      <c r="A53" s="5">
        <v>44540</v>
      </c>
      <c r="B53">
        <v>0.79320000000000002</v>
      </c>
      <c r="C53">
        <v>0.875</v>
      </c>
      <c r="D53">
        <v>0.75070000000000003</v>
      </c>
      <c r="E53">
        <v>0.75729999999999997</v>
      </c>
      <c r="F53">
        <v>3225090</v>
      </c>
      <c r="G53">
        <v>0.75729999999999997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-0.89380530973451422</v>
      </c>
      <c r="Q53">
        <f t="shared" ref="Q53" si="241">F53*P53</f>
        <v>-2882602.5663716844</v>
      </c>
      <c r="R53">
        <f t="shared" ref="R53" si="242">R54+Q53</f>
        <v>-47421167.577587478</v>
      </c>
      <c r="S53">
        <f t="shared" ref="S53" si="243">R53/100000</f>
        <v>-474.21167577587477</v>
      </c>
      <c r="T53">
        <f t="shared" ref="T53" si="244">S53/1000</f>
        <v>-0.47421167577587475</v>
      </c>
    </row>
    <row r="54" spans="1:20" x14ac:dyDescent="0.25">
      <c r="A54" s="5">
        <v>44539</v>
      </c>
      <c r="B54">
        <v>0.89849999999999997</v>
      </c>
      <c r="C54">
        <v>0.90880000000000005</v>
      </c>
      <c r="D54">
        <v>0.79320000000000002</v>
      </c>
      <c r="E54">
        <v>0.79459999999999997</v>
      </c>
      <c r="F54">
        <v>2342983</v>
      </c>
      <c r="G54">
        <v>0.79459999999999997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-0.97577854671280351</v>
      </c>
      <c r="Q54">
        <f t="shared" ref="Q54" si="246">F54*P54</f>
        <v>-2286232.5467128046</v>
      </c>
      <c r="R54">
        <f t="shared" ref="R54" si="247">R55+Q54</f>
        <v>-44538565.011215791</v>
      </c>
      <c r="S54">
        <f t="shared" ref="S54" si="248">R54/100000</f>
        <v>-445.38565011215792</v>
      </c>
      <c r="T54">
        <f t="shared" ref="T54" si="249">S54/1000</f>
        <v>-0.44538565011215792</v>
      </c>
    </row>
    <row r="55" spans="1:20" x14ac:dyDescent="0.25">
      <c r="A55" s="5">
        <v>44538</v>
      </c>
      <c r="B55">
        <v>0.86780000000000002</v>
      </c>
      <c r="C55">
        <v>0.95979999999999999</v>
      </c>
      <c r="D55">
        <v>0.85680000000000001</v>
      </c>
      <c r="E55">
        <v>0.8972</v>
      </c>
      <c r="F55">
        <v>5211650</v>
      </c>
      <c r="G55">
        <v>0.8972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-0.21553398058252429</v>
      </c>
      <c r="Q55">
        <f t="shared" ref="Q55" si="251">F55*P55</f>
        <v>-1123287.6699029128</v>
      </c>
      <c r="R55">
        <f t="shared" ref="R55" si="252">R56+Q55</f>
        <v>-42252332.464502983</v>
      </c>
      <c r="S55">
        <f t="shared" ref="S55" si="253">R55/100000</f>
        <v>-422.52332464502985</v>
      </c>
      <c r="T55">
        <f t="shared" ref="T55" si="254">S55/1000</f>
        <v>-0.42252332464502984</v>
      </c>
    </row>
    <row r="56" spans="1:20" x14ac:dyDescent="0.25">
      <c r="A56" s="5">
        <v>44537</v>
      </c>
      <c r="B56">
        <v>0.88900000000000001</v>
      </c>
      <c r="C56">
        <v>0.98350000000000004</v>
      </c>
      <c r="D56">
        <v>0.85850000000000004</v>
      </c>
      <c r="E56">
        <v>0.86780000000000002</v>
      </c>
      <c r="F56">
        <v>5141637</v>
      </c>
      <c r="G56">
        <v>0.86780000000000002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-0.8512000000000004</v>
      </c>
      <c r="Q56">
        <f t="shared" ref="Q56" si="256">F56*P56</f>
        <v>-4376561.414400002</v>
      </c>
      <c r="R56">
        <f t="shared" ref="R56" si="257">R57+Q56</f>
        <v>-41129044.79460007</v>
      </c>
      <c r="S56">
        <f t="shared" ref="S56" si="258">R56/100000</f>
        <v>-411.29044794600071</v>
      </c>
      <c r="T56">
        <f t="shared" ref="T56" si="259">S56/1000</f>
        <v>-0.41129044794600073</v>
      </c>
    </row>
    <row r="57" spans="1:20" x14ac:dyDescent="0.25">
      <c r="A57" s="5">
        <v>44536</v>
      </c>
      <c r="B57">
        <v>0.82540000000000002</v>
      </c>
      <c r="C57">
        <v>0.99299999999999999</v>
      </c>
      <c r="D57">
        <v>0.7772</v>
      </c>
      <c r="E57">
        <v>0.88890000000000002</v>
      </c>
      <c r="F57">
        <v>8305566.5800000001</v>
      </c>
      <c r="G57">
        <v>0.88890000000000002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3.5217794253939068E-2</v>
      </c>
      <c r="Q57">
        <f t="shared" ref="Q57" si="261">F57*P57</f>
        <v>292503.73497683235</v>
      </c>
      <c r="R57">
        <f t="shared" ref="R57" si="262">R58+Q57</f>
        <v>-36752483.380200066</v>
      </c>
      <c r="S57">
        <f t="shared" ref="S57" si="263">R57/100000</f>
        <v>-367.52483380200067</v>
      </c>
      <c r="T57">
        <f t="shared" ref="T57" si="264">S57/1000</f>
        <v>-0.36752483380200068</v>
      </c>
    </row>
    <row r="58" spans="1:20" x14ac:dyDescent="0.25">
      <c r="A58" s="5">
        <v>44535</v>
      </c>
      <c r="B58">
        <v>0.90310000000000001</v>
      </c>
      <c r="C58">
        <v>0.93320000000000003</v>
      </c>
      <c r="D58">
        <v>0.80649999999999999</v>
      </c>
      <c r="E58">
        <v>0.82530000000000003</v>
      </c>
      <c r="F58">
        <v>3567086</v>
      </c>
      <c r="G58">
        <v>0.82530000000000003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-0.7032359905288077</v>
      </c>
      <c r="Q58">
        <f t="shared" ref="Q58" si="266">F58*P58</f>
        <v>-2508503.2565114424</v>
      </c>
      <c r="R58">
        <f t="shared" ref="R58" si="267">R59+Q58</f>
        <v>-37044987.115176901</v>
      </c>
      <c r="S58">
        <f t="shared" ref="S58" si="268">R58/100000</f>
        <v>-370.449871151769</v>
      </c>
      <c r="T58">
        <f t="shared" ref="T58" si="269">S58/1000</f>
        <v>-0.37044987115176903</v>
      </c>
    </row>
    <row r="59" spans="1:20" x14ac:dyDescent="0.25">
      <c r="A59" s="5">
        <v>44534</v>
      </c>
      <c r="B59">
        <v>1.0822000000000001</v>
      </c>
      <c r="C59">
        <v>1.0851999999999999</v>
      </c>
      <c r="D59">
        <v>0.8327</v>
      </c>
      <c r="E59">
        <v>0.90449999999999997</v>
      </c>
      <c r="F59">
        <v>7033899</v>
      </c>
      <c r="G59">
        <v>0.90449999999999997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-0.43128712871287139</v>
      </c>
      <c r="Q59">
        <f t="shared" ref="Q59" si="271">F59*P59</f>
        <v>-3033630.1033663373</v>
      </c>
      <c r="R59">
        <f t="shared" ref="R59" si="272">R60+Q59</f>
        <v>-34536483.858665459</v>
      </c>
      <c r="S59">
        <f t="shared" ref="S59" si="273">R59/100000</f>
        <v>-345.36483858665457</v>
      </c>
      <c r="T59">
        <f t="shared" ref="T59" si="274">S59/1000</f>
        <v>-0.34536483858665457</v>
      </c>
    </row>
    <row r="60" spans="1:20" x14ac:dyDescent="0.25">
      <c r="A60" s="5">
        <v>44533</v>
      </c>
      <c r="B60">
        <v>1.1399999999999999</v>
      </c>
      <c r="C60">
        <v>1.2623</v>
      </c>
      <c r="D60">
        <v>1.0046999999999999</v>
      </c>
      <c r="E60">
        <v>1.0831999999999999</v>
      </c>
      <c r="F60">
        <v>25181289</v>
      </c>
      <c r="G60">
        <v>1.0831999999999999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-0.39052795031055904</v>
      </c>
      <c r="Q60">
        <f t="shared" ref="Q60" si="276">F60*P60</f>
        <v>-9833997.1793478262</v>
      </c>
      <c r="R60">
        <f t="shared" ref="R60" si="277">R61+Q60</f>
        <v>-31502853.755299121</v>
      </c>
      <c r="S60">
        <f t="shared" ref="S60" si="278">R60/100000</f>
        <v>-315.02853755299122</v>
      </c>
      <c r="T60">
        <f t="shared" ref="T60" si="279">S60/1000</f>
        <v>-0.31502853755299121</v>
      </c>
    </row>
    <row r="61" spans="1:20" x14ac:dyDescent="0.25">
      <c r="A61" s="5">
        <v>44532</v>
      </c>
      <c r="B61">
        <v>0.98499999999999999</v>
      </c>
      <c r="C61">
        <v>1.6729000000000001</v>
      </c>
      <c r="D61">
        <v>0.9415</v>
      </c>
      <c r="E61">
        <v>1.1399999999999999</v>
      </c>
      <c r="F61">
        <v>49723548.969999999</v>
      </c>
      <c r="G61">
        <v>1.1399999999999999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-0.45720535958435909</v>
      </c>
      <c r="Q61">
        <f t="shared" ref="Q61" si="281">F61*P61</f>
        <v>-22733873.086639337</v>
      </c>
      <c r="R61">
        <f t="shared" ref="R61" si="282">R62+Q61</f>
        <v>-21668856.575951297</v>
      </c>
      <c r="S61">
        <f t="shared" ref="S61" si="283">R61/100000</f>
        <v>-216.68856575951295</v>
      </c>
      <c r="T61">
        <f t="shared" ref="T61" si="284">S61/1000</f>
        <v>-0.21668856575951295</v>
      </c>
    </row>
    <row r="62" spans="1:20" x14ac:dyDescent="0.25">
      <c r="A62" s="5">
        <v>44531</v>
      </c>
      <c r="B62">
        <v>0.95189999999999997</v>
      </c>
      <c r="C62">
        <v>1.0345</v>
      </c>
      <c r="D62">
        <v>0.94589999999999996</v>
      </c>
      <c r="E62">
        <v>0.98440000000000005</v>
      </c>
      <c r="F62">
        <v>2838251</v>
      </c>
      <c r="G62">
        <v>0.98440000000000005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-0.13092550790067528</v>
      </c>
      <c r="Q62">
        <f t="shared" ref="Q62" si="286">F62*P62</f>
        <v>-371599.4537245995</v>
      </c>
      <c r="R62">
        <f t="shared" ref="R62" si="287">R63+Q62</f>
        <v>1065016.5106880402</v>
      </c>
      <c r="S62">
        <f t="shared" ref="S62" si="288">R62/100000</f>
        <v>10.650165106880401</v>
      </c>
      <c r="T62">
        <f t="shared" ref="T62" si="289">S62/1000</f>
        <v>1.06501651068804E-2</v>
      </c>
    </row>
    <row r="63" spans="1:20" x14ac:dyDescent="0.25">
      <c r="A63" s="5">
        <v>44530</v>
      </c>
      <c r="B63">
        <v>0.96989999999999998</v>
      </c>
      <c r="C63">
        <v>0.99</v>
      </c>
      <c r="D63">
        <v>0.9284</v>
      </c>
      <c r="E63">
        <v>0.95309999999999995</v>
      </c>
      <c r="F63">
        <v>2284610</v>
      </c>
      <c r="G63">
        <v>0.95309999999999995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-0.1980519480519497</v>
      </c>
      <c r="Q63">
        <f t="shared" ref="Q63" si="291">F63*P63</f>
        <v>-452471.4610389648</v>
      </c>
      <c r="R63">
        <f t="shared" ref="R63" si="292">R64+Q63</f>
        <v>1436615.9644126396</v>
      </c>
      <c r="S63">
        <f t="shared" ref="S63" si="293">R63/100000</f>
        <v>14.366159644126396</v>
      </c>
      <c r="T63">
        <f t="shared" ref="T63" si="294">S63/1000</f>
        <v>1.4366159644126396E-2</v>
      </c>
    </row>
    <row r="64" spans="1:20" x14ac:dyDescent="0.25">
      <c r="A64" s="5">
        <v>44529</v>
      </c>
      <c r="B64">
        <v>0.99919999999999998</v>
      </c>
      <c r="C64">
        <v>1.0082</v>
      </c>
      <c r="D64">
        <v>0.95730000000000004</v>
      </c>
      <c r="E64">
        <v>0.96989999999999998</v>
      </c>
      <c r="F64">
        <v>3360098</v>
      </c>
      <c r="G64">
        <v>0.96989999999999998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-0.50491159135560082</v>
      </c>
      <c r="Q64">
        <f t="shared" ref="Q64" si="296">F64*P64</f>
        <v>-1696552.4282907716</v>
      </c>
      <c r="R64">
        <f t="shared" ref="R64" si="297">R65+Q64</f>
        <v>1889087.4254516044</v>
      </c>
      <c r="S64">
        <f t="shared" ref="S64" si="298">R64/100000</f>
        <v>18.890874254516046</v>
      </c>
      <c r="T64">
        <f t="shared" ref="T64" si="299">S64/1000</f>
        <v>1.8890874254516046E-2</v>
      </c>
    </row>
    <row r="65" spans="1:20" x14ac:dyDescent="0.25">
      <c r="A65" s="5">
        <v>44528</v>
      </c>
      <c r="B65">
        <v>1.0559000000000001</v>
      </c>
      <c r="C65">
        <v>1.0562</v>
      </c>
      <c r="D65">
        <v>0.93010000000000004</v>
      </c>
      <c r="E65">
        <v>0.99919999999999998</v>
      </c>
      <c r="F65">
        <v>2437129</v>
      </c>
      <c r="G65">
        <v>0.99919999999999998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9.5955590800950744E-2</v>
      </c>
      <c r="Q65">
        <f t="shared" ref="Q65" si="301">F65*P65</f>
        <v>233856.15305313029</v>
      </c>
      <c r="R65">
        <f t="shared" ref="R65" si="302">R66+Q65</f>
        <v>3585639.853742376</v>
      </c>
      <c r="S65">
        <f t="shared" ref="S65" si="303">R65/100000</f>
        <v>35.856398537423757</v>
      </c>
      <c r="T65">
        <f t="shared" ref="T65" si="304">S65/1000</f>
        <v>3.5856398537423756E-2</v>
      </c>
    </row>
    <row r="66" spans="1:20" x14ac:dyDescent="0.25">
      <c r="A66" s="5">
        <v>44527</v>
      </c>
      <c r="B66">
        <v>0.98060000000000003</v>
      </c>
      <c r="C66">
        <v>1.0986</v>
      </c>
      <c r="D66">
        <v>0.95550000000000002</v>
      </c>
      <c r="E66">
        <v>1.0562</v>
      </c>
      <c r="F66">
        <v>5239782</v>
      </c>
      <c r="G66">
        <v>1.0562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0.4074074074074075</v>
      </c>
      <c r="Q66">
        <f t="shared" ref="Q66" si="306">F66*P66</f>
        <v>2134726.0000000005</v>
      </c>
      <c r="R66">
        <f t="shared" ref="R66" si="307">R67+Q66</f>
        <v>3351783.7006892455</v>
      </c>
      <c r="S66">
        <f t="shared" ref="S66" si="308">R66/100000</f>
        <v>33.517837006892456</v>
      </c>
      <c r="T66">
        <f t="shared" ref="T66" si="309">S66/1000</f>
        <v>3.3517837006892454E-2</v>
      </c>
    </row>
    <row r="67" spans="1:20" x14ac:dyDescent="0.25">
      <c r="A67" s="5">
        <v>44526</v>
      </c>
      <c r="B67">
        <v>1.0072000000000001</v>
      </c>
      <c r="C67">
        <v>1.1801999999999999</v>
      </c>
      <c r="D67">
        <v>0.92710000000000004</v>
      </c>
      <c r="E67">
        <v>0.9819</v>
      </c>
      <c r="F67">
        <v>15188983</v>
      </c>
      <c r="G67">
        <v>0.9819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-0.56696957724219688</v>
      </c>
      <c r="Q67">
        <f t="shared" ref="Q67" si="311">F67*P67</f>
        <v>-8611691.270248916</v>
      </c>
      <c r="R67">
        <f t="shared" ref="R67" si="312">R68+Q67</f>
        <v>1217057.700689245</v>
      </c>
      <c r="S67">
        <f t="shared" ref="S67" si="313">R67/100000</f>
        <v>12.170577006892451</v>
      </c>
      <c r="T67">
        <f t="shared" ref="T67" si="314">S67/1000</f>
        <v>1.217057700689245E-2</v>
      </c>
    </row>
    <row r="68" spans="1:20" x14ac:dyDescent="0.25">
      <c r="A68" s="5">
        <v>44525</v>
      </c>
      <c r="B68">
        <v>0.9446</v>
      </c>
      <c r="C68">
        <v>1.0787</v>
      </c>
      <c r="D68">
        <v>0.92959999999999998</v>
      </c>
      <c r="E68">
        <v>1.0053000000000001</v>
      </c>
      <c r="F68">
        <v>5289038</v>
      </c>
      <c r="G68">
        <v>1.0053000000000001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1.5425888665326563E-2</v>
      </c>
      <c r="Q68">
        <f t="shared" ref="Q68" si="316">F68*P68</f>
        <v>81588.111334681482</v>
      </c>
      <c r="R68">
        <f t="shared" ref="R68" si="317">R69+Q68</f>
        <v>9828748.970938161</v>
      </c>
      <c r="S68">
        <f t="shared" ref="S68" si="318">R68/100000</f>
        <v>98.287489709381603</v>
      </c>
      <c r="T68">
        <f t="shared" ref="T68" si="319">S68/1000</f>
        <v>9.8287489709381601E-2</v>
      </c>
    </row>
    <row r="69" spans="1:20" x14ac:dyDescent="0.25">
      <c r="A69" s="5">
        <v>44524</v>
      </c>
      <c r="B69">
        <v>0.9526</v>
      </c>
      <c r="C69">
        <v>0.96220000000000006</v>
      </c>
      <c r="D69">
        <v>0.92549999999999999</v>
      </c>
      <c r="E69">
        <v>0.94130000000000003</v>
      </c>
      <c r="F69">
        <v>445637</v>
      </c>
      <c r="G69">
        <v>0.94130000000000003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-0.13896457765667533</v>
      </c>
      <c r="Q69">
        <f t="shared" ref="Q69" si="321">F69*P69</f>
        <v>-61927.757493187826</v>
      </c>
      <c r="R69">
        <f t="shared" ref="R69" si="322">R70+Q69</f>
        <v>9747160.8596034795</v>
      </c>
      <c r="S69">
        <f t="shared" ref="S69" si="323">R69/100000</f>
        <v>97.471608596034798</v>
      </c>
      <c r="T69">
        <f t="shared" ref="T69" si="324">S69/1000</f>
        <v>9.7471608596034792E-2</v>
      </c>
    </row>
    <row r="70" spans="1:20" x14ac:dyDescent="0.25">
      <c r="A70" s="5">
        <v>44523</v>
      </c>
      <c r="B70">
        <v>0.91949999999999998</v>
      </c>
      <c r="C70">
        <v>0.99619999999999997</v>
      </c>
      <c r="D70">
        <v>0.91449999999999998</v>
      </c>
      <c r="E70">
        <v>0.95289999999999997</v>
      </c>
      <c r="F70">
        <v>1702445</v>
      </c>
      <c r="G70">
        <v>0.95289999999999997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-5.9975520195838627E-2</v>
      </c>
      <c r="Q70">
        <f t="shared" ref="Q70" si="326">F70*P70</f>
        <v>-102105.02447980449</v>
      </c>
      <c r="R70">
        <f t="shared" ref="R70" si="327">R71+Q70</f>
        <v>9809088.6170966681</v>
      </c>
      <c r="S70">
        <f t="shared" ref="S70" si="328">R70/100000</f>
        <v>98.090886170966684</v>
      </c>
      <c r="T70">
        <f t="shared" ref="T70" si="329">S70/1000</f>
        <v>9.8090886170966687E-2</v>
      </c>
    </row>
    <row r="71" spans="1:20" x14ac:dyDescent="0.25">
      <c r="A71" s="5">
        <v>44522</v>
      </c>
      <c r="B71">
        <v>0.96889999999999998</v>
      </c>
      <c r="C71">
        <v>0.96960000000000002</v>
      </c>
      <c r="D71">
        <v>0.89980000000000004</v>
      </c>
      <c r="E71">
        <v>0.9214</v>
      </c>
      <c r="F71">
        <v>1517369</v>
      </c>
      <c r="G71">
        <v>0.9214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-0.38108882521490084</v>
      </c>
      <c r="Q71">
        <f t="shared" ref="Q71" si="331">F71*P71</f>
        <v>-578252.36962750892</v>
      </c>
      <c r="R71">
        <f t="shared" ref="R71" si="332">R72+Q71</f>
        <v>9911193.6415764727</v>
      </c>
      <c r="S71">
        <f t="shared" ref="S71" si="333">R71/100000</f>
        <v>99.111936415764731</v>
      </c>
      <c r="T71">
        <f t="shared" ref="T71" si="334">S71/1000</f>
        <v>9.9111936415764726E-2</v>
      </c>
    </row>
    <row r="72" spans="1:20" x14ac:dyDescent="0.25">
      <c r="A72" s="5">
        <v>44521</v>
      </c>
      <c r="B72">
        <v>0.96689999999999998</v>
      </c>
      <c r="C72">
        <v>1.0233000000000001</v>
      </c>
      <c r="D72">
        <v>0.9476</v>
      </c>
      <c r="E72">
        <v>0.96940000000000004</v>
      </c>
      <c r="F72">
        <v>2246273</v>
      </c>
      <c r="G72">
        <v>0.96940000000000004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-0.42404227212681606</v>
      </c>
      <c r="Q72">
        <f t="shared" ref="Q72" si="336">F72*P72</f>
        <v>-952514.70673711947</v>
      </c>
      <c r="R72">
        <f t="shared" ref="R72" si="337">R73+Q72</f>
        <v>10489446.011203982</v>
      </c>
      <c r="S72">
        <f t="shared" ref="S72" si="338">R72/100000</f>
        <v>104.89446011203982</v>
      </c>
      <c r="T72">
        <f t="shared" ref="T72" si="339">S72/1000</f>
        <v>0.10489446011203982</v>
      </c>
    </row>
    <row r="73" spans="1:20" x14ac:dyDescent="0.25">
      <c r="A73" s="5">
        <v>44520</v>
      </c>
      <c r="B73">
        <v>0.89129999999999998</v>
      </c>
      <c r="C73">
        <v>1.01</v>
      </c>
      <c r="D73">
        <v>0.88729999999999998</v>
      </c>
      <c r="E73">
        <v>0.96689999999999998</v>
      </c>
      <c r="F73">
        <v>2656910</v>
      </c>
      <c r="G73">
        <v>0.96689999999999998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0.2974735126324366</v>
      </c>
      <c r="Q73">
        <f t="shared" ref="Q73" si="341">F73*P73</f>
        <v>790360.35044824716</v>
      </c>
      <c r="R73">
        <f t="shared" ref="R73" si="342">R74+Q73</f>
        <v>11441960.717941102</v>
      </c>
      <c r="S73">
        <f t="shared" ref="S73" si="343">R73/100000</f>
        <v>114.41960717941102</v>
      </c>
      <c r="T73">
        <f t="shared" ref="T73" si="344">S73/1000</f>
        <v>0.11441960717941102</v>
      </c>
    </row>
    <row r="74" spans="1:20" x14ac:dyDescent="0.25">
      <c r="A74" s="5">
        <v>44519</v>
      </c>
      <c r="B74">
        <v>0.84099999999999997</v>
      </c>
      <c r="C74">
        <v>0.89980000000000004</v>
      </c>
      <c r="D74">
        <v>0.83</v>
      </c>
      <c r="E74">
        <v>0.89080000000000004</v>
      </c>
      <c r="F74">
        <v>894326</v>
      </c>
      <c r="G74">
        <v>0.89080000000000004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0.74212034383954162</v>
      </c>
      <c r="Q74">
        <f t="shared" ref="Q74" si="346">F74*P74</f>
        <v>663697.51862464193</v>
      </c>
      <c r="R74">
        <f t="shared" ref="R74" si="347">R75+Q74</f>
        <v>10651600.367492855</v>
      </c>
      <c r="S74">
        <f t="shared" ref="S74" si="348">R74/100000</f>
        <v>106.51600367492854</v>
      </c>
      <c r="T74">
        <f t="shared" ref="T74" si="349">S74/1000</f>
        <v>0.10651600367492854</v>
      </c>
    </row>
    <row r="75" spans="1:20" x14ac:dyDescent="0.25">
      <c r="A75" s="5">
        <v>44518</v>
      </c>
      <c r="B75">
        <v>0.9274</v>
      </c>
      <c r="C75">
        <v>0.93610000000000004</v>
      </c>
      <c r="D75">
        <v>0.83289999999999997</v>
      </c>
      <c r="E75">
        <v>0.84099999999999997</v>
      </c>
      <c r="F75">
        <v>1301927</v>
      </c>
      <c r="G75">
        <v>0.84099999999999997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-0.84302325581395365</v>
      </c>
      <c r="Q75">
        <f t="shared" ref="Q75" si="351">F75*P75</f>
        <v>-1097554.7383720933</v>
      </c>
      <c r="R75">
        <f t="shared" ref="R75" si="352">R76+Q75</f>
        <v>9987902.8488682117</v>
      </c>
      <c r="S75">
        <f t="shared" ref="S75" si="353">R75/100000</f>
        <v>99.879028488682124</v>
      </c>
      <c r="T75">
        <f t="shared" ref="T75" si="354">S75/1000</f>
        <v>9.9879028488682117E-2</v>
      </c>
    </row>
    <row r="76" spans="1:20" x14ac:dyDescent="0.25">
      <c r="A76" s="5">
        <v>44517</v>
      </c>
      <c r="B76">
        <v>0.90390000000000004</v>
      </c>
      <c r="C76">
        <v>0.93459999999999999</v>
      </c>
      <c r="D76">
        <v>0.88500000000000001</v>
      </c>
      <c r="E76">
        <v>0.92630000000000001</v>
      </c>
      <c r="F76">
        <v>1139793</v>
      </c>
      <c r="G76">
        <v>0.92630000000000001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0.66532258064516214</v>
      </c>
      <c r="Q76">
        <f t="shared" ref="Q76" si="356">F76*P76</f>
        <v>758330.02016129135</v>
      </c>
      <c r="R76">
        <f t="shared" ref="R76" si="357">R77+Q76</f>
        <v>11085457.587240305</v>
      </c>
      <c r="S76">
        <f t="shared" ref="S76" si="358">R76/100000</f>
        <v>110.85457587240305</v>
      </c>
      <c r="T76">
        <f t="shared" ref="T76" si="359">S76/1000</f>
        <v>0.11085457587240305</v>
      </c>
    </row>
    <row r="77" spans="1:20" x14ac:dyDescent="0.25">
      <c r="A77" s="5">
        <v>44516</v>
      </c>
      <c r="B77">
        <v>0.97789999999999999</v>
      </c>
      <c r="C77">
        <v>0.97789999999999999</v>
      </c>
      <c r="D77">
        <v>0.88680000000000003</v>
      </c>
      <c r="E77">
        <v>0.90380000000000005</v>
      </c>
      <c r="F77">
        <v>1708876</v>
      </c>
      <c r="G77">
        <v>0.90380000000000005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-0.62678375411635512</v>
      </c>
      <c r="Q77">
        <f t="shared" ref="Q77" si="361">F77*P77</f>
        <v>-1071095.7145993405</v>
      </c>
      <c r="R77">
        <f t="shared" ref="R77" si="362">R78+Q77</f>
        <v>10327127.567079013</v>
      </c>
      <c r="S77">
        <f t="shared" ref="S77" si="363">R77/100000</f>
        <v>103.27127567079013</v>
      </c>
      <c r="T77">
        <f t="shared" ref="T77" si="364">S77/1000</f>
        <v>0.10327127567079013</v>
      </c>
    </row>
    <row r="78" spans="1:20" x14ac:dyDescent="0.25">
      <c r="A78" s="5">
        <v>44515</v>
      </c>
      <c r="B78">
        <v>0.98870000000000002</v>
      </c>
      <c r="C78">
        <v>1</v>
      </c>
      <c r="D78">
        <v>0.9698</v>
      </c>
      <c r="E78">
        <v>0.97670000000000001</v>
      </c>
      <c r="F78">
        <v>1061393</v>
      </c>
      <c r="G78">
        <v>0.97670000000000001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-0.54304635761589293</v>
      </c>
      <c r="Q78">
        <f t="shared" ref="Q78" si="366">F78*P78</f>
        <v>-576385.60264900548</v>
      </c>
      <c r="R78">
        <f t="shared" ref="R78" si="367">R79+Q78</f>
        <v>11398223.281678354</v>
      </c>
      <c r="S78">
        <f t="shared" ref="S78" si="368">R78/100000</f>
        <v>113.98223281678354</v>
      </c>
      <c r="T78">
        <f t="shared" ref="T78" si="369">S78/1000</f>
        <v>0.11398223281678353</v>
      </c>
    </row>
    <row r="79" spans="1:20" x14ac:dyDescent="0.25">
      <c r="A79" s="5">
        <v>44514</v>
      </c>
      <c r="B79">
        <v>1.0189999999999999</v>
      </c>
      <c r="C79">
        <v>1.0223</v>
      </c>
      <c r="D79">
        <v>0.96260000000000001</v>
      </c>
      <c r="E79">
        <v>0.98829999999999996</v>
      </c>
      <c r="F79">
        <v>1367368</v>
      </c>
      <c r="G79">
        <v>0.98829999999999996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-0.13902847571189428</v>
      </c>
      <c r="Q79">
        <f t="shared" ref="Q79" si="371">F79*P79</f>
        <v>-190103.08877722145</v>
      </c>
      <c r="R79">
        <f t="shared" ref="R79" si="372">R80+Q79</f>
        <v>11974608.884327359</v>
      </c>
      <c r="S79">
        <f t="shared" ref="S79" si="373">R79/100000</f>
        <v>119.7460888432736</v>
      </c>
      <c r="T79">
        <f t="shared" ref="T79" si="374">S79/1000</f>
        <v>0.11974608884327359</v>
      </c>
    </row>
    <row r="80" spans="1:20" x14ac:dyDescent="0.25">
      <c r="A80" s="5">
        <v>44513</v>
      </c>
      <c r="B80">
        <v>1.0078</v>
      </c>
      <c r="C80">
        <v>1.0494000000000001</v>
      </c>
      <c r="D80">
        <v>0.99109999999999998</v>
      </c>
      <c r="E80">
        <v>1.0169999999999999</v>
      </c>
      <c r="F80">
        <v>1158198</v>
      </c>
      <c r="G80">
        <v>1.0169999999999999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-0.11149228130360667</v>
      </c>
      <c r="Q80">
        <f t="shared" ref="Q80" si="376">F80*P80</f>
        <v>-129130.13722127464</v>
      </c>
      <c r="R80">
        <f t="shared" ref="R80" si="377">R81+Q80</f>
        <v>12164711.973104581</v>
      </c>
      <c r="S80">
        <f t="shared" ref="S80" si="378">R80/100000</f>
        <v>121.64711973104582</v>
      </c>
      <c r="T80">
        <f t="shared" ref="T80" si="379">S80/1000</f>
        <v>0.12164711973104582</v>
      </c>
    </row>
    <row r="81" spans="1:20" x14ac:dyDescent="0.25">
      <c r="A81" s="5">
        <v>44512</v>
      </c>
      <c r="B81">
        <v>1.0237000000000001</v>
      </c>
      <c r="C81">
        <v>1.0436000000000001</v>
      </c>
      <c r="D81">
        <v>0.98040000000000005</v>
      </c>
      <c r="E81">
        <v>1.0076000000000001</v>
      </c>
      <c r="F81">
        <v>1063142</v>
      </c>
      <c r="G81">
        <v>1.0076000000000001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-0.13924050632911433</v>
      </c>
      <c r="Q81">
        <f t="shared" ref="Q81" si="381">F81*P81</f>
        <v>-148032.43037974727</v>
      </c>
      <c r="R81">
        <f t="shared" ref="R81" si="382">R82+Q81</f>
        <v>12293842.110325856</v>
      </c>
      <c r="S81">
        <f t="shared" ref="S81" si="383">R81/100000</f>
        <v>122.93842110325856</v>
      </c>
      <c r="T81">
        <f t="shared" ref="T81" si="384">S81/1000</f>
        <v>0.12293842110325856</v>
      </c>
    </row>
    <row r="82" spans="1:20" x14ac:dyDescent="0.25">
      <c r="A82" s="5">
        <v>44511</v>
      </c>
      <c r="B82">
        <v>0.97570000000000001</v>
      </c>
      <c r="C82">
        <v>1.0323</v>
      </c>
      <c r="D82">
        <v>0.96850000000000003</v>
      </c>
      <c r="E82">
        <v>1.0230999999999999</v>
      </c>
      <c r="F82">
        <v>983577</v>
      </c>
      <c r="G82">
        <v>1.0230999999999999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0.71159874608150153</v>
      </c>
      <c r="Q82">
        <f t="shared" ref="Q82" si="386">F82*P82</f>
        <v>699912.15987460501</v>
      </c>
      <c r="R82">
        <f t="shared" ref="R82" si="387">R83+Q82</f>
        <v>12441874.540705603</v>
      </c>
      <c r="S82">
        <f t="shared" ref="S82" si="388">R82/100000</f>
        <v>124.41874540705602</v>
      </c>
      <c r="T82">
        <f t="shared" ref="T82" si="389">S82/1000</f>
        <v>0.12441874540705603</v>
      </c>
    </row>
    <row r="83" spans="1:20" x14ac:dyDescent="0.25">
      <c r="A83" s="5">
        <v>44510</v>
      </c>
      <c r="B83">
        <v>1.0302</v>
      </c>
      <c r="C83">
        <v>1.0845</v>
      </c>
      <c r="D83">
        <v>0.95</v>
      </c>
      <c r="E83">
        <v>0.97570000000000001</v>
      </c>
      <c r="F83">
        <v>2437345</v>
      </c>
      <c r="G83">
        <v>0.97570000000000001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-0.61784386617100306</v>
      </c>
      <c r="Q83">
        <f t="shared" ref="Q83" si="391">F83*P83</f>
        <v>-1505898.6579925634</v>
      </c>
      <c r="R83">
        <f t="shared" ref="R83" si="392">R84+Q83</f>
        <v>11741962.380830998</v>
      </c>
      <c r="S83">
        <f t="shared" ref="S83" si="393">R83/100000</f>
        <v>117.41962380830998</v>
      </c>
      <c r="T83">
        <f t="shared" ref="T83" si="394">S83/1000</f>
        <v>0.11741962380830998</v>
      </c>
    </row>
    <row r="84" spans="1:20" x14ac:dyDescent="0.25">
      <c r="A84" s="5">
        <v>44509</v>
      </c>
      <c r="B84">
        <v>1.0285</v>
      </c>
      <c r="C84">
        <v>1.0563</v>
      </c>
      <c r="D84">
        <v>1.008</v>
      </c>
      <c r="E84">
        <v>1.0307999999999999</v>
      </c>
      <c r="F84">
        <v>1622635</v>
      </c>
      <c r="G84">
        <v>1.0307999999999999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-5.5900621118015449E-2</v>
      </c>
      <c r="Q84">
        <f t="shared" ref="Q84" si="396">F84*P84</f>
        <v>-90706.304347830999</v>
      </c>
      <c r="R84">
        <f t="shared" ref="R84" si="397">R85+Q84</f>
        <v>13247861.038823562</v>
      </c>
      <c r="S84">
        <f t="shared" ref="S84" si="398">R84/100000</f>
        <v>132.47861038823561</v>
      </c>
      <c r="T84">
        <f t="shared" ref="T84" si="399">S84/1000</f>
        <v>0.13247861038823561</v>
      </c>
    </row>
    <row r="85" spans="1:20" x14ac:dyDescent="0.25">
      <c r="A85" s="5">
        <v>44508</v>
      </c>
      <c r="B85">
        <v>1.0374000000000001</v>
      </c>
      <c r="C85">
        <v>1.0491999999999999</v>
      </c>
      <c r="D85">
        <v>1.0207999999999999</v>
      </c>
      <c r="E85">
        <v>1.0285</v>
      </c>
      <c r="F85">
        <v>1192195</v>
      </c>
      <c r="G85">
        <v>1.0285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-0.45774647887323622</v>
      </c>
      <c r="Q85">
        <f t="shared" ref="Q85" si="401">F85*P85</f>
        <v>-545723.06338027783</v>
      </c>
      <c r="R85">
        <f t="shared" ref="R85" si="402">R86+Q85</f>
        <v>13338567.343171393</v>
      </c>
      <c r="S85">
        <f t="shared" ref="S85" si="403">R85/100000</f>
        <v>133.38567343171394</v>
      </c>
      <c r="T85">
        <f t="shared" ref="T85" si="404">S85/1000</f>
        <v>0.13338567343171395</v>
      </c>
    </row>
    <row r="86" spans="1:20" x14ac:dyDescent="0.25">
      <c r="A86" s="5">
        <v>44507</v>
      </c>
      <c r="B86">
        <v>1.0119</v>
      </c>
      <c r="C86">
        <v>1.056</v>
      </c>
      <c r="D86">
        <v>0.999</v>
      </c>
      <c r="E86">
        <v>1.0361</v>
      </c>
      <c r="F86">
        <v>1044925</v>
      </c>
      <c r="G86">
        <v>1.0361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0.30175438596491189</v>
      </c>
      <c r="Q86">
        <f t="shared" ref="Q86" si="406">F86*P86</f>
        <v>315310.70175438555</v>
      </c>
      <c r="R86">
        <f t="shared" ref="R86" si="407">R87+Q86</f>
        <v>13884290.406551672</v>
      </c>
      <c r="S86">
        <f t="shared" ref="S86" si="408">R86/100000</f>
        <v>138.84290406551673</v>
      </c>
      <c r="T86">
        <f t="shared" ref="T86" si="409">S86/1000</f>
        <v>0.13884290406551675</v>
      </c>
    </row>
    <row r="87" spans="1:20" x14ac:dyDescent="0.25">
      <c r="A87" s="5">
        <v>44506</v>
      </c>
      <c r="B87">
        <v>1.0209999999999999</v>
      </c>
      <c r="C87">
        <v>1.0382</v>
      </c>
      <c r="D87">
        <v>0.98009999999999997</v>
      </c>
      <c r="E87">
        <v>1.0127999999999999</v>
      </c>
      <c r="F87">
        <v>1026322</v>
      </c>
      <c r="G87">
        <v>1.0127999999999999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0.12564543889844848</v>
      </c>
      <c r="Q87">
        <f t="shared" ref="Q87" si="411">F87*P87</f>
        <v>128952.67814113344</v>
      </c>
      <c r="R87">
        <f t="shared" ref="R87" si="412">R88+Q87</f>
        <v>13568979.704797287</v>
      </c>
      <c r="S87">
        <f t="shared" ref="S87" si="413">R87/100000</f>
        <v>135.68979704797286</v>
      </c>
      <c r="T87">
        <f t="shared" ref="T87" si="414">S87/1000</f>
        <v>0.13568979704797285</v>
      </c>
    </row>
    <row r="88" spans="1:20" x14ac:dyDescent="0.25">
      <c r="A88" s="5">
        <v>44505</v>
      </c>
      <c r="B88">
        <v>1.0157</v>
      </c>
      <c r="C88">
        <v>1.0474000000000001</v>
      </c>
      <c r="D88">
        <v>1.0025999999999999</v>
      </c>
      <c r="E88">
        <v>1.0206999999999999</v>
      </c>
      <c r="F88">
        <v>1204125</v>
      </c>
      <c r="G88">
        <v>1.0206999999999999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-0.19196428571428861</v>
      </c>
      <c r="Q88">
        <f t="shared" ref="Q88" si="416">F88*P88</f>
        <v>-231148.99553571778</v>
      </c>
      <c r="R88">
        <f t="shared" ref="R88" si="417">R89+Q88</f>
        <v>13440027.026656153</v>
      </c>
      <c r="S88">
        <f t="shared" ref="S88" si="418">R88/100000</f>
        <v>134.40027026656153</v>
      </c>
      <c r="T88">
        <f t="shared" ref="T88" si="419">S88/1000</f>
        <v>0.13440027026656154</v>
      </c>
    </row>
    <row r="89" spans="1:20" x14ac:dyDescent="0.25">
      <c r="A89" s="5">
        <v>44504</v>
      </c>
      <c r="B89">
        <v>1.0841000000000001</v>
      </c>
      <c r="C89">
        <v>1.0860000000000001</v>
      </c>
      <c r="D89">
        <v>0.99880000000000002</v>
      </c>
      <c r="E89">
        <v>1.0152000000000001</v>
      </c>
      <c r="F89">
        <v>2616922</v>
      </c>
      <c r="G89">
        <v>1.0152000000000001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-0.62385321100917268</v>
      </c>
      <c r="Q89">
        <f t="shared" ref="Q89" si="421">F89*P89</f>
        <v>-1632575.1926605462</v>
      </c>
      <c r="R89">
        <f t="shared" ref="R89" si="422">R90+Q89</f>
        <v>13671176.022191871</v>
      </c>
      <c r="S89">
        <f t="shared" ref="S89" si="423">R89/100000</f>
        <v>136.71176022191872</v>
      </c>
      <c r="T89">
        <f t="shared" ref="T89" si="424">S89/1000</f>
        <v>0.13671176022191872</v>
      </c>
    </row>
    <row r="90" spans="1:20" x14ac:dyDescent="0.25">
      <c r="A90" s="5">
        <v>44503</v>
      </c>
      <c r="B90">
        <v>1.0884</v>
      </c>
      <c r="C90">
        <v>1.1028</v>
      </c>
      <c r="D90">
        <v>1.03</v>
      </c>
      <c r="E90">
        <v>1.0840000000000001</v>
      </c>
      <c r="F90">
        <v>1266102</v>
      </c>
      <c r="G90">
        <v>1.0840000000000001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0.48351648351648535</v>
      </c>
      <c r="Q90">
        <f t="shared" ref="Q90" si="426">F90*P90</f>
        <v>612181.18681318918</v>
      </c>
      <c r="R90">
        <f t="shared" ref="R90" si="427">R91+Q90</f>
        <v>15303751.214852417</v>
      </c>
      <c r="S90">
        <f t="shared" ref="S90" si="428">R90/100000</f>
        <v>153.03751214852417</v>
      </c>
      <c r="T90">
        <f t="shared" ref="T90" si="429">S90/1000</f>
        <v>0.15303751214852418</v>
      </c>
    </row>
    <row r="91" spans="1:20" x14ac:dyDescent="0.25">
      <c r="A91" s="5">
        <v>44502</v>
      </c>
      <c r="B91">
        <v>1.0438000000000001</v>
      </c>
      <c r="C91">
        <v>1.1866000000000001</v>
      </c>
      <c r="D91">
        <v>1.0309999999999999</v>
      </c>
      <c r="E91">
        <v>1.0857000000000001</v>
      </c>
      <c r="F91">
        <v>2999976</v>
      </c>
      <c r="G91">
        <v>1.0857000000000001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-0.29691516709511401</v>
      </c>
      <c r="Q91">
        <f t="shared" ref="Q91" si="431">F91*P91</f>
        <v>-890738.37532133178</v>
      </c>
      <c r="R91">
        <f t="shared" ref="R91" si="432">R92+Q91</f>
        <v>14691570.028039228</v>
      </c>
      <c r="S91">
        <f t="shared" ref="S91" si="433">R91/100000</f>
        <v>146.91570028039229</v>
      </c>
      <c r="T91">
        <f t="shared" ref="T91" si="434">S91/1000</f>
        <v>0.14691570028039228</v>
      </c>
    </row>
    <row r="92" spans="1:20" x14ac:dyDescent="0.25">
      <c r="A92" s="5">
        <v>44501</v>
      </c>
      <c r="B92">
        <v>1.0766</v>
      </c>
      <c r="C92">
        <v>1.0875999999999999</v>
      </c>
      <c r="D92">
        <v>1.0304</v>
      </c>
      <c r="E92">
        <v>1.0438000000000001</v>
      </c>
      <c r="F92">
        <v>1538579</v>
      </c>
      <c r="G92">
        <v>1.0438000000000001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-0.53146853146852802</v>
      </c>
      <c r="Q92">
        <f t="shared" ref="Q92" si="436">F92*P92</f>
        <v>-817706.32167831634</v>
      </c>
      <c r="R92">
        <f t="shared" ref="R92" si="437">R93+Q92</f>
        <v>15582308.403360561</v>
      </c>
      <c r="S92">
        <f t="shared" ref="S92" si="438">R92/100000</f>
        <v>155.8230840336056</v>
      </c>
      <c r="T92">
        <f t="shared" ref="T92" si="439">S92/1000</f>
        <v>0.15582308403360559</v>
      </c>
    </row>
    <row r="93" spans="1:20" x14ac:dyDescent="0.25">
      <c r="A93" s="5">
        <v>44500</v>
      </c>
      <c r="B93">
        <v>1.0518000000000001</v>
      </c>
      <c r="C93">
        <v>1.099</v>
      </c>
      <c r="D93">
        <v>1.0136000000000001</v>
      </c>
      <c r="E93">
        <v>1.0783</v>
      </c>
      <c r="F93">
        <v>1787630</v>
      </c>
      <c r="G93">
        <v>1.0783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0.51522248243559809</v>
      </c>
      <c r="Q93">
        <f t="shared" ref="Q93" si="441">F93*P93</f>
        <v>921027.16627634817</v>
      </c>
      <c r="R93">
        <f t="shared" ref="R93" si="442">R94+Q93</f>
        <v>16400014.725038877</v>
      </c>
      <c r="S93">
        <f t="shared" ref="S93" si="443">R93/100000</f>
        <v>164.00014725038878</v>
      </c>
      <c r="T93">
        <f t="shared" ref="T93" si="444">S93/1000</f>
        <v>0.16400014725038878</v>
      </c>
    </row>
    <row r="94" spans="1:20" x14ac:dyDescent="0.25">
      <c r="A94" s="5">
        <v>44499</v>
      </c>
      <c r="B94">
        <v>1.0388999999999999</v>
      </c>
      <c r="C94">
        <v>1.0811999999999999</v>
      </c>
      <c r="D94">
        <v>1.0169999999999999</v>
      </c>
      <c r="E94">
        <v>1.0518000000000001</v>
      </c>
      <c r="F94">
        <v>1511982</v>
      </c>
      <c r="G94">
        <v>1.0518000000000001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8.41121495327148E-2</v>
      </c>
      <c r="Q94">
        <f t="shared" ref="Q94" si="446">F94*P94</f>
        <v>127176.05607477319</v>
      </c>
      <c r="R94">
        <f t="shared" ref="R94" si="447">R95+Q94</f>
        <v>15478987.558762528</v>
      </c>
      <c r="S94">
        <f t="shared" ref="S94" si="448">R94/100000</f>
        <v>154.78987558762529</v>
      </c>
      <c r="T94">
        <f t="shared" ref="T94" si="449">S94/1000</f>
        <v>0.1547898755876253</v>
      </c>
    </row>
    <row r="95" spans="1:20" x14ac:dyDescent="0.25">
      <c r="A95" s="5">
        <v>44498</v>
      </c>
      <c r="B95">
        <v>1.0048999999999999</v>
      </c>
      <c r="C95">
        <v>1.0501</v>
      </c>
      <c r="D95">
        <v>0.99990000000000001</v>
      </c>
      <c r="E95">
        <v>1.0408999999999999</v>
      </c>
      <c r="F95">
        <v>932645</v>
      </c>
      <c r="G95">
        <v>1.0408999999999999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0.63346613545816366</v>
      </c>
      <c r="Q95">
        <f t="shared" ref="Q95" si="451">F95*P95</f>
        <v>590799.02390437899</v>
      </c>
      <c r="R95">
        <f t="shared" ref="R95" si="452">R96+Q95</f>
        <v>15351811.502687754</v>
      </c>
      <c r="S95">
        <f t="shared" ref="S95" si="453">R95/100000</f>
        <v>153.51811502687755</v>
      </c>
      <c r="T95">
        <f t="shared" ref="T95" si="454">S95/1000</f>
        <v>0.15351811502687757</v>
      </c>
    </row>
    <row r="96" spans="1:20" x14ac:dyDescent="0.25">
      <c r="A96" s="5">
        <v>44497</v>
      </c>
      <c r="B96">
        <v>0.93759999999999999</v>
      </c>
      <c r="C96">
        <v>1.0409999999999999</v>
      </c>
      <c r="D96">
        <v>0.92869999999999997</v>
      </c>
      <c r="E96">
        <v>1.0055000000000001</v>
      </c>
      <c r="F96">
        <v>1666117</v>
      </c>
      <c r="G96">
        <v>1.0055000000000001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0.36776491540516687</v>
      </c>
      <c r="Q96">
        <f t="shared" ref="Q96" si="456">F96*P96</f>
        <v>612739.37756011041</v>
      </c>
      <c r="R96">
        <f t="shared" ref="R96" si="457">R97+Q96</f>
        <v>14761012.478783375</v>
      </c>
      <c r="S96">
        <f t="shared" ref="S96" si="458">R96/100000</f>
        <v>147.61012478783374</v>
      </c>
      <c r="T96">
        <f t="shared" ref="T96" si="459">S96/1000</f>
        <v>0.14761012478783375</v>
      </c>
    </row>
    <row r="97" spans="1:20" x14ac:dyDescent="0.25">
      <c r="A97" s="5">
        <v>44496</v>
      </c>
      <c r="B97">
        <v>1.0375000000000001</v>
      </c>
      <c r="C97">
        <v>1.0681</v>
      </c>
      <c r="D97">
        <v>0.9375</v>
      </c>
      <c r="E97">
        <v>0.93759999999999999</v>
      </c>
      <c r="F97">
        <v>1514370</v>
      </c>
      <c r="G97">
        <v>0.93759999999999999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-0.9984686064318532</v>
      </c>
      <c r="Q97">
        <f t="shared" ref="Q97" si="461">F97*P97</f>
        <v>-1512050.9035222055</v>
      </c>
      <c r="R97">
        <f t="shared" ref="R97" si="462">R98+Q97</f>
        <v>14148273.101223264</v>
      </c>
      <c r="S97">
        <f t="shared" ref="S97" si="463">R97/100000</f>
        <v>141.48273101223265</v>
      </c>
      <c r="T97">
        <f t="shared" ref="T97" si="464">S97/1000</f>
        <v>0.14148273101223266</v>
      </c>
    </row>
    <row r="98" spans="1:20" x14ac:dyDescent="0.25">
      <c r="A98" s="5">
        <v>44495</v>
      </c>
      <c r="B98">
        <v>1.0615000000000001</v>
      </c>
      <c r="C98">
        <v>1.0810999999999999</v>
      </c>
      <c r="D98">
        <v>1.0278</v>
      </c>
      <c r="E98">
        <v>1.0374000000000001</v>
      </c>
      <c r="F98">
        <v>1620558</v>
      </c>
      <c r="G98">
        <v>1.0374000000000001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-0.6397748592870518</v>
      </c>
      <c r="Q98">
        <f t="shared" ref="Q98" si="466">F98*P98</f>
        <v>-1036792.2664165061</v>
      </c>
      <c r="R98">
        <f t="shared" ref="R98" si="467">R99+Q98</f>
        <v>15660324.00474547</v>
      </c>
      <c r="S98">
        <f t="shared" ref="S98" si="468">R98/100000</f>
        <v>156.6032400474547</v>
      </c>
      <c r="T98">
        <f t="shared" ref="T98" si="469">S98/1000</f>
        <v>0.15660324004745471</v>
      </c>
    </row>
    <row r="99" spans="1:20" x14ac:dyDescent="0.25">
      <c r="A99" s="5">
        <v>44494</v>
      </c>
      <c r="B99">
        <v>1.0431999999999999</v>
      </c>
      <c r="C99">
        <v>1.0779000000000001</v>
      </c>
      <c r="D99">
        <v>1.0396000000000001</v>
      </c>
      <c r="E99">
        <v>1.0609</v>
      </c>
      <c r="F99">
        <v>780959</v>
      </c>
      <c r="G99">
        <v>1.0609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0.11227154046996732</v>
      </c>
      <c r="Q99">
        <f t="shared" ref="Q99" si="471">F99*P99</f>
        <v>87679.469973885207</v>
      </c>
      <c r="R99">
        <f t="shared" ref="R99" si="472">R100+Q99</f>
        <v>16697116.271161977</v>
      </c>
      <c r="S99">
        <f t="shared" ref="S99" si="473">R99/100000</f>
        <v>166.97116271161977</v>
      </c>
      <c r="T99">
        <f t="shared" ref="T99" si="474">S99/1000</f>
        <v>0.16697116271161977</v>
      </c>
    </row>
    <row r="100" spans="1:20" x14ac:dyDescent="0.25">
      <c r="A100" s="5">
        <v>44493</v>
      </c>
      <c r="B100">
        <v>1.0924</v>
      </c>
      <c r="C100">
        <v>1.0946</v>
      </c>
      <c r="D100">
        <v>1.0269999999999999</v>
      </c>
      <c r="E100">
        <v>1.0438000000000001</v>
      </c>
      <c r="F100">
        <v>1049898</v>
      </c>
      <c r="G100">
        <v>1.0438000000000001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-0.50295857988165316</v>
      </c>
      <c r="Q100">
        <f t="shared" ref="Q100" si="476">F100*P100</f>
        <v>-528055.2071005879</v>
      </c>
      <c r="R100">
        <f t="shared" ref="R100" si="477">R101+Q100</f>
        <v>16609436.801188093</v>
      </c>
      <c r="S100">
        <f t="shared" ref="S100" si="478">R100/100000</f>
        <v>166.09436801188093</v>
      </c>
      <c r="T100">
        <f t="shared" ref="T100" si="479">S100/1000</f>
        <v>0.16609436801188093</v>
      </c>
    </row>
    <row r="101" spans="1:20" x14ac:dyDescent="0.25">
      <c r="A101" s="5">
        <v>44492</v>
      </c>
      <c r="B101">
        <v>1.1204000000000001</v>
      </c>
      <c r="C101">
        <v>1.1207</v>
      </c>
      <c r="D101">
        <v>1.0605</v>
      </c>
      <c r="E101">
        <v>1.0926</v>
      </c>
      <c r="F101">
        <v>1060684</v>
      </c>
      <c r="G101">
        <v>1.0926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6.6445182724252511E-2</v>
      </c>
      <c r="Q101">
        <f t="shared" ref="Q101" si="481">F101*P101</f>
        <v>70477.342192691052</v>
      </c>
      <c r="R101">
        <f t="shared" ref="R101" si="482">R102+Q101</f>
        <v>17137492.008288682</v>
      </c>
      <c r="S101">
        <f t="shared" ref="S101" si="483">R101/100000</f>
        <v>171.3749200828868</v>
      </c>
      <c r="T101">
        <f t="shared" ref="T101" si="484">S101/1000</f>
        <v>0.17137492008288679</v>
      </c>
    </row>
    <row r="102" spans="1:20" x14ac:dyDescent="0.25">
      <c r="A102" s="5">
        <v>44491</v>
      </c>
      <c r="B102">
        <v>1.1104000000000001</v>
      </c>
      <c r="C102">
        <v>1.1863999999999999</v>
      </c>
      <c r="D102">
        <v>1.0872999999999999</v>
      </c>
      <c r="E102">
        <v>1.1204000000000001</v>
      </c>
      <c r="F102">
        <v>2602236</v>
      </c>
      <c r="G102">
        <v>1.1204000000000001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-0.3319878910191697</v>
      </c>
      <c r="Q102">
        <f t="shared" ref="Q102" si="486">F102*P102</f>
        <v>-863910.84157416003</v>
      </c>
      <c r="R102">
        <f t="shared" ref="R102" si="487">R103+Q102</f>
        <v>17067014.666095991</v>
      </c>
      <c r="S102">
        <f t="shared" ref="S102" si="488">R102/100000</f>
        <v>170.67014666095992</v>
      </c>
      <c r="T102">
        <f t="shared" ref="T102" si="489">S102/1000</f>
        <v>0.17067014666095992</v>
      </c>
    </row>
    <row r="103" spans="1:20" x14ac:dyDescent="0.25">
      <c r="A103" s="5">
        <v>44490</v>
      </c>
      <c r="B103">
        <v>1.0832999999999999</v>
      </c>
      <c r="C103">
        <v>1.1234999999999999</v>
      </c>
      <c r="D103">
        <v>1.0481</v>
      </c>
      <c r="E103">
        <v>1.1104000000000001</v>
      </c>
      <c r="F103">
        <v>2127695</v>
      </c>
      <c r="G103">
        <v>1.1104000000000001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0.65251989389920673</v>
      </c>
      <c r="Q103">
        <f t="shared" ref="Q103" si="491">F103*P103</f>
        <v>1388363.3156498726</v>
      </c>
      <c r="R103">
        <f t="shared" ref="R103" si="492">R104+Q103</f>
        <v>17930925.507670149</v>
      </c>
      <c r="S103">
        <f t="shared" ref="S103" si="493">R103/100000</f>
        <v>179.3092550767015</v>
      </c>
      <c r="T103">
        <f t="shared" ref="T103" si="494">S103/1000</f>
        <v>0.17930925507670151</v>
      </c>
    </row>
    <row r="104" spans="1:20" x14ac:dyDescent="0.25">
      <c r="A104" s="5">
        <v>44489</v>
      </c>
      <c r="B104">
        <v>1.0398000000000001</v>
      </c>
      <c r="C104">
        <v>1.0999000000000001</v>
      </c>
      <c r="D104">
        <v>1.0228999999999999</v>
      </c>
      <c r="E104">
        <v>1.0848</v>
      </c>
      <c r="F104">
        <v>1614639</v>
      </c>
      <c r="G104">
        <v>1.0848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0.60779220779220577</v>
      </c>
      <c r="Q104">
        <f t="shared" ref="Q104" si="496">F104*P104</f>
        <v>981365.00259739929</v>
      </c>
      <c r="R104">
        <f t="shared" ref="R104" si="497">R105+Q104</f>
        <v>16542562.192020277</v>
      </c>
      <c r="S104">
        <f t="shared" ref="S104" si="498">R104/100000</f>
        <v>165.42562192020276</v>
      </c>
      <c r="T104">
        <f t="shared" ref="T104" si="499">S104/1000</f>
        <v>0.16542562192020277</v>
      </c>
    </row>
    <row r="105" spans="1:20" x14ac:dyDescent="0.25">
      <c r="A105" s="5">
        <v>44488</v>
      </c>
      <c r="B105">
        <v>1.0482</v>
      </c>
      <c r="C105">
        <v>1.0632999999999999</v>
      </c>
      <c r="D105">
        <v>1.0203</v>
      </c>
      <c r="E105">
        <v>1.0382</v>
      </c>
      <c r="F105">
        <v>1409371</v>
      </c>
      <c r="G105">
        <v>1.0382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-0.16744186046511361</v>
      </c>
      <c r="Q105">
        <f t="shared" ref="Q105" si="501">F105*P105</f>
        <v>-235987.70232557764</v>
      </c>
      <c r="R105">
        <f t="shared" ref="R105" si="502">R106+Q105</f>
        <v>15561197.189422878</v>
      </c>
      <c r="S105">
        <f t="shared" ref="S105" si="503">R105/100000</f>
        <v>155.61197189422879</v>
      </c>
      <c r="T105">
        <f t="shared" ref="T105" si="504">S105/1000</f>
        <v>0.15561197189422879</v>
      </c>
    </row>
    <row r="106" spans="1:20" x14ac:dyDescent="0.25">
      <c r="A106" s="5">
        <v>44487</v>
      </c>
      <c r="B106">
        <v>1.0535000000000001</v>
      </c>
      <c r="C106">
        <v>1.0728</v>
      </c>
      <c r="D106">
        <v>1.0049999999999999</v>
      </c>
      <c r="E106">
        <v>1.0507</v>
      </c>
      <c r="F106">
        <v>1752693</v>
      </c>
      <c r="G106">
        <v>1.0507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0.34808259587020701</v>
      </c>
      <c r="Q106">
        <f t="shared" ref="Q106" si="506">F106*P106</f>
        <v>610081.92920354079</v>
      </c>
      <c r="R106">
        <f t="shared" ref="R106" si="507">R107+Q106</f>
        <v>15797184.891748454</v>
      </c>
      <c r="S106">
        <f t="shared" ref="S106" si="508">R106/100000</f>
        <v>157.97184891748455</v>
      </c>
      <c r="T106">
        <f t="shared" ref="T106" si="509">S106/1000</f>
        <v>0.15797184891748456</v>
      </c>
    </row>
    <row r="107" spans="1:20" x14ac:dyDescent="0.25">
      <c r="A107" s="5">
        <v>44486</v>
      </c>
      <c r="B107">
        <v>1.0703</v>
      </c>
      <c r="C107">
        <v>1.0980000000000001</v>
      </c>
      <c r="D107">
        <v>1.0161</v>
      </c>
      <c r="E107">
        <v>1.0532999999999999</v>
      </c>
      <c r="F107">
        <v>2458600</v>
      </c>
      <c r="G107">
        <v>1.0532999999999999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-9.1575091575094955E-2</v>
      </c>
      <c r="Q107">
        <f t="shared" ref="Q107" si="511">F107*P107</f>
        <v>-225146.52014652846</v>
      </c>
      <c r="R107">
        <f t="shared" ref="R107" si="512">R108+Q107</f>
        <v>15187102.962544914</v>
      </c>
      <c r="S107">
        <f t="shared" ref="S107" si="513">R107/100000</f>
        <v>151.87102962544915</v>
      </c>
      <c r="T107">
        <f t="shared" ref="T107" si="514">S107/1000</f>
        <v>0.15187102962544916</v>
      </c>
    </row>
    <row r="108" spans="1:20" x14ac:dyDescent="0.25">
      <c r="A108" s="5">
        <v>44485</v>
      </c>
      <c r="B108">
        <v>1.04</v>
      </c>
      <c r="C108">
        <v>1.34</v>
      </c>
      <c r="D108">
        <v>1.0298</v>
      </c>
      <c r="E108">
        <v>1.0703</v>
      </c>
      <c r="F108">
        <v>12419955</v>
      </c>
      <c r="G108">
        <v>1.0703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-0.73887814313346245</v>
      </c>
      <c r="Q108">
        <f t="shared" ref="Q108" si="516">F108*P108</f>
        <v>-9176833.2882011626</v>
      </c>
      <c r="R108">
        <f t="shared" ref="R108" si="517">R109+Q108</f>
        <v>15412249.482691443</v>
      </c>
      <c r="S108">
        <f t="shared" ref="S108" si="518">R108/100000</f>
        <v>154.12249482691442</v>
      </c>
      <c r="T108">
        <f t="shared" ref="T108" si="519">S108/1000</f>
        <v>0.15412249482691442</v>
      </c>
    </row>
    <row r="109" spans="1:20" x14ac:dyDescent="0.25">
      <c r="A109" s="5">
        <v>44484</v>
      </c>
      <c r="B109">
        <v>1.02</v>
      </c>
      <c r="C109">
        <v>1.0819000000000001</v>
      </c>
      <c r="D109">
        <v>0.997</v>
      </c>
      <c r="E109">
        <v>1.0404</v>
      </c>
      <c r="F109">
        <v>2627450</v>
      </c>
      <c r="G109">
        <v>1.0404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2.237926972909187E-2</v>
      </c>
      <c r="Q109">
        <f t="shared" ref="Q109" si="521">F109*P109</f>
        <v>58800.412249702436</v>
      </c>
      <c r="R109">
        <f t="shared" ref="R109" si="522">R110+Q109</f>
        <v>24589082.770892605</v>
      </c>
      <c r="S109">
        <f t="shared" ref="S109" si="523">R109/100000</f>
        <v>245.89082770892605</v>
      </c>
      <c r="T109">
        <f t="shared" ref="T109" si="524">S109/1000</f>
        <v>0.24589082770892606</v>
      </c>
    </row>
    <row r="110" spans="1:20" x14ac:dyDescent="0.25">
      <c r="A110" s="5">
        <v>44483</v>
      </c>
      <c r="B110">
        <v>0.98939999999999995</v>
      </c>
      <c r="C110">
        <v>1.0264</v>
      </c>
      <c r="D110">
        <v>0.9819</v>
      </c>
      <c r="E110">
        <v>1.0198</v>
      </c>
      <c r="F110">
        <v>1192788</v>
      </c>
      <c r="G110">
        <v>1.0198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0.70337078651685658</v>
      </c>
      <c r="Q110">
        <f t="shared" ref="Q110" si="526">F110*P110</f>
        <v>838972.23370786838</v>
      </c>
      <c r="R110">
        <f t="shared" ref="R110" si="527">R111+Q110</f>
        <v>24530282.358642902</v>
      </c>
      <c r="S110">
        <f t="shared" ref="S110" si="528">R110/100000</f>
        <v>245.30282358642901</v>
      </c>
      <c r="T110">
        <f t="shared" ref="T110" si="529">S110/1000</f>
        <v>0.24530282358642902</v>
      </c>
    </row>
    <row r="111" spans="1:20" x14ac:dyDescent="0.25">
      <c r="A111" s="5">
        <v>44482</v>
      </c>
      <c r="B111">
        <v>0.99150000000000005</v>
      </c>
      <c r="C111">
        <v>1.0047999999999999</v>
      </c>
      <c r="D111">
        <v>0.95850000000000002</v>
      </c>
      <c r="E111">
        <v>0.98899999999999999</v>
      </c>
      <c r="F111">
        <v>1192283</v>
      </c>
      <c r="G111">
        <v>0.98899999999999999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0.31749460043196714</v>
      </c>
      <c r="Q111">
        <f t="shared" ref="Q111" si="531">F111*P111</f>
        <v>378543.41468682711</v>
      </c>
      <c r="R111">
        <f t="shared" ref="R111" si="532">R112+Q111</f>
        <v>23691310.124935035</v>
      </c>
      <c r="S111">
        <f t="shared" ref="S111" si="533">R111/100000</f>
        <v>236.91310124935035</v>
      </c>
      <c r="T111">
        <f t="shared" ref="T111" si="534">S111/1000</f>
        <v>0.23691310124935036</v>
      </c>
    </row>
    <row r="112" spans="1:20" x14ac:dyDescent="0.25">
      <c r="A112" s="5">
        <v>44481</v>
      </c>
      <c r="B112">
        <v>0.98760000000000003</v>
      </c>
      <c r="C112">
        <v>1.0570999999999999</v>
      </c>
      <c r="D112">
        <v>0.91859999999999997</v>
      </c>
      <c r="E112">
        <v>0.99119999999999997</v>
      </c>
      <c r="F112">
        <v>2842719</v>
      </c>
      <c r="G112">
        <v>0.99119999999999997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4.8375451263538205E-2</v>
      </c>
      <c r="Q112">
        <f t="shared" ref="Q112" si="536">F112*P112</f>
        <v>137517.81444043407</v>
      </c>
      <c r="R112">
        <f t="shared" ref="R112" si="537">R113+Q112</f>
        <v>23312766.710248206</v>
      </c>
      <c r="S112">
        <f t="shared" ref="S112" si="538">R112/100000</f>
        <v>233.12766710248206</v>
      </c>
      <c r="T112">
        <f t="shared" ref="T112" si="539">S112/1000</f>
        <v>0.23312766710248206</v>
      </c>
    </row>
    <row r="113" spans="1:20" x14ac:dyDescent="0.25">
      <c r="A113" s="5">
        <v>44480</v>
      </c>
      <c r="B113">
        <v>1.0044</v>
      </c>
      <c r="C113">
        <v>1.1000000000000001</v>
      </c>
      <c r="D113">
        <v>0.97199999999999998</v>
      </c>
      <c r="E113">
        <v>0.99139999999999995</v>
      </c>
      <c r="F113">
        <v>2830150</v>
      </c>
      <c r="G113">
        <v>0.99139999999999995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-0.69687500000000069</v>
      </c>
      <c r="Q113">
        <f t="shared" ref="Q113" si="541">F113*P113</f>
        <v>-1972260.7812500019</v>
      </c>
      <c r="R113">
        <f t="shared" ref="R113" si="542">R114+Q113</f>
        <v>23175248.895807773</v>
      </c>
      <c r="S113">
        <f t="shared" ref="S113" si="543">R113/100000</f>
        <v>231.75248895807772</v>
      </c>
      <c r="T113">
        <f t="shared" ref="T113" si="544">S113/1000</f>
        <v>0.23175248895807771</v>
      </c>
    </row>
    <row r="114" spans="1:20" x14ac:dyDescent="0.25">
      <c r="A114" s="5">
        <v>44479</v>
      </c>
      <c r="B114">
        <v>1.0644</v>
      </c>
      <c r="C114">
        <v>1.1462000000000001</v>
      </c>
      <c r="D114">
        <v>1</v>
      </c>
      <c r="E114">
        <v>1.0043</v>
      </c>
      <c r="F114">
        <v>3163698</v>
      </c>
      <c r="G114">
        <v>1.0043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-0.94117647058823573</v>
      </c>
      <c r="Q114">
        <f t="shared" ref="Q114" si="546">F114*P114</f>
        <v>-2977598.1176470602</v>
      </c>
      <c r="R114">
        <f t="shared" ref="R114" si="547">R115+Q114</f>
        <v>25147509.677057773</v>
      </c>
      <c r="S114">
        <f t="shared" ref="S114" si="548">R114/100000</f>
        <v>251.47509677057772</v>
      </c>
      <c r="T114">
        <f t="shared" ref="T114" si="549">S114/1000</f>
        <v>0.25147509677057772</v>
      </c>
    </row>
    <row r="115" spans="1:20" x14ac:dyDescent="0.25">
      <c r="A115" s="5">
        <v>44478</v>
      </c>
      <c r="B115">
        <v>1.0621</v>
      </c>
      <c r="C115">
        <v>1.1499999999999999</v>
      </c>
      <c r="D115">
        <v>1.0502</v>
      </c>
      <c r="E115">
        <v>1.0646</v>
      </c>
      <c r="F115">
        <v>3148385</v>
      </c>
      <c r="G115">
        <v>1.0646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-0.71142284569138303</v>
      </c>
      <c r="Q115">
        <f t="shared" ref="Q115" si="551">F115*P115</f>
        <v>-2239833.0160320648</v>
      </c>
      <c r="R115">
        <f t="shared" ref="R115" si="552">R116+Q115</f>
        <v>28125107.794704832</v>
      </c>
      <c r="S115">
        <f t="shared" ref="S115" si="553">R115/100000</f>
        <v>281.25107794704832</v>
      </c>
      <c r="T115">
        <f t="shared" ref="T115" si="554">S115/1000</f>
        <v>0.28125107794704829</v>
      </c>
    </row>
    <row r="116" spans="1:20" x14ac:dyDescent="0.25">
      <c r="A116" s="5">
        <v>44477</v>
      </c>
      <c r="B116">
        <v>1.0549999999999999</v>
      </c>
      <c r="C116">
        <v>1.1091</v>
      </c>
      <c r="D116">
        <v>1.0333000000000001</v>
      </c>
      <c r="E116">
        <v>1.0621</v>
      </c>
      <c r="F116">
        <v>2612667</v>
      </c>
      <c r="G116">
        <v>1.0621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-0.24010554089709796</v>
      </c>
      <c r="Q116">
        <f t="shared" ref="Q116" si="556">F116*P116</f>
        <v>-627315.82321899827</v>
      </c>
      <c r="R116">
        <f t="shared" ref="R116" si="557">R117+Q116</f>
        <v>30364940.810736898</v>
      </c>
      <c r="S116">
        <f t="shared" ref="S116" si="558">R116/100000</f>
        <v>303.64940810736897</v>
      </c>
      <c r="T116">
        <f t="shared" ref="T116" si="559">S116/1000</f>
        <v>0.30364940810736896</v>
      </c>
    </row>
    <row r="117" spans="1:20" x14ac:dyDescent="0.25">
      <c r="A117" s="5">
        <v>44476</v>
      </c>
      <c r="B117">
        <v>1.0464</v>
      </c>
      <c r="C117">
        <v>1.1414</v>
      </c>
      <c r="D117">
        <v>1.0197000000000001</v>
      </c>
      <c r="E117">
        <v>1.0541</v>
      </c>
      <c r="F117">
        <v>3907350</v>
      </c>
      <c r="G117">
        <v>1.0541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-0.43467543138866049</v>
      </c>
      <c r="Q117">
        <f t="shared" ref="Q117" si="561">F117*P117</f>
        <v>-1698429.0468364826</v>
      </c>
      <c r="R117">
        <f t="shared" ref="R117" si="562">R118+Q117</f>
        <v>30992256.633955896</v>
      </c>
      <c r="S117">
        <f t="shared" ref="S117" si="563">R117/100000</f>
        <v>309.92256633955895</v>
      </c>
      <c r="T117">
        <f t="shared" ref="T117" si="564">S117/1000</f>
        <v>0.30992256633955895</v>
      </c>
    </row>
    <row r="118" spans="1:20" x14ac:dyDescent="0.25">
      <c r="A118" s="5">
        <v>44475</v>
      </c>
      <c r="B118">
        <v>1.0414000000000001</v>
      </c>
      <c r="C118">
        <v>1.0872999999999999</v>
      </c>
      <c r="D118">
        <v>0.95750000000000002</v>
      </c>
      <c r="E118">
        <v>1.0431999999999999</v>
      </c>
      <c r="F118">
        <v>16019988</v>
      </c>
      <c r="G118">
        <v>1.0431999999999999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0.32049306625577723</v>
      </c>
      <c r="Q118">
        <f t="shared" ref="Q118" si="566">F118*P118</f>
        <v>5134295.0755007565</v>
      </c>
      <c r="R118">
        <f t="shared" ref="R118" si="567">R119+Q118</f>
        <v>32690685.68079238</v>
      </c>
      <c r="S118">
        <f t="shared" ref="S118" si="568">R118/100000</f>
        <v>326.90685680792382</v>
      </c>
      <c r="T118">
        <f t="shared" ref="T118" si="569">S118/1000</f>
        <v>0.32690685680792381</v>
      </c>
    </row>
    <row r="119" spans="1:20" x14ac:dyDescent="0.25">
      <c r="A119" s="5">
        <v>44474</v>
      </c>
      <c r="B119">
        <v>1.0257000000000001</v>
      </c>
      <c r="C119">
        <v>1.0891999999999999</v>
      </c>
      <c r="D119">
        <v>1.0001</v>
      </c>
      <c r="E119">
        <v>1.0414000000000001</v>
      </c>
      <c r="F119">
        <v>14760950</v>
      </c>
      <c r="G119">
        <v>1.0414000000000001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-7.2951739618403275E-2</v>
      </c>
      <c r="Q119">
        <f t="shared" ref="Q119" si="571">F119*P119</f>
        <v>-1076836.9809202699</v>
      </c>
      <c r="R119">
        <f t="shared" ref="R119" si="572">R120+Q119</f>
        <v>27556390.605291624</v>
      </c>
      <c r="S119">
        <f t="shared" ref="S119" si="573">R119/100000</f>
        <v>275.56390605291625</v>
      </c>
      <c r="T119">
        <f t="shared" ref="T119" si="574">S119/1000</f>
        <v>0.27556390605291625</v>
      </c>
    </row>
    <row r="120" spans="1:20" x14ac:dyDescent="0.25">
      <c r="A120" s="5">
        <v>44473</v>
      </c>
      <c r="B120">
        <v>1.0041</v>
      </c>
      <c r="C120">
        <v>1.1174999999999999</v>
      </c>
      <c r="D120">
        <v>0.94789999999999996</v>
      </c>
      <c r="E120">
        <v>1.0291999999999999</v>
      </c>
      <c r="F120">
        <v>22461343</v>
      </c>
      <c r="G120">
        <v>1.0291999999999999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-4.1273584905661076E-2</v>
      </c>
      <c r="Q120">
        <f t="shared" ref="Q120" si="576">F120*P120</f>
        <v>-927060.14740567608</v>
      </c>
      <c r="R120">
        <f t="shared" ref="R120" si="577">R121+Q120</f>
        <v>28633227.586211894</v>
      </c>
      <c r="S120">
        <f t="shared" ref="S120" si="578">R120/100000</f>
        <v>286.33227586211893</v>
      </c>
      <c r="T120">
        <f t="shared" ref="T120" si="579">S120/1000</f>
        <v>0.28633227586211896</v>
      </c>
    </row>
    <row r="121" spans="1:20" x14ac:dyDescent="0.25">
      <c r="A121" s="5">
        <v>44472</v>
      </c>
      <c r="B121">
        <v>0.95569999999999999</v>
      </c>
      <c r="C121">
        <v>1.0739000000000001</v>
      </c>
      <c r="D121">
        <v>0.93710000000000004</v>
      </c>
      <c r="E121">
        <v>1.0029999999999999</v>
      </c>
      <c r="F121">
        <v>13060808</v>
      </c>
      <c r="G121">
        <v>1.0029999999999999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-3.6549707602341643E-2</v>
      </c>
      <c r="Q121">
        <f t="shared" ref="Q121" si="581">F121*P121</f>
        <v>-477368.71345032455</v>
      </c>
      <c r="R121">
        <f t="shared" ref="R121" si="582">R122+Q121</f>
        <v>29560287.73361757</v>
      </c>
      <c r="S121">
        <f t="shared" ref="S121" si="583">R121/100000</f>
        <v>295.60287733617571</v>
      </c>
      <c r="T121">
        <f t="shared" ref="T121" si="584">S121/1000</f>
        <v>0.29560287733617568</v>
      </c>
    </row>
    <row r="122" spans="1:20" x14ac:dyDescent="0.25">
      <c r="A122" s="5">
        <v>44471</v>
      </c>
      <c r="B122">
        <v>0.95040000000000002</v>
      </c>
      <c r="C122">
        <v>1</v>
      </c>
      <c r="D122">
        <v>0.91439999999999999</v>
      </c>
      <c r="E122">
        <v>0.95450000000000002</v>
      </c>
      <c r="F122">
        <v>1840908</v>
      </c>
      <c r="G122">
        <v>0.95450000000000002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-6.3084112149532245E-2</v>
      </c>
      <c r="Q122">
        <f t="shared" ref="Q122" si="586">F122*P122</f>
        <v>-116132.04672897111</v>
      </c>
      <c r="R122">
        <f t="shared" ref="R122" si="587">R123+Q122</f>
        <v>30037656.447067894</v>
      </c>
      <c r="S122">
        <f t="shared" ref="S122" si="588">R122/100000</f>
        <v>300.37656447067894</v>
      </c>
      <c r="T122">
        <f t="shared" ref="T122" si="589">S122/1000</f>
        <v>0.30037656447067895</v>
      </c>
    </row>
    <row r="123" spans="1:20" x14ac:dyDescent="0.25">
      <c r="A123" s="5">
        <v>44470</v>
      </c>
      <c r="B123">
        <v>0.87450000000000006</v>
      </c>
      <c r="C123">
        <v>0.99399999999999999</v>
      </c>
      <c r="D123">
        <v>0.8639</v>
      </c>
      <c r="E123">
        <v>0.95009999999999994</v>
      </c>
      <c r="F123">
        <v>1572175</v>
      </c>
      <c r="G123">
        <v>0.95009999999999994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0.32513451191391157</v>
      </c>
      <c r="Q123">
        <f t="shared" ref="Q123" si="591">F123*P123</f>
        <v>511168.35126825393</v>
      </c>
      <c r="R123">
        <f t="shared" ref="R123" si="592">R124+Q123</f>
        <v>30153788.493796866</v>
      </c>
      <c r="S123">
        <f t="shared" ref="S123" si="593">R123/100000</f>
        <v>301.53788493796867</v>
      </c>
      <c r="T123">
        <f t="shared" ref="T123" si="594">S123/1000</f>
        <v>0.30153788493796868</v>
      </c>
    </row>
    <row r="124" spans="1:20" x14ac:dyDescent="0.25">
      <c r="A124" s="5">
        <v>44469</v>
      </c>
      <c r="B124">
        <v>0.84240000000000004</v>
      </c>
      <c r="C124">
        <v>0.90169999999999995</v>
      </c>
      <c r="D124">
        <v>0.83889999999999998</v>
      </c>
      <c r="E124">
        <v>0.874</v>
      </c>
      <c r="F124">
        <v>1150067</v>
      </c>
      <c r="G124">
        <v>0.874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0.11783439490445982</v>
      </c>
      <c r="Q124">
        <f t="shared" ref="Q124" si="596">F124*P124</f>
        <v>135517.44904458738</v>
      </c>
      <c r="R124">
        <f t="shared" ref="R124" si="597">R125+Q124</f>
        <v>29642620.142528612</v>
      </c>
      <c r="S124">
        <f t="shared" ref="S124" si="598">R124/100000</f>
        <v>296.42620142528614</v>
      </c>
      <c r="T124">
        <f t="shared" ref="T124" si="599">S124/1000</f>
        <v>0.29642620142528614</v>
      </c>
    </row>
    <row r="125" spans="1:20" x14ac:dyDescent="0.25">
      <c r="A125" s="5">
        <v>44468</v>
      </c>
      <c r="B125">
        <v>0.83730000000000004</v>
      </c>
      <c r="C125">
        <v>0.88819999999999999</v>
      </c>
      <c r="D125">
        <v>0.82210000000000005</v>
      </c>
      <c r="E125">
        <v>0.84330000000000005</v>
      </c>
      <c r="F125">
        <v>1323117</v>
      </c>
      <c r="G125">
        <v>0.84330000000000005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-0.35854765506807817</v>
      </c>
      <c r="Q125">
        <f t="shared" ref="Q125" si="601">F125*P125</f>
        <v>-474400.49773071037</v>
      </c>
      <c r="R125">
        <f t="shared" ref="R125" si="602">R126+Q125</f>
        <v>29507102.693484023</v>
      </c>
      <c r="S125">
        <f t="shared" ref="S125" si="603">R125/100000</f>
        <v>295.07102693484023</v>
      </c>
      <c r="T125">
        <f t="shared" ref="T125" si="604">S125/1000</f>
        <v>0.29507102693484022</v>
      </c>
    </row>
    <row r="126" spans="1:20" x14ac:dyDescent="0.25">
      <c r="A126" s="5">
        <v>44467</v>
      </c>
      <c r="B126">
        <v>0.90700000000000003</v>
      </c>
      <c r="C126">
        <v>0.93569999999999998</v>
      </c>
      <c r="D126">
        <v>0.83389999999999997</v>
      </c>
      <c r="E126">
        <v>0.83860000000000001</v>
      </c>
      <c r="F126">
        <v>3650908</v>
      </c>
      <c r="G126">
        <v>0.83860000000000001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-0.90766208251473401</v>
      </c>
      <c r="Q126">
        <f t="shared" ref="Q126" si="606">F126*P126</f>
        <v>-3313790.7583497027</v>
      </c>
      <c r="R126">
        <f t="shared" ref="R126" si="607">R127+Q126</f>
        <v>29981503.191214733</v>
      </c>
      <c r="S126">
        <f t="shared" ref="S126" si="608">R126/100000</f>
        <v>299.81503191214733</v>
      </c>
      <c r="T126">
        <f t="shared" ref="T126" si="609">S126/1000</f>
        <v>0.29981503191214731</v>
      </c>
    </row>
    <row r="127" spans="1:20" x14ac:dyDescent="0.25">
      <c r="A127" s="5">
        <v>44466</v>
      </c>
      <c r="B127">
        <v>0.92190000000000005</v>
      </c>
      <c r="C127">
        <v>1.0973999999999999</v>
      </c>
      <c r="D127">
        <v>0.89949999999999997</v>
      </c>
      <c r="E127">
        <v>0.90680000000000005</v>
      </c>
      <c r="F127">
        <v>7041100</v>
      </c>
      <c r="G127">
        <v>0.90680000000000005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-0.92622536634663888</v>
      </c>
      <c r="Q127">
        <f t="shared" ref="Q127" si="611">F127*P127</f>
        <v>-6521645.4269833192</v>
      </c>
      <c r="R127">
        <f t="shared" ref="R127" si="612">R128+Q127</f>
        <v>33295293.949564435</v>
      </c>
      <c r="S127">
        <f t="shared" ref="S127" si="613">R127/100000</f>
        <v>332.95293949564433</v>
      </c>
      <c r="T127">
        <f t="shared" ref="T127" si="614">S127/1000</f>
        <v>0.33295293949564431</v>
      </c>
    </row>
    <row r="128" spans="1:20" x14ac:dyDescent="0.25">
      <c r="A128" s="5">
        <v>44465</v>
      </c>
      <c r="B128">
        <v>0.94269999999999998</v>
      </c>
      <c r="C128">
        <v>1.0805</v>
      </c>
      <c r="D128">
        <v>0.84289999999999998</v>
      </c>
      <c r="E128">
        <v>0.92249999999999999</v>
      </c>
      <c r="F128">
        <v>7326216</v>
      </c>
      <c r="G128">
        <v>0.92249999999999999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-0.32996632996633002</v>
      </c>
      <c r="Q128">
        <f t="shared" ref="Q128" si="616">F128*P128</f>
        <v>-2417404.6060606064</v>
      </c>
      <c r="R128">
        <f t="shared" ref="R128" si="617">R129+Q128</f>
        <v>39816939.376547754</v>
      </c>
      <c r="S128">
        <f t="shared" ref="S128" si="618">R128/100000</f>
        <v>398.16939376547754</v>
      </c>
      <c r="T128">
        <f t="shared" ref="T128" si="619">S128/1000</f>
        <v>0.39816939376547755</v>
      </c>
    </row>
    <row r="129" spans="1:20" x14ac:dyDescent="0.25">
      <c r="A129" s="5">
        <v>44464</v>
      </c>
      <c r="B129">
        <v>0.88859999999999995</v>
      </c>
      <c r="C129">
        <v>0.96499999999999997</v>
      </c>
      <c r="D129">
        <v>0.85350000000000004</v>
      </c>
      <c r="E129">
        <v>0.94030000000000002</v>
      </c>
      <c r="F129">
        <v>3296061</v>
      </c>
      <c r="G129">
        <v>0.94030000000000002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0.55695067264574061</v>
      </c>
      <c r="Q129">
        <f t="shared" ref="Q129" si="621">F129*P129</f>
        <v>1835743.3910313924</v>
      </c>
      <c r="R129">
        <f t="shared" ref="R129" si="622">R130+Q129</f>
        <v>42234343.982608363</v>
      </c>
      <c r="S129">
        <f t="shared" ref="S129" si="623">R129/100000</f>
        <v>422.34343982608362</v>
      </c>
      <c r="T129">
        <f t="shared" ref="T129" si="624">S129/1000</f>
        <v>0.42234343982608363</v>
      </c>
    </row>
    <row r="130" spans="1:20" x14ac:dyDescent="0.25">
      <c r="A130" s="5">
        <v>44463</v>
      </c>
      <c r="B130">
        <v>0.97270000000000001</v>
      </c>
      <c r="C130">
        <v>0.97650000000000003</v>
      </c>
      <c r="D130">
        <v>0.83079999999999998</v>
      </c>
      <c r="E130">
        <v>0.88859999999999995</v>
      </c>
      <c r="F130">
        <v>2146801</v>
      </c>
      <c r="G130">
        <v>0.88859999999999995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-0.2065888812628697</v>
      </c>
      <c r="Q130">
        <f t="shared" ref="Q130" si="626">F130*P130</f>
        <v>-443505.21688400995</v>
      </c>
      <c r="R130">
        <f t="shared" ref="R130" si="627">R131+Q130</f>
        <v>40398600.591576971</v>
      </c>
      <c r="S130">
        <f t="shared" ref="S130" si="628">R130/100000</f>
        <v>403.98600591576974</v>
      </c>
      <c r="T130">
        <f t="shared" ref="T130" si="629">S130/1000</f>
        <v>0.40398600591576972</v>
      </c>
    </row>
    <row r="131" spans="1:20" x14ac:dyDescent="0.25">
      <c r="A131" s="5">
        <v>44462</v>
      </c>
      <c r="B131">
        <v>0.97240000000000004</v>
      </c>
      <c r="C131">
        <v>0.98829999999999996</v>
      </c>
      <c r="D131">
        <v>0.93359999999999999</v>
      </c>
      <c r="E131">
        <v>0.97150000000000003</v>
      </c>
      <c r="F131">
        <v>9700138</v>
      </c>
      <c r="G131">
        <v>0.97150000000000003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0.38574040219378664</v>
      </c>
      <c r="Q131">
        <f t="shared" ref="Q131" si="631">F131*P131</f>
        <v>3741735.1334552332</v>
      </c>
      <c r="R131">
        <f t="shared" ref="R131" si="632">R132+Q131</f>
        <v>40842105.808460981</v>
      </c>
      <c r="S131">
        <f t="shared" ref="S131" si="633">R131/100000</f>
        <v>408.4210580846098</v>
      </c>
      <c r="T131">
        <f t="shared" ref="T131" si="634">S131/1000</f>
        <v>0.40842105808460982</v>
      </c>
    </row>
    <row r="132" spans="1:20" x14ac:dyDescent="0.25">
      <c r="A132" s="5">
        <v>44461</v>
      </c>
      <c r="B132">
        <v>0.84540000000000004</v>
      </c>
      <c r="C132">
        <v>1.0696000000000001</v>
      </c>
      <c r="D132">
        <v>0.83709999999999996</v>
      </c>
      <c r="E132">
        <v>0.97240000000000004</v>
      </c>
      <c r="F132">
        <v>13253449</v>
      </c>
      <c r="G132">
        <v>0.97240000000000004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0.16387096774193546</v>
      </c>
      <c r="Q132">
        <f t="shared" ref="Q132" si="636">F132*P132</f>
        <v>2171855.5135483867</v>
      </c>
      <c r="R132">
        <f t="shared" ref="R132" si="637">R133+Q132</f>
        <v>37100370.675005749</v>
      </c>
      <c r="S132">
        <f t="shared" ref="S132" si="638">R132/100000</f>
        <v>371.00370675005746</v>
      </c>
      <c r="T132">
        <f t="shared" ref="T132" si="639">S132/1000</f>
        <v>0.37100370675005745</v>
      </c>
    </row>
    <row r="133" spans="1:20" x14ac:dyDescent="0.25">
      <c r="A133" s="5">
        <v>44460</v>
      </c>
      <c r="B133">
        <v>0.88190000000000002</v>
      </c>
      <c r="C133">
        <v>0.96909999999999996</v>
      </c>
      <c r="D133">
        <v>0.80530000000000002</v>
      </c>
      <c r="E133">
        <v>0.8468</v>
      </c>
      <c r="F133">
        <v>2063907.88</v>
      </c>
      <c r="G133">
        <v>0.8468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-0.49328449328449336</v>
      </c>
      <c r="Q133">
        <f t="shared" ref="Q133" si="641">F133*P133</f>
        <v>-1018093.7527716729</v>
      </c>
      <c r="R133">
        <f t="shared" ref="R133" si="642">R134+Q133</f>
        <v>34928515.16145736</v>
      </c>
      <c r="S133">
        <f t="shared" ref="S133" si="643">R133/100000</f>
        <v>349.28515161457358</v>
      </c>
      <c r="T133">
        <f t="shared" ref="T133" si="644">S133/1000</f>
        <v>0.34928515161457357</v>
      </c>
    </row>
    <row r="134" spans="1:20" x14ac:dyDescent="0.25">
      <c r="A134" s="5">
        <v>44459</v>
      </c>
      <c r="B134">
        <v>1.0305</v>
      </c>
      <c r="C134">
        <v>1.0321</v>
      </c>
      <c r="D134">
        <v>0.91579999999999995</v>
      </c>
      <c r="E134">
        <v>0.93610000000000004</v>
      </c>
      <c r="F134">
        <v>993635</v>
      </c>
      <c r="G134">
        <v>0.93610000000000004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-0.65090283748925049</v>
      </c>
      <c r="Q134">
        <f t="shared" ref="Q134" si="646">F134*P134</f>
        <v>-646759.84092863137</v>
      </c>
      <c r="R134">
        <f t="shared" ref="R134" si="647">R135+Q134</f>
        <v>35946608.914229035</v>
      </c>
      <c r="S134">
        <f t="shared" ref="S134" si="648">R134/100000</f>
        <v>359.46608914229034</v>
      </c>
      <c r="T134">
        <f t="shared" ref="T134" si="649">S134/1000</f>
        <v>0.35946608914229033</v>
      </c>
    </row>
    <row r="135" spans="1:20" x14ac:dyDescent="0.25">
      <c r="A135" s="5">
        <v>44458</v>
      </c>
      <c r="B135">
        <v>1.0696000000000001</v>
      </c>
      <c r="C135">
        <v>1.0815999999999999</v>
      </c>
      <c r="D135">
        <v>1.0162</v>
      </c>
      <c r="E135">
        <v>1.0288999999999999</v>
      </c>
      <c r="F135">
        <v>945751</v>
      </c>
      <c r="G135">
        <v>1.0288999999999999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-0.61162079510703504</v>
      </c>
      <c r="Q135">
        <f t="shared" ref="Q135" si="651">F135*P135</f>
        <v>-578440.97859327355</v>
      </c>
      <c r="R135">
        <f t="shared" ref="R135" si="652">R136+Q135</f>
        <v>36593368.755157664</v>
      </c>
      <c r="S135">
        <f t="shared" ref="S135" si="653">R135/100000</f>
        <v>365.93368755157667</v>
      </c>
      <c r="T135">
        <f t="shared" ref="T135" si="654">S135/1000</f>
        <v>0.36593368755157668</v>
      </c>
    </row>
    <row r="136" spans="1:20" x14ac:dyDescent="0.25">
      <c r="A136" s="5">
        <v>44457</v>
      </c>
      <c r="B136">
        <v>1.0449999999999999</v>
      </c>
      <c r="C136">
        <v>1.1016999999999999</v>
      </c>
      <c r="D136">
        <v>1.0374000000000001</v>
      </c>
      <c r="E136">
        <v>1.0724</v>
      </c>
      <c r="F136">
        <v>624131</v>
      </c>
      <c r="G136">
        <v>1.0724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8.8646967340591853E-2</v>
      </c>
      <c r="Q136">
        <f t="shared" ref="Q136" si="656">F136*P136</f>
        <v>55327.320373250936</v>
      </c>
      <c r="R136">
        <f t="shared" ref="R136" si="657">R137+Q136</f>
        <v>37171809.733750939</v>
      </c>
      <c r="S136">
        <f t="shared" ref="S136" si="658">R136/100000</f>
        <v>371.71809733750939</v>
      </c>
      <c r="T136">
        <f t="shared" ref="T136" si="659">S136/1000</f>
        <v>0.37171809733750938</v>
      </c>
    </row>
    <row r="137" spans="1:20" x14ac:dyDescent="0.25">
      <c r="A137" s="5">
        <v>44456</v>
      </c>
      <c r="B137">
        <v>1.1080000000000001</v>
      </c>
      <c r="C137">
        <v>1.1138999999999999</v>
      </c>
      <c r="D137">
        <v>1.0322</v>
      </c>
      <c r="E137">
        <v>1.0435000000000001</v>
      </c>
      <c r="F137">
        <v>1080508</v>
      </c>
      <c r="G137">
        <v>1.0435000000000001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-0.72337821297429361</v>
      </c>
      <c r="Q137">
        <f t="shared" ref="Q137" si="661">F137*P137</f>
        <v>-781615.94614442799</v>
      </c>
      <c r="R137">
        <f t="shared" ref="R137" si="662">R138+Q137</f>
        <v>37116482.413377687</v>
      </c>
      <c r="S137">
        <f t="shared" ref="S137" si="663">R137/100000</f>
        <v>371.16482413377685</v>
      </c>
      <c r="T137">
        <f t="shared" ref="T137" si="664">S137/1000</f>
        <v>0.37116482413377683</v>
      </c>
    </row>
    <row r="138" spans="1:20" x14ac:dyDescent="0.25">
      <c r="A138" s="5">
        <v>44455</v>
      </c>
      <c r="B138">
        <v>1.1607000000000001</v>
      </c>
      <c r="C138">
        <v>1.1637</v>
      </c>
      <c r="D138">
        <v>1.0876999999999999</v>
      </c>
      <c r="E138">
        <v>1.1080000000000001</v>
      </c>
      <c r="F138">
        <v>1225215</v>
      </c>
      <c r="G138">
        <v>1.1080000000000001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-0.46578947368420553</v>
      </c>
      <c r="Q138">
        <f t="shared" ref="Q138" si="666">F138*P138</f>
        <v>-570692.24999999383</v>
      </c>
      <c r="R138">
        <f t="shared" ref="R138" si="667">R139+Q138</f>
        <v>37898098.359522112</v>
      </c>
      <c r="S138">
        <f t="shared" ref="S138" si="668">R138/100000</f>
        <v>378.98098359522112</v>
      </c>
      <c r="T138">
        <f t="shared" ref="T138" si="669">S138/1000</f>
        <v>0.37898098359522114</v>
      </c>
    </row>
    <row r="139" spans="1:20" x14ac:dyDescent="0.25">
      <c r="A139" s="5">
        <v>44454</v>
      </c>
      <c r="B139">
        <v>1.1115999999999999</v>
      </c>
      <c r="C139">
        <v>1.1720999999999999</v>
      </c>
      <c r="D139">
        <v>1.0986</v>
      </c>
      <c r="E139">
        <v>1.1606000000000001</v>
      </c>
      <c r="F139">
        <v>1268816</v>
      </c>
      <c r="G139">
        <v>1.1606000000000001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0.68707482993197666</v>
      </c>
      <c r="Q139">
        <f t="shared" ref="Q139" si="671">F139*P139</f>
        <v>871771.53741497092</v>
      </c>
      <c r="R139">
        <f t="shared" ref="R139" si="672">R140+Q139</f>
        <v>38468790.609522104</v>
      </c>
      <c r="S139">
        <f t="shared" ref="S139" si="673">R139/100000</f>
        <v>384.68790609522102</v>
      </c>
      <c r="T139">
        <f t="shared" ref="T139" si="674">S139/1000</f>
        <v>0.38468790609522102</v>
      </c>
    </row>
    <row r="140" spans="1:20" x14ac:dyDescent="0.25">
      <c r="A140" s="5">
        <v>44453</v>
      </c>
      <c r="B140">
        <v>1.0888</v>
      </c>
      <c r="C140">
        <v>1.1184000000000001</v>
      </c>
      <c r="D140">
        <v>1.0789</v>
      </c>
      <c r="E140">
        <v>1.1114999999999999</v>
      </c>
      <c r="F140">
        <v>1523261</v>
      </c>
      <c r="G140">
        <v>1.1114999999999999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0.65063291139239932</v>
      </c>
      <c r="Q140">
        <f t="shared" ref="Q140" si="676">F140*P140</f>
        <v>991083.73924049758</v>
      </c>
      <c r="R140">
        <f t="shared" ref="R140" si="677">R141+Q140</f>
        <v>37597019.072107136</v>
      </c>
      <c r="S140">
        <f t="shared" ref="S140" si="678">R140/100000</f>
        <v>375.97019072107139</v>
      </c>
      <c r="T140">
        <f t="shared" ref="T140" si="679">S140/1000</f>
        <v>0.37597019072107141</v>
      </c>
    </row>
    <row r="141" spans="1:20" x14ac:dyDescent="0.25">
      <c r="A141" s="5">
        <v>44452</v>
      </c>
      <c r="B141">
        <v>1.1599999999999999</v>
      </c>
      <c r="C141">
        <v>1.1740999999999999</v>
      </c>
      <c r="D141">
        <v>1.0233000000000001</v>
      </c>
      <c r="E141">
        <v>1.0900000000000001</v>
      </c>
      <c r="F141">
        <v>1676080</v>
      </c>
      <c r="G141">
        <v>1.0900000000000001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-0.11538461538461459</v>
      </c>
      <c r="Q141">
        <f t="shared" ref="Q141" si="681">F141*P141</f>
        <v>-193393.84615384482</v>
      </c>
      <c r="R141">
        <f t="shared" ref="R141" si="682">R142+Q141</f>
        <v>36605935.332866639</v>
      </c>
      <c r="S141">
        <f t="shared" ref="S141" si="683">R141/100000</f>
        <v>366.05935332866636</v>
      </c>
      <c r="T141">
        <f t="shared" ref="T141" si="684">S141/1000</f>
        <v>0.36605935332866635</v>
      </c>
    </row>
    <row r="142" spans="1:20" x14ac:dyDescent="0.25">
      <c r="A142" s="5">
        <v>44451</v>
      </c>
      <c r="B142">
        <v>1.1719999999999999</v>
      </c>
      <c r="C142">
        <v>1.2132000000000001</v>
      </c>
      <c r="D142">
        <v>1.0951</v>
      </c>
      <c r="E142">
        <v>1.1612</v>
      </c>
      <c r="F142">
        <v>2698505</v>
      </c>
      <c r="G142">
        <v>1.1612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0.11939034716342074</v>
      </c>
      <c r="Q142">
        <f t="shared" ref="Q142" si="686">F142*P142</f>
        <v>322175.44877222669</v>
      </c>
      <c r="R142">
        <f t="shared" ref="R142" si="687">R143+Q142</f>
        <v>36799329.179020487</v>
      </c>
      <c r="S142">
        <f t="shared" ref="S142" si="688">R142/100000</f>
        <v>367.99329179020486</v>
      </c>
      <c r="T142">
        <f t="shared" ref="T142" si="689">S142/1000</f>
        <v>0.36799329179020485</v>
      </c>
    </row>
    <row r="143" spans="1:20" x14ac:dyDescent="0.25">
      <c r="A143" s="5">
        <v>44450</v>
      </c>
      <c r="B143">
        <v>1.0507</v>
      </c>
      <c r="C143">
        <v>1.2685</v>
      </c>
      <c r="D143">
        <v>1.0452999999999999</v>
      </c>
      <c r="E143">
        <v>1.1714</v>
      </c>
      <c r="F143">
        <v>5849073</v>
      </c>
      <c r="G143">
        <v>1.1714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0.12992831541218697</v>
      </c>
      <c r="Q143">
        <f t="shared" ref="Q143" si="691">F143*P143</f>
        <v>759960.20161290665</v>
      </c>
      <c r="R143">
        <f t="shared" ref="R143" si="692">R144+Q143</f>
        <v>36477153.730248258</v>
      </c>
      <c r="S143">
        <f t="shared" ref="S143" si="693">R143/100000</f>
        <v>364.77153730248256</v>
      </c>
      <c r="T143">
        <f t="shared" ref="T143" si="694">S143/1000</f>
        <v>0.36477153730248257</v>
      </c>
    </row>
    <row r="144" spans="1:20" x14ac:dyDescent="0.25">
      <c r="A144" s="5">
        <v>44449</v>
      </c>
      <c r="B144">
        <v>1.1113</v>
      </c>
      <c r="C144">
        <v>1.1933</v>
      </c>
      <c r="D144">
        <v>1.022</v>
      </c>
      <c r="E144">
        <v>1.0507</v>
      </c>
      <c r="F144">
        <v>2415711</v>
      </c>
      <c r="G144">
        <v>1.0507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-0.66491535318155348</v>
      </c>
      <c r="Q144">
        <f t="shared" ref="Q144" si="696">F144*P144</f>
        <v>-1606243.3327495637</v>
      </c>
      <c r="R144">
        <f t="shared" ref="R144" si="697">R145+Q144</f>
        <v>35717193.528635353</v>
      </c>
      <c r="S144">
        <f t="shared" ref="S144" si="698">R144/100000</f>
        <v>357.17193528635352</v>
      </c>
      <c r="T144">
        <f t="shared" ref="T144" si="699">S144/1000</f>
        <v>0.35717193528635349</v>
      </c>
    </row>
    <row r="145" spans="1:20" x14ac:dyDescent="0.25">
      <c r="A145" s="5">
        <v>44448</v>
      </c>
      <c r="B145">
        <v>1.1301000000000001</v>
      </c>
      <c r="C145">
        <v>1.1838</v>
      </c>
      <c r="D145">
        <v>1.0901000000000001</v>
      </c>
      <c r="E145">
        <v>1.1106</v>
      </c>
      <c r="F145">
        <v>2366081</v>
      </c>
      <c r="G145">
        <v>1.1106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-0.56243329775880502</v>
      </c>
      <c r="Q145">
        <f t="shared" ref="Q145" si="701">F145*P145</f>
        <v>-1330762.7395944512</v>
      </c>
      <c r="R145">
        <f t="shared" ref="R145" si="702">R146+Q145</f>
        <v>37323436.861384913</v>
      </c>
      <c r="S145">
        <f t="shared" ref="S145" si="703">R145/100000</f>
        <v>373.23436861384914</v>
      </c>
      <c r="T145">
        <f t="shared" ref="T145" si="704">S145/1000</f>
        <v>0.37323436861384912</v>
      </c>
    </row>
    <row r="146" spans="1:20" x14ac:dyDescent="0.25">
      <c r="A146" s="5">
        <v>44447</v>
      </c>
      <c r="B146">
        <v>1.1342000000000001</v>
      </c>
      <c r="C146">
        <v>1.1949000000000001</v>
      </c>
      <c r="D146">
        <v>1.01</v>
      </c>
      <c r="E146">
        <v>1.1311</v>
      </c>
      <c r="F146">
        <v>2581987</v>
      </c>
      <c r="G146">
        <v>1.1311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0.30989724175229794</v>
      </c>
      <c r="Q146">
        <f t="shared" ref="Q146" si="706">F146*P146</f>
        <v>800150.64954029047</v>
      </c>
      <c r="R146">
        <f t="shared" ref="R146" si="707">R147+Q146</f>
        <v>38654199.600979365</v>
      </c>
      <c r="S146">
        <f t="shared" ref="S146" si="708">R146/100000</f>
        <v>386.54199600979365</v>
      </c>
      <c r="T146">
        <f t="shared" ref="T146" si="709">S146/1000</f>
        <v>0.38654199600979366</v>
      </c>
    </row>
    <row r="147" spans="1:20" x14ac:dyDescent="0.25">
      <c r="A147" s="5">
        <v>44446</v>
      </c>
      <c r="B147">
        <v>1.4505999999999999</v>
      </c>
      <c r="C147">
        <v>1.4689000000000001</v>
      </c>
      <c r="D147">
        <v>0.91300000000000003</v>
      </c>
      <c r="E147">
        <v>1.1334</v>
      </c>
      <c r="F147">
        <v>7068909.1100000003</v>
      </c>
      <c r="G147">
        <v>1.1334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-0.20705162799064614</v>
      </c>
      <c r="Q147">
        <f t="shared" ref="Q147" si="711">F147*P147</f>
        <v>-1463629.1393434096</v>
      </c>
      <c r="R147">
        <f t="shared" ref="R147" si="712">R148+Q147</f>
        <v>37854048.951439075</v>
      </c>
      <c r="S147">
        <f t="shared" ref="S147" si="713">R147/100000</f>
        <v>378.54048951439074</v>
      </c>
      <c r="T147">
        <f t="shared" ref="T147" si="714">S147/1000</f>
        <v>0.37854048951439073</v>
      </c>
    </row>
    <row r="148" spans="1:20" x14ac:dyDescent="0.25">
      <c r="A148" s="5">
        <v>44445</v>
      </c>
      <c r="B148">
        <v>1.3407</v>
      </c>
      <c r="C148">
        <v>1.6278999999999999</v>
      </c>
      <c r="D148">
        <v>1.3380000000000001</v>
      </c>
      <c r="E148">
        <v>1.4507000000000001</v>
      </c>
      <c r="F148">
        <v>13122682.140000001</v>
      </c>
      <c r="G148">
        <v>1.4507000000000001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-0.22249051397033398</v>
      </c>
      <c r="Q148">
        <f t="shared" ref="Q148" si="716">F148*P148</f>
        <v>-2919672.2939979224</v>
      </c>
      <c r="R148">
        <f t="shared" ref="R148" si="717">R149+Q148</f>
        <v>39317678.090782486</v>
      </c>
      <c r="S148">
        <f t="shared" ref="S148" si="718">R148/100000</f>
        <v>393.17678090782488</v>
      </c>
      <c r="T148">
        <f t="shared" ref="T148" si="719">S148/1000</f>
        <v>0.39317678090782487</v>
      </c>
    </row>
    <row r="149" spans="1:20" x14ac:dyDescent="0.25">
      <c r="A149" s="5">
        <v>44444</v>
      </c>
      <c r="B149">
        <v>1.2751999999999999</v>
      </c>
      <c r="C149">
        <v>1.3489</v>
      </c>
      <c r="D149">
        <v>1.2439</v>
      </c>
      <c r="E149">
        <v>1.3407</v>
      </c>
      <c r="F149">
        <v>2751237.28</v>
      </c>
      <c r="G149">
        <v>1.3407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0.84380952380952412</v>
      </c>
      <c r="Q149">
        <f t="shared" ref="Q149" si="721">F149*P149</f>
        <v>2321520.2191238101</v>
      </c>
      <c r="R149">
        <f t="shared" ref="R149" si="722">R150+Q149</f>
        <v>42237350.384780407</v>
      </c>
      <c r="S149">
        <f t="shared" ref="S149" si="723">R149/100000</f>
        <v>422.37350384780405</v>
      </c>
      <c r="T149">
        <f t="shared" ref="T149" si="724">S149/1000</f>
        <v>0.42237350384780403</v>
      </c>
    </row>
    <row r="150" spans="1:20" x14ac:dyDescent="0.25">
      <c r="A150" s="5">
        <v>44443</v>
      </c>
      <c r="B150">
        <v>1.2326999999999999</v>
      </c>
      <c r="C150">
        <v>1.2988</v>
      </c>
      <c r="D150">
        <v>1.2039</v>
      </c>
      <c r="E150">
        <v>1.2766</v>
      </c>
      <c r="F150">
        <v>2915128.75</v>
      </c>
      <c r="G150">
        <v>1.2766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0.53213909378292934</v>
      </c>
      <c r="Q150">
        <f t="shared" ref="Q150" si="726">F150*P150</f>
        <v>1551253.9712855637</v>
      </c>
      <c r="R150">
        <f t="shared" ref="R150" si="727">R151+Q150</f>
        <v>39915830.165656596</v>
      </c>
      <c r="S150">
        <f t="shared" ref="S150" si="728">R150/100000</f>
        <v>399.15830165656598</v>
      </c>
      <c r="T150">
        <f t="shared" ref="T150" si="729">S150/1000</f>
        <v>0.39915830165656596</v>
      </c>
    </row>
    <row r="151" spans="1:20" x14ac:dyDescent="0.25">
      <c r="A151" s="5">
        <v>44442</v>
      </c>
      <c r="B151">
        <v>1.1963999999999999</v>
      </c>
      <c r="C151">
        <v>1.2641</v>
      </c>
      <c r="D151">
        <v>1.1720999999999999</v>
      </c>
      <c r="E151">
        <v>1.2326999999999999</v>
      </c>
      <c r="F151">
        <v>1948178</v>
      </c>
      <c r="G151">
        <v>1.2326999999999999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0.31739130434782464</v>
      </c>
      <c r="Q151">
        <f t="shared" ref="Q151" si="731">F151*P151</f>
        <v>618334.75652173627</v>
      </c>
      <c r="R151">
        <f t="shared" ref="R151" si="732">R152+Q151</f>
        <v>38364576.19437103</v>
      </c>
      <c r="S151">
        <f t="shared" ref="S151" si="733">R151/100000</f>
        <v>383.64576194371028</v>
      </c>
      <c r="T151">
        <f t="shared" ref="T151" si="734">S151/1000</f>
        <v>0.38364576194371031</v>
      </c>
    </row>
    <row r="152" spans="1:20" x14ac:dyDescent="0.25">
      <c r="A152" s="5">
        <v>44441</v>
      </c>
      <c r="B152">
        <v>1.1935</v>
      </c>
      <c r="C152">
        <v>1.2751999999999999</v>
      </c>
      <c r="D152">
        <v>1.1718</v>
      </c>
      <c r="E152">
        <v>1.1967000000000001</v>
      </c>
      <c r="F152">
        <v>3412494.19</v>
      </c>
      <c r="G152">
        <v>1.1967000000000001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-0.51837524177949401</v>
      </c>
      <c r="Q152">
        <f t="shared" ref="Q152" si="736">F152*P152</f>
        <v>-1768952.5008123685</v>
      </c>
      <c r="R152">
        <f t="shared" ref="R152" si="737">R153+Q152</f>
        <v>37746241.437849291</v>
      </c>
      <c r="S152">
        <f t="shared" ref="S152" si="738">R152/100000</f>
        <v>377.46241437849289</v>
      </c>
      <c r="T152">
        <f t="shared" ref="T152" si="739">S152/1000</f>
        <v>0.37746241437849287</v>
      </c>
    </row>
    <row r="153" spans="1:20" x14ac:dyDescent="0.25">
      <c r="A153" s="5">
        <v>44440</v>
      </c>
      <c r="B153">
        <v>1.0822000000000001</v>
      </c>
      <c r="C153">
        <v>1.198</v>
      </c>
      <c r="D153">
        <v>1.0619000000000001</v>
      </c>
      <c r="E153">
        <v>1.1950000000000001</v>
      </c>
      <c r="F153">
        <v>2553125.63</v>
      </c>
      <c r="G153">
        <v>1.1950000000000001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0.95591476855253643</v>
      </c>
      <c r="Q153">
        <f t="shared" ref="Q153" si="741">F153*P153</f>
        <v>2440570.4956869986</v>
      </c>
      <c r="R153">
        <f t="shared" ref="R153" si="742">R154+Q153</f>
        <v>39515193.938661657</v>
      </c>
      <c r="S153">
        <f t="shared" ref="S153" si="743">R153/100000</f>
        <v>395.15193938661656</v>
      </c>
      <c r="T153">
        <f t="shared" ref="T153" si="744">S153/1000</f>
        <v>0.39515193938661658</v>
      </c>
    </row>
    <row r="154" spans="1:20" x14ac:dyDescent="0.25">
      <c r="A154" s="5">
        <v>44439</v>
      </c>
      <c r="B154">
        <v>1.089</v>
      </c>
      <c r="C154">
        <v>1.1674</v>
      </c>
      <c r="D154">
        <v>1.0648</v>
      </c>
      <c r="E154">
        <v>1.0808</v>
      </c>
      <c r="F154">
        <v>3715088</v>
      </c>
      <c r="G154">
        <v>1.0808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-0.68810916179337211</v>
      </c>
      <c r="Q154">
        <f t="shared" ref="Q154" si="746">F154*P154</f>
        <v>-2556386.0896686153</v>
      </c>
      <c r="R154">
        <f t="shared" ref="R154" si="747">R155+Q154</f>
        <v>37074623.442974657</v>
      </c>
      <c r="S154">
        <f t="shared" ref="S154" si="748">R154/100000</f>
        <v>370.74623442974655</v>
      </c>
      <c r="T154">
        <f t="shared" ref="T154" si="749">S154/1000</f>
        <v>0.37074623442974652</v>
      </c>
    </row>
    <row r="155" spans="1:20" x14ac:dyDescent="0.25">
      <c r="A155" s="5">
        <v>44438</v>
      </c>
      <c r="B155">
        <v>1.0562</v>
      </c>
      <c r="C155">
        <v>1.1759999999999999</v>
      </c>
      <c r="D155">
        <v>1.0359</v>
      </c>
      <c r="E155">
        <v>1.0874999999999999</v>
      </c>
      <c r="F155">
        <v>3654020.94</v>
      </c>
      <c r="G155">
        <v>1.0874999999999999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-0.26338329764454094</v>
      </c>
      <c r="Q155">
        <f t="shared" ref="Q155" si="751">F155*P155</f>
        <v>-962408.08483940526</v>
      </c>
      <c r="R155">
        <f t="shared" ref="R155" si="752">R156+Q155</f>
        <v>39631009.532643273</v>
      </c>
      <c r="S155">
        <f t="shared" ref="S155" si="753">R155/100000</f>
        <v>396.31009532643276</v>
      </c>
      <c r="T155">
        <f t="shared" ref="T155" si="754">S155/1000</f>
        <v>0.39631009532643274</v>
      </c>
    </row>
    <row r="156" spans="1:20" x14ac:dyDescent="0.25">
      <c r="A156" s="5">
        <v>44437</v>
      </c>
      <c r="B156">
        <v>1.048</v>
      </c>
      <c r="C156">
        <v>1.0821000000000001</v>
      </c>
      <c r="D156">
        <v>1.0285</v>
      </c>
      <c r="E156">
        <v>1.0562</v>
      </c>
      <c r="F156">
        <v>1116122</v>
      </c>
      <c r="G156">
        <v>1.0562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3.3582089552239194E-2</v>
      </c>
      <c r="Q156">
        <f t="shared" ref="Q156" si="756">F156*P156</f>
        <v>37481.708955224312</v>
      </c>
      <c r="R156">
        <f t="shared" ref="R156" si="757">R157+Q156</f>
        <v>40593417.617482677</v>
      </c>
      <c r="S156">
        <f t="shared" ref="S156" si="758">R156/100000</f>
        <v>405.93417617482675</v>
      </c>
      <c r="T156">
        <f t="shared" ref="T156" si="759">S156/1000</f>
        <v>0.40593417617482674</v>
      </c>
    </row>
    <row r="157" spans="1:20" x14ac:dyDescent="0.25">
      <c r="A157" s="5">
        <v>44436</v>
      </c>
      <c r="B157">
        <v>1.0893999999999999</v>
      </c>
      <c r="C157">
        <v>1.0968</v>
      </c>
      <c r="D157">
        <v>1.0382</v>
      </c>
      <c r="E157">
        <v>1.0456000000000001</v>
      </c>
      <c r="F157">
        <v>1964796</v>
      </c>
      <c r="G157">
        <v>1.0456000000000001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-0.74744027303754013</v>
      </c>
      <c r="Q157">
        <f t="shared" ref="Q157" si="761">F157*P157</f>
        <v>-1468567.6587030666</v>
      </c>
      <c r="R157">
        <f t="shared" ref="R157" si="762">R158+Q157</f>
        <v>40555935.908527456</v>
      </c>
      <c r="S157">
        <f t="shared" ref="S157" si="763">R157/100000</f>
        <v>405.55935908527454</v>
      </c>
      <c r="T157">
        <f t="shared" ref="T157" si="764">S157/1000</f>
        <v>0.40555935908527452</v>
      </c>
    </row>
    <row r="158" spans="1:20" x14ac:dyDescent="0.25">
      <c r="A158" s="5">
        <v>44435</v>
      </c>
      <c r="B158">
        <v>1.0489999999999999</v>
      </c>
      <c r="C158">
        <v>1.0919000000000001</v>
      </c>
      <c r="D158">
        <v>1.0065</v>
      </c>
      <c r="E158">
        <v>1.0893999999999999</v>
      </c>
      <c r="F158">
        <v>2269144.19</v>
      </c>
      <c r="G158">
        <v>1.0893999999999999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0.94145199063231466</v>
      </c>
      <c r="Q158">
        <f t="shared" ref="Q158" si="766">F158*P158</f>
        <v>2136290.3147072513</v>
      </c>
      <c r="R158">
        <f t="shared" ref="R158" si="767">R159+Q158</f>
        <v>42024503.567230523</v>
      </c>
      <c r="S158">
        <f t="shared" ref="S158" si="768">R158/100000</f>
        <v>420.24503567230522</v>
      </c>
      <c r="T158">
        <f t="shared" ref="T158" si="769">S158/1000</f>
        <v>0.4202450356723052</v>
      </c>
    </row>
    <row r="159" spans="1:20" x14ac:dyDescent="0.25">
      <c r="A159" s="5">
        <v>44434</v>
      </c>
      <c r="B159">
        <v>1.1371</v>
      </c>
      <c r="C159">
        <v>1.1459999999999999</v>
      </c>
      <c r="D159">
        <v>1.0249999999999999</v>
      </c>
      <c r="E159">
        <v>1.0492999999999999</v>
      </c>
      <c r="F159">
        <v>2696671.95</v>
      </c>
      <c r="G159">
        <v>1.0492999999999999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-0.59834710743801667</v>
      </c>
      <c r="Q159">
        <f t="shared" ref="Q159" si="771">F159*P159</f>
        <v>-1613545.8609917359</v>
      </c>
      <c r="R159">
        <f t="shared" ref="R159" si="772">R160+Q159</f>
        <v>39888213.252523273</v>
      </c>
      <c r="S159">
        <f t="shared" ref="S159" si="773">R159/100000</f>
        <v>398.88213252523275</v>
      </c>
      <c r="T159">
        <f t="shared" ref="T159" si="774">S159/1000</f>
        <v>0.39888213252523275</v>
      </c>
    </row>
    <row r="160" spans="1:20" x14ac:dyDescent="0.25">
      <c r="A160" s="5">
        <v>44433</v>
      </c>
      <c r="B160">
        <v>1.0940000000000001</v>
      </c>
      <c r="C160">
        <v>1.1372</v>
      </c>
      <c r="D160">
        <v>1.042</v>
      </c>
      <c r="E160">
        <v>1.1361000000000001</v>
      </c>
      <c r="F160">
        <v>6660827.8700000001</v>
      </c>
      <c r="G160">
        <v>1.1361000000000001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0.97689075630252353</v>
      </c>
      <c r="Q160">
        <f t="shared" ref="Q160" si="776">F160*P160</f>
        <v>6506901.1755252266</v>
      </c>
      <c r="R160">
        <f t="shared" ref="R160" si="777">R161+Q160</f>
        <v>41501759.113515012</v>
      </c>
      <c r="S160">
        <f t="shared" ref="S160" si="778">R160/100000</f>
        <v>415.0175911351501</v>
      </c>
      <c r="T160">
        <f t="shared" ref="T160" si="779">S160/1000</f>
        <v>0.41501759113515008</v>
      </c>
    </row>
    <row r="161" spans="1:20" x14ac:dyDescent="0.25">
      <c r="A161" s="5">
        <v>44432</v>
      </c>
      <c r="B161">
        <v>1.2031000000000001</v>
      </c>
      <c r="C161">
        <v>1.2257</v>
      </c>
      <c r="D161">
        <v>1.0938000000000001</v>
      </c>
      <c r="E161">
        <v>1.0946</v>
      </c>
      <c r="F161">
        <v>4738949.18</v>
      </c>
      <c r="G161">
        <v>1.0946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-0.98786959818044107</v>
      </c>
      <c r="Q161">
        <f t="shared" ref="Q161" si="781">F161*P161</f>
        <v>-4681463.8222441301</v>
      </c>
      <c r="R161">
        <f t="shared" ref="R161" si="782">R162+Q161</f>
        <v>34994857.937989786</v>
      </c>
      <c r="S161">
        <f t="shared" ref="S161" si="783">R161/100000</f>
        <v>349.94857937989786</v>
      </c>
      <c r="T161">
        <f t="shared" ref="T161" si="784">S161/1000</f>
        <v>0.34994857937989787</v>
      </c>
    </row>
    <row r="162" spans="1:20" x14ac:dyDescent="0.25">
      <c r="A162" s="5">
        <v>44431</v>
      </c>
      <c r="B162">
        <v>1.1769000000000001</v>
      </c>
      <c r="C162">
        <v>1.2464999999999999</v>
      </c>
      <c r="D162">
        <v>1.1719999999999999</v>
      </c>
      <c r="E162">
        <v>1.2031000000000001</v>
      </c>
      <c r="F162">
        <v>2827588.32</v>
      </c>
      <c r="G162">
        <v>1.2031000000000001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-0.16510067114093629</v>
      </c>
      <c r="Q162">
        <f t="shared" ref="Q162" si="786">F162*P162</f>
        <v>-466836.72934227251</v>
      </c>
      <c r="R162">
        <f t="shared" ref="R162" si="787">R163+Q162</f>
        <v>39676321.760233916</v>
      </c>
      <c r="S162">
        <f t="shared" ref="S162" si="788">R162/100000</f>
        <v>396.76321760233918</v>
      </c>
      <c r="T162">
        <f t="shared" ref="T162" si="789">S162/1000</f>
        <v>0.39676321760233918</v>
      </c>
    </row>
    <row r="163" spans="1:20" x14ac:dyDescent="0.25">
      <c r="A163" s="5">
        <v>44430</v>
      </c>
      <c r="B163">
        <v>1.1371</v>
      </c>
      <c r="C163">
        <v>1.1596</v>
      </c>
      <c r="D163">
        <v>1.1275999999999999</v>
      </c>
      <c r="E163">
        <v>1.1458999999999999</v>
      </c>
      <c r="F163">
        <v>222640.68</v>
      </c>
      <c r="G163">
        <v>1.1458999999999999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0.14374999999999791</v>
      </c>
      <c r="Q163">
        <f t="shared" ref="Q163" si="791">F163*P163</f>
        <v>32004.597749999532</v>
      </c>
      <c r="R163">
        <f t="shared" ref="R163" si="792">R164+Q163</f>
        <v>40143158.489576191</v>
      </c>
      <c r="S163">
        <f t="shared" ref="S163" si="793">R163/100000</f>
        <v>401.43158489576189</v>
      </c>
      <c r="T163">
        <f t="shared" ref="T163" si="794">S163/1000</f>
        <v>0.40143158489576186</v>
      </c>
    </row>
    <row r="164" spans="1:20" x14ac:dyDescent="0.25">
      <c r="A164" s="5">
        <v>44429</v>
      </c>
      <c r="B164">
        <v>1.1791</v>
      </c>
      <c r="C164">
        <v>1.1809000000000001</v>
      </c>
      <c r="D164">
        <v>1.1222000000000001</v>
      </c>
      <c r="E164">
        <v>1.1394</v>
      </c>
      <c r="F164">
        <v>1630491.95</v>
      </c>
      <c r="G164">
        <v>1.1394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-0.41396933560477378</v>
      </c>
      <c r="Q164">
        <f t="shared" ref="Q164" si="796">F164*P164</f>
        <v>-674973.66925043205</v>
      </c>
      <c r="R164">
        <f t="shared" ref="R164" si="797">R165+Q164</f>
        <v>40111153.89182619</v>
      </c>
      <c r="S164">
        <f t="shared" ref="S164" si="798">R164/100000</f>
        <v>401.11153891826189</v>
      </c>
      <c r="T164">
        <f t="shared" ref="T164" si="799">S164/1000</f>
        <v>0.4011115389182619</v>
      </c>
    </row>
    <row r="165" spans="1:20" x14ac:dyDescent="0.25">
      <c r="A165" s="5">
        <v>44428</v>
      </c>
      <c r="B165">
        <v>1.1344000000000001</v>
      </c>
      <c r="C165">
        <v>1.2098</v>
      </c>
      <c r="D165">
        <v>1.1100000000000001</v>
      </c>
      <c r="E165">
        <v>1.1796</v>
      </c>
      <c r="F165">
        <v>3086875.07</v>
      </c>
      <c r="G165">
        <v>1.1796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0.39478957915831586</v>
      </c>
      <c r="Q165">
        <f t="shared" ref="Q165" si="801">F165*P165</f>
        <v>1218666.1097995967</v>
      </c>
      <c r="R165">
        <f t="shared" ref="R165" si="802">R166+Q165</f>
        <v>40786127.561076619</v>
      </c>
      <c r="S165">
        <f t="shared" ref="S165" si="803">R165/100000</f>
        <v>407.8612756107662</v>
      </c>
      <c r="T165">
        <f t="shared" ref="T165" si="804">S165/1000</f>
        <v>0.40786127561076618</v>
      </c>
    </row>
    <row r="166" spans="1:20" x14ac:dyDescent="0.25">
      <c r="A166" s="5">
        <v>44427</v>
      </c>
      <c r="B166">
        <v>1.0315000000000001</v>
      </c>
      <c r="C166">
        <v>1.141</v>
      </c>
      <c r="D166">
        <v>1.0054000000000001</v>
      </c>
      <c r="E166">
        <v>1.1356999999999999</v>
      </c>
      <c r="F166">
        <v>2626057.04</v>
      </c>
      <c r="G166">
        <v>1.1356999999999999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0.921828908554571</v>
      </c>
      <c r="Q166">
        <f t="shared" ref="Q166" si="806">F166*P166</f>
        <v>2420775.2949852473</v>
      </c>
      <c r="R166">
        <f t="shared" ref="R166" si="807">R167+Q166</f>
        <v>39567461.451277025</v>
      </c>
      <c r="S166">
        <f t="shared" ref="S166" si="808">R166/100000</f>
        <v>395.67461451277023</v>
      </c>
      <c r="T166">
        <f t="shared" ref="T166" si="809">S166/1000</f>
        <v>0.39567461451277025</v>
      </c>
    </row>
    <row r="167" spans="1:20" x14ac:dyDescent="0.25">
      <c r="A167" s="5">
        <v>44426</v>
      </c>
      <c r="B167">
        <v>1.0609</v>
      </c>
      <c r="C167">
        <v>1.0820000000000001</v>
      </c>
      <c r="D167">
        <v>0.99180000000000001</v>
      </c>
      <c r="E167">
        <v>1.0333000000000001</v>
      </c>
      <c r="F167">
        <v>3569499.77</v>
      </c>
      <c r="G167">
        <v>1.0333000000000001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-7.9822616407980801E-2</v>
      </c>
      <c r="Q167">
        <f t="shared" ref="Q167" si="811">F167*P167</f>
        <v>-284926.81090908567</v>
      </c>
      <c r="R167">
        <f t="shared" ref="R167" si="812">R168+Q167</f>
        <v>37146686.156291775</v>
      </c>
      <c r="S167">
        <f t="shared" ref="S167" si="813">R167/100000</f>
        <v>371.46686156291776</v>
      </c>
      <c r="T167">
        <f t="shared" ref="T167" si="814">S167/1000</f>
        <v>0.37146686156291775</v>
      </c>
    </row>
    <row r="168" spans="1:20" x14ac:dyDescent="0.25">
      <c r="A168" s="5">
        <v>44425</v>
      </c>
      <c r="B168">
        <v>1.1751</v>
      </c>
      <c r="C168">
        <v>1.2337</v>
      </c>
      <c r="D168">
        <v>1.0555000000000001</v>
      </c>
      <c r="E168">
        <v>1.0602</v>
      </c>
      <c r="F168">
        <v>4439607.84</v>
      </c>
      <c r="G168">
        <v>1.0602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-0.94725028058361471</v>
      </c>
      <c r="Q168">
        <f t="shared" ref="Q168" si="816">F168*P168</f>
        <v>-4205419.7721212152</v>
      </c>
      <c r="R168">
        <f t="shared" ref="R168" si="817">R169+Q168</f>
        <v>37431612.96720086</v>
      </c>
      <c r="S168">
        <f t="shared" ref="S168" si="818">R168/100000</f>
        <v>374.31612967200863</v>
      </c>
      <c r="T168">
        <f t="shared" ref="T168" si="819">S168/1000</f>
        <v>0.37431612967200861</v>
      </c>
    </row>
    <row r="169" spans="1:20" x14ac:dyDescent="0.25">
      <c r="A169" s="5">
        <v>44424</v>
      </c>
      <c r="B169">
        <v>1.2364999999999999</v>
      </c>
      <c r="C169">
        <v>1.2595000000000001</v>
      </c>
      <c r="D169">
        <v>1.1637</v>
      </c>
      <c r="E169">
        <v>1.1795</v>
      </c>
      <c r="F169">
        <v>2180333.15</v>
      </c>
      <c r="G169">
        <v>1.1795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-0.67014613778705601</v>
      </c>
      <c r="Q169">
        <f t="shared" ref="Q169" si="821">F169*P169</f>
        <v>-1461141.8395615858</v>
      </c>
      <c r="R169">
        <f t="shared" ref="R169" si="822">R170+Q169</f>
        <v>41637032.739322074</v>
      </c>
      <c r="S169">
        <f t="shared" ref="S169" si="823">R169/100000</f>
        <v>416.37032739322075</v>
      </c>
      <c r="T169">
        <f t="shared" ref="T169" si="824">S169/1000</f>
        <v>0.41637032739322077</v>
      </c>
    </row>
    <row r="170" spans="1:20" x14ac:dyDescent="0.25">
      <c r="A170" s="5">
        <v>44423</v>
      </c>
      <c r="B170">
        <v>1.2693000000000001</v>
      </c>
      <c r="C170">
        <v>1.2750999999999999</v>
      </c>
      <c r="D170">
        <v>1.1196999999999999</v>
      </c>
      <c r="E170">
        <v>1.2364999999999999</v>
      </c>
      <c r="F170">
        <v>3810398.12</v>
      </c>
      <c r="G170">
        <v>1.2364999999999999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0.50321750321750358</v>
      </c>
      <c r="Q170">
        <f t="shared" ref="Q170" si="826">F170*P170</f>
        <v>1917459.0282110698</v>
      </c>
      <c r="R170">
        <f t="shared" ref="R170" si="827">R171+Q170</f>
        <v>43098174.578883663</v>
      </c>
      <c r="S170">
        <f t="shared" ref="S170" si="828">R170/100000</f>
        <v>430.98174578883663</v>
      </c>
      <c r="T170">
        <f t="shared" ref="T170" si="829">S170/1000</f>
        <v>0.43098174578883663</v>
      </c>
    </row>
    <row r="171" spans="1:20" x14ac:dyDescent="0.25">
      <c r="A171" s="5">
        <v>44422</v>
      </c>
      <c r="B171">
        <v>1.1384000000000001</v>
      </c>
      <c r="C171">
        <v>1.32</v>
      </c>
      <c r="D171">
        <v>1.1188</v>
      </c>
      <c r="E171">
        <v>1.2690999999999999</v>
      </c>
      <c r="F171">
        <v>8108830.75</v>
      </c>
      <c r="G171">
        <v>1.2690999999999999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0.4940357852882688</v>
      </c>
      <c r="Q171">
        <f t="shared" ref="Q171" si="831">F171*P171</f>
        <v>4006052.5673459116</v>
      </c>
      <c r="R171">
        <f t="shared" ref="R171" si="832">R172+Q171</f>
        <v>41180715.550672591</v>
      </c>
      <c r="S171">
        <f t="shared" ref="S171" si="833">R171/100000</f>
        <v>411.80715550672591</v>
      </c>
      <c r="T171">
        <f t="shared" ref="T171" si="834">S171/1000</f>
        <v>0.41180715550672592</v>
      </c>
    </row>
    <row r="172" spans="1:20" x14ac:dyDescent="0.25">
      <c r="A172" s="5">
        <v>44421</v>
      </c>
      <c r="B172">
        <v>0.94830000000000003</v>
      </c>
      <c r="C172">
        <v>1.2067000000000001</v>
      </c>
      <c r="D172">
        <v>0.94</v>
      </c>
      <c r="E172">
        <v>1.1384000000000001</v>
      </c>
      <c r="F172">
        <v>8499892.0700000003</v>
      </c>
      <c r="G172">
        <v>1.1384000000000001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0.48781402324709422</v>
      </c>
      <c r="Q172">
        <f t="shared" ref="Q172" si="836">F172*P172</f>
        <v>4146366.5478327721</v>
      </c>
      <c r="R172">
        <f t="shared" ref="R172" si="837">R173+Q172</f>
        <v>37174662.983326681</v>
      </c>
      <c r="S172">
        <f t="shared" ref="S172" si="838">R172/100000</f>
        <v>371.74662983326681</v>
      </c>
      <c r="T172">
        <f t="shared" ref="T172" si="839">S172/1000</f>
        <v>0.37174662983326678</v>
      </c>
    </row>
    <row r="173" spans="1:20" x14ac:dyDescent="0.25">
      <c r="A173" s="5">
        <v>44420</v>
      </c>
      <c r="B173">
        <v>1.0064</v>
      </c>
      <c r="C173">
        <v>1.04</v>
      </c>
      <c r="D173">
        <v>0.90569999999999995</v>
      </c>
      <c r="E173">
        <v>0.9466</v>
      </c>
      <c r="F173">
        <v>10239614.970000001</v>
      </c>
      <c r="G173">
        <v>0.9466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-0.3909158600148917</v>
      </c>
      <c r="Q173">
        <f t="shared" ref="Q173" si="841">F173*P173</f>
        <v>-4002827.8922189097</v>
      </c>
      <c r="R173">
        <f t="shared" ref="R173" si="842">R174+Q173</f>
        <v>33028296.435493909</v>
      </c>
      <c r="S173">
        <f t="shared" ref="S173" si="843">R173/100000</f>
        <v>330.28296435493911</v>
      </c>
      <c r="T173">
        <f t="shared" ref="T173" si="844">S173/1000</f>
        <v>0.33028296435493909</v>
      </c>
    </row>
    <row r="174" spans="1:20" x14ac:dyDescent="0.25">
      <c r="A174" s="5">
        <v>44419</v>
      </c>
      <c r="B174">
        <v>0.98760000000000003</v>
      </c>
      <c r="C174">
        <v>1.0617000000000001</v>
      </c>
      <c r="D174">
        <v>0.96209999999999996</v>
      </c>
      <c r="E174">
        <v>1.0049999999999999</v>
      </c>
      <c r="F174">
        <v>4136998.44</v>
      </c>
      <c r="G174">
        <v>1.0049999999999999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-0.13855421686747227</v>
      </c>
      <c r="Q174">
        <f t="shared" ref="Q174" si="846">F174*P174</f>
        <v>-573198.57903615444</v>
      </c>
      <c r="R174">
        <f t="shared" ref="R174" si="847">R175+Q174</f>
        <v>37031124.327712819</v>
      </c>
      <c r="S174">
        <f t="shared" ref="S174" si="848">R174/100000</f>
        <v>370.3112432771282</v>
      </c>
      <c r="T174">
        <f t="shared" ref="T174" si="849">S174/1000</f>
        <v>0.37031124327712822</v>
      </c>
    </row>
    <row r="175" spans="1:20" x14ac:dyDescent="0.25">
      <c r="A175" s="5">
        <v>44418</v>
      </c>
      <c r="B175">
        <v>0.88080000000000003</v>
      </c>
      <c r="C175">
        <v>1.0645</v>
      </c>
      <c r="D175">
        <v>0.86509999999999998</v>
      </c>
      <c r="E175">
        <v>0.98740000000000006</v>
      </c>
      <c r="F175">
        <v>11256283.25</v>
      </c>
      <c r="G175">
        <v>0.98740000000000006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0.22668004012036169</v>
      </c>
      <c r="Q175">
        <f t="shared" ref="Q175" si="851">F175*P175</f>
        <v>2551574.7387161553</v>
      </c>
      <c r="R175">
        <f t="shared" ref="R175" si="852">R176+Q175</f>
        <v>37604322.906748973</v>
      </c>
      <c r="S175">
        <f t="shared" ref="S175" si="853">R175/100000</f>
        <v>376.04322906748973</v>
      </c>
      <c r="T175">
        <f t="shared" ref="T175" si="854">S175/1000</f>
        <v>0.37604322906748971</v>
      </c>
    </row>
    <row r="176" spans="1:20" x14ac:dyDescent="0.25">
      <c r="A176" s="5">
        <v>44417</v>
      </c>
      <c r="B176">
        <v>0.84840000000000004</v>
      </c>
      <c r="C176">
        <v>0.89800000000000002</v>
      </c>
      <c r="D176">
        <v>0.81669999999999998</v>
      </c>
      <c r="E176">
        <v>0.87960000000000005</v>
      </c>
      <c r="F176">
        <v>3183847.28</v>
      </c>
      <c r="G176">
        <v>0.87960000000000005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0.54735547355473646</v>
      </c>
      <c r="Q176">
        <f t="shared" ref="Q176" si="856">F176*P176</f>
        <v>1742696.2356703596</v>
      </c>
      <c r="R176">
        <f t="shared" ref="R176" si="857">R177+Q176</f>
        <v>35052748.168032818</v>
      </c>
      <c r="S176">
        <f t="shared" ref="S176" si="858">R176/100000</f>
        <v>350.52748168032815</v>
      </c>
      <c r="T176">
        <f t="shared" ref="T176" si="859">S176/1000</f>
        <v>0.35052748168032816</v>
      </c>
    </row>
    <row r="177" spans="1:20" x14ac:dyDescent="0.25">
      <c r="A177" s="5">
        <v>44416</v>
      </c>
      <c r="B177">
        <v>0.9103</v>
      </c>
      <c r="C177">
        <v>0.91320000000000001</v>
      </c>
      <c r="D177">
        <v>0.82379999999999998</v>
      </c>
      <c r="E177">
        <v>0.84709999999999996</v>
      </c>
      <c r="F177">
        <v>3889852.71</v>
      </c>
      <c r="G177">
        <v>0.84709999999999996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-0.47874720357941886</v>
      </c>
      <c r="Q177">
        <f t="shared" ref="Q177" si="861">F177*P177</f>
        <v>-1862256.1072483242</v>
      </c>
      <c r="R177">
        <f t="shared" ref="R177" si="862">R178+Q177</f>
        <v>33310051.932362456</v>
      </c>
      <c r="S177">
        <f t="shared" ref="S177" si="863">R177/100000</f>
        <v>333.10051932362455</v>
      </c>
      <c r="T177">
        <f t="shared" ref="T177" si="864">S177/1000</f>
        <v>0.33310051932362456</v>
      </c>
    </row>
    <row r="178" spans="1:20" x14ac:dyDescent="0.25">
      <c r="A178" s="5">
        <v>44415</v>
      </c>
      <c r="B178">
        <v>0.90180000000000005</v>
      </c>
      <c r="C178">
        <v>0.94920000000000004</v>
      </c>
      <c r="D178">
        <v>0.8669</v>
      </c>
      <c r="E178">
        <v>0.90939999999999999</v>
      </c>
      <c r="F178">
        <v>6106633.2400000002</v>
      </c>
      <c r="G178">
        <v>0.90939999999999999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3.2806804374239655E-2</v>
      </c>
      <c r="Q178">
        <f t="shared" ref="Q178" si="866">F178*P178</f>
        <v>200339.12208990927</v>
      </c>
      <c r="R178">
        <f t="shared" ref="R178" si="867">R179+Q178</f>
        <v>35172308.039610781</v>
      </c>
      <c r="S178">
        <f t="shared" ref="S178" si="868">R178/100000</f>
        <v>351.72308039610783</v>
      </c>
      <c r="T178">
        <f t="shared" ref="T178" si="869">S178/1000</f>
        <v>0.35172308039610783</v>
      </c>
    </row>
    <row r="179" spans="1:20" x14ac:dyDescent="0.25">
      <c r="A179" s="5">
        <v>44414</v>
      </c>
      <c r="B179">
        <v>0.84699999999999998</v>
      </c>
      <c r="C179">
        <v>0.90629999999999999</v>
      </c>
      <c r="D179">
        <v>0.83</v>
      </c>
      <c r="E179">
        <v>0.89990000000000003</v>
      </c>
      <c r="F179">
        <v>3672524.22</v>
      </c>
      <c r="G179">
        <v>0.89990000000000003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0.83224115334207183</v>
      </c>
      <c r="Q179">
        <f t="shared" ref="Q179" si="871">F179*P179</f>
        <v>3056425.7925294931</v>
      </c>
      <c r="R179">
        <f t="shared" ref="R179" si="872">R180+Q179</f>
        <v>34971968.917520873</v>
      </c>
      <c r="S179">
        <f t="shared" ref="S179" si="873">R179/100000</f>
        <v>349.71968917520871</v>
      </c>
      <c r="T179">
        <f t="shared" ref="T179" si="874">S179/1000</f>
        <v>0.34971968917520874</v>
      </c>
    </row>
    <row r="180" spans="1:20" x14ac:dyDescent="0.25">
      <c r="A180" s="5">
        <v>44413</v>
      </c>
      <c r="B180">
        <v>0.82520000000000004</v>
      </c>
      <c r="C180">
        <v>0.85340000000000005</v>
      </c>
      <c r="D180">
        <v>0.78610000000000002</v>
      </c>
      <c r="E180">
        <v>0.84550000000000003</v>
      </c>
      <c r="F180">
        <v>2053221.97</v>
      </c>
      <c r="G180">
        <v>0.84550000000000003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0.76523031203566072</v>
      </c>
      <c r="Q180">
        <f t="shared" ref="Q180" si="876">F180*P180</f>
        <v>1571187.6887815739</v>
      </c>
      <c r="R180">
        <f t="shared" ref="R180" si="877">R181+Q180</f>
        <v>31915543.12499138</v>
      </c>
      <c r="S180">
        <f t="shared" ref="S180" si="878">R180/100000</f>
        <v>319.15543124991382</v>
      </c>
      <c r="T180">
        <f t="shared" ref="T180" si="879">S180/1000</f>
        <v>0.3191554312499138</v>
      </c>
    </row>
    <row r="181" spans="1:20" x14ac:dyDescent="0.25">
      <c r="A181" s="5">
        <v>44412</v>
      </c>
      <c r="B181">
        <v>0.80169999999999997</v>
      </c>
      <c r="C181">
        <v>0.83560000000000001</v>
      </c>
      <c r="D181">
        <v>0.77</v>
      </c>
      <c r="E181">
        <v>0.82509999999999994</v>
      </c>
      <c r="F181">
        <v>1936650.93</v>
      </c>
      <c r="G181">
        <v>0.82509999999999994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0.67987804878048574</v>
      </c>
      <c r="Q181">
        <f t="shared" ref="Q181" si="881">F181*P181</f>
        <v>1316686.455457313</v>
      </c>
      <c r="R181">
        <f t="shared" ref="R181" si="882">R182+Q181</f>
        <v>30344355.436209805</v>
      </c>
      <c r="S181">
        <f t="shared" ref="S181" si="883">R181/100000</f>
        <v>303.44355436209804</v>
      </c>
      <c r="T181">
        <f t="shared" ref="T181" si="884">S181/1000</f>
        <v>0.30344355436209802</v>
      </c>
    </row>
    <row r="182" spans="1:20" x14ac:dyDescent="0.25">
      <c r="A182" s="5">
        <v>44411</v>
      </c>
      <c r="B182">
        <v>0.83389999999999997</v>
      </c>
      <c r="C182">
        <v>0.85389999999999999</v>
      </c>
      <c r="D182">
        <v>0.79400000000000004</v>
      </c>
      <c r="E182">
        <v>0.80079999999999996</v>
      </c>
      <c r="F182">
        <v>1994780.5</v>
      </c>
      <c r="G182">
        <v>0.80079999999999996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-0.77295492487479389</v>
      </c>
      <c r="Q182">
        <f t="shared" ref="Q182" si="886">F182*P182</f>
        <v>-1541875.4115192038</v>
      </c>
      <c r="R182">
        <f t="shared" ref="R182" si="887">R183+Q182</f>
        <v>29027668.98075249</v>
      </c>
      <c r="S182">
        <f t="shared" ref="S182" si="888">R182/100000</f>
        <v>290.27668980752492</v>
      </c>
      <c r="T182">
        <f t="shared" ref="T182" si="889">S182/1000</f>
        <v>0.29027668980752491</v>
      </c>
    </row>
    <row r="183" spans="1:20" x14ac:dyDescent="0.25">
      <c r="A183" s="5">
        <v>44410</v>
      </c>
      <c r="B183">
        <v>0.86129999999999995</v>
      </c>
      <c r="C183">
        <v>0.86919999999999997</v>
      </c>
      <c r="D183">
        <v>0.82220000000000004</v>
      </c>
      <c r="E183">
        <v>0.83389999999999997</v>
      </c>
      <c r="F183">
        <v>2343964.7599999998</v>
      </c>
      <c r="G183">
        <v>0.83389999999999997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-0.50212765957447025</v>
      </c>
      <c r="Q183">
        <f t="shared" ref="Q183" si="891">F183*P183</f>
        <v>-1176969.5390638348</v>
      </c>
      <c r="R183">
        <f t="shared" ref="R183" si="892">R184+Q183</f>
        <v>30569544.392271694</v>
      </c>
      <c r="S183">
        <f t="shared" ref="S183" si="893">R183/100000</f>
        <v>305.69544392271695</v>
      </c>
      <c r="T183">
        <f t="shared" ref="T183" si="894">S183/1000</f>
        <v>0.30569544392271697</v>
      </c>
    </row>
    <row r="184" spans="1:20" x14ac:dyDescent="0.25">
      <c r="A184" s="5">
        <v>44409</v>
      </c>
      <c r="B184">
        <v>0.79979999999999996</v>
      </c>
      <c r="C184">
        <v>0.95909999999999995</v>
      </c>
      <c r="D184">
        <v>0.79430000000000001</v>
      </c>
      <c r="E184">
        <v>0.86019999999999996</v>
      </c>
      <c r="F184">
        <v>8988311.7699999996</v>
      </c>
      <c r="G184">
        <v>0.86019999999999996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-0.20024271844660219</v>
      </c>
      <c r="Q184">
        <f t="shared" ref="Q184" si="896">F184*P184</f>
        <v>-1799843.9830703905</v>
      </c>
      <c r="R184">
        <f t="shared" ref="R184" si="897">R185+Q184</f>
        <v>31746513.931335527</v>
      </c>
      <c r="S184">
        <f t="shared" ref="S184" si="898">R184/100000</f>
        <v>317.46513931335528</v>
      </c>
      <c r="T184">
        <f t="shared" ref="T184" si="899">S184/1000</f>
        <v>0.31746513931335529</v>
      </c>
    </row>
    <row r="185" spans="1:20" x14ac:dyDescent="0.25">
      <c r="A185" s="5">
        <v>44408</v>
      </c>
      <c r="B185">
        <v>0.76729999999999998</v>
      </c>
      <c r="C185">
        <v>0.82</v>
      </c>
      <c r="D185">
        <v>0.74409999999999998</v>
      </c>
      <c r="E185">
        <v>0.80120000000000002</v>
      </c>
      <c r="F185">
        <v>3499919.88</v>
      </c>
      <c r="G185">
        <v>0.80120000000000002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0.5046113306982889</v>
      </c>
      <c r="Q185">
        <f t="shared" ref="Q185" si="901">F185*P185</f>
        <v>1766099.2279841956</v>
      </c>
      <c r="R185">
        <f t="shared" ref="R185" si="902">R186+Q185</f>
        <v>33546357.91440592</v>
      </c>
      <c r="S185">
        <f t="shared" ref="S185" si="903">R185/100000</f>
        <v>335.46357914405922</v>
      </c>
      <c r="T185">
        <f t="shared" ref="T185" si="904">S185/1000</f>
        <v>0.33546357914405922</v>
      </c>
    </row>
    <row r="186" spans="1:20" x14ac:dyDescent="0.25">
      <c r="A186" s="5">
        <v>44407</v>
      </c>
      <c r="B186">
        <v>0.74009999999999998</v>
      </c>
      <c r="C186">
        <v>0.79</v>
      </c>
      <c r="D186">
        <v>0.71250000000000002</v>
      </c>
      <c r="E186">
        <v>0.76570000000000005</v>
      </c>
      <c r="F186">
        <v>3580242.63</v>
      </c>
      <c r="G186">
        <v>0.76570000000000005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0.37290322580645202</v>
      </c>
      <c r="Q186">
        <f t="shared" ref="Q186" si="906">F186*P186</f>
        <v>1335084.0258967755</v>
      </c>
      <c r="R186">
        <f t="shared" ref="R186" si="907">R187+Q186</f>
        <v>31780258.686421722</v>
      </c>
      <c r="S186">
        <f t="shared" ref="S186" si="908">R186/100000</f>
        <v>317.80258686421723</v>
      </c>
      <c r="T186">
        <f t="shared" ref="T186" si="909">S186/1000</f>
        <v>0.31780258686421725</v>
      </c>
    </row>
    <row r="187" spans="1:20" x14ac:dyDescent="0.25">
      <c r="A187" s="5">
        <v>44406</v>
      </c>
      <c r="B187">
        <v>0.70840000000000003</v>
      </c>
      <c r="C187">
        <v>0.75339999999999996</v>
      </c>
      <c r="D187">
        <v>0.69289999999999996</v>
      </c>
      <c r="E187">
        <v>0.74070000000000003</v>
      </c>
      <c r="F187">
        <v>2716621.11</v>
      </c>
      <c r="G187">
        <v>0.74070000000000003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0.58016528925620048</v>
      </c>
      <c r="Q187">
        <f t="shared" ref="Q187" si="911">F187*P187</f>
        <v>1576089.2720826503</v>
      </c>
      <c r="R187">
        <f t="shared" ref="R187" si="912">R188+Q187</f>
        <v>30445174.660524946</v>
      </c>
      <c r="S187">
        <f t="shared" ref="S187" si="913">R187/100000</f>
        <v>304.45174660524947</v>
      </c>
      <c r="T187">
        <f t="shared" ref="T187" si="914">S187/1000</f>
        <v>0.30445174660524948</v>
      </c>
    </row>
    <row r="188" spans="1:20" x14ac:dyDescent="0.25">
      <c r="A188" s="5">
        <v>44405</v>
      </c>
      <c r="B188">
        <v>0.69130000000000003</v>
      </c>
      <c r="C188">
        <v>0.77</v>
      </c>
      <c r="D188">
        <v>0.67830000000000001</v>
      </c>
      <c r="E188">
        <v>0.70899999999999996</v>
      </c>
      <c r="F188">
        <v>4951429.76</v>
      </c>
      <c r="G188">
        <v>0.70899999999999996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-0.33042529989094988</v>
      </c>
      <c r="Q188">
        <f t="shared" ref="Q188" si="916">F188*P188</f>
        <v>-1636077.6633369739</v>
      </c>
      <c r="R188">
        <f t="shared" ref="R188" si="917">R189+Q188</f>
        <v>28869085.388442297</v>
      </c>
      <c r="S188">
        <f t="shared" ref="S188" si="918">R188/100000</f>
        <v>288.69085388442295</v>
      </c>
      <c r="T188">
        <f t="shared" ref="T188" si="919">S188/1000</f>
        <v>0.28869085388442295</v>
      </c>
    </row>
    <row r="189" spans="1:20" x14ac:dyDescent="0.25">
      <c r="A189" s="5">
        <v>44404</v>
      </c>
      <c r="B189">
        <v>0.68</v>
      </c>
      <c r="C189">
        <v>0.71</v>
      </c>
      <c r="D189">
        <v>0.66069999999999995</v>
      </c>
      <c r="E189">
        <v>0.69140000000000001</v>
      </c>
      <c r="F189">
        <v>2255046.5099999998</v>
      </c>
      <c r="G189">
        <v>0.69140000000000001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0.24543610547667563</v>
      </c>
      <c r="Q189">
        <f t="shared" ref="Q189" si="921">F189*P189</f>
        <v>553469.83308316919</v>
      </c>
      <c r="R189">
        <f t="shared" ref="R189" si="922">R190+Q189</f>
        <v>30505163.05177927</v>
      </c>
      <c r="S189">
        <f t="shared" ref="S189" si="923">R189/100000</f>
        <v>305.05163051779272</v>
      </c>
      <c r="T189">
        <f t="shared" ref="T189" si="924">S189/1000</f>
        <v>0.30505163051779272</v>
      </c>
    </row>
    <row r="190" spans="1:20" x14ac:dyDescent="0.25">
      <c r="A190" s="5">
        <v>44403</v>
      </c>
      <c r="B190">
        <v>0.66739999999999999</v>
      </c>
      <c r="C190">
        <v>0.7278</v>
      </c>
      <c r="D190">
        <v>0.66490000000000005</v>
      </c>
      <c r="E190">
        <v>0.68140000000000001</v>
      </c>
      <c r="F190">
        <v>4256208.3600000003</v>
      </c>
      <c r="G190">
        <v>0.68140000000000001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-0.47535771065182925</v>
      </c>
      <c r="Q190">
        <f t="shared" ref="Q190" si="926">F190*P190</f>
        <v>-2023221.4620667768</v>
      </c>
      <c r="R190">
        <f t="shared" ref="R190" si="927">R191+Q190</f>
        <v>29951693.218696102</v>
      </c>
      <c r="S190">
        <f t="shared" ref="S190" si="928">R190/100000</f>
        <v>299.51693218696101</v>
      </c>
      <c r="T190">
        <f t="shared" ref="T190" si="929">S190/1000</f>
        <v>0.29951693218696102</v>
      </c>
    </row>
    <row r="191" spans="1:20" x14ac:dyDescent="0.25">
      <c r="A191" s="5">
        <v>44402</v>
      </c>
      <c r="B191">
        <v>0.66020000000000001</v>
      </c>
      <c r="C191">
        <v>0.66910000000000003</v>
      </c>
      <c r="D191">
        <v>0.6321</v>
      </c>
      <c r="E191">
        <v>0.66800000000000004</v>
      </c>
      <c r="F191">
        <v>2128441.42</v>
      </c>
      <c r="G191">
        <v>0.66800000000000004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0.94054054054054115</v>
      </c>
      <c r="Q191">
        <f t="shared" ref="Q191" si="931">F191*P191</f>
        <v>2001885.4436756768</v>
      </c>
      <c r="R191">
        <f t="shared" ref="R191" si="932">R192+Q191</f>
        <v>31974914.68076288</v>
      </c>
      <c r="S191">
        <f t="shared" ref="S191" si="933">R191/100000</f>
        <v>319.74914680762879</v>
      </c>
      <c r="T191">
        <f t="shared" ref="T191:T197" si="934">S191/1000</f>
        <v>0.31974914680762878</v>
      </c>
    </row>
    <row r="192" spans="1:20" x14ac:dyDescent="0.25">
      <c r="A192" s="5">
        <v>44401</v>
      </c>
      <c r="B192">
        <v>0.65410000000000001</v>
      </c>
      <c r="C192">
        <v>0.69010000000000005</v>
      </c>
      <c r="D192">
        <v>0.64500000000000002</v>
      </c>
      <c r="E192">
        <v>0.66020000000000001</v>
      </c>
      <c r="F192">
        <v>2498148.25</v>
      </c>
      <c r="G192">
        <v>0.66020000000000001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-0.32594235033259505</v>
      </c>
      <c r="Q192">
        <f t="shared" ref="Q192" si="936">F192*P192</f>
        <v>-814252.31208425923</v>
      </c>
      <c r="R192">
        <f t="shared" ref="R192" si="937">R193+Q192</f>
        <v>29973029.237087201</v>
      </c>
      <c r="S192">
        <f t="shared" ref="S192" si="938">R192/100000</f>
        <v>299.73029237087201</v>
      </c>
      <c r="T192">
        <f t="shared" si="934"/>
        <v>0.29973029237087201</v>
      </c>
    </row>
    <row r="193" spans="1:20" x14ac:dyDescent="0.25">
      <c r="A193" s="5">
        <v>44400</v>
      </c>
      <c r="B193">
        <v>0.65429999999999999</v>
      </c>
      <c r="C193">
        <v>0.66610000000000003</v>
      </c>
      <c r="D193">
        <v>0.61799999999999999</v>
      </c>
      <c r="E193">
        <v>0.65410000000000001</v>
      </c>
      <c r="F193">
        <v>1823368.89</v>
      </c>
      <c r="G193">
        <v>0.65410000000000001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0.5010395010395009</v>
      </c>
      <c r="Q193">
        <f t="shared" ref="Q193" si="940">F193*P193</f>
        <v>913579.83885654854</v>
      </c>
      <c r="R193">
        <f t="shared" ref="R193" si="941">R194+Q193</f>
        <v>30787281.549171459</v>
      </c>
      <c r="S193">
        <f t="shared" ref="S193" si="942">R193/100000</f>
        <v>307.87281549171456</v>
      </c>
      <c r="T193">
        <f t="shared" si="934"/>
        <v>0.30787281549171458</v>
      </c>
    </row>
    <row r="194" spans="1:20" x14ac:dyDescent="0.25">
      <c r="A194" s="5">
        <v>44399</v>
      </c>
      <c r="B194">
        <v>0.63560000000000005</v>
      </c>
      <c r="C194">
        <v>0.67759999999999998</v>
      </c>
      <c r="D194">
        <v>0.62609999999999999</v>
      </c>
      <c r="E194">
        <v>0.65359999999999996</v>
      </c>
      <c r="F194">
        <v>4452669.33</v>
      </c>
      <c r="G194">
        <v>0.65359999999999996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6.7961165048542688E-2</v>
      </c>
      <c r="Q194">
        <f t="shared" ref="Q194" si="944">F194*P194</f>
        <v>302608.59524271399</v>
      </c>
      <c r="R194">
        <f t="shared" ref="R194" si="945">R195+Q194</f>
        <v>29873701.710314911</v>
      </c>
      <c r="S194">
        <f t="shared" ref="S194" si="946">R194/100000</f>
        <v>298.73701710314913</v>
      </c>
      <c r="T194">
        <f t="shared" si="934"/>
        <v>0.29873701710314915</v>
      </c>
    </row>
    <row r="195" spans="1:20" x14ac:dyDescent="0.25">
      <c r="A195" s="5">
        <v>44398</v>
      </c>
      <c r="B195">
        <v>0.59740000000000004</v>
      </c>
      <c r="C195">
        <v>0.66</v>
      </c>
      <c r="D195">
        <v>0.58709999999999996</v>
      </c>
      <c r="E195">
        <v>0.63560000000000005</v>
      </c>
      <c r="F195">
        <v>2010307.87</v>
      </c>
      <c r="G195">
        <v>0.63560000000000005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0.33058984910836897</v>
      </c>
      <c r="Q195">
        <f t="shared" ref="Q195" si="948">F195*P195</f>
        <v>664587.37540466664</v>
      </c>
      <c r="R195">
        <f t="shared" ref="R195" si="949">R196+Q195</f>
        <v>29571093.115072198</v>
      </c>
      <c r="S195">
        <f t="shared" ref="S195" si="950">R195/100000</f>
        <v>295.71093115072199</v>
      </c>
      <c r="T195">
        <f t="shared" si="934"/>
        <v>0.295710931150722</v>
      </c>
    </row>
    <row r="196" spans="1:20" x14ac:dyDescent="0.25">
      <c r="A196" s="5">
        <v>44397</v>
      </c>
      <c r="B196">
        <v>0.65249999999999997</v>
      </c>
      <c r="C196">
        <v>0.66020000000000001</v>
      </c>
      <c r="D196">
        <v>0.57540000000000002</v>
      </c>
      <c r="E196">
        <v>0.59709999999999996</v>
      </c>
      <c r="F196">
        <v>2790904.21</v>
      </c>
      <c r="G196">
        <v>0.59709999999999996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-0.48820754716981263</v>
      </c>
      <c r="Q196">
        <f t="shared" ref="Q196" si="952">F196*P196</f>
        <v>-1362540.4987500035</v>
      </c>
      <c r="R196">
        <f t="shared" ref="R196" si="953">R197+Q196</f>
        <v>28906505.739667531</v>
      </c>
      <c r="S196">
        <f t="shared" ref="S196" si="954">R196/100000</f>
        <v>289.06505739667529</v>
      </c>
      <c r="T196">
        <f t="shared" si="934"/>
        <v>0.28906505739667526</v>
      </c>
    </row>
    <row r="197" spans="1:20" x14ac:dyDescent="0.25">
      <c r="A197" s="5">
        <v>44396</v>
      </c>
      <c r="B197">
        <v>0.68169999999999997</v>
      </c>
      <c r="C197">
        <v>0.71099999999999997</v>
      </c>
      <c r="D197">
        <v>0.62849999999999995</v>
      </c>
      <c r="E197">
        <v>0.65169999999999995</v>
      </c>
      <c r="F197">
        <v>4259070.3600000003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-0.43757575757575773</v>
      </c>
      <c r="Q197">
        <f t="shared" ref="Q197" si="956">F197*P197</f>
        <v>-1863665.9393454553</v>
      </c>
      <c r="R197">
        <f t="shared" ref="R197" si="957">R198+Q197</f>
        <v>30269046.238417536</v>
      </c>
      <c r="S197">
        <f t="shared" ref="S197" si="958">R197/100000</f>
        <v>302.69046238417536</v>
      </c>
      <c r="T197">
        <f t="shared" si="934"/>
        <v>0.30269046238417535</v>
      </c>
    </row>
    <row r="198" spans="1:20" x14ac:dyDescent="0.25">
      <c r="A198" s="5">
        <v>44395</v>
      </c>
      <c r="B198">
        <v>0.63519999999999999</v>
      </c>
      <c r="C198">
        <v>0.72899999999999998</v>
      </c>
      <c r="D198">
        <v>0.63519999999999999</v>
      </c>
      <c r="E198">
        <v>0.68079999999999996</v>
      </c>
      <c r="F198">
        <v>2853925.57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-2.7718550106610309E-2</v>
      </c>
      <c r="Q198">
        <f t="shared" ref="Q198:Q261" si="960">F198*P198</f>
        <v>-79106.678912581381</v>
      </c>
      <c r="R198">
        <f t="shared" ref="R198:R261" si="961">R199+Q198</f>
        <v>32132712.177762993</v>
      </c>
      <c r="S198">
        <f t="shared" ref="S198:S261" si="962">R198/100000</f>
        <v>321.32712177762994</v>
      </c>
      <c r="T198">
        <f t="shared" ref="T198:T261" si="963">S198/1000</f>
        <v>0.32132712177762995</v>
      </c>
    </row>
    <row r="199" spans="1:20" x14ac:dyDescent="0.25">
      <c r="A199" s="5">
        <v>44394</v>
      </c>
      <c r="B199">
        <v>0.64159999999999995</v>
      </c>
      <c r="C199">
        <v>0.66679999999999995</v>
      </c>
      <c r="D199">
        <v>0.62680000000000002</v>
      </c>
      <c r="E199">
        <v>0.63560000000000005</v>
      </c>
      <c r="F199">
        <v>2049103.06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-0.55999999999999772</v>
      </c>
      <c r="Q199">
        <f t="shared" si="960"/>
        <v>-1147497.7135999955</v>
      </c>
      <c r="R199">
        <f t="shared" si="961"/>
        <v>32211818.856675573</v>
      </c>
      <c r="S199">
        <f t="shared" si="962"/>
        <v>322.11818856675575</v>
      </c>
      <c r="T199">
        <f t="shared" si="963"/>
        <v>0.32211818856675573</v>
      </c>
    </row>
    <row r="200" spans="1:20" x14ac:dyDescent="0.25">
      <c r="A200" s="5">
        <v>44393</v>
      </c>
      <c r="B200">
        <v>0.69079999999999997</v>
      </c>
      <c r="C200">
        <v>0.71589999999999998</v>
      </c>
      <c r="D200">
        <v>0.64</v>
      </c>
      <c r="E200">
        <v>0.64290000000000003</v>
      </c>
      <c r="F200">
        <v>1538262.26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-0.92358366271409709</v>
      </c>
      <c r="Q200">
        <f t="shared" si="960"/>
        <v>-1420713.8923056647</v>
      </c>
      <c r="R200">
        <f t="shared" si="961"/>
        <v>33359316.570275567</v>
      </c>
      <c r="S200">
        <f t="shared" si="962"/>
        <v>333.5931657027557</v>
      </c>
      <c r="T200">
        <f t="shared" si="963"/>
        <v>0.33359316570275571</v>
      </c>
    </row>
    <row r="201" spans="1:20" x14ac:dyDescent="0.25">
      <c r="A201" s="5">
        <v>44392</v>
      </c>
      <c r="B201">
        <v>0.74029999999999996</v>
      </c>
      <c r="C201">
        <v>0.74270000000000003</v>
      </c>
      <c r="D201">
        <v>0.66900000000000004</v>
      </c>
      <c r="E201">
        <v>0.69120000000000004</v>
      </c>
      <c r="F201">
        <v>2362377.5099999998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-0.3975576662143826</v>
      </c>
      <c r="Q201">
        <f t="shared" si="960"/>
        <v>-939181.2895929442</v>
      </c>
      <c r="R201">
        <f t="shared" si="961"/>
        <v>34780030.462581232</v>
      </c>
      <c r="S201">
        <f t="shared" si="962"/>
        <v>347.80030462581232</v>
      </c>
      <c r="T201">
        <f t="shared" si="963"/>
        <v>0.3478003046258123</v>
      </c>
    </row>
    <row r="202" spans="1:20" x14ac:dyDescent="0.25">
      <c r="A202" s="5">
        <v>44391</v>
      </c>
      <c r="B202">
        <v>0.73640000000000005</v>
      </c>
      <c r="C202">
        <v>0.74990000000000001</v>
      </c>
      <c r="D202">
        <v>0.68799999999999994</v>
      </c>
      <c r="E202">
        <v>0.74160000000000004</v>
      </c>
      <c r="F202">
        <v>2647657.17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0.73182552504038889</v>
      </c>
      <c r="Q202">
        <f t="shared" si="960"/>
        <v>1937623.0985622001</v>
      </c>
      <c r="R202">
        <f t="shared" si="961"/>
        <v>35719211.752174176</v>
      </c>
      <c r="S202">
        <f t="shared" si="962"/>
        <v>357.19211752174175</v>
      </c>
      <c r="T202">
        <f t="shared" si="963"/>
        <v>0.35719211752174174</v>
      </c>
    </row>
    <row r="203" spans="1:20" x14ac:dyDescent="0.25">
      <c r="A203" s="5">
        <v>44390</v>
      </c>
      <c r="B203">
        <v>0.83320000000000005</v>
      </c>
      <c r="C203">
        <v>0.84499999999999997</v>
      </c>
      <c r="D203">
        <v>0.72960000000000003</v>
      </c>
      <c r="E203">
        <v>0.73480000000000001</v>
      </c>
      <c r="F203">
        <v>3795536.45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-0.90987868284228801</v>
      </c>
      <c r="Q203">
        <f t="shared" si="960"/>
        <v>-3453477.705805894</v>
      </c>
      <c r="R203">
        <f t="shared" si="961"/>
        <v>33781588.653611973</v>
      </c>
      <c r="S203">
        <f t="shared" si="962"/>
        <v>337.81588653611971</v>
      </c>
      <c r="T203">
        <f t="shared" si="963"/>
        <v>0.33781588653611971</v>
      </c>
    </row>
    <row r="204" spans="1:20" x14ac:dyDescent="0.25">
      <c r="A204" s="5">
        <v>44389</v>
      </c>
      <c r="B204">
        <v>0.76149999999999995</v>
      </c>
      <c r="C204">
        <v>0.89449999999999996</v>
      </c>
      <c r="D204">
        <v>0.75429999999999997</v>
      </c>
      <c r="E204">
        <v>0.83360000000000001</v>
      </c>
      <c r="F204">
        <v>12694001.939999999</v>
      </c>
      <c r="G204">
        <v>0</v>
      </c>
      <c r="L204" t="s">
        <v>8</v>
      </c>
      <c r="M204" t="s">
        <v>8</v>
      </c>
      <c r="N204" t="s">
        <v>7</v>
      </c>
      <c r="P204">
        <f t="shared" si="959"/>
        <v>0.1312410841654785</v>
      </c>
      <c r="Q204">
        <f t="shared" si="960"/>
        <v>1665974.5770042874</v>
      </c>
      <c r="R204">
        <f t="shared" si="961"/>
        <v>37235066.359417871</v>
      </c>
      <c r="S204">
        <f t="shared" si="962"/>
        <v>372.35066359417868</v>
      </c>
      <c r="T204">
        <f t="shared" si="963"/>
        <v>0.37235066359417868</v>
      </c>
    </row>
    <row r="205" spans="1:20" x14ac:dyDescent="0.25">
      <c r="A205" s="5">
        <v>44388</v>
      </c>
      <c r="B205">
        <v>0.74339999999999995</v>
      </c>
      <c r="C205">
        <v>0.77969999999999995</v>
      </c>
      <c r="D205">
        <v>0.73280000000000001</v>
      </c>
      <c r="E205">
        <v>0.76119999999999999</v>
      </c>
      <c r="F205">
        <v>3801783.41</v>
      </c>
      <c r="G205">
        <v>0</v>
      </c>
      <c r="L205" t="s">
        <v>7</v>
      </c>
      <c r="M205" t="s">
        <v>8</v>
      </c>
      <c r="N205" t="s">
        <v>7</v>
      </c>
      <c r="P205">
        <f t="shared" si="959"/>
        <v>0.21108742004264461</v>
      </c>
      <c r="Q205">
        <f t="shared" si="960"/>
        <v>802508.65157782775</v>
      </c>
      <c r="R205">
        <f t="shared" si="961"/>
        <v>35569091.782413587</v>
      </c>
      <c r="S205">
        <f t="shared" si="962"/>
        <v>355.69091782413585</v>
      </c>
      <c r="T205">
        <f t="shared" si="963"/>
        <v>0.35569091782413587</v>
      </c>
    </row>
    <row r="206" spans="1:20" x14ac:dyDescent="0.25">
      <c r="A206" s="5">
        <v>44387</v>
      </c>
      <c r="B206">
        <v>0.80510000000000004</v>
      </c>
      <c r="C206">
        <v>0.84</v>
      </c>
      <c r="D206">
        <v>0.72450000000000003</v>
      </c>
      <c r="E206">
        <v>0.74280000000000002</v>
      </c>
      <c r="F206">
        <v>4498729.1100000003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-0.68311688311688323</v>
      </c>
      <c r="Q206">
        <f t="shared" si="960"/>
        <v>-3073157.8076103902</v>
      </c>
      <c r="R206">
        <f t="shared" si="961"/>
        <v>34766583.130835757</v>
      </c>
      <c r="S206">
        <f t="shared" si="962"/>
        <v>347.66583130835755</v>
      </c>
      <c r="T206">
        <f t="shared" si="963"/>
        <v>0.34766583130835754</v>
      </c>
    </row>
    <row r="207" spans="1:20" x14ac:dyDescent="0.25">
      <c r="A207" s="5">
        <v>44386</v>
      </c>
      <c r="B207">
        <v>0.73519999999999996</v>
      </c>
      <c r="C207">
        <v>0.82740000000000002</v>
      </c>
      <c r="D207">
        <v>0.69720000000000004</v>
      </c>
      <c r="E207">
        <v>0.80359999999999998</v>
      </c>
      <c r="F207">
        <v>5234863.53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0.63440860215053696</v>
      </c>
      <c r="Q207">
        <f t="shared" si="960"/>
        <v>3321042.4545161258</v>
      </c>
      <c r="R207">
        <f t="shared" si="961"/>
        <v>37839740.938446149</v>
      </c>
      <c r="S207">
        <f t="shared" si="962"/>
        <v>378.39740938446147</v>
      </c>
      <c r="T207">
        <f t="shared" si="963"/>
        <v>0.37839740938446148</v>
      </c>
    </row>
    <row r="208" spans="1:20" x14ac:dyDescent="0.25">
      <c r="A208" s="5">
        <v>44385</v>
      </c>
      <c r="B208">
        <v>0.81179999999999997</v>
      </c>
      <c r="C208">
        <v>0.86109999999999998</v>
      </c>
      <c r="D208">
        <v>0.71640000000000004</v>
      </c>
      <c r="E208">
        <v>0.7349</v>
      </c>
      <c r="F208">
        <v>9157173.0899999999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-0.74429854872149315</v>
      </c>
      <c r="Q208">
        <f t="shared" si="960"/>
        <v>-6815670.6412785109</v>
      </c>
      <c r="R208">
        <f t="shared" si="961"/>
        <v>34518698.483930022</v>
      </c>
      <c r="S208">
        <f t="shared" si="962"/>
        <v>345.18698483930024</v>
      </c>
      <c r="T208">
        <f t="shared" si="963"/>
        <v>0.34518698483930021</v>
      </c>
    </row>
    <row r="209" spans="1:20" x14ac:dyDescent="0.25">
      <c r="A209" s="5">
        <v>44384</v>
      </c>
      <c r="B209">
        <v>0.77380000000000004</v>
      </c>
      <c r="C209">
        <v>1.0398000000000001</v>
      </c>
      <c r="D209">
        <v>0.73009999999999997</v>
      </c>
      <c r="E209">
        <v>0.8125</v>
      </c>
      <c r="F209">
        <v>33695661.549999997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-0.46787213432353886</v>
      </c>
      <c r="Q209">
        <f t="shared" si="960"/>
        <v>-15765261.086842103</v>
      </c>
      <c r="R209">
        <f t="shared" si="961"/>
        <v>41334369.125208534</v>
      </c>
      <c r="S209">
        <f t="shared" si="962"/>
        <v>413.34369125208536</v>
      </c>
      <c r="T209">
        <f t="shared" si="963"/>
        <v>0.41334369125208537</v>
      </c>
    </row>
    <row r="210" spans="1:20" x14ac:dyDescent="0.25">
      <c r="A210" s="5">
        <v>44383</v>
      </c>
      <c r="B210">
        <v>0.59450000000000003</v>
      </c>
      <c r="C210">
        <v>0.8</v>
      </c>
      <c r="D210">
        <v>0.59440000000000004</v>
      </c>
      <c r="E210">
        <v>0.77380000000000004</v>
      </c>
      <c r="F210">
        <v>11235448.189999999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0.74513618677042803</v>
      </c>
      <c r="Q210">
        <f t="shared" si="960"/>
        <v>8371939.0209533069</v>
      </c>
      <c r="R210">
        <f t="shared" si="961"/>
        <v>57099630.212050639</v>
      </c>
      <c r="S210">
        <f t="shared" si="962"/>
        <v>570.99630212050636</v>
      </c>
      <c r="T210">
        <f t="shared" si="963"/>
        <v>0.57099630212050634</v>
      </c>
    </row>
    <row r="211" spans="1:20" x14ac:dyDescent="0.25">
      <c r="A211" s="5">
        <v>44382</v>
      </c>
      <c r="B211">
        <v>0.64190000000000003</v>
      </c>
      <c r="C211">
        <v>0.64790000000000003</v>
      </c>
      <c r="D211">
        <v>0.57430000000000003</v>
      </c>
      <c r="E211">
        <v>0.59440000000000004</v>
      </c>
      <c r="F211">
        <v>3732686.56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-0.45380434782608675</v>
      </c>
      <c r="Q211">
        <f t="shared" si="960"/>
        <v>-1693909.3899999992</v>
      </c>
      <c r="R211">
        <f t="shared" si="961"/>
        <v>48727691.191097334</v>
      </c>
      <c r="S211">
        <f t="shared" si="962"/>
        <v>487.27691191097335</v>
      </c>
      <c r="T211">
        <f t="shared" si="963"/>
        <v>0.48727691191097333</v>
      </c>
    </row>
    <row r="212" spans="1:20" x14ac:dyDescent="0.25">
      <c r="A212" s="5">
        <v>44381</v>
      </c>
      <c r="B212">
        <v>0.62670000000000003</v>
      </c>
      <c r="C212">
        <v>0.66859999999999997</v>
      </c>
      <c r="D212">
        <v>0.60660000000000003</v>
      </c>
      <c r="E212">
        <v>0.64190000000000003</v>
      </c>
      <c r="F212">
        <v>3813568.21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0.1387096774193558</v>
      </c>
      <c r="Q212">
        <f t="shared" si="960"/>
        <v>528978.81622581009</v>
      </c>
      <c r="R212">
        <f t="shared" si="961"/>
        <v>50421600.581097335</v>
      </c>
      <c r="S212">
        <f t="shared" si="962"/>
        <v>504.21600581097334</v>
      </c>
      <c r="T212">
        <f t="shared" si="963"/>
        <v>0.50421600581097337</v>
      </c>
    </row>
    <row r="213" spans="1:20" x14ac:dyDescent="0.25">
      <c r="A213" s="5">
        <v>44380</v>
      </c>
      <c r="B213">
        <v>0.55669999999999997</v>
      </c>
      <c r="C213">
        <v>0.64200000000000002</v>
      </c>
      <c r="D213">
        <v>0.54559999999999997</v>
      </c>
      <c r="E213">
        <v>0.62580000000000002</v>
      </c>
      <c r="F213">
        <v>3847885.38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0.66390041493775964</v>
      </c>
      <c r="Q213">
        <f t="shared" si="960"/>
        <v>2554612.7004149389</v>
      </c>
      <c r="R213">
        <f t="shared" si="961"/>
        <v>49892621.764871523</v>
      </c>
      <c r="S213">
        <f t="shared" si="962"/>
        <v>498.92621764871524</v>
      </c>
      <c r="T213">
        <f t="shared" si="963"/>
        <v>0.49892621764871525</v>
      </c>
    </row>
    <row r="214" spans="1:20" x14ac:dyDescent="0.25">
      <c r="A214" s="5">
        <v>44379</v>
      </c>
      <c r="B214">
        <v>0.56469999999999998</v>
      </c>
      <c r="C214">
        <v>0.57410000000000005</v>
      </c>
      <c r="D214">
        <v>0.52549999999999997</v>
      </c>
      <c r="E214">
        <v>0.55669999999999997</v>
      </c>
      <c r="F214">
        <v>2779056.03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0.28395061728394855</v>
      </c>
      <c r="Q214">
        <f t="shared" si="960"/>
        <v>789114.67518517934</v>
      </c>
      <c r="R214">
        <f t="shared" si="961"/>
        <v>47338009.064456582</v>
      </c>
      <c r="S214">
        <f t="shared" si="962"/>
        <v>473.38009064456583</v>
      </c>
      <c r="T214">
        <f t="shared" si="963"/>
        <v>0.47338009064456582</v>
      </c>
    </row>
    <row r="215" spans="1:20" x14ac:dyDescent="0.25">
      <c r="A215" s="5">
        <v>44378</v>
      </c>
      <c r="B215">
        <v>0.59540000000000004</v>
      </c>
      <c r="C215">
        <v>0.5958</v>
      </c>
      <c r="D215">
        <v>0.55159999999999998</v>
      </c>
      <c r="E215">
        <v>0.56710000000000005</v>
      </c>
      <c r="F215">
        <v>2418977.5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-0.29864253393664875</v>
      </c>
      <c r="Q215">
        <f t="shared" si="960"/>
        <v>-722409.57013573975</v>
      </c>
      <c r="R215">
        <f t="shared" si="961"/>
        <v>46548894.389271401</v>
      </c>
      <c r="S215">
        <f t="shared" si="962"/>
        <v>465.48894389271402</v>
      </c>
      <c r="T215">
        <f t="shared" si="963"/>
        <v>0.465488943892714</v>
      </c>
    </row>
    <row r="216" spans="1:20" x14ac:dyDescent="0.25">
      <c r="A216" s="5">
        <v>44377</v>
      </c>
      <c r="B216">
        <v>0.60029999999999994</v>
      </c>
      <c r="C216">
        <v>0.62609999999999999</v>
      </c>
      <c r="D216">
        <v>0.55369999999999997</v>
      </c>
      <c r="E216">
        <v>0.59399999999999997</v>
      </c>
      <c r="F216">
        <v>3142442.41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0.11325966850828706</v>
      </c>
      <c r="Q216">
        <f t="shared" si="960"/>
        <v>355911.98566298268</v>
      </c>
      <c r="R216">
        <f t="shared" si="961"/>
        <v>47271303.959407143</v>
      </c>
      <c r="S216">
        <f t="shared" si="962"/>
        <v>472.71303959407146</v>
      </c>
      <c r="T216">
        <f t="shared" si="963"/>
        <v>0.47271303959407146</v>
      </c>
    </row>
    <row r="217" spans="1:20" x14ac:dyDescent="0.25">
      <c r="A217" s="5">
        <v>44376</v>
      </c>
      <c r="B217">
        <v>0.55859999999999999</v>
      </c>
      <c r="C217">
        <v>0.64</v>
      </c>
      <c r="D217">
        <v>0.55569999999999997</v>
      </c>
      <c r="E217">
        <v>0.60109999999999997</v>
      </c>
      <c r="F217">
        <v>8936326.1600000001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7.7105575326215273E-2</v>
      </c>
      <c r="Q217">
        <f t="shared" si="960"/>
        <v>689040.56986950804</v>
      </c>
      <c r="R217">
        <f t="shared" si="961"/>
        <v>46915391.973744161</v>
      </c>
      <c r="S217">
        <f t="shared" si="962"/>
        <v>469.15391973744164</v>
      </c>
      <c r="T217">
        <f t="shared" si="963"/>
        <v>0.46915391973744164</v>
      </c>
    </row>
    <row r="218" spans="1:20" x14ac:dyDescent="0.25">
      <c r="A218" s="5">
        <v>44375</v>
      </c>
      <c r="B218">
        <v>0.54749999999999999</v>
      </c>
      <c r="C218">
        <v>0.57750000000000001</v>
      </c>
      <c r="D218">
        <v>0.50760000000000005</v>
      </c>
      <c r="E218">
        <v>0.55859999999999999</v>
      </c>
      <c r="F218">
        <v>9618846.5500000007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0.4592274678111577</v>
      </c>
      <c r="Q218">
        <f t="shared" si="960"/>
        <v>4417238.5444205906</v>
      </c>
      <c r="R218">
        <f t="shared" si="961"/>
        <v>46226351.403874651</v>
      </c>
      <c r="S218">
        <f t="shared" si="962"/>
        <v>462.26351403874651</v>
      </c>
      <c r="T218">
        <f t="shared" si="963"/>
        <v>0.46226351403874649</v>
      </c>
    </row>
    <row r="219" spans="1:20" x14ac:dyDescent="0.25">
      <c r="A219" s="5">
        <v>44374</v>
      </c>
      <c r="B219">
        <v>0.57350000000000001</v>
      </c>
      <c r="C219">
        <v>0.59230000000000005</v>
      </c>
      <c r="D219">
        <v>0.51549999999999996</v>
      </c>
      <c r="E219">
        <v>0.54749999999999999</v>
      </c>
      <c r="F219">
        <v>4618507.84</v>
      </c>
      <c r="G219">
        <v>0</v>
      </c>
      <c r="L219" t="s">
        <v>7</v>
      </c>
      <c r="M219" t="s">
        <v>7</v>
      </c>
      <c r="N219" t="s">
        <v>8</v>
      </c>
      <c r="P219">
        <f t="shared" si="959"/>
        <v>-0.16666666666666691</v>
      </c>
      <c r="Q219">
        <f t="shared" si="960"/>
        <v>-769751.30666666781</v>
      </c>
      <c r="R219">
        <f t="shared" si="961"/>
        <v>41809112.859454058</v>
      </c>
      <c r="S219">
        <f t="shared" si="962"/>
        <v>418.09112859454058</v>
      </c>
      <c r="T219">
        <f t="shared" si="963"/>
        <v>0.41809112859454056</v>
      </c>
    </row>
    <row r="220" spans="1:20" x14ac:dyDescent="0.25">
      <c r="A220" s="5">
        <v>44373</v>
      </c>
      <c r="B220">
        <v>0.60119999999999996</v>
      </c>
      <c r="C220">
        <v>0.60270000000000001</v>
      </c>
      <c r="D220">
        <v>0.53639999999999999</v>
      </c>
      <c r="E220">
        <v>0.57340000000000002</v>
      </c>
      <c r="F220">
        <v>2029071.86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0.11613876319758729</v>
      </c>
      <c r="Q220">
        <f t="shared" si="960"/>
        <v>235653.896259428</v>
      </c>
      <c r="R220">
        <f t="shared" si="961"/>
        <v>42578864.166120723</v>
      </c>
      <c r="S220">
        <f t="shared" si="962"/>
        <v>425.78864166120724</v>
      </c>
      <c r="T220">
        <f t="shared" si="963"/>
        <v>0.42578864166120722</v>
      </c>
    </row>
    <row r="221" spans="1:20" x14ac:dyDescent="0.25">
      <c r="A221" s="5">
        <v>44372</v>
      </c>
      <c r="B221">
        <v>0.66990000000000005</v>
      </c>
      <c r="C221">
        <v>0.69389999999999996</v>
      </c>
      <c r="D221">
        <v>0.56899999999999995</v>
      </c>
      <c r="E221">
        <v>0.5998</v>
      </c>
      <c r="F221">
        <v>3050313.45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-0.50680544435548369</v>
      </c>
      <c r="Q221">
        <f t="shared" si="960"/>
        <v>-1545915.4634507585</v>
      </c>
      <c r="R221">
        <f t="shared" si="961"/>
        <v>42343210.269861296</v>
      </c>
      <c r="S221">
        <f t="shared" si="962"/>
        <v>423.43210269861294</v>
      </c>
      <c r="T221">
        <f t="shared" si="963"/>
        <v>0.42343210269861292</v>
      </c>
    </row>
    <row r="222" spans="1:20" x14ac:dyDescent="0.25">
      <c r="A222" s="5">
        <v>44371</v>
      </c>
      <c r="B222">
        <v>0.6139</v>
      </c>
      <c r="C222">
        <v>0.67</v>
      </c>
      <c r="D222">
        <v>0.60089999999999999</v>
      </c>
      <c r="E222">
        <v>0.66779999999999995</v>
      </c>
      <c r="F222">
        <v>1751863.6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0.93632416787264572</v>
      </c>
      <c r="Q222">
        <f t="shared" si="960"/>
        <v>1640312.2274963777</v>
      </c>
      <c r="R222">
        <f t="shared" si="961"/>
        <v>43889125.733312055</v>
      </c>
      <c r="S222">
        <f t="shared" si="962"/>
        <v>438.89125733312056</v>
      </c>
      <c r="T222">
        <f t="shared" si="963"/>
        <v>0.43889125733312057</v>
      </c>
    </row>
    <row r="223" spans="1:20" x14ac:dyDescent="0.25">
      <c r="A223" s="5">
        <v>44370</v>
      </c>
      <c r="B223">
        <v>0.58150000000000002</v>
      </c>
      <c r="C223">
        <v>0.66</v>
      </c>
      <c r="D223">
        <v>0.54779999999999995</v>
      </c>
      <c r="E223">
        <v>0.6159</v>
      </c>
      <c r="F223">
        <v>2434743.35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0.21390374331550807</v>
      </c>
      <c r="Q223">
        <f t="shared" si="960"/>
        <v>520800.71657754027</v>
      </c>
      <c r="R223">
        <f t="shared" si="961"/>
        <v>42248813.505815677</v>
      </c>
      <c r="S223">
        <f t="shared" si="962"/>
        <v>422.48813505815679</v>
      </c>
      <c r="T223">
        <f t="shared" si="963"/>
        <v>0.4224881350581568</v>
      </c>
    </row>
    <row r="224" spans="1:20" x14ac:dyDescent="0.25">
      <c r="A224" s="5">
        <v>44369</v>
      </c>
      <c r="B224">
        <v>0.6129</v>
      </c>
      <c r="C224">
        <v>0.64429999999999998</v>
      </c>
      <c r="D224">
        <v>0.48299999999999998</v>
      </c>
      <c r="E224">
        <v>0.58130000000000004</v>
      </c>
      <c r="F224">
        <v>3894554.69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0.2188468691878494</v>
      </c>
      <c r="Q224">
        <f t="shared" si="960"/>
        <v>852311.10078735533</v>
      </c>
      <c r="R224">
        <f t="shared" si="961"/>
        <v>41728012.78923814</v>
      </c>
      <c r="S224">
        <f t="shared" si="962"/>
        <v>417.28012789238142</v>
      </c>
      <c r="T224">
        <f t="shared" si="963"/>
        <v>0.41728012789238139</v>
      </c>
    </row>
    <row r="225" spans="1:20" x14ac:dyDescent="0.25">
      <c r="A225" s="5">
        <v>44368</v>
      </c>
      <c r="B225">
        <v>0.8579</v>
      </c>
      <c r="C225">
        <v>0.86060000000000003</v>
      </c>
      <c r="D225">
        <v>0.60929999999999995</v>
      </c>
      <c r="E225">
        <v>0.61319999999999997</v>
      </c>
      <c r="F225">
        <v>3579749.14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-0.96896140071627523</v>
      </c>
      <c r="Q225">
        <f t="shared" si="960"/>
        <v>-3468638.7409072816</v>
      </c>
      <c r="R225">
        <f t="shared" si="961"/>
        <v>40875701.688450783</v>
      </c>
      <c r="S225">
        <f t="shared" si="962"/>
        <v>408.75701688450783</v>
      </c>
      <c r="T225">
        <f t="shared" si="963"/>
        <v>0.40875701688450783</v>
      </c>
    </row>
    <row r="226" spans="1:20" x14ac:dyDescent="0.25">
      <c r="A226" s="5">
        <v>44367</v>
      </c>
      <c r="B226">
        <v>0.84279999999999999</v>
      </c>
      <c r="C226">
        <v>0.86560000000000004</v>
      </c>
      <c r="D226">
        <v>0.75219999999999998</v>
      </c>
      <c r="E226">
        <v>0.86029999999999995</v>
      </c>
      <c r="F226">
        <v>2456361.4500000002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0.90652557319223848</v>
      </c>
      <c r="Q226">
        <f t="shared" si="960"/>
        <v>2226754.471428568</v>
      </c>
      <c r="R226">
        <f t="shared" si="961"/>
        <v>44344340.429358065</v>
      </c>
      <c r="S226">
        <f t="shared" si="962"/>
        <v>443.44340429358067</v>
      </c>
      <c r="T226">
        <f t="shared" si="963"/>
        <v>0.44344340429358065</v>
      </c>
    </row>
    <row r="227" spans="1:20" x14ac:dyDescent="0.25">
      <c r="A227" s="5">
        <v>44366</v>
      </c>
      <c r="B227">
        <v>0.89159999999999995</v>
      </c>
      <c r="C227">
        <v>0.91800000000000004</v>
      </c>
      <c r="D227">
        <v>0.83689999999999998</v>
      </c>
      <c r="E227">
        <v>0.84030000000000005</v>
      </c>
      <c r="F227">
        <v>1772392.91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-0.91615289765721164</v>
      </c>
      <c r="Q227">
        <f t="shared" si="960"/>
        <v>-1623782.9002835974</v>
      </c>
      <c r="R227">
        <f t="shared" si="961"/>
        <v>42117585.957929499</v>
      </c>
      <c r="S227">
        <f t="shared" si="962"/>
        <v>421.17585957929498</v>
      </c>
      <c r="T227">
        <f t="shared" si="963"/>
        <v>0.42117585957929499</v>
      </c>
    </row>
    <row r="228" spans="1:20" x14ac:dyDescent="0.25">
      <c r="A228" s="5">
        <v>44365</v>
      </c>
      <c r="B228">
        <v>1.0416000000000001</v>
      </c>
      <c r="C228">
        <v>1.0711999999999999</v>
      </c>
      <c r="D228">
        <v>0.83</v>
      </c>
      <c r="E228">
        <v>0.88980000000000004</v>
      </c>
      <c r="F228">
        <v>5999430.5099999998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-0.50414593698175714</v>
      </c>
      <c r="Q228">
        <f t="shared" si="960"/>
        <v>-3024588.5158208911</v>
      </c>
      <c r="R228">
        <f t="shared" si="961"/>
        <v>43741368.858213097</v>
      </c>
      <c r="S228">
        <f t="shared" si="962"/>
        <v>437.41368858213099</v>
      </c>
      <c r="T228">
        <f t="shared" si="963"/>
        <v>0.43741368858213098</v>
      </c>
    </row>
    <row r="229" spans="1:20" x14ac:dyDescent="0.25">
      <c r="A229" s="5">
        <v>44364</v>
      </c>
      <c r="B229">
        <v>1.0568</v>
      </c>
      <c r="C229">
        <v>1.1069</v>
      </c>
      <c r="D229">
        <v>1.0022</v>
      </c>
      <c r="E229">
        <v>1.0395000000000001</v>
      </c>
      <c r="F229">
        <v>9254843.0800000001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-0.28748806112702757</v>
      </c>
      <c r="Q229">
        <f t="shared" si="960"/>
        <v>-2660656.893104088</v>
      </c>
      <c r="R229">
        <f t="shared" si="961"/>
        <v>46765957.374033988</v>
      </c>
      <c r="S229">
        <f t="shared" si="962"/>
        <v>467.65957374033985</v>
      </c>
      <c r="T229">
        <f t="shared" si="963"/>
        <v>0.46765957374033984</v>
      </c>
    </row>
    <row r="230" spans="1:20" x14ac:dyDescent="0.25">
      <c r="A230" s="5">
        <v>44363</v>
      </c>
      <c r="B230">
        <v>1.1377999999999999</v>
      </c>
      <c r="C230">
        <v>1.1378999999999999</v>
      </c>
      <c r="D230">
        <v>1.0365</v>
      </c>
      <c r="E230">
        <v>1.0567</v>
      </c>
      <c r="F230">
        <v>1567439.34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-0.60157790927021682</v>
      </c>
      <c r="Q230">
        <f t="shared" si="960"/>
        <v>-942936.88106508856</v>
      </c>
      <c r="R230">
        <f t="shared" si="961"/>
        <v>49426614.267138079</v>
      </c>
      <c r="S230">
        <f t="shared" si="962"/>
        <v>494.26614267138081</v>
      </c>
      <c r="T230">
        <f t="shared" si="963"/>
        <v>0.4942661426713808</v>
      </c>
    </row>
    <row r="231" spans="1:20" x14ac:dyDescent="0.25">
      <c r="A231" s="5">
        <v>44362</v>
      </c>
      <c r="B231">
        <v>1.1276999999999999</v>
      </c>
      <c r="C231">
        <v>1.169</v>
      </c>
      <c r="D231">
        <v>1.1027</v>
      </c>
      <c r="E231">
        <v>1.1358999999999999</v>
      </c>
      <c r="F231">
        <v>2090434.63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1.508295625939169E-3</v>
      </c>
      <c r="Q231">
        <f t="shared" si="960"/>
        <v>3152.9934087407651</v>
      </c>
      <c r="R231">
        <f t="shared" si="961"/>
        <v>50369551.148203164</v>
      </c>
      <c r="S231">
        <f t="shared" si="962"/>
        <v>503.69551148203163</v>
      </c>
      <c r="T231">
        <f t="shared" si="963"/>
        <v>0.50369551148203162</v>
      </c>
    </row>
    <row r="232" spans="1:20" x14ac:dyDescent="0.25">
      <c r="A232" s="5">
        <v>44361</v>
      </c>
      <c r="B232">
        <v>1.1041000000000001</v>
      </c>
      <c r="C232">
        <v>1.1279999999999999</v>
      </c>
      <c r="D232">
        <v>1.0415000000000001</v>
      </c>
      <c r="E232">
        <v>1.1276999999999999</v>
      </c>
      <c r="F232">
        <v>3763170.68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0.99306358381502968</v>
      </c>
      <c r="Q232">
        <f t="shared" si="960"/>
        <v>3737067.7619884424</v>
      </c>
      <c r="R232">
        <f t="shared" si="961"/>
        <v>50366398.154794425</v>
      </c>
      <c r="S232">
        <f t="shared" si="962"/>
        <v>503.66398154794427</v>
      </c>
      <c r="T232">
        <f t="shared" si="963"/>
        <v>0.50366398154794423</v>
      </c>
    </row>
    <row r="233" spans="1:20" x14ac:dyDescent="0.25">
      <c r="A233" s="5">
        <v>44360</v>
      </c>
      <c r="B233">
        <v>1.0442</v>
      </c>
      <c r="C233">
        <v>1.1315</v>
      </c>
      <c r="D233">
        <v>1.006</v>
      </c>
      <c r="E233">
        <v>1.1019000000000001</v>
      </c>
      <c r="F233">
        <v>4700289.2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0.52828685258964359</v>
      </c>
      <c r="Q233">
        <f t="shared" si="960"/>
        <v>2483100.987729094</v>
      </c>
      <c r="R233">
        <f t="shared" si="961"/>
        <v>46629330.392805986</v>
      </c>
      <c r="S233">
        <f t="shared" si="962"/>
        <v>466.29330392805986</v>
      </c>
      <c r="T233">
        <f t="shared" si="963"/>
        <v>0.46629330392805984</v>
      </c>
    </row>
    <row r="234" spans="1:20" x14ac:dyDescent="0.25">
      <c r="A234" s="5">
        <v>44359</v>
      </c>
      <c r="B234">
        <v>1.1647000000000001</v>
      </c>
      <c r="C234">
        <v>1.177</v>
      </c>
      <c r="D234">
        <v>0.99890000000000001</v>
      </c>
      <c r="E234">
        <v>1.0412999999999999</v>
      </c>
      <c r="F234">
        <v>5539810.1699999999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-0.5238629983155545</v>
      </c>
      <c r="Q234">
        <f t="shared" si="960"/>
        <v>-2902101.5657552015</v>
      </c>
      <c r="R234">
        <f t="shared" si="961"/>
        <v>44146229.405076891</v>
      </c>
      <c r="S234">
        <f t="shared" si="962"/>
        <v>441.46229405076889</v>
      </c>
      <c r="T234">
        <f t="shared" si="963"/>
        <v>0.44146229405076887</v>
      </c>
    </row>
    <row r="235" spans="1:20" x14ac:dyDescent="0.25">
      <c r="A235" s="5">
        <v>44358</v>
      </c>
      <c r="B235">
        <v>1.4441999999999999</v>
      </c>
      <c r="C235">
        <v>1.4999</v>
      </c>
      <c r="D235">
        <v>1.1493</v>
      </c>
      <c r="E235">
        <v>1.1620999999999999</v>
      </c>
      <c r="F235">
        <v>8517555.1999999993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-0.92698231602966386</v>
      </c>
      <c r="Q235">
        <f t="shared" si="960"/>
        <v>-7895623.046206506</v>
      </c>
      <c r="R235">
        <f t="shared" si="961"/>
        <v>47048330.970832095</v>
      </c>
      <c r="S235">
        <f t="shared" si="962"/>
        <v>470.48330970832097</v>
      </c>
      <c r="T235">
        <f t="shared" si="963"/>
        <v>0.47048330970832097</v>
      </c>
    </row>
    <row r="236" spans="1:20" x14ac:dyDescent="0.25">
      <c r="A236" s="5">
        <v>44357</v>
      </c>
      <c r="B236">
        <v>1.5401</v>
      </c>
      <c r="C236">
        <v>1.5401</v>
      </c>
      <c r="D236">
        <v>1.4227000000000001</v>
      </c>
      <c r="E236">
        <v>1.4490000000000001</v>
      </c>
      <c r="F236">
        <v>4385332.83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-0.55195911413969334</v>
      </c>
      <c r="Q236">
        <f t="shared" si="960"/>
        <v>-2420524.4240545146</v>
      </c>
      <c r="R236">
        <f t="shared" si="961"/>
        <v>54943954.017038599</v>
      </c>
      <c r="S236">
        <f t="shared" si="962"/>
        <v>549.43954017038595</v>
      </c>
      <c r="T236">
        <f t="shared" si="963"/>
        <v>0.54943954017038599</v>
      </c>
    </row>
    <row r="237" spans="1:20" x14ac:dyDescent="0.25">
      <c r="A237" s="5">
        <v>44356</v>
      </c>
      <c r="B237">
        <v>1.4037999999999999</v>
      </c>
      <c r="C237">
        <v>1.6845000000000001</v>
      </c>
      <c r="D237">
        <v>1.3962000000000001</v>
      </c>
      <c r="E237">
        <v>1.5401</v>
      </c>
      <c r="F237">
        <v>4271058.17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-1.7343045438784842E-3</v>
      </c>
      <c r="Q237">
        <f t="shared" si="960"/>
        <v>-7407.3155914003237</v>
      </c>
      <c r="R237">
        <f t="shared" si="961"/>
        <v>57364478.441093117</v>
      </c>
      <c r="S237">
        <f t="shared" si="962"/>
        <v>573.64478441093115</v>
      </c>
      <c r="T237">
        <f t="shared" si="963"/>
        <v>0.57364478441093114</v>
      </c>
    </row>
    <row r="238" spans="1:20" x14ac:dyDescent="0.25">
      <c r="A238" s="5">
        <v>44355</v>
      </c>
      <c r="B238">
        <v>1.5112000000000001</v>
      </c>
      <c r="C238">
        <v>1.5282</v>
      </c>
      <c r="D238">
        <v>1.2696000000000001</v>
      </c>
      <c r="E238">
        <v>1.4081999999999999</v>
      </c>
      <c r="F238">
        <v>1875902.76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7.1925754060323796E-2</v>
      </c>
      <c r="Q238">
        <f t="shared" si="960"/>
        <v>134925.72055684263</v>
      </c>
      <c r="R238">
        <f t="shared" si="961"/>
        <v>57371885.756684519</v>
      </c>
      <c r="S238">
        <f t="shared" si="962"/>
        <v>573.71885756684514</v>
      </c>
      <c r="T238">
        <f t="shared" si="963"/>
        <v>0.57371885756684515</v>
      </c>
    </row>
    <row r="239" spans="1:20" x14ac:dyDescent="0.25">
      <c r="A239" s="5">
        <v>44354</v>
      </c>
      <c r="B239">
        <v>1.5563</v>
      </c>
      <c r="C239">
        <v>1.7481</v>
      </c>
      <c r="D239">
        <v>1.4888999999999999</v>
      </c>
      <c r="E239">
        <v>1.5134000000000001</v>
      </c>
      <c r="F239">
        <v>2047041.06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-0.81095679012345545</v>
      </c>
      <c r="Q239">
        <f t="shared" si="960"/>
        <v>-1660061.8472685157</v>
      </c>
      <c r="R239">
        <f t="shared" si="961"/>
        <v>57236960.036127679</v>
      </c>
      <c r="S239">
        <f t="shared" si="962"/>
        <v>572.36960036127675</v>
      </c>
      <c r="T239">
        <f t="shared" si="963"/>
        <v>0.57236960036127671</v>
      </c>
    </row>
    <row r="240" spans="1:20" x14ac:dyDescent="0.25">
      <c r="A240" s="5">
        <v>44353</v>
      </c>
      <c r="B240">
        <v>1.4966999999999999</v>
      </c>
      <c r="C240">
        <v>1.7081</v>
      </c>
      <c r="D240">
        <v>1.4765999999999999</v>
      </c>
      <c r="E240">
        <v>1.56</v>
      </c>
      <c r="F240">
        <v>1920156.2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-0.27948164146868143</v>
      </c>
      <c r="Q240">
        <f t="shared" si="960"/>
        <v>-536648.40665226569</v>
      </c>
      <c r="R240">
        <f t="shared" si="961"/>
        <v>58897021.883396193</v>
      </c>
      <c r="S240">
        <f t="shared" si="962"/>
        <v>588.97021883396189</v>
      </c>
      <c r="T240">
        <f t="shared" si="963"/>
        <v>0.58897021883396194</v>
      </c>
    </row>
    <row r="241" spans="1:20" x14ac:dyDescent="0.25">
      <c r="A241" s="5">
        <v>44352</v>
      </c>
      <c r="B241">
        <v>1.5497000000000001</v>
      </c>
      <c r="C241">
        <v>1.6347</v>
      </c>
      <c r="D241">
        <v>1.4634</v>
      </c>
      <c r="E241">
        <v>1.4890000000000001</v>
      </c>
      <c r="F241">
        <v>769260.39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-0.70110916520723798</v>
      </c>
      <c r="Q241">
        <f t="shared" si="960"/>
        <v>-539335.50985989429</v>
      </c>
      <c r="R241">
        <f t="shared" si="961"/>
        <v>59433670.290048458</v>
      </c>
      <c r="S241">
        <f t="shared" si="962"/>
        <v>594.33670290048462</v>
      </c>
      <c r="T241">
        <f t="shared" si="963"/>
        <v>0.59433670290048457</v>
      </c>
    </row>
    <row r="242" spans="1:20" x14ac:dyDescent="0.25">
      <c r="A242" s="5">
        <v>44351</v>
      </c>
      <c r="B242">
        <v>1.7224999999999999</v>
      </c>
      <c r="C242">
        <v>1.7228000000000001</v>
      </c>
      <c r="D242">
        <v>1.4607000000000001</v>
      </c>
      <c r="E242">
        <v>1.5508</v>
      </c>
      <c r="F242">
        <v>1075596.8999999999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-0.31247615413964253</v>
      </c>
      <c r="Q242">
        <f t="shared" si="960"/>
        <v>-336098.38271652162</v>
      </c>
      <c r="R242">
        <f t="shared" si="961"/>
        <v>59973005.799908355</v>
      </c>
      <c r="S242">
        <f t="shared" si="962"/>
        <v>599.73005799908356</v>
      </c>
      <c r="T242">
        <f t="shared" si="963"/>
        <v>0.59973005799908352</v>
      </c>
    </row>
    <row r="243" spans="1:20" x14ac:dyDescent="0.25">
      <c r="A243" s="5">
        <v>44350</v>
      </c>
      <c r="B243">
        <v>1.6429</v>
      </c>
      <c r="C243">
        <v>1.853</v>
      </c>
      <c r="D243">
        <v>1.6001000000000001</v>
      </c>
      <c r="E243">
        <v>1.7113</v>
      </c>
      <c r="F243">
        <v>1629908.24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-0.12060102807433762</v>
      </c>
      <c r="Q243">
        <f t="shared" si="960"/>
        <v>-196568.60941083421</v>
      </c>
      <c r="R243">
        <f t="shared" si="961"/>
        <v>60309104.182624876</v>
      </c>
      <c r="S243">
        <f t="shared" si="962"/>
        <v>603.09104182624878</v>
      </c>
      <c r="T243">
        <f t="shared" si="963"/>
        <v>0.60309104182624873</v>
      </c>
    </row>
    <row r="244" spans="1:20" x14ac:dyDescent="0.25">
      <c r="A244" s="5">
        <v>44349</v>
      </c>
      <c r="B244">
        <v>1.5774999999999999</v>
      </c>
      <c r="C244">
        <v>1.8696999999999999</v>
      </c>
      <c r="D244">
        <v>1.5279</v>
      </c>
      <c r="E244">
        <v>1.651</v>
      </c>
      <c r="F244">
        <v>3507779.08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-0.27969572849619645</v>
      </c>
      <c r="Q244">
        <f t="shared" si="960"/>
        <v>-981110.82518431777</v>
      </c>
      <c r="R244">
        <f t="shared" si="961"/>
        <v>60505672.792035714</v>
      </c>
      <c r="S244">
        <f t="shared" si="962"/>
        <v>605.05672792035716</v>
      </c>
      <c r="T244">
        <f t="shared" si="963"/>
        <v>0.60505672792035714</v>
      </c>
    </row>
    <row r="245" spans="1:20" x14ac:dyDescent="0.25">
      <c r="A245" s="5">
        <v>44348</v>
      </c>
      <c r="B245">
        <v>1.5454000000000001</v>
      </c>
      <c r="C245">
        <v>1.6767000000000001</v>
      </c>
      <c r="D245">
        <v>1.4857</v>
      </c>
      <c r="E245">
        <v>1.5844</v>
      </c>
      <c r="F245">
        <v>1776279.63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3.350785340314115E-2</v>
      </c>
      <c r="Q245">
        <f t="shared" si="960"/>
        <v>59519.317445025801</v>
      </c>
      <c r="R245">
        <f t="shared" si="961"/>
        <v>61486783.617220029</v>
      </c>
      <c r="S245">
        <f t="shared" si="962"/>
        <v>614.86783617220033</v>
      </c>
      <c r="T245">
        <f t="shared" si="963"/>
        <v>0.61486783617220031</v>
      </c>
    </row>
    <row r="246" spans="1:20" x14ac:dyDescent="0.25">
      <c r="A246" s="5">
        <v>44347</v>
      </c>
      <c r="B246">
        <v>1.4793000000000001</v>
      </c>
      <c r="C246">
        <v>1.5726</v>
      </c>
      <c r="D246">
        <v>1.3884000000000001</v>
      </c>
      <c r="E246">
        <v>1.5462</v>
      </c>
      <c r="F246">
        <v>679288.86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0.71335504885993495</v>
      </c>
      <c r="Q246">
        <f t="shared" si="960"/>
        <v>484574.13791530952</v>
      </c>
      <c r="R246">
        <f t="shared" si="961"/>
        <v>61427264.299775004</v>
      </c>
      <c r="S246">
        <f t="shared" si="962"/>
        <v>614.27264299775004</v>
      </c>
      <c r="T246">
        <f t="shared" si="963"/>
        <v>0.61427264299775008</v>
      </c>
    </row>
    <row r="247" spans="1:20" x14ac:dyDescent="0.25">
      <c r="A247" s="5">
        <v>44346</v>
      </c>
      <c r="B247">
        <v>1.4366000000000001</v>
      </c>
      <c r="C247">
        <v>1.5245</v>
      </c>
      <c r="D247">
        <v>1.3285</v>
      </c>
      <c r="E247">
        <v>1.4793000000000001</v>
      </c>
      <c r="F247">
        <v>828875.13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0.53877551020408243</v>
      </c>
      <c r="Q247">
        <f t="shared" si="960"/>
        <v>446577.62106122513</v>
      </c>
      <c r="R247">
        <f t="shared" si="961"/>
        <v>60942690.161859691</v>
      </c>
      <c r="S247">
        <f t="shared" si="962"/>
        <v>609.42690161859696</v>
      </c>
      <c r="T247">
        <f t="shared" si="963"/>
        <v>0.60942690161859692</v>
      </c>
    </row>
    <row r="248" spans="1:20" x14ac:dyDescent="0.25">
      <c r="A248" s="5">
        <v>44345</v>
      </c>
      <c r="B248">
        <v>1.5356000000000001</v>
      </c>
      <c r="C248">
        <v>1.6897</v>
      </c>
      <c r="D248">
        <v>1.3581000000000001</v>
      </c>
      <c r="E248">
        <v>1.4464999999999999</v>
      </c>
      <c r="F248">
        <v>914899.09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-0.46682750301568249</v>
      </c>
      <c r="Q248">
        <f t="shared" si="960"/>
        <v>-427100.05769602017</v>
      </c>
      <c r="R248">
        <f t="shared" si="961"/>
        <v>60496112.540798463</v>
      </c>
      <c r="S248">
        <f t="shared" si="962"/>
        <v>604.96112540798458</v>
      </c>
      <c r="T248">
        <f t="shared" si="963"/>
        <v>0.60496112540798463</v>
      </c>
    </row>
    <row r="249" spans="1:20" x14ac:dyDescent="0.25">
      <c r="A249" s="5">
        <v>44344</v>
      </c>
      <c r="B249">
        <v>1.7534000000000001</v>
      </c>
      <c r="C249">
        <v>1.7545999999999999</v>
      </c>
      <c r="D249">
        <v>1.4528000000000001</v>
      </c>
      <c r="E249">
        <v>1.5350999999999999</v>
      </c>
      <c r="F249">
        <v>1012262.45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-0.45460569913850324</v>
      </c>
      <c r="Q249">
        <f t="shared" si="960"/>
        <v>-460180.27879390417</v>
      </c>
      <c r="R249">
        <f t="shared" si="961"/>
        <v>60923212.598494485</v>
      </c>
      <c r="S249">
        <f t="shared" si="962"/>
        <v>609.2321259849449</v>
      </c>
      <c r="T249">
        <f t="shared" si="963"/>
        <v>0.60923212598494492</v>
      </c>
    </row>
    <row r="250" spans="1:20" x14ac:dyDescent="0.25">
      <c r="A250" s="5">
        <v>44343</v>
      </c>
      <c r="B250">
        <v>1.8178000000000001</v>
      </c>
      <c r="C250">
        <v>1.8245</v>
      </c>
      <c r="D250">
        <v>1.6266</v>
      </c>
      <c r="E250">
        <v>1.7525999999999999</v>
      </c>
      <c r="F250">
        <v>620604.23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0.27337038908539579</v>
      </c>
      <c r="Q250">
        <f t="shared" si="960"/>
        <v>169654.81982314246</v>
      </c>
      <c r="R250">
        <f t="shared" si="961"/>
        <v>61383392.877288386</v>
      </c>
      <c r="S250">
        <f t="shared" si="962"/>
        <v>613.83392877288384</v>
      </c>
      <c r="T250">
        <f t="shared" si="963"/>
        <v>0.61383392877288379</v>
      </c>
    </row>
    <row r="251" spans="1:20" x14ac:dyDescent="0.25">
      <c r="A251" s="5">
        <v>44342</v>
      </c>
      <c r="B251">
        <v>1.6958</v>
      </c>
      <c r="C251">
        <v>1.8608</v>
      </c>
      <c r="D251">
        <v>1.6066</v>
      </c>
      <c r="E251">
        <v>1.8083</v>
      </c>
      <c r="F251">
        <v>1351948.59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0.58693941778127467</v>
      </c>
      <c r="Q251">
        <f t="shared" si="960"/>
        <v>793511.91828481527</v>
      </c>
      <c r="R251">
        <f t="shared" si="961"/>
        <v>61213738.05746524</v>
      </c>
      <c r="S251">
        <f t="shared" si="962"/>
        <v>612.13738057465241</v>
      </c>
      <c r="T251">
        <f t="shared" si="963"/>
        <v>0.61213738057465239</v>
      </c>
    </row>
    <row r="252" spans="1:20" x14ac:dyDescent="0.25">
      <c r="A252" s="5">
        <v>44341</v>
      </c>
      <c r="B252">
        <v>1.6514</v>
      </c>
      <c r="C252">
        <v>1.7697000000000001</v>
      </c>
      <c r="D252">
        <v>1.4649000000000001</v>
      </c>
      <c r="E252">
        <v>1.6950000000000001</v>
      </c>
      <c r="F252">
        <v>1789388.22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0.50984251968503935</v>
      </c>
      <c r="Q252">
        <f t="shared" si="960"/>
        <v>912306.19877952756</v>
      </c>
      <c r="R252">
        <f t="shared" si="961"/>
        <v>60420226.139180422</v>
      </c>
      <c r="S252">
        <f t="shared" si="962"/>
        <v>604.2022613918042</v>
      </c>
      <c r="T252">
        <f t="shared" si="963"/>
        <v>0.60420226139180422</v>
      </c>
    </row>
    <row r="253" spans="1:20" x14ac:dyDescent="0.25">
      <c r="A253" s="5">
        <v>44340</v>
      </c>
      <c r="B253">
        <v>1.3694999999999999</v>
      </c>
      <c r="C253">
        <v>1.661</v>
      </c>
      <c r="D253">
        <v>1.258</v>
      </c>
      <c r="E253">
        <v>1.6492</v>
      </c>
      <c r="F253">
        <v>2372006.4300000002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0.94143920595533481</v>
      </c>
      <c r="Q253">
        <f t="shared" si="960"/>
        <v>2233099.8499801485</v>
      </c>
      <c r="R253">
        <f t="shared" si="961"/>
        <v>59507919.940400891</v>
      </c>
      <c r="S253">
        <f t="shared" si="962"/>
        <v>595.07919940400893</v>
      </c>
      <c r="T253">
        <f t="shared" si="963"/>
        <v>0.59507919940400889</v>
      </c>
    </row>
    <row r="254" spans="1:20" x14ac:dyDescent="0.25">
      <c r="A254" s="5">
        <v>44339</v>
      </c>
      <c r="B254">
        <v>1.7050000000000001</v>
      </c>
      <c r="C254">
        <v>1.7695000000000001</v>
      </c>
      <c r="D254">
        <v>1.1001000000000001</v>
      </c>
      <c r="E254">
        <v>1.3634999999999999</v>
      </c>
      <c r="F254">
        <v>2677294.36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-0.21302659097699475</v>
      </c>
      <c r="Q254">
        <f t="shared" si="960"/>
        <v>-570334.89055273496</v>
      </c>
      <c r="R254">
        <f t="shared" si="961"/>
        <v>57274820.090420745</v>
      </c>
      <c r="S254">
        <f t="shared" si="962"/>
        <v>572.74820090420747</v>
      </c>
      <c r="T254">
        <f t="shared" si="963"/>
        <v>0.57274820090420742</v>
      </c>
    </row>
    <row r="255" spans="1:20" x14ac:dyDescent="0.25">
      <c r="A255" s="5">
        <v>44338</v>
      </c>
      <c r="B255">
        <v>1.7475000000000001</v>
      </c>
      <c r="C255">
        <v>1.9499</v>
      </c>
      <c r="D255">
        <v>1.6021000000000001</v>
      </c>
      <c r="E255">
        <v>1.7019</v>
      </c>
      <c r="F255">
        <v>4495906.66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-0.42610695802185211</v>
      </c>
      <c r="Q255">
        <f t="shared" si="960"/>
        <v>-1915737.1104427853</v>
      </c>
      <c r="R255">
        <f t="shared" si="961"/>
        <v>57845154.980973482</v>
      </c>
      <c r="S255">
        <f t="shared" si="962"/>
        <v>578.45154980973484</v>
      </c>
      <c r="T255">
        <f t="shared" si="963"/>
        <v>0.57845154980973479</v>
      </c>
    </row>
    <row r="256" spans="1:20" x14ac:dyDescent="0.25">
      <c r="A256" s="5">
        <v>44337</v>
      </c>
      <c r="B256">
        <v>1.7739</v>
      </c>
      <c r="C256">
        <v>2.0699999999999998</v>
      </c>
      <c r="D256">
        <v>1.4523999999999999</v>
      </c>
      <c r="E256">
        <v>1.7481</v>
      </c>
      <c r="F256">
        <v>3493732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-4.2422279792745758E-2</v>
      </c>
      <c r="Q256">
        <f t="shared" si="960"/>
        <v>-148212.07642486921</v>
      </c>
      <c r="R256">
        <f t="shared" si="961"/>
        <v>59760892.09141627</v>
      </c>
      <c r="S256">
        <f t="shared" si="962"/>
        <v>597.6089209141627</v>
      </c>
      <c r="T256">
        <f t="shared" si="963"/>
        <v>0.59760892091416273</v>
      </c>
    </row>
    <row r="257" spans="1:20" x14ac:dyDescent="0.25">
      <c r="A257" s="5">
        <v>44336</v>
      </c>
      <c r="B257">
        <v>1.5056</v>
      </c>
      <c r="C257">
        <v>1.8192999999999999</v>
      </c>
      <c r="D257">
        <v>1.3156000000000001</v>
      </c>
      <c r="E257">
        <v>1.774</v>
      </c>
      <c r="F257">
        <v>1807228.57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0.82013103037522372</v>
      </c>
      <c r="Q257">
        <f t="shared" si="960"/>
        <v>1482164.2292376421</v>
      </c>
      <c r="R257">
        <f t="shared" si="961"/>
        <v>59909104.167841136</v>
      </c>
      <c r="S257">
        <f t="shared" si="962"/>
        <v>599.09104167841133</v>
      </c>
      <c r="T257">
        <f t="shared" si="963"/>
        <v>0.59909104167841132</v>
      </c>
    </row>
    <row r="258" spans="1:20" x14ac:dyDescent="0.25">
      <c r="A258" s="5">
        <v>44335</v>
      </c>
      <c r="B258">
        <v>2.2302</v>
      </c>
      <c r="C258">
        <v>2.3851</v>
      </c>
      <c r="D258">
        <v>1.1647000000000001</v>
      </c>
      <c r="E258">
        <v>1.5064</v>
      </c>
      <c r="F258">
        <v>4667114.67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-0.44001966568338263</v>
      </c>
      <c r="Q258">
        <f t="shared" si="960"/>
        <v>-2053622.2367994105</v>
      </c>
      <c r="R258">
        <f t="shared" si="961"/>
        <v>58426939.938603491</v>
      </c>
      <c r="S258">
        <f t="shared" si="962"/>
        <v>584.26939938603493</v>
      </c>
      <c r="T258">
        <f t="shared" si="963"/>
        <v>0.58426939938603495</v>
      </c>
    </row>
    <row r="259" spans="1:20" x14ac:dyDescent="0.25">
      <c r="A259" s="5">
        <v>44334</v>
      </c>
      <c r="B259">
        <v>2.0365000000000002</v>
      </c>
      <c r="C259">
        <v>2.375</v>
      </c>
      <c r="D259">
        <v>2.0038</v>
      </c>
      <c r="E259">
        <v>2.2345999999999999</v>
      </c>
      <c r="F259">
        <v>3526311.73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0.24353448275862022</v>
      </c>
      <c r="Q259">
        <f t="shared" si="960"/>
        <v>858778.50321120524</v>
      </c>
      <c r="R259">
        <f t="shared" si="961"/>
        <v>60480562.175402902</v>
      </c>
      <c r="S259">
        <f t="shared" si="962"/>
        <v>604.80562175402906</v>
      </c>
      <c r="T259">
        <f t="shared" si="963"/>
        <v>0.60480562175402908</v>
      </c>
    </row>
    <row r="260" spans="1:20" x14ac:dyDescent="0.25">
      <c r="A260" s="5">
        <v>44333</v>
      </c>
      <c r="B260">
        <v>2.3054999999999999</v>
      </c>
      <c r="C260">
        <v>2.3113999999999999</v>
      </c>
      <c r="D260">
        <v>1.9308000000000001</v>
      </c>
      <c r="E260">
        <v>2.0364</v>
      </c>
      <c r="F260">
        <v>2805626.48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-0.4450867052023123</v>
      </c>
      <c r="Q260">
        <f t="shared" si="960"/>
        <v>-1248747.0460115611</v>
      </c>
      <c r="R260">
        <f t="shared" si="961"/>
        <v>59621783.672191694</v>
      </c>
      <c r="S260">
        <f t="shared" si="962"/>
        <v>596.21783672191691</v>
      </c>
      <c r="T260">
        <f t="shared" si="963"/>
        <v>0.59621783672191686</v>
      </c>
    </row>
    <row r="261" spans="1:20" x14ac:dyDescent="0.25">
      <c r="A261" s="5">
        <v>44332</v>
      </c>
      <c r="B261">
        <v>2.3563000000000001</v>
      </c>
      <c r="C261">
        <v>2.5396999999999998</v>
      </c>
      <c r="D261">
        <v>2.1509999999999998</v>
      </c>
      <c r="E261">
        <v>2.3136000000000001</v>
      </c>
      <c r="F261">
        <v>1430470.98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-0.16336506303061343</v>
      </c>
      <c r="Q261">
        <f t="shared" si="960"/>
        <v>-233688.98181116336</v>
      </c>
      <c r="R261">
        <f t="shared" si="961"/>
        <v>60870530.718203254</v>
      </c>
      <c r="S261">
        <f t="shared" si="962"/>
        <v>608.70530718203258</v>
      </c>
      <c r="T261">
        <f t="shared" si="963"/>
        <v>0.60870530718203253</v>
      </c>
    </row>
    <row r="262" spans="1:20" x14ac:dyDescent="0.25">
      <c r="A262" s="5">
        <v>44331</v>
      </c>
      <c r="B262">
        <v>2.6078000000000001</v>
      </c>
      <c r="C262">
        <v>2.6078000000000001</v>
      </c>
      <c r="D262">
        <v>2.2669000000000001</v>
      </c>
      <c r="E262">
        <v>2.3513000000000002</v>
      </c>
      <c r="F262">
        <v>1188456.43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-0.50484012907010833</v>
      </c>
      <c r="Q262">
        <f t="shared" ref="Q262:Q325" si="965">F262*P262</f>
        <v>-599980.49751540017</v>
      </c>
      <c r="R262">
        <f t="shared" ref="R262:R325" si="966">R263+Q262</f>
        <v>61104219.70001442</v>
      </c>
      <c r="S262">
        <f t="shared" ref="S262:S325" si="967">R262/100000</f>
        <v>611.04219700014414</v>
      </c>
      <c r="T262">
        <f t="shared" ref="T262:T325" si="968">S262/1000</f>
        <v>0.61104219700014417</v>
      </c>
    </row>
    <row r="263" spans="1:20" x14ac:dyDescent="0.25">
      <c r="A263" s="5">
        <v>44330</v>
      </c>
      <c r="B263">
        <v>2.4588000000000001</v>
      </c>
      <c r="C263">
        <v>2.6387</v>
      </c>
      <c r="D263">
        <v>2.4022000000000001</v>
      </c>
      <c r="E263">
        <v>2.6074000000000002</v>
      </c>
      <c r="F263">
        <v>1508626.58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0.73530655391120603</v>
      </c>
      <c r="Q263">
        <f t="shared" si="965"/>
        <v>1109303.0116786484</v>
      </c>
      <c r="R263">
        <f t="shared" si="966"/>
        <v>61704200.197529823</v>
      </c>
      <c r="S263">
        <f t="shared" si="967"/>
        <v>617.04200197529826</v>
      </c>
      <c r="T263">
        <f t="shared" si="968"/>
        <v>0.61704200197529824</v>
      </c>
    </row>
    <row r="264" spans="1:20" x14ac:dyDescent="0.25">
      <c r="A264" s="5">
        <v>44329</v>
      </c>
      <c r="B264">
        <v>2.4984999999999999</v>
      </c>
      <c r="C264">
        <v>2.6417000000000002</v>
      </c>
      <c r="D264">
        <v>2.2501000000000002</v>
      </c>
      <c r="E264">
        <v>2.4510000000000001</v>
      </c>
      <c r="F264">
        <v>2764774.18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2.6046986721143427E-2</v>
      </c>
      <c r="Q264">
        <f t="shared" si="965"/>
        <v>72014.036353420219</v>
      </c>
      <c r="R264">
        <f t="shared" si="966"/>
        <v>60594897.185851172</v>
      </c>
      <c r="S264">
        <f t="shared" si="967"/>
        <v>605.94897185851175</v>
      </c>
      <c r="T264">
        <f t="shared" si="968"/>
        <v>0.60594897185851171</v>
      </c>
    </row>
    <row r="265" spans="1:20" x14ac:dyDescent="0.25">
      <c r="A265" s="5">
        <v>44328</v>
      </c>
      <c r="B265">
        <v>3.1133000000000002</v>
      </c>
      <c r="C265">
        <v>3.4918</v>
      </c>
      <c r="D265">
        <v>2.4516</v>
      </c>
      <c r="E265">
        <v>2.4973999999999998</v>
      </c>
      <c r="F265">
        <v>2285680.63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-0.91194001153624338</v>
      </c>
      <c r="Q265">
        <f t="shared" si="965"/>
        <v>-2084403.620090368</v>
      </c>
      <c r="R265">
        <f t="shared" si="966"/>
        <v>60522883.149497755</v>
      </c>
      <c r="S265">
        <f t="shared" si="967"/>
        <v>605.2288314949775</v>
      </c>
      <c r="T265">
        <f t="shared" si="968"/>
        <v>0.60522883149497753</v>
      </c>
    </row>
    <row r="266" spans="1:20" x14ac:dyDescent="0.25">
      <c r="A266" s="5">
        <v>44327</v>
      </c>
      <c r="B266">
        <v>2.9344999999999999</v>
      </c>
      <c r="C266">
        <v>3.1133999999999999</v>
      </c>
      <c r="D266">
        <v>2.746</v>
      </c>
      <c r="E266">
        <v>3.1133000000000002</v>
      </c>
      <c r="F266">
        <v>2139534.59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0.99945563418617434</v>
      </c>
      <c r="Q266">
        <f t="shared" si="965"/>
        <v>2138369.9005117062</v>
      </c>
      <c r="R266">
        <f t="shared" si="966"/>
        <v>62607286.76958812</v>
      </c>
      <c r="S266">
        <f t="shared" si="967"/>
        <v>626.0728676958812</v>
      </c>
      <c r="T266">
        <f t="shared" si="968"/>
        <v>0.62607286769588122</v>
      </c>
    </row>
    <row r="267" spans="1:20" x14ac:dyDescent="0.25">
      <c r="A267" s="5">
        <v>44326</v>
      </c>
      <c r="B267">
        <v>3.4255</v>
      </c>
      <c r="C267">
        <v>3.4470000000000001</v>
      </c>
      <c r="D267">
        <v>2.7080000000000002</v>
      </c>
      <c r="E267">
        <v>2.9342000000000001</v>
      </c>
      <c r="F267">
        <v>2491950.2599999998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-0.38782138024357243</v>
      </c>
      <c r="Q267">
        <f t="shared" si="965"/>
        <v>-966431.5893315291</v>
      </c>
      <c r="R267">
        <f t="shared" si="966"/>
        <v>60468916.869076416</v>
      </c>
      <c r="S267">
        <f t="shared" si="967"/>
        <v>604.68916869076418</v>
      </c>
      <c r="T267">
        <f t="shared" si="968"/>
        <v>0.60468916869076417</v>
      </c>
    </row>
    <row r="268" spans="1:20" x14ac:dyDescent="0.25">
      <c r="A268" s="5">
        <v>44325</v>
      </c>
      <c r="B268">
        <v>3.5104000000000002</v>
      </c>
      <c r="C268">
        <v>3.6648999999999998</v>
      </c>
      <c r="D268">
        <v>3.3214999999999999</v>
      </c>
      <c r="E268">
        <v>3.4255</v>
      </c>
      <c r="F268">
        <v>3127318.03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-0.39429237041351128</v>
      </c>
      <c r="Q268">
        <f t="shared" si="965"/>
        <v>-1233077.6390856123</v>
      </c>
      <c r="R268">
        <f t="shared" si="966"/>
        <v>61435348.458407946</v>
      </c>
      <c r="S268">
        <f t="shared" si="967"/>
        <v>614.35348458407941</v>
      </c>
      <c r="T268">
        <f t="shared" si="968"/>
        <v>0.61435348458407946</v>
      </c>
    </row>
    <row r="269" spans="1:20" x14ac:dyDescent="0.25">
      <c r="A269" s="5">
        <v>44324</v>
      </c>
      <c r="B269">
        <v>3.1899000000000002</v>
      </c>
      <c r="C269">
        <v>4.1398999999999999</v>
      </c>
      <c r="D269">
        <v>3.093</v>
      </c>
      <c r="E269">
        <v>3.51</v>
      </c>
      <c r="F269">
        <v>10352037.74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-0.20336230776578501</v>
      </c>
      <c r="Q269">
        <f t="shared" si="965"/>
        <v>-2105214.2848849017</v>
      </c>
      <c r="R269">
        <f t="shared" si="966"/>
        <v>62668426.097493559</v>
      </c>
      <c r="S269">
        <f t="shared" si="967"/>
        <v>626.68426097493557</v>
      </c>
      <c r="T269">
        <f t="shared" si="968"/>
        <v>0.62668426097493557</v>
      </c>
    </row>
    <row r="270" spans="1:20" x14ac:dyDescent="0.25">
      <c r="A270" s="5">
        <v>44323</v>
      </c>
      <c r="B270">
        <v>3.1339000000000001</v>
      </c>
      <c r="C270">
        <v>3.8149999999999999</v>
      </c>
      <c r="D270">
        <v>2.9144999999999999</v>
      </c>
      <c r="E270">
        <v>3.1899000000000002</v>
      </c>
      <c r="F270">
        <v>5680186.71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-0.38833981121599048</v>
      </c>
      <c r="Q270">
        <f t="shared" si="965"/>
        <v>-2205842.6346329781</v>
      </c>
      <c r="R270">
        <f t="shared" si="966"/>
        <v>64773640.382378459</v>
      </c>
      <c r="S270">
        <f t="shared" si="967"/>
        <v>647.7364038237846</v>
      </c>
      <c r="T270">
        <f t="shared" si="968"/>
        <v>0.64773640382378461</v>
      </c>
    </row>
    <row r="271" spans="1:20" x14ac:dyDescent="0.25">
      <c r="A271" s="5">
        <v>44322</v>
      </c>
      <c r="B271">
        <v>2.8155999999999999</v>
      </c>
      <c r="C271">
        <v>3.7191999999999998</v>
      </c>
      <c r="D271">
        <v>2.7621000000000002</v>
      </c>
      <c r="E271">
        <v>3.1339999999999999</v>
      </c>
      <c r="F271">
        <v>13692192.27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-0.2228607251070947</v>
      </c>
      <c r="Q271">
        <f t="shared" si="965"/>
        <v>-3051451.8975979569</v>
      </c>
      <c r="R271">
        <f t="shared" si="966"/>
        <v>66979483.017011434</v>
      </c>
      <c r="S271">
        <f t="shared" si="967"/>
        <v>669.79483017011432</v>
      </c>
      <c r="T271">
        <f t="shared" si="968"/>
        <v>0.66979483017011432</v>
      </c>
    </row>
    <row r="272" spans="1:20" x14ac:dyDescent="0.25">
      <c r="A272" s="5">
        <v>44321</v>
      </c>
      <c r="B272">
        <v>2.5347</v>
      </c>
      <c r="C272">
        <v>2.8454999999999999</v>
      </c>
      <c r="D272">
        <v>2.5049999999999999</v>
      </c>
      <c r="E272">
        <v>2.8066</v>
      </c>
      <c r="F272">
        <v>1493491.97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0.77151248164464059</v>
      </c>
      <c r="Q272">
        <f t="shared" si="965"/>
        <v>1152247.6960910431</v>
      </c>
      <c r="R272">
        <f t="shared" si="966"/>
        <v>70030934.914609388</v>
      </c>
      <c r="S272">
        <f t="shared" si="967"/>
        <v>700.30934914609384</v>
      </c>
      <c r="T272">
        <f t="shared" si="968"/>
        <v>0.70030934914609388</v>
      </c>
    </row>
    <row r="273" spans="1:20" x14ac:dyDescent="0.25">
      <c r="A273" s="5">
        <v>44320</v>
      </c>
      <c r="B273">
        <v>2.8778999999999999</v>
      </c>
      <c r="C273">
        <v>2.8872</v>
      </c>
      <c r="D273">
        <v>2.5055999999999998</v>
      </c>
      <c r="E273">
        <v>2.5358999999999998</v>
      </c>
      <c r="F273">
        <v>1663281.59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-0.84119496855345921</v>
      </c>
      <c r="Q273">
        <f t="shared" si="965"/>
        <v>-1399144.1047955977</v>
      </c>
      <c r="R273">
        <f t="shared" si="966"/>
        <v>68878687.218518347</v>
      </c>
      <c r="S273">
        <f t="shared" si="967"/>
        <v>688.78687218518348</v>
      </c>
      <c r="T273">
        <f t="shared" si="968"/>
        <v>0.68878687218518353</v>
      </c>
    </row>
    <row r="274" spans="1:20" x14ac:dyDescent="0.25">
      <c r="A274" s="5">
        <v>44319</v>
      </c>
      <c r="B274">
        <v>2.7568000000000001</v>
      </c>
      <c r="C274">
        <v>2.9540000000000002</v>
      </c>
      <c r="D274">
        <v>2.74</v>
      </c>
      <c r="E274">
        <v>2.8851</v>
      </c>
      <c r="F274">
        <v>1704754.12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0.35607476635513835</v>
      </c>
      <c r="Q274">
        <f t="shared" si="965"/>
        <v>607019.92497195955</v>
      </c>
      <c r="R274">
        <f t="shared" si="966"/>
        <v>70277831.323313951</v>
      </c>
      <c r="S274">
        <f t="shared" si="967"/>
        <v>702.77831323313956</v>
      </c>
      <c r="T274">
        <f t="shared" si="968"/>
        <v>0.70277831323313955</v>
      </c>
    </row>
    <row r="275" spans="1:20" x14ac:dyDescent="0.25">
      <c r="A275" s="5">
        <v>44318</v>
      </c>
      <c r="B275">
        <v>2.8336000000000001</v>
      </c>
      <c r="C275">
        <v>2.8439000000000001</v>
      </c>
      <c r="D275">
        <v>2.6850000000000001</v>
      </c>
      <c r="E275">
        <v>2.7471999999999999</v>
      </c>
      <c r="F275">
        <v>839756.46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-0.21711768407803908</v>
      </c>
      <c r="Q275">
        <f t="shared" si="965"/>
        <v>-182325.97778477246</v>
      </c>
      <c r="R275">
        <f t="shared" si="966"/>
        <v>69670811.398341998</v>
      </c>
      <c r="S275">
        <f t="shared" si="967"/>
        <v>696.70811398341993</v>
      </c>
      <c r="T275">
        <f t="shared" si="968"/>
        <v>0.69670811398341992</v>
      </c>
    </row>
    <row r="276" spans="1:20" x14ac:dyDescent="0.25">
      <c r="A276" s="5">
        <v>44317</v>
      </c>
      <c r="B276">
        <v>2.8780000000000001</v>
      </c>
      <c r="C276">
        <v>2.9190999999999998</v>
      </c>
      <c r="D276">
        <v>2.7421000000000002</v>
      </c>
      <c r="E276">
        <v>2.8336000000000001</v>
      </c>
      <c r="F276">
        <v>1542349.27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3.3898305084747123E-2</v>
      </c>
      <c r="Q276">
        <f t="shared" si="965"/>
        <v>52283.026101697011</v>
      </c>
      <c r="R276">
        <f t="shared" si="966"/>
        <v>69853137.376126766</v>
      </c>
      <c r="S276">
        <f t="shared" si="967"/>
        <v>698.53137376126767</v>
      </c>
      <c r="T276">
        <f t="shared" si="968"/>
        <v>0.69853137376126773</v>
      </c>
    </row>
    <row r="277" spans="1:20" x14ac:dyDescent="0.25">
      <c r="A277" s="5">
        <v>44316</v>
      </c>
      <c r="B277">
        <v>2.8153000000000001</v>
      </c>
      <c r="C277">
        <v>3.0880999999999998</v>
      </c>
      <c r="D277">
        <v>2.6821000000000002</v>
      </c>
      <c r="E277">
        <v>2.8780000000000001</v>
      </c>
      <c r="F277">
        <v>2459890.17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-3.4975369458127535E-2</v>
      </c>
      <c r="Q277">
        <f t="shared" si="965"/>
        <v>-86035.567522166151</v>
      </c>
      <c r="R277">
        <f t="shared" si="966"/>
        <v>69800854.350025073</v>
      </c>
      <c r="S277">
        <f t="shared" si="967"/>
        <v>698.00854350025077</v>
      </c>
      <c r="T277">
        <f t="shared" si="968"/>
        <v>0.69800854350025077</v>
      </c>
    </row>
    <row r="278" spans="1:20" x14ac:dyDescent="0.25">
      <c r="A278" s="5">
        <v>44315</v>
      </c>
      <c r="B278">
        <v>2.6269999999999998</v>
      </c>
      <c r="C278">
        <v>3.0789</v>
      </c>
      <c r="D278">
        <v>2.6030000000000002</v>
      </c>
      <c r="E278">
        <v>2.8159999999999998</v>
      </c>
      <c r="F278">
        <v>4066691.72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-0.10485396091615996</v>
      </c>
      <c r="Q278">
        <f t="shared" si="965"/>
        <v>-426408.73466695135</v>
      </c>
      <c r="R278">
        <f t="shared" si="966"/>
        <v>69886889.917547241</v>
      </c>
      <c r="S278">
        <f t="shared" si="967"/>
        <v>698.86889917547239</v>
      </c>
      <c r="T278">
        <f t="shared" si="968"/>
        <v>0.69886889917547235</v>
      </c>
    </row>
    <row r="279" spans="1:20" x14ac:dyDescent="0.25">
      <c r="A279" s="5">
        <v>44314</v>
      </c>
      <c r="B279">
        <v>2.7805</v>
      </c>
      <c r="C279">
        <v>2.8664999999999998</v>
      </c>
      <c r="D279">
        <v>2.4843000000000002</v>
      </c>
      <c r="E279">
        <v>2.6267</v>
      </c>
      <c r="F279">
        <v>1663884.99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-0.25484039769754063</v>
      </c>
      <c r="Q279">
        <f t="shared" si="965"/>
        <v>-424025.11257456843</v>
      </c>
      <c r="R279">
        <f t="shared" si="966"/>
        <v>70313298.652214199</v>
      </c>
      <c r="S279">
        <f t="shared" si="967"/>
        <v>703.13298652214201</v>
      </c>
      <c r="T279">
        <f t="shared" si="968"/>
        <v>0.70313298652214196</v>
      </c>
    </row>
    <row r="280" spans="1:20" x14ac:dyDescent="0.25">
      <c r="A280" s="5">
        <v>44313</v>
      </c>
      <c r="B280">
        <v>2.4937</v>
      </c>
      <c r="C280">
        <v>2.89</v>
      </c>
      <c r="D280">
        <v>2.4186000000000001</v>
      </c>
      <c r="E280">
        <v>2.7797000000000001</v>
      </c>
      <c r="F280">
        <v>3299722.27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0.53203224437844698</v>
      </c>
      <c r="Q280">
        <f t="shared" si="965"/>
        <v>1755558.6451336439</v>
      </c>
      <c r="R280">
        <f t="shared" si="966"/>
        <v>70737323.764788762</v>
      </c>
      <c r="S280">
        <f t="shared" si="967"/>
        <v>707.37323764788766</v>
      </c>
      <c r="T280">
        <f t="shared" si="968"/>
        <v>0.70737323764788762</v>
      </c>
    </row>
    <row r="281" spans="1:20" x14ac:dyDescent="0.25">
      <c r="A281" s="5">
        <v>44312</v>
      </c>
      <c r="B281">
        <v>2.0996000000000001</v>
      </c>
      <c r="C281">
        <v>2.6631999999999998</v>
      </c>
      <c r="D281">
        <v>2.0407999999999999</v>
      </c>
      <c r="E281">
        <v>2.4946999999999999</v>
      </c>
      <c r="F281">
        <v>2617035.29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0.45854755784061724</v>
      </c>
      <c r="Q281">
        <f t="shared" si="965"/>
        <v>1200035.1410122116</v>
      </c>
      <c r="R281">
        <f t="shared" si="966"/>
        <v>68981765.119655117</v>
      </c>
      <c r="S281">
        <f t="shared" si="967"/>
        <v>689.8176511965512</v>
      </c>
      <c r="T281">
        <f t="shared" si="968"/>
        <v>0.68981765119655125</v>
      </c>
    </row>
    <row r="282" spans="1:20" x14ac:dyDescent="0.25">
      <c r="A282" s="5">
        <v>44311</v>
      </c>
      <c r="B282">
        <v>2.0266999999999999</v>
      </c>
      <c r="C282">
        <v>2.2262</v>
      </c>
      <c r="D282">
        <v>1.86</v>
      </c>
      <c r="E282">
        <v>2.0975000000000001</v>
      </c>
      <c r="F282">
        <v>1802201.65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0.29710540688148629</v>
      </c>
      <c r="Q282">
        <f t="shared" si="965"/>
        <v>535443.85450573592</v>
      </c>
      <c r="R282">
        <f t="shared" si="966"/>
        <v>67781729.978642911</v>
      </c>
      <c r="S282">
        <f t="shared" si="967"/>
        <v>677.81729978642909</v>
      </c>
      <c r="T282">
        <f t="shared" si="968"/>
        <v>0.67781729978642913</v>
      </c>
    </row>
    <row r="283" spans="1:20" x14ac:dyDescent="0.25">
      <c r="A283" s="5">
        <v>44310</v>
      </c>
      <c r="B283">
        <v>2.1526999999999998</v>
      </c>
      <c r="C283">
        <v>2.3536999999999999</v>
      </c>
      <c r="D283">
        <v>2</v>
      </c>
      <c r="E283">
        <v>2.0266999999999999</v>
      </c>
      <c r="F283">
        <v>3294618.17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-0.84902459711620049</v>
      </c>
      <c r="Q283">
        <f t="shared" si="965"/>
        <v>-2797211.8644359638</v>
      </c>
      <c r="R283">
        <f t="shared" si="966"/>
        <v>67246286.124137178</v>
      </c>
      <c r="S283">
        <f t="shared" si="967"/>
        <v>672.4628612413718</v>
      </c>
      <c r="T283">
        <f t="shared" si="968"/>
        <v>0.67246286124137178</v>
      </c>
    </row>
    <row r="284" spans="1:20" x14ac:dyDescent="0.25">
      <c r="A284" s="5">
        <v>44309</v>
      </c>
      <c r="B284">
        <v>2.2618999999999998</v>
      </c>
      <c r="C284">
        <v>2.2801</v>
      </c>
      <c r="D284">
        <v>1.6536</v>
      </c>
      <c r="E284">
        <v>2.1558000000000002</v>
      </c>
      <c r="F284">
        <v>3864108.22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0.60319233838786956</v>
      </c>
      <c r="Q284">
        <f t="shared" si="965"/>
        <v>2330800.4730055886</v>
      </c>
      <c r="R284">
        <f t="shared" si="966"/>
        <v>70043497.988573149</v>
      </c>
      <c r="S284">
        <f t="shared" si="967"/>
        <v>700.43497988573154</v>
      </c>
      <c r="T284">
        <f t="shared" si="968"/>
        <v>0.70043497988573156</v>
      </c>
    </row>
    <row r="285" spans="1:20" x14ac:dyDescent="0.25">
      <c r="A285" s="5">
        <v>44308</v>
      </c>
      <c r="B285">
        <v>2.7585000000000002</v>
      </c>
      <c r="C285">
        <v>2.8005</v>
      </c>
      <c r="D285">
        <v>2.2458999999999998</v>
      </c>
      <c r="E285">
        <v>2.2631999999999999</v>
      </c>
      <c r="F285">
        <v>2069513.19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-0.93761269383339307</v>
      </c>
      <c r="Q285">
        <f t="shared" si="965"/>
        <v>-1940401.8369996385</v>
      </c>
      <c r="R285">
        <f t="shared" si="966"/>
        <v>67712697.515567556</v>
      </c>
      <c r="S285">
        <f t="shared" si="967"/>
        <v>677.12697515567561</v>
      </c>
      <c r="T285">
        <f t="shared" si="968"/>
        <v>0.67712697515567566</v>
      </c>
    </row>
    <row r="286" spans="1:20" x14ac:dyDescent="0.25">
      <c r="A286" s="5">
        <v>44307</v>
      </c>
      <c r="B286">
        <v>2.7568000000000001</v>
      </c>
      <c r="C286">
        <v>3.1</v>
      </c>
      <c r="D286">
        <v>2.7120000000000002</v>
      </c>
      <c r="E286">
        <v>2.7522000000000002</v>
      </c>
      <c r="F286">
        <v>2299721.4300000002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-0.79278350515463902</v>
      </c>
      <c r="Q286">
        <f t="shared" si="965"/>
        <v>-1823181.2161546389</v>
      </c>
      <c r="R286">
        <f t="shared" si="966"/>
        <v>69653099.352567196</v>
      </c>
      <c r="S286">
        <f t="shared" si="967"/>
        <v>696.53099352567199</v>
      </c>
      <c r="T286">
        <f t="shared" si="968"/>
        <v>0.69653099352567194</v>
      </c>
    </row>
    <row r="287" spans="1:20" x14ac:dyDescent="0.25">
      <c r="A287" s="5">
        <v>44306</v>
      </c>
      <c r="B287">
        <v>2.7250999999999999</v>
      </c>
      <c r="C287">
        <v>3.15</v>
      </c>
      <c r="D287">
        <v>2.2850999999999999</v>
      </c>
      <c r="E287">
        <v>2.7444999999999999</v>
      </c>
      <c r="F287">
        <v>2319100.09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6.2319343276679456E-2</v>
      </c>
      <c r="Q287">
        <f t="shared" si="965"/>
        <v>144524.79460168822</v>
      </c>
      <c r="R287">
        <f t="shared" si="966"/>
        <v>71476280.568721831</v>
      </c>
      <c r="S287">
        <f t="shared" si="967"/>
        <v>714.76280568721836</v>
      </c>
      <c r="T287">
        <f t="shared" si="968"/>
        <v>0.71476280568721839</v>
      </c>
    </row>
    <row r="288" spans="1:20" x14ac:dyDescent="0.25">
      <c r="A288" s="5">
        <v>44305</v>
      </c>
      <c r="B288">
        <v>2.9068000000000001</v>
      </c>
      <c r="C288">
        <v>3.2294999999999998</v>
      </c>
      <c r="D288">
        <v>2.6309</v>
      </c>
      <c r="E288">
        <v>2.7235999999999998</v>
      </c>
      <c r="F288">
        <v>2654785.58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-0.69027731373204204</v>
      </c>
      <c r="Q288">
        <f t="shared" si="965"/>
        <v>-1832538.2586969612</v>
      </c>
      <c r="R288">
        <f t="shared" si="966"/>
        <v>71331755.774120137</v>
      </c>
      <c r="S288">
        <f t="shared" si="967"/>
        <v>713.31755774120143</v>
      </c>
      <c r="T288">
        <f t="shared" si="968"/>
        <v>0.71331755774120142</v>
      </c>
    </row>
    <row r="289" spans="1:20" x14ac:dyDescent="0.25">
      <c r="A289" s="5">
        <v>44304</v>
      </c>
      <c r="B289">
        <v>3.3963000000000001</v>
      </c>
      <c r="C289">
        <v>3.4047000000000001</v>
      </c>
      <c r="D289">
        <v>2.5706000000000002</v>
      </c>
      <c r="E289">
        <v>2.9068000000000001</v>
      </c>
      <c r="F289">
        <v>1890553.53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-0.19386164728449851</v>
      </c>
      <c r="Q289">
        <f t="shared" si="965"/>
        <v>-366505.82160532358</v>
      </c>
      <c r="R289">
        <f t="shared" si="966"/>
        <v>73164294.032817096</v>
      </c>
      <c r="S289">
        <f t="shared" si="967"/>
        <v>731.64294032817099</v>
      </c>
      <c r="T289">
        <f t="shared" si="968"/>
        <v>0.73164294032817101</v>
      </c>
    </row>
    <row r="290" spans="1:20" x14ac:dyDescent="0.25">
      <c r="A290" s="5">
        <v>44303</v>
      </c>
      <c r="B290">
        <v>3.3814000000000002</v>
      </c>
      <c r="C290">
        <v>3.6707000000000001</v>
      </c>
      <c r="D290">
        <v>3.29</v>
      </c>
      <c r="E290">
        <v>3.3963000000000001</v>
      </c>
      <c r="F290">
        <v>2309186.4700000002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-0.44155503020751219</v>
      </c>
      <c r="Q290">
        <f t="shared" si="965"/>
        <v>-1019632.9015156286</v>
      </c>
      <c r="R290">
        <f t="shared" si="966"/>
        <v>73530799.85442242</v>
      </c>
      <c r="S290">
        <f t="shared" si="967"/>
        <v>735.30799854422423</v>
      </c>
      <c r="T290">
        <f t="shared" si="968"/>
        <v>0.73530799854422424</v>
      </c>
    </row>
    <row r="291" spans="1:20" x14ac:dyDescent="0.25">
      <c r="A291" s="5">
        <v>44302</v>
      </c>
      <c r="B291">
        <v>3.5840999999999998</v>
      </c>
      <c r="C291">
        <v>3.5935000000000001</v>
      </c>
      <c r="D291">
        <v>3.1722999999999999</v>
      </c>
      <c r="E291">
        <v>3.3816000000000002</v>
      </c>
      <c r="F291">
        <v>1458008.43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-6.1728395061721565E-3</v>
      </c>
      <c r="Q291">
        <f t="shared" si="965"/>
        <v>-9000.0520370360409</v>
      </c>
      <c r="R291">
        <f t="shared" si="966"/>
        <v>74550432.755938053</v>
      </c>
      <c r="S291">
        <f t="shared" si="967"/>
        <v>745.5043275593805</v>
      </c>
      <c r="T291">
        <f t="shared" si="968"/>
        <v>0.74550432755938045</v>
      </c>
    </row>
    <row r="292" spans="1:20" x14ac:dyDescent="0.25">
      <c r="A292" s="5">
        <v>44301</v>
      </c>
      <c r="B292">
        <v>3.3980000000000001</v>
      </c>
      <c r="C292">
        <v>3.6383999999999999</v>
      </c>
      <c r="D292">
        <v>3.294</v>
      </c>
      <c r="E292">
        <v>3.5878999999999999</v>
      </c>
      <c r="F292">
        <v>1449201.73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0.70673635307781635</v>
      </c>
      <c r="Q292">
        <f t="shared" si="965"/>
        <v>1024203.5455342623</v>
      </c>
      <c r="R292">
        <f t="shared" si="966"/>
        <v>74559432.807975084</v>
      </c>
      <c r="S292">
        <f t="shared" si="967"/>
        <v>745.59432807975088</v>
      </c>
      <c r="T292">
        <f t="shared" si="968"/>
        <v>0.7455943280797509</v>
      </c>
    </row>
    <row r="293" spans="1:20" x14ac:dyDescent="0.25">
      <c r="A293" s="5">
        <v>44300</v>
      </c>
      <c r="B293">
        <v>3.7366999999999999</v>
      </c>
      <c r="C293">
        <v>3.7366999999999999</v>
      </c>
      <c r="D293">
        <v>3.161</v>
      </c>
      <c r="E293">
        <v>3.3980000000000001</v>
      </c>
      <c r="F293">
        <v>2066298.54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-0.17665450755601825</v>
      </c>
      <c r="Q293">
        <f t="shared" si="965"/>
        <v>-365020.95104741945</v>
      </c>
      <c r="R293">
        <f t="shared" si="966"/>
        <v>73535229.262440816</v>
      </c>
      <c r="S293">
        <f t="shared" si="967"/>
        <v>735.35229262440816</v>
      </c>
      <c r="T293">
        <f t="shared" si="968"/>
        <v>0.73535229262440815</v>
      </c>
    </row>
    <row r="294" spans="1:20" x14ac:dyDescent="0.25">
      <c r="A294" s="5">
        <v>44299</v>
      </c>
      <c r="B294">
        <v>3.5773000000000001</v>
      </c>
      <c r="C294">
        <v>3.8348</v>
      </c>
      <c r="D294">
        <v>3.4154</v>
      </c>
      <c r="E294">
        <v>3.7366000000000001</v>
      </c>
      <c r="F294">
        <v>2126946.94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0.5317119694802106</v>
      </c>
      <c r="Q294">
        <f t="shared" si="965"/>
        <v>1130923.1464473072</v>
      </c>
      <c r="R294">
        <f t="shared" si="966"/>
        <v>73900250.213488236</v>
      </c>
      <c r="S294">
        <f t="shared" si="967"/>
        <v>739.00250213488232</v>
      </c>
      <c r="T294">
        <f t="shared" si="968"/>
        <v>0.73900250213488228</v>
      </c>
    </row>
    <row r="295" spans="1:20" x14ac:dyDescent="0.25">
      <c r="A295" s="5">
        <v>44298</v>
      </c>
      <c r="B295">
        <v>3.7366000000000001</v>
      </c>
      <c r="C295">
        <v>3.7553999999999998</v>
      </c>
      <c r="D295">
        <v>3.4819</v>
      </c>
      <c r="E295">
        <v>3.5859000000000001</v>
      </c>
      <c r="F295">
        <v>6770703.4299999997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-0.23948811700182707</v>
      </c>
      <c r="Q295">
        <f t="shared" si="965"/>
        <v>-1621503.0152285118</v>
      </c>
      <c r="R295">
        <f t="shared" si="966"/>
        <v>72769327.067040935</v>
      </c>
      <c r="S295">
        <f t="shared" si="967"/>
        <v>727.69327067040933</v>
      </c>
      <c r="T295">
        <f t="shared" si="968"/>
        <v>0.72769327067040934</v>
      </c>
    </row>
    <row r="296" spans="1:20" x14ac:dyDescent="0.25">
      <c r="A296" s="5">
        <v>44297</v>
      </c>
      <c r="B296">
        <v>3.9140999999999999</v>
      </c>
      <c r="C296">
        <v>3.9535999999999998</v>
      </c>
      <c r="D296">
        <v>3.4861</v>
      </c>
      <c r="E296">
        <v>3.7364999999999999</v>
      </c>
      <c r="F296">
        <v>1990841.86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7.1229946524064433E-2</v>
      </c>
      <c r="Q296">
        <f t="shared" si="965"/>
        <v>141807.55922566899</v>
      </c>
      <c r="R296">
        <f t="shared" si="966"/>
        <v>74390830.082269445</v>
      </c>
      <c r="S296">
        <f t="shared" si="967"/>
        <v>743.9083008226944</v>
      </c>
      <c r="T296">
        <f t="shared" si="968"/>
        <v>0.74390830082269443</v>
      </c>
    </row>
    <row r="297" spans="1:20" x14ac:dyDescent="0.25">
      <c r="A297" s="5">
        <v>44296</v>
      </c>
      <c r="B297">
        <v>4.2812000000000001</v>
      </c>
      <c r="C297">
        <v>4.3349000000000002</v>
      </c>
      <c r="D297">
        <v>3.6956000000000002</v>
      </c>
      <c r="E297">
        <v>3.9224000000000001</v>
      </c>
      <c r="F297">
        <v>2596667.1800000002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-0.29047395588925418</v>
      </c>
      <c r="Q297">
        <f t="shared" si="965"/>
        <v>-754264.1879023941</v>
      </c>
      <c r="R297">
        <f t="shared" si="966"/>
        <v>74249022.523043782</v>
      </c>
      <c r="S297">
        <f t="shared" si="967"/>
        <v>742.49022523043777</v>
      </c>
      <c r="T297">
        <f t="shared" si="968"/>
        <v>0.74249022523043773</v>
      </c>
    </row>
    <row r="298" spans="1:20" x14ac:dyDescent="0.25">
      <c r="A298" s="5">
        <v>44295</v>
      </c>
      <c r="B298">
        <v>4.7249999999999996</v>
      </c>
      <c r="C298">
        <v>4.7382999999999997</v>
      </c>
      <c r="D298">
        <v>4.0685000000000002</v>
      </c>
      <c r="E298">
        <v>4.2683999999999997</v>
      </c>
      <c r="F298">
        <v>7125501.5199999996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-0.40310540459838856</v>
      </c>
      <c r="Q298">
        <f t="shared" si="965"/>
        <v>-2872328.1731860326</v>
      </c>
      <c r="R298">
        <f t="shared" si="966"/>
        <v>75003286.710946172</v>
      </c>
      <c r="S298">
        <f t="shared" si="967"/>
        <v>750.03286710946168</v>
      </c>
      <c r="T298">
        <f t="shared" si="968"/>
        <v>0.75003286710946171</v>
      </c>
    </row>
    <row r="299" spans="1:20" x14ac:dyDescent="0.25">
      <c r="A299" s="5">
        <v>44294</v>
      </c>
      <c r="B299">
        <v>3.8969</v>
      </c>
      <c r="C299">
        <v>4.7426000000000004</v>
      </c>
      <c r="D299">
        <v>3.4554999999999998</v>
      </c>
      <c r="E299">
        <v>4.7382</v>
      </c>
      <c r="F299">
        <v>19170823.620000001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0.99316292440369758</v>
      </c>
      <c r="Q299">
        <f t="shared" si="965"/>
        <v>19039751.24966668</v>
      </c>
      <c r="R299">
        <f t="shared" si="966"/>
        <v>77875614.884132206</v>
      </c>
      <c r="S299">
        <f t="shared" si="967"/>
        <v>778.7561488413221</v>
      </c>
      <c r="T299">
        <f t="shared" si="968"/>
        <v>0.77875614884132205</v>
      </c>
    </row>
    <row r="300" spans="1:20" x14ac:dyDescent="0.25">
      <c r="A300" s="5">
        <v>44293</v>
      </c>
      <c r="B300">
        <v>2.5507</v>
      </c>
      <c r="C300">
        <v>3.94</v>
      </c>
      <c r="D300">
        <v>2.5407000000000002</v>
      </c>
      <c r="E300">
        <v>3.8864000000000001</v>
      </c>
      <c r="F300">
        <v>29263906.440000001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0.92339026656185252</v>
      </c>
      <c r="Q300">
        <f t="shared" si="965"/>
        <v>27022006.368272714</v>
      </c>
      <c r="R300">
        <f t="shared" si="966"/>
        <v>58835863.634465523</v>
      </c>
      <c r="S300">
        <f t="shared" si="967"/>
        <v>588.35863634465522</v>
      </c>
      <c r="T300">
        <f t="shared" si="968"/>
        <v>0.58835863634465524</v>
      </c>
    </row>
    <row r="301" spans="1:20" x14ac:dyDescent="0.25">
      <c r="A301" s="5">
        <v>44292</v>
      </c>
      <c r="B301">
        <v>2.6696</v>
      </c>
      <c r="C301">
        <v>2.6735000000000002</v>
      </c>
      <c r="D301">
        <v>2.4224000000000001</v>
      </c>
      <c r="E301">
        <v>2.5524</v>
      </c>
      <c r="F301">
        <v>2520384.5299999998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3.5444046196733102E-2</v>
      </c>
      <c r="Q301">
        <f t="shared" si="965"/>
        <v>89332.625714851441</v>
      </c>
      <c r="R301">
        <f t="shared" si="966"/>
        <v>31813857.266192809</v>
      </c>
      <c r="S301">
        <f t="shared" si="967"/>
        <v>318.13857266192809</v>
      </c>
      <c r="T301">
        <f t="shared" si="968"/>
        <v>0.31813857266192808</v>
      </c>
    </row>
    <row r="302" spans="1:20" x14ac:dyDescent="0.25">
      <c r="A302" s="5">
        <v>44291</v>
      </c>
      <c r="B302">
        <v>2.6223999999999998</v>
      </c>
      <c r="C302">
        <v>2.7</v>
      </c>
      <c r="D302">
        <v>2.4502000000000002</v>
      </c>
      <c r="E302">
        <v>2.6697000000000002</v>
      </c>
      <c r="F302">
        <v>3196607.54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0.75740592473979196</v>
      </c>
      <c r="Q302">
        <f t="shared" si="965"/>
        <v>2421129.4898638916</v>
      </c>
      <c r="R302">
        <f t="shared" si="966"/>
        <v>31724524.640477959</v>
      </c>
      <c r="S302">
        <f t="shared" si="967"/>
        <v>317.24524640477961</v>
      </c>
      <c r="T302">
        <f t="shared" si="968"/>
        <v>0.31724524640477958</v>
      </c>
    </row>
    <row r="303" spans="1:20" x14ac:dyDescent="0.25">
      <c r="A303" s="5">
        <v>44290</v>
      </c>
      <c r="B303">
        <v>2.476</v>
      </c>
      <c r="C303">
        <v>2.6335000000000002</v>
      </c>
      <c r="D303">
        <v>2.4180999999999999</v>
      </c>
      <c r="E303">
        <v>2.6242000000000001</v>
      </c>
      <c r="F303">
        <v>1930259.22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0.91364902506963719</v>
      </c>
      <c r="Q303">
        <f t="shared" si="965"/>
        <v>1763579.4544846783</v>
      </c>
      <c r="R303">
        <f t="shared" si="966"/>
        <v>29303395.150614068</v>
      </c>
      <c r="S303">
        <f t="shared" si="967"/>
        <v>293.03395150614068</v>
      </c>
      <c r="T303">
        <f t="shared" si="968"/>
        <v>0.2930339515061407</v>
      </c>
    </row>
    <row r="304" spans="1:20" x14ac:dyDescent="0.25">
      <c r="A304" s="5">
        <v>44289</v>
      </c>
      <c r="B304">
        <v>2.7282000000000002</v>
      </c>
      <c r="C304">
        <v>2.8437999999999999</v>
      </c>
      <c r="D304">
        <v>2.4678</v>
      </c>
      <c r="E304">
        <v>2.4746999999999999</v>
      </c>
      <c r="F304">
        <v>2101803.1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-0.96329787234042596</v>
      </c>
      <c r="Q304">
        <f t="shared" si="965"/>
        <v>-2024662.4543085117</v>
      </c>
      <c r="R304">
        <f t="shared" si="966"/>
        <v>27539815.696129389</v>
      </c>
      <c r="S304">
        <f t="shared" si="967"/>
        <v>275.39815696129386</v>
      </c>
      <c r="T304">
        <f t="shared" si="968"/>
        <v>0.27539815696129388</v>
      </c>
    </row>
    <row r="305" spans="1:20" x14ac:dyDescent="0.25">
      <c r="A305" s="5">
        <v>44288</v>
      </c>
      <c r="B305">
        <v>2.6682000000000001</v>
      </c>
      <c r="C305">
        <v>2.7846000000000002</v>
      </c>
      <c r="D305">
        <v>2.5430999999999999</v>
      </c>
      <c r="E305">
        <v>2.7282000000000002</v>
      </c>
      <c r="F305">
        <v>1492268.76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0.53291925465838552</v>
      </c>
      <c r="Q305">
        <f t="shared" si="965"/>
        <v>795258.7553291932</v>
      </c>
      <c r="R305">
        <f t="shared" si="966"/>
        <v>29564478.150437899</v>
      </c>
      <c r="S305">
        <f t="shared" si="967"/>
        <v>295.64478150437901</v>
      </c>
      <c r="T305">
        <f t="shared" si="968"/>
        <v>0.29564478150437901</v>
      </c>
    </row>
    <row r="306" spans="1:20" x14ac:dyDescent="0.25">
      <c r="A306" s="5">
        <v>44287</v>
      </c>
      <c r="B306">
        <v>2.6951000000000001</v>
      </c>
      <c r="C306">
        <v>2.98</v>
      </c>
      <c r="D306">
        <v>2.5950000000000002</v>
      </c>
      <c r="E306">
        <v>2.6682000000000001</v>
      </c>
      <c r="F306">
        <v>1607496.31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-0.61974025974025992</v>
      </c>
      <c r="Q306">
        <f t="shared" si="965"/>
        <v>-996230.18069090939</v>
      </c>
      <c r="R306">
        <f t="shared" si="966"/>
        <v>28769219.395108707</v>
      </c>
      <c r="S306">
        <f t="shared" si="967"/>
        <v>287.69219395108706</v>
      </c>
      <c r="T306">
        <f t="shared" si="968"/>
        <v>0.28769219395108708</v>
      </c>
    </row>
    <row r="307" spans="1:20" x14ac:dyDescent="0.25">
      <c r="A307" s="5">
        <v>44286</v>
      </c>
      <c r="B307">
        <v>2.7564000000000002</v>
      </c>
      <c r="C307">
        <v>2.794</v>
      </c>
      <c r="D307">
        <v>2.48</v>
      </c>
      <c r="E307">
        <v>2.6840000000000002</v>
      </c>
      <c r="F307">
        <v>1917851.45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0.2993630573248417</v>
      </c>
      <c r="Q307">
        <f t="shared" si="965"/>
        <v>574133.87356688071</v>
      </c>
      <c r="R307">
        <f t="shared" si="966"/>
        <v>29765449.575799618</v>
      </c>
      <c r="S307">
        <f t="shared" si="967"/>
        <v>297.65449575799619</v>
      </c>
      <c r="T307">
        <f t="shared" si="968"/>
        <v>0.29765449575799618</v>
      </c>
    </row>
    <row r="308" spans="1:20" x14ac:dyDescent="0.25">
      <c r="A308" s="5">
        <v>44285</v>
      </c>
      <c r="B308">
        <v>2.54</v>
      </c>
      <c r="C308">
        <v>2.99</v>
      </c>
      <c r="D308">
        <v>2.48</v>
      </c>
      <c r="E308">
        <v>2.7635999999999998</v>
      </c>
      <c r="F308">
        <v>7252958.4900000002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0.11215686274509695</v>
      </c>
      <c r="Q308">
        <f t="shared" si="965"/>
        <v>813469.06985881564</v>
      </c>
      <c r="R308">
        <f t="shared" si="966"/>
        <v>29191315.702232737</v>
      </c>
      <c r="S308">
        <f t="shared" si="967"/>
        <v>291.91315702232737</v>
      </c>
      <c r="T308">
        <f t="shared" si="968"/>
        <v>0.29191315702232734</v>
      </c>
    </row>
    <row r="309" spans="1:20" x14ac:dyDescent="0.25">
      <c r="A309" s="5">
        <v>44284</v>
      </c>
      <c r="B309">
        <v>2.1364000000000001</v>
      </c>
      <c r="C309">
        <v>2.6440999999999999</v>
      </c>
      <c r="D309">
        <v>2.0377999999999998</v>
      </c>
      <c r="E309">
        <v>2.54</v>
      </c>
      <c r="F309">
        <v>6052929.9699999997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0.65660564077189565</v>
      </c>
      <c r="Q309">
        <f t="shared" si="965"/>
        <v>3974387.9614992607</v>
      </c>
      <c r="R309">
        <f t="shared" si="966"/>
        <v>28377846.632373922</v>
      </c>
      <c r="S309">
        <f t="shared" si="967"/>
        <v>283.77846632373922</v>
      </c>
      <c r="T309">
        <f t="shared" si="968"/>
        <v>0.28377846632373921</v>
      </c>
    </row>
    <row r="310" spans="1:20" x14ac:dyDescent="0.25">
      <c r="A310" s="5">
        <v>44283</v>
      </c>
      <c r="B310">
        <v>2.1627000000000001</v>
      </c>
      <c r="C310">
        <v>2.39</v>
      </c>
      <c r="D310">
        <v>2.0587</v>
      </c>
      <c r="E310">
        <v>2.1349999999999998</v>
      </c>
      <c r="F310">
        <v>4023225.82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-0.53939028071234663</v>
      </c>
      <c r="Q310">
        <f t="shared" si="965"/>
        <v>-2170088.9044189607</v>
      </c>
      <c r="R310">
        <f t="shared" si="966"/>
        <v>24403458.670874663</v>
      </c>
      <c r="S310">
        <f t="shared" si="967"/>
        <v>244.03458670874662</v>
      </c>
      <c r="T310">
        <f t="shared" si="968"/>
        <v>0.24403458670874661</v>
      </c>
    </row>
    <row r="311" spans="1:20" x14ac:dyDescent="0.25">
      <c r="A311" s="5">
        <v>44282</v>
      </c>
      <c r="B311">
        <v>1.8875999999999999</v>
      </c>
      <c r="C311">
        <v>2.21</v>
      </c>
      <c r="D311">
        <v>1.8563000000000001</v>
      </c>
      <c r="E311">
        <v>2.1625999999999999</v>
      </c>
      <c r="F311">
        <v>3124251.57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0.7319762510602198</v>
      </c>
      <c r="Q311">
        <f t="shared" si="965"/>
        <v>2286877.9515776057</v>
      </c>
      <c r="R311">
        <f t="shared" si="966"/>
        <v>26573547.575293623</v>
      </c>
      <c r="S311">
        <f t="shared" si="967"/>
        <v>265.73547575293622</v>
      </c>
      <c r="T311">
        <f t="shared" si="968"/>
        <v>0.26573547575293621</v>
      </c>
    </row>
    <row r="312" spans="1:20" x14ac:dyDescent="0.25">
      <c r="A312" s="5">
        <v>44281</v>
      </c>
      <c r="B312">
        <v>1.6974</v>
      </c>
      <c r="C312">
        <v>1.96</v>
      </c>
      <c r="D312">
        <v>1.6814</v>
      </c>
      <c r="E312">
        <v>1.8875999999999999</v>
      </c>
      <c r="F312">
        <v>2029479.1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0.48025843503230414</v>
      </c>
      <c r="Q312">
        <f t="shared" si="965"/>
        <v>974674.4564967691</v>
      </c>
      <c r="R312">
        <f t="shared" si="966"/>
        <v>24286669.623716015</v>
      </c>
      <c r="S312">
        <f t="shared" si="967"/>
        <v>242.86669623716014</v>
      </c>
      <c r="T312">
        <f t="shared" si="968"/>
        <v>0.24286669623716015</v>
      </c>
    </row>
    <row r="313" spans="1:20" x14ac:dyDescent="0.25">
      <c r="A313" s="5">
        <v>44280</v>
      </c>
      <c r="B313">
        <v>1.8117000000000001</v>
      </c>
      <c r="C313">
        <v>1.8354999999999999</v>
      </c>
      <c r="D313">
        <v>1.6326000000000001</v>
      </c>
      <c r="E313">
        <v>1.7044999999999999</v>
      </c>
      <c r="F313">
        <v>2247962.2400000002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-0.29127649088220892</v>
      </c>
      <c r="Q313">
        <f t="shared" si="965"/>
        <v>-654778.55290291004</v>
      </c>
      <c r="R313">
        <f t="shared" si="966"/>
        <v>23311995.167219248</v>
      </c>
      <c r="S313">
        <f t="shared" si="967"/>
        <v>233.11995167219249</v>
      </c>
      <c r="T313">
        <f t="shared" si="968"/>
        <v>0.23311995167219249</v>
      </c>
    </row>
    <row r="314" spans="1:20" x14ac:dyDescent="0.25">
      <c r="A314" s="5">
        <v>44279</v>
      </c>
      <c r="B314">
        <v>2.1631999999999998</v>
      </c>
      <c r="C314">
        <v>2.1991999999999998</v>
      </c>
      <c r="D314">
        <v>1.804</v>
      </c>
      <c r="E314">
        <v>1.8117000000000001</v>
      </c>
      <c r="F314">
        <v>3101121.37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-0.96103238866396734</v>
      </c>
      <c r="Q314">
        <f t="shared" si="965"/>
        <v>-2980278.077747975</v>
      </c>
      <c r="R314">
        <f t="shared" si="966"/>
        <v>23966773.720122159</v>
      </c>
      <c r="S314">
        <f t="shared" si="967"/>
        <v>239.6677372012216</v>
      </c>
      <c r="T314">
        <f t="shared" si="968"/>
        <v>0.23966773720122159</v>
      </c>
    </row>
    <row r="315" spans="1:20" x14ac:dyDescent="0.25">
      <c r="A315" s="5">
        <v>44278</v>
      </c>
      <c r="B315">
        <v>1.7907999999999999</v>
      </c>
      <c r="C315">
        <v>2.2555000000000001</v>
      </c>
      <c r="D315">
        <v>1.7062999999999999</v>
      </c>
      <c r="E315">
        <v>2.1566000000000001</v>
      </c>
      <c r="F315">
        <v>6233084.7000000002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0.63983976693372191</v>
      </c>
      <c r="Q315">
        <f t="shared" si="965"/>
        <v>3988175.4617261481</v>
      </c>
      <c r="R315">
        <f t="shared" si="966"/>
        <v>26947051.797870133</v>
      </c>
      <c r="S315">
        <f t="shared" si="967"/>
        <v>269.47051797870131</v>
      </c>
      <c r="T315">
        <f t="shared" si="968"/>
        <v>0.26947051797870131</v>
      </c>
    </row>
    <row r="316" spans="1:20" x14ac:dyDescent="0.25">
      <c r="A316" s="5">
        <v>44277</v>
      </c>
      <c r="B316">
        <v>1.7294</v>
      </c>
      <c r="C316">
        <v>1.98</v>
      </c>
      <c r="D316">
        <v>1.7242999999999999</v>
      </c>
      <c r="E316">
        <v>1.786</v>
      </c>
      <c r="F316">
        <v>4034802.56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-0.51740320688306551</v>
      </c>
      <c r="Q316">
        <f t="shared" si="965"/>
        <v>-2087619.7836840025</v>
      </c>
      <c r="R316">
        <f t="shared" si="966"/>
        <v>22958876.336143985</v>
      </c>
      <c r="S316">
        <f t="shared" si="967"/>
        <v>229.58876336143985</v>
      </c>
      <c r="T316">
        <f t="shared" si="968"/>
        <v>0.22958876336143985</v>
      </c>
    </row>
    <row r="317" spans="1:20" x14ac:dyDescent="0.25">
      <c r="A317" s="5">
        <v>44276</v>
      </c>
      <c r="B317">
        <v>1.6924999999999999</v>
      </c>
      <c r="C317">
        <v>1.7417</v>
      </c>
      <c r="D317">
        <v>1.6221000000000001</v>
      </c>
      <c r="E317">
        <v>1.7293000000000001</v>
      </c>
      <c r="F317">
        <v>1654425.12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0.7926421404682279</v>
      </c>
      <c r="Q317">
        <f t="shared" si="965"/>
        <v>1311367.0683612048</v>
      </c>
      <c r="R317">
        <f t="shared" si="966"/>
        <v>25046496.119827989</v>
      </c>
      <c r="S317">
        <f t="shared" si="967"/>
        <v>250.46496119827989</v>
      </c>
      <c r="T317">
        <f t="shared" si="968"/>
        <v>0.25046496119827988</v>
      </c>
    </row>
    <row r="318" spans="1:20" x14ac:dyDescent="0.25">
      <c r="A318" s="5">
        <v>44275</v>
      </c>
      <c r="B318">
        <v>1.7563</v>
      </c>
      <c r="C318">
        <v>2.02</v>
      </c>
      <c r="D318">
        <v>1.6869000000000001</v>
      </c>
      <c r="E318">
        <v>1.6870000000000001</v>
      </c>
      <c r="F318">
        <v>3729860.8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-0.99939957970579407</v>
      </c>
      <c r="Q318">
        <f t="shared" si="965"/>
        <v>-3727621.3158811168</v>
      </c>
      <c r="R318">
        <f t="shared" si="966"/>
        <v>23735129.051466785</v>
      </c>
      <c r="S318">
        <f t="shared" si="967"/>
        <v>237.35129051466785</v>
      </c>
      <c r="T318">
        <f t="shared" si="968"/>
        <v>0.23735129051466786</v>
      </c>
    </row>
    <row r="319" spans="1:20" x14ac:dyDescent="0.25">
      <c r="A319" s="5">
        <v>44274</v>
      </c>
      <c r="B319">
        <v>1.8058000000000001</v>
      </c>
      <c r="C319">
        <v>1.8494999999999999</v>
      </c>
      <c r="D319">
        <v>1.7222999999999999</v>
      </c>
      <c r="E319">
        <v>1.7565</v>
      </c>
      <c r="F319">
        <v>1969542.33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-0.46226415094339601</v>
      </c>
      <c r="Q319">
        <f t="shared" si="965"/>
        <v>-910448.81292452791</v>
      </c>
      <c r="R319">
        <f t="shared" si="966"/>
        <v>27462750.367347904</v>
      </c>
      <c r="S319">
        <f t="shared" si="967"/>
        <v>274.62750367347905</v>
      </c>
      <c r="T319">
        <f t="shared" si="968"/>
        <v>0.27462750367347905</v>
      </c>
    </row>
    <row r="320" spans="1:20" x14ac:dyDescent="0.25">
      <c r="A320" s="5">
        <v>44273</v>
      </c>
      <c r="B320">
        <v>1.5129999999999999</v>
      </c>
      <c r="C320">
        <v>1.89</v>
      </c>
      <c r="D320">
        <v>1.5129999999999999</v>
      </c>
      <c r="E320">
        <v>1.8109</v>
      </c>
      <c r="F320">
        <v>7297242.9199999999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0.58037135278514618</v>
      </c>
      <c r="Q320">
        <f t="shared" si="965"/>
        <v>4235110.7450822303</v>
      </c>
      <c r="R320">
        <f t="shared" si="966"/>
        <v>28373199.18027243</v>
      </c>
      <c r="S320">
        <f t="shared" si="967"/>
        <v>283.73199180272428</v>
      </c>
      <c r="T320">
        <f t="shared" si="968"/>
        <v>0.28373199180272429</v>
      </c>
    </row>
    <row r="321" spans="1:20" x14ac:dyDescent="0.25">
      <c r="A321" s="5">
        <v>44272</v>
      </c>
      <c r="B321">
        <v>1.4773000000000001</v>
      </c>
      <c r="C321">
        <v>1.5281</v>
      </c>
      <c r="D321">
        <v>1.3835</v>
      </c>
      <c r="E321">
        <v>1.5174000000000001</v>
      </c>
      <c r="F321">
        <v>1771173.5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0.85200553250345878</v>
      </c>
      <c r="Q321">
        <f t="shared" si="965"/>
        <v>1509049.6210235148</v>
      </c>
      <c r="R321">
        <f t="shared" si="966"/>
        <v>24138088.435190201</v>
      </c>
      <c r="S321">
        <f t="shared" si="967"/>
        <v>241.38088435190201</v>
      </c>
      <c r="T321">
        <f t="shared" si="968"/>
        <v>0.24138088435190203</v>
      </c>
    </row>
    <row r="322" spans="1:20" x14ac:dyDescent="0.25">
      <c r="A322" s="5">
        <v>44271</v>
      </c>
      <c r="B322">
        <v>1.4464999999999999</v>
      </c>
      <c r="C322">
        <v>1.4769000000000001</v>
      </c>
      <c r="D322">
        <v>1.3602000000000001</v>
      </c>
      <c r="E322">
        <v>1.4769000000000001</v>
      </c>
      <c r="F322">
        <v>1302872.97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1</v>
      </c>
      <c r="Q322">
        <f t="shared" si="965"/>
        <v>1302872.97</v>
      </c>
      <c r="R322">
        <f t="shared" si="966"/>
        <v>22629038.814166687</v>
      </c>
      <c r="S322">
        <f t="shared" si="967"/>
        <v>226.29038814166688</v>
      </c>
      <c r="T322">
        <f t="shared" si="968"/>
        <v>0.22629038814166688</v>
      </c>
    </row>
    <row r="323" spans="1:20" x14ac:dyDescent="0.25">
      <c r="A323" s="5">
        <v>44270</v>
      </c>
      <c r="B323">
        <v>1.4592000000000001</v>
      </c>
      <c r="C323">
        <v>1.5079</v>
      </c>
      <c r="D323">
        <v>1.3169</v>
      </c>
      <c r="E323">
        <v>1.4470000000000001</v>
      </c>
      <c r="F323">
        <v>1842256.25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0.36230366492146665</v>
      </c>
      <c r="Q323">
        <f t="shared" si="965"/>
        <v>667456.1910994777</v>
      </c>
      <c r="R323">
        <f t="shared" si="966"/>
        <v>21326165.844166689</v>
      </c>
      <c r="S323">
        <f t="shared" si="967"/>
        <v>213.2616584416669</v>
      </c>
      <c r="T323">
        <f t="shared" si="968"/>
        <v>0.21326165844166689</v>
      </c>
    </row>
    <row r="324" spans="1:20" x14ac:dyDescent="0.25">
      <c r="A324" s="5">
        <v>44269</v>
      </c>
      <c r="B324">
        <v>1.514</v>
      </c>
      <c r="C324">
        <v>1.5192000000000001</v>
      </c>
      <c r="D324">
        <v>1.44</v>
      </c>
      <c r="E324">
        <v>1.4592000000000001</v>
      </c>
      <c r="F324">
        <v>840493.46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-0.51515151515151347</v>
      </c>
      <c r="Q324">
        <f t="shared" si="965"/>
        <v>-432981.47939393797</v>
      </c>
      <c r="R324">
        <f t="shared" si="966"/>
        <v>20658709.653067213</v>
      </c>
      <c r="S324">
        <f t="shared" si="967"/>
        <v>206.58709653067211</v>
      </c>
      <c r="T324">
        <f t="shared" si="968"/>
        <v>0.20658709653067212</v>
      </c>
    </row>
    <row r="325" spans="1:20" x14ac:dyDescent="0.25">
      <c r="A325" s="5">
        <v>44268</v>
      </c>
      <c r="B325">
        <v>1.4605999999999999</v>
      </c>
      <c r="C325">
        <v>1.5192000000000001</v>
      </c>
      <c r="D325">
        <v>1.4017999999999999</v>
      </c>
      <c r="E325">
        <v>1.5134000000000001</v>
      </c>
      <c r="F325">
        <v>1244068.08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0.90119250425894348</v>
      </c>
      <c r="Q325">
        <f t="shared" si="965"/>
        <v>1121144.8284838158</v>
      </c>
      <c r="R325">
        <f t="shared" si="966"/>
        <v>21091691.132461149</v>
      </c>
      <c r="S325">
        <f t="shared" si="967"/>
        <v>210.9169113246115</v>
      </c>
      <c r="T325">
        <f t="shared" si="968"/>
        <v>0.21091691132461152</v>
      </c>
    </row>
    <row r="326" spans="1:20" x14ac:dyDescent="0.25">
      <c r="A326" s="5">
        <v>44267</v>
      </c>
      <c r="B326">
        <v>1.462</v>
      </c>
      <c r="C326">
        <v>1.5032000000000001</v>
      </c>
      <c r="D326">
        <v>1.3922000000000001</v>
      </c>
      <c r="E326">
        <v>1.4615</v>
      </c>
      <c r="F326">
        <v>1019638.84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0.2486486486486473</v>
      </c>
      <c r="Q326">
        <f t="shared" ref="Q326:Q389" si="970">F326*P326</f>
        <v>253531.81967567428</v>
      </c>
      <c r="R326">
        <f t="shared" ref="R326:R389" si="971">R327+Q326</f>
        <v>19970546.303977333</v>
      </c>
      <c r="S326">
        <f t="shared" ref="S326:S389" si="972">R326/100000</f>
        <v>199.70546303977332</v>
      </c>
      <c r="T326">
        <f t="shared" ref="T326:T389" si="973">S326/1000</f>
        <v>0.19970546303977332</v>
      </c>
    </row>
    <row r="327" spans="1:20" x14ac:dyDescent="0.25">
      <c r="A327" s="5">
        <v>44266</v>
      </c>
      <c r="B327">
        <v>1.4782</v>
      </c>
      <c r="C327">
        <v>1.4931000000000001</v>
      </c>
      <c r="D327">
        <v>1.4066000000000001</v>
      </c>
      <c r="E327">
        <v>1.468</v>
      </c>
      <c r="F327">
        <v>1078251.27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0.41965317919074874</v>
      </c>
      <c r="Q327">
        <f t="shared" si="970"/>
        <v>452491.57342196238</v>
      </c>
      <c r="R327">
        <f t="shared" si="971"/>
        <v>19717014.48430166</v>
      </c>
      <c r="S327">
        <f t="shared" si="972"/>
        <v>197.1701448430166</v>
      </c>
      <c r="T327">
        <f t="shared" si="973"/>
        <v>0.19717014484301659</v>
      </c>
    </row>
    <row r="328" spans="1:20" x14ac:dyDescent="0.25">
      <c r="A328" s="5">
        <v>44265</v>
      </c>
      <c r="B328">
        <v>1.55</v>
      </c>
      <c r="C328">
        <v>1.6345000000000001</v>
      </c>
      <c r="D328">
        <v>1.4418</v>
      </c>
      <c r="E328">
        <v>1.4763999999999999</v>
      </c>
      <c r="F328">
        <v>1932811.83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-0.64089257913855791</v>
      </c>
      <c r="Q328">
        <f t="shared" si="970"/>
        <v>-1238724.7587182159</v>
      </c>
      <c r="R328">
        <f t="shared" si="971"/>
        <v>19264522.910879698</v>
      </c>
      <c r="S328">
        <f t="shared" si="972"/>
        <v>192.64522910879697</v>
      </c>
      <c r="T328">
        <f t="shared" si="973"/>
        <v>0.19264522910879697</v>
      </c>
    </row>
    <row r="329" spans="1:20" x14ac:dyDescent="0.25">
      <c r="A329" s="5">
        <v>44264</v>
      </c>
      <c r="B329">
        <v>1.5063</v>
      </c>
      <c r="C329">
        <v>1.5799000000000001</v>
      </c>
      <c r="D329">
        <v>1.4577</v>
      </c>
      <c r="E329">
        <v>1.5499000000000001</v>
      </c>
      <c r="F329">
        <v>1732645.75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0.50900163666121101</v>
      </c>
      <c r="Q329">
        <f t="shared" si="970"/>
        <v>881919.5225040915</v>
      </c>
      <c r="R329">
        <f t="shared" si="971"/>
        <v>20503247.669597913</v>
      </c>
      <c r="S329">
        <f t="shared" si="972"/>
        <v>205.03247669597911</v>
      </c>
      <c r="T329">
        <f t="shared" si="973"/>
        <v>0.20503247669597913</v>
      </c>
    </row>
    <row r="330" spans="1:20" x14ac:dyDescent="0.25">
      <c r="A330" s="5">
        <v>44263</v>
      </c>
      <c r="B330">
        <v>1.5178</v>
      </c>
      <c r="C330">
        <v>1.5249999999999999</v>
      </c>
      <c r="D330">
        <v>1.4354</v>
      </c>
      <c r="E330">
        <v>1.5001</v>
      </c>
      <c r="F330">
        <v>1257483.81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0.44419642857142971</v>
      </c>
      <c r="Q330">
        <f t="shared" si="970"/>
        <v>558569.81738839427</v>
      </c>
      <c r="R330">
        <f t="shared" si="971"/>
        <v>19621328.147093821</v>
      </c>
      <c r="S330">
        <f t="shared" si="972"/>
        <v>196.21328147093823</v>
      </c>
      <c r="T330">
        <f t="shared" si="973"/>
        <v>0.19621328147093822</v>
      </c>
    </row>
    <row r="331" spans="1:20" x14ac:dyDescent="0.25">
      <c r="A331" s="5">
        <v>44262</v>
      </c>
      <c r="B331">
        <v>1.5385</v>
      </c>
      <c r="C331">
        <v>1.54</v>
      </c>
      <c r="D331">
        <v>1.4091</v>
      </c>
      <c r="E331">
        <v>1.5178</v>
      </c>
      <c r="F331">
        <v>1759434.64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0.66080977845683742</v>
      </c>
      <c r="Q331">
        <f t="shared" si="970"/>
        <v>1162651.6146676855</v>
      </c>
      <c r="R331">
        <f t="shared" si="971"/>
        <v>19062758.329705428</v>
      </c>
      <c r="S331">
        <f t="shared" si="972"/>
        <v>190.62758329705429</v>
      </c>
      <c r="T331">
        <f t="shared" si="973"/>
        <v>0.19062758329705429</v>
      </c>
    </row>
    <row r="332" spans="1:20" x14ac:dyDescent="0.25">
      <c r="A332" s="5">
        <v>44261</v>
      </c>
      <c r="B332">
        <v>1.3829</v>
      </c>
      <c r="C332">
        <v>1.56</v>
      </c>
      <c r="D332">
        <v>1.3742000000000001</v>
      </c>
      <c r="E332">
        <v>1.5419</v>
      </c>
      <c r="F332">
        <v>3300820.7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0.80516684607104405</v>
      </c>
      <c r="Q332">
        <f t="shared" si="970"/>
        <v>2657711.3924650159</v>
      </c>
      <c r="R332">
        <f t="shared" si="971"/>
        <v>17900106.715037744</v>
      </c>
      <c r="S332">
        <f t="shared" si="972"/>
        <v>179.00106715037745</v>
      </c>
      <c r="T332">
        <f t="shared" si="973"/>
        <v>0.17900106715037745</v>
      </c>
    </row>
    <row r="333" spans="1:20" x14ac:dyDescent="0.25">
      <c r="A333" s="5">
        <v>44260</v>
      </c>
      <c r="B333">
        <v>1.3695999999999999</v>
      </c>
      <c r="C333">
        <v>1.3923000000000001</v>
      </c>
      <c r="D333">
        <v>1.2781</v>
      </c>
      <c r="E333">
        <v>1.3781000000000001</v>
      </c>
      <c r="F333">
        <v>1170919.18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0.75131348511383567</v>
      </c>
      <c r="Q333">
        <f t="shared" si="970"/>
        <v>879727.3699124346</v>
      </c>
      <c r="R333">
        <f t="shared" si="971"/>
        <v>15242395.322572729</v>
      </c>
      <c r="S333">
        <f t="shared" si="972"/>
        <v>152.42395322572727</v>
      </c>
      <c r="T333">
        <f t="shared" si="973"/>
        <v>0.15242395322572727</v>
      </c>
    </row>
    <row r="334" spans="1:20" x14ac:dyDescent="0.25">
      <c r="A334" s="5">
        <v>44259</v>
      </c>
      <c r="B334">
        <v>1.389</v>
      </c>
      <c r="C334">
        <v>1.46</v>
      </c>
      <c r="D334">
        <v>1.28</v>
      </c>
      <c r="E334">
        <v>1.3678999999999999</v>
      </c>
      <c r="F334">
        <v>1688987.28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-2.3333333333334472E-2</v>
      </c>
      <c r="Q334">
        <f t="shared" si="970"/>
        <v>-39409.703200001924</v>
      </c>
      <c r="R334">
        <f t="shared" si="971"/>
        <v>14362667.952660294</v>
      </c>
      <c r="S334">
        <f t="shared" si="972"/>
        <v>143.62667952660294</v>
      </c>
      <c r="T334">
        <f t="shared" si="973"/>
        <v>0.14362667952660294</v>
      </c>
    </row>
    <row r="335" spans="1:20" x14ac:dyDescent="0.25">
      <c r="A335" s="5">
        <v>44258</v>
      </c>
      <c r="B335">
        <v>1.2565999999999999</v>
      </c>
      <c r="C335">
        <v>1.48</v>
      </c>
      <c r="D335">
        <v>1.2422</v>
      </c>
      <c r="E335">
        <v>1.389</v>
      </c>
      <c r="F335">
        <v>2059566.96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0.23465096719932746</v>
      </c>
      <c r="Q335">
        <f t="shared" si="970"/>
        <v>483279.37917577854</v>
      </c>
      <c r="R335">
        <f t="shared" si="971"/>
        <v>14402077.655860296</v>
      </c>
      <c r="S335">
        <f t="shared" si="972"/>
        <v>144.02077655860296</v>
      </c>
      <c r="T335">
        <f t="shared" si="973"/>
        <v>0.14402077655860296</v>
      </c>
    </row>
    <row r="336" spans="1:20" x14ac:dyDescent="0.25">
      <c r="A336" s="5">
        <v>44257</v>
      </c>
      <c r="B336">
        <v>1.2849999999999999</v>
      </c>
      <c r="C336">
        <v>1.3066</v>
      </c>
      <c r="D336">
        <v>1.1962999999999999</v>
      </c>
      <c r="E336">
        <v>1.2565</v>
      </c>
      <c r="F336">
        <v>1506042.25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9.1568449682683517E-2</v>
      </c>
      <c r="Q336">
        <f t="shared" si="970"/>
        <v>137905.95398912046</v>
      </c>
      <c r="R336">
        <f t="shared" si="971"/>
        <v>13918798.276684517</v>
      </c>
      <c r="S336">
        <f t="shared" si="972"/>
        <v>139.18798276684518</v>
      </c>
      <c r="T336">
        <f t="shared" si="973"/>
        <v>0.13918798276684519</v>
      </c>
    </row>
    <row r="337" spans="1:20" x14ac:dyDescent="0.25">
      <c r="A337" s="5">
        <v>44256</v>
      </c>
      <c r="B337">
        <v>1.206</v>
      </c>
      <c r="C337">
        <v>1.3</v>
      </c>
      <c r="D337">
        <v>1.2008000000000001</v>
      </c>
      <c r="E337">
        <v>1.2805</v>
      </c>
      <c r="F337">
        <v>1320736.45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0.60685483870967583</v>
      </c>
      <c r="Q337">
        <f t="shared" si="970"/>
        <v>801495.3053427398</v>
      </c>
      <c r="R337">
        <f t="shared" si="971"/>
        <v>13780892.322695397</v>
      </c>
      <c r="S337">
        <f t="shared" si="972"/>
        <v>137.80892322695397</v>
      </c>
      <c r="T337">
        <f t="shared" si="973"/>
        <v>0.13780892322695396</v>
      </c>
    </row>
    <row r="338" spans="1:20" x14ac:dyDescent="0.25">
      <c r="A338" s="5">
        <v>44255</v>
      </c>
      <c r="B338">
        <v>1.3119000000000001</v>
      </c>
      <c r="C338">
        <v>1.3551</v>
      </c>
      <c r="D338">
        <v>1.1085</v>
      </c>
      <c r="E338">
        <v>1.2054</v>
      </c>
      <c r="F338">
        <v>2416405.0499999998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-0.2141119221411191</v>
      </c>
      <c r="Q338">
        <f t="shared" si="970"/>
        <v>-517381.12992700696</v>
      </c>
      <c r="R338">
        <f t="shared" si="971"/>
        <v>12979397.017352657</v>
      </c>
      <c r="S338">
        <f t="shared" si="972"/>
        <v>129.79397017352656</v>
      </c>
      <c r="T338">
        <f t="shared" si="973"/>
        <v>0.12979397017352656</v>
      </c>
    </row>
    <row r="339" spans="1:20" x14ac:dyDescent="0.25">
      <c r="A339" s="5">
        <v>44254</v>
      </c>
      <c r="B339">
        <v>1.2414000000000001</v>
      </c>
      <c r="C339">
        <v>1.3562000000000001</v>
      </c>
      <c r="D339">
        <v>1.2202</v>
      </c>
      <c r="E339">
        <v>1.3112999999999999</v>
      </c>
      <c r="F339">
        <v>2216689.64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0.33970588235293936</v>
      </c>
      <c r="Q339">
        <f t="shared" si="970"/>
        <v>753022.51005881955</v>
      </c>
      <c r="R339">
        <f t="shared" si="971"/>
        <v>13496778.147279665</v>
      </c>
      <c r="S339">
        <f t="shared" si="972"/>
        <v>134.96778147279664</v>
      </c>
      <c r="T339">
        <f t="shared" si="973"/>
        <v>0.13496778147279664</v>
      </c>
    </row>
    <row r="340" spans="1:20" x14ac:dyDescent="0.25">
      <c r="A340" s="5">
        <v>44253</v>
      </c>
      <c r="B340">
        <v>1.25</v>
      </c>
      <c r="C340">
        <v>1.2990999999999999</v>
      </c>
      <c r="D340">
        <v>1.1399999999999999</v>
      </c>
      <c r="E340">
        <v>1.2371000000000001</v>
      </c>
      <c r="F340">
        <v>2621460.13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0.22061596480201351</v>
      </c>
      <c r="Q340">
        <f t="shared" si="970"/>
        <v>578335.9557699617</v>
      </c>
      <c r="R340">
        <f t="shared" si="971"/>
        <v>12743755.637220845</v>
      </c>
      <c r="S340">
        <f t="shared" si="972"/>
        <v>127.43755637220845</v>
      </c>
      <c r="T340">
        <f t="shared" si="973"/>
        <v>0.12743755637220844</v>
      </c>
    </row>
    <row r="341" spans="1:20" x14ac:dyDescent="0.25">
      <c r="A341" s="5">
        <v>44252</v>
      </c>
      <c r="B341">
        <v>1.2096</v>
      </c>
      <c r="C341">
        <v>1.4570000000000001</v>
      </c>
      <c r="D341">
        <v>1.2094</v>
      </c>
      <c r="E341">
        <v>1.25</v>
      </c>
      <c r="F341">
        <v>3457813.44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-0.67205169628432981</v>
      </c>
      <c r="Q341">
        <f t="shared" si="970"/>
        <v>-2323829.3877867535</v>
      </c>
      <c r="R341">
        <f t="shared" si="971"/>
        <v>12165419.681450883</v>
      </c>
      <c r="S341">
        <f t="shared" si="972"/>
        <v>121.65419681450884</v>
      </c>
      <c r="T341">
        <f t="shared" si="973"/>
        <v>0.12165419681450884</v>
      </c>
    </row>
    <row r="342" spans="1:20" x14ac:dyDescent="0.25">
      <c r="A342" s="5">
        <v>44251</v>
      </c>
      <c r="B342">
        <v>1.1998</v>
      </c>
      <c r="C342">
        <v>1.31</v>
      </c>
      <c r="D342">
        <v>1.1008</v>
      </c>
      <c r="E342">
        <v>1.208</v>
      </c>
      <c r="F342">
        <v>2936498.08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2.485659655831678E-2</v>
      </c>
      <c r="Q342">
        <f t="shared" si="970"/>
        <v>72991.348068831838</v>
      </c>
      <c r="R342">
        <f t="shared" si="971"/>
        <v>14489249.069237636</v>
      </c>
      <c r="S342">
        <f t="shared" si="972"/>
        <v>144.89249069237636</v>
      </c>
      <c r="T342">
        <f t="shared" si="973"/>
        <v>0.14489249069237636</v>
      </c>
    </row>
    <row r="343" spans="1:20" x14ac:dyDescent="0.25">
      <c r="A343" s="5">
        <v>44250</v>
      </c>
      <c r="B343">
        <v>1.5729</v>
      </c>
      <c r="C343">
        <v>1.5734999999999999</v>
      </c>
      <c r="D343">
        <v>1</v>
      </c>
      <c r="E343">
        <v>1.1999</v>
      </c>
      <c r="F343">
        <v>4583749.88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-0.30287707061900609</v>
      </c>
      <c r="Q343">
        <f t="shared" si="970"/>
        <v>-1388312.7361046206</v>
      </c>
      <c r="R343">
        <f t="shared" si="971"/>
        <v>14416257.721168805</v>
      </c>
      <c r="S343">
        <f t="shared" si="972"/>
        <v>144.16257721168805</v>
      </c>
      <c r="T343">
        <f t="shared" si="973"/>
        <v>0.14416257721168804</v>
      </c>
    </row>
    <row r="344" spans="1:20" x14ac:dyDescent="0.25">
      <c r="A344" s="5">
        <v>44249</v>
      </c>
      <c r="B344">
        <v>1.6346000000000001</v>
      </c>
      <c r="C344">
        <v>1.8826000000000001</v>
      </c>
      <c r="D344">
        <v>1.2331000000000001</v>
      </c>
      <c r="E344">
        <v>1.5639000000000001</v>
      </c>
      <c r="F344">
        <v>8125884.8899999997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1.8629715165511932E-2</v>
      </c>
      <c r="Q344">
        <f t="shared" si="970"/>
        <v>151382.92096843725</v>
      </c>
      <c r="R344">
        <f t="shared" si="971"/>
        <v>15804570.457273426</v>
      </c>
      <c r="S344">
        <f t="shared" si="972"/>
        <v>158.04570457273425</v>
      </c>
      <c r="T344">
        <f t="shared" si="973"/>
        <v>0.15804570457273426</v>
      </c>
    </row>
    <row r="345" spans="1:20" x14ac:dyDescent="0.25">
      <c r="A345" s="5">
        <v>44248</v>
      </c>
      <c r="B345">
        <v>1.4370000000000001</v>
      </c>
      <c r="C345">
        <v>1.84</v>
      </c>
      <c r="D345">
        <v>1.4</v>
      </c>
      <c r="E345">
        <v>1.6345000000000001</v>
      </c>
      <c r="F345">
        <v>6343805.6399999997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6.5909090909091195E-2</v>
      </c>
      <c r="Q345">
        <f t="shared" si="970"/>
        <v>418114.46263636544</v>
      </c>
      <c r="R345">
        <f t="shared" si="971"/>
        <v>15653187.536304988</v>
      </c>
      <c r="S345">
        <f t="shared" si="972"/>
        <v>156.53187536304989</v>
      </c>
      <c r="T345">
        <f t="shared" si="973"/>
        <v>0.15653187536304988</v>
      </c>
    </row>
    <row r="346" spans="1:20" x14ac:dyDescent="0.25">
      <c r="A346" s="5">
        <v>44247</v>
      </c>
      <c r="B346">
        <v>1.4641999999999999</v>
      </c>
      <c r="C346">
        <v>1.6297999999999999</v>
      </c>
      <c r="D346">
        <v>1.3615999999999999</v>
      </c>
      <c r="E346">
        <v>1.4321999999999999</v>
      </c>
      <c r="F346">
        <v>3527659.6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-0.47352721849366147</v>
      </c>
      <c r="Q346">
        <f t="shared" si="970"/>
        <v>-1670442.8381804624</v>
      </c>
      <c r="R346">
        <f t="shared" si="971"/>
        <v>15235073.073668623</v>
      </c>
      <c r="S346">
        <f t="shared" si="972"/>
        <v>152.35073073668624</v>
      </c>
      <c r="T346">
        <f t="shared" si="973"/>
        <v>0.15235073073668626</v>
      </c>
    </row>
    <row r="347" spans="1:20" x14ac:dyDescent="0.25">
      <c r="A347" s="5">
        <v>44246</v>
      </c>
      <c r="B347">
        <v>1.3794999999999999</v>
      </c>
      <c r="C347">
        <v>1.5</v>
      </c>
      <c r="D347">
        <v>1.28</v>
      </c>
      <c r="E347">
        <v>1.4642999999999999</v>
      </c>
      <c r="F347">
        <v>2485157.08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0.67545454545454486</v>
      </c>
      <c r="Q347">
        <f t="shared" si="970"/>
        <v>1678610.6458545441</v>
      </c>
      <c r="R347">
        <f t="shared" si="971"/>
        <v>16905515.911849085</v>
      </c>
      <c r="S347">
        <f t="shared" si="972"/>
        <v>169.05515911849085</v>
      </c>
      <c r="T347">
        <f t="shared" si="973"/>
        <v>0.16905515911849084</v>
      </c>
    </row>
    <row r="348" spans="1:20" x14ac:dyDescent="0.25">
      <c r="A348" s="5">
        <v>44245</v>
      </c>
      <c r="B348">
        <v>1.28</v>
      </c>
      <c r="C348">
        <v>1.4</v>
      </c>
      <c r="D348">
        <v>1.2746</v>
      </c>
      <c r="E348">
        <v>1.3753</v>
      </c>
      <c r="F348">
        <v>2027466.13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0.60606060606060685</v>
      </c>
      <c r="Q348">
        <f t="shared" si="970"/>
        <v>1228767.351515153</v>
      </c>
      <c r="R348">
        <f t="shared" si="971"/>
        <v>15226905.265994541</v>
      </c>
      <c r="S348">
        <f t="shared" si="972"/>
        <v>152.2690526599454</v>
      </c>
      <c r="T348">
        <f t="shared" si="973"/>
        <v>0.15226905265994539</v>
      </c>
    </row>
    <row r="349" spans="1:20" x14ac:dyDescent="0.25">
      <c r="A349" s="5">
        <v>44244</v>
      </c>
      <c r="B349">
        <v>1.2836000000000001</v>
      </c>
      <c r="C349">
        <v>1.3143</v>
      </c>
      <c r="D349">
        <v>1.18</v>
      </c>
      <c r="E349">
        <v>1.2801</v>
      </c>
      <c r="F349">
        <v>2077363.12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0.49069247952345518</v>
      </c>
      <c r="Q349">
        <f t="shared" si="970"/>
        <v>1019346.4602233811</v>
      </c>
      <c r="R349">
        <f t="shared" si="971"/>
        <v>13998137.914479388</v>
      </c>
      <c r="S349">
        <f t="shared" si="972"/>
        <v>139.98137914479389</v>
      </c>
      <c r="T349">
        <f t="shared" si="973"/>
        <v>0.13998137914479389</v>
      </c>
    </row>
    <row r="350" spans="1:20" x14ac:dyDescent="0.25">
      <c r="A350" s="5">
        <v>44243</v>
      </c>
      <c r="B350">
        <v>1.3885000000000001</v>
      </c>
      <c r="C350">
        <v>1.4081999999999999</v>
      </c>
      <c r="D350">
        <v>1.2156</v>
      </c>
      <c r="E350">
        <v>1.2811999999999999</v>
      </c>
      <c r="F350">
        <v>2539622.4700000002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-0.31879543094496449</v>
      </c>
      <c r="Q350">
        <f t="shared" si="970"/>
        <v>-809620.03976116516</v>
      </c>
      <c r="R350">
        <f t="shared" si="971"/>
        <v>12978791.454256007</v>
      </c>
      <c r="S350">
        <f t="shared" si="972"/>
        <v>129.78791454256009</v>
      </c>
      <c r="T350">
        <f t="shared" si="973"/>
        <v>0.12978791454256008</v>
      </c>
    </row>
    <row r="351" spans="1:20" x14ac:dyDescent="0.25">
      <c r="A351" s="5">
        <v>44242</v>
      </c>
      <c r="B351">
        <v>1.3025</v>
      </c>
      <c r="C351">
        <v>1.5754999999999999</v>
      </c>
      <c r="D351">
        <v>1.1252</v>
      </c>
      <c r="E351">
        <v>1.3888</v>
      </c>
      <c r="F351">
        <v>5623934.6699999999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0.17077503886298068</v>
      </c>
      <c r="Q351">
        <f t="shared" si="970"/>
        <v>960427.66183211445</v>
      </c>
      <c r="R351">
        <f t="shared" si="971"/>
        <v>13788411.494017173</v>
      </c>
      <c r="S351">
        <f t="shared" si="972"/>
        <v>137.88411494017171</v>
      </c>
      <c r="T351">
        <f t="shared" si="973"/>
        <v>0.13788411494017172</v>
      </c>
    </row>
    <row r="352" spans="1:20" x14ac:dyDescent="0.25">
      <c r="A352" s="5">
        <v>44241</v>
      </c>
      <c r="B352">
        <v>1.3018000000000001</v>
      </c>
      <c r="C352">
        <v>1.48</v>
      </c>
      <c r="D352">
        <v>1.2591000000000001</v>
      </c>
      <c r="E352">
        <v>1.2990999999999999</v>
      </c>
      <c r="F352">
        <v>5297091.26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-0.63784517881394442</v>
      </c>
      <c r="Q352">
        <f t="shared" si="970"/>
        <v>-3378724.1219284819</v>
      </c>
      <c r="R352">
        <f t="shared" si="971"/>
        <v>12827983.832185058</v>
      </c>
      <c r="S352">
        <f t="shared" si="972"/>
        <v>128.27983832185058</v>
      </c>
      <c r="T352">
        <f t="shared" si="973"/>
        <v>0.12827983832185058</v>
      </c>
    </row>
    <row r="353" spans="1:20" x14ac:dyDescent="0.25">
      <c r="A353" s="5">
        <v>44240</v>
      </c>
      <c r="B353">
        <v>1.1454</v>
      </c>
      <c r="C353">
        <v>1.34</v>
      </c>
      <c r="D353">
        <v>1.1067</v>
      </c>
      <c r="E353">
        <v>1.3048</v>
      </c>
      <c r="F353">
        <v>5537295.4900000002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0.69824260608658284</v>
      </c>
      <c r="Q353">
        <f t="shared" si="970"/>
        <v>3866375.6336090821</v>
      </c>
      <c r="R353">
        <f t="shared" si="971"/>
        <v>16206707.954113539</v>
      </c>
      <c r="S353">
        <f t="shared" si="972"/>
        <v>162.0670795411354</v>
      </c>
      <c r="T353">
        <f t="shared" si="973"/>
        <v>0.16206707954113539</v>
      </c>
    </row>
    <row r="354" spans="1:20" x14ac:dyDescent="0.25">
      <c r="A354" s="5">
        <v>44239</v>
      </c>
      <c r="B354">
        <v>1.1112</v>
      </c>
      <c r="C354">
        <v>1.1951000000000001</v>
      </c>
      <c r="D354">
        <v>1.0409999999999999</v>
      </c>
      <c r="E354">
        <v>1.1454</v>
      </c>
      <c r="F354">
        <v>3663529.84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0.35496430889033048</v>
      </c>
      <c r="Q354">
        <f t="shared" si="970"/>
        <v>1300422.3377547029</v>
      </c>
      <c r="R354">
        <f t="shared" si="971"/>
        <v>12340332.320504457</v>
      </c>
      <c r="S354">
        <f t="shared" si="972"/>
        <v>123.40332320504457</v>
      </c>
      <c r="T354">
        <f t="shared" si="973"/>
        <v>0.12340332320504457</v>
      </c>
    </row>
    <row r="355" spans="1:20" x14ac:dyDescent="0.25">
      <c r="A355" s="5">
        <v>44238</v>
      </c>
      <c r="B355">
        <v>0.89990000000000003</v>
      </c>
      <c r="C355">
        <v>1.1499999999999999</v>
      </c>
      <c r="D355">
        <v>0.87080000000000002</v>
      </c>
      <c r="E355">
        <v>1.1112</v>
      </c>
      <c r="F355">
        <v>10595046.65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0.722063037249284</v>
      </c>
      <c r="Q355">
        <f t="shared" si="970"/>
        <v>7650291.5638968516</v>
      </c>
      <c r="R355">
        <f t="shared" si="971"/>
        <v>11039909.982749755</v>
      </c>
      <c r="S355">
        <f t="shared" si="972"/>
        <v>110.39909982749755</v>
      </c>
      <c r="T355">
        <f t="shared" si="973"/>
        <v>0.11039909982749756</v>
      </c>
    </row>
    <row r="356" spans="1:20" x14ac:dyDescent="0.25">
      <c r="A356" s="5">
        <v>44237</v>
      </c>
      <c r="B356">
        <v>0.87580000000000002</v>
      </c>
      <c r="C356">
        <v>0.95</v>
      </c>
      <c r="D356">
        <v>0.78449999999999998</v>
      </c>
      <c r="E356">
        <v>0.90449999999999997</v>
      </c>
      <c r="F356">
        <v>4210403.93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0.45015105740181283</v>
      </c>
      <c r="Q356">
        <f t="shared" si="970"/>
        <v>1895317.7811782481</v>
      </c>
      <c r="R356">
        <f t="shared" si="971"/>
        <v>3389618.4188529025</v>
      </c>
      <c r="S356">
        <f t="shared" si="972"/>
        <v>33.896184188529027</v>
      </c>
      <c r="T356">
        <f t="shared" si="973"/>
        <v>3.3896184188529029E-2</v>
      </c>
    </row>
    <row r="357" spans="1:20" x14ac:dyDescent="0.25">
      <c r="A357" s="5">
        <v>44236</v>
      </c>
      <c r="B357">
        <v>0.8448</v>
      </c>
      <c r="C357">
        <v>0.94</v>
      </c>
      <c r="D357">
        <v>0.81079999999999997</v>
      </c>
      <c r="E357">
        <v>0.875</v>
      </c>
      <c r="F357">
        <v>3206407.21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-6.1919504643956035E-3</v>
      </c>
      <c r="Q357">
        <f t="shared" si="970"/>
        <v>-19853.91461300091</v>
      </c>
      <c r="R357">
        <f t="shared" si="971"/>
        <v>1494300.6376746544</v>
      </c>
      <c r="S357">
        <f t="shared" si="972"/>
        <v>14.943006376746544</v>
      </c>
      <c r="T357">
        <f t="shared" si="973"/>
        <v>1.4943006376746544E-2</v>
      </c>
    </row>
    <row r="358" spans="1:20" x14ac:dyDescent="0.25">
      <c r="A358" s="5">
        <v>44235</v>
      </c>
      <c r="B358">
        <v>0.78990000000000005</v>
      </c>
      <c r="C358">
        <v>0.86760000000000004</v>
      </c>
      <c r="D358">
        <v>0.76819999999999999</v>
      </c>
      <c r="E358">
        <v>0.83789999999999998</v>
      </c>
      <c r="F358">
        <v>1038095.22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0.40241448692152826</v>
      </c>
      <c r="Q358">
        <f t="shared" si="970"/>
        <v>417744.555331991</v>
      </c>
      <c r="R358">
        <f t="shared" si="971"/>
        <v>1514154.5522876552</v>
      </c>
      <c r="S358">
        <f t="shared" si="972"/>
        <v>15.141545522876552</v>
      </c>
      <c r="T358">
        <f t="shared" si="973"/>
        <v>1.5141545522876552E-2</v>
      </c>
    </row>
    <row r="359" spans="1:20" x14ac:dyDescent="0.25">
      <c r="A359" s="5">
        <v>44234</v>
      </c>
      <c r="B359">
        <v>0.81089999999999995</v>
      </c>
      <c r="C359">
        <v>0.84219999999999995</v>
      </c>
      <c r="D359">
        <v>0.75</v>
      </c>
      <c r="E359">
        <v>0.79049999999999998</v>
      </c>
      <c r="F359">
        <v>1092988.1399999999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-0.12147505422993486</v>
      </c>
      <c r="Q359">
        <f t="shared" si="970"/>
        <v>-132770.79357917563</v>
      </c>
      <c r="R359">
        <f t="shared" si="971"/>
        <v>1096409.9969556641</v>
      </c>
      <c r="S359">
        <f t="shared" si="972"/>
        <v>10.964099969556642</v>
      </c>
      <c r="T359">
        <f t="shared" si="973"/>
        <v>1.0964099969556641E-2</v>
      </c>
    </row>
    <row r="360" spans="1:20" x14ac:dyDescent="0.25">
      <c r="A360" s="5">
        <v>44233</v>
      </c>
      <c r="B360">
        <v>0.84630000000000005</v>
      </c>
      <c r="C360">
        <v>0.94</v>
      </c>
      <c r="D360">
        <v>0.78220000000000001</v>
      </c>
      <c r="E360">
        <v>0.81089999999999995</v>
      </c>
      <c r="F360">
        <v>2373546.4900000002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-0.6362484157160968</v>
      </c>
      <c r="Q360">
        <f t="shared" si="970"/>
        <v>-1510165.1938910026</v>
      </c>
      <c r="R360">
        <f t="shared" si="971"/>
        <v>1229180.7905348397</v>
      </c>
      <c r="S360">
        <f t="shared" si="972"/>
        <v>12.291807905348398</v>
      </c>
      <c r="T360">
        <f t="shared" si="973"/>
        <v>1.2291807905348397E-2</v>
      </c>
    </row>
    <row r="361" spans="1:20" x14ac:dyDescent="0.25">
      <c r="A361" s="5">
        <v>44232</v>
      </c>
      <c r="B361">
        <v>0.72250000000000003</v>
      </c>
      <c r="C361">
        <v>0.85019999999999996</v>
      </c>
      <c r="D361">
        <v>0.71409999999999996</v>
      </c>
      <c r="E361">
        <v>0.84919999999999995</v>
      </c>
      <c r="F361">
        <v>2279108.77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0.98530492285084492</v>
      </c>
      <c r="Q361">
        <f t="shared" si="970"/>
        <v>2245617.0907935342</v>
      </c>
      <c r="R361">
        <f t="shared" si="971"/>
        <v>2739345.9844258423</v>
      </c>
      <c r="S361">
        <f t="shared" si="972"/>
        <v>27.393459844258423</v>
      </c>
      <c r="T361">
        <f t="shared" si="973"/>
        <v>2.7393459844258422E-2</v>
      </c>
    </row>
    <row r="362" spans="1:20" x14ac:dyDescent="0.25">
      <c r="A362" s="5">
        <v>44231</v>
      </c>
      <c r="B362">
        <v>0.76029999999999998</v>
      </c>
      <c r="C362">
        <v>0.77449999999999997</v>
      </c>
      <c r="D362">
        <v>0.7</v>
      </c>
      <c r="E362">
        <v>0.72340000000000004</v>
      </c>
      <c r="F362">
        <v>1140040.42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-0.37181208053691051</v>
      </c>
      <c r="Q362">
        <f t="shared" si="970"/>
        <v>-423880.80045637325</v>
      </c>
      <c r="R362">
        <f t="shared" si="971"/>
        <v>493728.89363230811</v>
      </c>
      <c r="S362">
        <f t="shared" si="972"/>
        <v>4.937288936323081</v>
      </c>
      <c r="T362">
        <f t="shared" si="973"/>
        <v>4.9372889363230813E-3</v>
      </c>
    </row>
    <row r="363" spans="1:20" x14ac:dyDescent="0.25">
      <c r="A363" s="5">
        <v>44230</v>
      </c>
      <c r="B363">
        <v>0.76490000000000002</v>
      </c>
      <c r="C363">
        <v>0.78969999999999996</v>
      </c>
      <c r="D363">
        <v>0.72750000000000004</v>
      </c>
      <c r="E363">
        <v>0.76039999999999996</v>
      </c>
      <c r="F363">
        <v>1110399.48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5.7877813504822205E-2</v>
      </c>
      <c r="Q363">
        <f t="shared" si="970"/>
        <v>64267.494019291553</v>
      </c>
      <c r="R363">
        <f t="shared" si="971"/>
        <v>917609.69408868137</v>
      </c>
      <c r="S363">
        <f t="shared" si="972"/>
        <v>9.1760969408868132</v>
      </c>
      <c r="T363">
        <f t="shared" si="973"/>
        <v>9.1760969408868128E-3</v>
      </c>
    </row>
    <row r="364" spans="1:20" x14ac:dyDescent="0.25">
      <c r="A364" s="5">
        <v>44229</v>
      </c>
      <c r="B364">
        <v>0.69130000000000003</v>
      </c>
      <c r="C364">
        <v>0.78</v>
      </c>
      <c r="D364">
        <v>0.68100000000000005</v>
      </c>
      <c r="E364">
        <v>0.76870000000000005</v>
      </c>
      <c r="F364">
        <v>1735676.51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0.77171717171717213</v>
      </c>
      <c r="Q364">
        <f t="shared" si="970"/>
        <v>1339451.3673131322</v>
      </c>
      <c r="R364">
        <f t="shared" si="971"/>
        <v>853342.20006938977</v>
      </c>
      <c r="S364">
        <f t="shared" si="972"/>
        <v>8.5334220006938981</v>
      </c>
      <c r="T364">
        <f t="shared" si="973"/>
        <v>8.5334220006938986E-3</v>
      </c>
    </row>
    <row r="365" spans="1:20" x14ac:dyDescent="0.25">
      <c r="A365" s="5">
        <v>44228</v>
      </c>
      <c r="B365">
        <v>0.7228</v>
      </c>
      <c r="C365">
        <v>0.73850000000000005</v>
      </c>
      <c r="D365">
        <v>0.65229999999999999</v>
      </c>
      <c r="E365">
        <v>0.68859999999999999</v>
      </c>
      <c r="F365">
        <v>1904561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-0.15777262180974533</v>
      </c>
      <c r="Q365">
        <f t="shared" si="970"/>
        <v>-300487.58236659039</v>
      </c>
      <c r="R365">
        <f t="shared" si="971"/>
        <v>-486109.16724374238</v>
      </c>
      <c r="S365">
        <f t="shared" si="972"/>
        <v>-4.861091672437424</v>
      </c>
      <c r="T365">
        <f t="shared" si="973"/>
        <v>-4.861091672437424E-3</v>
      </c>
    </row>
    <row r="366" spans="1:20" x14ac:dyDescent="0.25">
      <c r="A366" s="5">
        <v>44227</v>
      </c>
      <c r="B366">
        <v>0.75049999999999994</v>
      </c>
      <c r="C366">
        <v>0.82</v>
      </c>
      <c r="D366">
        <v>0.67049999999999998</v>
      </c>
      <c r="E366">
        <v>0.71850000000000003</v>
      </c>
      <c r="F366">
        <v>5044038.93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-0.35785953177257451</v>
      </c>
      <c r="Q366">
        <f t="shared" si="970"/>
        <v>-1805057.4097324377</v>
      </c>
      <c r="R366">
        <f t="shared" si="971"/>
        <v>-185621.584877152</v>
      </c>
      <c r="S366">
        <f t="shared" si="972"/>
        <v>-1.8562158487715199</v>
      </c>
      <c r="T366">
        <f t="shared" si="973"/>
        <v>-1.8562158487715199E-3</v>
      </c>
    </row>
    <row r="367" spans="1:20" x14ac:dyDescent="0.25">
      <c r="A367" s="5">
        <v>44226</v>
      </c>
      <c r="B367">
        <v>0.6159</v>
      </c>
      <c r="C367">
        <v>0.99</v>
      </c>
      <c r="D367">
        <v>0.60029999999999994</v>
      </c>
      <c r="E367">
        <v>0.75060000000000004</v>
      </c>
      <c r="F367">
        <v>9723192.1799999997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-0.22863741339491875</v>
      </c>
      <c r="Q367">
        <f t="shared" si="970"/>
        <v>-2223085.5099769011</v>
      </c>
      <c r="R367">
        <f t="shared" si="971"/>
        <v>1619435.8248552857</v>
      </c>
      <c r="S367">
        <f t="shared" si="972"/>
        <v>16.194358248552856</v>
      </c>
      <c r="T367">
        <f t="shared" si="973"/>
        <v>1.6194358248552854E-2</v>
      </c>
    </row>
    <row r="368" spans="1:20" x14ac:dyDescent="0.25">
      <c r="A368" s="5">
        <v>44225</v>
      </c>
      <c r="B368">
        <v>0.62980000000000003</v>
      </c>
      <c r="C368">
        <v>0.68710000000000004</v>
      </c>
      <c r="D368">
        <v>0.5857</v>
      </c>
      <c r="E368">
        <v>0.61919999999999997</v>
      </c>
      <c r="F368">
        <v>2345315.67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-0.33925049309664773</v>
      </c>
      <c r="Q368">
        <f t="shared" si="970"/>
        <v>-795649.4975147947</v>
      </c>
      <c r="R368">
        <f t="shared" si="971"/>
        <v>3842521.3348321868</v>
      </c>
      <c r="S368">
        <f t="shared" si="972"/>
        <v>38.425213348321869</v>
      </c>
      <c r="T368">
        <f t="shared" si="973"/>
        <v>3.8425213348321871E-2</v>
      </c>
    </row>
    <row r="369" spans="1:20" x14ac:dyDescent="0.25">
      <c r="A369" s="5">
        <v>44224</v>
      </c>
      <c r="B369">
        <v>0.54210000000000003</v>
      </c>
      <c r="C369">
        <v>0.65</v>
      </c>
      <c r="D369">
        <v>0.53090000000000004</v>
      </c>
      <c r="E369">
        <v>0.62929999999999997</v>
      </c>
      <c r="F369">
        <v>1178979.83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0.65239294710327367</v>
      </c>
      <c r="Q369">
        <f t="shared" si="970"/>
        <v>769158.12586901663</v>
      </c>
      <c r="R369">
        <f t="shared" si="971"/>
        <v>4638170.8323469814</v>
      </c>
      <c r="S369">
        <f t="shared" si="972"/>
        <v>46.381708323469816</v>
      </c>
      <c r="T369">
        <f t="shared" si="973"/>
        <v>4.6381708323469814E-2</v>
      </c>
    </row>
    <row r="370" spans="1:20" x14ac:dyDescent="0.25">
      <c r="A370" s="5">
        <v>44223</v>
      </c>
      <c r="B370">
        <v>0.59030000000000005</v>
      </c>
      <c r="C370">
        <v>0.61709999999999998</v>
      </c>
      <c r="D370">
        <v>0.52859999999999996</v>
      </c>
      <c r="E370">
        <v>0.54</v>
      </c>
      <c r="F370">
        <v>644131.32999999996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-0.74237288135593049</v>
      </c>
      <c r="Q370">
        <f t="shared" si="970"/>
        <v>-478185.63142372767</v>
      </c>
      <c r="R370">
        <f t="shared" si="971"/>
        <v>3869012.7064779643</v>
      </c>
      <c r="S370">
        <f t="shared" si="972"/>
        <v>38.690127064779645</v>
      </c>
      <c r="T370">
        <f t="shared" si="973"/>
        <v>3.8690127064779645E-2</v>
      </c>
    </row>
    <row r="371" spans="1:20" x14ac:dyDescent="0.25">
      <c r="A371" s="5">
        <v>44222</v>
      </c>
      <c r="B371">
        <v>0.6</v>
      </c>
      <c r="C371">
        <v>0.60619999999999996</v>
      </c>
      <c r="D371">
        <v>0.56999999999999995</v>
      </c>
      <c r="E371">
        <v>0.59030000000000005</v>
      </c>
      <c r="F371">
        <v>331636.96999999997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0.12154696132597183</v>
      </c>
      <c r="Q371">
        <f t="shared" si="970"/>
        <v>40309.465966852476</v>
      </c>
      <c r="R371">
        <f t="shared" si="971"/>
        <v>4347198.3379016919</v>
      </c>
      <c r="S371">
        <f t="shared" si="972"/>
        <v>43.471983379016919</v>
      </c>
      <c r="T371">
        <f t="shared" si="973"/>
        <v>4.3471983379016921E-2</v>
      </c>
    </row>
    <row r="372" spans="1:20" x14ac:dyDescent="0.25">
      <c r="A372" s="5">
        <v>44221</v>
      </c>
      <c r="B372">
        <v>0.623</v>
      </c>
      <c r="C372">
        <v>0.63680000000000003</v>
      </c>
      <c r="D372">
        <v>0.59219999999999995</v>
      </c>
      <c r="E372">
        <v>0.59989999999999999</v>
      </c>
      <c r="F372">
        <v>794815.07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-0.65470852017937109</v>
      </c>
      <c r="Q372">
        <f t="shared" si="970"/>
        <v>-520372.19829596323</v>
      </c>
      <c r="R372">
        <f t="shared" si="971"/>
        <v>4306888.8719348395</v>
      </c>
      <c r="S372">
        <f t="shared" si="972"/>
        <v>43.068888719348394</v>
      </c>
      <c r="T372">
        <f t="shared" si="973"/>
        <v>4.3068888719348393E-2</v>
      </c>
    </row>
    <row r="373" spans="1:20" x14ac:dyDescent="0.25">
      <c r="A373" s="5">
        <v>44220</v>
      </c>
      <c r="B373">
        <v>0.6099</v>
      </c>
      <c r="C373">
        <v>0.64990000000000003</v>
      </c>
      <c r="D373">
        <v>0.60299999999999998</v>
      </c>
      <c r="E373">
        <v>0.623</v>
      </c>
      <c r="F373">
        <v>866928.83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-0.14712153518123688</v>
      </c>
      <c r="Q373">
        <f t="shared" si="970"/>
        <v>-127543.90036247352</v>
      </c>
      <c r="R373">
        <f t="shared" si="971"/>
        <v>4827261.0702308025</v>
      </c>
      <c r="S373">
        <f t="shared" si="972"/>
        <v>48.272610702308022</v>
      </c>
      <c r="T373">
        <f t="shared" si="973"/>
        <v>4.8272610702308025E-2</v>
      </c>
    </row>
    <row r="374" spans="1:20" x14ac:dyDescent="0.25">
      <c r="A374" s="5">
        <v>44219</v>
      </c>
      <c r="B374">
        <v>0.58589999999999998</v>
      </c>
      <c r="C374">
        <v>0.61570000000000003</v>
      </c>
      <c r="D374">
        <v>0.56499999999999995</v>
      </c>
      <c r="E374">
        <v>0.61309999999999998</v>
      </c>
      <c r="F374">
        <v>548655.66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0.8974358974358958</v>
      </c>
      <c r="Q374">
        <f t="shared" si="970"/>
        <v>492383.28461538377</v>
      </c>
      <c r="R374">
        <f t="shared" si="971"/>
        <v>4954804.9705932764</v>
      </c>
      <c r="S374">
        <f t="shared" si="972"/>
        <v>49.548049705932762</v>
      </c>
      <c r="T374">
        <f t="shared" si="973"/>
        <v>4.954804970593276E-2</v>
      </c>
    </row>
    <row r="375" spans="1:20" x14ac:dyDescent="0.25">
      <c r="A375" s="5">
        <v>44218</v>
      </c>
      <c r="B375">
        <v>0.56110000000000004</v>
      </c>
      <c r="C375">
        <v>0.60419999999999996</v>
      </c>
      <c r="D375">
        <v>0.52459999999999996</v>
      </c>
      <c r="E375">
        <v>0.58189999999999997</v>
      </c>
      <c r="F375">
        <v>722515.92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0.43969849246231191</v>
      </c>
      <c r="Q375">
        <f t="shared" si="970"/>
        <v>317689.16080402036</v>
      </c>
      <c r="R375">
        <f t="shared" si="971"/>
        <v>4462421.685977893</v>
      </c>
      <c r="S375">
        <f t="shared" si="972"/>
        <v>44.624216859778933</v>
      </c>
      <c r="T375">
        <f t="shared" si="973"/>
        <v>4.462421685977893E-2</v>
      </c>
    </row>
    <row r="376" spans="1:20" x14ac:dyDescent="0.25">
      <c r="A376" s="5">
        <v>44217</v>
      </c>
      <c r="B376">
        <v>0.6542</v>
      </c>
      <c r="C376">
        <v>0.6542</v>
      </c>
      <c r="D376">
        <v>0.55000000000000004</v>
      </c>
      <c r="E376">
        <v>0.56769999999999998</v>
      </c>
      <c r="F376">
        <v>987147.01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-0.66026871401151732</v>
      </c>
      <c r="Q376">
        <f t="shared" si="970"/>
        <v>-651782.28683301446</v>
      </c>
      <c r="R376">
        <f t="shared" si="971"/>
        <v>4144732.5251738727</v>
      </c>
      <c r="S376">
        <f t="shared" si="972"/>
        <v>41.447325251738725</v>
      </c>
      <c r="T376">
        <f t="shared" si="973"/>
        <v>4.1447325251738727E-2</v>
      </c>
    </row>
    <row r="377" spans="1:20" x14ac:dyDescent="0.25">
      <c r="A377" s="5">
        <v>44216</v>
      </c>
      <c r="B377">
        <v>0.66849999999999998</v>
      </c>
      <c r="C377">
        <v>0.7</v>
      </c>
      <c r="D377">
        <v>0.59540000000000004</v>
      </c>
      <c r="E377">
        <v>0.65480000000000005</v>
      </c>
      <c r="F377">
        <v>2314299.1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0.1357552581261961</v>
      </c>
      <c r="Q377">
        <f t="shared" si="970"/>
        <v>314178.27170172334</v>
      </c>
      <c r="R377">
        <f t="shared" si="971"/>
        <v>4796514.812006887</v>
      </c>
      <c r="S377">
        <f t="shared" si="972"/>
        <v>47.965148120068868</v>
      </c>
      <c r="T377">
        <f t="shared" si="973"/>
        <v>4.7965148120068871E-2</v>
      </c>
    </row>
    <row r="378" spans="1:20" x14ac:dyDescent="0.25">
      <c r="A378" s="5">
        <v>44215</v>
      </c>
      <c r="B378">
        <v>0.64559999999999995</v>
      </c>
      <c r="C378">
        <v>0.72</v>
      </c>
      <c r="D378">
        <v>0.61499999999999999</v>
      </c>
      <c r="E378">
        <v>0.66930000000000001</v>
      </c>
      <c r="F378">
        <v>1855572.41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3.4285714285714745E-2</v>
      </c>
      <c r="Q378">
        <f t="shared" si="970"/>
        <v>63619.625485715136</v>
      </c>
      <c r="R378">
        <f t="shared" si="971"/>
        <v>4482336.5403051637</v>
      </c>
      <c r="S378">
        <f t="shared" si="972"/>
        <v>44.823365403051639</v>
      </c>
      <c r="T378">
        <f t="shared" si="973"/>
        <v>4.4823365403051638E-2</v>
      </c>
    </row>
    <row r="379" spans="1:20" x14ac:dyDescent="0.25">
      <c r="A379" s="5">
        <v>44214</v>
      </c>
      <c r="B379">
        <v>0.62580000000000002</v>
      </c>
      <c r="C379">
        <v>0.64739999999999998</v>
      </c>
      <c r="D379">
        <v>0.5968</v>
      </c>
      <c r="E379">
        <v>0.64559999999999995</v>
      </c>
      <c r="F379">
        <v>1111921.93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0.92885375494071054</v>
      </c>
      <c r="Q379">
        <f t="shared" si="970"/>
        <v>1032812.8598814218</v>
      </c>
      <c r="R379">
        <f t="shared" si="971"/>
        <v>4418716.9148194483</v>
      </c>
      <c r="S379">
        <f t="shared" si="972"/>
        <v>44.187169148194485</v>
      </c>
      <c r="T379">
        <f t="shared" si="973"/>
        <v>4.4187169148194483E-2</v>
      </c>
    </row>
    <row r="380" spans="1:20" x14ac:dyDescent="0.25">
      <c r="A380" s="5">
        <v>44213</v>
      </c>
      <c r="B380">
        <v>0.61809999999999998</v>
      </c>
      <c r="C380">
        <v>0.64500000000000002</v>
      </c>
      <c r="D380">
        <v>0.56659999999999999</v>
      </c>
      <c r="E380">
        <v>0.62560000000000004</v>
      </c>
      <c r="F380">
        <v>1016013.6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0.50510204081632737</v>
      </c>
      <c r="Q380">
        <f t="shared" si="970"/>
        <v>513190.54285714368</v>
      </c>
      <c r="R380">
        <f t="shared" si="971"/>
        <v>3385904.0549380262</v>
      </c>
      <c r="S380">
        <f t="shared" si="972"/>
        <v>33.859040549380261</v>
      </c>
      <c r="T380">
        <f t="shared" si="973"/>
        <v>3.3859040549380263E-2</v>
      </c>
    </row>
    <row r="381" spans="1:20" x14ac:dyDescent="0.25">
      <c r="A381" s="5">
        <v>44212</v>
      </c>
      <c r="B381">
        <v>0.57879999999999998</v>
      </c>
      <c r="C381">
        <v>0.63460000000000005</v>
      </c>
      <c r="D381">
        <v>0.57369999999999999</v>
      </c>
      <c r="E381">
        <v>0.6179</v>
      </c>
      <c r="F381">
        <v>984216.46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0.45155993431855401</v>
      </c>
      <c r="Q381">
        <f t="shared" si="970"/>
        <v>444432.72003283974</v>
      </c>
      <c r="R381">
        <f t="shared" si="971"/>
        <v>2872713.5120808827</v>
      </c>
      <c r="S381">
        <f t="shared" si="972"/>
        <v>28.727135120808828</v>
      </c>
      <c r="T381">
        <f t="shared" si="973"/>
        <v>2.8727135120808829E-2</v>
      </c>
    </row>
    <row r="382" spans="1:20" x14ac:dyDescent="0.25">
      <c r="A382" s="5">
        <v>44211</v>
      </c>
      <c r="B382">
        <v>0.58409999999999995</v>
      </c>
      <c r="C382">
        <v>0.59299999999999997</v>
      </c>
      <c r="D382">
        <v>0.5363</v>
      </c>
      <c r="E382">
        <v>0.57889999999999997</v>
      </c>
      <c r="F382">
        <v>803969.49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0.50264550264550234</v>
      </c>
      <c r="Q382">
        <f t="shared" si="970"/>
        <v>404111.64841269818</v>
      </c>
      <c r="R382">
        <f t="shared" si="971"/>
        <v>2428280.7920480431</v>
      </c>
      <c r="S382">
        <f t="shared" si="972"/>
        <v>24.28280792048043</v>
      </c>
      <c r="T382">
        <f t="shared" si="973"/>
        <v>2.4282807920480428E-2</v>
      </c>
    </row>
    <row r="383" spans="1:20" x14ac:dyDescent="0.25">
      <c r="A383" s="5">
        <v>44210</v>
      </c>
      <c r="B383">
        <v>0.57440000000000002</v>
      </c>
      <c r="C383">
        <v>0.59289999999999998</v>
      </c>
      <c r="D383">
        <v>0.55830000000000002</v>
      </c>
      <c r="E383">
        <v>0.58430000000000004</v>
      </c>
      <c r="F383">
        <v>866829.39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0.50289017341040754</v>
      </c>
      <c r="Q383">
        <f t="shared" si="970"/>
        <v>435919.98225433781</v>
      </c>
      <c r="R383">
        <f t="shared" si="971"/>
        <v>2024169.1436353449</v>
      </c>
      <c r="S383">
        <f t="shared" si="972"/>
        <v>20.241691436353449</v>
      </c>
      <c r="T383">
        <f t="shared" si="973"/>
        <v>2.0241691436353449E-2</v>
      </c>
    </row>
    <row r="384" spans="1:20" x14ac:dyDescent="0.25">
      <c r="A384" s="5">
        <v>44209</v>
      </c>
      <c r="B384">
        <v>0.55410000000000004</v>
      </c>
      <c r="C384">
        <v>0.57650000000000001</v>
      </c>
      <c r="D384">
        <v>0.53049999999999997</v>
      </c>
      <c r="E384">
        <v>0.57650000000000001</v>
      </c>
      <c r="F384">
        <v>981867.35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1</v>
      </c>
      <c r="Q384">
        <f t="shared" si="970"/>
        <v>981867.35</v>
      </c>
      <c r="R384">
        <f t="shared" si="971"/>
        <v>1588249.1613810072</v>
      </c>
      <c r="S384">
        <f t="shared" si="972"/>
        <v>15.882491613810071</v>
      </c>
      <c r="T384">
        <f t="shared" si="973"/>
        <v>1.5882491613810071E-2</v>
      </c>
    </row>
    <row r="385" spans="1:20" x14ac:dyDescent="0.25">
      <c r="A385" s="5">
        <v>44208</v>
      </c>
      <c r="B385">
        <v>0.5665</v>
      </c>
      <c r="C385">
        <v>0.58209999999999995</v>
      </c>
      <c r="D385">
        <v>0.51670000000000005</v>
      </c>
      <c r="E385">
        <v>0.5544</v>
      </c>
      <c r="F385">
        <v>1127497.1599999999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0.15290519877675876</v>
      </c>
      <c r="Q385">
        <f t="shared" si="970"/>
        <v>172400.17737003096</v>
      </c>
      <c r="R385">
        <f t="shared" si="971"/>
        <v>606381.8113810072</v>
      </c>
      <c r="S385">
        <f t="shared" si="972"/>
        <v>6.063818113810072</v>
      </c>
      <c r="T385">
        <f t="shared" si="973"/>
        <v>6.0638181138100719E-3</v>
      </c>
    </row>
    <row r="386" spans="1:20" x14ac:dyDescent="0.25">
      <c r="A386" s="5">
        <v>44207</v>
      </c>
      <c r="B386">
        <v>0.58950000000000002</v>
      </c>
      <c r="C386">
        <v>0.58950000000000002</v>
      </c>
      <c r="D386">
        <v>0.49390000000000001</v>
      </c>
      <c r="E386">
        <v>0.56189999999999996</v>
      </c>
      <c r="F386">
        <v>1195181.3700000001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0.42259414225941289</v>
      </c>
      <c r="Q386">
        <f t="shared" si="970"/>
        <v>505076.64589958003</v>
      </c>
      <c r="R386">
        <f t="shared" si="971"/>
        <v>433981.63401097624</v>
      </c>
      <c r="S386">
        <f t="shared" si="972"/>
        <v>4.3398163401097625</v>
      </c>
      <c r="T386">
        <f t="shared" si="973"/>
        <v>4.3398163401097622E-3</v>
      </c>
    </row>
    <row r="387" spans="1:20" x14ac:dyDescent="0.25">
      <c r="A387" s="5">
        <v>44206</v>
      </c>
      <c r="B387">
        <v>0.61619999999999997</v>
      </c>
      <c r="C387">
        <v>0.63900000000000001</v>
      </c>
      <c r="D387">
        <v>0.54890000000000005</v>
      </c>
      <c r="E387">
        <v>0.59319999999999995</v>
      </c>
      <c r="F387">
        <v>1014928.78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-1.6648168701444713E-2</v>
      </c>
      <c r="Q387">
        <f t="shared" si="970"/>
        <v>-16896.705549391467</v>
      </c>
      <c r="R387">
        <f t="shared" si="971"/>
        <v>-71095.011888603811</v>
      </c>
      <c r="S387">
        <f t="shared" si="972"/>
        <v>-0.7109501188860381</v>
      </c>
      <c r="T387">
        <f t="shared" si="973"/>
        <v>-7.1095011888603807E-4</v>
      </c>
    </row>
    <row r="388" spans="1:20" x14ac:dyDescent="0.25">
      <c r="A388" s="5">
        <v>44205</v>
      </c>
      <c r="B388">
        <v>0.56369999999999998</v>
      </c>
      <c r="C388">
        <v>0.63990000000000002</v>
      </c>
      <c r="D388">
        <v>0.54549999999999998</v>
      </c>
      <c r="E388">
        <v>0.62</v>
      </c>
      <c r="F388">
        <v>1259169.56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0.57838983050847415</v>
      </c>
      <c r="Q388">
        <f t="shared" si="970"/>
        <v>728290.86838982999</v>
      </c>
      <c r="R388">
        <f t="shared" si="971"/>
        <v>-54198.306339212344</v>
      </c>
      <c r="S388">
        <f t="shared" si="972"/>
        <v>-0.54198306339212343</v>
      </c>
      <c r="T388">
        <f t="shared" si="973"/>
        <v>-5.4198306339212348E-4</v>
      </c>
    </row>
    <row r="389" spans="1:20" x14ac:dyDescent="0.25">
      <c r="A389" s="5">
        <v>44204</v>
      </c>
      <c r="B389">
        <v>0.57689999999999997</v>
      </c>
      <c r="C389">
        <v>0.57999999999999996</v>
      </c>
      <c r="D389">
        <v>0.52669999999999995</v>
      </c>
      <c r="E389">
        <v>0.56100000000000005</v>
      </c>
      <c r="F389">
        <v>677556.4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0.28705440900563223</v>
      </c>
      <c r="Q389">
        <f t="shared" si="970"/>
        <v>194495.55196998376</v>
      </c>
      <c r="R389">
        <f t="shared" si="971"/>
        <v>-782489.17472904234</v>
      </c>
      <c r="S389">
        <f t="shared" si="972"/>
        <v>-7.8248917472904234</v>
      </c>
      <c r="T389">
        <f t="shared" si="973"/>
        <v>-7.8248917472904227E-3</v>
      </c>
    </row>
    <row r="390" spans="1:20" x14ac:dyDescent="0.25">
      <c r="A390" s="5">
        <v>44203</v>
      </c>
      <c r="B390">
        <v>0.57169999999999999</v>
      </c>
      <c r="C390">
        <v>0.59719999999999995</v>
      </c>
      <c r="D390">
        <v>0.53590000000000004</v>
      </c>
      <c r="E390">
        <v>0.57689999999999997</v>
      </c>
      <c r="F390">
        <v>2487899.9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0.33768352365415938</v>
      </c>
      <c r="Q390">
        <f t="shared" ref="Q390:Q453" si="975">F390*P390</f>
        <v>840122.80473083071</v>
      </c>
      <c r="R390">
        <f t="shared" ref="R390:R453" si="976">R391+Q390</f>
        <v>-976984.72669902607</v>
      </c>
      <c r="S390">
        <f t="shared" ref="S390:S453" si="977">R390/100000</f>
        <v>-9.7698472669902614</v>
      </c>
      <c r="T390">
        <f t="shared" ref="T390:T453" si="978">S390/1000</f>
        <v>-9.7698472669902614E-3</v>
      </c>
    </row>
    <row r="391" spans="1:20" x14ac:dyDescent="0.25">
      <c r="A391" s="5">
        <v>44202</v>
      </c>
      <c r="B391">
        <v>0.53990000000000005</v>
      </c>
      <c r="C391">
        <v>0.58420000000000005</v>
      </c>
      <c r="D391">
        <v>0.52449999999999997</v>
      </c>
      <c r="E391">
        <v>0.56999999999999995</v>
      </c>
      <c r="F391">
        <v>844772.01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0.52428810720267738</v>
      </c>
      <c r="Q391">
        <f t="shared" si="975"/>
        <v>442903.91814070125</v>
      </c>
      <c r="R391">
        <f t="shared" si="976"/>
        <v>-1817107.5314298568</v>
      </c>
      <c r="S391">
        <f t="shared" si="977"/>
        <v>-18.171075314298569</v>
      </c>
      <c r="T391">
        <f t="shared" si="978"/>
        <v>-1.8171075314298568E-2</v>
      </c>
    </row>
    <row r="392" spans="1:20" x14ac:dyDescent="0.25">
      <c r="A392" s="5">
        <v>44201</v>
      </c>
      <c r="B392">
        <v>0.52829999999999999</v>
      </c>
      <c r="C392">
        <v>0.54079999999999995</v>
      </c>
      <c r="D392">
        <v>0.50119999999999998</v>
      </c>
      <c r="E392">
        <v>0.54</v>
      </c>
      <c r="F392">
        <v>759328.36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0.959595959595964</v>
      </c>
      <c r="Q392">
        <f t="shared" si="975"/>
        <v>728648.42626262957</v>
      </c>
      <c r="R392">
        <f t="shared" si="976"/>
        <v>-2260011.449570558</v>
      </c>
      <c r="S392">
        <f t="shared" si="977"/>
        <v>-22.600114495705579</v>
      </c>
      <c r="T392">
        <f t="shared" si="978"/>
        <v>-2.2600114495705578E-2</v>
      </c>
    </row>
    <row r="393" spans="1:20" x14ac:dyDescent="0.25">
      <c r="A393" s="5">
        <v>44200</v>
      </c>
      <c r="B393">
        <v>0.47739999999999999</v>
      </c>
      <c r="C393">
        <v>0.55489999999999995</v>
      </c>
      <c r="D393">
        <v>0.4612</v>
      </c>
      <c r="E393">
        <v>0.53310000000000002</v>
      </c>
      <c r="F393">
        <v>1398491.71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0.53468516542155942</v>
      </c>
      <c r="Q393">
        <f t="shared" si="975"/>
        <v>747752.77130202949</v>
      </c>
      <c r="R393">
        <f t="shared" si="976"/>
        <v>-2988659.8758331877</v>
      </c>
      <c r="S393">
        <f t="shared" si="977"/>
        <v>-29.886598758331878</v>
      </c>
      <c r="T393">
        <f t="shared" si="978"/>
        <v>-2.9886598758331877E-2</v>
      </c>
    </row>
    <row r="394" spans="1:20" x14ac:dyDescent="0.25">
      <c r="A394" s="5">
        <v>44199</v>
      </c>
      <c r="B394">
        <v>0.47270000000000001</v>
      </c>
      <c r="C394">
        <v>0.496</v>
      </c>
      <c r="D394">
        <v>0.45800000000000002</v>
      </c>
      <c r="E394">
        <v>0.4803</v>
      </c>
      <c r="F394">
        <v>768449.61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0.17368421052631575</v>
      </c>
      <c r="Q394">
        <f t="shared" si="975"/>
        <v>133467.56384210521</v>
      </c>
      <c r="R394">
        <f t="shared" si="976"/>
        <v>-3736412.6471352172</v>
      </c>
      <c r="S394">
        <f t="shared" si="977"/>
        <v>-37.364126471352172</v>
      </c>
      <c r="T394">
        <f t="shared" si="978"/>
        <v>-3.736412647135217E-2</v>
      </c>
    </row>
    <row r="395" spans="1:20" x14ac:dyDescent="0.25">
      <c r="A395" s="5">
        <v>44198</v>
      </c>
      <c r="B395">
        <v>0.49930000000000002</v>
      </c>
      <c r="C395">
        <v>0.49990000000000001</v>
      </c>
      <c r="D395">
        <v>0.45810000000000001</v>
      </c>
      <c r="E395">
        <v>0.47399999999999998</v>
      </c>
      <c r="F395">
        <v>491586.51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-0.23923444976076708</v>
      </c>
      <c r="Q395">
        <f t="shared" si="975"/>
        <v>-117604.42822966582</v>
      </c>
      <c r="R395">
        <f t="shared" si="976"/>
        <v>-3869880.2109773224</v>
      </c>
      <c r="S395">
        <f t="shared" si="977"/>
        <v>-38.698802109773226</v>
      </c>
      <c r="T395">
        <f t="shared" si="978"/>
        <v>-3.8698802109773223E-2</v>
      </c>
    </row>
    <row r="396" spans="1:20" x14ac:dyDescent="0.25">
      <c r="A396" s="5">
        <v>44197</v>
      </c>
      <c r="B396">
        <v>0.51319999999999999</v>
      </c>
      <c r="C396">
        <v>0.52310000000000001</v>
      </c>
      <c r="D396">
        <v>0.49280000000000002</v>
      </c>
      <c r="E396">
        <v>0.50080000000000002</v>
      </c>
      <c r="F396">
        <v>335159.77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-0.47194719471947139</v>
      </c>
      <c r="Q396">
        <f t="shared" si="975"/>
        <v>-158177.71323432325</v>
      </c>
      <c r="R396">
        <f t="shared" si="976"/>
        <v>-3752275.7827476566</v>
      </c>
      <c r="S396">
        <f t="shared" si="977"/>
        <v>-37.522757827476568</v>
      </c>
      <c r="T396">
        <f t="shared" si="978"/>
        <v>-3.752275782747657E-2</v>
      </c>
    </row>
    <row r="397" spans="1:20" x14ac:dyDescent="0.25">
      <c r="A397" s="5">
        <v>44196</v>
      </c>
      <c r="B397">
        <v>0.52470000000000006</v>
      </c>
      <c r="C397">
        <v>0.52829999999999999</v>
      </c>
      <c r="D397">
        <v>0.49559999999999998</v>
      </c>
      <c r="E397">
        <v>0.51370000000000005</v>
      </c>
      <c r="F397">
        <v>161812.92000000001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0.10703363914373436</v>
      </c>
      <c r="Q397">
        <f t="shared" si="975"/>
        <v>17319.425688073956</v>
      </c>
      <c r="R397">
        <f t="shared" si="976"/>
        <v>-3594098.0695133335</v>
      </c>
      <c r="S397">
        <f t="shared" si="977"/>
        <v>-35.940980695133334</v>
      </c>
      <c r="T397">
        <f t="shared" si="978"/>
        <v>-3.5940980695133337E-2</v>
      </c>
    </row>
    <row r="398" spans="1:20" x14ac:dyDescent="0.25">
      <c r="A398" s="5">
        <v>44195</v>
      </c>
      <c r="B398">
        <v>0.53049999999999997</v>
      </c>
      <c r="C398">
        <v>0.54569999999999996</v>
      </c>
      <c r="D398">
        <v>0.51800000000000002</v>
      </c>
      <c r="E398">
        <v>0.52259999999999995</v>
      </c>
      <c r="F398">
        <v>273179.46999999997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-0.66787003610108686</v>
      </c>
      <c r="Q398">
        <f t="shared" si="975"/>
        <v>-182448.38249097575</v>
      </c>
      <c r="R398">
        <f t="shared" si="976"/>
        <v>-3611417.4952014075</v>
      </c>
      <c r="S398">
        <f t="shared" si="977"/>
        <v>-36.114174952014075</v>
      </c>
      <c r="T398">
        <f t="shared" si="978"/>
        <v>-3.6114174952014078E-2</v>
      </c>
    </row>
    <row r="399" spans="1:20" x14ac:dyDescent="0.25">
      <c r="A399" s="5">
        <v>44194</v>
      </c>
      <c r="B399">
        <v>0.53339999999999999</v>
      </c>
      <c r="C399">
        <v>0.53790000000000004</v>
      </c>
      <c r="D399">
        <v>0.50560000000000005</v>
      </c>
      <c r="E399">
        <v>0.53049999999999997</v>
      </c>
      <c r="F399">
        <v>264769.49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0.5417956656346703</v>
      </c>
      <c r="Q399">
        <f t="shared" si="975"/>
        <v>143450.96207430217</v>
      </c>
      <c r="R399">
        <f t="shared" si="976"/>
        <v>-3428969.1127104317</v>
      </c>
      <c r="S399">
        <f t="shared" si="977"/>
        <v>-34.289691127104319</v>
      </c>
      <c r="T399">
        <f t="shared" si="978"/>
        <v>-3.4289691127104317E-2</v>
      </c>
    </row>
    <row r="400" spans="1:20" x14ac:dyDescent="0.25">
      <c r="A400" s="5">
        <v>44193</v>
      </c>
      <c r="B400">
        <v>0.52610000000000001</v>
      </c>
      <c r="C400">
        <v>0.55310000000000004</v>
      </c>
      <c r="D400">
        <v>0.52259999999999995</v>
      </c>
      <c r="E400">
        <v>0.53339999999999999</v>
      </c>
      <c r="F400">
        <v>269101.15000000002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-0.2918032786885244</v>
      </c>
      <c r="Q400">
        <f t="shared" si="975"/>
        <v>-78524.597868852419</v>
      </c>
      <c r="R400">
        <f t="shared" si="976"/>
        <v>-3572420.0747847338</v>
      </c>
      <c r="S400">
        <f t="shared" si="977"/>
        <v>-35.724200747847341</v>
      </c>
      <c r="T400">
        <f t="shared" si="978"/>
        <v>-3.5724200747847344E-2</v>
      </c>
    </row>
    <row r="401" spans="1:20" x14ac:dyDescent="0.25">
      <c r="A401" s="5">
        <v>44192</v>
      </c>
      <c r="B401">
        <v>0.52159999999999995</v>
      </c>
      <c r="C401">
        <v>0.55869999999999997</v>
      </c>
      <c r="D401">
        <v>0.50419999999999998</v>
      </c>
      <c r="E401">
        <v>0.52649999999999997</v>
      </c>
      <c r="F401">
        <v>379261.48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-0.18165137614678939</v>
      </c>
      <c r="Q401">
        <f t="shared" si="975"/>
        <v>-68893.369761468042</v>
      </c>
      <c r="R401">
        <f t="shared" si="976"/>
        <v>-3493895.4769158815</v>
      </c>
      <c r="S401">
        <f t="shared" si="977"/>
        <v>-34.938954769158812</v>
      </c>
      <c r="T401">
        <f t="shared" si="978"/>
        <v>-3.4938954769158814E-2</v>
      </c>
    </row>
    <row r="402" spans="1:20" x14ac:dyDescent="0.25">
      <c r="A402" s="5">
        <v>44191</v>
      </c>
      <c r="B402">
        <v>0.52869999999999995</v>
      </c>
      <c r="C402">
        <v>0.53810000000000002</v>
      </c>
      <c r="D402">
        <v>0.50570000000000004</v>
      </c>
      <c r="E402">
        <v>0.51949999999999996</v>
      </c>
      <c r="F402">
        <v>218057.01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-0.14814814814815247</v>
      </c>
      <c r="Q402">
        <f t="shared" si="975"/>
        <v>-32304.742222223165</v>
      </c>
      <c r="R402">
        <f t="shared" si="976"/>
        <v>-3425002.1071544136</v>
      </c>
      <c r="S402">
        <f t="shared" si="977"/>
        <v>-34.250021071544133</v>
      </c>
      <c r="T402">
        <f t="shared" si="978"/>
        <v>-3.425002107154413E-2</v>
      </c>
    </row>
    <row r="403" spans="1:20" x14ac:dyDescent="0.25">
      <c r="A403" s="5">
        <v>44190</v>
      </c>
      <c r="B403">
        <v>0.52939999999999998</v>
      </c>
      <c r="C403">
        <v>0.54869999999999997</v>
      </c>
      <c r="D403">
        <v>0.51910000000000001</v>
      </c>
      <c r="E403">
        <v>0.53110000000000002</v>
      </c>
      <c r="F403">
        <v>208057.2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-0.18918918918918737</v>
      </c>
      <c r="Q403">
        <f t="shared" si="975"/>
        <v>-39362.172972972599</v>
      </c>
      <c r="R403">
        <f t="shared" si="976"/>
        <v>-3392697.3649321906</v>
      </c>
      <c r="S403">
        <f t="shared" si="977"/>
        <v>-33.926973649321909</v>
      </c>
      <c r="T403">
        <f t="shared" si="978"/>
        <v>-3.3926973649321908E-2</v>
      </c>
    </row>
    <row r="404" spans="1:20" x14ac:dyDescent="0.25">
      <c r="A404" s="5">
        <v>44189</v>
      </c>
      <c r="B404">
        <v>0.49230000000000002</v>
      </c>
      <c r="C404">
        <v>0.52949999999999997</v>
      </c>
      <c r="D404">
        <v>0.48399999999999999</v>
      </c>
      <c r="E404">
        <v>0.52629999999999999</v>
      </c>
      <c r="F404">
        <v>179566.39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0.85934065934066017</v>
      </c>
      <c r="Q404">
        <f t="shared" si="975"/>
        <v>154308.69997802214</v>
      </c>
      <c r="R404">
        <f t="shared" si="976"/>
        <v>-3353335.1919592181</v>
      </c>
      <c r="S404">
        <f t="shared" si="977"/>
        <v>-33.533351919592178</v>
      </c>
      <c r="T404">
        <f t="shared" si="978"/>
        <v>-3.3533351919592176E-2</v>
      </c>
    </row>
    <row r="405" spans="1:20" x14ac:dyDescent="0.25">
      <c r="A405" s="5">
        <v>44188</v>
      </c>
      <c r="B405">
        <v>0.56789999999999996</v>
      </c>
      <c r="C405">
        <v>0.56789999999999996</v>
      </c>
      <c r="D405">
        <v>0.47699999999999998</v>
      </c>
      <c r="E405">
        <v>0.49230000000000002</v>
      </c>
      <c r="F405">
        <v>295112.28000000003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-0.66336633663366251</v>
      </c>
      <c r="Q405">
        <f t="shared" si="975"/>
        <v>-195767.5520792077</v>
      </c>
      <c r="R405">
        <f t="shared" si="976"/>
        <v>-3507643.8919372405</v>
      </c>
      <c r="S405">
        <f t="shared" si="977"/>
        <v>-35.076438919372407</v>
      </c>
      <c r="T405">
        <f t="shared" si="978"/>
        <v>-3.5076438919372406E-2</v>
      </c>
    </row>
    <row r="406" spans="1:20" x14ac:dyDescent="0.25">
      <c r="A406" s="5">
        <v>44187</v>
      </c>
      <c r="B406">
        <v>0.57010000000000005</v>
      </c>
      <c r="C406">
        <v>0.57999999999999996</v>
      </c>
      <c r="D406">
        <v>0.54300000000000004</v>
      </c>
      <c r="E406">
        <v>0.56479999999999997</v>
      </c>
      <c r="F406">
        <v>333416.05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0.17837837837837711</v>
      </c>
      <c r="Q406">
        <f t="shared" si="975"/>
        <v>59474.214324323897</v>
      </c>
      <c r="R406">
        <f t="shared" si="976"/>
        <v>-3311876.3398580328</v>
      </c>
      <c r="S406">
        <f t="shared" si="977"/>
        <v>-33.118763398580327</v>
      </c>
      <c r="T406">
        <f t="shared" si="978"/>
        <v>-3.3118763398580324E-2</v>
      </c>
    </row>
    <row r="407" spans="1:20" x14ac:dyDescent="0.25">
      <c r="A407" s="5">
        <v>44186</v>
      </c>
      <c r="B407">
        <v>0.58050000000000002</v>
      </c>
      <c r="C407">
        <v>0.5917</v>
      </c>
      <c r="D407">
        <v>0.54059999999999997</v>
      </c>
      <c r="E407">
        <v>0.56999999999999995</v>
      </c>
      <c r="F407">
        <v>376606.27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0.15068493150684784</v>
      </c>
      <c r="Q407">
        <f t="shared" si="975"/>
        <v>56748.889999999446</v>
      </c>
      <c r="R407">
        <f t="shared" si="976"/>
        <v>-3371350.5541823567</v>
      </c>
      <c r="S407">
        <f t="shared" si="977"/>
        <v>-33.713505541823565</v>
      </c>
      <c r="T407">
        <f t="shared" si="978"/>
        <v>-3.3713505541823563E-2</v>
      </c>
    </row>
    <row r="408" spans="1:20" x14ac:dyDescent="0.25">
      <c r="A408" s="5">
        <v>44185</v>
      </c>
      <c r="B408">
        <v>0.61370000000000002</v>
      </c>
      <c r="C408">
        <v>0.61639999999999995</v>
      </c>
      <c r="D408">
        <v>0.5696</v>
      </c>
      <c r="E408">
        <v>0.57979999999999998</v>
      </c>
      <c r="F408">
        <v>345821.58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-0.56410256410256421</v>
      </c>
      <c r="Q408">
        <f t="shared" si="975"/>
        <v>-195078.84000000005</v>
      </c>
      <c r="R408">
        <f t="shared" si="976"/>
        <v>-3428099.4441823564</v>
      </c>
      <c r="S408">
        <f t="shared" si="977"/>
        <v>-34.280994441823566</v>
      </c>
      <c r="T408">
        <f t="shared" si="978"/>
        <v>-3.4280994441823566E-2</v>
      </c>
    </row>
    <row r="409" spans="1:20" x14ac:dyDescent="0.25">
      <c r="A409" s="5">
        <v>44184</v>
      </c>
      <c r="B409">
        <v>0.58650000000000002</v>
      </c>
      <c r="C409">
        <v>0.68100000000000005</v>
      </c>
      <c r="D409">
        <v>0.57850000000000001</v>
      </c>
      <c r="E409">
        <v>0.61680000000000001</v>
      </c>
      <c r="F409">
        <v>1475885.49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-0.25268292682926852</v>
      </c>
      <c r="Q409">
        <f t="shared" si="975"/>
        <v>-372931.06527804909</v>
      </c>
      <c r="R409">
        <f t="shared" si="976"/>
        <v>-3233020.6041823565</v>
      </c>
      <c r="S409">
        <f t="shared" si="977"/>
        <v>-32.330206041823565</v>
      </c>
      <c r="T409">
        <f t="shared" si="978"/>
        <v>-3.2330206041823566E-2</v>
      </c>
    </row>
    <row r="410" spans="1:20" x14ac:dyDescent="0.25">
      <c r="A410" s="5">
        <v>44183</v>
      </c>
      <c r="B410">
        <v>0.54879999999999995</v>
      </c>
      <c r="C410">
        <v>0.67820000000000003</v>
      </c>
      <c r="D410">
        <v>0.53859999999999997</v>
      </c>
      <c r="E410">
        <v>0.5867</v>
      </c>
      <c r="F410">
        <v>1975656.08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-0.31088825214899696</v>
      </c>
      <c r="Q410">
        <f t="shared" si="975"/>
        <v>-614208.26555873896</v>
      </c>
      <c r="R410">
        <f t="shared" si="976"/>
        <v>-2860089.5389043074</v>
      </c>
      <c r="S410">
        <f t="shared" si="977"/>
        <v>-28.600895389043075</v>
      </c>
      <c r="T410">
        <f t="shared" si="978"/>
        <v>-2.8600895389043073E-2</v>
      </c>
    </row>
    <row r="411" spans="1:20" x14ac:dyDescent="0.25">
      <c r="A411" s="5">
        <v>44182</v>
      </c>
      <c r="B411">
        <v>0.55900000000000005</v>
      </c>
      <c r="C411">
        <v>0.56979999999999997</v>
      </c>
      <c r="D411">
        <v>0.52480000000000004</v>
      </c>
      <c r="E411">
        <v>0.54890000000000005</v>
      </c>
      <c r="F411">
        <v>570365.26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7.1111111111113262E-2</v>
      </c>
      <c r="Q411">
        <f t="shared" si="975"/>
        <v>40559.307377779005</v>
      </c>
      <c r="R411">
        <f t="shared" si="976"/>
        <v>-2245881.2733455687</v>
      </c>
      <c r="S411">
        <f t="shared" si="977"/>
        <v>-22.458812733455687</v>
      </c>
      <c r="T411">
        <f t="shared" si="978"/>
        <v>-2.2458812733455687E-2</v>
      </c>
    </row>
    <row r="412" spans="1:20" x14ac:dyDescent="0.25">
      <c r="A412" s="5">
        <v>44181</v>
      </c>
      <c r="B412">
        <v>0.54510000000000003</v>
      </c>
      <c r="C412">
        <v>0.56489999999999996</v>
      </c>
      <c r="D412">
        <v>0.52610000000000001</v>
      </c>
      <c r="E412">
        <v>0.55900000000000005</v>
      </c>
      <c r="F412">
        <v>309645.46999999997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0.69587628865979823</v>
      </c>
      <c r="Q412">
        <f t="shared" si="975"/>
        <v>215474.94046391887</v>
      </c>
      <c r="R412">
        <f t="shared" si="976"/>
        <v>-2286440.5807233476</v>
      </c>
      <c r="S412">
        <f t="shared" si="977"/>
        <v>-22.864405807233474</v>
      </c>
      <c r="T412">
        <f t="shared" si="978"/>
        <v>-2.2864405807233475E-2</v>
      </c>
    </row>
    <row r="413" spans="1:20" x14ac:dyDescent="0.25">
      <c r="A413" s="5">
        <v>44180</v>
      </c>
      <c r="B413">
        <v>0.5514</v>
      </c>
      <c r="C413">
        <v>0.55489999999999995</v>
      </c>
      <c r="D413">
        <v>0.53410000000000002</v>
      </c>
      <c r="E413">
        <v>0.54720000000000002</v>
      </c>
      <c r="F413">
        <v>178303.16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0.25961538461538891</v>
      </c>
      <c r="Q413">
        <f t="shared" si="975"/>
        <v>46290.243461539227</v>
      </c>
      <c r="R413">
        <f t="shared" si="976"/>
        <v>-2501915.5211872663</v>
      </c>
      <c r="S413">
        <f t="shared" si="977"/>
        <v>-25.019155211872665</v>
      </c>
      <c r="T413">
        <f t="shared" si="978"/>
        <v>-2.5019155211872666E-2</v>
      </c>
    </row>
    <row r="414" spans="1:20" x14ac:dyDescent="0.25">
      <c r="A414" s="5">
        <v>44179</v>
      </c>
      <c r="B414">
        <v>0.54959999999999998</v>
      </c>
      <c r="C414">
        <v>0.55700000000000005</v>
      </c>
      <c r="D414">
        <v>0.53649999999999998</v>
      </c>
      <c r="E414">
        <v>0.5514</v>
      </c>
      <c r="F414">
        <v>286851.61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0.45365853658536298</v>
      </c>
      <c r="Q414">
        <f t="shared" si="975"/>
        <v>130132.68160975527</v>
      </c>
      <c r="R414">
        <f t="shared" si="976"/>
        <v>-2548205.7646488054</v>
      </c>
      <c r="S414">
        <f t="shared" si="977"/>
        <v>-25.482057646488055</v>
      </c>
      <c r="T414">
        <f t="shared" si="978"/>
        <v>-2.5482057646488056E-2</v>
      </c>
    </row>
    <row r="415" spans="1:20" x14ac:dyDescent="0.25">
      <c r="A415" s="5">
        <v>44178</v>
      </c>
      <c r="B415">
        <v>0.5494</v>
      </c>
      <c r="C415">
        <v>0.59</v>
      </c>
      <c r="D415">
        <v>0.54239999999999999</v>
      </c>
      <c r="E415">
        <v>0.55259999999999998</v>
      </c>
      <c r="F415">
        <v>965316.63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-0.57142857142857173</v>
      </c>
      <c r="Q415">
        <f t="shared" si="975"/>
        <v>-551609.50285714318</v>
      </c>
      <c r="R415">
        <f t="shared" si="976"/>
        <v>-2678338.4462585608</v>
      </c>
      <c r="S415">
        <f t="shared" si="977"/>
        <v>-26.783384462585609</v>
      </c>
      <c r="T415">
        <f t="shared" si="978"/>
        <v>-2.6783384462585609E-2</v>
      </c>
    </row>
    <row r="416" spans="1:20" x14ac:dyDescent="0.25">
      <c r="A416" s="5">
        <v>44177</v>
      </c>
      <c r="B416">
        <v>0.5101</v>
      </c>
      <c r="C416">
        <v>0.57699999999999996</v>
      </c>
      <c r="D416">
        <v>0.50719999999999998</v>
      </c>
      <c r="E416">
        <v>0.54910000000000003</v>
      </c>
      <c r="F416">
        <v>1126097.74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0.20057306590258064</v>
      </c>
      <c r="Q416">
        <f t="shared" si="975"/>
        <v>225864.87621776713</v>
      </c>
      <c r="R416">
        <f t="shared" si="976"/>
        <v>-2126728.9434014177</v>
      </c>
      <c r="S416">
        <f t="shared" si="977"/>
        <v>-21.267289434014177</v>
      </c>
      <c r="T416">
        <f t="shared" si="978"/>
        <v>-2.1267289434014177E-2</v>
      </c>
    </row>
    <row r="417" spans="1:20" x14ac:dyDescent="0.25">
      <c r="A417" s="5">
        <v>44176</v>
      </c>
      <c r="B417">
        <v>0.52629999999999999</v>
      </c>
      <c r="C417">
        <v>0.53010000000000002</v>
      </c>
      <c r="D417">
        <v>0.4945</v>
      </c>
      <c r="E417">
        <v>0.5101</v>
      </c>
      <c r="F417">
        <v>256896.45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-0.12359550561797787</v>
      </c>
      <c r="Q417">
        <f t="shared" si="975"/>
        <v>-31751.246629213572</v>
      </c>
      <c r="R417">
        <f t="shared" si="976"/>
        <v>-2352593.8196191848</v>
      </c>
      <c r="S417">
        <f t="shared" si="977"/>
        <v>-23.525938196191849</v>
      </c>
      <c r="T417">
        <f t="shared" si="978"/>
        <v>-2.3525938196191847E-2</v>
      </c>
    </row>
    <row r="418" spans="1:20" x14ac:dyDescent="0.25">
      <c r="A418" s="5">
        <v>44175</v>
      </c>
      <c r="B418">
        <v>0.54590000000000005</v>
      </c>
      <c r="C418">
        <v>0.54590000000000005</v>
      </c>
      <c r="D418">
        <v>0.51359999999999995</v>
      </c>
      <c r="E418">
        <v>0.52629999999999999</v>
      </c>
      <c r="F418">
        <v>96600.79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-0.21362229102167166</v>
      </c>
      <c r="Q418">
        <f t="shared" si="975"/>
        <v>-20636.082074303387</v>
      </c>
      <c r="R418">
        <f t="shared" si="976"/>
        <v>-2320842.5729899714</v>
      </c>
      <c r="S418">
        <f t="shared" si="977"/>
        <v>-23.208425729899712</v>
      </c>
      <c r="T418">
        <f t="shared" si="978"/>
        <v>-2.3208425729899711E-2</v>
      </c>
    </row>
    <row r="419" spans="1:20" x14ac:dyDescent="0.25">
      <c r="A419" s="5">
        <v>44174</v>
      </c>
      <c r="B419">
        <v>0.5484</v>
      </c>
      <c r="C419">
        <v>0.55000000000000004</v>
      </c>
      <c r="D419">
        <v>0.50790000000000002</v>
      </c>
      <c r="E419">
        <v>0.54590000000000005</v>
      </c>
      <c r="F419">
        <v>255693.13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0.80522565320665129</v>
      </c>
      <c r="Q419">
        <f t="shared" si="975"/>
        <v>205890.6676247032</v>
      </c>
      <c r="R419">
        <f t="shared" si="976"/>
        <v>-2300206.4909156682</v>
      </c>
      <c r="S419">
        <f t="shared" si="977"/>
        <v>-23.002064909156683</v>
      </c>
      <c r="T419">
        <f t="shared" si="978"/>
        <v>-2.3002064909156683E-2</v>
      </c>
    </row>
    <row r="420" spans="1:20" x14ac:dyDescent="0.25">
      <c r="A420" s="5">
        <v>44173</v>
      </c>
      <c r="B420">
        <v>0.57999999999999996</v>
      </c>
      <c r="C420">
        <v>0.60240000000000005</v>
      </c>
      <c r="D420">
        <v>0.54300000000000004</v>
      </c>
      <c r="E420">
        <v>0.55100000000000005</v>
      </c>
      <c r="F420">
        <v>338924.43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-0.73063973063973042</v>
      </c>
      <c r="Q420">
        <f t="shared" si="975"/>
        <v>-247631.65424242418</v>
      </c>
      <c r="R420">
        <f t="shared" si="976"/>
        <v>-2506097.1585403713</v>
      </c>
      <c r="S420">
        <f t="shared" si="977"/>
        <v>-25.060971585403713</v>
      </c>
      <c r="T420">
        <f t="shared" si="978"/>
        <v>-2.5060971585403713E-2</v>
      </c>
    </row>
    <row r="421" spans="1:20" x14ac:dyDescent="0.25">
      <c r="A421" s="5">
        <v>44172</v>
      </c>
      <c r="B421">
        <v>0.57279999999999998</v>
      </c>
      <c r="C421">
        <v>0.5887</v>
      </c>
      <c r="D421">
        <v>0.56299999999999994</v>
      </c>
      <c r="E421">
        <v>0.57999999999999996</v>
      </c>
      <c r="F421">
        <v>287976.52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0.32295719844357806</v>
      </c>
      <c r="Q421">
        <f t="shared" si="975"/>
        <v>93004.090116731037</v>
      </c>
      <c r="R421">
        <f t="shared" si="976"/>
        <v>-2258465.504297947</v>
      </c>
      <c r="S421">
        <f t="shared" si="977"/>
        <v>-22.58465504297947</v>
      </c>
      <c r="T421">
        <f t="shared" si="978"/>
        <v>-2.2584655042979469E-2</v>
      </c>
    </row>
    <row r="422" spans="1:20" x14ac:dyDescent="0.25">
      <c r="A422" s="5">
        <v>44171</v>
      </c>
      <c r="B422">
        <v>0.58130000000000004</v>
      </c>
      <c r="C422">
        <v>0.58440000000000003</v>
      </c>
      <c r="D422">
        <v>0.56020000000000003</v>
      </c>
      <c r="E422">
        <v>0.57279999999999998</v>
      </c>
      <c r="F422">
        <v>112027.53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4.1322314049582226E-2</v>
      </c>
      <c r="Q422">
        <f t="shared" si="975"/>
        <v>4629.2367768589938</v>
      </c>
      <c r="R422">
        <f t="shared" si="976"/>
        <v>-2351469.5944146779</v>
      </c>
      <c r="S422">
        <f t="shared" si="977"/>
        <v>-23.51469594414678</v>
      </c>
      <c r="T422">
        <f t="shared" si="978"/>
        <v>-2.351469594414678E-2</v>
      </c>
    </row>
    <row r="423" spans="1:20" x14ac:dyDescent="0.25">
      <c r="A423" s="5">
        <v>44170</v>
      </c>
      <c r="B423">
        <v>0.55000000000000004</v>
      </c>
      <c r="C423">
        <v>0.58130000000000004</v>
      </c>
      <c r="D423">
        <v>0.54469999999999996</v>
      </c>
      <c r="E423">
        <v>0.58130000000000004</v>
      </c>
      <c r="F423">
        <v>201719.86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1</v>
      </c>
      <c r="Q423">
        <f t="shared" si="975"/>
        <v>201719.86</v>
      </c>
      <c r="R423">
        <f t="shared" si="976"/>
        <v>-2356098.831191537</v>
      </c>
      <c r="S423">
        <f t="shared" si="977"/>
        <v>-23.56098831191537</v>
      </c>
      <c r="T423">
        <f t="shared" si="978"/>
        <v>-2.356098831191537E-2</v>
      </c>
    </row>
    <row r="424" spans="1:20" x14ac:dyDescent="0.25">
      <c r="A424" s="5">
        <v>44169</v>
      </c>
      <c r="B424">
        <v>0.60489999999999999</v>
      </c>
      <c r="C424">
        <v>0.62129999999999996</v>
      </c>
      <c r="D424">
        <v>0.54649999999999999</v>
      </c>
      <c r="E424">
        <v>0.55459999999999998</v>
      </c>
      <c r="F424">
        <v>462491.42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-0.78342245989304815</v>
      </c>
      <c r="Q424">
        <f t="shared" si="975"/>
        <v>-362326.16593582887</v>
      </c>
      <c r="R424">
        <f t="shared" si="976"/>
        <v>-2557818.6911915368</v>
      </c>
      <c r="S424">
        <f t="shared" si="977"/>
        <v>-25.578186911915367</v>
      </c>
      <c r="T424">
        <f t="shared" si="978"/>
        <v>-2.5578186911915365E-2</v>
      </c>
    </row>
    <row r="425" spans="1:20" x14ac:dyDescent="0.25">
      <c r="A425" s="5">
        <v>44168</v>
      </c>
      <c r="B425">
        <v>0.61199999999999999</v>
      </c>
      <c r="C425">
        <v>0.64600000000000002</v>
      </c>
      <c r="D425">
        <v>0.59179999999999999</v>
      </c>
      <c r="E425">
        <v>0.60489999999999999</v>
      </c>
      <c r="F425">
        <v>381014.77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-0.51660516605166074</v>
      </c>
      <c r="Q425">
        <f t="shared" si="975"/>
        <v>-196834.19852398534</v>
      </c>
      <c r="R425">
        <f t="shared" si="976"/>
        <v>-2195492.525255708</v>
      </c>
      <c r="S425">
        <f t="shared" si="977"/>
        <v>-21.954925252557079</v>
      </c>
      <c r="T425">
        <f t="shared" si="978"/>
        <v>-2.195492525255708E-2</v>
      </c>
    </row>
    <row r="426" spans="1:20" x14ac:dyDescent="0.25">
      <c r="A426" s="5">
        <v>44167</v>
      </c>
      <c r="B426">
        <v>0.57520000000000004</v>
      </c>
      <c r="C426">
        <v>0.61919999999999997</v>
      </c>
      <c r="D426">
        <v>0.57010000000000005</v>
      </c>
      <c r="E426">
        <v>0.60960000000000003</v>
      </c>
      <c r="F426">
        <v>435201.24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0.60896130346232358</v>
      </c>
      <c r="Q426">
        <f t="shared" si="975"/>
        <v>265020.71437881951</v>
      </c>
      <c r="R426">
        <f t="shared" si="976"/>
        <v>-1998658.3267317226</v>
      </c>
      <c r="S426">
        <f t="shared" si="977"/>
        <v>-19.986583267317226</v>
      </c>
      <c r="T426">
        <f t="shared" si="978"/>
        <v>-1.9986583267317226E-2</v>
      </c>
    </row>
    <row r="427" spans="1:20" x14ac:dyDescent="0.25">
      <c r="A427" s="5">
        <v>44166</v>
      </c>
      <c r="B427">
        <v>0.59309999999999996</v>
      </c>
      <c r="C427">
        <v>0.6048</v>
      </c>
      <c r="D427">
        <v>0.54149999999999998</v>
      </c>
      <c r="E427">
        <v>0.57999999999999996</v>
      </c>
      <c r="F427">
        <v>514614.65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0.21642969984202101</v>
      </c>
      <c r="Q427">
        <f t="shared" si="975"/>
        <v>111377.8942338067</v>
      </c>
      <c r="R427">
        <f t="shared" si="976"/>
        <v>-2263679.0411105421</v>
      </c>
      <c r="S427">
        <f t="shared" si="977"/>
        <v>-22.636790411105423</v>
      </c>
      <c r="T427">
        <f t="shared" si="978"/>
        <v>-2.2636790411105424E-2</v>
      </c>
    </row>
    <row r="428" spans="1:20" x14ac:dyDescent="0.25">
      <c r="A428" s="5">
        <v>44165</v>
      </c>
      <c r="B428">
        <v>0.57669999999999999</v>
      </c>
      <c r="C428">
        <v>0.59309999999999996</v>
      </c>
      <c r="D428">
        <v>0.55589999999999995</v>
      </c>
      <c r="E428">
        <v>0.58989999999999998</v>
      </c>
      <c r="F428">
        <v>321986.06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0.82795698924731287</v>
      </c>
      <c r="Q428">
        <f t="shared" si="975"/>
        <v>266590.60881720466</v>
      </c>
      <c r="R428">
        <f t="shared" si="976"/>
        <v>-2375056.9353443487</v>
      </c>
      <c r="S428">
        <f t="shared" si="977"/>
        <v>-23.750569353443488</v>
      </c>
      <c r="T428">
        <f t="shared" si="978"/>
        <v>-2.3750569353443489E-2</v>
      </c>
    </row>
    <row r="429" spans="1:20" x14ac:dyDescent="0.25">
      <c r="A429" s="5">
        <v>44164</v>
      </c>
      <c r="B429">
        <v>0.57940000000000003</v>
      </c>
      <c r="C429">
        <v>0.59</v>
      </c>
      <c r="D429">
        <v>0.55869999999999997</v>
      </c>
      <c r="E429">
        <v>0.57299999999999995</v>
      </c>
      <c r="F429">
        <v>302396.46999999997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-8.6261980830672089E-2</v>
      </c>
      <c r="Q429">
        <f t="shared" si="975"/>
        <v>-26085.318498402907</v>
      </c>
      <c r="R429">
        <f t="shared" si="976"/>
        <v>-2641647.5441615535</v>
      </c>
      <c r="S429">
        <f t="shared" si="977"/>
        <v>-26.416475441615535</v>
      </c>
      <c r="T429">
        <f t="shared" si="978"/>
        <v>-2.6416475441615534E-2</v>
      </c>
    </row>
    <row r="430" spans="1:20" x14ac:dyDescent="0.25">
      <c r="A430" s="5">
        <v>44163</v>
      </c>
      <c r="B430">
        <v>0.54410000000000003</v>
      </c>
      <c r="C430">
        <v>0.62170000000000003</v>
      </c>
      <c r="D430">
        <v>0.53580000000000005</v>
      </c>
      <c r="E430">
        <v>0.57940000000000003</v>
      </c>
      <c r="F430">
        <v>1003241.76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1.5133876600698117E-2</v>
      </c>
      <c r="Q430">
        <f t="shared" si="975"/>
        <v>15182.936996507196</v>
      </c>
      <c r="R430">
        <f t="shared" si="976"/>
        <v>-2615562.2256631507</v>
      </c>
      <c r="S430">
        <f t="shared" si="977"/>
        <v>-26.155622256631506</v>
      </c>
      <c r="T430">
        <f t="shared" si="978"/>
        <v>-2.6155622256631508E-2</v>
      </c>
    </row>
    <row r="431" spans="1:20" x14ac:dyDescent="0.25">
      <c r="A431" s="5">
        <v>44162</v>
      </c>
      <c r="B431">
        <v>0.53310000000000002</v>
      </c>
      <c r="C431">
        <v>0.5665</v>
      </c>
      <c r="D431">
        <v>0.50070000000000003</v>
      </c>
      <c r="E431">
        <v>0.5413</v>
      </c>
      <c r="F431">
        <v>401277.78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0.23404255319148901</v>
      </c>
      <c r="Q431">
        <f t="shared" si="975"/>
        <v>93916.076170212633</v>
      </c>
      <c r="R431">
        <f t="shared" si="976"/>
        <v>-2630745.1626596577</v>
      </c>
      <c r="S431">
        <f t="shared" si="977"/>
        <v>-26.307451626596578</v>
      </c>
      <c r="T431">
        <f t="shared" si="978"/>
        <v>-2.6307451626596579E-2</v>
      </c>
    </row>
    <row r="432" spans="1:20" x14ac:dyDescent="0.25">
      <c r="A432" s="5">
        <v>44161</v>
      </c>
      <c r="B432">
        <v>0.59870000000000001</v>
      </c>
      <c r="C432">
        <v>0.63239999999999996</v>
      </c>
      <c r="D432">
        <v>0.48970000000000002</v>
      </c>
      <c r="E432">
        <v>0.52739999999999998</v>
      </c>
      <c r="F432">
        <v>758436.2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-0.47161878065872498</v>
      </c>
      <c r="Q432">
        <f t="shared" si="975"/>
        <v>-357692.75585143687</v>
      </c>
      <c r="R432">
        <f t="shared" si="976"/>
        <v>-2724661.2388298702</v>
      </c>
      <c r="S432">
        <f t="shared" si="977"/>
        <v>-27.246612388298704</v>
      </c>
      <c r="T432">
        <f t="shared" si="978"/>
        <v>-2.7246612388298706E-2</v>
      </c>
    </row>
    <row r="433" spans="1:20" x14ac:dyDescent="0.25">
      <c r="A433" s="5">
        <v>44160</v>
      </c>
      <c r="B433">
        <v>0.62509999999999999</v>
      </c>
      <c r="C433">
        <v>0.72740000000000005</v>
      </c>
      <c r="D433">
        <v>0.56879999999999997</v>
      </c>
      <c r="E433">
        <v>0.60319999999999996</v>
      </c>
      <c r="F433">
        <v>1616586.95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-0.56620428751576335</v>
      </c>
      <c r="Q433">
        <f t="shared" si="975"/>
        <v>-915318.46223203093</v>
      </c>
      <c r="R433">
        <f t="shared" si="976"/>
        <v>-2366968.4829784334</v>
      </c>
      <c r="S433">
        <f t="shared" si="977"/>
        <v>-23.669684829784334</v>
      </c>
      <c r="T433">
        <f t="shared" si="978"/>
        <v>-2.3669684829784335E-2</v>
      </c>
    </row>
    <row r="434" spans="1:20" x14ac:dyDescent="0.25">
      <c r="A434" s="5">
        <v>44159</v>
      </c>
      <c r="B434">
        <v>0.50980000000000003</v>
      </c>
      <c r="C434">
        <v>0.79620000000000002</v>
      </c>
      <c r="D434">
        <v>0.50370000000000004</v>
      </c>
      <c r="E434">
        <v>0.62880000000000003</v>
      </c>
      <c r="F434">
        <v>4270273.25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-0.14461538461538465</v>
      </c>
      <c r="Q434">
        <f t="shared" si="975"/>
        <v>-617547.20846153854</v>
      </c>
      <c r="R434">
        <f t="shared" si="976"/>
        <v>-1451650.0207464024</v>
      </c>
      <c r="S434">
        <f t="shared" si="977"/>
        <v>-14.516500207464025</v>
      </c>
      <c r="T434">
        <f t="shared" si="978"/>
        <v>-1.4516500207464025E-2</v>
      </c>
    </row>
    <row r="435" spans="1:20" x14ac:dyDescent="0.25">
      <c r="A435" s="5">
        <v>44158</v>
      </c>
      <c r="B435">
        <v>0.48570000000000002</v>
      </c>
      <c r="C435">
        <v>0.51849999999999996</v>
      </c>
      <c r="D435">
        <v>0.47749999999999998</v>
      </c>
      <c r="E435">
        <v>0.5101</v>
      </c>
      <c r="F435">
        <v>557693.76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0.59024390243902602</v>
      </c>
      <c r="Q435">
        <f t="shared" si="975"/>
        <v>329175.34126829362</v>
      </c>
      <c r="R435">
        <f t="shared" si="976"/>
        <v>-834102.81228486379</v>
      </c>
      <c r="S435">
        <f t="shared" si="977"/>
        <v>-8.3410281228486376</v>
      </c>
      <c r="T435">
        <f t="shared" si="978"/>
        <v>-8.3410281228486378E-3</v>
      </c>
    </row>
    <row r="436" spans="1:20" x14ac:dyDescent="0.25">
      <c r="A436" s="5">
        <v>44157</v>
      </c>
      <c r="B436">
        <v>0.51659999999999995</v>
      </c>
      <c r="C436">
        <v>0.5171</v>
      </c>
      <c r="D436">
        <v>0.47160000000000002</v>
      </c>
      <c r="E436">
        <v>0.48459999999999998</v>
      </c>
      <c r="F436">
        <v>605940.68000000005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-0.42857142857143032</v>
      </c>
      <c r="Q436">
        <f t="shared" si="975"/>
        <v>-259688.86285714395</v>
      </c>
      <c r="R436">
        <f t="shared" si="976"/>
        <v>-1163278.1535531573</v>
      </c>
      <c r="S436">
        <f t="shared" si="977"/>
        <v>-11.632781535531574</v>
      </c>
      <c r="T436">
        <f t="shared" si="978"/>
        <v>-1.1632781535531574E-2</v>
      </c>
    </row>
    <row r="437" spans="1:20" x14ac:dyDescent="0.25">
      <c r="A437" s="5">
        <v>44156</v>
      </c>
      <c r="B437">
        <v>0.47420000000000001</v>
      </c>
      <c r="C437">
        <v>0.52</v>
      </c>
      <c r="D437">
        <v>0.46610000000000001</v>
      </c>
      <c r="E437">
        <v>0.51680000000000004</v>
      </c>
      <c r="F437">
        <v>435480.51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0.88126159554731054</v>
      </c>
      <c r="Q437">
        <f t="shared" si="975"/>
        <v>383772.24907235656</v>
      </c>
      <c r="R437">
        <f t="shared" si="976"/>
        <v>-903589.29069601349</v>
      </c>
      <c r="S437">
        <f t="shared" si="977"/>
        <v>-9.0358929069601341</v>
      </c>
      <c r="T437">
        <f t="shared" si="978"/>
        <v>-9.035892906960134E-3</v>
      </c>
    </row>
    <row r="438" spans="1:20" x14ac:dyDescent="0.25">
      <c r="A438" s="5">
        <v>44155</v>
      </c>
      <c r="B438">
        <v>0.46529999999999999</v>
      </c>
      <c r="C438">
        <v>0.49580000000000002</v>
      </c>
      <c r="D438">
        <v>0.46510000000000001</v>
      </c>
      <c r="E438">
        <v>0.47420000000000001</v>
      </c>
      <c r="F438">
        <v>258226.23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-0.40716612377850192</v>
      </c>
      <c r="Q438">
        <f t="shared" si="975"/>
        <v>-105140.9731270359</v>
      </c>
      <c r="R438">
        <f t="shared" si="976"/>
        <v>-1287361.5397683701</v>
      </c>
      <c r="S438">
        <f t="shared" si="977"/>
        <v>-12.8736153976837</v>
      </c>
      <c r="T438">
        <f t="shared" si="978"/>
        <v>-1.28736153976837E-2</v>
      </c>
    </row>
    <row r="439" spans="1:20" x14ac:dyDescent="0.25">
      <c r="A439" s="5">
        <v>44154</v>
      </c>
      <c r="B439">
        <v>0.46250000000000002</v>
      </c>
      <c r="C439">
        <v>0.51849999999999996</v>
      </c>
      <c r="D439">
        <v>0.45</v>
      </c>
      <c r="E439">
        <v>0.46639999999999998</v>
      </c>
      <c r="F439">
        <v>495974.77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-0.52116788321167939</v>
      </c>
      <c r="Q439">
        <f t="shared" si="975"/>
        <v>-258486.12100729955</v>
      </c>
      <c r="R439">
        <f t="shared" si="976"/>
        <v>-1182220.5666413342</v>
      </c>
      <c r="S439">
        <f t="shared" si="977"/>
        <v>-11.822205666413343</v>
      </c>
      <c r="T439">
        <f t="shared" si="978"/>
        <v>-1.1822205666413342E-2</v>
      </c>
    </row>
    <row r="440" spans="1:20" x14ac:dyDescent="0.25">
      <c r="A440" s="5">
        <v>44153</v>
      </c>
      <c r="B440">
        <v>0.46929999999999999</v>
      </c>
      <c r="C440">
        <v>0.48230000000000001</v>
      </c>
      <c r="D440">
        <v>0.43759999999999999</v>
      </c>
      <c r="E440">
        <v>0.46250000000000002</v>
      </c>
      <c r="F440">
        <v>223659.55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0.11409395973154468</v>
      </c>
      <c r="Q440">
        <f t="shared" si="975"/>
        <v>25518.203691275401</v>
      </c>
      <c r="R440">
        <f t="shared" si="976"/>
        <v>-923734.4456340347</v>
      </c>
      <c r="S440">
        <f t="shared" si="977"/>
        <v>-9.2373444563403471</v>
      </c>
      <c r="T440">
        <f t="shared" si="978"/>
        <v>-9.2373444563403472E-3</v>
      </c>
    </row>
    <row r="441" spans="1:20" x14ac:dyDescent="0.25">
      <c r="A441" s="5">
        <v>44152</v>
      </c>
      <c r="B441">
        <v>0.46639999999999998</v>
      </c>
      <c r="C441">
        <v>0.47720000000000001</v>
      </c>
      <c r="D441">
        <v>0.46050000000000002</v>
      </c>
      <c r="E441">
        <v>0.47310000000000002</v>
      </c>
      <c r="F441">
        <v>271063.46000000002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0.50898203592814439</v>
      </c>
      <c r="Q441">
        <f t="shared" si="975"/>
        <v>137966.43173652713</v>
      </c>
      <c r="R441">
        <f t="shared" si="976"/>
        <v>-949252.64932531014</v>
      </c>
      <c r="S441">
        <f t="shared" si="977"/>
        <v>-9.4925264932531022</v>
      </c>
      <c r="T441">
        <f t="shared" si="978"/>
        <v>-9.4925264932531027E-3</v>
      </c>
    </row>
    <row r="442" spans="1:20" x14ac:dyDescent="0.25">
      <c r="A442" s="5">
        <v>44151</v>
      </c>
      <c r="B442">
        <v>0.46010000000000001</v>
      </c>
      <c r="C442">
        <v>0.47249999999999998</v>
      </c>
      <c r="D442">
        <v>0.45140000000000002</v>
      </c>
      <c r="E442">
        <v>0.46629999999999999</v>
      </c>
      <c r="F442">
        <v>142264.44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0.41232227488151685</v>
      </c>
      <c r="Q442">
        <f t="shared" si="975"/>
        <v>58658.797535545062</v>
      </c>
      <c r="R442">
        <f t="shared" si="976"/>
        <v>-1087219.0810618373</v>
      </c>
      <c r="S442">
        <f t="shared" si="977"/>
        <v>-10.872190810618372</v>
      </c>
      <c r="T442">
        <f t="shared" si="978"/>
        <v>-1.0872190810618371E-2</v>
      </c>
    </row>
    <row r="443" spans="1:20" x14ac:dyDescent="0.25">
      <c r="A443" s="5">
        <v>44150</v>
      </c>
      <c r="B443">
        <v>0.48309999999999997</v>
      </c>
      <c r="C443">
        <v>0.48330000000000001</v>
      </c>
      <c r="D443">
        <v>0.45040000000000002</v>
      </c>
      <c r="E443">
        <v>0.45779999999999998</v>
      </c>
      <c r="F443">
        <v>298142.01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-0.55015197568389262</v>
      </c>
      <c r="Q443">
        <f t="shared" si="975"/>
        <v>-164023.41583586688</v>
      </c>
      <c r="R443">
        <f t="shared" si="976"/>
        <v>-1145877.8785973822</v>
      </c>
      <c r="S443">
        <f t="shared" si="977"/>
        <v>-11.458778785973822</v>
      </c>
      <c r="T443">
        <f t="shared" si="978"/>
        <v>-1.1458778785973822E-2</v>
      </c>
    </row>
    <row r="444" spans="1:20" x14ac:dyDescent="0.25">
      <c r="A444" s="5">
        <v>44149</v>
      </c>
      <c r="B444">
        <v>0.4859</v>
      </c>
      <c r="C444">
        <v>0.49890000000000001</v>
      </c>
      <c r="D444">
        <v>0.46899999999999997</v>
      </c>
      <c r="E444">
        <v>0.4834</v>
      </c>
      <c r="F444">
        <v>214067.92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-3.6789297658862491E-2</v>
      </c>
      <c r="Q444">
        <f t="shared" si="975"/>
        <v>-7875.4084280935631</v>
      </c>
      <c r="R444">
        <f t="shared" si="976"/>
        <v>-981854.46276151529</v>
      </c>
      <c r="S444">
        <f t="shared" si="977"/>
        <v>-9.818544627615152</v>
      </c>
      <c r="T444">
        <f t="shared" si="978"/>
        <v>-9.8185446276151528E-3</v>
      </c>
    </row>
    <row r="445" spans="1:20" x14ac:dyDescent="0.25">
      <c r="A445" s="5">
        <v>44148</v>
      </c>
      <c r="B445">
        <v>0.46439999999999998</v>
      </c>
      <c r="C445">
        <v>0.49149999999999999</v>
      </c>
      <c r="D445">
        <v>0.4642</v>
      </c>
      <c r="E445">
        <v>0.48430000000000001</v>
      </c>
      <c r="F445">
        <v>147004.6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0.47252747252747351</v>
      </c>
      <c r="Q445">
        <f t="shared" si="975"/>
        <v>69463.712087912238</v>
      </c>
      <c r="R445">
        <f t="shared" si="976"/>
        <v>-973979.05433342175</v>
      </c>
      <c r="S445">
        <f t="shared" si="977"/>
        <v>-9.7397905433342178</v>
      </c>
      <c r="T445">
        <f t="shared" si="978"/>
        <v>-9.7397905433342178E-3</v>
      </c>
    </row>
    <row r="446" spans="1:20" x14ac:dyDescent="0.25">
      <c r="A446" s="5">
        <v>44147</v>
      </c>
      <c r="B446">
        <v>0.4743</v>
      </c>
      <c r="C446">
        <v>0.47749999999999998</v>
      </c>
      <c r="D446">
        <v>0.45810000000000001</v>
      </c>
      <c r="E446">
        <v>0.46389999999999998</v>
      </c>
      <c r="F446">
        <v>111908.5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-0.40206185567010516</v>
      </c>
      <c r="Q446">
        <f t="shared" si="975"/>
        <v>-44994.139175257966</v>
      </c>
      <c r="R446">
        <f t="shared" si="976"/>
        <v>-1043442.766421334</v>
      </c>
      <c r="S446">
        <f t="shared" si="977"/>
        <v>-10.43442766421334</v>
      </c>
      <c r="T446">
        <f t="shared" si="978"/>
        <v>-1.043442766421334E-2</v>
      </c>
    </row>
    <row r="447" spans="1:20" x14ac:dyDescent="0.25">
      <c r="A447" s="5">
        <v>44146</v>
      </c>
      <c r="B447">
        <v>0.48959999999999998</v>
      </c>
      <c r="C447">
        <v>0.49990000000000001</v>
      </c>
      <c r="D447">
        <v>0.4743</v>
      </c>
      <c r="E447">
        <v>0.4743</v>
      </c>
      <c r="F447">
        <v>240502.31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-1</v>
      </c>
      <c r="Q447">
        <f t="shared" si="975"/>
        <v>-240502.31</v>
      </c>
      <c r="R447">
        <f t="shared" si="976"/>
        <v>-998448.62724607601</v>
      </c>
      <c r="S447">
        <f t="shared" si="977"/>
        <v>-9.9844862724607601</v>
      </c>
      <c r="T447">
        <f t="shared" si="978"/>
        <v>-9.9844862724607596E-3</v>
      </c>
    </row>
    <row r="448" spans="1:20" x14ac:dyDescent="0.25">
      <c r="A448" s="5">
        <v>44145</v>
      </c>
      <c r="B448">
        <v>0.45529999999999998</v>
      </c>
      <c r="C448">
        <v>0.49980000000000002</v>
      </c>
      <c r="D448">
        <v>0.4551</v>
      </c>
      <c r="E448">
        <v>0.48570000000000002</v>
      </c>
      <c r="F448">
        <v>232834.75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0.36912751677852368</v>
      </c>
      <c r="Q448">
        <f t="shared" si="975"/>
        <v>85945.713087248369</v>
      </c>
      <c r="R448">
        <f t="shared" si="976"/>
        <v>-757946.31724607595</v>
      </c>
      <c r="S448">
        <f t="shared" si="977"/>
        <v>-7.57946317246076</v>
      </c>
      <c r="T448">
        <f t="shared" si="978"/>
        <v>-7.5794631724607599E-3</v>
      </c>
    </row>
    <row r="449" spans="1:20" x14ac:dyDescent="0.25">
      <c r="A449" s="5">
        <v>44144</v>
      </c>
      <c r="B449">
        <v>0.45789999999999997</v>
      </c>
      <c r="C449">
        <v>0.47299999999999998</v>
      </c>
      <c r="D449">
        <v>0.43559999999999999</v>
      </c>
      <c r="E449">
        <v>0.4592</v>
      </c>
      <c r="F449">
        <v>172796.33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0.26203208556149821</v>
      </c>
      <c r="Q449">
        <f t="shared" si="975"/>
        <v>45278.182727272877</v>
      </c>
      <c r="R449">
        <f t="shared" si="976"/>
        <v>-843892.03033332434</v>
      </c>
      <c r="S449">
        <f t="shared" si="977"/>
        <v>-8.4389203033332425</v>
      </c>
      <c r="T449">
        <f t="shared" si="978"/>
        <v>-8.438920303333243E-3</v>
      </c>
    </row>
    <row r="450" spans="1:20" x14ac:dyDescent="0.25">
      <c r="A450" s="5">
        <v>44143</v>
      </c>
      <c r="B450">
        <v>0.42930000000000001</v>
      </c>
      <c r="C450">
        <v>0.46210000000000001</v>
      </c>
      <c r="D450">
        <v>0.42920000000000003</v>
      </c>
      <c r="E450">
        <v>0.45829999999999999</v>
      </c>
      <c r="F450">
        <v>127160.08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0.76899696048632049</v>
      </c>
      <c r="Q450">
        <f t="shared" si="975"/>
        <v>97785.715015197347</v>
      </c>
      <c r="R450">
        <f t="shared" si="976"/>
        <v>-889170.21306059719</v>
      </c>
      <c r="S450">
        <f t="shared" si="977"/>
        <v>-8.8917021306059727</v>
      </c>
      <c r="T450">
        <f t="shared" si="978"/>
        <v>-8.8917021306059735E-3</v>
      </c>
    </row>
    <row r="451" spans="1:20" x14ac:dyDescent="0.25">
      <c r="A451" s="5">
        <v>44142</v>
      </c>
      <c r="B451">
        <v>0.45860000000000001</v>
      </c>
      <c r="C451">
        <v>0.48</v>
      </c>
      <c r="D451">
        <v>0.42</v>
      </c>
      <c r="E451">
        <v>0.43109999999999998</v>
      </c>
      <c r="F451">
        <v>361609.92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-0.63</v>
      </c>
      <c r="Q451">
        <f t="shared" si="975"/>
        <v>-227814.24959999998</v>
      </c>
      <c r="R451">
        <f t="shared" si="976"/>
        <v>-986955.9280757946</v>
      </c>
      <c r="S451">
        <f t="shared" si="977"/>
        <v>-9.8695592807579455</v>
      </c>
      <c r="T451">
        <f t="shared" si="978"/>
        <v>-9.8695592807579464E-3</v>
      </c>
    </row>
    <row r="452" spans="1:20" x14ac:dyDescent="0.25">
      <c r="A452" s="5">
        <v>44141</v>
      </c>
      <c r="B452">
        <v>0.434</v>
      </c>
      <c r="C452">
        <v>0.47199999999999998</v>
      </c>
      <c r="D452">
        <v>0.43269999999999997</v>
      </c>
      <c r="E452">
        <v>0.45860000000000001</v>
      </c>
      <c r="F452">
        <v>521359.63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0.31806615776081593</v>
      </c>
      <c r="Q452">
        <f t="shared" si="975"/>
        <v>165826.85432570061</v>
      </c>
      <c r="R452">
        <f t="shared" si="976"/>
        <v>-759141.67847579462</v>
      </c>
      <c r="S452">
        <f t="shared" si="977"/>
        <v>-7.5914167847579463</v>
      </c>
      <c r="T452">
        <f t="shared" si="978"/>
        <v>-7.5914167847579463E-3</v>
      </c>
    </row>
    <row r="453" spans="1:20" x14ac:dyDescent="0.25">
      <c r="A453" s="5">
        <v>44140</v>
      </c>
      <c r="B453">
        <v>0.43080000000000002</v>
      </c>
      <c r="C453">
        <v>0.44990000000000002</v>
      </c>
      <c r="D453">
        <v>0.42120000000000002</v>
      </c>
      <c r="E453">
        <v>0.43609999999999999</v>
      </c>
      <c r="F453">
        <v>382598.65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3.8327526132401889E-2</v>
      </c>
      <c r="Q453">
        <f t="shared" si="975"/>
        <v>14664.059756096685</v>
      </c>
      <c r="R453">
        <f t="shared" si="976"/>
        <v>-924968.53280149517</v>
      </c>
      <c r="S453">
        <f t="shared" si="977"/>
        <v>-9.2496853280149516</v>
      </c>
      <c r="T453">
        <f t="shared" si="978"/>
        <v>-9.2496853280149508E-3</v>
      </c>
    </row>
    <row r="454" spans="1:20" x14ac:dyDescent="0.25">
      <c r="A454" s="5">
        <v>44139</v>
      </c>
      <c r="B454">
        <v>0.41860000000000003</v>
      </c>
      <c r="C454">
        <v>0.44019999999999998</v>
      </c>
      <c r="D454">
        <v>0.38800000000000001</v>
      </c>
      <c r="E454">
        <v>0.43080000000000002</v>
      </c>
      <c r="F454">
        <v>210567.31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0.63984674329502034</v>
      </c>
      <c r="Q454">
        <f t="shared" ref="Q454:Q517" si="980">F454*P454</f>
        <v>134730.80754789297</v>
      </c>
      <c r="R454">
        <f t="shared" ref="R454:R517" si="981">R455+Q454</f>
        <v>-939632.59255759185</v>
      </c>
      <c r="S454">
        <f t="shared" ref="S454:S517" si="982">R454/100000</f>
        <v>-9.3963259255759191</v>
      </c>
      <c r="T454">
        <f t="shared" ref="T454:T517" si="983">S454/1000</f>
        <v>-9.3963259255759185E-3</v>
      </c>
    </row>
    <row r="455" spans="1:20" x14ac:dyDescent="0.25">
      <c r="A455" s="5">
        <v>44138</v>
      </c>
      <c r="B455">
        <v>0.4304</v>
      </c>
      <c r="C455">
        <v>0.43430000000000002</v>
      </c>
      <c r="D455">
        <v>0.40360000000000001</v>
      </c>
      <c r="E455">
        <v>0.42020000000000002</v>
      </c>
      <c r="F455">
        <v>96061.55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8.143322475570039E-2</v>
      </c>
      <c r="Q455">
        <f t="shared" si="980"/>
        <v>7822.6017915309512</v>
      </c>
      <c r="R455">
        <f t="shared" si="981"/>
        <v>-1074363.4001054848</v>
      </c>
      <c r="S455">
        <f t="shared" si="982"/>
        <v>-10.743634001054847</v>
      </c>
      <c r="T455">
        <f t="shared" si="983"/>
        <v>-1.0743634001054847E-2</v>
      </c>
    </row>
    <row r="456" spans="1:20" x14ac:dyDescent="0.25">
      <c r="A456" s="5">
        <v>44137</v>
      </c>
      <c r="B456">
        <v>0.43230000000000002</v>
      </c>
      <c r="C456">
        <v>0.4451</v>
      </c>
      <c r="D456">
        <v>0.42249999999999999</v>
      </c>
      <c r="E456">
        <v>0.43049999999999999</v>
      </c>
      <c r="F456">
        <v>112170.31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-0.29203539823008817</v>
      </c>
      <c r="Q456">
        <f t="shared" si="980"/>
        <v>-32757.701150442441</v>
      </c>
      <c r="R456">
        <f t="shared" si="981"/>
        <v>-1082186.0018970156</v>
      </c>
      <c r="S456">
        <f t="shared" si="982"/>
        <v>-10.821860018970156</v>
      </c>
      <c r="T456">
        <f t="shared" si="983"/>
        <v>-1.0821860018970156E-2</v>
      </c>
    </row>
    <row r="457" spans="1:20" x14ac:dyDescent="0.25">
      <c r="A457" s="5">
        <v>44136</v>
      </c>
      <c r="B457">
        <v>0.43490000000000001</v>
      </c>
      <c r="C457">
        <v>0.437</v>
      </c>
      <c r="D457">
        <v>0.42359999999999998</v>
      </c>
      <c r="E457">
        <v>0.43070000000000003</v>
      </c>
      <c r="F457">
        <v>49615.69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5.9701492537319184E-2</v>
      </c>
      <c r="Q457">
        <f t="shared" si="980"/>
        <v>2962.1307462689424</v>
      </c>
      <c r="R457">
        <f t="shared" si="981"/>
        <v>-1049428.3007465731</v>
      </c>
      <c r="S457">
        <f t="shared" si="982"/>
        <v>-10.494283007465731</v>
      </c>
      <c r="T457">
        <f t="shared" si="983"/>
        <v>-1.0494283007465731E-2</v>
      </c>
    </row>
    <row r="458" spans="1:20" x14ac:dyDescent="0.25">
      <c r="A458" s="5">
        <v>44135</v>
      </c>
      <c r="B458">
        <v>0.43730000000000002</v>
      </c>
      <c r="C458">
        <v>0.45079999999999998</v>
      </c>
      <c r="D458">
        <v>0.42909999999999998</v>
      </c>
      <c r="E458">
        <v>0.43490000000000001</v>
      </c>
      <c r="F458">
        <v>113013.32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-0.46543778801843061</v>
      </c>
      <c r="Q458">
        <f t="shared" si="980"/>
        <v>-52600.669677419064</v>
      </c>
      <c r="R458">
        <f t="shared" si="981"/>
        <v>-1052390.431492842</v>
      </c>
      <c r="S458">
        <f t="shared" si="982"/>
        <v>-10.523904314928421</v>
      </c>
      <c r="T458">
        <f t="shared" si="983"/>
        <v>-1.0523904314928421E-2</v>
      </c>
    </row>
    <row r="459" spans="1:20" x14ac:dyDescent="0.25">
      <c r="A459" s="5">
        <v>44134</v>
      </c>
      <c r="B459">
        <v>0.46129999999999999</v>
      </c>
      <c r="C459">
        <v>0.46629999999999999</v>
      </c>
      <c r="D459">
        <v>0.42620000000000002</v>
      </c>
      <c r="E459">
        <v>0.43409999999999999</v>
      </c>
      <c r="F459">
        <v>125950.75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-0.60598503740648535</v>
      </c>
      <c r="Q459">
        <f t="shared" si="980"/>
        <v>-76324.269950124886</v>
      </c>
      <c r="R459">
        <f t="shared" si="981"/>
        <v>-999789.76181542303</v>
      </c>
      <c r="S459">
        <f t="shared" si="982"/>
        <v>-9.9978976181542301</v>
      </c>
      <c r="T459">
        <f t="shared" si="983"/>
        <v>-9.9978976181542296E-3</v>
      </c>
    </row>
    <row r="460" spans="1:20" x14ac:dyDescent="0.25">
      <c r="A460" s="5">
        <v>44133</v>
      </c>
      <c r="B460">
        <v>0.4743</v>
      </c>
      <c r="C460">
        <v>0.47989999999999999</v>
      </c>
      <c r="D460">
        <v>0.4602</v>
      </c>
      <c r="E460">
        <v>0.46400000000000002</v>
      </c>
      <c r="F460">
        <v>87077.77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-0.61421319796954044</v>
      </c>
      <c r="Q460">
        <f t="shared" si="980"/>
        <v>-53484.315583756113</v>
      </c>
      <c r="R460">
        <f t="shared" si="981"/>
        <v>-923465.49186529813</v>
      </c>
      <c r="S460">
        <f t="shared" si="982"/>
        <v>-9.234654918652982</v>
      </c>
      <c r="T460">
        <f t="shared" si="983"/>
        <v>-9.2346549186529819E-3</v>
      </c>
    </row>
    <row r="461" spans="1:20" x14ac:dyDescent="0.25">
      <c r="A461" s="5">
        <v>44132</v>
      </c>
      <c r="B461">
        <v>0.49349999999999999</v>
      </c>
      <c r="C461">
        <v>0.52200000000000002</v>
      </c>
      <c r="D461">
        <v>0.46200000000000002</v>
      </c>
      <c r="E461">
        <v>0.47289999999999999</v>
      </c>
      <c r="F461">
        <v>323197.5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-0.63666666666666782</v>
      </c>
      <c r="Q461">
        <f t="shared" si="980"/>
        <v>-205769.07500000036</v>
      </c>
      <c r="R461">
        <f t="shared" si="981"/>
        <v>-869981.17628154205</v>
      </c>
      <c r="S461">
        <f t="shared" si="982"/>
        <v>-8.6998117628154201</v>
      </c>
      <c r="T461">
        <f t="shared" si="983"/>
        <v>-8.6998117628154202E-3</v>
      </c>
    </row>
    <row r="462" spans="1:20" x14ac:dyDescent="0.25">
      <c r="A462" s="5">
        <v>44131</v>
      </c>
      <c r="B462">
        <v>0.49909999999999999</v>
      </c>
      <c r="C462">
        <v>0.51500000000000001</v>
      </c>
      <c r="D462">
        <v>0.48180000000000001</v>
      </c>
      <c r="E462">
        <v>0.49359999999999998</v>
      </c>
      <c r="F462">
        <v>289793.53999999998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-0.28915662650602564</v>
      </c>
      <c r="Q462">
        <f t="shared" si="980"/>
        <v>-83795.722409638998</v>
      </c>
      <c r="R462">
        <f t="shared" si="981"/>
        <v>-664212.10128154175</v>
      </c>
      <c r="S462">
        <f t="shared" si="982"/>
        <v>-6.6421210128154176</v>
      </c>
      <c r="T462">
        <f t="shared" si="983"/>
        <v>-6.642121012815418E-3</v>
      </c>
    </row>
    <row r="463" spans="1:20" x14ac:dyDescent="0.25">
      <c r="A463" s="5">
        <v>44130</v>
      </c>
      <c r="B463">
        <v>0.50039999999999996</v>
      </c>
      <c r="C463">
        <v>0.52329999999999999</v>
      </c>
      <c r="D463">
        <v>0.48630000000000001</v>
      </c>
      <c r="E463">
        <v>0.49880000000000002</v>
      </c>
      <c r="F463">
        <v>159871.21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-0.32432432432432329</v>
      </c>
      <c r="Q463">
        <f t="shared" si="980"/>
        <v>-51850.122162161992</v>
      </c>
      <c r="R463">
        <f t="shared" si="981"/>
        <v>-580416.37887190271</v>
      </c>
      <c r="S463">
        <f t="shared" si="982"/>
        <v>-5.8041637887190269</v>
      </c>
      <c r="T463">
        <f t="shared" si="983"/>
        <v>-5.8041637887190269E-3</v>
      </c>
    </row>
    <row r="464" spans="1:20" x14ac:dyDescent="0.25">
      <c r="A464" s="5">
        <v>44129</v>
      </c>
      <c r="B464">
        <v>0.5242</v>
      </c>
      <c r="C464">
        <v>0.5242</v>
      </c>
      <c r="D464">
        <v>0.49009999999999998</v>
      </c>
      <c r="E464">
        <v>0.4965</v>
      </c>
      <c r="F464">
        <v>98935.94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-0.62463343108504321</v>
      </c>
      <c r="Q464">
        <f t="shared" si="980"/>
        <v>-61798.69565982397</v>
      </c>
      <c r="R464">
        <f t="shared" si="981"/>
        <v>-528566.25670974073</v>
      </c>
      <c r="S464">
        <f t="shared" si="982"/>
        <v>-5.2856625670974076</v>
      </c>
      <c r="T464">
        <f t="shared" si="983"/>
        <v>-5.2856625670974072E-3</v>
      </c>
    </row>
    <row r="465" spans="1:20" x14ac:dyDescent="0.25">
      <c r="A465" s="5">
        <v>44128</v>
      </c>
      <c r="B465">
        <v>0.51119999999999999</v>
      </c>
      <c r="C465">
        <v>0.54990000000000006</v>
      </c>
      <c r="D465">
        <v>0.51119999999999999</v>
      </c>
      <c r="E465">
        <v>0.52280000000000004</v>
      </c>
      <c r="F465">
        <v>338426.79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-0.40051679586563127</v>
      </c>
      <c r="Q465">
        <f t="shared" si="980"/>
        <v>-135545.61356589085</v>
      </c>
      <c r="R465">
        <f t="shared" si="981"/>
        <v>-466767.56104991678</v>
      </c>
      <c r="S465">
        <f t="shared" si="982"/>
        <v>-4.6676756104991677</v>
      </c>
      <c r="T465">
        <f t="shared" si="983"/>
        <v>-4.6676756104991673E-3</v>
      </c>
    </row>
    <row r="466" spans="1:20" x14ac:dyDescent="0.25">
      <c r="A466" s="5">
        <v>44127</v>
      </c>
      <c r="B466">
        <v>0.50170000000000003</v>
      </c>
      <c r="C466">
        <v>0.52929999999999999</v>
      </c>
      <c r="D466">
        <v>0.49590000000000001</v>
      </c>
      <c r="E466">
        <v>0.5081</v>
      </c>
      <c r="F466">
        <v>234054.06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-0.26946107784431172</v>
      </c>
      <c r="Q466">
        <f t="shared" si="980"/>
        <v>-63068.459281437208</v>
      </c>
      <c r="R466">
        <f t="shared" si="981"/>
        <v>-331221.94748402596</v>
      </c>
      <c r="S466">
        <f t="shared" si="982"/>
        <v>-3.3122194748402598</v>
      </c>
      <c r="T466">
        <f t="shared" si="983"/>
        <v>-3.3122194748402599E-3</v>
      </c>
    </row>
    <row r="467" spans="1:20" x14ac:dyDescent="0.25">
      <c r="A467" s="5">
        <v>44126</v>
      </c>
      <c r="B467">
        <v>0.49480000000000002</v>
      </c>
      <c r="C467">
        <v>0.51039999999999996</v>
      </c>
      <c r="D467">
        <v>0.48730000000000001</v>
      </c>
      <c r="E467">
        <v>0.50329999999999997</v>
      </c>
      <c r="F467">
        <v>167885.79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0.38528138528138445</v>
      </c>
      <c r="Q467">
        <f t="shared" si="980"/>
        <v>64683.269740259602</v>
      </c>
      <c r="R467">
        <f t="shared" si="981"/>
        <v>-268153.48820258875</v>
      </c>
      <c r="S467">
        <f t="shared" si="982"/>
        <v>-2.6815348820258875</v>
      </c>
      <c r="T467">
        <f t="shared" si="983"/>
        <v>-2.6815348820258874E-3</v>
      </c>
    </row>
    <row r="468" spans="1:20" x14ac:dyDescent="0.25">
      <c r="A468" s="5">
        <v>44125</v>
      </c>
      <c r="B468">
        <v>0.4859</v>
      </c>
      <c r="C468">
        <v>0.505</v>
      </c>
      <c r="D468">
        <v>0.47239999999999999</v>
      </c>
      <c r="E468">
        <v>0.49199999999999999</v>
      </c>
      <c r="F468">
        <v>277020.17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0.20245398773006107</v>
      </c>
      <c r="Q468">
        <f t="shared" si="980"/>
        <v>56083.838098159431</v>
      </c>
      <c r="R468">
        <f t="shared" si="981"/>
        <v>-332836.75794284837</v>
      </c>
      <c r="S468">
        <f t="shared" si="982"/>
        <v>-3.3283675794284839</v>
      </c>
      <c r="T468">
        <f t="shared" si="983"/>
        <v>-3.328367579428484E-3</v>
      </c>
    </row>
    <row r="469" spans="1:20" x14ac:dyDescent="0.25">
      <c r="A469" s="5">
        <v>44124</v>
      </c>
      <c r="B469">
        <v>0.5212</v>
      </c>
      <c r="C469">
        <v>0.52490000000000003</v>
      </c>
      <c r="D469">
        <v>0.4703</v>
      </c>
      <c r="E469">
        <v>0.48580000000000001</v>
      </c>
      <c r="F469">
        <v>350138.52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-0.43223443223443214</v>
      </c>
      <c r="Q469">
        <f t="shared" si="980"/>
        <v>-151341.92439560438</v>
      </c>
      <c r="R469">
        <f t="shared" si="981"/>
        <v>-388920.59604100778</v>
      </c>
      <c r="S469">
        <f t="shared" si="982"/>
        <v>-3.8892059604100777</v>
      </c>
      <c r="T469">
        <f t="shared" si="983"/>
        <v>-3.8892059604100776E-3</v>
      </c>
    </row>
    <row r="470" spans="1:20" x14ac:dyDescent="0.25">
      <c r="A470" s="5">
        <v>44123</v>
      </c>
      <c r="B470">
        <v>0.52659999999999996</v>
      </c>
      <c r="C470">
        <v>0.53010000000000002</v>
      </c>
      <c r="D470">
        <v>0.51549999999999996</v>
      </c>
      <c r="E470">
        <v>0.52080000000000004</v>
      </c>
      <c r="F470">
        <v>180955.77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-0.27397260273971757</v>
      </c>
      <c r="Q470">
        <f t="shared" si="980"/>
        <v>-49576.923287669699</v>
      </c>
      <c r="R470">
        <f t="shared" si="981"/>
        <v>-237578.6716454034</v>
      </c>
      <c r="S470">
        <f t="shared" si="982"/>
        <v>-2.3757867164540341</v>
      </c>
      <c r="T470">
        <f t="shared" si="983"/>
        <v>-2.3757867164540341E-3</v>
      </c>
    </row>
    <row r="471" spans="1:20" x14ac:dyDescent="0.25">
      <c r="A471" s="5">
        <v>44122</v>
      </c>
      <c r="B471">
        <v>0.52310000000000001</v>
      </c>
      <c r="C471">
        <v>0.5363</v>
      </c>
      <c r="D471">
        <v>0.5212</v>
      </c>
      <c r="E471">
        <v>0.52639999999999998</v>
      </c>
      <c r="F471">
        <v>125556.98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-0.31125827814569779</v>
      </c>
      <c r="Q471">
        <f t="shared" si="980"/>
        <v>-39080.64940397381</v>
      </c>
      <c r="R471">
        <f t="shared" si="981"/>
        <v>-188001.74835773371</v>
      </c>
      <c r="S471">
        <f t="shared" si="982"/>
        <v>-1.8800174835773371</v>
      </c>
      <c r="T471">
        <f t="shared" si="983"/>
        <v>-1.8800174835773371E-3</v>
      </c>
    </row>
    <row r="472" spans="1:20" x14ac:dyDescent="0.25">
      <c r="A472" s="5">
        <v>44121</v>
      </c>
      <c r="B472">
        <v>0.52680000000000005</v>
      </c>
      <c r="C472">
        <v>0.52980000000000005</v>
      </c>
      <c r="D472">
        <v>0.51419999999999999</v>
      </c>
      <c r="E472">
        <v>0.51980000000000004</v>
      </c>
      <c r="F472">
        <v>61328.83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-0.28205128205127838</v>
      </c>
      <c r="Q472">
        <f t="shared" si="980"/>
        <v>-17297.875128204905</v>
      </c>
      <c r="R472">
        <f t="shared" si="981"/>
        <v>-148921.09895375991</v>
      </c>
      <c r="S472">
        <f t="shared" si="982"/>
        <v>-1.4892109895375991</v>
      </c>
      <c r="T472">
        <f t="shared" si="983"/>
        <v>-1.4892109895375991E-3</v>
      </c>
    </row>
    <row r="473" spans="1:20" x14ac:dyDescent="0.25">
      <c r="A473" s="5">
        <v>44120</v>
      </c>
      <c r="B473">
        <v>0.53249999999999997</v>
      </c>
      <c r="C473">
        <v>0.53310000000000002</v>
      </c>
      <c r="D473">
        <v>0.51900000000000002</v>
      </c>
      <c r="E473">
        <v>0.52629999999999999</v>
      </c>
      <c r="F473">
        <v>94627.31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3.5460992907797508E-2</v>
      </c>
      <c r="Q473">
        <f t="shared" si="980"/>
        <v>3355.5783687939561</v>
      </c>
      <c r="R473">
        <f t="shared" si="981"/>
        <v>-131623.223825555</v>
      </c>
      <c r="S473">
        <f t="shared" si="982"/>
        <v>-1.31623223825555</v>
      </c>
      <c r="T473">
        <f t="shared" si="983"/>
        <v>-1.3162322382555499E-3</v>
      </c>
    </row>
    <row r="474" spans="1:20" x14ac:dyDescent="0.25">
      <c r="A474" s="5">
        <v>44119</v>
      </c>
      <c r="B474">
        <v>0.54920000000000002</v>
      </c>
      <c r="C474">
        <v>0.54920000000000002</v>
      </c>
      <c r="D474">
        <v>0.52329999999999999</v>
      </c>
      <c r="E474">
        <v>0.53290000000000004</v>
      </c>
      <c r="F474">
        <v>171402.7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-0.25868725868725556</v>
      </c>
      <c r="Q474">
        <f t="shared" si="980"/>
        <v>-44339.694594594061</v>
      </c>
      <c r="R474">
        <f t="shared" si="981"/>
        <v>-134978.80219434897</v>
      </c>
      <c r="S474">
        <f t="shared" si="982"/>
        <v>-1.3497880219434897</v>
      </c>
      <c r="T474">
        <f t="shared" si="983"/>
        <v>-1.3497880219434898E-3</v>
      </c>
    </row>
    <row r="475" spans="1:20" x14ac:dyDescent="0.25">
      <c r="A475" s="5">
        <v>44118</v>
      </c>
      <c r="B475">
        <v>0.55640000000000001</v>
      </c>
      <c r="C475">
        <v>0.56530000000000002</v>
      </c>
      <c r="D475">
        <v>0.54530000000000001</v>
      </c>
      <c r="E475">
        <v>0.55089999999999995</v>
      </c>
      <c r="F475">
        <v>95752.6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-0.44000000000000666</v>
      </c>
      <c r="Q475">
        <f t="shared" si="980"/>
        <v>-42131.144000000641</v>
      </c>
      <c r="R475">
        <f t="shared" si="981"/>
        <v>-90639.107599754905</v>
      </c>
      <c r="S475">
        <f t="shared" si="982"/>
        <v>-0.90639107599754909</v>
      </c>
      <c r="T475">
        <f t="shared" si="983"/>
        <v>-9.0639107599754906E-4</v>
      </c>
    </row>
    <row r="476" spans="1:20" x14ac:dyDescent="0.25">
      <c r="A476" s="5">
        <v>44117</v>
      </c>
      <c r="B476">
        <v>0.5665</v>
      </c>
      <c r="C476">
        <v>0.56720000000000004</v>
      </c>
      <c r="D476">
        <v>0.54930000000000001</v>
      </c>
      <c r="E476">
        <v>0.55610000000000004</v>
      </c>
      <c r="F476">
        <v>57444.11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-0.24022346368714884</v>
      </c>
      <c r="Q476">
        <f t="shared" si="980"/>
        <v>-13799.423072625583</v>
      </c>
      <c r="R476">
        <f t="shared" si="981"/>
        <v>-48507.963599754272</v>
      </c>
      <c r="S476">
        <f t="shared" si="982"/>
        <v>-0.48507963599754272</v>
      </c>
      <c r="T476">
        <f t="shared" si="983"/>
        <v>-4.8507963599754274E-4</v>
      </c>
    </row>
    <row r="477" spans="1:20" x14ac:dyDescent="0.25">
      <c r="A477" s="5">
        <v>44116</v>
      </c>
      <c r="B477">
        <v>0.56789999999999996</v>
      </c>
      <c r="C477">
        <v>0.57569999999999999</v>
      </c>
      <c r="D477">
        <v>0.55510000000000004</v>
      </c>
      <c r="E477">
        <v>0.5665</v>
      </c>
      <c r="F477">
        <v>106143.78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0.10679611650485364</v>
      </c>
      <c r="Q477">
        <f t="shared" si="980"/>
        <v>11335.743495145554</v>
      </c>
      <c r="R477">
        <f t="shared" si="981"/>
        <v>-34708.540527128687</v>
      </c>
      <c r="S477">
        <f t="shared" si="982"/>
        <v>-0.3470854052712869</v>
      </c>
      <c r="T477">
        <f t="shared" si="983"/>
        <v>-3.4708540527128692E-4</v>
      </c>
    </row>
    <row r="478" spans="1:20" x14ac:dyDescent="0.25">
      <c r="A478" s="5">
        <v>44115</v>
      </c>
      <c r="B478">
        <v>0.57230000000000003</v>
      </c>
      <c r="C478">
        <v>0.57889999999999997</v>
      </c>
      <c r="D478">
        <v>0.5595</v>
      </c>
      <c r="E478">
        <v>0.56799999999999995</v>
      </c>
      <c r="F478">
        <v>61366.06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-0.12371134020618928</v>
      </c>
      <c r="Q478">
        <f t="shared" si="980"/>
        <v>-7591.6775257734234</v>
      </c>
      <c r="R478">
        <f t="shared" si="981"/>
        <v>-46044.284022274238</v>
      </c>
      <c r="S478">
        <f t="shared" si="982"/>
        <v>-0.4604428402227424</v>
      </c>
      <c r="T478">
        <f t="shared" si="983"/>
        <v>-4.6044284022274238E-4</v>
      </c>
    </row>
    <row r="479" spans="1:20" x14ac:dyDescent="0.25">
      <c r="A479" s="5">
        <v>44114</v>
      </c>
      <c r="B479">
        <v>0.56410000000000005</v>
      </c>
      <c r="C479">
        <v>0.61399999999999999</v>
      </c>
      <c r="D479">
        <v>0.56379999999999997</v>
      </c>
      <c r="E479">
        <v>0.57210000000000005</v>
      </c>
      <c r="F479">
        <v>363079.89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-0.66932270916334335</v>
      </c>
      <c r="Q479">
        <f t="shared" si="980"/>
        <v>-243017.6156175287</v>
      </c>
      <c r="R479">
        <f t="shared" si="981"/>
        <v>-38452.606496500812</v>
      </c>
      <c r="S479">
        <f t="shared" si="982"/>
        <v>-0.38452606496500813</v>
      </c>
      <c r="T479">
        <f t="shared" si="983"/>
        <v>-3.8452606496500814E-4</v>
      </c>
    </row>
    <row r="480" spans="1:20" x14ac:dyDescent="0.25">
      <c r="A480" s="5">
        <v>44113</v>
      </c>
      <c r="B480">
        <v>0.5363</v>
      </c>
      <c r="C480">
        <v>0.56930000000000003</v>
      </c>
      <c r="D480">
        <v>0.53</v>
      </c>
      <c r="E480">
        <v>0.56120000000000003</v>
      </c>
      <c r="F480">
        <v>154251.69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0.58778625954198493</v>
      </c>
      <c r="Q480">
        <f t="shared" si="980"/>
        <v>90667.023893129808</v>
      </c>
      <c r="R480">
        <f t="shared" si="981"/>
        <v>204565.00912102789</v>
      </c>
      <c r="S480">
        <f t="shared" si="982"/>
        <v>2.0456500912102791</v>
      </c>
      <c r="T480">
        <f t="shared" si="983"/>
        <v>2.0456500912102789E-3</v>
      </c>
    </row>
    <row r="481" spans="1:20" x14ac:dyDescent="0.25">
      <c r="A481" s="5">
        <v>44112</v>
      </c>
      <c r="B481">
        <v>0.51800000000000002</v>
      </c>
      <c r="C481">
        <v>0.53939999999999999</v>
      </c>
      <c r="D481">
        <v>0.51080000000000003</v>
      </c>
      <c r="E481">
        <v>0.5393</v>
      </c>
      <c r="F481">
        <v>108712.59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0.9930069930069938</v>
      </c>
      <c r="Q481">
        <f t="shared" si="980"/>
        <v>107952.36209790218</v>
      </c>
      <c r="R481">
        <f t="shared" si="981"/>
        <v>113897.9852278981</v>
      </c>
      <c r="S481">
        <f t="shared" si="982"/>
        <v>1.1389798522789809</v>
      </c>
      <c r="T481">
        <f t="shared" si="983"/>
        <v>1.1389798522789809E-3</v>
      </c>
    </row>
    <row r="482" spans="1:20" x14ac:dyDescent="0.25">
      <c r="A482" s="5">
        <v>44111</v>
      </c>
      <c r="B482">
        <v>0.51729999999999998</v>
      </c>
      <c r="C482">
        <v>0.52380000000000004</v>
      </c>
      <c r="D482">
        <v>0.51100000000000001</v>
      </c>
      <c r="E482">
        <v>0.52059999999999995</v>
      </c>
      <c r="F482">
        <v>67641.05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0.49999999999998701</v>
      </c>
      <c r="Q482">
        <f t="shared" si="980"/>
        <v>33820.524999999121</v>
      </c>
      <c r="R482">
        <f t="shared" si="981"/>
        <v>5945.6231299959181</v>
      </c>
      <c r="S482">
        <f t="shared" si="982"/>
        <v>5.9456231299959181E-2</v>
      </c>
      <c r="T482">
        <f t="shared" si="983"/>
        <v>5.9456231299959181E-5</v>
      </c>
    </row>
    <row r="483" spans="1:20" x14ac:dyDescent="0.25">
      <c r="A483" s="5">
        <v>44110</v>
      </c>
      <c r="B483">
        <v>0.56220000000000003</v>
      </c>
      <c r="C483">
        <v>0.56799999999999995</v>
      </c>
      <c r="D483">
        <v>0.50509999999999999</v>
      </c>
      <c r="E483">
        <v>0.52049999999999996</v>
      </c>
      <c r="F483">
        <v>160746.71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-0.51033386327504038</v>
      </c>
      <c r="Q483">
        <f t="shared" si="980"/>
        <v>-82034.489523052558</v>
      </c>
      <c r="R483">
        <f t="shared" si="981"/>
        <v>-27874.901870003203</v>
      </c>
      <c r="S483">
        <f t="shared" si="982"/>
        <v>-0.27874901870003205</v>
      </c>
      <c r="T483">
        <f t="shared" si="983"/>
        <v>-2.7874901870003204E-4</v>
      </c>
    </row>
    <row r="484" spans="1:20" x14ac:dyDescent="0.25">
      <c r="A484" s="5">
        <v>44109</v>
      </c>
      <c r="B484">
        <v>0.55169999999999997</v>
      </c>
      <c r="C484">
        <v>0.56220000000000003</v>
      </c>
      <c r="D484">
        <v>0.5474</v>
      </c>
      <c r="E484">
        <v>0.56220000000000003</v>
      </c>
      <c r="F484">
        <v>82320.31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1</v>
      </c>
      <c r="Q484">
        <f t="shared" si="980"/>
        <v>82320.31</v>
      </c>
      <c r="R484">
        <f t="shared" si="981"/>
        <v>54159.587653049355</v>
      </c>
      <c r="S484">
        <f t="shared" si="982"/>
        <v>0.54159587653049357</v>
      </c>
      <c r="T484">
        <f t="shared" si="983"/>
        <v>5.4159587653049355E-4</v>
      </c>
    </row>
    <row r="485" spans="1:20" x14ac:dyDescent="0.25">
      <c r="A485" s="5">
        <v>44108</v>
      </c>
      <c r="B485">
        <v>0.53800000000000003</v>
      </c>
      <c r="C485">
        <v>0.55179999999999996</v>
      </c>
      <c r="D485">
        <v>0.52869999999999995</v>
      </c>
      <c r="E485">
        <v>0.55169999999999997</v>
      </c>
      <c r="F485">
        <v>96535.93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0.9913419913419923</v>
      </c>
      <c r="Q485">
        <f t="shared" si="980"/>
        <v>95700.121082251164</v>
      </c>
      <c r="R485">
        <f t="shared" si="981"/>
        <v>-28160.722346950643</v>
      </c>
      <c r="S485">
        <f t="shared" si="982"/>
        <v>-0.28160722346950645</v>
      </c>
      <c r="T485">
        <f t="shared" si="983"/>
        <v>-2.8160722346950642E-4</v>
      </c>
    </row>
    <row r="486" spans="1:20" x14ac:dyDescent="0.25">
      <c r="A486" s="5">
        <v>44107</v>
      </c>
      <c r="B486">
        <v>0.53879999999999995</v>
      </c>
      <c r="C486">
        <v>0.54579999999999995</v>
      </c>
      <c r="D486">
        <v>0.53600000000000003</v>
      </c>
      <c r="E486">
        <v>0.54079999999999995</v>
      </c>
      <c r="F486">
        <v>41230.589999999997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-2.040816326531537E-2</v>
      </c>
      <c r="Q486">
        <f t="shared" si="980"/>
        <v>-841.44061224527923</v>
      </c>
      <c r="R486">
        <f t="shared" si="981"/>
        <v>-123860.84342920181</v>
      </c>
      <c r="S486">
        <f t="shared" si="982"/>
        <v>-1.2386084342920181</v>
      </c>
      <c r="T486">
        <f t="shared" si="983"/>
        <v>-1.2386084342920181E-3</v>
      </c>
    </row>
    <row r="487" spans="1:20" x14ac:dyDescent="0.25">
      <c r="A487" s="5">
        <v>44106</v>
      </c>
      <c r="B487">
        <v>0.56169999999999998</v>
      </c>
      <c r="C487">
        <v>0.56369999999999998</v>
      </c>
      <c r="D487">
        <v>0.53449999999999998</v>
      </c>
      <c r="E487">
        <v>0.53959999999999997</v>
      </c>
      <c r="F487">
        <v>111355.15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-0.65068493150684981</v>
      </c>
      <c r="Q487">
        <f t="shared" si="980"/>
        <v>-72457.118150684983</v>
      </c>
      <c r="R487">
        <f t="shared" si="981"/>
        <v>-123019.40281695653</v>
      </c>
      <c r="S487">
        <f t="shared" si="982"/>
        <v>-1.2301940281695654</v>
      </c>
      <c r="T487">
        <f t="shared" si="983"/>
        <v>-1.2301940281695654E-3</v>
      </c>
    </row>
    <row r="488" spans="1:20" x14ac:dyDescent="0.25">
      <c r="A488" s="5">
        <v>44105</v>
      </c>
      <c r="B488">
        <v>0.56989999999999996</v>
      </c>
      <c r="C488">
        <v>0.59130000000000005</v>
      </c>
      <c r="D488">
        <v>0.54590000000000005</v>
      </c>
      <c r="E488">
        <v>0.56200000000000006</v>
      </c>
      <c r="F488">
        <v>178745.38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-0.29074889867841391</v>
      </c>
      <c r="Q488">
        <f t="shared" si="980"/>
        <v>-51970.022378854592</v>
      </c>
      <c r="R488">
        <f t="shared" si="981"/>
        <v>-50562.284666271546</v>
      </c>
      <c r="S488">
        <f t="shared" si="982"/>
        <v>-0.50562284666271551</v>
      </c>
      <c r="T488">
        <f t="shared" si="983"/>
        <v>-5.0562284666271547E-4</v>
      </c>
    </row>
    <row r="489" spans="1:20" x14ac:dyDescent="0.25">
      <c r="A489" s="5">
        <v>44104</v>
      </c>
      <c r="B489">
        <v>0.57720000000000005</v>
      </c>
      <c r="C489">
        <v>0.57720000000000005</v>
      </c>
      <c r="D489">
        <v>0.5585</v>
      </c>
      <c r="E489">
        <v>0.57140000000000002</v>
      </c>
      <c r="F489">
        <v>46431.97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0.37967914438502548</v>
      </c>
      <c r="Q489">
        <f t="shared" si="980"/>
        <v>17629.250641711173</v>
      </c>
      <c r="R489">
        <f t="shared" si="981"/>
        <v>1407.7377125830462</v>
      </c>
      <c r="S489">
        <f t="shared" si="982"/>
        <v>1.4077377125830463E-2</v>
      </c>
      <c r="T489">
        <f t="shared" si="983"/>
        <v>1.4077377125830463E-5</v>
      </c>
    </row>
    <row r="490" spans="1:20" x14ac:dyDescent="0.25">
      <c r="A490" s="5">
        <v>44103</v>
      </c>
      <c r="B490">
        <v>0.55989999999999995</v>
      </c>
      <c r="C490">
        <v>0.58430000000000004</v>
      </c>
      <c r="D490">
        <v>0.5585</v>
      </c>
      <c r="E490">
        <v>0.57720000000000005</v>
      </c>
      <c r="F490">
        <v>115780.36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0.44961240310077655</v>
      </c>
      <c r="Q490">
        <f t="shared" si="980"/>
        <v>52056.285891473024</v>
      </c>
      <c r="R490">
        <f t="shared" si="981"/>
        <v>-16221.512929128126</v>
      </c>
      <c r="S490">
        <f t="shared" si="982"/>
        <v>-0.16221512929128126</v>
      </c>
      <c r="T490">
        <f t="shared" si="983"/>
        <v>-1.6221512929128127E-4</v>
      </c>
    </row>
    <row r="491" spans="1:20" x14ac:dyDescent="0.25">
      <c r="A491" s="5">
        <v>44102</v>
      </c>
      <c r="B491">
        <v>0.57069999999999999</v>
      </c>
      <c r="C491">
        <v>0.57809999999999995</v>
      </c>
      <c r="D491">
        <v>0.5575</v>
      </c>
      <c r="E491">
        <v>0.55840000000000001</v>
      </c>
      <c r="F491">
        <v>131695.44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-0.91262135922329957</v>
      </c>
      <c r="Q491">
        <f t="shared" si="980"/>
        <v>-120188.0714563105</v>
      </c>
      <c r="R491">
        <f t="shared" si="981"/>
        <v>-68277.798820601151</v>
      </c>
      <c r="S491">
        <f t="shared" si="982"/>
        <v>-0.68277798820601154</v>
      </c>
      <c r="T491">
        <f t="shared" si="983"/>
        <v>-6.8277798820601157E-4</v>
      </c>
    </row>
    <row r="492" spans="1:20" x14ac:dyDescent="0.25">
      <c r="A492" s="5">
        <v>44101</v>
      </c>
      <c r="B492">
        <v>0.56479999999999997</v>
      </c>
      <c r="C492">
        <v>0.59509999999999996</v>
      </c>
      <c r="D492">
        <v>0.55759999999999998</v>
      </c>
      <c r="E492">
        <v>0.56940000000000002</v>
      </c>
      <c r="F492">
        <v>496090.42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-0.37066666666666453</v>
      </c>
      <c r="Q492">
        <f t="shared" si="980"/>
        <v>-183884.18234666559</v>
      </c>
      <c r="R492">
        <f t="shared" si="981"/>
        <v>51910.272635709349</v>
      </c>
      <c r="S492">
        <f t="shared" si="982"/>
        <v>0.51910272635709354</v>
      </c>
      <c r="T492">
        <f t="shared" si="983"/>
        <v>5.1910272635709352E-4</v>
      </c>
    </row>
    <row r="493" spans="1:20" x14ac:dyDescent="0.25">
      <c r="A493" s="5">
        <v>44100</v>
      </c>
      <c r="B493">
        <v>0.56769999999999998</v>
      </c>
      <c r="C493">
        <v>0.57499999999999996</v>
      </c>
      <c r="D493">
        <v>0.55730000000000002</v>
      </c>
      <c r="E493">
        <v>0.56489999999999996</v>
      </c>
      <c r="F493">
        <v>173181.63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-0.14124293785311109</v>
      </c>
      <c r="Q493">
        <f t="shared" si="980"/>
        <v>-24460.682203390479</v>
      </c>
      <c r="R493">
        <f t="shared" si="981"/>
        <v>235794.45498237494</v>
      </c>
      <c r="S493">
        <f t="shared" si="982"/>
        <v>2.3579445498237495</v>
      </c>
      <c r="T493">
        <f t="shared" si="983"/>
        <v>2.3579445498237493E-3</v>
      </c>
    </row>
    <row r="494" spans="1:20" x14ac:dyDescent="0.25">
      <c r="A494" s="5">
        <v>44099</v>
      </c>
      <c r="B494">
        <v>0.55249999999999999</v>
      </c>
      <c r="C494">
        <v>0.58050000000000002</v>
      </c>
      <c r="D494">
        <v>0.53749999999999998</v>
      </c>
      <c r="E494">
        <v>0.56779999999999997</v>
      </c>
      <c r="F494">
        <v>199052.5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0.40930232558139379</v>
      </c>
      <c r="Q494">
        <f t="shared" si="980"/>
        <v>81472.651162790382</v>
      </c>
      <c r="R494">
        <f t="shared" si="981"/>
        <v>260255.13718576543</v>
      </c>
      <c r="S494">
        <f t="shared" si="982"/>
        <v>2.6025513718576545</v>
      </c>
      <c r="T494">
        <f t="shared" si="983"/>
        <v>2.6025513718576543E-3</v>
      </c>
    </row>
    <row r="495" spans="1:20" x14ac:dyDescent="0.25">
      <c r="A495" s="5">
        <v>44098</v>
      </c>
      <c r="B495">
        <v>0.51570000000000005</v>
      </c>
      <c r="C495">
        <v>0.55759999999999998</v>
      </c>
      <c r="D495">
        <v>0.51080000000000003</v>
      </c>
      <c r="E495">
        <v>0.55300000000000005</v>
      </c>
      <c r="F495">
        <v>160991.15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0.80341880341880589</v>
      </c>
      <c r="Q495">
        <f t="shared" si="980"/>
        <v>129343.31709401749</v>
      </c>
      <c r="R495">
        <f t="shared" si="981"/>
        <v>178782.48602297506</v>
      </c>
      <c r="S495">
        <f t="shared" si="982"/>
        <v>1.7878248602297506</v>
      </c>
      <c r="T495">
        <f t="shared" si="983"/>
        <v>1.7878248602297506E-3</v>
      </c>
    </row>
    <row r="496" spans="1:20" x14ac:dyDescent="0.25">
      <c r="A496" s="5">
        <v>44097</v>
      </c>
      <c r="B496">
        <v>0.57379999999999998</v>
      </c>
      <c r="C496">
        <v>0.57589999999999997</v>
      </c>
      <c r="D496">
        <v>0.50480000000000003</v>
      </c>
      <c r="E496">
        <v>0.51790000000000003</v>
      </c>
      <c r="F496">
        <v>218033.23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-0.6315049226441628</v>
      </c>
      <c r="Q496">
        <f t="shared" si="980"/>
        <v>-137689.05804500697</v>
      </c>
      <c r="R496">
        <f t="shared" si="981"/>
        <v>49439.168928957573</v>
      </c>
      <c r="S496">
        <f t="shared" si="982"/>
        <v>0.49439168928957572</v>
      </c>
      <c r="T496">
        <f t="shared" si="983"/>
        <v>4.9439168928957567E-4</v>
      </c>
    </row>
    <row r="497" spans="1:20" x14ac:dyDescent="0.25">
      <c r="A497" s="5">
        <v>44096</v>
      </c>
      <c r="B497">
        <v>0.57509999999999994</v>
      </c>
      <c r="C497">
        <v>0.58299999999999996</v>
      </c>
      <c r="D497">
        <v>0.54890000000000005</v>
      </c>
      <c r="E497">
        <v>0.57189999999999996</v>
      </c>
      <c r="F497">
        <v>219313.42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0.34897360703812147</v>
      </c>
      <c r="Q497">
        <f t="shared" si="980"/>
        <v>76534.595249266495</v>
      </c>
      <c r="R497">
        <f t="shared" si="981"/>
        <v>187128.22697396454</v>
      </c>
      <c r="S497">
        <f t="shared" si="982"/>
        <v>1.8712822697396454</v>
      </c>
      <c r="T497">
        <f t="shared" si="983"/>
        <v>1.8712822697396455E-3</v>
      </c>
    </row>
    <row r="498" spans="1:20" x14ac:dyDescent="0.25">
      <c r="A498" s="5">
        <v>44095</v>
      </c>
      <c r="B498">
        <v>0.64290000000000003</v>
      </c>
      <c r="C498">
        <v>0.64739999999999998</v>
      </c>
      <c r="D498">
        <v>0.56569999999999998</v>
      </c>
      <c r="E498">
        <v>0.57740000000000002</v>
      </c>
      <c r="F498">
        <v>426905.42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-0.71358629130966844</v>
      </c>
      <c r="Q498">
        <f t="shared" si="980"/>
        <v>-304633.85539779632</v>
      </c>
      <c r="R498">
        <f t="shared" si="981"/>
        <v>110593.63172469806</v>
      </c>
      <c r="S498">
        <f t="shared" si="982"/>
        <v>1.1059363172469807</v>
      </c>
      <c r="T498">
        <f t="shared" si="983"/>
        <v>1.1059363172469807E-3</v>
      </c>
    </row>
    <row r="499" spans="1:20" x14ac:dyDescent="0.25">
      <c r="A499" s="5">
        <v>44094</v>
      </c>
      <c r="B499">
        <v>0.61960000000000004</v>
      </c>
      <c r="C499">
        <v>0.64870000000000005</v>
      </c>
      <c r="D499">
        <v>0.60560000000000003</v>
      </c>
      <c r="E499">
        <v>0.6431</v>
      </c>
      <c r="F499">
        <v>312149.44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0.74013921113688885</v>
      </c>
      <c r="Q499">
        <f t="shared" si="980"/>
        <v>231034.04027842163</v>
      </c>
      <c r="R499">
        <f t="shared" si="981"/>
        <v>415227.48712249438</v>
      </c>
      <c r="S499">
        <f t="shared" si="982"/>
        <v>4.152274871224944</v>
      </c>
      <c r="T499">
        <f t="shared" si="983"/>
        <v>4.1522748712249438E-3</v>
      </c>
    </row>
    <row r="500" spans="1:20" x14ac:dyDescent="0.25">
      <c r="A500" s="5">
        <v>44093</v>
      </c>
      <c r="B500">
        <v>0.60699999999999998</v>
      </c>
      <c r="C500">
        <v>0.62539999999999996</v>
      </c>
      <c r="D500">
        <v>0.60099999999999998</v>
      </c>
      <c r="E500">
        <v>0.62109999999999999</v>
      </c>
      <c r="F500">
        <v>117325.86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0.64754098360655943</v>
      </c>
      <c r="Q500">
        <f t="shared" si="980"/>
        <v>75973.302786885484</v>
      </c>
      <c r="R500">
        <f t="shared" si="981"/>
        <v>184193.44684407278</v>
      </c>
      <c r="S500">
        <f t="shared" si="982"/>
        <v>1.8419344684407277</v>
      </c>
      <c r="T500">
        <f t="shared" si="983"/>
        <v>1.8419344684407278E-3</v>
      </c>
    </row>
    <row r="501" spans="1:20" x14ac:dyDescent="0.25">
      <c r="A501" s="5">
        <v>44092</v>
      </c>
      <c r="B501">
        <v>0.624</v>
      </c>
      <c r="C501">
        <v>0.62560000000000004</v>
      </c>
      <c r="D501">
        <v>0.59509999999999996</v>
      </c>
      <c r="E501">
        <v>0.60540000000000005</v>
      </c>
      <c r="F501">
        <v>107185.16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-0.32459016393442236</v>
      </c>
      <c r="Q501">
        <f t="shared" si="980"/>
        <v>-34791.24865573729</v>
      </c>
      <c r="R501">
        <f t="shared" si="981"/>
        <v>108220.14405718728</v>
      </c>
      <c r="S501">
        <f t="shared" si="982"/>
        <v>1.0822014405718727</v>
      </c>
      <c r="T501">
        <f t="shared" si="983"/>
        <v>1.0822014405718727E-3</v>
      </c>
    </row>
    <row r="502" spans="1:20" x14ac:dyDescent="0.25">
      <c r="A502" s="5">
        <v>44091</v>
      </c>
      <c r="B502">
        <v>0.61729999999999996</v>
      </c>
      <c r="C502">
        <v>0.63</v>
      </c>
      <c r="D502">
        <v>0.60680000000000001</v>
      </c>
      <c r="E502">
        <v>0.62109999999999999</v>
      </c>
      <c r="F502">
        <v>150688.1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0.23275862068965347</v>
      </c>
      <c r="Q502">
        <f t="shared" si="980"/>
        <v>35073.954310344576</v>
      </c>
      <c r="R502">
        <f t="shared" si="981"/>
        <v>143011.39271292457</v>
      </c>
      <c r="S502">
        <f t="shared" si="982"/>
        <v>1.4301139271292458</v>
      </c>
      <c r="T502">
        <f t="shared" si="983"/>
        <v>1.4301139271292458E-3</v>
      </c>
    </row>
    <row r="503" spans="1:20" x14ac:dyDescent="0.25">
      <c r="A503" s="5">
        <v>44090</v>
      </c>
      <c r="B503">
        <v>0.60229999999999995</v>
      </c>
      <c r="C503">
        <v>0.62119999999999997</v>
      </c>
      <c r="D503">
        <v>0.58150000000000002</v>
      </c>
      <c r="E503">
        <v>0.61699999999999999</v>
      </c>
      <c r="F503">
        <v>219554.53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0.78841309823677652</v>
      </c>
      <c r="Q503">
        <f t="shared" si="980"/>
        <v>173099.66722921931</v>
      </c>
      <c r="R503">
        <f t="shared" si="981"/>
        <v>107937.43840258001</v>
      </c>
      <c r="S503">
        <f t="shared" si="982"/>
        <v>1.0793743840258001</v>
      </c>
      <c r="T503">
        <f t="shared" si="983"/>
        <v>1.0793743840258E-3</v>
      </c>
    </row>
    <row r="504" spans="1:20" x14ac:dyDescent="0.25">
      <c r="A504" s="5">
        <v>44089</v>
      </c>
      <c r="B504">
        <v>0.63290000000000002</v>
      </c>
      <c r="C504">
        <v>0.64249999999999996</v>
      </c>
      <c r="D504">
        <v>0.6</v>
      </c>
      <c r="E504">
        <v>0.60229999999999995</v>
      </c>
      <c r="F504">
        <v>238303.47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-0.89176470588235435</v>
      </c>
      <c r="Q504">
        <f t="shared" si="980"/>
        <v>-212510.62383529445</v>
      </c>
      <c r="R504">
        <f t="shared" si="981"/>
        <v>-65162.228826639301</v>
      </c>
      <c r="S504">
        <f t="shared" si="982"/>
        <v>-0.65162228826639301</v>
      </c>
      <c r="T504">
        <f t="shared" si="983"/>
        <v>-6.5162228826639299E-4</v>
      </c>
    </row>
    <row r="505" spans="1:20" x14ac:dyDescent="0.25">
      <c r="A505" s="5">
        <v>44088</v>
      </c>
      <c r="B505">
        <v>0.61129999999999995</v>
      </c>
      <c r="C505">
        <v>0.63859999999999995</v>
      </c>
      <c r="D505">
        <v>0.59740000000000004</v>
      </c>
      <c r="E505">
        <v>0.63660000000000005</v>
      </c>
      <c r="F505">
        <v>230934.84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0.90291262135922834</v>
      </c>
      <c r="Q505">
        <f t="shared" si="980"/>
        <v>208513.98174757397</v>
      </c>
      <c r="R505">
        <f t="shared" si="981"/>
        <v>147348.39500865515</v>
      </c>
      <c r="S505">
        <f t="shared" si="982"/>
        <v>1.4734839500865515</v>
      </c>
      <c r="T505">
        <f t="shared" si="983"/>
        <v>1.4734839500865516E-3</v>
      </c>
    </row>
    <row r="506" spans="1:20" x14ac:dyDescent="0.25">
      <c r="A506" s="5">
        <v>44087</v>
      </c>
      <c r="B506">
        <v>0.65549999999999997</v>
      </c>
      <c r="C506">
        <v>0.65869999999999995</v>
      </c>
      <c r="D506">
        <v>0.60019999999999996</v>
      </c>
      <c r="E506">
        <v>0.61129999999999995</v>
      </c>
      <c r="F506">
        <v>371089.12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-0.62051282051282053</v>
      </c>
      <c r="Q506">
        <f t="shared" si="980"/>
        <v>-230265.55651282051</v>
      </c>
      <c r="R506">
        <f t="shared" si="981"/>
        <v>-61165.586738918821</v>
      </c>
      <c r="S506">
        <f t="shared" si="982"/>
        <v>-0.6116558673891882</v>
      </c>
      <c r="T506">
        <f t="shared" si="983"/>
        <v>-6.1165586738918816E-4</v>
      </c>
    </row>
    <row r="507" spans="1:20" x14ac:dyDescent="0.25">
      <c r="A507" s="5">
        <v>44086</v>
      </c>
      <c r="B507">
        <v>0.64810000000000001</v>
      </c>
      <c r="C507">
        <v>0.66639999999999999</v>
      </c>
      <c r="D507">
        <v>0.63829999999999998</v>
      </c>
      <c r="E507">
        <v>0.65549999999999997</v>
      </c>
      <c r="F507">
        <v>342368.39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0.22419928825622665</v>
      </c>
      <c r="Q507">
        <f t="shared" si="980"/>
        <v>76758.749359430221</v>
      </c>
      <c r="R507">
        <f t="shared" si="981"/>
        <v>169099.96977390168</v>
      </c>
      <c r="S507">
        <f t="shared" si="982"/>
        <v>1.6909996977390169</v>
      </c>
      <c r="T507">
        <f t="shared" si="983"/>
        <v>1.6909996977390168E-3</v>
      </c>
    </row>
    <row r="508" spans="1:20" x14ac:dyDescent="0.25">
      <c r="A508" s="5">
        <v>44085</v>
      </c>
      <c r="B508">
        <v>0.62980000000000003</v>
      </c>
      <c r="C508">
        <v>0.65269999999999995</v>
      </c>
      <c r="D508">
        <v>0.60109999999999997</v>
      </c>
      <c r="E508">
        <v>0.64810000000000001</v>
      </c>
      <c r="F508">
        <v>432407.03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0.8217054263565915</v>
      </c>
      <c r="Q508">
        <f t="shared" si="980"/>
        <v>355311.20294573746</v>
      </c>
      <c r="R508">
        <f t="shared" si="981"/>
        <v>92341.220414471463</v>
      </c>
      <c r="S508">
        <f t="shared" si="982"/>
        <v>0.92341220414471459</v>
      </c>
      <c r="T508">
        <f t="shared" si="983"/>
        <v>9.2341220414471456E-4</v>
      </c>
    </row>
    <row r="509" spans="1:20" x14ac:dyDescent="0.25">
      <c r="A509" s="5">
        <v>44084</v>
      </c>
      <c r="B509">
        <v>0.61660000000000004</v>
      </c>
      <c r="C509">
        <v>0.68479999999999996</v>
      </c>
      <c r="D509">
        <v>0.61009999999999998</v>
      </c>
      <c r="E509">
        <v>0.62749999999999995</v>
      </c>
      <c r="F509">
        <v>637507.64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-0.53413654618473971</v>
      </c>
      <c r="Q509">
        <f t="shared" si="980"/>
        <v>-340516.12899598444</v>
      </c>
      <c r="R509">
        <f t="shared" si="981"/>
        <v>-262969.982531266</v>
      </c>
      <c r="S509">
        <f t="shared" si="982"/>
        <v>-2.62969982531266</v>
      </c>
      <c r="T509">
        <f t="shared" si="983"/>
        <v>-2.6296998253126599E-3</v>
      </c>
    </row>
    <row r="510" spans="1:20" x14ac:dyDescent="0.25">
      <c r="A510" s="5">
        <v>44083</v>
      </c>
      <c r="B510">
        <v>0.5867</v>
      </c>
      <c r="C510">
        <v>0.64500000000000002</v>
      </c>
      <c r="D510">
        <v>0.57330000000000003</v>
      </c>
      <c r="E510">
        <v>0.61599999999999999</v>
      </c>
      <c r="F510">
        <v>449972.67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0.19107391910739102</v>
      </c>
      <c r="Q510">
        <f t="shared" si="980"/>
        <v>85978.041548116758</v>
      </c>
      <c r="R510">
        <f t="shared" si="981"/>
        <v>77546.146464718433</v>
      </c>
      <c r="S510">
        <f t="shared" si="982"/>
        <v>0.77546146464718435</v>
      </c>
      <c r="T510">
        <f t="shared" si="983"/>
        <v>7.754614646471843E-4</v>
      </c>
    </row>
    <row r="511" spans="1:20" x14ac:dyDescent="0.25">
      <c r="A511" s="5">
        <v>44082</v>
      </c>
      <c r="B511">
        <v>0.61339999999999995</v>
      </c>
      <c r="C511">
        <v>0.62860000000000005</v>
      </c>
      <c r="D511">
        <v>0.57079999999999997</v>
      </c>
      <c r="E511">
        <v>0.58720000000000006</v>
      </c>
      <c r="F511">
        <v>353419.29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-0.43252595155709134</v>
      </c>
      <c r="Q511">
        <f t="shared" si="980"/>
        <v>-152863.01470588159</v>
      </c>
      <c r="R511">
        <f t="shared" si="981"/>
        <v>-8431.8950833983254</v>
      </c>
      <c r="S511">
        <f t="shared" si="982"/>
        <v>-8.4318950833983247E-2</v>
      </c>
      <c r="T511">
        <f t="shared" si="983"/>
        <v>-8.4318950833983246E-5</v>
      </c>
    </row>
    <row r="512" spans="1:20" x14ac:dyDescent="0.25">
      <c r="A512" s="5">
        <v>44081</v>
      </c>
      <c r="B512">
        <v>0.62</v>
      </c>
      <c r="C512">
        <v>0.63460000000000005</v>
      </c>
      <c r="D512">
        <v>0.56410000000000005</v>
      </c>
      <c r="E512">
        <v>0.61019999999999996</v>
      </c>
      <c r="F512">
        <v>268995.36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0.30780141843971387</v>
      </c>
      <c r="Q512">
        <f t="shared" si="980"/>
        <v>82797.153361701465</v>
      </c>
      <c r="R512">
        <f t="shared" si="981"/>
        <v>144431.11962248327</v>
      </c>
      <c r="S512">
        <f t="shared" si="982"/>
        <v>1.4443111962248327</v>
      </c>
      <c r="T512">
        <f t="shared" si="983"/>
        <v>1.4443111962248328E-3</v>
      </c>
    </row>
    <row r="513" spans="1:20" x14ac:dyDescent="0.25">
      <c r="A513" s="5">
        <v>44080</v>
      </c>
      <c r="B513">
        <v>0.59</v>
      </c>
      <c r="C513">
        <v>0.625</v>
      </c>
      <c r="D513">
        <v>0.55659999999999998</v>
      </c>
      <c r="E513">
        <v>0.61809999999999998</v>
      </c>
      <c r="F513">
        <v>411409.78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0.79824561403508731</v>
      </c>
      <c r="Q513">
        <f t="shared" si="980"/>
        <v>328406.05245614023</v>
      </c>
      <c r="R513">
        <f t="shared" si="981"/>
        <v>61633.966260781803</v>
      </c>
      <c r="S513">
        <f t="shared" si="982"/>
        <v>0.61633966260781803</v>
      </c>
      <c r="T513">
        <f t="shared" si="983"/>
        <v>6.1633966260781804E-4</v>
      </c>
    </row>
    <row r="514" spans="1:20" x14ac:dyDescent="0.25">
      <c r="A514" s="5">
        <v>44079</v>
      </c>
      <c r="B514">
        <v>0.62350000000000005</v>
      </c>
      <c r="C514">
        <v>0.63370000000000004</v>
      </c>
      <c r="D514">
        <v>0.56000000000000005</v>
      </c>
      <c r="E514">
        <v>0.58940000000000003</v>
      </c>
      <c r="F514">
        <v>255232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-0.20217096336499357</v>
      </c>
      <c r="Q514">
        <f t="shared" si="980"/>
        <v>-51600.49932157404</v>
      </c>
      <c r="R514">
        <f t="shared" si="981"/>
        <v>-266772.08619535842</v>
      </c>
      <c r="S514">
        <f t="shared" si="982"/>
        <v>-2.6677208619535842</v>
      </c>
      <c r="T514">
        <f t="shared" si="983"/>
        <v>-2.6677208619535842E-3</v>
      </c>
    </row>
    <row r="515" spans="1:20" x14ac:dyDescent="0.25">
      <c r="A515" s="5">
        <v>44078</v>
      </c>
      <c r="B515">
        <v>0.60309999999999997</v>
      </c>
      <c r="C515">
        <v>0.6421</v>
      </c>
      <c r="D515">
        <v>0.56889999999999996</v>
      </c>
      <c r="E515">
        <v>0.62649999999999995</v>
      </c>
      <c r="F515">
        <v>429673.94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0.57377049180327733</v>
      </c>
      <c r="Q515">
        <f t="shared" si="980"/>
        <v>246534.22786885189</v>
      </c>
      <c r="R515">
        <f t="shared" si="981"/>
        <v>-215171.5868737844</v>
      </c>
      <c r="S515">
        <f t="shared" si="982"/>
        <v>-2.1517158687378442</v>
      </c>
      <c r="T515">
        <f t="shared" si="983"/>
        <v>-2.151715868737844E-3</v>
      </c>
    </row>
    <row r="516" spans="1:20" x14ac:dyDescent="0.25">
      <c r="A516" s="5">
        <v>44077</v>
      </c>
      <c r="B516">
        <v>0.7036</v>
      </c>
      <c r="C516">
        <v>0.70860000000000001</v>
      </c>
      <c r="D516">
        <v>0.59240000000000004</v>
      </c>
      <c r="E516">
        <v>0.60329999999999995</v>
      </c>
      <c r="F516">
        <v>491691.13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-0.8123924268502597</v>
      </c>
      <c r="Q516">
        <f t="shared" si="980"/>
        <v>-399446.15036144655</v>
      </c>
      <c r="R516">
        <f t="shared" si="981"/>
        <v>-461705.81474263628</v>
      </c>
      <c r="S516">
        <f t="shared" si="982"/>
        <v>-4.6170581474263628</v>
      </c>
      <c r="T516">
        <f t="shared" si="983"/>
        <v>-4.6170581474263631E-3</v>
      </c>
    </row>
    <row r="517" spans="1:20" x14ac:dyDescent="0.25">
      <c r="A517" s="5">
        <v>44076</v>
      </c>
      <c r="B517">
        <v>0.75719999999999998</v>
      </c>
      <c r="C517">
        <v>0.76559999999999995</v>
      </c>
      <c r="D517">
        <v>0.68010000000000004</v>
      </c>
      <c r="E517">
        <v>0.70640000000000003</v>
      </c>
      <c r="F517">
        <v>578307.34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-0.38479532163742647</v>
      </c>
      <c r="Q517">
        <f t="shared" si="980"/>
        <v>-222529.95890058452</v>
      </c>
      <c r="R517">
        <f t="shared" si="981"/>
        <v>-62259.664381189708</v>
      </c>
      <c r="S517">
        <f t="shared" si="982"/>
        <v>-0.62259664381189705</v>
      </c>
      <c r="T517">
        <f t="shared" si="983"/>
        <v>-6.2259664381189702E-4</v>
      </c>
    </row>
    <row r="518" spans="1:20" x14ac:dyDescent="0.25">
      <c r="A518" s="5">
        <v>44075</v>
      </c>
      <c r="B518">
        <v>0.80059999999999998</v>
      </c>
      <c r="C518">
        <v>0.80449999999999999</v>
      </c>
      <c r="D518">
        <v>0.75</v>
      </c>
      <c r="E518">
        <v>0.7571</v>
      </c>
      <c r="F518">
        <v>526792.55000000005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-0.73944954128440377</v>
      </c>
      <c r="Q518">
        <f t="shared" ref="Q518:Q581" si="985">F518*P518</f>
        <v>-389536.50944954139</v>
      </c>
      <c r="R518">
        <f t="shared" ref="R518:R581" si="986">R519+Q518</f>
        <v>160270.29451939481</v>
      </c>
      <c r="S518">
        <f t="shared" ref="S518:S581" si="987">R518/100000</f>
        <v>1.6027029451939481</v>
      </c>
      <c r="T518">
        <f t="shared" ref="T518:T581" si="988">S518/1000</f>
        <v>1.602702945193948E-3</v>
      </c>
    </row>
    <row r="519" spans="1:20" x14ac:dyDescent="0.25">
      <c r="A519" s="5">
        <v>44074</v>
      </c>
      <c r="B519">
        <v>0.77929999999999999</v>
      </c>
      <c r="C519">
        <v>0.82</v>
      </c>
      <c r="D519">
        <v>0.7651</v>
      </c>
      <c r="E519">
        <v>0.80030000000000001</v>
      </c>
      <c r="F519">
        <v>424518.88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0.28233151183971006</v>
      </c>
      <c r="Q519">
        <f t="shared" si="985"/>
        <v>119855.05719490045</v>
      </c>
      <c r="R519">
        <f t="shared" si="986"/>
        <v>549806.8039689362</v>
      </c>
      <c r="S519">
        <f t="shared" si="987"/>
        <v>5.498068039689362</v>
      </c>
      <c r="T519">
        <f t="shared" si="988"/>
        <v>5.4980680396893621E-3</v>
      </c>
    </row>
    <row r="520" spans="1:20" x14ac:dyDescent="0.25">
      <c r="A520" s="5">
        <v>44073</v>
      </c>
      <c r="B520">
        <v>0.79600000000000004</v>
      </c>
      <c r="C520">
        <v>0.81589999999999996</v>
      </c>
      <c r="D520">
        <v>0.76949999999999996</v>
      </c>
      <c r="E520">
        <v>0.78120000000000001</v>
      </c>
      <c r="F520">
        <v>391804.15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-0.49568965517241187</v>
      </c>
      <c r="Q520">
        <f t="shared" si="985"/>
        <v>-194213.26400861994</v>
      </c>
      <c r="R520">
        <f t="shared" si="986"/>
        <v>429951.74677403574</v>
      </c>
      <c r="S520">
        <f t="shared" si="987"/>
        <v>4.2995174677403574</v>
      </c>
      <c r="T520">
        <f t="shared" si="988"/>
        <v>4.299517467740357E-3</v>
      </c>
    </row>
    <row r="521" spans="1:20" x14ac:dyDescent="0.25">
      <c r="A521" s="5">
        <v>44072</v>
      </c>
      <c r="B521">
        <v>0.78190000000000004</v>
      </c>
      <c r="C521">
        <v>0.81420000000000003</v>
      </c>
      <c r="D521">
        <v>0.77700000000000002</v>
      </c>
      <c r="E521">
        <v>0.79579999999999995</v>
      </c>
      <c r="F521">
        <v>404543.3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1.075268817203884E-2</v>
      </c>
      <c r="Q521">
        <f t="shared" si="985"/>
        <v>4349.9279569875598</v>
      </c>
      <c r="R521">
        <f t="shared" si="986"/>
        <v>624165.01078265568</v>
      </c>
      <c r="S521">
        <f t="shared" si="987"/>
        <v>6.2416501078265565</v>
      </c>
      <c r="T521">
        <f t="shared" si="988"/>
        <v>6.2416501078265563E-3</v>
      </c>
    </row>
    <row r="522" spans="1:20" x14ac:dyDescent="0.25">
      <c r="A522" s="5">
        <v>44071</v>
      </c>
      <c r="B522">
        <v>0.75049999999999994</v>
      </c>
      <c r="C522">
        <v>0.79</v>
      </c>
      <c r="D522">
        <v>0.74390000000000001</v>
      </c>
      <c r="E522">
        <v>0.78490000000000004</v>
      </c>
      <c r="F522">
        <v>317788.19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0.77874186550976177</v>
      </c>
      <c r="Q522">
        <f t="shared" si="985"/>
        <v>247474.96791757061</v>
      </c>
      <c r="R522">
        <f t="shared" si="986"/>
        <v>619815.08282566816</v>
      </c>
      <c r="S522">
        <f t="shared" si="987"/>
        <v>6.198150828256682</v>
      </c>
      <c r="T522">
        <f t="shared" si="988"/>
        <v>6.1981508282566824E-3</v>
      </c>
    </row>
    <row r="523" spans="1:20" x14ac:dyDescent="0.25">
      <c r="A523" s="5">
        <v>44070</v>
      </c>
      <c r="B523">
        <v>0.83130000000000004</v>
      </c>
      <c r="C523">
        <v>0.83450000000000002</v>
      </c>
      <c r="D523">
        <v>0.71809999999999996</v>
      </c>
      <c r="E523">
        <v>0.75049999999999994</v>
      </c>
      <c r="F523">
        <v>683116.93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-0.44329896907216548</v>
      </c>
      <c r="Q523">
        <f t="shared" si="985"/>
        <v>-302825.03082474263</v>
      </c>
      <c r="R523">
        <f t="shared" si="986"/>
        <v>372340.11490809754</v>
      </c>
      <c r="S523">
        <f t="shared" si="987"/>
        <v>3.7234011490809755</v>
      </c>
      <c r="T523">
        <f t="shared" si="988"/>
        <v>3.7234011490809753E-3</v>
      </c>
    </row>
    <row r="524" spans="1:20" x14ac:dyDescent="0.25">
      <c r="A524" s="5">
        <v>44069</v>
      </c>
      <c r="B524">
        <v>0.81330000000000002</v>
      </c>
      <c r="C524">
        <v>0.83499999999999996</v>
      </c>
      <c r="D524">
        <v>0.78</v>
      </c>
      <c r="E524">
        <v>0.83499999999999996</v>
      </c>
      <c r="F524">
        <v>437680.61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1</v>
      </c>
      <c r="Q524">
        <f t="shared" si="985"/>
        <v>437680.61</v>
      </c>
      <c r="R524">
        <f t="shared" si="986"/>
        <v>675165.14573284017</v>
      </c>
      <c r="S524">
        <f t="shared" si="987"/>
        <v>6.7516514573284017</v>
      </c>
      <c r="T524">
        <f t="shared" si="988"/>
        <v>6.7516514573284017E-3</v>
      </c>
    </row>
    <row r="525" spans="1:20" x14ac:dyDescent="0.25">
      <c r="A525" s="5">
        <v>44068</v>
      </c>
      <c r="B525">
        <v>0.89510000000000001</v>
      </c>
      <c r="C525">
        <v>0.89959999999999996</v>
      </c>
      <c r="D525">
        <v>0.76949999999999996</v>
      </c>
      <c r="E525">
        <v>0.81259999999999999</v>
      </c>
      <c r="F525">
        <v>963341.57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-0.33743274404304335</v>
      </c>
      <c r="Q525">
        <f t="shared" si="985"/>
        <v>-325062.98941583349</v>
      </c>
      <c r="R525">
        <f t="shared" si="986"/>
        <v>237484.53573284019</v>
      </c>
      <c r="S525">
        <f t="shared" si="987"/>
        <v>2.3748453573284021</v>
      </c>
      <c r="T525">
        <f t="shared" si="988"/>
        <v>2.3748453573284021E-3</v>
      </c>
    </row>
    <row r="526" spans="1:20" x14ac:dyDescent="0.25">
      <c r="A526" s="5">
        <v>44067</v>
      </c>
      <c r="B526">
        <v>0.90610000000000002</v>
      </c>
      <c r="C526">
        <v>0.91400000000000003</v>
      </c>
      <c r="D526">
        <v>0.86080000000000001</v>
      </c>
      <c r="E526">
        <v>0.89949999999999997</v>
      </c>
      <c r="F526">
        <v>739695.51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0.45488721804511045</v>
      </c>
      <c r="Q526">
        <f t="shared" si="985"/>
        <v>336478.03274435917</v>
      </c>
      <c r="R526">
        <f t="shared" si="986"/>
        <v>562547.52514867368</v>
      </c>
      <c r="S526">
        <f t="shared" si="987"/>
        <v>5.625475251486737</v>
      </c>
      <c r="T526">
        <f t="shared" si="988"/>
        <v>5.6254752514867373E-3</v>
      </c>
    </row>
    <row r="527" spans="1:20" x14ac:dyDescent="0.25">
      <c r="A527" s="5">
        <v>44066</v>
      </c>
      <c r="B527">
        <v>0.97929999999999995</v>
      </c>
      <c r="C527">
        <v>0.98829999999999996</v>
      </c>
      <c r="D527">
        <v>0.875</v>
      </c>
      <c r="E527">
        <v>0.90610000000000002</v>
      </c>
      <c r="F527">
        <v>731220.04</v>
      </c>
      <c r="G527">
        <v>0</v>
      </c>
      <c r="L527" t="s">
        <v>7</v>
      </c>
      <c r="M527" t="s">
        <v>8</v>
      </c>
      <c r="N527" t="s">
        <v>7</v>
      </c>
      <c r="P527">
        <f t="shared" si="984"/>
        <v>-0.45101500441306214</v>
      </c>
      <c r="Q527">
        <f t="shared" si="985"/>
        <v>-329791.20956751949</v>
      </c>
      <c r="R527">
        <f t="shared" si="986"/>
        <v>226069.49240431446</v>
      </c>
      <c r="S527">
        <f t="shared" si="987"/>
        <v>2.2606949240431446</v>
      </c>
      <c r="T527">
        <f t="shared" si="988"/>
        <v>2.2606949240431447E-3</v>
      </c>
    </row>
    <row r="528" spans="1:20" x14ac:dyDescent="0.25">
      <c r="A528" s="5">
        <v>44065</v>
      </c>
      <c r="B528">
        <v>0.8599</v>
      </c>
      <c r="C528">
        <v>0.99950000000000006</v>
      </c>
      <c r="D528">
        <v>0.82520000000000004</v>
      </c>
      <c r="E528">
        <v>0.97989999999999999</v>
      </c>
      <c r="F528">
        <v>1568339.1</v>
      </c>
      <c r="G528">
        <v>0</v>
      </c>
      <c r="L528" t="s">
        <v>8</v>
      </c>
      <c r="M528" t="s">
        <v>8</v>
      </c>
      <c r="N528" t="s">
        <v>7</v>
      </c>
      <c r="P528">
        <f t="shared" si="984"/>
        <v>0.77510040160642502</v>
      </c>
      <c r="Q528">
        <f t="shared" si="985"/>
        <v>1215620.2662650591</v>
      </c>
      <c r="R528">
        <f t="shared" si="986"/>
        <v>555860.70197183394</v>
      </c>
      <c r="S528">
        <f t="shared" si="987"/>
        <v>5.5586070197183393</v>
      </c>
      <c r="T528">
        <f t="shared" si="988"/>
        <v>5.5586070197183391E-3</v>
      </c>
    </row>
    <row r="529" spans="1:20" x14ac:dyDescent="0.25">
      <c r="A529" s="5">
        <v>44064</v>
      </c>
      <c r="B529">
        <v>0.85929999999999995</v>
      </c>
      <c r="C529">
        <v>0.92069999999999996</v>
      </c>
      <c r="D529">
        <v>0.82509999999999994</v>
      </c>
      <c r="E529">
        <v>0.85309999999999997</v>
      </c>
      <c r="F529">
        <v>2150697.1800000002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-0.41422594142259372</v>
      </c>
      <c r="Q529">
        <f t="shared" si="985"/>
        <v>-890874.56410041754</v>
      </c>
      <c r="R529">
        <f t="shared" si="986"/>
        <v>-659759.56429322518</v>
      </c>
      <c r="S529">
        <f t="shared" si="987"/>
        <v>-6.5975956429322515</v>
      </c>
      <c r="T529">
        <f t="shared" si="988"/>
        <v>-6.5975956429322512E-3</v>
      </c>
    </row>
    <row r="530" spans="1:20" x14ac:dyDescent="0.25">
      <c r="A530" s="5">
        <v>44063</v>
      </c>
      <c r="B530">
        <v>0.8145</v>
      </c>
      <c r="C530">
        <v>0.86639999999999995</v>
      </c>
      <c r="D530">
        <v>0.77510000000000001</v>
      </c>
      <c r="E530">
        <v>0.85929999999999995</v>
      </c>
      <c r="F530">
        <v>1036859.53</v>
      </c>
      <c r="G530">
        <v>0</v>
      </c>
      <c r="L530" t="s">
        <v>7</v>
      </c>
      <c r="M530" t="s">
        <v>8</v>
      </c>
      <c r="N530" t="s">
        <v>7</v>
      </c>
      <c r="P530">
        <f t="shared" si="984"/>
        <v>0.84446878422782035</v>
      </c>
      <c r="Q530">
        <f t="shared" si="985"/>
        <v>875595.50671412924</v>
      </c>
      <c r="R530">
        <f t="shared" si="986"/>
        <v>231114.99980719236</v>
      </c>
      <c r="S530">
        <f t="shared" si="987"/>
        <v>2.3111499980719237</v>
      </c>
      <c r="T530">
        <f t="shared" si="988"/>
        <v>2.3111499980719235E-3</v>
      </c>
    </row>
    <row r="531" spans="1:20" x14ac:dyDescent="0.25">
      <c r="A531" s="5">
        <v>44062</v>
      </c>
      <c r="B531">
        <v>0.82499999999999996</v>
      </c>
      <c r="C531">
        <v>0.88880000000000003</v>
      </c>
      <c r="D531">
        <v>0.75</v>
      </c>
      <c r="E531">
        <v>0.8145</v>
      </c>
      <c r="F531">
        <v>2247666.06</v>
      </c>
      <c r="G531">
        <v>0</v>
      </c>
      <c r="L531" t="s">
        <v>8</v>
      </c>
      <c r="M531" t="s">
        <v>8</v>
      </c>
      <c r="N531" t="s">
        <v>7</v>
      </c>
      <c r="P531">
        <f t="shared" si="984"/>
        <v>-7.0605187319884938E-2</v>
      </c>
      <c r="Q531">
        <f t="shared" si="985"/>
        <v>-158696.88319884773</v>
      </c>
      <c r="R531">
        <f t="shared" si="986"/>
        <v>-644480.50690693688</v>
      </c>
      <c r="S531">
        <f t="shared" si="987"/>
        <v>-6.4448050690693686</v>
      </c>
      <c r="T531">
        <f t="shared" si="988"/>
        <v>-6.4448050690693688E-3</v>
      </c>
    </row>
    <row r="532" spans="1:20" x14ac:dyDescent="0.25">
      <c r="A532" s="5">
        <v>44061</v>
      </c>
      <c r="B532">
        <v>0.77669999999999995</v>
      </c>
      <c r="C532">
        <v>0.84519999999999995</v>
      </c>
      <c r="D532">
        <v>0.74109999999999998</v>
      </c>
      <c r="E532">
        <v>0.82499999999999996</v>
      </c>
      <c r="F532">
        <v>702889.75</v>
      </c>
      <c r="G532">
        <v>0</v>
      </c>
      <c r="L532" t="s">
        <v>8</v>
      </c>
      <c r="M532" t="s">
        <v>8</v>
      </c>
      <c r="N532" t="s">
        <v>7</v>
      </c>
      <c r="P532">
        <f t="shared" si="984"/>
        <v>0.61191162343900096</v>
      </c>
      <c r="Q532">
        <f t="shared" si="985"/>
        <v>430106.40802113351</v>
      </c>
      <c r="R532">
        <f t="shared" si="986"/>
        <v>-485783.62370808912</v>
      </c>
      <c r="S532">
        <f t="shared" si="987"/>
        <v>-4.8578362370808907</v>
      </c>
      <c r="T532">
        <f t="shared" si="988"/>
        <v>-4.8578362370808904E-3</v>
      </c>
    </row>
    <row r="533" spans="1:20" x14ac:dyDescent="0.25">
      <c r="A533" s="5">
        <v>44060</v>
      </c>
      <c r="B533">
        <v>0.79469999999999996</v>
      </c>
      <c r="C533">
        <v>0.81850000000000001</v>
      </c>
      <c r="D533">
        <v>0.75719999999999998</v>
      </c>
      <c r="E533">
        <v>0.77669999999999995</v>
      </c>
      <c r="F533">
        <v>565127.52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-0.36378466557912054</v>
      </c>
      <c r="Q533">
        <f t="shared" si="985"/>
        <v>-205584.72587275776</v>
      </c>
      <c r="R533">
        <f t="shared" si="986"/>
        <v>-915890.03172922262</v>
      </c>
      <c r="S533">
        <f t="shared" si="987"/>
        <v>-9.1589003172922254</v>
      </c>
      <c r="T533">
        <f t="shared" si="988"/>
        <v>-9.1589003172922248E-3</v>
      </c>
    </row>
    <row r="534" spans="1:20" x14ac:dyDescent="0.25">
      <c r="A534" s="5">
        <v>44059</v>
      </c>
      <c r="B534">
        <v>0.77200000000000002</v>
      </c>
      <c r="C534">
        <v>0.82179999999999997</v>
      </c>
      <c r="D534">
        <v>0.74</v>
      </c>
      <c r="E534">
        <v>0.78969999999999996</v>
      </c>
      <c r="F534">
        <v>428226.03</v>
      </c>
      <c r="G534">
        <v>0</v>
      </c>
      <c r="L534" t="s">
        <v>7</v>
      </c>
      <c r="M534" t="s">
        <v>8</v>
      </c>
      <c r="N534" t="s">
        <v>7</v>
      </c>
      <c r="P534">
        <f t="shared" si="984"/>
        <v>0.21515892420537838</v>
      </c>
      <c r="Q534">
        <f t="shared" si="985"/>
        <v>92136.651931540095</v>
      </c>
      <c r="R534">
        <f t="shared" si="986"/>
        <v>-710305.3058564649</v>
      </c>
      <c r="S534">
        <f t="shared" si="987"/>
        <v>-7.1030530585646492</v>
      </c>
      <c r="T534">
        <f t="shared" si="988"/>
        <v>-7.1030530585646495E-3</v>
      </c>
    </row>
    <row r="535" spans="1:20" x14ac:dyDescent="0.25">
      <c r="A535" s="5">
        <v>44058</v>
      </c>
      <c r="B535">
        <v>0.80230000000000001</v>
      </c>
      <c r="C535">
        <v>0.81030000000000002</v>
      </c>
      <c r="D535">
        <v>0.754</v>
      </c>
      <c r="E535">
        <v>0.77200000000000002</v>
      </c>
      <c r="F535">
        <v>438650.57</v>
      </c>
      <c r="G535">
        <v>0</v>
      </c>
      <c r="L535" t="s">
        <v>7</v>
      </c>
      <c r="M535" t="s">
        <v>8</v>
      </c>
      <c r="N535" t="s">
        <v>7</v>
      </c>
      <c r="P535">
        <f t="shared" si="984"/>
        <v>-0.36056838365896943</v>
      </c>
      <c r="Q535">
        <f t="shared" si="985"/>
        <v>-158163.52701598563</v>
      </c>
      <c r="R535">
        <f t="shared" si="986"/>
        <v>-802441.95778800501</v>
      </c>
      <c r="S535">
        <f t="shared" si="987"/>
        <v>-8.0244195778800496</v>
      </c>
      <c r="T535">
        <f t="shared" si="988"/>
        <v>-8.024419577880049E-3</v>
      </c>
    </row>
    <row r="536" spans="1:20" x14ac:dyDescent="0.25">
      <c r="A536" s="5">
        <v>44057</v>
      </c>
      <c r="B536">
        <v>0.78669999999999995</v>
      </c>
      <c r="C536">
        <v>0.84</v>
      </c>
      <c r="D536">
        <v>0.78</v>
      </c>
      <c r="E536">
        <v>0.79759999999999998</v>
      </c>
      <c r="F536">
        <v>1026031.53</v>
      </c>
      <c r="G536">
        <v>0</v>
      </c>
      <c r="L536" t="s">
        <v>7</v>
      </c>
      <c r="M536" t="s">
        <v>8</v>
      </c>
      <c r="N536" t="s">
        <v>7</v>
      </c>
      <c r="P536">
        <f t="shared" si="984"/>
        <v>-0.41333333333333444</v>
      </c>
      <c r="Q536">
        <f t="shared" si="985"/>
        <v>-424093.03240000113</v>
      </c>
      <c r="R536">
        <f t="shared" si="986"/>
        <v>-644278.43077201932</v>
      </c>
      <c r="S536">
        <f t="shared" si="987"/>
        <v>-6.4427843077201929</v>
      </c>
      <c r="T536">
        <f t="shared" si="988"/>
        <v>-6.4427843077201931E-3</v>
      </c>
    </row>
    <row r="537" spans="1:20" x14ac:dyDescent="0.25">
      <c r="A537" s="5">
        <v>44056</v>
      </c>
      <c r="B537">
        <v>0.79959999999999998</v>
      </c>
      <c r="C537">
        <v>0.84960000000000002</v>
      </c>
      <c r="D537">
        <v>0.73009999999999997</v>
      </c>
      <c r="E537">
        <v>0.78669999999999995</v>
      </c>
      <c r="F537">
        <v>856108.58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-5.2719665271967205E-2</v>
      </c>
      <c r="Q537">
        <f t="shared" si="985"/>
        <v>-45133.757774059159</v>
      </c>
      <c r="R537">
        <f t="shared" si="986"/>
        <v>-220185.39837201816</v>
      </c>
      <c r="S537">
        <f t="shared" si="987"/>
        <v>-2.2018539837201816</v>
      </c>
      <c r="T537">
        <f t="shared" si="988"/>
        <v>-2.2018539837201814E-3</v>
      </c>
    </row>
    <row r="538" spans="1:20" x14ac:dyDescent="0.25">
      <c r="A538" s="5">
        <v>44055</v>
      </c>
      <c r="B538">
        <v>0.72519999999999996</v>
      </c>
      <c r="C538">
        <v>0.85</v>
      </c>
      <c r="D538">
        <v>0.69379999999999997</v>
      </c>
      <c r="E538">
        <v>0.79949999999999999</v>
      </c>
      <c r="F538">
        <v>1011283.53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0.35339308578745215</v>
      </c>
      <c r="Q538">
        <f t="shared" si="985"/>
        <v>357380.60727272747</v>
      </c>
      <c r="R538">
        <f t="shared" si="986"/>
        <v>-175051.64059795899</v>
      </c>
      <c r="S538">
        <f t="shared" si="987"/>
        <v>-1.7505164059795899</v>
      </c>
      <c r="T538">
        <f t="shared" si="988"/>
        <v>-1.7505164059795899E-3</v>
      </c>
    </row>
    <row r="539" spans="1:20" x14ac:dyDescent="0.25">
      <c r="A539" s="5">
        <v>44054</v>
      </c>
      <c r="B539">
        <v>0.74080000000000001</v>
      </c>
      <c r="C539">
        <v>0.88170000000000004</v>
      </c>
      <c r="D539">
        <v>0.67600000000000005</v>
      </c>
      <c r="E539">
        <v>0.72929999999999995</v>
      </c>
      <c r="F539">
        <v>1105159.57</v>
      </c>
      <c r="G539">
        <v>0</v>
      </c>
      <c r="P539">
        <f t="shared" si="984"/>
        <v>-0.48176956733106557</v>
      </c>
      <c r="Q539">
        <f t="shared" si="985"/>
        <v>-532432.24787068646</v>
      </c>
      <c r="R539">
        <f t="shared" si="986"/>
        <v>-532432.24787068646</v>
      </c>
      <c r="S539">
        <f t="shared" si="987"/>
        <v>-5.3243224787068648</v>
      </c>
      <c r="T539">
        <f t="shared" si="988"/>
        <v>-5.3243224787068652E-3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X624" sqref="IX62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$A$623</v>
      </c>
      <c r="D111" s="1" t="str">
        <f>ADDRESS(C121-1,D121,1,1)</f>
        <v>$IX$623</v>
      </c>
      <c r="E111"/>
    </row>
    <row r="112" spans="1:5" x14ac:dyDescent="0.25">
      <c r="A112" s="7">
        <v>12164.144957890772</v>
      </c>
      <c r="C112" s="1" t="str">
        <f>ADDRESS(C121,1,1,1)</f>
        <v>$A$624</v>
      </c>
      <c r="D112" s="1" t="str">
        <f>ADDRESS(C121,D121-1,1,1)</f>
        <v>$IW$624</v>
      </c>
      <c r="E112"/>
    </row>
    <row r="113" spans="1:5" x14ac:dyDescent="0.25">
      <c r="A113" s="7">
        <v>11925.63231165762</v>
      </c>
      <c r="C113" s="1" t="str">
        <f>ADDRESS(C121+1,1,1,1)</f>
        <v>$A$625</v>
      </c>
      <c r="D113" s="1" t="str">
        <f>ADDRESS(C121-1,D121+1,1,1)</f>
        <v>$IY$623</v>
      </c>
    </row>
    <row r="114" spans="1:5" x14ac:dyDescent="0.25">
      <c r="A114" s="7">
        <v>11691.796383978059</v>
      </c>
      <c r="C114" s="1" t="str">
        <f>ADDRESS(C121,D121,1,1)</f>
        <v>$IX$624</v>
      </c>
      <c r="D114" s="1" t="str">
        <f>ADDRESS(C121+1,D121+1,1,1)</f>
        <v>$IY$625</v>
      </c>
    </row>
    <row r="115" spans="1:5" x14ac:dyDescent="0.25">
      <c r="A115" s="7">
        <v>11462.545474488292</v>
      </c>
      <c r="C115" s="1" t="str">
        <f>ADDRESS(C121+1,D121,1,1)</f>
        <v>$IX$625</v>
      </c>
    </row>
    <row r="116" spans="1:5" x14ac:dyDescent="0.25">
      <c r="A116" s="7">
        <v>11237.789680870874</v>
      </c>
      <c r="C116" s="1">
        <f>C117-1</f>
        <v>623</v>
      </c>
    </row>
    <row r="117" spans="1:5" x14ac:dyDescent="0.25">
      <c r="A117" s="7">
        <v>11017.440863598895</v>
      </c>
      <c r="C117" s="1">
        <f>C121</f>
        <v>624</v>
      </c>
      <c r="D117" s="1">
        <f>D121</f>
        <v>258</v>
      </c>
    </row>
    <row r="118" spans="1:5" x14ac:dyDescent="0.25">
      <c r="A118" s="7">
        <v>10801.412611371465</v>
      </c>
      <c r="C118" s="1">
        <f>C117+1</f>
        <v>625</v>
      </c>
      <c r="D118" s="1">
        <f>D117+1</f>
        <v>259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624</v>
      </c>
      <c r="D121" s="19">
        <v>258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R624</v>
      </c>
      <c r="D123" s="1" t="str">
        <f>"C"&amp;D121</f>
        <v>C258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0.48061093171789437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118" x14ac:dyDescent="0.25">
      <c r="A497" s="7">
        <v>5.9431331263054545</v>
      </c>
      <c r="B497"/>
      <c r="C497"/>
      <c r="D497"/>
      <c r="E497"/>
    </row>
    <row r="498" spans="1:118" x14ac:dyDescent="0.25">
      <c r="A498" s="7">
        <v>5.8266011042210337</v>
      </c>
      <c r="B498"/>
      <c r="C498"/>
      <c r="D498"/>
      <c r="E498"/>
    </row>
    <row r="499" spans="1:118" x14ac:dyDescent="0.25">
      <c r="A499" s="7">
        <v>5.7123540237461112</v>
      </c>
      <c r="B499"/>
      <c r="C499"/>
      <c r="D499"/>
      <c r="E499"/>
    </row>
    <row r="500" spans="1:118" x14ac:dyDescent="0.25">
      <c r="A500" s="7">
        <v>5.6003470821040304</v>
      </c>
      <c r="B500"/>
      <c r="C500"/>
      <c r="D500"/>
      <c r="E500"/>
    </row>
    <row r="501" spans="1:118" x14ac:dyDescent="0.25">
      <c r="A501" s="7">
        <v>5.4905363550039512</v>
      </c>
      <c r="B501"/>
      <c r="C501"/>
      <c r="D501"/>
      <c r="E501"/>
    </row>
    <row r="502" spans="1:118" x14ac:dyDescent="0.25">
      <c r="A502" s="7">
        <v>5.3828787794156385</v>
      </c>
      <c r="B502"/>
      <c r="C502"/>
      <c r="D502"/>
      <c r="E502"/>
    </row>
    <row r="503" spans="1:118" x14ac:dyDescent="0.25">
      <c r="A503" s="7">
        <v>5.2773321366819985</v>
      </c>
      <c r="B503"/>
      <c r="C503"/>
      <c r="D503"/>
      <c r="E503"/>
    </row>
    <row r="504" spans="1:118" x14ac:dyDescent="0.25">
      <c r="A504" s="7">
        <v>5.1738550359627435</v>
      </c>
      <c r="B504"/>
      <c r="C504"/>
      <c r="D504"/>
      <c r="E504"/>
    </row>
    <row r="505" spans="1:118" x14ac:dyDescent="0.25">
      <c r="A505" s="7">
        <v>5.07240689800269</v>
      </c>
      <c r="B505"/>
      <c r="C505"/>
      <c r="D505"/>
      <c r="E505"/>
    </row>
    <row r="506" spans="1:118" x14ac:dyDescent="0.25">
      <c r="A506" s="7">
        <v>4.9729479392183231</v>
      </c>
      <c r="B506"/>
      <c r="C506"/>
      <c r="D506"/>
      <c r="E506"/>
    </row>
    <row r="507" spans="1:118" x14ac:dyDescent="0.25">
      <c r="A507" s="7">
        <v>4.8754391560963954</v>
      </c>
      <c r="B507"/>
      <c r="C507"/>
      <c r="D507"/>
      <c r="E507"/>
    </row>
    <row r="508" spans="1:118" x14ac:dyDescent="0.25">
      <c r="A508" s="7">
        <v>4.7798423098984264</v>
      </c>
      <c r="B508"/>
      <c r="C508"/>
      <c r="D508"/>
      <c r="E508"/>
    </row>
    <row r="509" spans="1:118" x14ac:dyDescent="0.25">
      <c r="A509" s="7">
        <v>4.6861199116651235</v>
      </c>
      <c r="B509"/>
      <c r="C509"/>
      <c r="D509"/>
      <c r="E509"/>
      <c r="DM509" s="27" t="s">
        <v>8</v>
      </c>
    </row>
    <row r="510" spans="1:118" x14ac:dyDescent="0.25">
      <c r="A510" s="7">
        <v>4.5942352075148269</v>
      </c>
      <c r="B510"/>
      <c r="C510"/>
      <c r="D510"/>
      <c r="E510"/>
      <c r="DM510" s="27" t="s">
        <v>8</v>
      </c>
      <c r="DN510" s="27" t="s">
        <v>7</v>
      </c>
    </row>
    <row r="511" spans="1:118" x14ac:dyDescent="0.25">
      <c r="A511" s="7">
        <v>4.5041521642302227</v>
      </c>
      <c r="B511"/>
      <c r="C511"/>
      <c r="D511"/>
      <c r="E511"/>
      <c r="DM511" s="27" t="s">
        <v>8</v>
      </c>
      <c r="DN511" s="27" t="s">
        <v>7</v>
      </c>
    </row>
    <row r="512" spans="1:118" x14ac:dyDescent="0.25">
      <c r="A512" s="7">
        <v>4.4158354551276693</v>
      </c>
      <c r="B512"/>
      <c r="C512"/>
      <c r="D512"/>
      <c r="E512"/>
      <c r="DM512" s="27" t="s">
        <v>8</v>
      </c>
      <c r="DN512" s="27" t="s">
        <v>7</v>
      </c>
    </row>
    <row r="513" spans="1:140" x14ac:dyDescent="0.25">
      <c r="A513" s="7">
        <v>4.3292504462035977</v>
      </c>
      <c r="B513"/>
      <c r="C513"/>
      <c r="D513"/>
      <c r="E513"/>
      <c r="DM513" s="27" t="s">
        <v>8</v>
      </c>
      <c r="DN513" s="27" t="s">
        <v>7</v>
      </c>
    </row>
    <row r="514" spans="1:140" x14ac:dyDescent="0.25">
      <c r="A514" s="7">
        <v>4.2443631825525463</v>
      </c>
      <c r="B514"/>
      <c r="C514"/>
      <c r="D514"/>
      <c r="E514"/>
      <c r="DM514" s="27" t="s">
        <v>8</v>
      </c>
      <c r="DN514" s="27" t="s">
        <v>7</v>
      </c>
    </row>
    <row r="515" spans="1:140" x14ac:dyDescent="0.25">
      <c r="A515" s="7">
        <v>4.1611403750515157</v>
      </c>
      <c r="B515"/>
      <c r="C515"/>
      <c r="D515"/>
      <c r="E515"/>
      <c r="DM515" s="27" t="s">
        <v>8</v>
      </c>
      <c r="DN515" s="27" t="s">
        <v>7</v>
      </c>
    </row>
    <row r="516" spans="1:140" x14ac:dyDescent="0.25">
      <c r="A516" s="7">
        <v>4.0795493873054074</v>
      </c>
      <c r="B516"/>
      <c r="C516"/>
      <c r="D516"/>
      <c r="E516"/>
      <c r="DM516" s="27" t="s">
        <v>8</v>
      </c>
      <c r="DN516" s="27" t="s">
        <v>7</v>
      </c>
      <c r="EG516" s="27" t="s">
        <v>8</v>
      </c>
    </row>
    <row r="517" spans="1:140" x14ac:dyDescent="0.25">
      <c r="A517" s="7">
        <v>3.9995582228484383</v>
      </c>
      <c r="B517"/>
      <c r="C517"/>
      <c r="D517"/>
      <c r="E517"/>
      <c r="DM517" s="27" t="s">
        <v>8</v>
      </c>
      <c r="DN517" s="27" t="s">
        <v>7</v>
      </c>
      <c r="EG517" s="27" t="s">
        <v>8</v>
      </c>
      <c r="EH517" s="27" t="s">
        <v>7</v>
      </c>
    </row>
    <row r="518" spans="1:140" x14ac:dyDescent="0.25">
      <c r="A518" s="7">
        <v>3.9211355125965079</v>
      </c>
      <c r="B518"/>
      <c r="C518"/>
      <c r="D518"/>
      <c r="E518"/>
      <c r="DM518" s="27" t="s">
        <v>8</v>
      </c>
      <c r="DN518" s="27" t="s">
        <v>7</v>
      </c>
      <c r="EG518" s="27" t="s">
        <v>8</v>
      </c>
      <c r="EH518" s="27" t="s">
        <v>7</v>
      </c>
    </row>
    <row r="519" spans="1:140" x14ac:dyDescent="0.25">
      <c r="A519" s="7">
        <v>3.844250502545596</v>
      </c>
      <c r="B519"/>
      <c r="C519"/>
      <c r="D519"/>
      <c r="E519"/>
      <c r="DM519" s="27" t="s">
        <v>8</v>
      </c>
      <c r="DN519" s="27" t="s">
        <v>7</v>
      </c>
      <c r="EG519" s="27" t="s">
        <v>8</v>
      </c>
      <c r="EH519" s="27" t="s">
        <v>7</v>
      </c>
    </row>
    <row r="520" spans="1:140" x14ac:dyDescent="0.25">
      <c r="A520" s="7">
        <v>3.7688730417113687</v>
      </c>
      <c r="B520"/>
      <c r="C520"/>
      <c r="D520"/>
      <c r="E520"/>
      <c r="DM520" s="27" t="s">
        <v>8</v>
      </c>
      <c r="DN520" s="27" t="s">
        <v>7</v>
      </c>
      <c r="EG520" s="27" t="s">
        <v>8</v>
      </c>
      <c r="EH520" s="27" t="s">
        <v>7</v>
      </c>
    </row>
    <row r="521" spans="1:140" x14ac:dyDescent="0.25">
      <c r="A521" s="7">
        <v>3.6949735703052635</v>
      </c>
      <c r="B521"/>
      <c r="C521"/>
      <c r="D521"/>
      <c r="E521"/>
      <c r="DM521" s="27" t="s">
        <v>8</v>
      </c>
      <c r="DN521" s="27" t="s">
        <v>7</v>
      </c>
      <c r="EG521" s="27" t="s">
        <v>8</v>
      </c>
      <c r="EH521" s="27" t="s">
        <v>7</v>
      </c>
    </row>
    <row r="522" spans="1:140" x14ac:dyDescent="0.25">
      <c r="A522" s="7">
        <v>3.6225231081424152</v>
      </c>
      <c r="B522"/>
      <c r="C522"/>
      <c r="D522"/>
      <c r="E522"/>
      <c r="DM522" s="27" t="s">
        <v>8</v>
      </c>
      <c r="DN522" s="27" t="s">
        <v>7</v>
      </c>
      <c r="DO522" s="27" t="s">
        <v>8</v>
      </c>
      <c r="DQ522" s="27" t="s">
        <v>8</v>
      </c>
      <c r="EG522" s="27" t="s">
        <v>8</v>
      </c>
      <c r="EH522" s="27" t="s">
        <v>7</v>
      </c>
    </row>
    <row r="523" spans="1:140" x14ac:dyDescent="0.25">
      <c r="A523" s="7">
        <v>3.5514932432768775</v>
      </c>
      <c r="B523"/>
      <c r="C523"/>
      <c r="D523"/>
      <c r="E523"/>
      <c r="DM523" s="27" t="s">
        <v>8</v>
      </c>
      <c r="DN523" s="27" t="s">
        <v>7</v>
      </c>
      <c r="DO523" s="27" t="s">
        <v>8</v>
      </c>
      <c r="DP523" s="27" t="s">
        <v>7</v>
      </c>
      <c r="DQ523" s="27" t="s">
        <v>8</v>
      </c>
      <c r="DR523" s="27" t="s">
        <v>7</v>
      </c>
      <c r="EG523" s="27" t="s">
        <v>8</v>
      </c>
      <c r="EH523" s="27" t="s">
        <v>7</v>
      </c>
    </row>
    <row r="524" spans="1:140" x14ac:dyDescent="0.25">
      <c r="A524" s="7">
        <v>3.4818561208596837</v>
      </c>
      <c r="B524"/>
      <c r="C524"/>
      <c r="D524"/>
      <c r="E524"/>
      <c r="DM524" s="27" t="s">
        <v>8</v>
      </c>
      <c r="DN524" s="27" t="s">
        <v>7</v>
      </c>
      <c r="DO524" s="27" t="s">
        <v>8</v>
      </c>
      <c r="DP524" s="27" t="s">
        <v>7</v>
      </c>
      <c r="DQ524" s="27" t="s">
        <v>8</v>
      </c>
      <c r="DR524" s="27" t="s">
        <v>7</v>
      </c>
      <c r="EG524" s="27" t="s">
        <v>8</v>
      </c>
      <c r="EH524" s="27" t="s">
        <v>7</v>
      </c>
      <c r="EI524" s="27" t="s">
        <v>8</v>
      </c>
    </row>
    <row r="525" spans="1:140" x14ac:dyDescent="0.25">
      <c r="A525" s="7">
        <v>3.4135844322153761</v>
      </c>
      <c r="B525"/>
      <c r="C525"/>
      <c r="D525"/>
      <c r="E525"/>
      <c r="DM525" s="27" t="s">
        <v>8</v>
      </c>
      <c r="DN525" s="27" t="s">
        <v>7</v>
      </c>
      <c r="DO525" s="27" t="s">
        <v>8</v>
      </c>
      <c r="DP525" s="27" t="s">
        <v>7</v>
      </c>
      <c r="DQ525" s="27" t="s">
        <v>8</v>
      </c>
      <c r="DR525" s="27" t="s">
        <v>7</v>
      </c>
      <c r="EG525" s="27" t="s">
        <v>8</v>
      </c>
      <c r="EH525" s="27" t="s">
        <v>7</v>
      </c>
      <c r="EI525" s="27" t="s">
        <v>8</v>
      </c>
      <c r="EJ525" s="27" t="s">
        <v>7</v>
      </c>
    </row>
    <row r="526" spans="1:140" x14ac:dyDescent="0.25">
      <c r="A526" s="7">
        <v>3.3466514041327216</v>
      </c>
      <c r="B526"/>
      <c r="C526"/>
      <c r="D526"/>
      <c r="E526"/>
      <c r="DM526" s="27" t="s">
        <v>8</v>
      </c>
      <c r="DN526" s="27" t="s">
        <v>7</v>
      </c>
      <c r="DO526" s="27" t="s">
        <v>8</v>
      </c>
      <c r="DP526" s="27" t="s">
        <v>7</v>
      </c>
      <c r="DQ526" s="27" t="s">
        <v>8</v>
      </c>
      <c r="DR526" s="27" t="s">
        <v>7</v>
      </c>
      <c r="EG526" s="27" t="s">
        <v>8</v>
      </c>
      <c r="EH526" s="27" t="s">
        <v>7</v>
      </c>
      <c r="EI526" s="27" t="s">
        <v>8</v>
      </c>
      <c r="EJ526" s="27" t="s">
        <v>7</v>
      </c>
    </row>
    <row r="527" spans="1:140" x14ac:dyDescent="0.25">
      <c r="A527" s="7">
        <v>3.2810307883654133</v>
      </c>
      <c r="B527"/>
      <c r="C527"/>
      <c r="D527"/>
      <c r="E527"/>
      <c r="DM527" s="27" t="s">
        <v>8</v>
      </c>
      <c r="DN527" s="27" t="s">
        <v>7</v>
      </c>
      <c r="DO527" s="27" t="s">
        <v>8</v>
      </c>
      <c r="DP527" s="27" t="s">
        <v>7</v>
      </c>
      <c r="DQ527" s="27" t="s">
        <v>8</v>
      </c>
      <c r="DR527" s="27" t="s">
        <v>7</v>
      </c>
      <c r="EG527" s="27" t="s">
        <v>8</v>
      </c>
      <c r="EH527" s="27" t="s">
        <v>7</v>
      </c>
      <c r="EI527" s="27" t="s">
        <v>8</v>
      </c>
      <c r="EJ527" s="27" t="s">
        <v>7</v>
      </c>
    </row>
    <row r="528" spans="1:140" x14ac:dyDescent="0.25">
      <c r="A528" s="7">
        <v>3.2166968513386403</v>
      </c>
      <c r="B528"/>
      <c r="C528"/>
      <c r="D528"/>
      <c r="E528"/>
      <c r="DM528" s="27" t="s">
        <v>8</v>
      </c>
      <c r="DN528" s="27" t="s">
        <v>7</v>
      </c>
      <c r="DP528" s="27" t="s">
        <v>7</v>
      </c>
      <c r="DR528" s="27" t="s">
        <v>7</v>
      </c>
      <c r="DS528" s="27" t="s">
        <v>8</v>
      </c>
      <c r="EG528" s="27" t="s">
        <v>8</v>
      </c>
      <c r="EH528" s="27" t="s">
        <v>7</v>
      </c>
      <c r="EI528" s="27" t="s">
        <v>8</v>
      </c>
      <c r="EJ528" s="27" t="s">
        <v>7</v>
      </c>
    </row>
    <row r="529" spans="1:143" x14ac:dyDescent="0.25">
      <c r="A529" s="7">
        <v>3.1536243640574906</v>
      </c>
      <c r="B529"/>
      <c r="C529"/>
      <c r="D529"/>
      <c r="E529"/>
      <c r="DM529" s="27" t="s">
        <v>8</v>
      </c>
      <c r="DR529" s="27" t="s">
        <v>7</v>
      </c>
      <c r="DS529" s="27" t="s">
        <v>8</v>
      </c>
      <c r="DT529" s="27" t="s">
        <v>7</v>
      </c>
      <c r="EG529" s="27" t="s">
        <v>8</v>
      </c>
      <c r="EH529" s="27" t="s">
        <v>7</v>
      </c>
      <c r="EI529" s="27" t="s">
        <v>8</v>
      </c>
      <c r="EJ529" s="27" t="s">
        <v>7</v>
      </c>
    </row>
    <row r="530" spans="1:143" x14ac:dyDescent="0.25">
      <c r="A530" s="7">
        <v>3.0917885922132262</v>
      </c>
      <c r="B530"/>
      <c r="C530"/>
      <c r="D530"/>
      <c r="E530"/>
      <c r="DM530" s="27" t="s">
        <v>8</v>
      </c>
      <c r="DR530" s="27" t="s">
        <v>7</v>
      </c>
      <c r="DS530" s="27" t="s">
        <v>8</v>
      </c>
      <c r="DT530" s="27" t="s">
        <v>7</v>
      </c>
      <c r="DU530" s="27" t="s">
        <v>8</v>
      </c>
      <c r="EG530" s="27" t="s">
        <v>8</v>
      </c>
      <c r="EH530" s="27" t="s">
        <v>7</v>
      </c>
      <c r="EI530" s="27" t="s">
        <v>8</v>
      </c>
      <c r="EJ530" s="27" t="s">
        <v>7</v>
      </c>
    </row>
    <row r="531" spans="1:143" x14ac:dyDescent="0.25">
      <c r="A531" s="7">
        <v>3.0311652864835552</v>
      </c>
      <c r="B531"/>
      <c r="C531"/>
      <c r="D531"/>
      <c r="E531"/>
      <c r="DM531" s="27" t="s">
        <v>8</v>
      </c>
      <c r="DR531" s="27" t="s">
        <v>7</v>
      </c>
      <c r="DS531" s="27" t="s">
        <v>8</v>
      </c>
      <c r="DT531" s="27" t="s">
        <v>7</v>
      </c>
      <c r="DU531" s="27" t="s">
        <v>8</v>
      </c>
      <c r="DV531" s="27" t="s">
        <v>7</v>
      </c>
      <c r="EA531" s="27" t="s">
        <v>8</v>
      </c>
      <c r="EG531" s="27" t="s">
        <v>8</v>
      </c>
      <c r="EH531" s="27" t="s">
        <v>7</v>
      </c>
      <c r="EI531" s="27" t="s">
        <v>8</v>
      </c>
      <c r="EJ531" s="27" t="s">
        <v>7</v>
      </c>
    </row>
    <row r="532" spans="1:143" x14ac:dyDescent="0.25">
      <c r="A532" s="7">
        <v>2.9717306730230932</v>
      </c>
      <c r="B532"/>
      <c r="C532"/>
      <c r="D532"/>
      <c r="E532"/>
      <c r="DG532" s="27" t="s">
        <v>8</v>
      </c>
      <c r="DI532" s="27" t="s">
        <v>8</v>
      </c>
      <c r="DM532" s="27" t="s">
        <v>8</v>
      </c>
      <c r="DR532" s="27" t="s">
        <v>7</v>
      </c>
      <c r="DS532" s="27" t="s">
        <v>8</v>
      </c>
      <c r="DT532" s="27" t="s">
        <v>7</v>
      </c>
      <c r="DU532" s="27" t="s">
        <v>8</v>
      </c>
      <c r="DV532" s="27" t="s">
        <v>7</v>
      </c>
      <c r="EA532" s="27" t="s">
        <v>8</v>
      </c>
      <c r="EB532" s="27" t="s">
        <v>7</v>
      </c>
      <c r="EG532" s="27" t="s">
        <v>8</v>
      </c>
      <c r="EH532" s="27" t="s">
        <v>7</v>
      </c>
      <c r="EI532" s="27" t="s">
        <v>8</v>
      </c>
      <c r="EJ532" s="27" t="s">
        <v>7</v>
      </c>
    </row>
    <row r="533" spans="1:143" x14ac:dyDescent="0.25">
      <c r="A533" s="7">
        <v>2.9134614441402875</v>
      </c>
      <c r="B533"/>
      <c r="C533"/>
      <c r="D533"/>
      <c r="E533"/>
      <c r="DG533" s="27" t="s">
        <v>8</v>
      </c>
      <c r="DH533" s="27" t="s">
        <v>7</v>
      </c>
      <c r="DI533" s="27" t="s">
        <v>8</v>
      </c>
      <c r="DJ533" s="27" t="s">
        <v>7</v>
      </c>
      <c r="DM533" s="27" t="s">
        <v>8</v>
      </c>
      <c r="DR533" s="27" t="s">
        <v>7</v>
      </c>
      <c r="DS533" s="27" t="s">
        <v>8</v>
      </c>
      <c r="DT533" s="27" t="s">
        <v>7</v>
      </c>
      <c r="DU533" s="27" t="s">
        <v>8</v>
      </c>
      <c r="DV533" s="27" t="s">
        <v>7</v>
      </c>
      <c r="EA533" s="27" t="s">
        <v>8</v>
      </c>
      <c r="EB533" s="27" t="s">
        <v>7</v>
      </c>
      <c r="EC533" s="27" t="s">
        <v>8</v>
      </c>
      <c r="EE533" s="27" t="s">
        <v>8</v>
      </c>
      <c r="EG533" s="27" t="s">
        <v>8</v>
      </c>
      <c r="EH533" s="27" t="s">
        <v>7</v>
      </c>
      <c r="EI533" s="27" t="s">
        <v>8</v>
      </c>
      <c r="EJ533" s="27" t="s">
        <v>7</v>
      </c>
    </row>
    <row r="534" spans="1:143" x14ac:dyDescent="0.25">
      <c r="A534" s="7">
        <v>2.8563347491571447</v>
      </c>
      <c r="B534"/>
      <c r="C534"/>
      <c r="D534"/>
      <c r="E534"/>
      <c r="DG534" s="27" t="s">
        <v>8</v>
      </c>
      <c r="DH534" s="27" t="s">
        <v>7</v>
      </c>
      <c r="DI534" s="27" t="s">
        <v>8</v>
      </c>
      <c r="DJ534" s="27" t="s">
        <v>7</v>
      </c>
      <c r="DM534" s="27" t="s">
        <v>8</v>
      </c>
      <c r="DR534" s="27" t="s">
        <v>7</v>
      </c>
      <c r="DS534" s="27" t="s">
        <v>8</v>
      </c>
      <c r="DT534" s="27" t="s">
        <v>7</v>
      </c>
      <c r="DU534" s="27" t="s">
        <v>8</v>
      </c>
      <c r="DV534" s="27" t="s">
        <v>7</v>
      </c>
      <c r="DY534" s="27" t="s">
        <v>8</v>
      </c>
      <c r="EA534" s="27" t="s">
        <v>8</v>
      </c>
      <c r="EB534" s="27" t="s">
        <v>7</v>
      </c>
      <c r="EC534" s="27" t="s">
        <v>8</v>
      </c>
      <c r="ED534" s="27" t="s">
        <v>7</v>
      </c>
      <c r="EE534" s="27" t="s">
        <v>8</v>
      </c>
      <c r="EF534" s="27" t="s">
        <v>7</v>
      </c>
      <c r="EG534" s="27" t="s">
        <v>8</v>
      </c>
      <c r="EH534" s="27" t="s">
        <v>7</v>
      </c>
      <c r="EI534" s="27" t="s">
        <v>8</v>
      </c>
      <c r="EJ534" s="27" t="s">
        <v>7</v>
      </c>
    </row>
    <row r="535" spans="1:143" x14ac:dyDescent="0.25">
      <c r="A535" s="7">
        <v>2.8003281854481812</v>
      </c>
      <c r="B535"/>
      <c r="C535"/>
      <c r="D535"/>
      <c r="E535"/>
      <c r="DG535" s="27" t="s">
        <v>8</v>
      </c>
      <c r="DH535" s="27" t="s">
        <v>7</v>
      </c>
      <c r="DI535" s="27" t="s">
        <v>8</v>
      </c>
      <c r="DJ535" s="27" t="s">
        <v>7</v>
      </c>
      <c r="DM535" s="27" t="s">
        <v>8</v>
      </c>
      <c r="DR535" s="27" t="s">
        <v>7</v>
      </c>
      <c r="DS535" s="27" t="s">
        <v>8</v>
      </c>
      <c r="DT535" s="27" t="s">
        <v>7</v>
      </c>
      <c r="DU535" s="27" t="s">
        <v>8</v>
      </c>
      <c r="DV535" s="27" t="s">
        <v>7</v>
      </c>
      <c r="DY535" s="27" t="s">
        <v>8</v>
      </c>
      <c r="DZ535" s="27" t="s">
        <v>7</v>
      </c>
      <c r="EA535" s="27" t="s">
        <v>8</v>
      </c>
      <c r="EB535" s="27" t="s">
        <v>7</v>
      </c>
      <c r="EC535" s="27" t="s">
        <v>8</v>
      </c>
      <c r="ED535" s="27" t="s">
        <v>7</v>
      </c>
      <c r="EE535" s="27" t="s">
        <v>8</v>
      </c>
      <c r="EF535" s="27" t="s">
        <v>7</v>
      </c>
      <c r="EG535" s="27" t="s">
        <v>8</v>
      </c>
      <c r="EH535" s="27" t="s">
        <v>7</v>
      </c>
      <c r="EI535" s="27" t="s">
        <v>8</v>
      </c>
      <c r="EJ535" s="27" t="s">
        <v>7</v>
      </c>
    </row>
    <row r="536" spans="1:143" x14ac:dyDescent="0.25">
      <c r="A536" s="7">
        <v>2.7454197896550796</v>
      </c>
      <c r="B536"/>
      <c r="C536"/>
      <c r="D536"/>
      <c r="E536"/>
      <c r="DG536" s="27" t="s">
        <v>8</v>
      </c>
      <c r="DH536" s="27" t="s">
        <v>7</v>
      </c>
      <c r="DI536" s="27" t="s">
        <v>8</v>
      </c>
      <c r="DJ536" s="27" t="s">
        <v>7</v>
      </c>
      <c r="DM536" s="27" t="s">
        <v>8</v>
      </c>
      <c r="DR536" s="27" t="s">
        <v>7</v>
      </c>
      <c r="DS536" s="27" t="s">
        <v>8</v>
      </c>
      <c r="DT536" s="27" t="s">
        <v>7</v>
      </c>
      <c r="DU536" s="27" t="s">
        <v>8</v>
      </c>
      <c r="DV536" s="27" t="s">
        <v>7</v>
      </c>
      <c r="DY536" s="27" t="s">
        <v>8</v>
      </c>
      <c r="DZ536" s="27" t="s">
        <v>7</v>
      </c>
      <c r="EA536" s="27" t="s">
        <v>8</v>
      </c>
      <c r="EB536" s="27" t="s">
        <v>7</v>
      </c>
      <c r="EC536" s="27" t="s">
        <v>8</v>
      </c>
      <c r="ED536" s="27" t="s">
        <v>7</v>
      </c>
      <c r="EE536" s="27" t="s">
        <v>8</v>
      </c>
      <c r="EF536" s="27" t="s">
        <v>7</v>
      </c>
      <c r="EG536" s="27" t="s">
        <v>8</v>
      </c>
      <c r="EH536" s="27" t="s">
        <v>7</v>
      </c>
      <c r="EJ536" s="27" t="s">
        <v>7</v>
      </c>
    </row>
    <row r="537" spans="1:143" x14ac:dyDescent="0.25">
      <c r="A537" s="7">
        <v>2.6915880290736074</v>
      </c>
      <c r="B537"/>
      <c r="C537"/>
      <c r="D537"/>
      <c r="E537"/>
      <c r="DG537" s="27" t="s">
        <v>8</v>
      </c>
      <c r="DH537" s="27" t="s">
        <v>7</v>
      </c>
      <c r="DI537" s="27" t="s">
        <v>8</v>
      </c>
      <c r="DJ537" s="27" t="s">
        <v>7</v>
      </c>
      <c r="DK537" s="27" t="s">
        <v>8</v>
      </c>
      <c r="DM537" s="27" t="s">
        <v>8</v>
      </c>
      <c r="DR537" s="27" t="s">
        <v>7</v>
      </c>
      <c r="DS537" s="27" t="s">
        <v>8</v>
      </c>
      <c r="DT537" s="27" t="s">
        <v>7</v>
      </c>
      <c r="DU537" s="27" t="s">
        <v>8</v>
      </c>
      <c r="DV537" s="27" t="s">
        <v>7</v>
      </c>
      <c r="DY537" s="27" t="s">
        <v>8</v>
      </c>
      <c r="DZ537" s="27" t="s">
        <v>7</v>
      </c>
      <c r="EA537" s="27" t="s">
        <v>8</v>
      </c>
      <c r="EB537" s="27" t="s">
        <v>7</v>
      </c>
      <c r="ED537" s="27" t="s">
        <v>7</v>
      </c>
      <c r="EF537" s="27" t="s">
        <v>7</v>
      </c>
      <c r="EG537" s="27" t="s">
        <v>8</v>
      </c>
      <c r="EJ537" s="27" t="s">
        <v>7</v>
      </c>
    </row>
    <row r="538" spans="1:143" x14ac:dyDescent="0.25">
      <c r="A538" s="7">
        <v>2.6388117932094191</v>
      </c>
      <c r="B538"/>
      <c r="C538"/>
      <c r="D538"/>
      <c r="E538"/>
      <c r="DG538" s="27" t="s">
        <v>8</v>
      </c>
      <c r="DH538" s="27" t="s">
        <v>7</v>
      </c>
      <c r="DI538" s="27" t="s">
        <v>8</v>
      </c>
      <c r="DJ538" s="27" t="s">
        <v>7</v>
      </c>
      <c r="DK538" s="27" t="s">
        <v>8</v>
      </c>
      <c r="DL538" s="27" t="s">
        <v>7</v>
      </c>
      <c r="DM538" s="27" t="s">
        <v>8</v>
      </c>
      <c r="DR538" s="27" t="s">
        <v>7</v>
      </c>
      <c r="DS538" s="27" t="s">
        <v>8</v>
      </c>
      <c r="DT538" s="27" t="s">
        <v>7</v>
      </c>
      <c r="DU538" s="27" t="s">
        <v>8</v>
      </c>
      <c r="DV538" s="27" t="s">
        <v>7</v>
      </c>
      <c r="DY538" s="27" t="s">
        <v>8</v>
      </c>
      <c r="DZ538" s="27" t="s">
        <v>7</v>
      </c>
      <c r="EA538" s="27" t="s">
        <v>8</v>
      </c>
      <c r="EF538" s="27" t="s">
        <v>7</v>
      </c>
      <c r="EG538" s="27" t="s">
        <v>8</v>
      </c>
      <c r="EJ538" s="27" t="s">
        <v>7</v>
      </c>
    </row>
    <row r="539" spans="1:143" x14ac:dyDescent="0.25">
      <c r="A539" s="7">
        <v>2.5870703854994304</v>
      </c>
      <c r="B539"/>
      <c r="C539"/>
      <c r="D539"/>
      <c r="E539"/>
      <c r="DG539" s="27" t="s">
        <v>8</v>
      </c>
      <c r="DH539" s="27" t="s">
        <v>7</v>
      </c>
      <c r="DI539" s="27" t="s">
        <v>8</v>
      </c>
      <c r="DJ539" s="27" t="s">
        <v>7</v>
      </c>
      <c r="DK539" s="27" t="s">
        <v>8</v>
      </c>
      <c r="DL539" s="27" t="s">
        <v>7</v>
      </c>
      <c r="DM539" s="27" t="s">
        <v>8</v>
      </c>
      <c r="DR539" s="27" t="s">
        <v>7</v>
      </c>
      <c r="DT539" s="27" t="s">
        <v>7</v>
      </c>
      <c r="DU539" s="27" t="s">
        <v>8</v>
      </c>
      <c r="DV539" s="27" t="s">
        <v>7</v>
      </c>
      <c r="DY539" s="27" t="s">
        <v>8</v>
      </c>
      <c r="DZ539" s="27" t="s">
        <v>7</v>
      </c>
      <c r="EA539" s="27" t="s">
        <v>8</v>
      </c>
      <c r="EF539" s="27" t="s">
        <v>7</v>
      </c>
      <c r="EG539" s="27" t="s">
        <v>8</v>
      </c>
      <c r="EJ539" s="27" t="s">
        <v>7</v>
      </c>
      <c r="EK539" s="27" t="s">
        <v>8</v>
      </c>
    </row>
    <row r="540" spans="1:143" x14ac:dyDescent="0.25">
      <c r="A540" s="7">
        <v>2.53634351519552</v>
      </c>
      <c r="B540"/>
      <c r="C540"/>
      <c r="D540"/>
      <c r="E540"/>
      <c r="DG540" s="27" t="s">
        <v>8</v>
      </c>
      <c r="DH540" s="27" t="s">
        <v>7</v>
      </c>
      <c r="DI540" s="27" t="s">
        <v>8</v>
      </c>
      <c r="DJ540" s="27" t="s">
        <v>7</v>
      </c>
      <c r="DK540" s="27" t="s">
        <v>8</v>
      </c>
      <c r="DL540" s="27" t="s">
        <v>7</v>
      </c>
      <c r="DM540" s="27" t="s">
        <v>8</v>
      </c>
      <c r="DT540" s="27" t="s">
        <v>7</v>
      </c>
      <c r="DU540" s="27" t="s">
        <v>8</v>
      </c>
      <c r="DV540" s="27" t="s">
        <v>7</v>
      </c>
      <c r="DY540" s="27" t="s">
        <v>8</v>
      </c>
      <c r="DZ540" s="27" t="s">
        <v>7</v>
      </c>
      <c r="EA540" s="27" t="s">
        <v>8</v>
      </c>
      <c r="EF540" s="27" t="s">
        <v>7</v>
      </c>
      <c r="EJ540" s="27" t="s">
        <v>7</v>
      </c>
      <c r="EK540" s="27" t="s">
        <v>8</v>
      </c>
      <c r="EL540" s="27" t="s">
        <v>7</v>
      </c>
    </row>
    <row r="541" spans="1:143" x14ac:dyDescent="0.25">
      <c r="A541" s="7">
        <v>2.4866112894073726</v>
      </c>
      <c r="B541"/>
      <c r="C541"/>
      <c r="D541"/>
      <c r="E541"/>
      <c r="DG541" s="27" t="s">
        <v>8</v>
      </c>
      <c r="DH541" s="27" t="s">
        <v>7</v>
      </c>
      <c r="DJ541" s="27" t="s">
        <v>7</v>
      </c>
      <c r="DK541" s="27" t="s">
        <v>8</v>
      </c>
      <c r="DL541" s="27" t="s">
        <v>7</v>
      </c>
      <c r="DM541" s="27" t="s">
        <v>8</v>
      </c>
      <c r="DT541" s="27" t="s">
        <v>7</v>
      </c>
      <c r="DU541" s="27" t="s">
        <v>8</v>
      </c>
      <c r="DV541" s="27" t="s">
        <v>7</v>
      </c>
      <c r="DY541" s="27" t="s">
        <v>8</v>
      </c>
      <c r="DZ541" s="27" t="s">
        <v>7</v>
      </c>
      <c r="EJ541" s="27" t="s">
        <v>7</v>
      </c>
      <c r="EK541" s="27" t="s">
        <v>8</v>
      </c>
      <c r="EL541" s="27" t="s">
        <v>7</v>
      </c>
    </row>
    <row r="542" spans="1:143" x14ac:dyDescent="0.25">
      <c r="A542" s="7">
        <v>2.4378542053013459</v>
      </c>
      <c r="B542"/>
      <c r="C542"/>
      <c r="D542"/>
      <c r="E542"/>
      <c r="DG542" s="27" t="s">
        <v>8</v>
      </c>
      <c r="DJ542" s="27" t="s">
        <v>7</v>
      </c>
      <c r="DL542" s="27" t="s">
        <v>7</v>
      </c>
      <c r="DT542" s="27" t="s">
        <v>7</v>
      </c>
      <c r="DU542" s="27" t="s">
        <v>8</v>
      </c>
      <c r="DV542" s="27" t="s">
        <v>7</v>
      </c>
      <c r="DY542" s="27" t="s">
        <v>8</v>
      </c>
      <c r="EJ542" s="27" t="s">
        <v>7</v>
      </c>
      <c r="EK542" s="27" t="s">
        <v>8</v>
      </c>
      <c r="EL542" s="27" t="s">
        <v>7</v>
      </c>
    </row>
    <row r="543" spans="1:143" x14ac:dyDescent="0.25">
      <c r="A543" s="7">
        <v>2.3900531424522997</v>
      </c>
      <c r="B543"/>
      <c r="C543"/>
      <c r="D543"/>
      <c r="E543"/>
      <c r="DG543" s="27" t="s">
        <v>8</v>
      </c>
      <c r="DT543" s="27" t="s">
        <v>7</v>
      </c>
      <c r="DU543" s="27" t="s">
        <v>8</v>
      </c>
      <c r="DV543" s="27" t="s">
        <v>7</v>
      </c>
      <c r="DY543" s="27" t="s">
        <v>8</v>
      </c>
      <c r="EJ543" s="27" t="s">
        <v>7</v>
      </c>
      <c r="EK543" s="27" t="s">
        <v>8</v>
      </c>
      <c r="EL543" s="27" t="s">
        <v>7</v>
      </c>
    </row>
    <row r="544" spans="1:143" x14ac:dyDescent="0.25">
      <c r="A544" s="7">
        <v>2.343189355345392</v>
      </c>
      <c r="B544"/>
      <c r="C544"/>
      <c r="D544"/>
      <c r="E544"/>
      <c r="DG544" s="27" t="s">
        <v>8</v>
      </c>
      <c r="DT544" s="27" t="s">
        <v>7</v>
      </c>
      <c r="DU544" s="27" t="s">
        <v>8</v>
      </c>
      <c r="DV544" s="27" t="s">
        <v>7</v>
      </c>
      <c r="DW544" s="27" t="s">
        <v>8</v>
      </c>
      <c r="DY544" s="27" t="s">
        <v>8</v>
      </c>
      <c r="EJ544" s="27" t="s">
        <v>7</v>
      </c>
      <c r="EK544" s="27" t="s">
        <v>8</v>
      </c>
      <c r="EL544" s="27" t="s">
        <v>7</v>
      </c>
      <c r="EM544" s="27" t="s">
        <v>8</v>
      </c>
    </row>
    <row r="545" spans="1:152" x14ac:dyDescent="0.25">
      <c r="A545" s="7">
        <v>2.2972444660248938</v>
      </c>
      <c r="B545"/>
      <c r="C545"/>
      <c r="D545"/>
      <c r="E545"/>
      <c r="DG545" s="27" t="s">
        <v>8</v>
      </c>
      <c r="DT545" s="27" t="s">
        <v>7</v>
      </c>
      <c r="DV545" s="27" t="s">
        <v>7</v>
      </c>
      <c r="DW545" s="27" t="s">
        <v>8</v>
      </c>
      <c r="DX545" s="27" t="s">
        <v>7</v>
      </c>
      <c r="DY545" s="27" t="s">
        <v>8</v>
      </c>
      <c r="EJ545" s="27" t="s">
        <v>7</v>
      </c>
      <c r="EK545" s="27" t="s">
        <v>8</v>
      </c>
      <c r="EL545" s="27" t="s">
        <v>7</v>
      </c>
      <c r="EM545" s="27" t="s">
        <v>8</v>
      </c>
      <c r="EN545" s="27" t="s">
        <v>7</v>
      </c>
    </row>
    <row r="546" spans="1:152" x14ac:dyDescent="0.25">
      <c r="A546" s="7">
        <v>2.252200456887151</v>
      </c>
      <c r="B546"/>
      <c r="C546"/>
      <c r="D546"/>
      <c r="E546"/>
      <c r="DE546" s="27" t="s">
        <v>8</v>
      </c>
      <c r="DG546" s="27" t="s">
        <v>8</v>
      </c>
      <c r="DV546" s="27" t="s">
        <v>7</v>
      </c>
      <c r="DW546" s="27" t="s">
        <v>8</v>
      </c>
      <c r="DX546" s="27" t="s">
        <v>7</v>
      </c>
      <c r="DY546" s="27" t="s">
        <v>8</v>
      </c>
      <c r="EJ546" s="27" t="s">
        <v>7</v>
      </c>
      <c r="EL546" s="27" t="s">
        <v>7</v>
      </c>
      <c r="EM546" s="27" t="s">
        <v>8</v>
      </c>
      <c r="EN546" s="27" t="s">
        <v>7</v>
      </c>
    </row>
    <row r="547" spans="1:152" x14ac:dyDescent="0.25">
      <c r="A547" s="7">
        <v>2.208039663614854</v>
      </c>
      <c r="B547"/>
      <c r="C547"/>
      <c r="D547"/>
      <c r="E547"/>
      <c r="DE547" s="27" t="s">
        <v>8</v>
      </c>
      <c r="DF547" s="27" t="s">
        <v>7</v>
      </c>
      <c r="DG547" s="27" t="s">
        <v>8</v>
      </c>
      <c r="DV547" s="27" t="s">
        <v>7</v>
      </c>
      <c r="DW547" s="27" t="s">
        <v>8</v>
      </c>
      <c r="DX547" s="27" t="s">
        <v>7</v>
      </c>
      <c r="DY547" s="27" t="s">
        <v>8</v>
      </c>
      <c r="EL547" s="27" t="s">
        <v>7</v>
      </c>
      <c r="EM547" s="27" t="s">
        <v>8</v>
      </c>
      <c r="EN547" s="27" t="s">
        <v>7</v>
      </c>
    </row>
    <row r="548" spans="1:152" x14ac:dyDescent="0.25">
      <c r="A548" s="7">
        <v>2.1647447682498568</v>
      </c>
      <c r="B548"/>
      <c r="C548"/>
      <c r="D548"/>
      <c r="E548"/>
      <c r="DE548" s="27" t="s">
        <v>8</v>
      </c>
      <c r="DF548" s="27" t="s">
        <v>7</v>
      </c>
      <c r="DG548" s="27" t="s">
        <v>8</v>
      </c>
      <c r="DV548" s="27" t="s">
        <v>7</v>
      </c>
      <c r="DW548" s="27" t="s">
        <v>8</v>
      </c>
      <c r="DX548" s="27" t="s">
        <v>7</v>
      </c>
      <c r="DY548" s="27" t="s">
        <v>8</v>
      </c>
      <c r="EL548" s="27" t="s">
        <v>7</v>
      </c>
      <c r="EM548" s="27" t="s">
        <v>8</v>
      </c>
      <c r="EN548" s="27" t="s">
        <v>7</v>
      </c>
    </row>
    <row r="549" spans="1:152" x14ac:dyDescent="0.25">
      <c r="A549" s="7">
        <v>2.1222987924018204</v>
      </c>
      <c r="B549"/>
      <c r="C549"/>
      <c r="D549"/>
      <c r="E549"/>
      <c r="DE549" s="27" t="s">
        <v>8</v>
      </c>
      <c r="DF549" s="27" t="s">
        <v>7</v>
      </c>
      <c r="DG549" s="27" t="s">
        <v>8</v>
      </c>
      <c r="DV549" s="27" t="s">
        <v>7</v>
      </c>
      <c r="DW549" s="27" t="s">
        <v>8</v>
      </c>
      <c r="DX549" s="27" t="s">
        <v>7</v>
      </c>
      <c r="DY549" s="27" t="s">
        <v>8</v>
      </c>
      <c r="EL549" s="27" t="s">
        <v>7</v>
      </c>
      <c r="EM549" s="27" t="s">
        <v>8</v>
      </c>
      <c r="EN549" s="27" t="s">
        <v>7</v>
      </c>
    </row>
    <row r="550" spans="1:152" x14ac:dyDescent="0.25">
      <c r="A550" s="7">
        <v>2.0806850905900198</v>
      </c>
      <c r="B550"/>
      <c r="C550"/>
      <c r="D550"/>
      <c r="E550"/>
      <c r="DE550" s="27" t="s">
        <v>8</v>
      </c>
      <c r="DF550" s="27" t="s">
        <v>7</v>
      </c>
      <c r="DG550" s="27" t="s">
        <v>8</v>
      </c>
      <c r="DV550" s="27" t="s">
        <v>7</v>
      </c>
      <c r="DW550" s="27" t="s">
        <v>8</v>
      </c>
      <c r="DX550" s="27" t="s">
        <v>7</v>
      </c>
      <c r="DY550" s="27" t="s">
        <v>8</v>
      </c>
      <c r="EL550" s="27" t="s">
        <v>7</v>
      </c>
      <c r="EM550" s="27" t="s">
        <v>8</v>
      </c>
      <c r="EN550" s="27" t="s">
        <v>7</v>
      </c>
    </row>
    <row r="551" spans="1:152" x14ac:dyDescent="0.25">
      <c r="A551" s="7">
        <v>2.0398873437157055</v>
      </c>
      <c r="B551"/>
      <c r="C551"/>
      <c r="D551"/>
      <c r="E551"/>
      <c r="DE551" s="27" t="s">
        <v>8</v>
      </c>
      <c r="DF551" s="27" t="s">
        <v>7</v>
      </c>
      <c r="DG551" s="27" t="s">
        <v>8</v>
      </c>
      <c r="DV551" s="27" t="s">
        <v>7</v>
      </c>
      <c r="DW551" s="27" t="s">
        <v>8</v>
      </c>
      <c r="DX551" s="27" t="s">
        <v>7</v>
      </c>
      <c r="DY551" s="27" t="s">
        <v>8</v>
      </c>
      <c r="EL551" s="27" t="s">
        <v>7</v>
      </c>
      <c r="EM551" s="27" t="s">
        <v>8</v>
      </c>
      <c r="EN551" s="27" t="s">
        <v>7</v>
      </c>
      <c r="EO551" s="27" t="s">
        <v>8</v>
      </c>
    </row>
    <row r="552" spans="1:152" x14ac:dyDescent="0.25">
      <c r="A552" s="7">
        <v>1.9998895526624565</v>
      </c>
      <c r="B552"/>
      <c r="C552"/>
      <c r="D552"/>
      <c r="E552"/>
      <c r="DE552" s="27" t="s">
        <v>8</v>
      </c>
      <c r="DF552" s="27" t="s">
        <v>7</v>
      </c>
      <c r="DG552" s="27" t="s">
        <v>8</v>
      </c>
      <c r="DV552" s="27" t="s">
        <v>7</v>
      </c>
      <c r="DW552" s="27" t="s">
        <v>8</v>
      </c>
      <c r="DX552" s="27" t="s">
        <v>7</v>
      </c>
      <c r="DY552" s="27" t="s">
        <v>8</v>
      </c>
      <c r="EL552" s="27" t="s">
        <v>7</v>
      </c>
      <c r="EM552" s="27" t="s">
        <v>8</v>
      </c>
      <c r="EN552" s="27" t="s">
        <v>7</v>
      </c>
      <c r="EO552" s="27" t="s">
        <v>8</v>
      </c>
      <c r="EP552" s="27" t="s">
        <v>7</v>
      </c>
    </row>
    <row r="553" spans="1:152" x14ac:dyDescent="0.25">
      <c r="A553" s="7">
        <v>1.9606760320220162</v>
      </c>
      <c r="B553"/>
      <c r="C553"/>
      <c r="D553"/>
      <c r="E553"/>
      <c r="DE553" s="27" t="s">
        <v>8</v>
      </c>
      <c r="DF553" s="27" t="s">
        <v>7</v>
      </c>
      <c r="DG553" s="27" t="s">
        <v>8</v>
      </c>
      <c r="DV553" s="27" t="s">
        <v>7</v>
      </c>
      <c r="DW553" s="27" t="s">
        <v>8</v>
      </c>
      <c r="DX553" s="27" t="s">
        <v>7</v>
      </c>
      <c r="DY553" s="27" t="s">
        <v>8</v>
      </c>
      <c r="EL553" s="27" t="s">
        <v>7</v>
      </c>
      <c r="EN553" s="27" t="s">
        <v>7</v>
      </c>
      <c r="EO553" s="27" t="s">
        <v>8</v>
      </c>
      <c r="EP553" s="27" t="s">
        <v>7</v>
      </c>
    </row>
    <row r="554" spans="1:152" x14ac:dyDescent="0.25">
      <c r="A554" s="7">
        <v>1.9222314039431532</v>
      </c>
      <c r="B554"/>
      <c r="C554"/>
      <c r="D554"/>
      <c r="E554"/>
      <c r="DE554" s="27" t="s">
        <v>8</v>
      </c>
      <c r="DF554" s="27" t="s">
        <v>7</v>
      </c>
      <c r="DG554" s="27" t="s">
        <v>8</v>
      </c>
      <c r="DV554" s="27" t="s">
        <v>7</v>
      </c>
      <c r="DW554" s="27" t="s">
        <v>8</v>
      </c>
      <c r="DX554" s="27" t="s">
        <v>7</v>
      </c>
      <c r="DY554" s="27" t="s">
        <v>8</v>
      </c>
      <c r="EN554" s="27" t="s">
        <v>7</v>
      </c>
      <c r="EO554" s="27" t="s">
        <v>8</v>
      </c>
      <c r="EP554" s="27" t="s">
        <v>7</v>
      </c>
    </row>
    <row r="555" spans="1:152" x14ac:dyDescent="0.25">
      <c r="A555" s="7">
        <v>1.8845405921011305</v>
      </c>
      <c r="B555"/>
      <c r="C555"/>
      <c r="D555"/>
      <c r="E555"/>
      <c r="DC555" s="27" t="s">
        <v>8</v>
      </c>
      <c r="DE555" s="27" t="s">
        <v>8</v>
      </c>
      <c r="DF555" s="27" t="s">
        <v>7</v>
      </c>
      <c r="DG555" s="27" t="s">
        <v>8</v>
      </c>
      <c r="DV555" s="27" t="s">
        <v>7</v>
      </c>
      <c r="DW555" s="27" t="s">
        <v>8</v>
      </c>
      <c r="DX555" s="27" t="s">
        <v>7</v>
      </c>
      <c r="EN555" s="27" t="s">
        <v>7</v>
      </c>
      <c r="EO555" s="27" t="s">
        <v>8</v>
      </c>
      <c r="EP555" s="27" t="s">
        <v>7</v>
      </c>
    </row>
    <row r="556" spans="1:152" x14ac:dyDescent="0.25">
      <c r="A556" s="7">
        <v>1.8475888157854219</v>
      </c>
      <c r="B556"/>
      <c r="C556"/>
      <c r="D556"/>
      <c r="E556"/>
      <c r="CM556" s="27" t="s">
        <v>8</v>
      </c>
      <c r="DC556" s="27" t="s">
        <v>8</v>
      </c>
      <c r="DD556" s="27" t="s">
        <v>7</v>
      </c>
      <c r="DE556" s="27" t="s">
        <v>8</v>
      </c>
      <c r="DF556" s="27" t="s">
        <v>7</v>
      </c>
      <c r="DG556" s="27" t="s">
        <v>8</v>
      </c>
      <c r="DV556" s="27" t="s">
        <v>7</v>
      </c>
      <c r="DW556" s="27" t="s">
        <v>8</v>
      </c>
      <c r="EN556" s="27" t="s">
        <v>7</v>
      </c>
      <c r="EO556" s="27" t="s">
        <v>8</v>
      </c>
      <c r="EP556" s="27" t="s">
        <v>7</v>
      </c>
      <c r="EQ556" s="27" t="s">
        <v>8</v>
      </c>
      <c r="ES556" s="27" t="s">
        <v>8</v>
      </c>
    </row>
    <row r="557" spans="1:152" x14ac:dyDescent="0.25">
      <c r="A557" s="7">
        <v>1.8113615841033548</v>
      </c>
      <c r="B557"/>
      <c r="C557"/>
      <c r="D557"/>
      <c r="E557"/>
      <c r="CM557" s="27" t="s">
        <v>8</v>
      </c>
      <c r="CN557" s="27" t="s">
        <v>7</v>
      </c>
      <c r="DC557" s="27" t="s">
        <v>8</v>
      </c>
      <c r="DD557" s="27" t="s">
        <v>7</v>
      </c>
      <c r="DE557" s="27" t="s">
        <v>8</v>
      </c>
      <c r="DF557" s="27" t="s">
        <v>7</v>
      </c>
      <c r="DG557" s="27" t="s">
        <v>8</v>
      </c>
      <c r="DV557" s="27" t="s">
        <v>7</v>
      </c>
      <c r="DW557" s="27" t="s">
        <v>8</v>
      </c>
      <c r="EN557" s="27" t="s">
        <v>7</v>
      </c>
      <c r="EO557" s="27" t="s">
        <v>8</v>
      </c>
      <c r="EP557" s="27" t="s">
        <v>7</v>
      </c>
      <c r="EQ557" s="27" t="s">
        <v>8</v>
      </c>
      <c r="ER557" s="27" t="s">
        <v>7</v>
      </c>
      <c r="ES557" s="27" t="s">
        <v>8</v>
      </c>
      <c r="ET557" s="27" t="s">
        <v>7</v>
      </c>
    </row>
    <row r="558" spans="1:152" x14ac:dyDescent="0.25">
      <c r="A558" s="7">
        <v>1.7758446902974065</v>
      </c>
      <c r="B558"/>
      <c r="C558"/>
      <c r="D558"/>
      <c r="E558"/>
      <c r="CM558" s="27" t="s">
        <v>8</v>
      </c>
      <c r="CN558" s="27" t="s">
        <v>7</v>
      </c>
      <c r="DC558" s="27" t="s">
        <v>8</v>
      </c>
      <c r="DD558" s="27" t="s">
        <v>7</v>
      </c>
      <c r="DE558" s="27" t="s">
        <v>8</v>
      </c>
      <c r="DF558" s="27" t="s">
        <v>7</v>
      </c>
      <c r="DG558" s="27" t="s">
        <v>8</v>
      </c>
      <c r="DV558" s="27" t="s">
        <v>7</v>
      </c>
      <c r="DW558" s="27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ET558" s="27" t="s">
        <v>7</v>
      </c>
    </row>
    <row r="559" spans="1:152" x14ac:dyDescent="0.25">
      <c r="A559" s="7">
        <v>1.7410242061739281</v>
      </c>
      <c r="B559"/>
      <c r="C559"/>
      <c r="D559"/>
      <c r="E559"/>
      <c r="CM559" s="27" t="s">
        <v>8</v>
      </c>
      <c r="CN559" s="27" t="s">
        <v>7</v>
      </c>
      <c r="DC559" s="27" t="s">
        <v>8</v>
      </c>
      <c r="DD559" s="27" t="s">
        <v>7</v>
      </c>
      <c r="DE559" s="27" t="s">
        <v>8</v>
      </c>
      <c r="DF559" s="27" t="s">
        <v>7</v>
      </c>
      <c r="DG559" s="27" t="s">
        <v>8</v>
      </c>
      <c r="DV559" s="27" t="s">
        <v>7</v>
      </c>
      <c r="DW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ET559" s="27" t="s">
        <v>7</v>
      </c>
      <c r="EU559" s="27" t="s">
        <v>8</v>
      </c>
    </row>
    <row r="560" spans="1:152" x14ac:dyDescent="0.25">
      <c r="A560" s="7">
        <v>1.7068864766411058</v>
      </c>
      <c r="B560"/>
      <c r="C560"/>
      <c r="D560"/>
      <c r="E560"/>
      <c r="CM560" s="27" t="s">
        <v>8</v>
      </c>
      <c r="CN560" s="27" t="s">
        <v>7</v>
      </c>
      <c r="DC560" s="27" t="s">
        <v>8</v>
      </c>
      <c r="DD560" s="27" t="s">
        <v>7</v>
      </c>
      <c r="DE560" s="27" t="s">
        <v>8</v>
      </c>
      <c r="DF560" s="27" t="s">
        <v>7</v>
      </c>
      <c r="DG560" s="27" t="s">
        <v>8</v>
      </c>
      <c r="DV560" s="27" t="s">
        <v>7</v>
      </c>
      <c r="DW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ET560" s="27" t="s">
        <v>7</v>
      </c>
      <c r="EU560" s="27" t="s">
        <v>8</v>
      </c>
      <c r="EV560" s="27" t="s">
        <v>7</v>
      </c>
    </row>
    <row r="561" spans="1:238" x14ac:dyDescent="0.25">
      <c r="A561" s="7">
        <v>1.6734181143540252</v>
      </c>
      <c r="B561"/>
      <c r="C561"/>
      <c r="D561"/>
      <c r="E561"/>
      <c r="CM561" s="27" t="s">
        <v>8</v>
      </c>
      <c r="CN561" s="27" t="s">
        <v>7</v>
      </c>
      <c r="DC561" s="27" t="s">
        <v>8</v>
      </c>
      <c r="DD561" s="27" t="s">
        <v>7</v>
      </c>
      <c r="DE561" s="27" t="s">
        <v>8</v>
      </c>
      <c r="DF561" s="27" t="s">
        <v>7</v>
      </c>
      <c r="DG561" s="27" t="s">
        <v>8</v>
      </c>
      <c r="DV561" s="27" t="s">
        <v>7</v>
      </c>
      <c r="EN561" s="27" t="s">
        <v>7</v>
      </c>
      <c r="EO561" s="27" t="s">
        <v>8</v>
      </c>
      <c r="EP561" s="27" t="s">
        <v>7</v>
      </c>
      <c r="EQ561" s="27" t="s">
        <v>8</v>
      </c>
      <c r="ER561" s="27" t="s">
        <v>7</v>
      </c>
      <c r="ES561" s="27" t="s">
        <v>8</v>
      </c>
      <c r="ET561" s="27" t="s">
        <v>7</v>
      </c>
      <c r="EU561" s="27" t="s">
        <v>8</v>
      </c>
      <c r="EV561" s="27" t="s">
        <v>7</v>
      </c>
      <c r="EW561" s="27" t="s">
        <v>8</v>
      </c>
    </row>
    <row r="562" spans="1:238" x14ac:dyDescent="0.25">
      <c r="A562" s="7">
        <v>1.6406059944647307</v>
      </c>
      <c r="B562"/>
      <c r="C562"/>
      <c r="D562"/>
      <c r="E562"/>
      <c r="CM562" s="27" t="s">
        <v>8</v>
      </c>
      <c r="CN562" s="27" t="s">
        <v>7</v>
      </c>
      <c r="DC562" s="27" t="s">
        <v>8</v>
      </c>
      <c r="DD562" s="27" t="s">
        <v>7</v>
      </c>
      <c r="DF562" s="27" t="s">
        <v>7</v>
      </c>
      <c r="EN562" s="27" t="s">
        <v>7</v>
      </c>
      <c r="EO562" s="27" t="s">
        <v>8</v>
      </c>
      <c r="EP562" s="27" t="s">
        <v>7</v>
      </c>
      <c r="EQ562" s="27" t="s">
        <v>8</v>
      </c>
      <c r="ER562" s="27" t="s">
        <v>7</v>
      </c>
      <c r="ES562" s="27" t="s">
        <v>8</v>
      </c>
      <c r="ET562" s="27" t="s">
        <v>7</v>
      </c>
      <c r="EU562" s="27" t="s">
        <v>8</v>
      </c>
      <c r="EV562" s="27" t="s">
        <v>7</v>
      </c>
      <c r="EW562" s="27" t="s">
        <v>8</v>
      </c>
      <c r="EX562" s="27" t="s">
        <v>7</v>
      </c>
      <c r="IC562" s="27" t="s">
        <v>8</v>
      </c>
    </row>
    <row r="563" spans="1:238" x14ac:dyDescent="0.25">
      <c r="A563" s="7">
        <v>1.6084372494752261</v>
      </c>
      <c r="B563"/>
      <c r="C563"/>
      <c r="D563"/>
      <c r="E563"/>
      <c r="CM563" s="27" t="s">
        <v>8</v>
      </c>
      <c r="CN563" s="27" t="s">
        <v>7</v>
      </c>
      <c r="CY563" s="27" t="s">
        <v>8</v>
      </c>
      <c r="DC563" s="27" t="s">
        <v>8</v>
      </c>
      <c r="EN563" s="27" t="s">
        <v>7</v>
      </c>
      <c r="EO563" s="27" t="s">
        <v>8</v>
      </c>
      <c r="EP563" s="27" t="s">
        <v>7</v>
      </c>
      <c r="EQ563" s="27" t="s">
        <v>8</v>
      </c>
      <c r="ER563" s="27" t="s">
        <v>7</v>
      </c>
      <c r="ES563" s="27" t="s">
        <v>8</v>
      </c>
      <c r="ET563" s="27" t="s">
        <v>7</v>
      </c>
      <c r="EU563" s="27" t="s">
        <v>8</v>
      </c>
      <c r="EV563" s="27" t="s">
        <v>7</v>
      </c>
      <c r="EW563" s="27" t="s">
        <v>8</v>
      </c>
      <c r="EX563" s="27" t="s">
        <v>7</v>
      </c>
      <c r="GS563" s="27" t="s">
        <v>8</v>
      </c>
      <c r="IC563" s="27" t="s">
        <v>8</v>
      </c>
      <c r="ID563" s="27" t="s">
        <v>7</v>
      </c>
    </row>
    <row r="564" spans="1:238" x14ac:dyDescent="0.25">
      <c r="A564" s="7">
        <v>1.5768992641913981</v>
      </c>
      <c r="B564"/>
      <c r="C564"/>
      <c r="D564"/>
      <c r="E564"/>
      <c r="CM564" s="27" t="s">
        <v>8</v>
      </c>
      <c r="CN564" s="27" t="s">
        <v>7</v>
      </c>
      <c r="CY564" s="27" t="s">
        <v>8</v>
      </c>
      <c r="CZ564" s="27" t="s">
        <v>7</v>
      </c>
      <c r="DC564" s="27" t="s">
        <v>8</v>
      </c>
      <c r="EN564" s="27" t="s">
        <v>7</v>
      </c>
      <c r="EO564" s="27" t="s">
        <v>8</v>
      </c>
      <c r="EP564" s="27" t="s">
        <v>7</v>
      </c>
      <c r="EQ564" s="27" t="s">
        <v>8</v>
      </c>
      <c r="ER564" s="27" t="s">
        <v>7</v>
      </c>
      <c r="ES564" s="27" t="s">
        <v>8</v>
      </c>
      <c r="ET564" s="27" t="s">
        <v>7</v>
      </c>
      <c r="EU564" s="27" t="s">
        <v>8</v>
      </c>
      <c r="EV564" s="27" t="s">
        <v>7</v>
      </c>
      <c r="EW564" s="27" t="s">
        <v>8</v>
      </c>
      <c r="EX564" s="27" t="s">
        <v>7</v>
      </c>
      <c r="GS564" s="27" t="s">
        <v>8</v>
      </c>
      <c r="GT564" s="27" t="s">
        <v>7</v>
      </c>
      <c r="IC564" s="27" t="s">
        <v>8</v>
      </c>
      <c r="ID564" s="27" t="s">
        <v>7</v>
      </c>
    </row>
    <row r="565" spans="1:238" x14ac:dyDescent="0.25">
      <c r="A565" s="7">
        <v>1.5459796707758806</v>
      </c>
      <c r="B565"/>
      <c r="C565"/>
      <c r="D565"/>
      <c r="E565"/>
      <c r="CK565" s="27" t="s">
        <v>8</v>
      </c>
      <c r="CM565" s="27" t="s">
        <v>8</v>
      </c>
      <c r="CN565" s="27" t="s">
        <v>7</v>
      </c>
      <c r="CW565" s="27" t="s">
        <v>8</v>
      </c>
      <c r="CY565" s="27" t="s">
        <v>8</v>
      </c>
      <c r="CZ565" s="27" t="s">
        <v>7</v>
      </c>
      <c r="DC565" s="27" t="s">
        <v>8</v>
      </c>
      <c r="EN565" s="27" t="s">
        <v>7</v>
      </c>
      <c r="EO565" s="27" t="s">
        <v>8</v>
      </c>
      <c r="EP565" s="27" t="s">
        <v>7</v>
      </c>
      <c r="EQ565" s="27" t="s">
        <v>8</v>
      </c>
      <c r="ER565" s="27" t="s">
        <v>7</v>
      </c>
      <c r="ES565" s="27" t="s">
        <v>8</v>
      </c>
      <c r="ET565" s="27" t="s">
        <v>7</v>
      </c>
      <c r="EU565" s="27" t="s">
        <v>8</v>
      </c>
      <c r="EV565" s="27" t="s">
        <v>7</v>
      </c>
      <c r="EW565" s="27" t="s">
        <v>8</v>
      </c>
      <c r="EX565" s="27" t="s">
        <v>7</v>
      </c>
      <c r="GS565" s="27" t="s">
        <v>8</v>
      </c>
      <c r="GT565" s="27" t="s">
        <v>7</v>
      </c>
      <c r="IC565" s="27" t="s">
        <v>8</v>
      </c>
      <c r="ID565" s="27" t="s">
        <v>7</v>
      </c>
    </row>
    <row r="566" spans="1:238" x14ac:dyDescent="0.25">
      <c r="A566" s="7">
        <v>1.5156663438979221</v>
      </c>
      <c r="B566"/>
      <c r="C566"/>
      <c r="D566"/>
      <c r="E566"/>
      <c r="CK566" s="27" t="s">
        <v>8</v>
      </c>
      <c r="CL566" s="27" t="s">
        <v>7</v>
      </c>
      <c r="CM566" s="27" t="s">
        <v>8</v>
      </c>
      <c r="CN566" s="27" t="s">
        <v>7</v>
      </c>
      <c r="CW566" s="27" t="s">
        <v>8</v>
      </c>
      <c r="CX566" s="27" t="s">
        <v>7</v>
      </c>
      <c r="CY566" s="27" t="s">
        <v>8</v>
      </c>
      <c r="CZ566" s="27" t="s">
        <v>7</v>
      </c>
      <c r="DA566" s="27" t="s">
        <v>8</v>
      </c>
      <c r="DC566" s="27" t="s">
        <v>8</v>
      </c>
      <c r="EN566" s="27" t="s">
        <v>7</v>
      </c>
      <c r="EO566" s="27" t="s">
        <v>8</v>
      </c>
      <c r="EP566" s="27" t="s">
        <v>7</v>
      </c>
      <c r="EQ566" s="27" t="s">
        <v>8</v>
      </c>
      <c r="ER566" s="27" t="s">
        <v>7</v>
      </c>
      <c r="ES566" s="27" t="s">
        <v>8</v>
      </c>
      <c r="ET566" s="27" t="s">
        <v>7</v>
      </c>
      <c r="EU566" s="27" t="s">
        <v>8</v>
      </c>
      <c r="EV566" s="27" t="s">
        <v>7</v>
      </c>
      <c r="EW566" s="27" t="s">
        <v>8</v>
      </c>
      <c r="EX566" s="27" t="s">
        <v>7</v>
      </c>
      <c r="GS566" s="27" t="s">
        <v>8</v>
      </c>
      <c r="GT566" s="27" t="s">
        <v>7</v>
      </c>
      <c r="IC566" s="27" t="s">
        <v>8</v>
      </c>
      <c r="ID566" s="27" t="s">
        <v>7</v>
      </c>
    </row>
    <row r="567" spans="1:238" x14ac:dyDescent="0.25">
      <c r="A567" s="7">
        <v>1.4859473959783549</v>
      </c>
      <c r="B567"/>
      <c r="C567"/>
      <c r="D567"/>
      <c r="E567"/>
      <c r="CK567" s="27" t="s">
        <v>8</v>
      </c>
      <c r="CL567" s="27" t="s">
        <v>7</v>
      </c>
      <c r="CM567" s="27" t="s">
        <v>8</v>
      </c>
      <c r="CN567" s="27" t="s">
        <v>7</v>
      </c>
      <c r="CW567" s="27" t="s">
        <v>8</v>
      </c>
      <c r="CX567" s="27" t="s">
        <v>7</v>
      </c>
      <c r="CY567" s="27" t="s">
        <v>8</v>
      </c>
      <c r="CZ567" s="27" t="s">
        <v>7</v>
      </c>
      <c r="DA567" s="27" t="s">
        <v>8</v>
      </c>
      <c r="DB567" s="27" t="s">
        <v>7</v>
      </c>
      <c r="DC567" s="27" t="s">
        <v>8</v>
      </c>
      <c r="EN567" s="27" t="s">
        <v>7</v>
      </c>
      <c r="EO567" s="27" t="s">
        <v>8</v>
      </c>
      <c r="EP567" s="27" t="s">
        <v>7</v>
      </c>
      <c r="EQ567" s="27" t="s">
        <v>8</v>
      </c>
      <c r="ER567" s="27" t="s">
        <v>7</v>
      </c>
      <c r="ES567" s="27" t="s">
        <v>8</v>
      </c>
      <c r="ET567" s="27" t="s">
        <v>7</v>
      </c>
      <c r="EV567" s="27" t="s">
        <v>7</v>
      </c>
      <c r="EW567" s="27" t="s">
        <v>8</v>
      </c>
      <c r="EX567" s="27" t="s">
        <v>7</v>
      </c>
      <c r="GS567" s="27" t="s">
        <v>8</v>
      </c>
      <c r="GT567" s="27" t="s">
        <v>7</v>
      </c>
      <c r="IC567" s="27" t="s">
        <v>8</v>
      </c>
      <c r="ID567" s="27" t="s">
        <v>7</v>
      </c>
    </row>
    <row r="568" spans="1:238" x14ac:dyDescent="0.25">
      <c r="A568" s="7">
        <v>1.4568111725277988</v>
      </c>
      <c r="B568"/>
      <c r="C568"/>
      <c r="D568"/>
      <c r="E568"/>
      <c r="CK568" s="27" t="s">
        <v>8</v>
      </c>
      <c r="CL568" s="27" t="s">
        <v>7</v>
      </c>
      <c r="CM568" s="27" t="s">
        <v>8</v>
      </c>
      <c r="CN568" s="27" t="s">
        <v>7</v>
      </c>
      <c r="CO568" s="27" t="s">
        <v>8</v>
      </c>
      <c r="CU568" s="27" t="s">
        <v>8</v>
      </c>
      <c r="CW568" s="27" t="s">
        <v>8</v>
      </c>
      <c r="CX568" s="27" t="s">
        <v>7</v>
      </c>
      <c r="CY568" s="27" t="s">
        <v>8</v>
      </c>
      <c r="CZ568" s="27" t="s">
        <v>7</v>
      </c>
      <c r="DA568" s="27" t="s">
        <v>8</v>
      </c>
      <c r="DB568" s="27" t="s">
        <v>7</v>
      </c>
      <c r="DC568" s="27" t="s">
        <v>8</v>
      </c>
      <c r="EN568" s="27" t="s">
        <v>7</v>
      </c>
      <c r="EO568" s="27" t="s">
        <v>8</v>
      </c>
      <c r="EP568" s="27" t="s">
        <v>7</v>
      </c>
      <c r="EQ568" s="27" t="s">
        <v>8</v>
      </c>
      <c r="ER568" s="27" t="s">
        <v>7</v>
      </c>
      <c r="ES568" s="27" t="s">
        <v>8</v>
      </c>
      <c r="EV568" s="27" t="s">
        <v>7</v>
      </c>
      <c r="EW568" s="27" t="s">
        <v>8</v>
      </c>
      <c r="EX568" s="27" t="s">
        <v>7</v>
      </c>
      <c r="GS568" s="27" t="s">
        <v>8</v>
      </c>
      <c r="GT568" s="27" t="s">
        <v>7</v>
      </c>
      <c r="IC568" s="27" t="s">
        <v>8</v>
      </c>
      <c r="ID568" s="27" t="s">
        <v>7</v>
      </c>
    </row>
    <row r="569" spans="1:238" x14ac:dyDescent="0.25">
      <c r="A569" s="7">
        <v>1.4282462475762734</v>
      </c>
      <c r="B569"/>
      <c r="C569"/>
      <c r="D569"/>
      <c r="E569"/>
      <c r="CK569" s="27" t="s">
        <v>8</v>
      </c>
      <c r="CL569" s="27" t="s">
        <v>7</v>
      </c>
      <c r="CM569" s="27" t="s">
        <v>8</v>
      </c>
      <c r="CN569" s="27" t="s">
        <v>7</v>
      </c>
      <c r="CO569" s="27" t="s">
        <v>8</v>
      </c>
      <c r="CP569" s="27" t="s">
        <v>7</v>
      </c>
      <c r="CU569" s="27" t="s">
        <v>8</v>
      </c>
      <c r="CV569" s="27" t="s">
        <v>7</v>
      </c>
      <c r="CW569" s="27" t="s">
        <v>8</v>
      </c>
      <c r="CX569" s="27" t="s">
        <v>7</v>
      </c>
      <c r="CZ569" s="27" t="s">
        <v>7</v>
      </c>
      <c r="DA569" s="27" t="s">
        <v>8</v>
      </c>
      <c r="DB569" s="27" t="s">
        <v>7</v>
      </c>
      <c r="DC569" s="27" t="s">
        <v>8</v>
      </c>
      <c r="EN569" s="27" t="s">
        <v>7</v>
      </c>
      <c r="EO569" s="27" t="s">
        <v>8</v>
      </c>
      <c r="EP569" s="27" t="s">
        <v>7</v>
      </c>
      <c r="EQ569" s="27" t="s">
        <v>8</v>
      </c>
      <c r="ER569" s="27" t="s">
        <v>7</v>
      </c>
      <c r="ES569" s="27" t="s">
        <v>8</v>
      </c>
      <c r="EV569" s="27" t="s">
        <v>7</v>
      </c>
      <c r="EW569" s="27" t="s">
        <v>8</v>
      </c>
      <c r="EX569" s="27" t="s">
        <v>7</v>
      </c>
      <c r="GS569" s="27" t="s">
        <v>8</v>
      </c>
      <c r="GT569" s="27" t="s">
        <v>7</v>
      </c>
      <c r="IC569" s="27" t="s">
        <v>8</v>
      </c>
      <c r="ID569" s="27" t="s">
        <v>7</v>
      </c>
    </row>
    <row r="570" spans="1:238" x14ac:dyDescent="0.25">
      <c r="A570" s="7">
        <v>1.4002414191924248</v>
      </c>
      <c r="B570"/>
      <c r="C570"/>
      <c r="D570"/>
      <c r="E570"/>
      <c r="CK570" s="27" t="s">
        <v>8</v>
      </c>
      <c r="CL570" s="27" t="s">
        <v>7</v>
      </c>
      <c r="CM570" s="27" t="s">
        <v>8</v>
      </c>
      <c r="CN570" s="27" t="s">
        <v>7</v>
      </c>
      <c r="CO570" s="27" t="s">
        <v>8</v>
      </c>
      <c r="CP570" s="27" t="s">
        <v>7</v>
      </c>
      <c r="CU570" s="27" t="s">
        <v>8</v>
      </c>
      <c r="CV570" s="27" t="s">
        <v>7</v>
      </c>
      <c r="CW570" s="27" t="s">
        <v>8</v>
      </c>
      <c r="CZ570" s="27" t="s">
        <v>7</v>
      </c>
      <c r="DB570" s="27" t="s">
        <v>7</v>
      </c>
      <c r="DC570" s="27" t="s">
        <v>8</v>
      </c>
      <c r="EN570" s="27" t="s">
        <v>7</v>
      </c>
      <c r="EO570" s="27" t="s">
        <v>8</v>
      </c>
      <c r="EP570" s="27" t="s">
        <v>7</v>
      </c>
      <c r="EQ570" s="27" t="s">
        <v>8</v>
      </c>
      <c r="ER570" s="27" t="s">
        <v>7</v>
      </c>
      <c r="ES570" s="27" t="s">
        <v>8</v>
      </c>
      <c r="EV570" s="27" t="s">
        <v>7</v>
      </c>
      <c r="EW570" s="27" t="s">
        <v>8</v>
      </c>
      <c r="EX570" s="27" t="s">
        <v>7</v>
      </c>
      <c r="GS570" s="27" t="s">
        <v>8</v>
      </c>
      <c r="GT570" s="27" t="s">
        <v>7</v>
      </c>
      <c r="IC570" s="27" t="s">
        <v>8</v>
      </c>
      <c r="ID570" s="27" t="s">
        <v>7</v>
      </c>
    </row>
    <row r="571" spans="1:238" x14ac:dyDescent="0.25">
      <c r="A571" s="7">
        <v>1.3727857050906125</v>
      </c>
      <c r="B571"/>
      <c r="C571"/>
      <c r="D571"/>
      <c r="E571"/>
      <c r="CK571" s="27" t="s">
        <v>8</v>
      </c>
      <c r="CL571" s="27" t="s">
        <v>7</v>
      </c>
      <c r="CM571" s="27" t="s">
        <v>8</v>
      </c>
      <c r="CN571" s="27" t="s">
        <v>7</v>
      </c>
      <c r="CO571" s="27" t="s">
        <v>8</v>
      </c>
      <c r="CP571" s="27" t="s">
        <v>7</v>
      </c>
      <c r="CU571" s="27" t="s">
        <v>8</v>
      </c>
      <c r="CV571" s="27" t="s">
        <v>7</v>
      </c>
      <c r="CW571" s="27" t="s">
        <v>8</v>
      </c>
      <c r="DB571" s="27" t="s">
        <v>7</v>
      </c>
      <c r="DC571" s="27" t="s">
        <v>8</v>
      </c>
      <c r="EN571" s="27" t="s">
        <v>7</v>
      </c>
      <c r="EO571" s="27" t="s">
        <v>8</v>
      </c>
      <c r="EP571" s="27" t="s">
        <v>7</v>
      </c>
      <c r="EQ571" s="27" t="s">
        <v>8</v>
      </c>
      <c r="ER571" s="27" t="s">
        <v>7</v>
      </c>
      <c r="ES571" s="27" t="s">
        <v>8</v>
      </c>
      <c r="EV571" s="27" t="s">
        <v>7</v>
      </c>
      <c r="EW571" s="27" t="s">
        <v>8</v>
      </c>
      <c r="EX571" s="27" t="s">
        <v>7</v>
      </c>
      <c r="GS571" s="27" t="s">
        <v>8</v>
      </c>
      <c r="GT571" s="27" t="s">
        <v>7</v>
      </c>
      <c r="IC571" s="27" t="s">
        <v>8</v>
      </c>
      <c r="ID571" s="27" t="s">
        <v>7</v>
      </c>
    </row>
    <row r="572" spans="1:238" x14ac:dyDescent="0.25">
      <c r="A572" s="7">
        <v>1.3458683383241299</v>
      </c>
      <c r="B572"/>
      <c r="C572"/>
      <c r="D572"/>
      <c r="E572"/>
      <c r="CK572" s="27" t="s">
        <v>8</v>
      </c>
      <c r="CL572" s="27" t="s">
        <v>7</v>
      </c>
      <c r="CM572" s="27" t="s">
        <v>8</v>
      </c>
      <c r="CN572" s="27" t="s">
        <v>7</v>
      </c>
      <c r="CO572" s="27" t="s">
        <v>8</v>
      </c>
      <c r="CP572" s="27" t="s">
        <v>7</v>
      </c>
      <c r="CQ572" s="27" t="s">
        <v>8</v>
      </c>
      <c r="CU572" s="27" t="s">
        <v>8</v>
      </c>
      <c r="CV572" s="27" t="s">
        <v>7</v>
      </c>
      <c r="CW572" s="27" t="s">
        <v>8</v>
      </c>
      <c r="DB572" s="27" t="s">
        <v>7</v>
      </c>
      <c r="DC572" s="27" t="s">
        <v>8</v>
      </c>
      <c r="EN572" s="27" t="s">
        <v>7</v>
      </c>
      <c r="EO572" s="27" t="s">
        <v>8</v>
      </c>
      <c r="EP572" s="27" t="s">
        <v>7</v>
      </c>
      <c r="EQ572" s="27" t="s">
        <v>8</v>
      </c>
      <c r="ER572" s="27" t="s">
        <v>7</v>
      </c>
      <c r="EV572" s="27" t="s">
        <v>7</v>
      </c>
      <c r="EW572" s="27" t="s">
        <v>8</v>
      </c>
      <c r="EX572" s="27" t="s">
        <v>7</v>
      </c>
      <c r="GS572" s="27" t="s">
        <v>8</v>
      </c>
      <c r="GT572" s="27" t="s">
        <v>7</v>
      </c>
      <c r="IC572" s="27" t="s">
        <v>8</v>
      </c>
      <c r="ID572" s="27" t="s">
        <v>7</v>
      </c>
    </row>
    <row r="573" spans="1:238" x14ac:dyDescent="0.25">
      <c r="A573" s="7">
        <v>1.3194787630628724</v>
      </c>
      <c r="B573"/>
      <c r="C573"/>
      <c r="D573"/>
      <c r="E573"/>
      <c r="CK573" s="27" t="s">
        <v>8</v>
      </c>
      <c r="CL573" s="27" t="s">
        <v>7</v>
      </c>
      <c r="CM573" s="27" t="s">
        <v>8</v>
      </c>
      <c r="CN573" s="27" t="s">
        <v>7</v>
      </c>
      <c r="CO573" s="27" t="s">
        <v>8</v>
      </c>
      <c r="CP573" s="27" t="s">
        <v>7</v>
      </c>
      <c r="CQ573" s="27" t="s">
        <v>8</v>
      </c>
      <c r="CR573" s="27" t="s">
        <v>7</v>
      </c>
      <c r="CU573" s="27" t="s">
        <v>8</v>
      </c>
      <c r="CV573" s="27" t="s">
        <v>7</v>
      </c>
      <c r="CW573" s="27" t="s">
        <v>8</v>
      </c>
      <c r="DB573" s="27" t="s">
        <v>7</v>
      </c>
      <c r="EN573" s="27" t="s">
        <v>7</v>
      </c>
      <c r="EO573" s="27" t="s">
        <v>8</v>
      </c>
      <c r="EP573" s="27" t="s">
        <v>7</v>
      </c>
      <c r="EQ573" s="27" t="s">
        <v>8</v>
      </c>
      <c r="EV573" s="27" t="s">
        <v>7</v>
      </c>
      <c r="EW573" s="27" t="s">
        <v>8</v>
      </c>
      <c r="EX573" s="27" t="s">
        <v>7</v>
      </c>
      <c r="GG573" s="27" t="s">
        <v>8</v>
      </c>
      <c r="GS573" s="27" t="s">
        <v>8</v>
      </c>
      <c r="GT573" s="27" t="s">
        <v>7</v>
      </c>
      <c r="HM573" s="27" t="s">
        <v>8</v>
      </c>
      <c r="IC573" s="27" t="s">
        <v>8</v>
      </c>
      <c r="ID573" s="27" t="s">
        <v>7</v>
      </c>
    </row>
    <row r="574" spans="1:238" x14ac:dyDescent="0.25">
      <c r="A574" s="7">
        <v>1.2936066304537963</v>
      </c>
      <c r="B574"/>
      <c r="C574"/>
      <c r="D574"/>
      <c r="E574"/>
      <c r="CK574" s="27" t="s">
        <v>8</v>
      </c>
      <c r="CL574" s="27" t="s">
        <v>7</v>
      </c>
      <c r="CM574" s="27" t="s">
        <v>8</v>
      </c>
      <c r="CN574" s="27" t="s">
        <v>7</v>
      </c>
      <c r="CO574" s="27" t="s">
        <v>8</v>
      </c>
      <c r="CP574" s="27" t="s">
        <v>7</v>
      </c>
      <c r="CQ574" s="27" t="s">
        <v>8</v>
      </c>
      <c r="CR574" s="27" t="s">
        <v>7</v>
      </c>
      <c r="CS574" s="27" t="s">
        <v>8</v>
      </c>
      <c r="CU574" s="27" t="s">
        <v>8</v>
      </c>
      <c r="CV574" s="27" t="s">
        <v>7</v>
      </c>
      <c r="EN574" s="27" t="s">
        <v>7</v>
      </c>
      <c r="EO574" s="27" t="s">
        <v>8</v>
      </c>
      <c r="EP574" s="27" t="s">
        <v>7</v>
      </c>
      <c r="EQ574" s="27" t="s">
        <v>8</v>
      </c>
      <c r="EV574" s="27" t="s">
        <v>7</v>
      </c>
      <c r="EX574" s="27" t="s">
        <v>7</v>
      </c>
      <c r="GG574" s="27" t="s">
        <v>8</v>
      </c>
      <c r="GH574" s="27" t="s">
        <v>7</v>
      </c>
      <c r="GS574" s="27" t="s">
        <v>8</v>
      </c>
      <c r="GT574" s="27" t="s">
        <v>7</v>
      </c>
      <c r="HM574" s="27" t="s">
        <v>8</v>
      </c>
      <c r="HN574" s="27" t="s">
        <v>7</v>
      </c>
      <c r="IC574" s="27" t="s">
        <v>8</v>
      </c>
      <c r="ID574" s="27" t="s">
        <v>7</v>
      </c>
    </row>
    <row r="575" spans="1:238" x14ac:dyDescent="0.25">
      <c r="A575" s="7">
        <v>1.2682417945625455</v>
      </c>
      <c r="B575"/>
      <c r="C575"/>
      <c r="D575"/>
      <c r="E575"/>
      <c r="CK575" s="27" t="s">
        <v>8</v>
      </c>
      <c r="CL575" s="27" t="s">
        <v>7</v>
      </c>
      <c r="CM575" s="27" t="s">
        <v>8</v>
      </c>
      <c r="CN575" s="27" t="s">
        <v>7</v>
      </c>
      <c r="CO575" s="27" t="s">
        <v>8</v>
      </c>
      <c r="CP575" s="27" t="s">
        <v>7</v>
      </c>
      <c r="CQ575" s="27" t="s">
        <v>8</v>
      </c>
      <c r="CR575" s="27" t="s">
        <v>7</v>
      </c>
      <c r="CS575" s="27" t="s">
        <v>8</v>
      </c>
      <c r="CT575" s="27" t="s">
        <v>7</v>
      </c>
      <c r="CU575" s="27" t="s">
        <v>8</v>
      </c>
      <c r="EN575" s="27" t="s">
        <v>7</v>
      </c>
      <c r="EO575" s="27" t="s">
        <v>8</v>
      </c>
      <c r="EP575" s="27" t="s">
        <v>7</v>
      </c>
      <c r="EQ575" s="27" t="s">
        <v>8</v>
      </c>
      <c r="EX575" s="27" t="s">
        <v>7</v>
      </c>
      <c r="GG575" s="27" t="s">
        <v>8</v>
      </c>
      <c r="GH575" s="27" t="s">
        <v>7</v>
      </c>
      <c r="GQ575" s="27" t="s">
        <v>8</v>
      </c>
      <c r="GS575" s="27" t="s">
        <v>8</v>
      </c>
      <c r="GT575" s="27" t="s">
        <v>7</v>
      </c>
      <c r="GW575" s="27" t="s">
        <v>8</v>
      </c>
      <c r="HM575" s="27" t="s">
        <v>8</v>
      </c>
      <c r="HN575" s="27" t="s">
        <v>7</v>
      </c>
      <c r="IC575" s="27" t="s">
        <v>8</v>
      </c>
      <c r="ID575" s="27" t="s">
        <v>7</v>
      </c>
    </row>
    <row r="576" spans="1:238" x14ac:dyDescent="0.25">
      <c r="A576" s="7">
        <v>1.2433743083946525</v>
      </c>
      <c r="B576"/>
      <c r="C576"/>
      <c r="D576"/>
      <c r="E576"/>
      <c r="CK576" s="27" t="s">
        <v>8</v>
      </c>
      <c r="CL576" s="27" t="s">
        <v>7</v>
      </c>
      <c r="CM576" s="27" t="s">
        <v>8</v>
      </c>
      <c r="CN576" s="27" t="s">
        <v>7</v>
      </c>
      <c r="CO576" s="27" t="s">
        <v>8</v>
      </c>
      <c r="CP576" s="27" t="s">
        <v>7</v>
      </c>
      <c r="CQ576" s="27" t="s">
        <v>8</v>
      </c>
      <c r="CR576" s="27" t="s">
        <v>7</v>
      </c>
      <c r="CS576" s="27" t="s">
        <v>8</v>
      </c>
      <c r="CT576" s="27" t="s">
        <v>7</v>
      </c>
      <c r="CU576" s="27" t="s">
        <v>8</v>
      </c>
      <c r="EN576" s="27" t="s">
        <v>7</v>
      </c>
      <c r="EO576" s="27" t="s">
        <v>8</v>
      </c>
      <c r="EP576" s="27" t="s">
        <v>7</v>
      </c>
      <c r="EQ576" s="27" t="s">
        <v>8</v>
      </c>
      <c r="EX576" s="27" t="s">
        <v>7</v>
      </c>
      <c r="GG576" s="27" t="s">
        <v>8</v>
      </c>
      <c r="GH576" s="27" t="s">
        <v>7</v>
      </c>
      <c r="GI576" s="27" t="s">
        <v>8</v>
      </c>
      <c r="GM576" s="27" t="s">
        <v>8</v>
      </c>
      <c r="GQ576" s="27" t="s">
        <v>8</v>
      </c>
      <c r="GR576" s="27" t="s">
        <v>7</v>
      </c>
      <c r="GS576" s="27" t="s">
        <v>8</v>
      </c>
      <c r="GT576" s="27" t="s">
        <v>7</v>
      </c>
      <c r="GW576" s="27" t="s">
        <v>8</v>
      </c>
      <c r="GX576" s="27" t="s">
        <v>7</v>
      </c>
      <c r="HM576" s="27" t="s">
        <v>8</v>
      </c>
      <c r="HN576" s="27" t="s">
        <v>7</v>
      </c>
      <c r="IC576" s="27" t="s">
        <v>8</v>
      </c>
      <c r="ID576" s="27" t="s">
        <v>7</v>
      </c>
    </row>
    <row r="577" spans="1:248" x14ac:dyDescent="0.25">
      <c r="A577" s="7">
        <v>1.2189944199947573</v>
      </c>
      <c r="B577"/>
      <c r="C577"/>
      <c r="D577"/>
      <c r="E577"/>
      <c r="CK577" s="27" t="s">
        <v>8</v>
      </c>
      <c r="CL577" s="27" t="s">
        <v>7</v>
      </c>
      <c r="CM577" s="27" t="s">
        <v>8</v>
      </c>
      <c r="CN577" s="27" t="s">
        <v>7</v>
      </c>
      <c r="CO577" s="27" t="s">
        <v>8</v>
      </c>
      <c r="CP577" s="27" t="s">
        <v>7</v>
      </c>
      <c r="CQ577" s="27" t="s">
        <v>8</v>
      </c>
      <c r="CR577" s="27" t="s">
        <v>7</v>
      </c>
      <c r="CS577" s="27" t="s">
        <v>8</v>
      </c>
      <c r="CT577" s="27" t="s">
        <v>7</v>
      </c>
      <c r="EN577" s="27" t="s">
        <v>7</v>
      </c>
      <c r="EO577" s="27" t="s">
        <v>8</v>
      </c>
      <c r="EP577" s="27" t="s">
        <v>7</v>
      </c>
      <c r="EQ577" s="27" t="s">
        <v>8</v>
      </c>
      <c r="EX577" s="27" t="s">
        <v>7</v>
      </c>
      <c r="GG577" s="27" t="s">
        <v>8</v>
      </c>
      <c r="GH577" s="27" t="s">
        <v>7</v>
      </c>
      <c r="GI577" s="27" t="s">
        <v>8</v>
      </c>
      <c r="GJ577" s="27" t="s">
        <v>7</v>
      </c>
      <c r="GM577" s="27" t="s">
        <v>8</v>
      </c>
      <c r="GN577" s="27" t="s">
        <v>7</v>
      </c>
      <c r="GQ577" s="27" t="s">
        <v>8</v>
      </c>
      <c r="GR577" s="27" t="s">
        <v>7</v>
      </c>
      <c r="GS577" s="27" t="s">
        <v>8</v>
      </c>
      <c r="GT577" s="27" t="s">
        <v>7</v>
      </c>
      <c r="GW577" s="27" t="s">
        <v>8</v>
      </c>
      <c r="GX577" s="27" t="s">
        <v>7</v>
      </c>
      <c r="HM577" s="27" t="s">
        <v>8</v>
      </c>
      <c r="HN577" s="27" t="s">
        <v>7</v>
      </c>
      <c r="IC577" s="27" t="s">
        <v>8</v>
      </c>
      <c r="ID577" s="27" t="s">
        <v>7</v>
      </c>
    </row>
    <row r="578" spans="1:248" x14ac:dyDescent="0.25">
      <c r="A578" s="7">
        <v>1.1950925686223111</v>
      </c>
      <c r="B578"/>
      <c r="C578"/>
      <c r="D578"/>
      <c r="E578"/>
      <c r="CK578" s="27" t="s">
        <v>8</v>
      </c>
      <c r="CL578" s="27" t="s">
        <v>7</v>
      </c>
      <c r="CN578" s="27" t="s">
        <v>7</v>
      </c>
      <c r="CO578" s="27" t="s">
        <v>8</v>
      </c>
      <c r="CP578" s="27" t="s">
        <v>7</v>
      </c>
      <c r="CQ578" s="27" t="s">
        <v>8</v>
      </c>
      <c r="CR578" s="27" t="s">
        <v>7</v>
      </c>
      <c r="CS578" s="27" t="s">
        <v>8</v>
      </c>
      <c r="EN578" s="27" t="s">
        <v>7</v>
      </c>
      <c r="EO578" s="27" t="s">
        <v>8</v>
      </c>
      <c r="EP578" s="27" t="s">
        <v>7</v>
      </c>
      <c r="EQ578" s="27" t="s">
        <v>8</v>
      </c>
      <c r="EX578" s="27" t="s">
        <v>7</v>
      </c>
      <c r="GG578" s="27" t="s">
        <v>8</v>
      </c>
      <c r="GH578" s="27" t="s">
        <v>7</v>
      </c>
      <c r="GI578" s="27" t="s">
        <v>8</v>
      </c>
      <c r="GJ578" s="27" t="s">
        <v>7</v>
      </c>
      <c r="GK578" s="27" t="s">
        <v>8</v>
      </c>
      <c r="GM578" s="27" t="s">
        <v>8</v>
      </c>
      <c r="GN578" s="27" t="s">
        <v>7</v>
      </c>
      <c r="GQ578" s="27" t="s">
        <v>8</v>
      </c>
      <c r="GR578" s="27" t="s">
        <v>7</v>
      </c>
      <c r="GT578" s="27" t="s">
        <v>7</v>
      </c>
      <c r="GW578" s="27" t="s">
        <v>8</v>
      </c>
      <c r="GX578" s="27" t="s">
        <v>7</v>
      </c>
      <c r="HM578" s="27" t="s">
        <v>8</v>
      </c>
      <c r="HN578" s="27" t="s">
        <v>7</v>
      </c>
      <c r="IC578" s="27" t="s">
        <v>8</v>
      </c>
      <c r="ID578" s="27" t="s">
        <v>7</v>
      </c>
    </row>
    <row r="579" spans="1:248" x14ac:dyDescent="0.25">
      <c r="A579" s="7">
        <v>1.1716593810022657</v>
      </c>
      <c r="B579"/>
      <c r="C579"/>
      <c r="D579"/>
      <c r="E579"/>
      <c r="CK579" s="27" t="s">
        <v>8</v>
      </c>
      <c r="CN579" s="27" t="s">
        <v>7</v>
      </c>
      <c r="CO579" s="27" t="s">
        <v>8</v>
      </c>
      <c r="CP579" s="27" t="s">
        <v>7</v>
      </c>
      <c r="CQ579" s="27" t="s">
        <v>8</v>
      </c>
      <c r="CR579" s="27" t="s">
        <v>7</v>
      </c>
      <c r="CS579" s="27" t="s">
        <v>8</v>
      </c>
      <c r="EN579" s="27" t="s">
        <v>7</v>
      </c>
      <c r="EP579" s="27" t="s">
        <v>7</v>
      </c>
      <c r="EQ579" s="27" t="s">
        <v>8</v>
      </c>
      <c r="EX579" s="27" t="s">
        <v>7</v>
      </c>
      <c r="GG579" s="27" t="s">
        <v>8</v>
      </c>
      <c r="GH579" s="27" t="s">
        <v>7</v>
      </c>
      <c r="GI579" s="27" t="s">
        <v>8</v>
      </c>
      <c r="GJ579" s="27" t="s">
        <v>7</v>
      </c>
      <c r="GK579" s="27" t="s">
        <v>8</v>
      </c>
      <c r="GL579" s="27" t="s">
        <v>7</v>
      </c>
      <c r="GM579" s="27" t="s">
        <v>8</v>
      </c>
      <c r="GN579" s="27" t="s">
        <v>7</v>
      </c>
      <c r="GO579" s="27" t="s">
        <v>8</v>
      </c>
      <c r="GQ579" s="27" t="s">
        <v>8</v>
      </c>
      <c r="GT579" s="27" t="s">
        <v>7</v>
      </c>
      <c r="GU579" s="27" t="s">
        <v>8</v>
      </c>
      <c r="GW579" s="27" t="s">
        <v>8</v>
      </c>
      <c r="GX579" s="27" t="s">
        <v>7</v>
      </c>
      <c r="GY579" s="27" t="s">
        <v>8</v>
      </c>
      <c r="HM579" s="27" t="s">
        <v>8</v>
      </c>
      <c r="HN579" s="27" t="s">
        <v>7</v>
      </c>
      <c r="HO579" s="27" t="s">
        <v>8</v>
      </c>
      <c r="HQ579" s="27" t="s">
        <v>8</v>
      </c>
      <c r="HY579" s="27" t="s">
        <v>8</v>
      </c>
      <c r="IC579" s="27" t="s">
        <v>8</v>
      </c>
      <c r="ID579" s="27" t="s">
        <v>7</v>
      </c>
    </row>
    <row r="580" spans="1:248" x14ac:dyDescent="0.25">
      <c r="A580" s="7">
        <v>1.14868566764928</v>
      </c>
      <c r="B580"/>
      <c r="C580"/>
      <c r="D580"/>
      <c r="E580"/>
      <c r="CK580" s="27" t="s">
        <v>8</v>
      </c>
      <c r="CN580" s="27" t="s">
        <v>7</v>
      </c>
      <c r="CO580" s="27" t="s">
        <v>8</v>
      </c>
      <c r="CP580" s="27" t="s">
        <v>7</v>
      </c>
      <c r="CR580" s="27" t="s">
        <v>7</v>
      </c>
      <c r="CS580" s="27" t="s">
        <v>8</v>
      </c>
      <c r="EP580" s="27" t="s">
        <v>7</v>
      </c>
      <c r="EQ580" s="27" t="s">
        <v>8</v>
      </c>
      <c r="EX580" s="27" t="s">
        <v>7</v>
      </c>
      <c r="FA580" s="27" t="s">
        <v>8</v>
      </c>
      <c r="GG580" s="27" t="s">
        <v>8</v>
      </c>
      <c r="GH580" s="27" t="s">
        <v>7</v>
      </c>
      <c r="GI580" s="27" t="s">
        <v>8</v>
      </c>
      <c r="GJ580" s="27" t="s">
        <v>7</v>
      </c>
      <c r="GK580" s="27" t="s">
        <v>8</v>
      </c>
      <c r="GL580" s="27" t="s">
        <v>7</v>
      </c>
      <c r="GM580" s="27" t="s">
        <v>8</v>
      </c>
      <c r="GN580" s="27" t="s">
        <v>7</v>
      </c>
      <c r="GO580" s="27" t="s">
        <v>8</v>
      </c>
      <c r="GP580" s="27" t="s">
        <v>7</v>
      </c>
      <c r="GQ580" s="27" t="s">
        <v>8</v>
      </c>
      <c r="GT580" s="27" t="s">
        <v>7</v>
      </c>
      <c r="GU580" s="27" t="s">
        <v>8</v>
      </c>
      <c r="GV580" s="27" t="s">
        <v>7</v>
      </c>
      <c r="GW580" s="27" t="s">
        <v>8</v>
      </c>
      <c r="GX580" s="27" t="s">
        <v>7</v>
      </c>
      <c r="GY580" s="27" t="s">
        <v>8</v>
      </c>
      <c r="GZ580" s="27" t="s">
        <v>7</v>
      </c>
      <c r="HK580" s="27" t="s">
        <v>8</v>
      </c>
      <c r="HM580" s="27" t="s">
        <v>8</v>
      </c>
      <c r="HN580" s="27" t="s">
        <v>7</v>
      </c>
      <c r="HO580" s="27" t="s">
        <v>8</v>
      </c>
      <c r="HP580" s="27" t="s">
        <v>7</v>
      </c>
      <c r="HQ580" s="27" t="s">
        <v>8</v>
      </c>
      <c r="HR580" s="27" t="s">
        <v>7</v>
      </c>
      <c r="HY580" s="27" t="s">
        <v>8</v>
      </c>
      <c r="HZ580" s="27" t="s">
        <v>7</v>
      </c>
      <c r="IC580" s="27" t="s">
        <v>8</v>
      </c>
      <c r="ID580" s="27" t="s">
        <v>7</v>
      </c>
    </row>
    <row r="581" spans="1:248" x14ac:dyDescent="0.25">
      <c r="A581" s="7">
        <v>1.1261624192640001</v>
      </c>
      <c r="B581"/>
      <c r="C581"/>
      <c r="D581"/>
      <c r="E581"/>
      <c r="CK581" s="27" t="s">
        <v>8</v>
      </c>
      <c r="CN581" s="27" t="s">
        <v>7</v>
      </c>
      <c r="CO581" s="27" t="s">
        <v>8</v>
      </c>
      <c r="CR581" s="27" t="s">
        <v>7</v>
      </c>
      <c r="EP581" s="27" t="s">
        <v>7</v>
      </c>
      <c r="EQ581" s="27" t="s">
        <v>8</v>
      </c>
      <c r="EX581" s="27" t="s">
        <v>7</v>
      </c>
      <c r="EY581" s="27" t="s">
        <v>8</v>
      </c>
      <c r="FA581" s="27" t="s">
        <v>8</v>
      </c>
      <c r="FB581" s="27" t="s">
        <v>7</v>
      </c>
      <c r="GG581" s="27" t="s">
        <v>8</v>
      </c>
      <c r="GH581" s="27" t="s">
        <v>7</v>
      </c>
      <c r="GJ581" s="27" t="s">
        <v>7</v>
      </c>
      <c r="GK581" s="27" t="s">
        <v>8</v>
      </c>
      <c r="GL581" s="27" t="s">
        <v>7</v>
      </c>
      <c r="GN581" s="27" t="s">
        <v>7</v>
      </c>
      <c r="GO581" s="27" t="s">
        <v>8</v>
      </c>
      <c r="GP581" s="27" t="s">
        <v>7</v>
      </c>
      <c r="GQ581" s="27" t="s">
        <v>8</v>
      </c>
      <c r="GT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GY581" s="27" t="s">
        <v>8</v>
      </c>
      <c r="GZ581" s="27" t="s">
        <v>7</v>
      </c>
      <c r="HI581" s="27" t="s">
        <v>8</v>
      </c>
      <c r="HK581" s="27" t="s">
        <v>8</v>
      </c>
      <c r="HL581" s="27" t="s">
        <v>7</v>
      </c>
      <c r="HM581" s="27" t="s">
        <v>8</v>
      </c>
      <c r="HN581" s="27" t="s">
        <v>7</v>
      </c>
      <c r="HO581" s="27" t="s">
        <v>8</v>
      </c>
      <c r="HP581" s="27" t="s">
        <v>7</v>
      </c>
      <c r="HQ581" s="27" t="s">
        <v>8</v>
      </c>
      <c r="HR581" s="27" t="s">
        <v>7</v>
      </c>
      <c r="HY581" s="27" t="s">
        <v>8</v>
      </c>
      <c r="HZ581" s="27" t="s">
        <v>7</v>
      </c>
      <c r="IC581" s="27" t="s">
        <v>8</v>
      </c>
      <c r="ID581" s="27" t="s">
        <v>7</v>
      </c>
    </row>
    <row r="582" spans="1:248" x14ac:dyDescent="0.25">
      <c r="A582" s="7">
        <v>1.1040808032</v>
      </c>
      <c r="B582"/>
      <c r="C582"/>
      <c r="D582"/>
      <c r="E582"/>
      <c r="CK582" s="27" t="s">
        <v>8</v>
      </c>
      <c r="CN582" s="27" t="s">
        <v>7</v>
      </c>
      <c r="CO582" s="27" t="s">
        <v>8</v>
      </c>
      <c r="EP582" s="27" t="s">
        <v>7</v>
      </c>
      <c r="EX582" s="27" t="s">
        <v>7</v>
      </c>
      <c r="EY582" s="27" t="s">
        <v>8</v>
      </c>
      <c r="EZ582" s="27" t="s">
        <v>7</v>
      </c>
      <c r="FA582" s="27" t="s">
        <v>8</v>
      </c>
      <c r="FB582" s="27" t="s">
        <v>7</v>
      </c>
      <c r="GG582" s="27" t="s">
        <v>8</v>
      </c>
      <c r="GJ582" s="27" t="s">
        <v>7</v>
      </c>
      <c r="GK582" s="27" t="s">
        <v>8</v>
      </c>
      <c r="GN582" s="27" t="s">
        <v>7</v>
      </c>
      <c r="GO582" s="27" t="s">
        <v>8</v>
      </c>
      <c r="GP582" s="27" t="s">
        <v>7</v>
      </c>
      <c r="GQ582" s="27" t="s">
        <v>8</v>
      </c>
      <c r="GT582" s="27" t="s">
        <v>7</v>
      </c>
      <c r="GU582" s="27" t="s">
        <v>8</v>
      </c>
      <c r="GV582" s="27" t="s">
        <v>7</v>
      </c>
      <c r="GW582" s="27" t="s">
        <v>8</v>
      </c>
      <c r="GX582" s="27" t="s">
        <v>7</v>
      </c>
      <c r="GY582" s="27" t="s">
        <v>8</v>
      </c>
      <c r="GZ582" s="27" t="s">
        <v>7</v>
      </c>
      <c r="HG582" s="27" t="s">
        <v>8</v>
      </c>
      <c r="HI582" s="27" t="s">
        <v>8</v>
      </c>
      <c r="HJ582" s="27" t="s">
        <v>7</v>
      </c>
      <c r="HK582" s="27" t="s">
        <v>8</v>
      </c>
      <c r="HL582" s="27" t="s">
        <v>7</v>
      </c>
      <c r="HM582" s="27" t="s">
        <v>8</v>
      </c>
      <c r="HN582" s="27" t="s">
        <v>7</v>
      </c>
      <c r="HO582" s="27" t="s">
        <v>8</v>
      </c>
      <c r="HP582" s="27" t="s">
        <v>7</v>
      </c>
      <c r="HQ582" s="27" t="s">
        <v>8</v>
      </c>
      <c r="HR582" s="27" t="s">
        <v>7</v>
      </c>
      <c r="HY582" s="27" t="s">
        <v>8</v>
      </c>
      <c r="HZ582" s="27" t="s">
        <v>7</v>
      </c>
      <c r="IC582" s="27" t="s">
        <v>8</v>
      </c>
      <c r="ID582" s="27" t="s">
        <v>7</v>
      </c>
    </row>
    <row r="583" spans="1:248" x14ac:dyDescent="0.25">
      <c r="A583" s="7">
        <v>1.08243216</v>
      </c>
      <c r="B583"/>
      <c r="C583"/>
      <c r="D583"/>
      <c r="E583"/>
      <c r="CK583" s="27" t="s">
        <v>8</v>
      </c>
      <c r="CN583" s="27" t="s">
        <v>7</v>
      </c>
      <c r="CO583" s="27" t="s">
        <v>8</v>
      </c>
      <c r="EX583" s="27" t="s">
        <v>7</v>
      </c>
      <c r="EY583" s="27" t="s">
        <v>8</v>
      </c>
      <c r="EZ583" s="27" t="s">
        <v>7</v>
      </c>
      <c r="FA583" s="27" t="s">
        <v>8</v>
      </c>
      <c r="FB583" s="27" t="s">
        <v>7</v>
      </c>
      <c r="GG583" s="27" t="s">
        <v>8</v>
      </c>
      <c r="GJ583" s="27" t="s">
        <v>7</v>
      </c>
      <c r="GK583" s="27" t="s">
        <v>8</v>
      </c>
      <c r="GN583" s="27" t="s">
        <v>7</v>
      </c>
      <c r="GO583" s="27" t="s">
        <v>8</v>
      </c>
      <c r="GP583" s="27" t="s">
        <v>7</v>
      </c>
      <c r="GT583" s="27" t="s">
        <v>7</v>
      </c>
      <c r="GU583" s="27" t="s">
        <v>8</v>
      </c>
      <c r="GV583" s="27" t="s">
        <v>7</v>
      </c>
      <c r="GW583" s="27" t="s">
        <v>8</v>
      </c>
      <c r="GX583" s="27" t="s">
        <v>7</v>
      </c>
      <c r="GY583" s="27" t="s">
        <v>8</v>
      </c>
      <c r="GZ583" s="27" t="s">
        <v>7</v>
      </c>
      <c r="HC583" s="27" t="s">
        <v>8</v>
      </c>
      <c r="HG583" s="27" t="s">
        <v>8</v>
      </c>
      <c r="HH583" s="27" t="s">
        <v>7</v>
      </c>
      <c r="HI583" s="27" t="s">
        <v>8</v>
      </c>
      <c r="HJ583" s="27" t="s">
        <v>7</v>
      </c>
      <c r="HK583" s="27" t="s">
        <v>8</v>
      </c>
      <c r="HL583" s="27" t="s">
        <v>7</v>
      </c>
      <c r="HM583" s="27" t="s">
        <v>8</v>
      </c>
      <c r="HN583" s="27" t="s">
        <v>7</v>
      </c>
      <c r="HO583" s="27" t="s">
        <v>8</v>
      </c>
      <c r="HP583" s="27" t="s">
        <v>7</v>
      </c>
      <c r="HQ583" s="27" t="s">
        <v>8</v>
      </c>
      <c r="HR583" s="27" t="s">
        <v>7</v>
      </c>
      <c r="HS583" s="27" t="s">
        <v>8</v>
      </c>
      <c r="HY583" s="27" t="s">
        <v>8</v>
      </c>
      <c r="HZ583" s="27" t="s">
        <v>7</v>
      </c>
      <c r="IC583" s="27" t="s">
        <v>8</v>
      </c>
      <c r="ID583" s="27" t="s">
        <v>7</v>
      </c>
    </row>
    <row r="584" spans="1:248" x14ac:dyDescent="0.25">
      <c r="A584" s="7">
        <v>1.0612079999999999</v>
      </c>
      <c r="B584"/>
      <c r="C584"/>
      <c r="D584"/>
      <c r="E584"/>
      <c r="CK584" s="27" t="s">
        <v>8</v>
      </c>
      <c r="CN584" s="27" t="s">
        <v>7</v>
      </c>
      <c r="CO584" s="27" t="s">
        <v>8</v>
      </c>
      <c r="EX584" s="27" t="s">
        <v>7</v>
      </c>
      <c r="EY584" s="27" t="s">
        <v>8</v>
      </c>
      <c r="EZ584" s="27" t="s">
        <v>7</v>
      </c>
      <c r="FB584" s="27" t="s">
        <v>7</v>
      </c>
      <c r="GE584" s="27" t="s">
        <v>8</v>
      </c>
      <c r="GG584" s="27" t="s">
        <v>8</v>
      </c>
      <c r="GJ584" s="27" t="s">
        <v>7</v>
      </c>
      <c r="GK584" s="27" t="s">
        <v>8</v>
      </c>
      <c r="GN584" s="27" t="s">
        <v>7</v>
      </c>
      <c r="GO584" s="27" t="s">
        <v>8</v>
      </c>
      <c r="GT584" s="27" t="s">
        <v>7</v>
      </c>
      <c r="GU584" s="27" t="s">
        <v>8</v>
      </c>
      <c r="GV584" s="27" t="s">
        <v>7</v>
      </c>
      <c r="GW584" s="27" t="s">
        <v>8</v>
      </c>
      <c r="GX584" s="27" t="s">
        <v>7</v>
      </c>
      <c r="GY584" s="27" t="s">
        <v>8</v>
      </c>
      <c r="GZ584" s="27" t="s">
        <v>7</v>
      </c>
      <c r="HA584" s="27" t="s">
        <v>8</v>
      </c>
      <c r="HC584" s="27" t="s">
        <v>8</v>
      </c>
      <c r="HD584" s="27" t="s">
        <v>7</v>
      </c>
      <c r="HG584" s="27" t="s">
        <v>8</v>
      </c>
      <c r="HH584" s="27" t="s">
        <v>7</v>
      </c>
      <c r="HI584" s="27" t="s">
        <v>8</v>
      </c>
      <c r="HJ584" s="27" t="s">
        <v>7</v>
      </c>
      <c r="HK584" s="27" t="s">
        <v>8</v>
      </c>
      <c r="HL584" s="27" t="s">
        <v>7</v>
      </c>
      <c r="HM584" s="27" t="s">
        <v>8</v>
      </c>
      <c r="HN584" s="27" t="s">
        <v>7</v>
      </c>
      <c r="HO584" s="27" t="s">
        <v>8</v>
      </c>
      <c r="HP584" s="27" t="s">
        <v>7</v>
      </c>
      <c r="HQ584" s="27" t="s">
        <v>8</v>
      </c>
      <c r="HR584" s="27" t="s">
        <v>7</v>
      </c>
      <c r="HS584" s="27" t="s">
        <v>8</v>
      </c>
      <c r="HT584" s="27" t="s">
        <v>7</v>
      </c>
      <c r="HY584" s="27" t="s">
        <v>8</v>
      </c>
      <c r="HZ584" s="27" t="s">
        <v>7</v>
      </c>
      <c r="IC584" s="27" t="s">
        <v>8</v>
      </c>
      <c r="ID584" s="27" t="s">
        <v>7</v>
      </c>
    </row>
    <row r="585" spans="1:248" x14ac:dyDescent="0.25">
      <c r="A585" s="7">
        <v>1.0404</v>
      </c>
      <c r="B585"/>
      <c r="C585"/>
      <c r="D585"/>
      <c r="E585"/>
      <c r="CK585" s="27" t="s">
        <v>8</v>
      </c>
      <c r="CN585" s="27" t="s">
        <v>7</v>
      </c>
      <c r="CO585" s="27" t="s">
        <v>8</v>
      </c>
      <c r="EX585" s="27" t="s">
        <v>7</v>
      </c>
      <c r="EY585" s="27" t="s">
        <v>8</v>
      </c>
      <c r="FB585" s="27" t="s">
        <v>7</v>
      </c>
      <c r="GE585" s="27" t="s">
        <v>8</v>
      </c>
      <c r="GF585" s="27" t="s">
        <v>7</v>
      </c>
      <c r="GG585" s="27" t="s">
        <v>8</v>
      </c>
      <c r="GJ585" s="27" t="s">
        <v>7</v>
      </c>
      <c r="GK585" s="27" t="s">
        <v>8</v>
      </c>
      <c r="GN585" s="27" t="s">
        <v>7</v>
      </c>
      <c r="GO585" s="27" t="s">
        <v>8</v>
      </c>
      <c r="GT585" s="27" t="s">
        <v>7</v>
      </c>
      <c r="GU585" s="27" t="s">
        <v>8</v>
      </c>
      <c r="GV585" s="27" t="s">
        <v>7</v>
      </c>
      <c r="GX585" s="27" t="s">
        <v>7</v>
      </c>
      <c r="GZ585" s="27" t="s">
        <v>7</v>
      </c>
      <c r="HA585" s="27" t="s">
        <v>8</v>
      </c>
      <c r="HB585" s="27" t="s">
        <v>7</v>
      </c>
      <c r="HC585" s="27" t="s">
        <v>8</v>
      </c>
      <c r="HD585" s="27" t="s">
        <v>7</v>
      </c>
      <c r="HG585" s="27" t="s">
        <v>8</v>
      </c>
      <c r="HH585" s="27" t="s">
        <v>7</v>
      </c>
      <c r="HI585" s="27" t="s">
        <v>8</v>
      </c>
      <c r="HJ585" s="27" t="s">
        <v>7</v>
      </c>
      <c r="HL585" s="27" t="s">
        <v>7</v>
      </c>
      <c r="HM585" s="27" t="s">
        <v>8</v>
      </c>
      <c r="HN585" s="27" t="s">
        <v>7</v>
      </c>
      <c r="HO585" s="27" t="s">
        <v>8</v>
      </c>
      <c r="HP585" s="27" t="s">
        <v>7</v>
      </c>
      <c r="HQ585" s="27" t="s">
        <v>8</v>
      </c>
      <c r="HR585" s="27" t="s">
        <v>7</v>
      </c>
      <c r="HS585" s="27" t="s">
        <v>8</v>
      </c>
      <c r="HT585" s="27" t="s">
        <v>7</v>
      </c>
      <c r="HU585" s="27" t="s">
        <v>8</v>
      </c>
      <c r="HY585" s="27" t="s">
        <v>8</v>
      </c>
      <c r="HZ585" s="27" t="s">
        <v>7</v>
      </c>
      <c r="IC585" s="27" t="s">
        <v>8</v>
      </c>
      <c r="ID585" s="27" t="s">
        <v>7</v>
      </c>
    </row>
    <row r="586" spans="1:248" x14ac:dyDescent="0.25">
      <c r="A586" s="7">
        <v>1.02</v>
      </c>
      <c r="B586"/>
      <c r="C586"/>
      <c r="D586"/>
      <c r="E586"/>
      <c r="CK586" s="27" t="s">
        <v>8</v>
      </c>
      <c r="CN586" s="27" t="s">
        <v>7</v>
      </c>
      <c r="EX586" s="27" t="s">
        <v>7</v>
      </c>
      <c r="EY586" s="27" t="s">
        <v>8</v>
      </c>
      <c r="FB586" s="27" t="s">
        <v>7</v>
      </c>
      <c r="FK586" s="27" t="s">
        <v>8</v>
      </c>
      <c r="GE586" s="27" t="s">
        <v>8</v>
      </c>
      <c r="GF586" s="27" t="s">
        <v>7</v>
      </c>
      <c r="GG586" s="27" t="s">
        <v>8</v>
      </c>
      <c r="GJ586" s="27" t="s">
        <v>7</v>
      </c>
      <c r="GK586" s="27" t="s">
        <v>8</v>
      </c>
      <c r="GN586" s="27" t="s">
        <v>7</v>
      </c>
      <c r="GT586" s="27" t="s">
        <v>7</v>
      </c>
      <c r="GU586" s="27" t="s">
        <v>8</v>
      </c>
      <c r="GZ586" s="27" t="s">
        <v>7</v>
      </c>
      <c r="HA586" s="27" t="s">
        <v>8</v>
      </c>
      <c r="HB586" s="27" t="s">
        <v>7</v>
      </c>
      <c r="HC586" s="27" t="s">
        <v>8</v>
      </c>
      <c r="HD586" s="27" t="s">
        <v>7</v>
      </c>
      <c r="HG586" s="27" t="s">
        <v>8</v>
      </c>
      <c r="HH586" s="27" t="s">
        <v>7</v>
      </c>
      <c r="HI586" s="27" t="s">
        <v>8</v>
      </c>
      <c r="HL586" s="27" t="s">
        <v>7</v>
      </c>
      <c r="HM586" s="27" t="s">
        <v>8</v>
      </c>
      <c r="HN586" s="27" t="s">
        <v>7</v>
      </c>
      <c r="HP586" s="27" t="s">
        <v>7</v>
      </c>
      <c r="HQ586" s="27" t="s">
        <v>8</v>
      </c>
      <c r="HR586" s="27" t="s">
        <v>7</v>
      </c>
      <c r="HS586" s="27" t="s">
        <v>8</v>
      </c>
      <c r="HT586" s="27" t="s">
        <v>7</v>
      </c>
      <c r="HU586" s="27" t="s">
        <v>8</v>
      </c>
      <c r="HV586" s="27" t="s">
        <v>7</v>
      </c>
      <c r="HW586" s="27" t="s">
        <v>8</v>
      </c>
      <c r="HY586" s="27" t="s">
        <v>8</v>
      </c>
      <c r="HZ586" s="27" t="s">
        <v>7</v>
      </c>
      <c r="IC586" s="27" t="s">
        <v>8</v>
      </c>
      <c r="ID586" s="27" t="s">
        <v>7</v>
      </c>
    </row>
    <row r="587" spans="1:248" x14ac:dyDescent="0.25">
      <c r="A587" s="7">
        <v>1</v>
      </c>
      <c r="B587"/>
      <c r="C587"/>
      <c r="D587"/>
      <c r="E587" s="29" t="s">
        <v>8</v>
      </c>
      <c r="CK587" s="27" t="s">
        <v>8</v>
      </c>
      <c r="EX587" s="27" t="s">
        <v>7</v>
      </c>
      <c r="FB587" s="27" t="s">
        <v>7</v>
      </c>
      <c r="FK587" s="27" t="s">
        <v>8</v>
      </c>
      <c r="FL587" s="27" t="s">
        <v>7</v>
      </c>
      <c r="GE587" s="27" t="s">
        <v>8</v>
      </c>
      <c r="GF587" s="27" t="s">
        <v>7</v>
      </c>
      <c r="GG587" s="27" t="s">
        <v>8</v>
      </c>
      <c r="GJ587" s="27" t="s">
        <v>7</v>
      </c>
      <c r="GT587" s="27" t="s">
        <v>7</v>
      </c>
      <c r="GU587" s="27" t="s">
        <v>8</v>
      </c>
      <c r="GZ587" s="27" t="s">
        <v>7</v>
      </c>
      <c r="HA587" s="27" t="s">
        <v>8</v>
      </c>
      <c r="HB587" s="27" t="s">
        <v>7</v>
      </c>
      <c r="HC587" s="27" t="s">
        <v>8</v>
      </c>
      <c r="HD587" s="27" t="s">
        <v>7</v>
      </c>
      <c r="HG587" s="27" t="s">
        <v>8</v>
      </c>
      <c r="HH587" s="27" t="s">
        <v>7</v>
      </c>
      <c r="HI587" s="27" t="s">
        <v>8</v>
      </c>
      <c r="HL587" s="27" t="s">
        <v>7</v>
      </c>
      <c r="HM587" s="27" t="s">
        <v>8</v>
      </c>
      <c r="HP587" s="27" t="s">
        <v>7</v>
      </c>
      <c r="HQ587" s="27" t="s">
        <v>8</v>
      </c>
      <c r="HR587" s="27" t="s">
        <v>7</v>
      </c>
      <c r="HS587" s="27" t="s">
        <v>8</v>
      </c>
      <c r="HT587" s="27" t="s">
        <v>7</v>
      </c>
      <c r="HU587" s="27" t="s">
        <v>8</v>
      </c>
      <c r="HV587" s="27" t="s">
        <v>7</v>
      </c>
      <c r="HW587" s="27" t="s">
        <v>8</v>
      </c>
      <c r="HX587" s="27" t="s">
        <v>7</v>
      </c>
      <c r="HY587" s="27" t="s">
        <v>8</v>
      </c>
      <c r="HZ587" s="27" t="s">
        <v>7</v>
      </c>
      <c r="IA587" s="27" t="s">
        <v>8</v>
      </c>
      <c r="IC587" s="27" t="s">
        <v>8</v>
      </c>
      <c r="ID587" s="27" t="s">
        <v>7</v>
      </c>
    </row>
    <row r="588" spans="1:248" x14ac:dyDescent="0.25">
      <c r="A588" s="7">
        <v>0.98039215686274506</v>
      </c>
      <c r="B588"/>
      <c r="C588"/>
      <c r="D588"/>
      <c r="E588"/>
      <c r="F588" s="27" t="s">
        <v>7</v>
      </c>
      <c r="K588" s="27" t="s">
        <v>8</v>
      </c>
      <c r="CE588" s="27" t="s">
        <v>8</v>
      </c>
      <c r="CK588" s="27" t="s">
        <v>8</v>
      </c>
      <c r="FB588" s="27" t="s">
        <v>7</v>
      </c>
      <c r="FK588" s="27" t="s">
        <v>8</v>
      </c>
      <c r="FL588" s="27" t="s">
        <v>7</v>
      </c>
      <c r="GE588" s="27" t="s">
        <v>8</v>
      </c>
      <c r="GF588" s="27" t="s">
        <v>7</v>
      </c>
      <c r="GG588" s="27" t="s">
        <v>8</v>
      </c>
      <c r="GT588" s="27" t="s">
        <v>7</v>
      </c>
      <c r="GU588" s="27" t="s">
        <v>8</v>
      </c>
      <c r="GZ588" s="27" t="s">
        <v>7</v>
      </c>
      <c r="HA588" s="27" t="s">
        <v>8</v>
      </c>
      <c r="HB588" s="27" t="s">
        <v>7</v>
      </c>
      <c r="HC588" s="27" t="s">
        <v>8</v>
      </c>
      <c r="HD588" s="27" t="s">
        <v>7</v>
      </c>
      <c r="HE588" s="27" t="s">
        <v>8</v>
      </c>
      <c r="HG588" s="27" t="s">
        <v>8</v>
      </c>
      <c r="HH588" s="27" t="s">
        <v>7</v>
      </c>
      <c r="HI588" s="27" t="s">
        <v>8</v>
      </c>
      <c r="HL588" s="27" t="s">
        <v>7</v>
      </c>
      <c r="HM588" s="27" t="s">
        <v>8</v>
      </c>
      <c r="HP588" s="27" t="s">
        <v>7</v>
      </c>
      <c r="HQ588" s="27" t="s">
        <v>8</v>
      </c>
      <c r="HR588" s="27" t="s">
        <v>7</v>
      </c>
      <c r="HT588" s="27" t="s">
        <v>7</v>
      </c>
      <c r="HV588" s="27" t="s">
        <v>7</v>
      </c>
      <c r="HW588" s="27" t="s">
        <v>8</v>
      </c>
      <c r="HX588" s="27" t="s">
        <v>7</v>
      </c>
      <c r="HY588" s="27" t="s">
        <v>8</v>
      </c>
      <c r="HZ588" s="27" t="s">
        <v>7</v>
      </c>
      <c r="IA588" s="27" t="s">
        <v>8</v>
      </c>
      <c r="IB588" s="27" t="s">
        <v>7</v>
      </c>
      <c r="IC588" s="27" t="s">
        <v>8</v>
      </c>
      <c r="ID588" s="27" t="s">
        <v>7</v>
      </c>
      <c r="IE588" s="27" t="s">
        <v>8</v>
      </c>
    </row>
    <row r="589" spans="1:248" x14ac:dyDescent="0.25">
      <c r="A589" s="7">
        <v>0.96116878123798544</v>
      </c>
      <c r="B589"/>
      <c r="C589"/>
      <c r="D589"/>
      <c r="E589"/>
      <c r="F589" s="27" t="s">
        <v>7</v>
      </c>
      <c r="K589" s="27" t="s">
        <v>8</v>
      </c>
      <c r="L589" s="27" t="s">
        <v>7</v>
      </c>
      <c r="CE589" s="27" t="s">
        <v>8</v>
      </c>
      <c r="CF589" s="27" t="s">
        <v>7</v>
      </c>
      <c r="CK589" s="27" t="s">
        <v>8</v>
      </c>
      <c r="FB589" s="27" t="s">
        <v>7</v>
      </c>
      <c r="FK589" s="27" t="s">
        <v>8</v>
      </c>
      <c r="FL589" s="27" t="s">
        <v>7</v>
      </c>
      <c r="GE589" s="27" t="s">
        <v>8</v>
      </c>
      <c r="GF589" s="27" t="s">
        <v>7</v>
      </c>
      <c r="GG589" s="27" t="s">
        <v>8</v>
      </c>
      <c r="GT589" s="27" t="s">
        <v>7</v>
      </c>
      <c r="GU589" s="27" t="s">
        <v>8</v>
      </c>
      <c r="GZ589" s="27" t="s">
        <v>7</v>
      </c>
      <c r="HA589" s="27" t="s">
        <v>8</v>
      </c>
      <c r="HB589" s="27" t="s">
        <v>7</v>
      </c>
      <c r="HC589" s="27" t="s">
        <v>8</v>
      </c>
      <c r="HD589" s="27" t="s">
        <v>7</v>
      </c>
      <c r="HE589" s="27" t="s">
        <v>8</v>
      </c>
      <c r="HF589" s="27" t="s">
        <v>7</v>
      </c>
      <c r="HG589" s="27" t="s">
        <v>8</v>
      </c>
      <c r="HH589" s="27" t="s">
        <v>7</v>
      </c>
      <c r="HL589" s="27" t="s">
        <v>7</v>
      </c>
      <c r="HM589" s="27" t="s">
        <v>8</v>
      </c>
      <c r="HP589" s="27" t="s">
        <v>7</v>
      </c>
      <c r="HQ589" s="27" t="s">
        <v>8</v>
      </c>
      <c r="HV589" s="27" t="s">
        <v>7</v>
      </c>
      <c r="HW589" s="27" t="s">
        <v>8</v>
      </c>
      <c r="HX589" s="27" t="s">
        <v>7</v>
      </c>
      <c r="HY589" s="27" t="s">
        <v>8</v>
      </c>
      <c r="HZ589" s="27" t="s">
        <v>7</v>
      </c>
      <c r="IA589" s="27" t="s">
        <v>8</v>
      </c>
      <c r="IB589" s="27" t="s">
        <v>7</v>
      </c>
      <c r="IC589" s="27" t="s">
        <v>8</v>
      </c>
      <c r="ID589" s="27" t="s">
        <v>7</v>
      </c>
      <c r="IE589" s="27" t="s">
        <v>8</v>
      </c>
      <c r="IF589" s="27" t="s">
        <v>7</v>
      </c>
      <c r="IM589" s="27" t="s">
        <v>8</v>
      </c>
    </row>
    <row r="590" spans="1:248" x14ac:dyDescent="0.25">
      <c r="A590" s="7">
        <v>0.94232233454704462</v>
      </c>
      <c r="B590"/>
      <c r="C590"/>
      <c r="D590"/>
      <c r="E590"/>
      <c r="F590" s="27" t="s">
        <v>7</v>
      </c>
      <c r="K590" s="27" t="s">
        <v>8</v>
      </c>
      <c r="L590" s="27" t="s">
        <v>7</v>
      </c>
      <c r="CE590" s="27" t="s">
        <v>8</v>
      </c>
      <c r="CF590" s="27" t="s">
        <v>7</v>
      </c>
      <c r="CK590" s="27" t="s">
        <v>8</v>
      </c>
      <c r="FB590" s="27" t="s">
        <v>7</v>
      </c>
      <c r="FK590" s="27" t="s">
        <v>8</v>
      </c>
      <c r="FL590" s="27" t="s">
        <v>7</v>
      </c>
      <c r="GA590" s="27" t="s">
        <v>8</v>
      </c>
      <c r="GC590" s="27" t="s">
        <v>8</v>
      </c>
      <c r="GE590" s="27" t="s">
        <v>8</v>
      </c>
      <c r="GF590" s="27" t="s">
        <v>7</v>
      </c>
      <c r="GG590" s="27" t="s">
        <v>8</v>
      </c>
      <c r="GT590" s="27" t="s">
        <v>7</v>
      </c>
      <c r="GU590" s="27" t="s">
        <v>8</v>
      </c>
      <c r="GZ590" s="27" t="s">
        <v>7</v>
      </c>
      <c r="HA590" s="27" t="s">
        <v>8</v>
      </c>
      <c r="HB590" s="27" t="s">
        <v>7</v>
      </c>
      <c r="HC590" s="27" t="s">
        <v>8</v>
      </c>
      <c r="HD590" s="27" t="s">
        <v>7</v>
      </c>
      <c r="HE590" s="27" t="s">
        <v>8</v>
      </c>
      <c r="HF590" s="27" t="s">
        <v>7</v>
      </c>
      <c r="HG590" s="27" t="s">
        <v>8</v>
      </c>
      <c r="HL590" s="27" t="s">
        <v>7</v>
      </c>
      <c r="HM590" s="27" t="s">
        <v>8</v>
      </c>
      <c r="HP590" s="27" t="s">
        <v>7</v>
      </c>
      <c r="HV590" s="27" t="s">
        <v>7</v>
      </c>
      <c r="HW590" s="27" t="s">
        <v>8</v>
      </c>
      <c r="HX590" s="27" t="s">
        <v>7</v>
      </c>
      <c r="HY590" s="27" t="s">
        <v>8</v>
      </c>
      <c r="HZ590" s="27" t="s">
        <v>7</v>
      </c>
      <c r="IB590" s="27" t="s">
        <v>7</v>
      </c>
      <c r="ID590" s="27" t="s">
        <v>7</v>
      </c>
      <c r="IE590" s="27" t="s">
        <v>8</v>
      </c>
      <c r="IF590" s="27" t="s">
        <v>7</v>
      </c>
      <c r="IM590" s="27" t="s">
        <v>8</v>
      </c>
      <c r="IN590" s="27" t="s">
        <v>7</v>
      </c>
    </row>
    <row r="591" spans="1:248" x14ac:dyDescent="0.25">
      <c r="A591" s="7">
        <v>0.92384542602651432</v>
      </c>
      <c r="B591"/>
      <c r="C591"/>
      <c r="D591"/>
      <c r="E591"/>
      <c r="F591" s="27" t="s">
        <v>7</v>
      </c>
      <c r="K591" s="27" t="s">
        <v>8</v>
      </c>
      <c r="L591" s="27" t="s">
        <v>7</v>
      </c>
      <c r="CE591" s="27" t="s">
        <v>8</v>
      </c>
      <c r="CF591" s="27" t="s">
        <v>7</v>
      </c>
      <c r="CI591" s="27" t="s">
        <v>8</v>
      </c>
      <c r="CK591" s="27" t="s">
        <v>8</v>
      </c>
      <c r="FB591" s="27" t="s">
        <v>7</v>
      </c>
      <c r="FK591" s="27" t="s">
        <v>8</v>
      </c>
      <c r="FL591" s="27" t="s">
        <v>7</v>
      </c>
      <c r="GA591" s="27" t="s">
        <v>8</v>
      </c>
      <c r="GB591" s="27" t="s">
        <v>7</v>
      </c>
      <c r="GC591" s="27" t="s">
        <v>8</v>
      </c>
      <c r="GD591" s="27" t="s">
        <v>7</v>
      </c>
      <c r="GE591" s="27" t="s">
        <v>8</v>
      </c>
      <c r="GF591" s="27" t="s">
        <v>7</v>
      </c>
      <c r="GG591" s="27" t="s">
        <v>8</v>
      </c>
      <c r="GT591" s="27" t="s">
        <v>7</v>
      </c>
      <c r="GZ591" s="27" t="s">
        <v>7</v>
      </c>
      <c r="HA591" s="27" t="s">
        <v>8</v>
      </c>
      <c r="HB591" s="27" t="s">
        <v>7</v>
      </c>
      <c r="HC591" s="27" t="s">
        <v>8</v>
      </c>
      <c r="HD591" s="27" t="s">
        <v>7</v>
      </c>
      <c r="HE591" s="27" t="s">
        <v>8</v>
      </c>
      <c r="HF591" s="27" t="s">
        <v>7</v>
      </c>
      <c r="HL591" s="27" t="s">
        <v>7</v>
      </c>
      <c r="HV591" s="27" t="s">
        <v>7</v>
      </c>
      <c r="HW591" s="27" t="s">
        <v>8</v>
      </c>
      <c r="HX591" s="27" t="s">
        <v>7</v>
      </c>
      <c r="HY591" s="27" t="s">
        <v>8</v>
      </c>
      <c r="ID591" s="27" t="s">
        <v>7</v>
      </c>
      <c r="IE591" s="27" t="s">
        <v>8</v>
      </c>
      <c r="IF591" s="27" t="s">
        <v>7</v>
      </c>
      <c r="IM591" s="27" t="s">
        <v>8</v>
      </c>
      <c r="IN591" s="27" t="s">
        <v>7</v>
      </c>
    </row>
    <row r="592" spans="1:248" x14ac:dyDescent="0.25">
      <c r="A592" s="7">
        <v>0.90573080982991594</v>
      </c>
      <c r="B592"/>
      <c r="C592"/>
      <c r="D592"/>
      <c r="E592"/>
      <c r="F592" s="27" t="s">
        <v>7</v>
      </c>
      <c r="K592" s="27" t="s">
        <v>8</v>
      </c>
      <c r="L592" s="27" t="s">
        <v>7</v>
      </c>
      <c r="CE592" s="27" t="s">
        <v>8</v>
      </c>
      <c r="CF592" s="27" t="s">
        <v>7</v>
      </c>
      <c r="CI592" s="27" t="s">
        <v>8</v>
      </c>
      <c r="CJ592" s="27" t="s">
        <v>7</v>
      </c>
      <c r="CK592" s="27" t="s">
        <v>8</v>
      </c>
      <c r="FB592" s="27" t="s">
        <v>7</v>
      </c>
      <c r="FC592" s="27" t="s">
        <v>8</v>
      </c>
      <c r="FK592" s="27" t="s">
        <v>8</v>
      </c>
      <c r="FL592" s="27" t="s">
        <v>7</v>
      </c>
      <c r="GA592" s="27" t="s">
        <v>8</v>
      </c>
      <c r="GB592" s="27" t="s">
        <v>7</v>
      </c>
      <c r="GC592" s="27" t="s">
        <v>8</v>
      </c>
      <c r="GD592" s="27" t="s">
        <v>7</v>
      </c>
      <c r="GE592" s="27" t="s">
        <v>8</v>
      </c>
      <c r="GF592" s="27" t="s">
        <v>7</v>
      </c>
      <c r="GZ592" s="27" t="s">
        <v>7</v>
      </c>
      <c r="HA592" s="27" t="s">
        <v>8</v>
      </c>
      <c r="HB592" s="27" t="s">
        <v>7</v>
      </c>
      <c r="HC592" s="27" t="s">
        <v>8</v>
      </c>
      <c r="HD592" s="27" t="s">
        <v>7</v>
      </c>
      <c r="HE592" s="27" t="s">
        <v>8</v>
      </c>
      <c r="HV592" s="27" t="s">
        <v>7</v>
      </c>
      <c r="HW592" s="27" t="s">
        <v>8</v>
      </c>
      <c r="HX592" s="27" t="s">
        <v>7</v>
      </c>
      <c r="ID592" s="27" t="s">
        <v>7</v>
      </c>
      <c r="IE592" s="27" t="s">
        <v>8</v>
      </c>
      <c r="IF592" s="27" t="s">
        <v>7</v>
      </c>
      <c r="IK592" s="27" t="s">
        <v>8</v>
      </c>
      <c r="IM592" s="27" t="s">
        <v>8</v>
      </c>
      <c r="IN592" s="27" t="s">
        <v>7</v>
      </c>
    </row>
    <row r="593" spans="1:254" x14ac:dyDescent="0.25">
      <c r="A593" s="7">
        <v>0.8879713821861922</v>
      </c>
      <c r="B593"/>
      <c r="C593"/>
      <c r="D593"/>
      <c r="E593"/>
      <c r="F593" s="27" t="s">
        <v>7</v>
      </c>
      <c r="I593" s="27" t="s">
        <v>8</v>
      </c>
      <c r="K593" s="27" t="s">
        <v>8</v>
      </c>
      <c r="L593" s="27" t="s">
        <v>7</v>
      </c>
      <c r="CE593" s="27" t="s">
        <v>8</v>
      </c>
      <c r="CF593" s="27" t="s">
        <v>7</v>
      </c>
      <c r="CI593" s="27" t="s">
        <v>8</v>
      </c>
      <c r="CJ593" s="27" t="s">
        <v>7</v>
      </c>
      <c r="CK593" s="27" t="s">
        <v>8</v>
      </c>
      <c r="FB593" s="27" t="s">
        <v>7</v>
      </c>
      <c r="FC593" s="27" t="s">
        <v>8</v>
      </c>
      <c r="FD593" s="27" t="s">
        <v>7</v>
      </c>
      <c r="FK593" s="27" t="s">
        <v>8</v>
      </c>
      <c r="FL593" s="27" t="s">
        <v>7</v>
      </c>
      <c r="FO593" s="27" t="s">
        <v>8</v>
      </c>
      <c r="GA593" s="27" t="s">
        <v>8</v>
      </c>
      <c r="GB593" s="27" t="s">
        <v>7</v>
      </c>
      <c r="GC593" s="27" t="s">
        <v>8</v>
      </c>
      <c r="GD593" s="27" t="s">
        <v>7</v>
      </c>
      <c r="GE593" s="27" t="s">
        <v>8</v>
      </c>
      <c r="GZ593" s="27" t="s">
        <v>7</v>
      </c>
      <c r="HA593" s="27" t="s">
        <v>8</v>
      </c>
      <c r="HB593" s="27" t="s">
        <v>7</v>
      </c>
      <c r="HC593" s="27" t="s">
        <v>8</v>
      </c>
      <c r="HD593" s="27" t="s">
        <v>7</v>
      </c>
      <c r="HE593" s="27" t="s">
        <v>8</v>
      </c>
      <c r="HV593" s="27" t="s">
        <v>7</v>
      </c>
      <c r="HW593" s="27" t="s">
        <v>8</v>
      </c>
      <c r="ID593" s="27" t="s">
        <v>7</v>
      </c>
      <c r="IE593" s="27" t="s">
        <v>8</v>
      </c>
      <c r="IF593" s="27" t="s">
        <v>7</v>
      </c>
      <c r="IK593" s="27" t="s">
        <v>8</v>
      </c>
      <c r="IL593" s="27" t="s">
        <v>7</v>
      </c>
      <c r="IM593" s="27" t="s">
        <v>8</v>
      </c>
      <c r="IN593" s="27" t="s">
        <v>7</v>
      </c>
    </row>
    <row r="594" spans="1:254" x14ac:dyDescent="0.25">
      <c r="A594" s="7">
        <v>0.87056017861391399</v>
      </c>
      <c r="B594"/>
      <c r="C594"/>
      <c r="D594"/>
      <c r="E594"/>
      <c r="F594" s="27" t="s">
        <v>7</v>
      </c>
      <c r="I594" s="27" t="s">
        <v>8</v>
      </c>
      <c r="J594" s="27" t="s">
        <v>7</v>
      </c>
      <c r="K594" s="27" t="s">
        <v>8</v>
      </c>
      <c r="L594" s="27" t="s">
        <v>7</v>
      </c>
      <c r="CE594" s="27" t="s">
        <v>8</v>
      </c>
      <c r="CF594" s="27" t="s">
        <v>7</v>
      </c>
      <c r="CI594" s="27" t="s">
        <v>8</v>
      </c>
      <c r="CJ594" s="27" t="s">
        <v>7</v>
      </c>
      <c r="CK594" s="27" t="s">
        <v>8</v>
      </c>
      <c r="FB594" s="27" t="s">
        <v>7</v>
      </c>
      <c r="FC594" s="27" t="s">
        <v>8</v>
      </c>
      <c r="FD594" s="27" t="s">
        <v>7</v>
      </c>
      <c r="FK594" s="27" t="s">
        <v>8</v>
      </c>
      <c r="FL594" s="27" t="s">
        <v>7</v>
      </c>
      <c r="FO594" s="27" t="s">
        <v>8</v>
      </c>
      <c r="FP594" s="27" t="s">
        <v>7</v>
      </c>
      <c r="GA594" s="27" t="s">
        <v>8</v>
      </c>
      <c r="GB594" s="27" t="s">
        <v>7</v>
      </c>
      <c r="GC594" s="27" t="s">
        <v>8</v>
      </c>
      <c r="GD594" s="27" t="s">
        <v>7</v>
      </c>
      <c r="GE594" s="27" t="s">
        <v>8</v>
      </c>
      <c r="GZ594" s="27" t="s">
        <v>7</v>
      </c>
      <c r="HA594" s="27" t="s">
        <v>8</v>
      </c>
      <c r="HB594" s="27" t="s">
        <v>7</v>
      </c>
      <c r="HC594" s="27" t="s">
        <v>8</v>
      </c>
      <c r="HD594" s="27" t="s">
        <v>7</v>
      </c>
      <c r="HE594" s="27" t="s">
        <v>8</v>
      </c>
      <c r="HV594" s="27" t="s">
        <v>7</v>
      </c>
      <c r="HW594" s="27" t="s">
        <v>8</v>
      </c>
      <c r="ID594" s="27" t="s">
        <v>7</v>
      </c>
      <c r="IE594" s="27" t="s">
        <v>8</v>
      </c>
      <c r="IF594" s="27" t="s">
        <v>7</v>
      </c>
      <c r="IK594" s="27" t="s">
        <v>8</v>
      </c>
      <c r="IL594" s="27" t="s">
        <v>7</v>
      </c>
      <c r="IM594" s="27" t="s">
        <v>8</v>
      </c>
      <c r="IN594" s="27" t="s">
        <v>7</v>
      </c>
    </row>
    <row r="595" spans="1:254" x14ac:dyDescent="0.25">
      <c r="A595" s="7">
        <v>0.85349037119011173</v>
      </c>
      <c r="B595"/>
      <c r="C595"/>
      <c r="D595"/>
      <c r="E595"/>
      <c r="F595" s="27" t="s">
        <v>7</v>
      </c>
      <c r="I595" s="27" t="s">
        <v>8</v>
      </c>
      <c r="J595" s="27" t="s">
        <v>7</v>
      </c>
      <c r="K595" s="27" t="s">
        <v>8</v>
      </c>
      <c r="L595" s="27" t="s">
        <v>7</v>
      </c>
      <c r="CE595" s="27" t="s">
        <v>8</v>
      </c>
      <c r="CF595" s="27" t="s">
        <v>7</v>
      </c>
      <c r="CI595" s="27" t="s">
        <v>8</v>
      </c>
      <c r="CJ595" s="27" t="s">
        <v>7</v>
      </c>
      <c r="CK595" s="27" t="s">
        <v>8</v>
      </c>
      <c r="FB595" s="27" t="s">
        <v>7</v>
      </c>
      <c r="FC595" s="27" t="s">
        <v>8</v>
      </c>
      <c r="FD595" s="27" t="s">
        <v>7</v>
      </c>
      <c r="FK595" s="27" t="s">
        <v>8</v>
      </c>
      <c r="FL595" s="27" t="s">
        <v>7</v>
      </c>
      <c r="FO595" s="27" t="s">
        <v>8</v>
      </c>
      <c r="FP595" s="27" t="s">
        <v>7</v>
      </c>
      <c r="GA595" s="27" t="s">
        <v>8</v>
      </c>
      <c r="GB595" s="27" t="s">
        <v>7</v>
      </c>
      <c r="GC595" s="27" t="s">
        <v>8</v>
      </c>
      <c r="GD595" s="27" t="s">
        <v>7</v>
      </c>
      <c r="GE595" s="27" t="s">
        <v>8</v>
      </c>
      <c r="GZ595" s="27" t="s">
        <v>7</v>
      </c>
      <c r="HA595" s="27" t="s">
        <v>8</v>
      </c>
      <c r="HB595" s="27" t="s">
        <v>7</v>
      </c>
      <c r="HC595" s="27" t="s">
        <v>8</v>
      </c>
      <c r="HD595" s="27" t="s">
        <v>7</v>
      </c>
      <c r="HE595" s="27" t="s">
        <v>8</v>
      </c>
      <c r="HV595" s="27" t="s">
        <v>7</v>
      </c>
      <c r="HW595" s="27" t="s">
        <v>8</v>
      </c>
      <c r="ID595" s="27" t="s">
        <v>7</v>
      </c>
      <c r="IE595" s="27" t="s">
        <v>8</v>
      </c>
      <c r="IF595" s="27" t="s">
        <v>7</v>
      </c>
      <c r="IK595" s="27" t="s">
        <v>8</v>
      </c>
      <c r="IL595" s="27" t="s">
        <v>7</v>
      </c>
      <c r="IM595" s="27" t="s">
        <v>8</v>
      </c>
      <c r="IN595" s="27" t="s">
        <v>7</v>
      </c>
    </row>
    <row r="596" spans="1:254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I596" s="27" t="s">
        <v>8</v>
      </c>
      <c r="J596" s="27" t="s">
        <v>7</v>
      </c>
      <c r="K596" s="27" t="s">
        <v>8</v>
      </c>
      <c r="L596" s="27" t="s">
        <v>7</v>
      </c>
      <c r="CE596" s="27" t="s">
        <v>8</v>
      </c>
      <c r="CF596" s="27" t="s">
        <v>7</v>
      </c>
      <c r="CI596" s="27" t="s">
        <v>8</v>
      </c>
      <c r="CJ596" s="27" t="s">
        <v>7</v>
      </c>
      <c r="CK596" s="27" t="s">
        <v>8</v>
      </c>
      <c r="FB596" s="27" t="s">
        <v>7</v>
      </c>
      <c r="FD596" s="27" t="s">
        <v>7</v>
      </c>
      <c r="FK596" s="27" t="s">
        <v>8</v>
      </c>
      <c r="FL596" s="27" t="s">
        <v>7</v>
      </c>
      <c r="FM596" s="27" t="s">
        <v>8</v>
      </c>
      <c r="FO596" s="27" t="s">
        <v>8</v>
      </c>
      <c r="FP596" s="27" t="s">
        <v>7</v>
      </c>
      <c r="GA596" s="27" t="s">
        <v>8</v>
      </c>
      <c r="GB596" s="27" t="s">
        <v>7</v>
      </c>
      <c r="GC596" s="27" t="s">
        <v>8</v>
      </c>
      <c r="GD596" s="27" t="s">
        <v>7</v>
      </c>
      <c r="GE596" s="27" t="s">
        <v>8</v>
      </c>
      <c r="GZ596" s="27" t="s">
        <v>7</v>
      </c>
      <c r="HA596" s="27" t="s">
        <v>8</v>
      </c>
      <c r="HB596" s="27" t="s">
        <v>7</v>
      </c>
      <c r="HD596" s="27" t="s">
        <v>7</v>
      </c>
      <c r="HV596" s="27" t="s">
        <v>7</v>
      </c>
      <c r="ID596" s="27" t="s">
        <v>7</v>
      </c>
      <c r="IE596" s="27" t="s">
        <v>8</v>
      </c>
      <c r="IF596" s="27" t="s">
        <v>7</v>
      </c>
      <c r="IK596" s="27" t="s">
        <v>8</v>
      </c>
      <c r="IL596" s="27" t="s">
        <v>7</v>
      </c>
      <c r="IM596" s="27" t="s">
        <v>8</v>
      </c>
      <c r="IN596" s="27" t="s">
        <v>7</v>
      </c>
    </row>
    <row r="597" spans="1:254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I597" s="27" t="s">
        <v>8</v>
      </c>
      <c r="J597" s="27" t="s">
        <v>7</v>
      </c>
      <c r="K597" s="27" t="s">
        <v>8</v>
      </c>
      <c r="L597" s="27" t="s">
        <v>7</v>
      </c>
      <c r="M597" s="27" t="s">
        <v>8</v>
      </c>
      <c r="CE597" s="27" t="s">
        <v>8</v>
      </c>
      <c r="CF597" s="27" t="s">
        <v>7</v>
      </c>
      <c r="CI597" s="27" t="s">
        <v>8</v>
      </c>
      <c r="CJ597" s="27" t="s">
        <v>7</v>
      </c>
      <c r="CK597" s="27" t="s">
        <v>8</v>
      </c>
      <c r="FD597" s="27" t="s">
        <v>7</v>
      </c>
      <c r="FK597" s="27" t="s">
        <v>8</v>
      </c>
      <c r="FL597" s="27" t="s">
        <v>7</v>
      </c>
      <c r="FM597" s="27" t="s">
        <v>8</v>
      </c>
      <c r="FN597" s="27" t="s">
        <v>7</v>
      </c>
      <c r="FO597" s="27" t="s">
        <v>8</v>
      </c>
      <c r="FP597" s="27" t="s">
        <v>7</v>
      </c>
      <c r="GA597" s="27" t="s">
        <v>8</v>
      </c>
      <c r="GB597" s="27" t="s">
        <v>7</v>
      </c>
      <c r="GC597" s="27" t="s">
        <v>8</v>
      </c>
      <c r="GD597" s="27" t="s">
        <v>7</v>
      </c>
      <c r="GZ597" s="27" t="s">
        <v>7</v>
      </c>
      <c r="ID597" s="27" t="s">
        <v>7</v>
      </c>
      <c r="IE597" s="27" t="s">
        <v>8</v>
      </c>
      <c r="IF597" s="27" t="s">
        <v>7</v>
      </c>
      <c r="IK597" s="27" t="s">
        <v>8</v>
      </c>
      <c r="IL597" s="27" t="s">
        <v>7</v>
      </c>
      <c r="IM597" s="27" t="s">
        <v>8</v>
      </c>
      <c r="IN597" s="27" t="s">
        <v>7</v>
      </c>
    </row>
    <row r="598" spans="1:254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I598" s="27" t="s">
        <v>8</v>
      </c>
      <c r="J598" s="27" t="s">
        <v>7</v>
      </c>
      <c r="K598" s="27" t="s">
        <v>8</v>
      </c>
      <c r="L598" s="27" t="s">
        <v>7</v>
      </c>
      <c r="M598" s="27" t="s">
        <v>8</v>
      </c>
      <c r="N598" s="27" t="s">
        <v>7</v>
      </c>
      <c r="O598" s="27" t="s">
        <v>8</v>
      </c>
      <c r="CE598" s="27" t="s">
        <v>8</v>
      </c>
      <c r="CF598" s="27" t="s">
        <v>7</v>
      </c>
      <c r="CI598" s="27" t="s">
        <v>8</v>
      </c>
      <c r="CJ598" s="27" t="s">
        <v>7</v>
      </c>
      <c r="CK598" s="27" t="s">
        <v>8</v>
      </c>
      <c r="FD598" s="27" t="s">
        <v>7</v>
      </c>
      <c r="FK598" s="27" t="s">
        <v>8</v>
      </c>
      <c r="FL598" s="27" t="s">
        <v>7</v>
      </c>
      <c r="FM598" s="27" t="s">
        <v>8</v>
      </c>
      <c r="FN598" s="27" t="s">
        <v>7</v>
      </c>
      <c r="FO598" s="27" t="s">
        <v>8</v>
      </c>
      <c r="FP598" s="27" t="s">
        <v>7</v>
      </c>
      <c r="GA598" s="27" t="s">
        <v>8</v>
      </c>
      <c r="GB598" s="27" t="s">
        <v>7</v>
      </c>
      <c r="GC598" s="27" t="s">
        <v>8</v>
      </c>
      <c r="ID598" s="27" t="s">
        <v>7</v>
      </c>
      <c r="IE598" s="27" t="s">
        <v>8</v>
      </c>
      <c r="IF598" s="27" t="s">
        <v>7</v>
      </c>
      <c r="IG598" s="27" t="s">
        <v>8</v>
      </c>
      <c r="IK598" s="27" t="s">
        <v>8</v>
      </c>
      <c r="IL598" s="27" t="s">
        <v>7</v>
      </c>
      <c r="IM598" s="27" t="s">
        <v>8</v>
      </c>
      <c r="IN598" s="27" t="s">
        <v>7</v>
      </c>
    </row>
    <row r="599" spans="1:254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I599" s="27" t="s">
        <v>8</v>
      </c>
      <c r="J599" s="27" t="s">
        <v>7</v>
      </c>
      <c r="L599" s="27" t="s">
        <v>7</v>
      </c>
      <c r="M599" s="27" t="s">
        <v>8</v>
      </c>
      <c r="N599" s="27" t="s">
        <v>7</v>
      </c>
      <c r="O599" s="27" t="s">
        <v>8</v>
      </c>
      <c r="P599" s="27" t="s">
        <v>7</v>
      </c>
      <c r="AS599" s="27" t="s">
        <v>8</v>
      </c>
      <c r="CE599" s="27" t="s">
        <v>8</v>
      </c>
      <c r="CF599" s="27" t="s">
        <v>7</v>
      </c>
      <c r="CG599" s="27" t="s">
        <v>8</v>
      </c>
      <c r="CI599" s="27" t="s">
        <v>8</v>
      </c>
      <c r="CJ599" s="27" t="s">
        <v>7</v>
      </c>
      <c r="CK599" s="27" t="s">
        <v>8</v>
      </c>
      <c r="FD599" s="27" t="s">
        <v>7</v>
      </c>
      <c r="FK599" s="27" t="s">
        <v>8</v>
      </c>
      <c r="FL599" s="27" t="s">
        <v>7</v>
      </c>
      <c r="FM599" s="27" t="s">
        <v>8</v>
      </c>
      <c r="FN599" s="27" t="s">
        <v>7</v>
      </c>
      <c r="FO599" s="27" t="s">
        <v>8</v>
      </c>
      <c r="FP599" s="27" t="s">
        <v>7</v>
      </c>
      <c r="GA599" s="27" t="s">
        <v>8</v>
      </c>
      <c r="GB599" s="27" t="s">
        <v>7</v>
      </c>
      <c r="GC599" s="27" t="s">
        <v>8</v>
      </c>
      <c r="ID599" s="27" t="s">
        <v>7</v>
      </c>
      <c r="IF599" s="27" t="s">
        <v>7</v>
      </c>
      <c r="IG599" s="27" t="s">
        <v>8</v>
      </c>
      <c r="IH599" s="27" t="s">
        <v>7</v>
      </c>
      <c r="IK599" s="27" t="s">
        <v>8</v>
      </c>
      <c r="IL599" s="27" t="s">
        <v>7</v>
      </c>
      <c r="IM599" s="27" t="s">
        <v>8</v>
      </c>
      <c r="IN599" s="27" t="s">
        <v>7</v>
      </c>
    </row>
    <row r="600" spans="1:254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I600" s="27" t="s">
        <v>8</v>
      </c>
      <c r="L600" s="27" t="s">
        <v>7</v>
      </c>
      <c r="N600" s="27" t="s">
        <v>7</v>
      </c>
      <c r="O600" s="27" t="s">
        <v>8</v>
      </c>
      <c r="P600" s="27" t="s">
        <v>7</v>
      </c>
      <c r="AS600" s="27" t="s">
        <v>8</v>
      </c>
      <c r="AT600" s="27" t="s">
        <v>7</v>
      </c>
      <c r="CE600" s="27" t="s">
        <v>8</v>
      </c>
      <c r="CF600" s="27" t="s">
        <v>7</v>
      </c>
      <c r="CG600" s="27" t="s">
        <v>8</v>
      </c>
      <c r="CH600" s="27" t="s">
        <v>7</v>
      </c>
      <c r="CI600" s="27" t="s">
        <v>8</v>
      </c>
      <c r="CJ600" s="27" t="s">
        <v>7</v>
      </c>
      <c r="CK600" s="27" t="s">
        <v>8</v>
      </c>
      <c r="FD600" s="27" t="s">
        <v>7</v>
      </c>
      <c r="FK600" s="27" t="s">
        <v>8</v>
      </c>
      <c r="FL600" s="27" t="s">
        <v>7</v>
      </c>
      <c r="FM600" s="27" t="s">
        <v>8</v>
      </c>
      <c r="FN600" s="27" t="s">
        <v>7</v>
      </c>
      <c r="FO600" s="27" t="s">
        <v>8</v>
      </c>
      <c r="FP600" s="27" t="s">
        <v>7</v>
      </c>
      <c r="GA600" s="27" t="s">
        <v>8</v>
      </c>
      <c r="GB600" s="27" t="s">
        <v>7</v>
      </c>
      <c r="IF600" s="27" t="s">
        <v>7</v>
      </c>
      <c r="IG600" s="27" t="s">
        <v>8</v>
      </c>
      <c r="IH600" s="27" t="s">
        <v>7</v>
      </c>
      <c r="IK600" s="27" t="s">
        <v>8</v>
      </c>
      <c r="IL600" s="27" t="s">
        <v>7</v>
      </c>
      <c r="IN600" s="27" t="s">
        <v>7</v>
      </c>
      <c r="IO600" s="27" t="s">
        <v>8</v>
      </c>
    </row>
    <row r="601" spans="1:254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N601" s="27" t="s">
        <v>7</v>
      </c>
      <c r="O601" s="27" t="s">
        <v>8</v>
      </c>
      <c r="P601" s="27" t="s">
        <v>7</v>
      </c>
      <c r="AS601" s="27" t="s">
        <v>8</v>
      </c>
      <c r="AT601" s="27" t="s">
        <v>7</v>
      </c>
      <c r="CE601" s="27" t="s">
        <v>8</v>
      </c>
      <c r="CF601" s="27" t="s">
        <v>7</v>
      </c>
      <c r="CG601" s="27" t="s">
        <v>8</v>
      </c>
      <c r="CH601" s="27" t="s">
        <v>7</v>
      </c>
      <c r="CI601" s="27" t="s">
        <v>8</v>
      </c>
      <c r="CJ601" s="27" t="s">
        <v>7</v>
      </c>
      <c r="FD601" s="27" t="s">
        <v>7</v>
      </c>
      <c r="FK601" s="27" t="s">
        <v>8</v>
      </c>
      <c r="FL601" s="27" t="s">
        <v>7</v>
      </c>
      <c r="FM601" s="27" t="s">
        <v>8</v>
      </c>
      <c r="FN601" s="27" t="s">
        <v>7</v>
      </c>
      <c r="FO601" s="27" t="s">
        <v>8</v>
      </c>
      <c r="FP601" s="27" t="s">
        <v>7</v>
      </c>
      <c r="FY601" s="27" t="s">
        <v>8</v>
      </c>
      <c r="GA601" s="27" t="s">
        <v>8</v>
      </c>
      <c r="IF601" s="27" t="s">
        <v>7</v>
      </c>
      <c r="IG601" s="27" t="s">
        <v>8</v>
      </c>
      <c r="IH601" s="27" t="s">
        <v>7</v>
      </c>
      <c r="II601" s="27" t="s">
        <v>8</v>
      </c>
      <c r="IK601" s="27" t="s">
        <v>8</v>
      </c>
      <c r="IN601" s="27" t="s">
        <v>7</v>
      </c>
      <c r="IO601" s="27" t="s">
        <v>8</v>
      </c>
      <c r="IP601" s="27" t="s">
        <v>7</v>
      </c>
    </row>
    <row r="602" spans="1:254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N602" s="27" t="s">
        <v>7</v>
      </c>
      <c r="O602" s="27" t="s">
        <v>8</v>
      </c>
      <c r="P602" s="27" t="s">
        <v>7</v>
      </c>
      <c r="AS602" s="27" t="s">
        <v>8</v>
      </c>
      <c r="AT602" s="27" t="s">
        <v>7</v>
      </c>
      <c r="CE602" s="27" t="s">
        <v>8</v>
      </c>
      <c r="CF602" s="27" t="s">
        <v>7</v>
      </c>
      <c r="CG602" s="27" t="s">
        <v>8</v>
      </c>
      <c r="CH602" s="27" t="s">
        <v>7</v>
      </c>
      <c r="CI602" s="27" t="s">
        <v>8</v>
      </c>
      <c r="FD602" s="27" t="s">
        <v>7</v>
      </c>
      <c r="FK602" s="27" t="s">
        <v>8</v>
      </c>
      <c r="FL602" s="27" t="s">
        <v>7</v>
      </c>
      <c r="FM602" s="27" t="s">
        <v>8</v>
      </c>
      <c r="FN602" s="27" t="s">
        <v>7</v>
      </c>
      <c r="FP602" s="27" t="s">
        <v>7</v>
      </c>
      <c r="FY602" s="27" t="s">
        <v>8</v>
      </c>
      <c r="FZ602" s="27" t="s">
        <v>7</v>
      </c>
      <c r="GA602" s="27" t="s">
        <v>8</v>
      </c>
      <c r="IF602" s="27" t="s">
        <v>7</v>
      </c>
      <c r="IH602" s="27" t="s">
        <v>7</v>
      </c>
      <c r="II602" s="27" t="s">
        <v>8</v>
      </c>
      <c r="IJ602" s="27" t="s">
        <v>7</v>
      </c>
      <c r="IK602" s="27" t="s">
        <v>8</v>
      </c>
      <c r="IN602" s="27" t="s">
        <v>7</v>
      </c>
      <c r="IO602" s="27" t="s">
        <v>8</v>
      </c>
      <c r="IP602" s="27" t="s">
        <v>7</v>
      </c>
    </row>
    <row r="603" spans="1:254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N603" s="27" t="s">
        <v>7</v>
      </c>
      <c r="P603" s="27" t="s">
        <v>7</v>
      </c>
      <c r="AS603" s="27" t="s">
        <v>8</v>
      </c>
      <c r="AT603" s="27" t="s">
        <v>7</v>
      </c>
      <c r="CE603" s="27" t="s">
        <v>8</v>
      </c>
      <c r="CF603" s="27" t="s">
        <v>7</v>
      </c>
      <c r="CG603" s="27" t="s">
        <v>8</v>
      </c>
      <c r="CH603" s="27" t="s">
        <v>7</v>
      </c>
      <c r="CI603" s="27" t="s">
        <v>8</v>
      </c>
      <c r="FD603" s="27" t="s">
        <v>7</v>
      </c>
      <c r="FK603" s="27" t="s">
        <v>8</v>
      </c>
      <c r="FL603" s="27" t="s">
        <v>7</v>
      </c>
      <c r="FM603" s="27" t="s">
        <v>8</v>
      </c>
      <c r="FP603" s="27" t="s">
        <v>7</v>
      </c>
      <c r="FQ603" s="27" t="s">
        <v>8</v>
      </c>
      <c r="FY603" s="27" t="s">
        <v>8</v>
      </c>
      <c r="FZ603" s="27" t="s">
        <v>7</v>
      </c>
      <c r="GA603" s="27" t="s">
        <v>8</v>
      </c>
      <c r="IH603" s="27" t="s">
        <v>7</v>
      </c>
      <c r="II603" s="27" t="s">
        <v>8</v>
      </c>
      <c r="IJ603" s="27" t="s">
        <v>7</v>
      </c>
      <c r="IK603" s="27" t="s">
        <v>8</v>
      </c>
      <c r="IN603" s="27" t="s">
        <v>7</v>
      </c>
      <c r="IO603" s="27" t="s">
        <v>8</v>
      </c>
      <c r="IP603" s="27" t="s">
        <v>7</v>
      </c>
    </row>
    <row r="604" spans="1:254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P604" s="27" t="s">
        <v>7</v>
      </c>
      <c r="AS604" s="27" t="s">
        <v>8</v>
      </c>
      <c r="AT604" s="27" t="s">
        <v>7</v>
      </c>
      <c r="CA604" s="27" t="s">
        <v>8</v>
      </c>
      <c r="CE604" s="27" t="s">
        <v>8</v>
      </c>
      <c r="CF604" s="27" t="s">
        <v>7</v>
      </c>
      <c r="CG604" s="27" t="s">
        <v>8</v>
      </c>
      <c r="CH604" s="27" t="s">
        <v>7</v>
      </c>
      <c r="CI604" s="27" t="s">
        <v>8</v>
      </c>
      <c r="FD604" s="27" t="s">
        <v>7</v>
      </c>
      <c r="FK604" s="27" t="s">
        <v>8</v>
      </c>
      <c r="FL604" s="27" t="s">
        <v>7</v>
      </c>
      <c r="FM604" s="27" t="s">
        <v>8</v>
      </c>
      <c r="FP604" s="27" t="s">
        <v>7</v>
      </c>
      <c r="FQ604" s="27" t="s">
        <v>8</v>
      </c>
      <c r="FR604" s="27" t="s">
        <v>7</v>
      </c>
      <c r="FW604" s="27" t="s">
        <v>8</v>
      </c>
      <c r="FY604" s="27" t="s">
        <v>8</v>
      </c>
      <c r="FZ604" s="27" t="s">
        <v>7</v>
      </c>
      <c r="GA604" s="27" t="s">
        <v>8</v>
      </c>
      <c r="IH604" s="27" t="s">
        <v>7</v>
      </c>
      <c r="II604" s="27" t="s">
        <v>8</v>
      </c>
      <c r="IJ604" s="27" t="s">
        <v>7</v>
      </c>
      <c r="IK604" s="27" t="s">
        <v>8</v>
      </c>
      <c r="IN604" s="27" t="s">
        <v>7</v>
      </c>
      <c r="IP604" s="27" t="s">
        <v>7</v>
      </c>
      <c r="IQ604" s="27" t="s">
        <v>8</v>
      </c>
    </row>
    <row r="605" spans="1:254" x14ac:dyDescent="0.25">
      <c r="A605" s="7">
        <v>0.7001593749656233</v>
      </c>
      <c r="B605"/>
      <c r="C605"/>
      <c r="D605"/>
      <c r="E605"/>
      <c r="F605" s="27" t="s">
        <v>7</v>
      </c>
      <c r="P605" s="27" t="s">
        <v>7</v>
      </c>
      <c r="AS605" s="27" t="s">
        <v>8</v>
      </c>
      <c r="AT605" s="27" t="s">
        <v>7</v>
      </c>
      <c r="CA605" s="27" t="s">
        <v>8</v>
      </c>
      <c r="CB605" s="27" t="s">
        <v>7</v>
      </c>
      <c r="CE605" s="27" t="s">
        <v>8</v>
      </c>
      <c r="CF605" s="27" t="s">
        <v>7</v>
      </c>
      <c r="CG605" s="27" t="s">
        <v>8</v>
      </c>
      <c r="CH605" s="27" t="s">
        <v>7</v>
      </c>
      <c r="FD605" s="27" t="s">
        <v>7</v>
      </c>
      <c r="FK605" s="27" t="s">
        <v>8</v>
      </c>
      <c r="FL605" s="27" t="s">
        <v>7</v>
      </c>
      <c r="FP605" s="27" t="s">
        <v>7</v>
      </c>
      <c r="FQ605" s="27" t="s">
        <v>8</v>
      </c>
      <c r="FR605" s="27" t="s">
        <v>7</v>
      </c>
      <c r="FW605" s="27" t="s">
        <v>8</v>
      </c>
      <c r="FX605" s="27" t="s">
        <v>7</v>
      </c>
      <c r="FY605" s="27" t="s">
        <v>8</v>
      </c>
      <c r="FZ605" s="27" t="s">
        <v>7</v>
      </c>
      <c r="IH605" s="27" t="s">
        <v>7</v>
      </c>
      <c r="II605" s="27" t="s">
        <v>8</v>
      </c>
      <c r="IJ605" s="27" t="s">
        <v>7</v>
      </c>
      <c r="IK605" s="27" t="s">
        <v>8</v>
      </c>
      <c r="IP605" s="27" t="s">
        <v>7</v>
      </c>
      <c r="IQ605" s="27" t="s">
        <v>8</v>
      </c>
      <c r="IR605" s="27" t="s">
        <v>7</v>
      </c>
    </row>
    <row r="606" spans="1:254" x14ac:dyDescent="0.25">
      <c r="A606" s="7">
        <v>0.68643075977021883</v>
      </c>
      <c r="B606"/>
      <c r="C606"/>
      <c r="D606"/>
      <c r="E606"/>
      <c r="P606" s="27" t="s">
        <v>7</v>
      </c>
      <c r="AS606" s="27" t="s">
        <v>8</v>
      </c>
      <c r="AT606" s="27" t="s">
        <v>7</v>
      </c>
      <c r="CA606" s="27" t="s">
        <v>8</v>
      </c>
      <c r="CB606" s="27" t="s">
        <v>7</v>
      </c>
      <c r="CE606" s="27" t="s">
        <v>8</v>
      </c>
      <c r="CF606" s="27" t="s">
        <v>7</v>
      </c>
      <c r="CG606" s="27" t="s">
        <v>8</v>
      </c>
      <c r="FD606" s="27" t="s">
        <v>7</v>
      </c>
      <c r="FK606" s="27" t="s">
        <v>8</v>
      </c>
      <c r="FP606" s="27" t="s">
        <v>7</v>
      </c>
      <c r="FQ606" s="27" t="s">
        <v>8</v>
      </c>
      <c r="FR606" s="27" t="s">
        <v>7</v>
      </c>
      <c r="FU606" s="27" t="s">
        <v>8</v>
      </c>
      <c r="FW606" s="27" t="s">
        <v>8</v>
      </c>
      <c r="FX606" s="27" t="s">
        <v>7</v>
      </c>
      <c r="FY606" s="27" t="s">
        <v>8</v>
      </c>
      <c r="IH606" s="27" t="s">
        <v>7</v>
      </c>
      <c r="II606" s="27" t="s">
        <v>8</v>
      </c>
      <c r="IJ606" s="27" t="s">
        <v>7</v>
      </c>
      <c r="IK606" s="27" t="s">
        <v>8</v>
      </c>
      <c r="IP606" s="27" t="s">
        <v>7</v>
      </c>
      <c r="IQ606" s="27" t="s">
        <v>8</v>
      </c>
      <c r="IR606" s="27" t="s">
        <v>7</v>
      </c>
    </row>
    <row r="607" spans="1:254" x14ac:dyDescent="0.25">
      <c r="A607" s="7">
        <v>0.67297133310805768</v>
      </c>
      <c r="B607"/>
      <c r="C607"/>
      <c r="D607"/>
      <c r="E607"/>
      <c r="P607" s="27" t="s">
        <v>7</v>
      </c>
      <c r="S607" s="27" t="s">
        <v>8</v>
      </c>
      <c r="AS607" s="27" t="s">
        <v>8</v>
      </c>
      <c r="AT607" s="27" t="s">
        <v>7</v>
      </c>
      <c r="BE607" s="27" t="s">
        <v>8</v>
      </c>
      <c r="CA607" s="27" t="s">
        <v>8</v>
      </c>
      <c r="CB607" s="27" t="s">
        <v>7</v>
      </c>
      <c r="CE607" s="27" t="s">
        <v>8</v>
      </c>
      <c r="CF607" s="27" t="s">
        <v>7</v>
      </c>
      <c r="CG607" s="27" t="s">
        <v>8</v>
      </c>
      <c r="FD607" s="27" t="s">
        <v>7</v>
      </c>
      <c r="FK607" s="27" t="s">
        <v>8</v>
      </c>
      <c r="FP607" s="27" t="s">
        <v>7</v>
      </c>
      <c r="FQ607" s="27" t="s">
        <v>8</v>
      </c>
      <c r="FR607" s="27" t="s">
        <v>7</v>
      </c>
      <c r="FS607" s="27" t="s">
        <v>8</v>
      </c>
      <c r="FU607" s="27" t="s">
        <v>8</v>
      </c>
      <c r="FV607" s="27" t="s">
        <v>7</v>
      </c>
      <c r="FW607" s="27" t="s">
        <v>8</v>
      </c>
      <c r="FX607" s="27" t="s">
        <v>7</v>
      </c>
      <c r="IH607" s="27" t="s">
        <v>7</v>
      </c>
      <c r="II607" s="27" t="s">
        <v>8</v>
      </c>
      <c r="IJ607" s="27" t="s">
        <v>7</v>
      </c>
      <c r="IK607" s="27" t="s">
        <v>8</v>
      </c>
      <c r="IP607" s="27" t="s">
        <v>7</v>
      </c>
      <c r="IQ607" s="27" t="s">
        <v>8</v>
      </c>
      <c r="IR607" s="27" t="s">
        <v>7</v>
      </c>
      <c r="IS607" s="27" t="s">
        <v>8</v>
      </c>
    </row>
    <row r="608" spans="1:254" x14ac:dyDescent="0.25">
      <c r="A608" s="7">
        <v>0.65977581677260566</v>
      </c>
      <c r="B608"/>
      <c r="C608"/>
      <c r="D608"/>
      <c r="E608"/>
      <c r="P608" s="27" t="s">
        <v>7</v>
      </c>
      <c r="S608" s="27" t="s">
        <v>8</v>
      </c>
      <c r="T608" s="27" t="s">
        <v>7</v>
      </c>
      <c r="U608" s="27" t="s">
        <v>8</v>
      </c>
      <c r="AS608" s="27" t="s">
        <v>8</v>
      </c>
      <c r="AT608" s="27" t="s">
        <v>7</v>
      </c>
      <c r="BE608" s="27" t="s">
        <v>8</v>
      </c>
      <c r="BF608" s="27" t="s">
        <v>7</v>
      </c>
      <c r="CA608" s="27" t="s">
        <v>8</v>
      </c>
      <c r="CB608" s="27" t="s">
        <v>7</v>
      </c>
      <c r="CE608" s="27" t="s">
        <v>8</v>
      </c>
      <c r="CF608" s="27" t="s">
        <v>7</v>
      </c>
      <c r="FD608" s="27" t="s">
        <v>7</v>
      </c>
      <c r="FE608" s="27" t="s">
        <v>8</v>
      </c>
      <c r="FI608" s="27" t="s">
        <v>8</v>
      </c>
      <c r="FK608" s="27" t="s">
        <v>8</v>
      </c>
      <c r="FP608" s="27" t="s">
        <v>7</v>
      </c>
      <c r="FQ608" s="27" t="s">
        <v>8</v>
      </c>
      <c r="FR608" s="27" t="s">
        <v>7</v>
      </c>
      <c r="FS608" s="27" t="s">
        <v>8</v>
      </c>
      <c r="FT608" s="27" t="s">
        <v>7</v>
      </c>
      <c r="FU608" s="27" t="s">
        <v>8</v>
      </c>
      <c r="FV608" s="27" t="s">
        <v>7</v>
      </c>
      <c r="FW608" s="27" t="s">
        <v>8</v>
      </c>
      <c r="IH608" s="27" t="s">
        <v>7</v>
      </c>
      <c r="IJ608" s="27" t="s">
        <v>7</v>
      </c>
      <c r="IP608" s="27" t="s">
        <v>7</v>
      </c>
      <c r="IR608" s="27" t="s">
        <v>7</v>
      </c>
      <c r="IS608" s="27" t="s">
        <v>8</v>
      </c>
      <c r="IT608" s="27" t="s">
        <v>7</v>
      </c>
    </row>
    <row r="609" spans="1:258" x14ac:dyDescent="0.25">
      <c r="A609" s="7">
        <v>0.64683903605157422</v>
      </c>
      <c r="B609"/>
      <c r="C609"/>
      <c r="D609"/>
      <c r="E609"/>
      <c r="P609" s="27" t="s">
        <v>7</v>
      </c>
      <c r="S609" s="27" t="s">
        <v>8</v>
      </c>
      <c r="T609" s="27" t="s">
        <v>7</v>
      </c>
      <c r="U609" s="27" t="s">
        <v>8</v>
      </c>
      <c r="V609" s="27" t="s">
        <v>7</v>
      </c>
      <c r="Y609" s="27" t="s">
        <v>8</v>
      </c>
      <c r="AS609" s="27" t="s">
        <v>8</v>
      </c>
      <c r="AT609" s="27" t="s">
        <v>7</v>
      </c>
      <c r="BE609" s="27" t="s">
        <v>8</v>
      </c>
      <c r="BF609" s="27" t="s">
        <v>7</v>
      </c>
      <c r="CA609" s="27" t="s">
        <v>8</v>
      </c>
      <c r="CB609" s="27" t="s">
        <v>7</v>
      </c>
      <c r="CC609" s="27" t="s">
        <v>8</v>
      </c>
      <c r="CE609" s="27" t="s">
        <v>8</v>
      </c>
      <c r="FD609" s="27" t="s">
        <v>7</v>
      </c>
      <c r="FE609" s="27" t="s">
        <v>8</v>
      </c>
      <c r="FF609" s="27" t="s">
        <v>7</v>
      </c>
      <c r="FI609" s="27" t="s">
        <v>8</v>
      </c>
      <c r="FJ609" s="27" t="s">
        <v>7</v>
      </c>
      <c r="FK609" s="27" t="s">
        <v>8</v>
      </c>
      <c r="FP609" s="27" t="s">
        <v>7</v>
      </c>
      <c r="FQ609" s="27" t="s">
        <v>8</v>
      </c>
      <c r="FR609" s="27" t="s">
        <v>7</v>
      </c>
      <c r="FS609" s="27" t="s">
        <v>8</v>
      </c>
      <c r="FT609" s="27" t="s">
        <v>7</v>
      </c>
      <c r="FU609" s="27" t="s">
        <v>8</v>
      </c>
      <c r="FV609" s="27" t="s">
        <v>7</v>
      </c>
      <c r="FW609" s="27" t="s">
        <v>8</v>
      </c>
      <c r="IR609" s="27" t="s">
        <v>7</v>
      </c>
      <c r="IS609" s="27" t="s">
        <v>8</v>
      </c>
      <c r="IT609" s="27" t="s">
        <v>7</v>
      </c>
    </row>
    <row r="610" spans="1:258" x14ac:dyDescent="0.25">
      <c r="A610" s="7">
        <v>0.63415591769762181</v>
      </c>
      <c r="B610"/>
      <c r="C610"/>
      <c r="D610"/>
      <c r="E610"/>
      <c r="P610" s="27" t="s">
        <v>7</v>
      </c>
      <c r="Q610" s="27" t="s">
        <v>8</v>
      </c>
      <c r="S610" s="27" t="s">
        <v>8</v>
      </c>
      <c r="T610" s="27" t="s">
        <v>7</v>
      </c>
      <c r="U610" s="27" t="s">
        <v>8</v>
      </c>
      <c r="V610" s="27" t="s">
        <v>7</v>
      </c>
      <c r="W610" s="27" t="s">
        <v>8</v>
      </c>
      <c r="Y610" s="27" t="s">
        <v>8</v>
      </c>
      <c r="Z610" s="27" t="s">
        <v>7</v>
      </c>
      <c r="AS610" s="27" t="s">
        <v>8</v>
      </c>
      <c r="AT610" s="27" t="s">
        <v>7</v>
      </c>
      <c r="AW610" s="27" t="s">
        <v>8</v>
      </c>
      <c r="BE610" s="27" t="s">
        <v>8</v>
      </c>
      <c r="BF610" s="27" t="s">
        <v>7</v>
      </c>
      <c r="BS610" s="27" t="s">
        <v>8</v>
      </c>
      <c r="BY610" s="27" t="s">
        <v>8</v>
      </c>
      <c r="CA610" s="27" t="s">
        <v>8</v>
      </c>
      <c r="CB610" s="27" t="s">
        <v>7</v>
      </c>
      <c r="CC610" s="27" t="s">
        <v>8</v>
      </c>
      <c r="CD610" s="27" t="s">
        <v>7</v>
      </c>
      <c r="CE610" s="27" t="s">
        <v>8</v>
      </c>
      <c r="FD610" s="27" t="s">
        <v>7</v>
      </c>
      <c r="FE610" s="27" t="s">
        <v>8</v>
      </c>
      <c r="FF610" s="27" t="s">
        <v>7</v>
      </c>
      <c r="FG610" s="27" t="s">
        <v>8</v>
      </c>
      <c r="FI610" s="27" t="s">
        <v>8</v>
      </c>
      <c r="FJ610" s="27" t="s">
        <v>7</v>
      </c>
      <c r="FK610" s="27" t="s">
        <v>8</v>
      </c>
      <c r="FP610" s="27" t="s">
        <v>7</v>
      </c>
      <c r="FR610" s="18" t="s">
        <v>7</v>
      </c>
      <c r="FS610" s="27" t="s">
        <v>8</v>
      </c>
      <c r="FT610" s="27" t="s">
        <v>7</v>
      </c>
      <c r="FU610" s="27" t="s">
        <v>8</v>
      </c>
      <c r="FV610" s="27" t="s">
        <v>7</v>
      </c>
      <c r="IR610" s="27" t="s">
        <v>7</v>
      </c>
      <c r="IS610" s="27" t="s">
        <v>8</v>
      </c>
      <c r="IT610" s="27" t="s">
        <v>7</v>
      </c>
    </row>
    <row r="611" spans="1:258" x14ac:dyDescent="0.25">
      <c r="A611" s="7">
        <v>0.62172148793884496</v>
      </c>
      <c r="B611"/>
      <c r="C611"/>
      <c r="D611"/>
      <c r="E611"/>
      <c r="P611" s="27" t="s">
        <v>7</v>
      </c>
      <c r="Q611" s="27" t="s">
        <v>8</v>
      </c>
      <c r="R611" s="27" t="s">
        <v>7</v>
      </c>
      <c r="S611" s="27" t="s">
        <v>8</v>
      </c>
      <c r="T611" s="27" t="s">
        <v>7</v>
      </c>
      <c r="U611" s="27" t="s">
        <v>8</v>
      </c>
      <c r="V611" s="27" t="s">
        <v>7</v>
      </c>
      <c r="W611" s="27" t="s">
        <v>8</v>
      </c>
      <c r="X611" s="27" t="s">
        <v>7</v>
      </c>
      <c r="Y611" s="27" t="s">
        <v>8</v>
      </c>
      <c r="Z611" s="27" t="s">
        <v>7</v>
      </c>
      <c r="AS611" s="27" t="s">
        <v>8</v>
      </c>
      <c r="AT611" s="27" t="s">
        <v>7</v>
      </c>
      <c r="AW611" s="27" t="s">
        <v>8</v>
      </c>
      <c r="AX611" s="27" t="s">
        <v>7</v>
      </c>
      <c r="BE611" s="27" t="s">
        <v>8</v>
      </c>
      <c r="BF611" s="27" t="s">
        <v>7</v>
      </c>
      <c r="BS611" s="27" t="s">
        <v>8</v>
      </c>
      <c r="BT611" s="27" t="s">
        <v>7</v>
      </c>
      <c r="BY611" s="27" t="s">
        <v>8</v>
      </c>
      <c r="BZ611" s="27" t="s">
        <v>7</v>
      </c>
      <c r="CA611" s="27" t="s">
        <v>8</v>
      </c>
      <c r="CB611" s="27" t="s">
        <v>7</v>
      </c>
      <c r="CC611" s="27" t="s">
        <v>8</v>
      </c>
      <c r="CD611" s="27" t="s">
        <v>7</v>
      </c>
      <c r="CE611" s="27" t="s">
        <v>8</v>
      </c>
      <c r="FD611" s="27" t="s">
        <v>7</v>
      </c>
      <c r="FE611" s="27" t="s">
        <v>8</v>
      </c>
      <c r="FF611" s="27" t="s">
        <v>7</v>
      </c>
      <c r="FG611" s="27" t="s">
        <v>8</v>
      </c>
      <c r="FH611" s="27" t="s">
        <v>7</v>
      </c>
      <c r="FI611" s="27" t="s">
        <v>8</v>
      </c>
      <c r="FJ611" s="27" t="s">
        <v>7</v>
      </c>
      <c r="FK611" s="27" t="s">
        <v>8</v>
      </c>
      <c r="FR611" s="27" t="s">
        <v>7</v>
      </c>
      <c r="FS611" s="27" t="s">
        <v>8</v>
      </c>
      <c r="FT611" s="27" t="s">
        <v>7</v>
      </c>
      <c r="IR611" s="27" t="s">
        <v>7</v>
      </c>
      <c r="IS611" s="27" t="s">
        <v>8</v>
      </c>
      <c r="IT611" s="27" t="s">
        <v>7</v>
      </c>
    </row>
    <row r="612" spans="1:258" x14ac:dyDescent="0.25">
      <c r="A612" s="7">
        <v>0.60953087052827937</v>
      </c>
      <c r="B612"/>
      <c r="C612"/>
      <c r="D612"/>
      <c r="E612"/>
      <c r="P612" s="27" t="s">
        <v>7</v>
      </c>
      <c r="Q612" s="27" t="s">
        <v>8</v>
      </c>
      <c r="R612" s="27" t="s">
        <v>7</v>
      </c>
      <c r="S612" s="27" t="s">
        <v>8</v>
      </c>
      <c r="T612" s="27" t="s">
        <v>7</v>
      </c>
      <c r="V612" s="27" t="s">
        <v>7</v>
      </c>
      <c r="W612" s="27" t="s">
        <v>8</v>
      </c>
      <c r="X612" s="27" t="s">
        <v>7</v>
      </c>
      <c r="Y612" s="27" t="s">
        <v>8</v>
      </c>
      <c r="Z612" s="27" t="s">
        <v>7</v>
      </c>
      <c r="AC612" s="27" t="s">
        <v>8</v>
      </c>
      <c r="AS612" s="27" t="s">
        <v>8</v>
      </c>
      <c r="AT612" s="27" t="s">
        <v>7</v>
      </c>
      <c r="AU612" s="27" t="s">
        <v>8</v>
      </c>
      <c r="AW612" s="27" t="s">
        <v>8</v>
      </c>
      <c r="AX612" s="27" t="s">
        <v>7</v>
      </c>
      <c r="BE612" s="27" t="s">
        <v>8</v>
      </c>
      <c r="BF612" s="27" t="s">
        <v>7</v>
      </c>
      <c r="BS612" s="27" t="s">
        <v>8</v>
      </c>
      <c r="BT612" s="27" t="s">
        <v>7</v>
      </c>
      <c r="BY612" s="27" t="s">
        <v>8</v>
      </c>
      <c r="BZ612" s="27" t="s">
        <v>7</v>
      </c>
      <c r="CA612" s="27" t="s">
        <v>8</v>
      </c>
      <c r="CB612" s="27" t="s">
        <v>7</v>
      </c>
      <c r="CC612" s="27" t="s">
        <v>8</v>
      </c>
      <c r="CD612" s="27" t="s">
        <v>7</v>
      </c>
      <c r="CE612" s="27" t="s">
        <v>8</v>
      </c>
      <c r="FD612" s="27" t="s">
        <v>7</v>
      </c>
      <c r="FE612" s="27" t="s">
        <v>8</v>
      </c>
      <c r="FF612" s="27" t="s">
        <v>7</v>
      </c>
      <c r="FG612" s="27" t="s">
        <v>8</v>
      </c>
      <c r="FH612" s="27" t="s">
        <v>7</v>
      </c>
      <c r="FI612" s="27" t="s">
        <v>8</v>
      </c>
      <c r="FJ612" s="27" t="s">
        <v>7</v>
      </c>
      <c r="FK612" s="27" t="s">
        <v>8</v>
      </c>
      <c r="FR612" s="27" t="s">
        <v>7</v>
      </c>
      <c r="FS612" s="27" t="s">
        <v>8</v>
      </c>
      <c r="IR612" s="27" t="s">
        <v>7</v>
      </c>
      <c r="IS612" s="27" t="s">
        <v>8</v>
      </c>
      <c r="IT612" s="27" t="s">
        <v>7</v>
      </c>
    </row>
    <row r="613" spans="1:258" x14ac:dyDescent="0.25">
      <c r="A613" s="7">
        <v>0.59757928483164646</v>
      </c>
      <c r="B613"/>
      <c r="C613"/>
      <c r="D613"/>
      <c r="E613"/>
      <c r="P613" s="27" t="s">
        <v>7</v>
      </c>
      <c r="Q613" s="27" t="s">
        <v>8</v>
      </c>
      <c r="R613" s="27" t="s">
        <v>7</v>
      </c>
      <c r="S613" s="27" t="s">
        <v>8</v>
      </c>
      <c r="V613" s="27" t="s">
        <v>7</v>
      </c>
      <c r="X613" s="27" t="s">
        <v>7</v>
      </c>
      <c r="Y613" s="27" t="s">
        <v>8</v>
      </c>
      <c r="Z613" s="27" t="s">
        <v>7</v>
      </c>
      <c r="AC613" s="27" t="s">
        <v>8</v>
      </c>
      <c r="AD613" s="27" t="s">
        <v>7</v>
      </c>
      <c r="AS613" s="27" t="s">
        <v>8</v>
      </c>
      <c r="AT613" s="27" t="s">
        <v>7</v>
      </c>
      <c r="AU613" s="27" t="s">
        <v>8</v>
      </c>
      <c r="AV613" s="27" t="s">
        <v>7</v>
      </c>
      <c r="AW613" s="27" t="s">
        <v>8</v>
      </c>
      <c r="AX613" s="27" t="s">
        <v>7</v>
      </c>
      <c r="AY613" s="27" t="s">
        <v>8</v>
      </c>
      <c r="BE613" s="27" t="s">
        <v>8</v>
      </c>
      <c r="BF613" s="27" t="s">
        <v>7</v>
      </c>
      <c r="BS613" s="27" t="s">
        <v>8</v>
      </c>
      <c r="BT613" s="27" t="s">
        <v>7</v>
      </c>
      <c r="BY613" s="27" t="s">
        <v>8</v>
      </c>
      <c r="BZ613" s="27" t="s">
        <v>7</v>
      </c>
      <c r="CA613" s="27" t="s">
        <v>8</v>
      </c>
      <c r="CB613" s="27" t="s">
        <v>7</v>
      </c>
      <c r="CC613" s="27" t="s">
        <v>8</v>
      </c>
      <c r="CD613" s="27" t="s">
        <v>7</v>
      </c>
      <c r="CE613" s="27" t="s">
        <v>8</v>
      </c>
      <c r="FD613" s="27" t="s">
        <v>7</v>
      </c>
      <c r="FE613" s="27" t="s">
        <v>8</v>
      </c>
      <c r="FF613" s="27" t="s">
        <v>7</v>
      </c>
      <c r="FG613" s="27" t="s">
        <v>8</v>
      </c>
      <c r="FH613" s="27" t="s">
        <v>7</v>
      </c>
      <c r="FI613" s="27" t="s">
        <v>8</v>
      </c>
      <c r="FJ613" s="27" t="s">
        <v>7</v>
      </c>
      <c r="FK613" s="27" t="s">
        <v>8</v>
      </c>
      <c r="FR613" s="27" t="s">
        <v>7</v>
      </c>
      <c r="FS613" s="27" t="s">
        <v>8</v>
      </c>
      <c r="IR613" s="27" t="s">
        <v>7</v>
      </c>
      <c r="IT613" s="27" t="s">
        <v>7</v>
      </c>
    </row>
    <row r="614" spans="1:258" x14ac:dyDescent="0.25">
      <c r="A614" s="7">
        <v>0.58586204395259456</v>
      </c>
      <c r="B614"/>
      <c r="C614"/>
      <c r="D614"/>
      <c r="E614"/>
      <c r="P614" s="27" t="s">
        <v>7</v>
      </c>
      <c r="Q614" s="27" t="s">
        <v>8</v>
      </c>
      <c r="R614" s="27" t="s">
        <v>7</v>
      </c>
      <c r="S614" s="27" t="s">
        <v>8</v>
      </c>
      <c r="X614" s="27" t="s">
        <v>7</v>
      </c>
      <c r="Z614" s="27" t="s">
        <v>7</v>
      </c>
      <c r="AA614" s="27" t="s">
        <v>8</v>
      </c>
      <c r="AC614" s="27" t="s">
        <v>8</v>
      </c>
      <c r="AD614" s="27" t="s">
        <v>7</v>
      </c>
      <c r="AS614" s="27" t="s">
        <v>8</v>
      </c>
      <c r="AT614" s="27" t="s">
        <v>7</v>
      </c>
      <c r="AU614" s="27" t="s">
        <v>8</v>
      </c>
      <c r="AV614" s="27" t="s">
        <v>7</v>
      </c>
      <c r="AW614" s="27" t="s">
        <v>8</v>
      </c>
      <c r="AX614" s="27" t="s">
        <v>7</v>
      </c>
      <c r="AY614" s="27" t="s">
        <v>8</v>
      </c>
      <c r="AZ614" s="27" t="s">
        <v>7</v>
      </c>
      <c r="BC614" s="27" t="s">
        <v>8</v>
      </c>
      <c r="BE614" s="27" t="s">
        <v>8</v>
      </c>
      <c r="BF614" s="27" t="s">
        <v>7</v>
      </c>
      <c r="BQ614" s="27" t="s">
        <v>8</v>
      </c>
      <c r="BS614" s="27" t="s">
        <v>8</v>
      </c>
      <c r="BT614" s="27" t="s">
        <v>7</v>
      </c>
      <c r="BW614" s="27" t="s">
        <v>8</v>
      </c>
      <c r="BY614" s="27" t="s">
        <v>8</v>
      </c>
      <c r="BZ614" s="27" t="s">
        <v>7</v>
      </c>
      <c r="CA614" s="27" t="s">
        <v>8</v>
      </c>
      <c r="CB614" s="27" t="s">
        <v>7</v>
      </c>
      <c r="CC614" s="27" t="s">
        <v>8</v>
      </c>
      <c r="CD614" s="27" t="s">
        <v>7</v>
      </c>
      <c r="CE614" s="27" t="s">
        <v>8</v>
      </c>
      <c r="FD614" s="27" t="s">
        <v>7</v>
      </c>
      <c r="FE614" s="27" t="s">
        <v>8</v>
      </c>
      <c r="FF614" s="27" t="s">
        <v>7</v>
      </c>
      <c r="FG614" s="27" t="s">
        <v>8</v>
      </c>
      <c r="FH614" s="27" t="s">
        <v>7</v>
      </c>
      <c r="FI614" s="27" t="s">
        <v>8</v>
      </c>
      <c r="FJ614" s="27" t="s">
        <v>7</v>
      </c>
      <c r="FK614" s="27" t="s">
        <v>8</v>
      </c>
      <c r="FR614" s="27" t="s">
        <v>7</v>
      </c>
      <c r="IT614" s="27" t="s">
        <v>7</v>
      </c>
    </row>
    <row r="615" spans="1:258" x14ac:dyDescent="0.25">
      <c r="A615" s="7">
        <v>0.57437455289470052</v>
      </c>
      <c r="B615"/>
      <c r="C615"/>
      <c r="D615"/>
      <c r="E615"/>
      <c r="P615" s="27" t="s">
        <v>7</v>
      </c>
      <c r="Q615" s="27" t="s">
        <v>8</v>
      </c>
      <c r="R615" s="27" t="s">
        <v>7</v>
      </c>
      <c r="Z615" s="27" t="s">
        <v>7</v>
      </c>
      <c r="AA615" s="27" t="s">
        <v>8</v>
      </c>
      <c r="AB615" s="27" t="s">
        <v>7</v>
      </c>
      <c r="AC615" s="27" t="s">
        <v>8</v>
      </c>
      <c r="AD615" s="27" t="s">
        <v>7</v>
      </c>
      <c r="AS615" s="27" t="s">
        <v>8</v>
      </c>
      <c r="AT615" s="27" t="s">
        <v>7</v>
      </c>
      <c r="AU615" s="27" t="s">
        <v>8</v>
      </c>
      <c r="AV615" s="27" t="s">
        <v>7</v>
      </c>
      <c r="AW615" s="27" t="s">
        <v>8</v>
      </c>
      <c r="AX615" s="27" t="s">
        <v>7</v>
      </c>
      <c r="AY615" s="27" t="s">
        <v>8</v>
      </c>
      <c r="AZ615" s="27" t="s">
        <v>7</v>
      </c>
      <c r="BC615" s="27" t="s">
        <v>8</v>
      </c>
      <c r="BD615" s="27" t="s">
        <v>7</v>
      </c>
      <c r="BE615" s="27" t="s">
        <v>8</v>
      </c>
      <c r="BF615" s="27" t="s">
        <v>7</v>
      </c>
      <c r="BG615" s="27" t="s">
        <v>8</v>
      </c>
      <c r="BQ615" s="27" t="s">
        <v>8</v>
      </c>
      <c r="BR615" s="27" t="s">
        <v>7</v>
      </c>
      <c r="BS615" s="27" t="s">
        <v>8</v>
      </c>
      <c r="BT615" s="27" t="s">
        <v>7</v>
      </c>
      <c r="BU615" s="27" t="s">
        <v>8</v>
      </c>
      <c r="BW615" s="27" t="s">
        <v>8</v>
      </c>
      <c r="BX615" s="27" t="s">
        <v>7</v>
      </c>
      <c r="BY615" s="27" t="s">
        <v>8</v>
      </c>
      <c r="BZ615" s="27" t="s">
        <v>7</v>
      </c>
      <c r="CB615" s="27" t="s">
        <v>7</v>
      </c>
      <c r="CC615" s="27" t="s">
        <v>8</v>
      </c>
      <c r="CD615" s="27" t="s">
        <v>7</v>
      </c>
      <c r="CE615" s="27" t="s">
        <v>8</v>
      </c>
      <c r="FD615" s="27" t="s">
        <v>7</v>
      </c>
      <c r="FE615" s="27" t="s">
        <v>8</v>
      </c>
      <c r="FF615" s="27" t="s">
        <v>7</v>
      </c>
      <c r="FG615" s="27" t="s">
        <v>8</v>
      </c>
      <c r="FH615" s="27" t="s">
        <v>7</v>
      </c>
      <c r="FI615" s="27" t="s">
        <v>8</v>
      </c>
      <c r="FJ615" s="27" t="s">
        <v>7</v>
      </c>
      <c r="IT615" s="27" t="s">
        <v>7</v>
      </c>
    </row>
    <row r="616" spans="1:258" x14ac:dyDescent="0.25">
      <c r="A616" s="7">
        <v>0.56311230675951029</v>
      </c>
      <c r="B616"/>
      <c r="C616"/>
      <c r="D616"/>
      <c r="E616"/>
      <c r="P616" s="27" t="s">
        <v>7</v>
      </c>
      <c r="Z616" s="27" t="s">
        <v>7</v>
      </c>
      <c r="AA616" s="27" t="s">
        <v>8</v>
      </c>
      <c r="AB616" s="27" t="s">
        <v>7</v>
      </c>
      <c r="AC616" s="27" t="s">
        <v>8</v>
      </c>
      <c r="AD616" s="27" t="s">
        <v>7</v>
      </c>
      <c r="AS616" s="27" t="s">
        <v>8</v>
      </c>
      <c r="AT616" s="27" t="s">
        <v>7</v>
      </c>
      <c r="AU616" s="27" t="s">
        <v>8</v>
      </c>
      <c r="AV616" s="27" t="s">
        <v>7</v>
      </c>
      <c r="AW616" s="27" t="s">
        <v>8</v>
      </c>
      <c r="AX616" s="27" t="s">
        <v>7</v>
      </c>
      <c r="AY616" s="27" t="s">
        <v>8</v>
      </c>
      <c r="AZ616" s="27" t="s">
        <v>7</v>
      </c>
      <c r="BC616" s="27" t="s">
        <v>8</v>
      </c>
      <c r="BD616" s="27" t="s">
        <v>7</v>
      </c>
      <c r="BE616" s="27" t="s">
        <v>8</v>
      </c>
      <c r="BF616" s="27" t="s">
        <v>7</v>
      </c>
      <c r="BG616" s="27" t="s">
        <v>8</v>
      </c>
      <c r="BH616" s="27" t="s">
        <v>7</v>
      </c>
      <c r="BQ616" s="27" t="s">
        <v>8</v>
      </c>
      <c r="BR616" s="27" t="s">
        <v>7</v>
      </c>
      <c r="BS616" s="27" t="s">
        <v>8</v>
      </c>
      <c r="BT616" s="27" t="s">
        <v>7</v>
      </c>
      <c r="BU616" s="27" t="s">
        <v>8</v>
      </c>
      <c r="BV616" s="27" t="s">
        <v>7</v>
      </c>
      <c r="BW616" s="27" t="s">
        <v>8</v>
      </c>
      <c r="BX616" s="27" t="s">
        <v>7</v>
      </c>
      <c r="BY616" s="27" t="s">
        <v>8</v>
      </c>
      <c r="CB616" s="27" t="s">
        <v>7</v>
      </c>
      <c r="CC616" s="27" t="s">
        <v>8</v>
      </c>
      <c r="CD616" s="27" t="s">
        <v>7</v>
      </c>
      <c r="CE616" s="27" t="s">
        <v>8</v>
      </c>
      <c r="FD616" s="27" t="s">
        <v>7</v>
      </c>
      <c r="FE616" s="27" t="s">
        <v>8</v>
      </c>
      <c r="FF616" s="27" t="s">
        <v>7</v>
      </c>
      <c r="FG616" s="27" t="s">
        <v>8</v>
      </c>
      <c r="FH616" s="27" t="s">
        <v>7</v>
      </c>
      <c r="FI616" s="27" t="s">
        <v>8</v>
      </c>
      <c r="IT616" s="27" t="s">
        <v>7</v>
      </c>
    </row>
    <row r="617" spans="1:258" x14ac:dyDescent="0.25">
      <c r="A617" s="7">
        <v>0.55207088897991208</v>
      </c>
      <c r="B617"/>
      <c r="C617"/>
      <c r="D617"/>
      <c r="E617"/>
      <c r="Z617" s="27" t="s">
        <v>7</v>
      </c>
      <c r="AA617" s="27" t="s">
        <v>8</v>
      </c>
      <c r="AB617" s="27" t="s">
        <v>7</v>
      </c>
      <c r="AC617" s="27" t="s">
        <v>8</v>
      </c>
      <c r="AD617" s="27" t="s">
        <v>7</v>
      </c>
      <c r="AS617" s="27" t="s">
        <v>8</v>
      </c>
      <c r="AT617" s="27" t="s">
        <v>7</v>
      </c>
      <c r="AU617" s="27" t="s">
        <v>8</v>
      </c>
      <c r="AV617" s="27" t="s">
        <v>7</v>
      </c>
      <c r="AX617" s="27" t="s">
        <v>7</v>
      </c>
      <c r="AZ617" s="27" t="s">
        <v>7</v>
      </c>
      <c r="BC617" s="27" t="s">
        <v>8</v>
      </c>
      <c r="BD617" s="27" t="s">
        <v>7</v>
      </c>
      <c r="BE617" s="27" t="s">
        <v>8</v>
      </c>
      <c r="BF617" s="27" t="s">
        <v>7</v>
      </c>
      <c r="BG617" s="27" t="s">
        <v>8</v>
      </c>
      <c r="BH617" s="27" t="s">
        <v>7</v>
      </c>
      <c r="BK617" s="27" t="s">
        <v>8</v>
      </c>
      <c r="BO617" s="27" t="s">
        <v>8</v>
      </c>
      <c r="BQ617" s="27" t="s">
        <v>8</v>
      </c>
      <c r="BR617" s="27" t="s">
        <v>7</v>
      </c>
      <c r="BS617" s="27" t="s">
        <v>8</v>
      </c>
      <c r="BT617" s="27" t="s">
        <v>7</v>
      </c>
      <c r="BU617" s="27" t="s">
        <v>8</v>
      </c>
      <c r="BV617" s="27" t="s">
        <v>7</v>
      </c>
      <c r="BW617" s="27" t="s">
        <v>8</v>
      </c>
      <c r="BX617" s="27" t="s">
        <v>7</v>
      </c>
      <c r="BY617" s="27" t="s">
        <v>8</v>
      </c>
      <c r="CB617" s="27" t="s">
        <v>7</v>
      </c>
      <c r="CC617" s="27" t="s">
        <v>8</v>
      </c>
      <c r="CD617" s="27" t="s">
        <v>7</v>
      </c>
      <c r="CE617" s="27" t="s">
        <v>8</v>
      </c>
      <c r="FD617" s="27" t="s">
        <v>7</v>
      </c>
      <c r="FE617" s="27" t="s">
        <v>8</v>
      </c>
      <c r="FF617" s="27" t="s">
        <v>7</v>
      </c>
      <c r="FG617" s="27" t="s">
        <v>8</v>
      </c>
      <c r="FH617" s="27" t="s">
        <v>7</v>
      </c>
      <c r="FI617" s="27" t="s">
        <v>8</v>
      </c>
      <c r="IT617" s="27" t="s">
        <v>7</v>
      </c>
    </row>
    <row r="618" spans="1:258" x14ac:dyDescent="0.25">
      <c r="A618" s="7">
        <v>0.54124596958814908</v>
      </c>
      <c r="B618"/>
      <c r="C618"/>
      <c r="D618"/>
      <c r="E618"/>
      <c r="Z618" s="27" t="s">
        <v>7</v>
      </c>
      <c r="AA618" s="27" t="s">
        <v>8</v>
      </c>
      <c r="AB618" s="27" t="s">
        <v>7</v>
      </c>
      <c r="AC618" s="27" t="s">
        <v>8</v>
      </c>
      <c r="AD618" s="27" t="s">
        <v>7</v>
      </c>
      <c r="AE618" s="27" t="s">
        <v>8</v>
      </c>
      <c r="AS618" s="27" t="s">
        <v>8</v>
      </c>
      <c r="AT618" s="27" t="s">
        <v>7</v>
      </c>
      <c r="AU618" s="27" t="s">
        <v>8</v>
      </c>
      <c r="AZ618" s="27" t="s">
        <v>7</v>
      </c>
      <c r="BA618" s="27" t="s">
        <v>8</v>
      </c>
      <c r="BC618" s="27" t="s">
        <v>8</v>
      </c>
      <c r="BD618" s="27" t="s">
        <v>7</v>
      </c>
      <c r="BE618" s="27" t="s">
        <v>8</v>
      </c>
      <c r="BF618" s="27" t="s">
        <v>7</v>
      </c>
      <c r="BH618" s="27" t="s">
        <v>7</v>
      </c>
      <c r="BI618" s="27" t="s">
        <v>8</v>
      </c>
      <c r="BK618" s="27" t="s">
        <v>8</v>
      </c>
      <c r="BL618" s="27" t="s">
        <v>7</v>
      </c>
      <c r="BM618" s="27" t="s">
        <v>8</v>
      </c>
      <c r="BO618" s="27" t="s">
        <v>8</v>
      </c>
      <c r="BP618" s="27" t="s">
        <v>7</v>
      </c>
      <c r="BQ618" s="27" t="s">
        <v>8</v>
      </c>
      <c r="BR618" s="27" t="s">
        <v>7</v>
      </c>
      <c r="BS618" s="27" t="s">
        <v>8</v>
      </c>
      <c r="BT618" s="27" t="s">
        <v>7</v>
      </c>
      <c r="BU618" s="27" t="s">
        <v>8</v>
      </c>
      <c r="BV618" s="27" t="s">
        <v>7</v>
      </c>
      <c r="BW618" s="27" t="s">
        <v>8</v>
      </c>
      <c r="BX618" s="27" t="s">
        <v>7</v>
      </c>
      <c r="CB618" s="27" t="s">
        <v>7</v>
      </c>
      <c r="CC618" s="27" t="s">
        <v>8</v>
      </c>
      <c r="CD618" s="27" t="s">
        <v>7</v>
      </c>
      <c r="CE618" s="27" t="s">
        <v>8</v>
      </c>
      <c r="FD618" s="27" t="s">
        <v>7</v>
      </c>
      <c r="FE618" s="27" t="s">
        <v>8</v>
      </c>
      <c r="FF618" s="27" t="s">
        <v>7</v>
      </c>
      <c r="FG618" s="27" t="s">
        <v>8</v>
      </c>
      <c r="FH618" s="27" t="s">
        <v>7</v>
      </c>
      <c r="FI618" s="27" t="s">
        <v>8</v>
      </c>
      <c r="IT618" s="27" t="s">
        <v>7</v>
      </c>
    </row>
    <row r="619" spans="1:258" x14ac:dyDescent="0.25">
      <c r="A619" s="7">
        <v>0.53063330351779314</v>
      </c>
      <c r="B619"/>
      <c r="C619"/>
      <c r="D619"/>
      <c r="E619"/>
      <c r="Z619" s="27" t="s">
        <v>7</v>
      </c>
      <c r="AA619" s="27" t="s">
        <v>8</v>
      </c>
      <c r="AB619" s="27" t="s">
        <v>7</v>
      </c>
      <c r="AC619" s="27" t="s">
        <v>8</v>
      </c>
      <c r="AD619" s="27" t="s">
        <v>7</v>
      </c>
      <c r="AE619" s="27" t="s">
        <v>8</v>
      </c>
      <c r="AF619" s="27" t="s">
        <v>7</v>
      </c>
      <c r="AS619" s="27" t="s">
        <v>8</v>
      </c>
      <c r="AT619" s="27" t="s">
        <v>7</v>
      </c>
      <c r="AU619" s="27" t="s">
        <v>8</v>
      </c>
      <c r="AZ619" s="27" t="s">
        <v>7</v>
      </c>
      <c r="BA619" s="27" t="s">
        <v>8</v>
      </c>
      <c r="BB619" s="27" t="s">
        <v>7</v>
      </c>
      <c r="BC619" s="27" t="s">
        <v>8</v>
      </c>
      <c r="BD619" s="27" t="s">
        <v>7</v>
      </c>
      <c r="BH619" s="27" t="s">
        <v>7</v>
      </c>
      <c r="BI619" s="27" t="s">
        <v>8</v>
      </c>
      <c r="BJ619" s="27" t="s">
        <v>7</v>
      </c>
      <c r="BK619" s="27" t="s">
        <v>8</v>
      </c>
      <c r="BL619" s="27" t="s">
        <v>7</v>
      </c>
      <c r="BM619" s="27" t="s">
        <v>8</v>
      </c>
      <c r="BN619" s="27" t="s">
        <v>7</v>
      </c>
      <c r="BO619" s="27" t="s">
        <v>8</v>
      </c>
      <c r="BP619" s="27" t="s">
        <v>7</v>
      </c>
      <c r="BQ619" s="27" t="s">
        <v>8</v>
      </c>
      <c r="BR619" s="27" t="s">
        <v>7</v>
      </c>
      <c r="BT619" s="27" t="s">
        <v>7</v>
      </c>
      <c r="BU619" s="27" t="s">
        <v>8</v>
      </c>
      <c r="BV619" s="27" t="s">
        <v>7</v>
      </c>
      <c r="CB619" s="27" t="s">
        <v>7</v>
      </c>
      <c r="CD619" s="27" t="s">
        <v>7</v>
      </c>
      <c r="FD619" s="27" t="s">
        <v>7</v>
      </c>
      <c r="FE619" s="27" t="s">
        <v>8</v>
      </c>
      <c r="FF619" s="27" t="s">
        <v>7</v>
      </c>
      <c r="FG619" s="27" t="s">
        <v>8</v>
      </c>
      <c r="FH619" s="27" t="s">
        <v>7</v>
      </c>
      <c r="IT619" s="27" t="s">
        <v>7</v>
      </c>
    </row>
    <row r="620" spans="1:258" x14ac:dyDescent="0.25">
      <c r="A620" s="7">
        <v>0.52022872893901284</v>
      </c>
      <c r="B620"/>
      <c r="C620"/>
      <c r="D620"/>
      <c r="E620"/>
      <c r="Z620" s="27" t="s">
        <v>7</v>
      </c>
      <c r="AA620" s="27" t="s">
        <v>8</v>
      </c>
      <c r="AB620" s="27" t="s">
        <v>7</v>
      </c>
      <c r="AC620" s="27" t="s">
        <v>8</v>
      </c>
      <c r="AD620" s="27" t="s">
        <v>7</v>
      </c>
      <c r="AE620" s="27" t="s">
        <v>8</v>
      </c>
      <c r="AF620" s="27" t="s">
        <v>7</v>
      </c>
      <c r="AG620" s="27" t="s">
        <v>8</v>
      </c>
      <c r="AS620" s="27" t="s">
        <v>8</v>
      </c>
      <c r="AT620" s="27" t="s">
        <v>7</v>
      </c>
      <c r="AU620" s="27" t="s">
        <v>8</v>
      </c>
      <c r="AZ620" s="27" t="s">
        <v>7</v>
      </c>
      <c r="BA620" s="27" t="s">
        <v>8</v>
      </c>
      <c r="BB620" s="27" t="s">
        <v>7</v>
      </c>
      <c r="BC620" s="27" t="s">
        <v>8</v>
      </c>
      <c r="BH620" s="27" t="s">
        <v>7</v>
      </c>
      <c r="BI620" s="27" t="s">
        <v>8</v>
      </c>
      <c r="BJ620" s="27" t="s">
        <v>7</v>
      </c>
      <c r="BK620" s="27" t="s">
        <v>8</v>
      </c>
      <c r="BL620" s="27" t="s">
        <v>7</v>
      </c>
      <c r="BM620" s="27" t="s">
        <v>8</v>
      </c>
      <c r="BN620" s="27" t="s">
        <v>7</v>
      </c>
      <c r="BO620" s="27" t="s">
        <v>8</v>
      </c>
      <c r="BP620" s="27" t="s">
        <v>7</v>
      </c>
      <c r="BQ620" s="27" t="s">
        <v>8</v>
      </c>
      <c r="BT620" s="27" t="s">
        <v>7</v>
      </c>
      <c r="BU620" s="27" t="s">
        <v>8</v>
      </c>
      <c r="FD620" s="27" t="s">
        <v>7</v>
      </c>
      <c r="FE620" s="27" t="s">
        <v>8</v>
      </c>
      <c r="FF620" s="27" t="s">
        <v>7</v>
      </c>
      <c r="FG620" s="27" t="s">
        <v>8</v>
      </c>
      <c r="IT620" s="27" t="s">
        <v>7</v>
      </c>
      <c r="IW620" s="27" t="s">
        <v>8</v>
      </c>
    </row>
    <row r="621" spans="1:258" x14ac:dyDescent="0.25">
      <c r="A621" s="7">
        <v>0.51002816562648323</v>
      </c>
      <c r="B621"/>
      <c r="C621"/>
      <c r="D621"/>
      <c r="E621"/>
      <c r="Z621" s="27" t="s">
        <v>7</v>
      </c>
      <c r="AB621" s="27" t="s">
        <v>7</v>
      </c>
      <c r="AD621" s="27" t="s">
        <v>7</v>
      </c>
      <c r="AE621" s="27" t="s">
        <v>8</v>
      </c>
      <c r="AF621" s="27" t="s">
        <v>7</v>
      </c>
      <c r="AG621" s="27" t="s">
        <v>8</v>
      </c>
      <c r="AH621" s="27" t="s">
        <v>7</v>
      </c>
      <c r="AO621" s="27" t="s">
        <v>8</v>
      </c>
      <c r="AQ621" s="27" t="s">
        <v>8</v>
      </c>
      <c r="AS621" s="27" t="s">
        <v>8</v>
      </c>
      <c r="AT621" s="27" t="s">
        <v>7</v>
      </c>
      <c r="AU621" s="27" t="s">
        <v>8</v>
      </c>
      <c r="AZ621" s="27" t="s">
        <v>7</v>
      </c>
      <c r="BB621" s="27" t="s">
        <v>7</v>
      </c>
      <c r="BC621" s="27" t="s">
        <v>8</v>
      </c>
      <c r="BH621" s="27" t="s">
        <v>7</v>
      </c>
      <c r="BI621" s="27" t="s">
        <v>8</v>
      </c>
      <c r="BJ621" s="27" t="s">
        <v>7</v>
      </c>
      <c r="BL621" s="27" t="s">
        <v>7</v>
      </c>
      <c r="BN621" s="27" t="s">
        <v>7</v>
      </c>
      <c r="BO621" s="27" t="s">
        <v>8</v>
      </c>
      <c r="BP621" s="27" t="s">
        <v>7</v>
      </c>
      <c r="BT621" s="27" t="s">
        <v>7</v>
      </c>
      <c r="BU621" s="27" t="s">
        <v>8</v>
      </c>
      <c r="FD621" s="27" t="s">
        <v>7</v>
      </c>
      <c r="FE621" s="27" t="s">
        <v>8</v>
      </c>
      <c r="FF621" s="27" t="s">
        <v>7</v>
      </c>
      <c r="IT621" s="27" t="s">
        <v>7</v>
      </c>
      <c r="IW621" s="27" t="s">
        <v>8</v>
      </c>
      <c r="IX621" s="27" t="s">
        <v>7</v>
      </c>
    </row>
    <row r="622" spans="1:258" x14ac:dyDescent="0.25">
      <c r="A622" s="7">
        <v>0.50002761335929735</v>
      </c>
      <c r="B622"/>
      <c r="C622"/>
      <c r="D622"/>
      <c r="E622"/>
      <c r="AD622" s="27" t="s">
        <v>7</v>
      </c>
      <c r="AE622" s="27" t="s">
        <v>8</v>
      </c>
      <c r="AF622" s="27" t="s">
        <v>7</v>
      </c>
      <c r="AG622" s="27" t="s">
        <v>8</v>
      </c>
      <c r="AH622" s="27" t="s">
        <v>7</v>
      </c>
      <c r="AO622" s="27" t="s">
        <v>8</v>
      </c>
      <c r="AP622" s="27" t="s">
        <v>7</v>
      </c>
      <c r="AQ622" s="27" t="s">
        <v>8</v>
      </c>
      <c r="AR622" s="27" t="s">
        <v>7</v>
      </c>
      <c r="AS622" s="27" t="s">
        <v>8</v>
      </c>
      <c r="AT622" s="27" t="s">
        <v>7</v>
      </c>
      <c r="AU622" s="27" t="s">
        <v>8</v>
      </c>
      <c r="BB622" s="27" t="s">
        <v>7</v>
      </c>
      <c r="BH622" s="27" t="s">
        <v>7</v>
      </c>
      <c r="BI622" s="27" t="s">
        <v>8</v>
      </c>
      <c r="BN622" s="27" t="s">
        <v>7</v>
      </c>
      <c r="BO622" s="27" t="s">
        <v>8</v>
      </c>
      <c r="BT622" s="27" t="s">
        <v>7</v>
      </c>
      <c r="FD622" s="27" t="s">
        <v>7</v>
      </c>
      <c r="FE622" s="27" t="s">
        <v>8</v>
      </c>
      <c r="IT622" s="27" t="s">
        <v>7</v>
      </c>
      <c r="IU622" s="27" t="s">
        <v>8</v>
      </c>
      <c r="IW622" s="27" t="s">
        <v>8</v>
      </c>
      <c r="IX622" s="27" t="s">
        <v>7</v>
      </c>
    </row>
    <row r="623" spans="1:258" x14ac:dyDescent="0.25">
      <c r="A623" s="7">
        <v>0.49022315035225228</v>
      </c>
      <c r="B623"/>
      <c r="C623"/>
      <c r="D623"/>
      <c r="E623"/>
      <c r="AD623" s="27" t="s">
        <v>7</v>
      </c>
      <c r="AE623" s="27" t="s">
        <v>8</v>
      </c>
      <c r="AF623" s="27" t="s">
        <v>7</v>
      </c>
      <c r="AH623" s="27" t="s">
        <v>7</v>
      </c>
      <c r="AK623" s="27" t="s">
        <v>8</v>
      </c>
      <c r="AM623" s="27" t="s">
        <v>8</v>
      </c>
      <c r="AO623" s="27" t="s">
        <v>8</v>
      </c>
      <c r="AP623" s="27" t="s">
        <v>7</v>
      </c>
      <c r="AQ623" s="27" t="s">
        <v>8</v>
      </c>
      <c r="AR623" s="27" t="s">
        <v>7</v>
      </c>
      <c r="AS623" s="27" t="s">
        <v>8</v>
      </c>
      <c r="AT623" s="27" t="s">
        <v>7</v>
      </c>
      <c r="BH623" s="27" t="s">
        <v>7</v>
      </c>
      <c r="BI623" s="27" t="s">
        <v>8</v>
      </c>
      <c r="BN623" s="27" t="s">
        <v>7</v>
      </c>
      <c r="BO623" s="27" t="s">
        <v>8</v>
      </c>
      <c r="FD623" s="27" t="s">
        <v>7</v>
      </c>
      <c r="IT623" s="27" t="s">
        <v>7</v>
      </c>
      <c r="IU623" s="27" t="s">
        <v>8</v>
      </c>
      <c r="IV623" s="27" t="s">
        <v>7</v>
      </c>
      <c r="IW623" s="27" t="s">
        <v>8</v>
      </c>
      <c r="IX623" s="27" t="s">
        <v>7</v>
      </c>
    </row>
    <row r="624" spans="1:258" x14ac:dyDescent="0.25">
      <c r="A624" s="7">
        <v>0.48061093171789437</v>
      </c>
      <c r="B624"/>
      <c r="C624"/>
      <c r="D624"/>
      <c r="E624"/>
      <c r="AD624" s="27" t="s">
        <v>7</v>
      </c>
      <c r="AE624" s="27" t="s">
        <v>8</v>
      </c>
      <c r="AH624" s="27" t="s">
        <v>7</v>
      </c>
      <c r="AK624" s="27" t="s">
        <v>8</v>
      </c>
      <c r="AL624" s="27" t="s">
        <v>7</v>
      </c>
      <c r="AM624" s="27" t="s">
        <v>8</v>
      </c>
      <c r="AN624" s="27" t="s">
        <v>7</v>
      </c>
      <c r="AO624" s="27" t="s">
        <v>8</v>
      </c>
      <c r="AP624" s="27" t="s">
        <v>7</v>
      </c>
      <c r="AQ624" s="27" t="s">
        <v>8</v>
      </c>
      <c r="AR624" s="27" t="s">
        <v>7</v>
      </c>
      <c r="BH624" s="27" t="s">
        <v>7</v>
      </c>
      <c r="BN624" s="27" t="s">
        <v>7</v>
      </c>
      <c r="BO624" s="27" t="s">
        <v>8</v>
      </c>
      <c r="IT624" s="27" t="s">
        <v>7</v>
      </c>
      <c r="IU624" s="27" t="s">
        <v>8</v>
      </c>
      <c r="IV624" s="27" t="s">
        <v>7</v>
      </c>
      <c r="IW624" s="27" t="s">
        <v>8</v>
      </c>
      <c r="IX624" s="27" t="s">
        <v>7</v>
      </c>
    </row>
    <row r="625" spans="1:257" x14ac:dyDescent="0.25">
      <c r="A625" s="7">
        <v>0.47118718795871994</v>
      </c>
      <c r="B625"/>
      <c r="C625"/>
      <c r="D625"/>
      <c r="E625"/>
      <c r="AD625" s="27" t="s">
        <v>7</v>
      </c>
      <c r="AH625" s="27" t="s">
        <v>7</v>
      </c>
      <c r="AI625" s="27" t="s">
        <v>8</v>
      </c>
      <c r="AK625" s="27" t="s">
        <v>8</v>
      </c>
      <c r="AL625" s="27" t="s">
        <v>7</v>
      </c>
      <c r="AM625" s="27" t="s">
        <v>8</v>
      </c>
      <c r="AN625" s="27" t="s">
        <v>7</v>
      </c>
      <c r="AO625" s="27" t="s">
        <v>8</v>
      </c>
      <c r="AP625" s="27" t="s">
        <v>7</v>
      </c>
      <c r="BN625" s="27" t="s">
        <v>7</v>
      </c>
      <c r="BO625" s="27" t="s">
        <v>8</v>
      </c>
      <c r="IT625" s="27" t="s">
        <v>7</v>
      </c>
      <c r="IU625" s="27" t="s">
        <v>8</v>
      </c>
      <c r="IV625" s="27" t="s">
        <v>7</v>
      </c>
      <c r="IW625" s="27" t="s">
        <v>8</v>
      </c>
    </row>
    <row r="626" spans="1:257" x14ac:dyDescent="0.25">
      <c r="A626" s="7">
        <v>0.46194822348894116</v>
      </c>
      <c r="B626"/>
      <c r="C626"/>
      <c r="D626"/>
      <c r="E626"/>
      <c r="AH626" s="27" t="s">
        <v>7</v>
      </c>
      <c r="AI626" s="27" t="s">
        <v>8</v>
      </c>
      <c r="AJ626" s="27" t="s">
        <v>7</v>
      </c>
      <c r="AK626" s="27" t="s">
        <v>8</v>
      </c>
      <c r="AL626" s="27" t="s">
        <v>7</v>
      </c>
      <c r="AN626" s="27" t="s">
        <v>7</v>
      </c>
      <c r="AO626" s="27" t="s">
        <v>8</v>
      </c>
      <c r="BN626" s="27" t="s">
        <v>7</v>
      </c>
      <c r="IT626" s="27" t="s">
        <v>7</v>
      </c>
      <c r="IV626" s="27" t="s">
        <v>7</v>
      </c>
      <c r="IW626" s="27" t="s">
        <v>8</v>
      </c>
    </row>
    <row r="627" spans="1:257" x14ac:dyDescent="0.25">
      <c r="A627" s="7">
        <v>0.45289041518523643</v>
      </c>
      <c r="B627"/>
      <c r="C627"/>
      <c r="D627"/>
      <c r="E627"/>
      <c r="AH627" s="27" t="s">
        <v>7</v>
      </c>
      <c r="AI627" s="27" t="s">
        <v>8</v>
      </c>
      <c r="AJ627" s="27" t="s">
        <v>7</v>
      </c>
      <c r="AK627" s="27" t="s">
        <v>8</v>
      </c>
      <c r="AN627" s="27" t="s">
        <v>7</v>
      </c>
      <c r="AO627" s="27" t="s">
        <v>8</v>
      </c>
      <c r="IV627" s="27" t="s">
        <v>7</v>
      </c>
    </row>
    <row r="628" spans="1:257" x14ac:dyDescent="0.25">
      <c r="A628" s="7">
        <v>0.44401021096591808</v>
      </c>
      <c r="B628"/>
      <c r="C628"/>
      <c r="D628"/>
      <c r="E628"/>
      <c r="AH628" s="27" t="s">
        <v>7</v>
      </c>
      <c r="AI628" s="27" t="s">
        <v>8</v>
      </c>
      <c r="AJ628" s="27" t="s">
        <v>7</v>
      </c>
      <c r="AK628" s="27" t="s">
        <v>8</v>
      </c>
      <c r="AN628" s="27" t="s">
        <v>7</v>
      </c>
    </row>
    <row r="629" spans="1:257" x14ac:dyDescent="0.25">
      <c r="A629" s="7">
        <v>0.4353041283979589</v>
      </c>
      <c r="B629"/>
      <c r="C629"/>
      <c r="D629"/>
      <c r="E629"/>
      <c r="AH629" s="27" t="s">
        <v>7</v>
      </c>
      <c r="AI629" s="27" t="s">
        <v>8</v>
      </c>
      <c r="AJ629" s="27" t="s">
        <v>7</v>
      </c>
      <c r="AK629" s="27" t="s">
        <v>8</v>
      </c>
    </row>
    <row r="630" spans="1:257" x14ac:dyDescent="0.25">
      <c r="A630" s="7">
        <v>0.4267687533313323</v>
      </c>
      <c r="B630"/>
      <c r="C630"/>
      <c r="D630"/>
      <c r="E630"/>
      <c r="AH630" s="27" t="s">
        <v>7</v>
      </c>
      <c r="AI630" s="27" t="s">
        <v>8</v>
      </c>
      <c r="AJ630" s="27" t="s">
        <v>7</v>
      </c>
    </row>
    <row r="631" spans="1:257" x14ac:dyDescent="0.25">
      <c r="A631" s="7">
        <v>0.41840073856012971</v>
      </c>
      <c r="B631"/>
      <c r="C631"/>
      <c r="D631"/>
      <c r="E631"/>
      <c r="AH631" s="27" t="s">
        <v>7</v>
      </c>
      <c r="AI631" s="27" t="s">
        <v>8</v>
      </c>
    </row>
    <row r="632" spans="1:257" x14ac:dyDescent="0.25">
      <c r="A632" s="7">
        <v>0.41019680250993112</v>
      </c>
      <c r="B632"/>
      <c r="C632"/>
      <c r="D632"/>
      <c r="E632"/>
      <c r="AH632" s="27" t="s">
        <v>7</v>
      </c>
      <c r="AI632" s="27" t="s">
        <v>8</v>
      </c>
    </row>
    <row r="633" spans="1:257" x14ac:dyDescent="0.25">
      <c r="A633" s="7">
        <v>0.40215372795091286</v>
      </c>
      <c r="B633"/>
      <c r="C633"/>
      <c r="D633"/>
      <c r="E633"/>
      <c r="AH633" s="27" t="s">
        <v>7</v>
      </c>
      <c r="AI633" s="27" t="s">
        <v>8</v>
      </c>
    </row>
    <row r="634" spans="1:257" x14ac:dyDescent="0.25">
      <c r="A634" s="7">
        <v>0.39426836073618904</v>
      </c>
      <c r="B634"/>
      <c r="C634"/>
      <c r="D634"/>
      <c r="E634"/>
      <c r="AH634" s="27" t="s">
        <v>7</v>
      </c>
    </row>
    <row r="635" spans="1:257" x14ac:dyDescent="0.25">
      <c r="A635" s="7">
        <v>0.38653760856489122</v>
      </c>
      <c r="B635"/>
      <c r="C635"/>
      <c r="D635"/>
      <c r="E635"/>
    </row>
    <row r="636" spans="1:257" x14ac:dyDescent="0.25">
      <c r="A636" s="7">
        <v>0.37895843976950117</v>
      </c>
      <c r="B636"/>
      <c r="C636"/>
      <c r="D636"/>
      <c r="E636"/>
    </row>
    <row r="637" spans="1:257" x14ac:dyDescent="0.25">
      <c r="A637" s="7">
        <v>0.37152788212696197</v>
      </c>
      <c r="B637"/>
      <c r="C637"/>
      <c r="D637"/>
      <c r="E637"/>
    </row>
    <row r="638" spans="1:257" x14ac:dyDescent="0.25">
      <c r="A638" s="7">
        <v>0.36424302169310002</v>
      </c>
      <c r="B638"/>
      <c r="C638"/>
      <c r="D638"/>
      <c r="E638"/>
    </row>
    <row r="639" spans="1:257" x14ac:dyDescent="0.25">
      <c r="A639" s="7">
        <v>0.35710100165990194</v>
      </c>
      <c r="B639"/>
      <c r="C639"/>
      <c r="D639"/>
      <c r="E639"/>
    </row>
    <row r="640" spans="1:257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L256" sqref="DL25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$A$255</v>
      </c>
      <c r="D111" s="1" t="str">
        <f>ADDRESS(C121-1,D121,1,1)</f>
        <v>$DL$255</v>
      </c>
      <c r="E111"/>
    </row>
    <row r="112" spans="1:5" x14ac:dyDescent="0.25">
      <c r="A112" s="30">
        <v>515.50191262726139</v>
      </c>
      <c r="C112" s="1" t="str">
        <f>ADDRESS(C121,1,1,1)</f>
        <v>$A$256</v>
      </c>
      <c r="D112" s="1" t="str">
        <f>ADDRESS(C121,D121-1,1,1)</f>
        <v>$DK$256</v>
      </c>
      <c r="E112"/>
    </row>
    <row r="113" spans="1:5" x14ac:dyDescent="0.25">
      <c r="A113" s="30">
        <v>490.95420250215363</v>
      </c>
      <c r="C113" s="1" t="str">
        <f>ADDRESS(C121+1,1,1,1)</f>
        <v>$A$257</v>
      </c>
      <c r="D113" s="1" t="str">
        <f>ADDRESS(C121-1,D121+1,1,1)</f>
        <v>$DM$255</v>
      </c>
    </row>
    <row r="114" spans="1:5" x14ac:dyDescent="0.25">
      <c r="A114" s="30">
        <v>467.57543095443202</v>
      </c>
      <c r="C114" s="1" t="str">
        <f>ADDRESS(C121,D121,1,1)</f>
        <v>$DL$256</v>
      </c>
      <c r="D114" s="1" t="str">
        <f>ADDRESS(C121+1,D121+1,1,1)</f>
        <v>$DM$257</v>
      </c>
    </row>
    <row r="115" spans="1:5" x14ac:dyDescent="0.25">
      <c r="A115" s="30">
        <v>445.30993424231622</v>
      </c>
      <c r="C115" s="1" t="str">
        <f>ADDRESS(C121+1,D121,1,1)</f>
        <v>$DL$257</v>
      </c>
    </row>
    <row r="116" spans="1:5" x14ac:dyDescent="0.25">
      <c r="A116" s="30">
        <v>424.10469927839637</v>
      </c>
      <c r="C116" s="1">
        <f>C117-1</f>
        <v>255</v>
      </c>
    </row>
    <row r="117" spans="1:5" x14ac:dyDescent="0.25">
      <c r="A117" s="30">
        <v>403.9092374079965</v>
      </c>
      <c r="C117" s="1">
        <f>C121</f>
        <v>256</v>
      </c>
      <c r="D117" s="1">
        <f>D121</f>
        <v>116</v>
      </c>
    </row>
    <row r="118" spans="1:5" x14ac:dyDescent="0.25">
      <c r="A118" s="30">
        <v>384.6754641980919</v>
      </c>
      <c r="C118" s="1">
        <f>C117+1</f>
        <v>257</v>
      </c>
      <c r="D118" s="1">
        <f>D117+1</f>
        <v>117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256</v>
      </c>
      <c r="D121" s="19">
        <v>116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R256</v>
      </c>
      <c r="D123" s="1" t="str">
        <f>"C"&amp;D121</f>
        <v>C116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0.45811152199139726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62" x14ac:dyDescent="0.25">
      <c r="A209" s="30">
        <v>4.5380394939082018</v>
      </c>
      <c r="E209"/>
      <c r="AW209" s="27" t="s">
        <v>8</v>
      </c>
    </row>
    <row r="210" spans="1:62" x14ac:dyDescent="0.25">
      <c r="A210" s="30">
        <v>4.3219423751506678</v>
      </c>
      <c r="C210"/>
      <c r="E210"/>
      <c r="AW210" s="27" t="s">
        <v>8</v>
      </c>
      <c r="AX210" s="27" t="s">
        <v>7</v>
      </c>
    </row>
    <row r="211" spans="1:62" x14ac:dyDescent="0.25">
      <c r="A211" s="30">
        <v>4.1161355953815884</v>
      </c>
      <c r="E211"/>
      <c r="AW211" s="27" t="s">
        <v>8</v>
      </c>
      <c r="AX211" s="27" t="s">
        <v>7</v>
      </c>
      <c r="BG211" s="27" t="s">
        <v>8</v>
      </c>
    </row>
    <row r="212" spans="1:62" x14ac:dyDescent="0.25">
      <c r="A212" s="30">
        <v>3.9201291384586554</v>
      </c>
      <c r="E212"/>
      <c r="AW212" s="27" t="s">
        <v>8</v>
      </c>
      <c r="AX212" s="27" t="s">
        <v>7</v>
      </c>
      <c r="BG212" s="27" t="s">
        <v>8</v>
      </c>
      <c r="BH212" s="27" t="s">
        <v>7</v>
      </c>
    </row>
    <row r="213" spans="1:62" x14ac:dyDescent="0.25">
      <c r="A213" s="30">
        <v>3.7334563223415764</v>
      </c>
      <c r="E213"/>
      <c r="AW213" s="27" t="s">
        <v>8</v>
      </c>
      <c r="AX213" s="27" t="s">
        <v>7</v>
      </c>
      <c r="BG213" s="27" t="s">
        <v>8</v>
      </c>
      <c r="BH213" s="27" t="s">
        <v>7</v>
      </c>
    </row>
    <row r="214" spans="1:62" x14ac:dyDescent="0.25">
      <c r="A214" s="30">
        <v>3.5556726879443583</v>
      </c>
      <c r="E214"/>
      <c r="AW214" s="27" t="s">
        <v>8</v>
      </c>
      <c r="AX214" s="27" t="s">
        <v>7</v>
      </c>
      <c r="BG214" s="27" t="s">
        <v>8</v>
      </c>
      <c r="BH214" s="27" t="s">
        <v>7</v>
      </c>
    </row>
    <row r="215" spans="1:62" x14ac:dyDescent="0.25">
      <c r="A215" s="30">
        <v>3.3863549408993889</v>
      </c>
      <c r="E215"/>
      <c r="AW215" s="27" t="s">
        <v>8</v>
      </c>
      <c r="AX215" s="27" t="s">
        <v>7</v>
      </c>
      <c r="BG215" s="27" t="s">
        <v>8</v>
      </c>
      <c r="BH215" s="27" t="s">
        <v>7</v>
      </c>
    </row>
    <row r="216" spans="1:62" x14ac:dyDescent="0.25">
      <c r="A216" s="30">
        <v>3.2250999437137038</v>
      </c>
      <c r="E216"/>
      <c r="AW216" s="27" t="s">
        <v>8</v>
      </c>
      <c r="AX216" s="27" t="s">
        <v>7</v>
      </c>
      <c r="AY216" s="27" t="s">
        <v>8</v>
      </c>
      <c r="BG216" s="27" t="s">
        <v>8</v>
      </c>
      <c r="BH216" s="27" t="s">
        <v>7</v>
      </c>
    </row>
    <row r="217" spans="1:62" x14ac:dyDescent="0.25">
      <c r="A217" s="30">
        <v>3.0715237559178128</v>
      </c>
      <c r="E217"/>
      <c r="AW217" s="27" t="s">
        <v>8</v>
      </c>
      <c r="AX217" s="27" t="s">
        <v>7</v>
      </c>
      <c r="AY217" s="27" t="s">
        <v>8</v>
      </c>
      <c r="AZ217" s="27" t="s">
        <v>7</v>
      </c>
      <c r="BA217" s="27" t="s">
        <v>8</v>
      </c>
      <c r="BE217" s="27" t="s">
        <v>8</v>
      </c>
      <c r="BG217" s="27" t="s">
        <v>8</v>
      </c>
      <c r="BH217" s="27" t="s">
        <v>7</v>
      </c>
    </row>
    <row r="218" spans="1:62" x14ac:dyDescent="0.25">
      <c r="A218" s="30">
        <v>2.9252607199217264</v>
      </c>
      <c r="E218"/>
      <c r="AS218" s="27" t="s">
        <v>8</v>
      </c>
      <c r="AU218" s="27" t="s">
        <v>8</v>
      </c>
      <c r="AW218" s="27" t="s">
        <v>8</v>
      </c>
      <c r="AX218" s="27" t="s">
        <v>7</v>
      </c>
      <c r="AY218" s="27" t="s">
        <v>8</v>
      </c>
      <c r="AZ218" s="27" t="s">
        <v>7</v>
      </c>
      <c r="BA218" s="27" t="s">
        <v>8</v>
      </c>
      <c r="BB218" s="27" t="s">
        <v>7</v>
      </c>
      <c r="BE218" s="27" t="s">
        <v>8</v>
      </c>
      <c r="BF218" s="27" t="s">
        <v>7</v>
      </c>
      <c r="BG218" s="27" t="s">
        <v>8</v>
      </c>
      <c r="BH218" s="27" t="s">
        <v>7</v>
      </c>
    </row>
    <row r="219" spans="1:62" x14ac:dyDescent="0.25">
      <c r="A219" s="30">
        <v>2.7859625904016441</v>
      </c>
      <c r="E219"/>
      <c r="AS219" s="27" t="s">
        <v>8</v>
      </c>
      <c r="AT219" s="27" t="s">
        <v>7</v>
      </c>
      <c r="AU219" s="27" t="s">
        <v>8</v>
      </c>
      <c r="AV219" s="27" t="s">
        <v>7</v>
      </c>
      <c r="AW219" s="27" t="s">
        <v>8</v>
      </c>
      <c r="AX219" s="27" t="s">
        <v>7</v>
      </c>
      <c r="AY219" s="27" t="s">
        <v>8</v>
      </c>
      <c r="AZ219" s="27" t="s">
        <v>7</v>
      </c>
      <c r="BA219" s="27" t="s">
        <v>8</v>
      </c>
      <c r="BB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</row>
    <row r="220" spans="1:62" x14ac:dyDescent="0.25">
      <c r="A220" s="30">
        <v>2.6532977051444226</v>
      </c>
      <c r="E220"/>
      <c r="AS220" s="27" t="s">
        <v>8</v>
      </c>
      <c r="AT220" s="27" t="s">
        <v>7</v>
      </c>
      <c r="AU220" s="27" t="s">
        <v>8</v>
      </c>
      <c r="AV220" s="27" t="s">
        <v>7</v>
      </c>
      <c r="AW220" s="27" t="s">
        <v>8</v>
      </c>
      <c r="AX220" s="27" t="s">
        <v>7</v>
      </c>
      <c r="AZ220" s="27" t="s">
        <v>7</v>
      </c>
      <c r="BA220" s="27" t="s">
        <v>8</v>
      </c>
      <c r="BB220" s="27" t="s">
        <v>7</v>
      </c>
      <c r="BE220" s="27" t="s">
        <v>8</v>
      </c>
      <c r="BF220" s="27" t="s">
        <v>7</v>
      </c>
      <c r="BG220" s="27" t="s">
        <v>8</v>
      </c>
      <c r="BH220" s="27" t="s">
        <v>7</v>
      </c>
    </row>
    <row r="221" spans="1:62" x14ac:dyDescent="0.25">
      <c r="A221" s="30">
        <v>2.5269501953756404</v>
      </c>
      <c r="E221"/>
      <c r="AS221" s="27" t="s">
        <v>8</v>
      </c>
      <c r="AT221" s="27" t="s">
        <v>7</v>
      </c>
      <c r="AV221" s="27" t="s">
        <v>7</v>
      </c>
      <c r="AZ221" s="27" t="s">
        <v>7</v>
      </c>
      <c r="BA221" s="27" t="s">
        <v>8</v>
      </c>
      <c r="BB221" s="27" t="s">
        <v>7</v>
      </c>
      <c r="BE221" s="27" t="s">
        <v>8</v>
      </c>
      <c r="BF221" s="27" t="s">
        <v>7</v>
      </c>
      <c r="BH221" s="27" t="s">
        <v>7</v>
      </c>
    </row>
    <row r="222" spans="1:62" x14ac:dyDescent="0.25">
      <c r="A222" s="30">
        <v>2.4066192336910861</v>
      </c>
      <c r="E222"/>
      <c r="AS222" s="27" t="s">
        <v>8</v>
      </c>
      <c r="AZ222" s="27" t="s">
        <v>7</v>
      </c>
      <c r="BA222" s="27" t="s">
        <v>8</v>
      </c>
      <c r="BB222" s="27" t="s">
        <v>7</v>
      </c>
      <c r="BE222" s="27" t="s">
        <v>8</v>
      </c>
      <c r="BH222" s="27" t="s">
        <v>7</v>
      </c>
    </row>
    <row r="223" spans="1:62" x14ac:dyDescent="0.25">
      <c r="A223" s="30">
        <v>2.2920183178010345</v>
      </c>
      <c r="E223"/>
      <c r="AS223" s="27" t="s">
        <v>8</v>
      </c>
      <c r="AZ223" s="27" t="s">
        <v>7</v>
      </c>
      <c r="BB223" s="27" t="s">
        <v>7</v>
      </c>
      <c r="BC223" s="27" t="s">
        <v>8</v>
      </c>
      <c r="BE223" s="27" t="s">
        <v>8</v>
      </c>
      <c r="BH223" s="27" t="s">
        <v>7</v>
      </c>
      <c r="BI223" s="27" t="s">
        <v>8</v>
      </c>
    </row>
    <row r="224" spans="1:62" x14ac:dyDescent="0.25">
      <c r="A224" s="30">
        <v>2.1828745883819374</v>
      </c>
      <c r="E224"/>
      <c r="AQ224" s="27" t="s">
        <v>8</v>
      </c>
      <c r="AS224" s="27" t="s">
        <v>8</v>
      </c>
      <c r="BB224" s="27" t="s">
        <v>7</v>
      </c>
      <c r="BC224" s="27" t="s">
        <v>8</v>
      </c>
      <c r="BD224" s="27" t="s">
        <v>7</v>
      </c>
      <c r="BE224" s="27" t="s">
        <v>8</v>
      </c>
      <c r="BH224" s="27" t="s">
        <v>7</v>
      </c>
      <c r="BI224" s="27" t="s">
        <v>8</v>
      </c>
      <c r="BJ224" s="27" t="s">
        <v>7</v>
      </c>
    </row>
    <row r="225" spans="1:108" x14ac:dyDescent="0.25">
      <c r="A225" s="30">
        <v>2.0789281794113688</v>
      </c>
      <c r="E225"/>
      <c r="AQ225" s="27" t="s">
        <v>8</v>
      </c>
      <c r="AR225" s="27" t="s">
        <v>7</v>
      </c>
      <c r="AS225" s="27" t="s">
        <v>8</v>
      </c>
      <c r="BB225" s="27" t="s">
        <v>7</v>
      </c>
      <c r="BC225" s="27" t="s">
        <v>8</v>
      </c>
      <c r="BD225" s="27" t="s">
        <v>7</v>
      </c>
      <c r="BE225" s="27" t="s">
        <v>8</v>
      </c>
      <c r="BH225" s="27" t="s">
        <v>7</v>
      </c>
      <c r="BI225" s="27" t="s">
        <v>8</v>
      </c>
      <c r="BJ225" s="27" t="s">
        <v>7</v>
      </c>
    </row>
    <row r="226" spans="1:108" x14ac:dyDescent="0.25">
      <c r="A226" s="30">
        <v>1.9799315994393987</v>
      </c>
      <c r="E226"/>
      <c r="AO226" s="27" t="s">
        <v>8</v>
      </c>
      <c r="AQ226" s="27" t="s">
        <v>8</v>
      </c>
      <c r="AR226" s="27" t="s">
        <v>7</v>
      </c>
      <c r="AS226" s="27" t="s">
        <v>8</v>
      </c>
      <c r="BB226" s="27" t="s">
        <v>7</v>
      </c>
      <c r="BC226" s="27" t="s">
        <v>8</v>
      </c>
      <c r="BD226" s="27" t="s">
        <v>7</v>
      </c>
      <c r="BE226" s="27" t="s">
        <v>8</v>
      </c>
      <c r="BH226" s="27" t="s">
        <v>7</v>
      </c>
      <c r="BJ226" s="27" t="s">
        <v>7</v>
      </c>
      <c r="BK226" s="27" t="s">
        <v>8</v>
      </c>
    </row>
    <row r="227" spans="1:108" x14ac:dyDescent="0.25">
      <c r="A227" s="30">
        <v>1.8856491423232367</v>
      </c>
      <c r="E227"/>
      <c r="AO227" s="27" t="s">
        <v>8</v>
      </c>
      <c r="AP227" s="27" t="s">
        <v>7</v>
      </c>
      <c r="AQ227" s="27" t="s">
        <v>8</v>
      </c>
      <c r="AR227" s="27" t="s">
        <v>7</v>
      </c>
      <c r="AS227" s="27" t="s">
        <v>8</v>
      </c>
      <c r="BB227" s="27" t="s">
        <v>7</v>
      </c>
      <c r="BC227" s="27" t="s">
        <v>8</v>
      </c>
      <c r="BD227" s="27" t="s">
        <v>7</v>
      </c>
      <c r="BJ227" s="27" t="s">
        <v>7</v>
      </c>
      <c r="BK227" s="27" t="s">
        <v>8</v>
      </c>
      <c r="BL227" s="27" t="s">
        <v>7</v>
      </c>
    </row>
    <row r="228" spans="1:108" x14ac:dyDescent="0.25">
      <c r="A228" s="30">
        <v>1.7958563260221301</v>
      </c>
      <c r="C228" s="7"/>
      <c r="D228"/>
      <c r="E228"/>
      <c r="AG228" s="27" t="s">
        <v>8</v>
      </c>
      <c r="AO228" s="27" t="s">
        <v>8</v>
      </c>
      <c r="AP228" s="27" t="s">
        <v>7</v>
      </c>
      <c r="AQ228" s="27" t="s">
        <v>8</v>
      </c>
      <c r="AR228" s="27" t="s">
        <v>7</v>
      </c>
      <c r="AS228" s="27" t="s">
        <v>8</v>
      </c>
      <c r="BB228" s="27" t="s">
        <v>7</v>
      </c>
      <c r="BC228" s="27" t="s">
        <v>8</v>
      </c>
      <c r="BJ228" s="27" t="s">
        <v>7</v>
      </c>
      <c r="BK228" s="27" t="s">
        <v>8</v>
      </c>
      <c r="BL228" s="27" t="s">
        <v>7</v>
      </c>
      <c r="BM228" s="27" t="s">
        <v>8</v>
      </c>
      <c r="BO228" s="27" t="s">
        <v>8</v>
      </c>
    </row>
    <row r="229" spans="1:108" x14ac:dyDescent="0.25">
      <c r="A229" s="30">
        <v>1.7103393581163142</v>
      </c>
      <c r="E229"/>
      <c r="AG229" s="27" t="s">
        <v>8</v>
      </c>
      <c r="AH229" s="27" t="s">
        <v>7</v>
      </c>
      <c r="AO229" s="27" t="s">
        <v>8</v>
      </c>
      <c r="AP229" s="27" t="s">
        <v>7</v>
      </c>
      <c r="AQ229" s="27" t="s">
        <v>8</v>
      </c>
      <c r="AR229" s="27" t="s">
        <v>7</v>
      </c>
      <c r="BB229" s="27" t="s">
        <v>7</v>
      </c>
      <c r="BJ229" s="27" t="s">
        <v>7</v>
      </c>
      <c r="BK229" s="27" t="s">
        <v>8</v>
      </c>
      <c r="BL229" s="27" t="s">
        <v>7</v>
      </c>
      <c r="BM229" s="27" t="s">
        <v>8</v>
      </c>
      <c r="BN229" s="27" t="s">
        <v>7</v>
      </c>
      <c r="BO229" s="27" t="s">
        <v>8</v>
      </c>
      <c r="BP229" s="27" t="s">
        <v>7</v>
      </c>
      <c r="BQ229" s="27" t="s">
        <v>8</v>
      </c>
    </row>
    <row r="230" spans="1:108" x14ac:dyDescent="0.25">
      <c r="A230" s="30">
        <v>1.628894626777442</v>
      </c>
      <c r="E230"/>
      <c r="AG230" s="27" t="s">
        <v>8</v>
      </c>
      <c r="AH230" s="27" t="s">
        <v>7</v>
      </c>
      <c r="AM230" s="27" t="s">
        <v>8</v>
      </c>
      <c r="AO230" s="27" t="s">
        <v>8</v>
      </c>
      <c r="AP230" s="27" t="s">
        <v>7</v>
      </c>
      <c r="BJ230" s="27" t="s">
        <v>7</v>
      </c>
      <c r="BK230" s="27" t="s">
        <v>8</v>
      </c>
      <c r="BL230" s="27" t="s">
        <v>7</v>
      </c>
      <c r="BM230" s="27" t="s">
        <v>8</v>
      </c>
      <c r="BN230" s="27" t="s">
        <v>7</v>
      </c>
      <c r="BO230" s="27" t="s">
        <v>8</v>
      </c>
      <c r="BP230" s="27" t="s">
        <v>7</v>
      </c>
      <c r="BQ230" s="27" t="s">
        <v>8</v>
      </c>
      <c r="BR230" s="27" t="s">
        <v>7</v>
      </c>
      <c r="BS230" s="27" t="s">
        <v>8</v>
      </c>
      <c r="DC230" s="27" t="s">
        <v>8</v>
      </c>
    </row>
    <row r="231" spans="1:108" x14ac:dyDescent="0.25">
      <c r="A231" s="30">
        <v>1.5513282159785162</v>
      </c>
      <c r="C231"/>
      <c r="D231"/>
      <c r="E231"/>
      <c r="AE231" s="27" t="s">
        <v>8</v>
      </c>
      <c r="AG231" s="27" t="s">
        <v>8</v>
      </c>
      <c r="AH231" s="27" t="s">
        <v>7</v>
      </c>
      <c r="AM231" s="27" t="s">
        <v>8</v>
      </c>
      <c r="AN231" s="27" t="s">
        <v>7</v>
      </c>
      <c r="AO231" s="27" t="s">
        <v>8</v>
      </c>
      <c r="BJ231" s="27" t="s">
        <v>7</v>
      </c>
      <c r="BK231" s="27" t="s">
        <v>8</v>
      </c>
      <c r="BL231" s="27" t="s">
        <v>7</v>
      </c>
      <c r="BM231" s="27" t="s">
        <v>8</v>
      </c>
      <c r="BN231" s="27" t="s">
        <v>7</v>
      </c>
      <c r="BO231" s="27" t="s">
        <v>8</v>
      </c>
      <c r="BP231" s="27" t="s">
        <v>7</v>
      </c>
      <c r="BQ231" s="27" t="s">
        <v>8</v>
      </c>
      <c r="BR231" s="27" t="s">
        <v>7</v>
      </c>
      <c r="BS231" s="27" t="s">
        <v>8</v>
      </c>
      <c r="BT231" s="27" t="s">
        <v>7</v>
      </c>
      <c r="CM231" s="27" t="s">
        <v>8</v>
      </c>
      <c r="DC231" s="27" t="s">
        <v>8</v>
      </c>
      <c r="DD231" s="27" t="s">
        <v>7</v>
      </c>
    </row>
    <row r="232" spans="1:108" x14ac:dyDescent="0.25">
      <c r="A232" s="30">
        <v>1.477455443789063</v>
      </c>
      <c r="E232"/>
      <c r="AE232" s="27" t="s">
        <v>8</v>
      </c>
      <c r="AF232" s="27" t="s">
        <v>7</v>
      </c>
      <c r="AG232" s="27" t="s">
        <v>8</v>
      </c>
      <c r="AH232" s="27" t="s">
        <v>7</v>
      </c>
      <c r="AM232" s="27" t="s">
        <v>8</v>
      </c>
      <c r="AN232" s="27" t="s">
        <v>7</v>
      </c>
      <c r="AO232" s="27" t="s">
        <v>8</v>
      </c>
      <c r="BJ232" s="27" t="s">
        <v>7</v>
      </c>
      <c r="BK232" s="27" t="s">
        <v>8</v>
      </c>
      <c r="BL232" s="27" t="s">
        <v>7</v>
      </c>
      <c r="BM232" s="27" t="s">
        <v>8</v>
      </c>
      <c r="BN232" s="27" t="s">
        <v>7</v>
      </c>
      <c r="BO232" s="27" t="s">
        <v>8</v>
      </c>
      <c r="BP232" s="27" t="s">
        <v>7</v>
      </c>
      <c r="BR232" s="27" t="s">
        <v>7</v>
      </c>
      <c r="BS232" s="27" t="s">
        <v>8</v>
      </c>
      <c r="BT232" s="27" t="s">
        <v>7</v>
      </c>
      <c r="CM232" s="27" t="s">
        <v>8</v>
      </c>
      <c r="CN232" s="27" t="s">
        <v>7</v>
      </c>
      <c r="DC232" s="27" t="s">
        <v>8</v>
      </c>
      <c r="DD232" s="27" t="s">
        <v>7</v>
      </c>
    </row>
    <row r="233" spans="1:108" x14ac:dyDescent="0.25">
      <c r="A233" s="30">
        <v>1.4071004226562505</v>
      </c>
      <c r="E233"/>
      <c r="AE233" s="27" t="s">
        <v>8</v>
      </c>
      <c r="AF233" s="27" t="s">
        <v>7</v>
      </c>
      <c r="AG233" s="27" t="s">
        <v>8</v>
      </c>
      <c r="AH233" s="27" t="s">
        <v>7</v>
      </c>
      <c r="AI233" s="27" t="s">
        <v>8</v>
      </c>
      <c r="AM233" s="27" t="s">
        <v>8</v>
      </c>
      <c r="AN233" s="27" t="s">
        <v>7</v>
      </c>
      <c r="AO233" s="27" t="s">
        <v>8</v>
      </c>
      <c r="BJ233" s="27" t="s">
        <v>7</v>
      </c>
      <c r="BK233" s="27" t="s">
        <v>8</v>
      </c>
      <c r="BL233" s="27" t="s">
        <v>7</v>
      </c>
      <c r="BM233" s="27" t="s">
        <v>8</v>
      </c>
      <c r="BN233" s="27" t="s">
        <v>7</v>
      </c>
      <c r="BO233" s="27" t="s">
        <v>8</v>
      </c>
      <c r="BR233" s="27" t="s">
        <v>7</v>
      </c>
      <c r="BS233" s="27" t="s">
        <v>8</v>
      </c>
      <c r="BT233" s="27" t="s">
        <v>7</v>
      </c>
      <c r="CM233" s="27" t="s">
        <v>8</v>
      </c>
      <c r="CN233" s="27" t="s">
        <v>7</v>
      </c>
      <c r="DC233" s="27" t="s">
        <v>8</v>
      </c>
      <c r="DD233" s="27" t="s">
        <v>7</v>
      </c>
    </row>
    <row r="234" spans="1:108" x14ac:dyDescent="0.25">
      <c r="A234" s="30">
        <v>1.3400956406250004</v>
      </c>
      <c r="E234"/>
      <c r="AE234" s="27" t="s">
        <v>8</v>
      </c>
      <c r="AF234" s="27" t="s">
        <v>7</v>
      </c>
      <c r="AG234" s="27" t="s">
        <v>8</v>
      </c>
      <c r="AH234" s="27" t="s">
        <v>7</v>
      </c>
      <c r="AI234" s="27" t="s">
        <v>8</v>
      </c>
      <c r="AJ234" s="27" t="s">
        <v>7</v>
      </c>
      <c r="AK234" s="27" t="s">
        <v>8</v>
      </c>
      <c r="AM234" s="27" t="s">
        <v>8</v>
      </c>
      <c r="AN234" s="27" t="s">
        <v>7</v>
      </c>
      <c r="BJ234" s="27" t="s">
        <v>7</v>
      </c>
      <c r="BK234" s="27" t="s">
        <v>8</v>
      </c>
      <c r="BL234" s="27" t="s">
        <v>7</v>
      </c>
      <c r="BM234" s="27" t="s">
        <v>8</v>
      </c>
      <c r="BN234" s="27" t="s">
        <v>7</v>
      </c>
      <c r="BR234" s="27" t="s">
        <v>7</v>
      </c>
      <c r="BS234" s="27" t="s">
        <v>8</v>
      </c>
      <c r="BT234" s="27" t="s">
        <v>7</v>
      </c>
      <c r="CM234" s="27" t="s">
        <v>8</v>
      </c>
      <c r="CN234" s="27" t="s">
        <v>7</v>
      </c>
      <c r="DC234" s="27" t="s">
        <v>8</v>
      </c>
      <c r="DD234" s="27" t="s">
        <v>7</v>
      </c>
    </row>
    <row r="235" spans="1:108" x14ac:dyDescent="0.25">
      <c r="A235" s="30">
        <v>1.2762815625000004</v>
      </c>
      <c r="C235"/>
      <c r="E235"/>
      <c r="AE235" s="27" t="s">
        <v>8</v>
      </c>
      <c r="AF235" s="27" t="s">
        <v>7</v>
      </c>
      <c r="AG235" s="27" t="s">
        <v>8</v>
      </c>
      <c r="AH235" s="27" t="s">
        <v>7</v>
      </c>
      <c r="AI235" s="27" t="s">
        <v>8</v>
      </c>
      <c r="AJ235" s="27" t="s">
        <v>7</v>
      </c>
      <c r="AK235" s="27" t="s">
        <v>8</v>
      </c>
      <c r="AL235" s="27" t="s">
        <v>7</v>
      </c>
      <c r="AM235" s="27" t="s">
        <v>8</v>
      </c>
      <c r="BJ235" s="27" t="s">
        <v>7</v>
      </c>
      <c r="BK235" s="27" t="s">
        <v>8</v>
      </c>
      <c r="BL235" s="27" t="s">
        <v>7</v>
      </c>
      <c r="BM235" s="27" t="s">
        <v>8</v>
      </c>
      <c r="BR235" s="27" t="s">
        <v>7</v>
      </c>
      <c r="BT235" s="27" t="s">
        <v>7</v>
      </c>
      <c r="CI235" s="27" t="s">
        <v>8</v>
      </c>
      <c r="CM235" s="27" t="s">
        <v>8</v>
      </c>
      <c r="CN235" s="27" t="s">
        <v>7</v>
      </c>
      <c r="CW235" s="27" t="s">
        <v>8</v>
      </c>
      <c r="DC235" s="27" t="s">
        <v>8</v>
      </c>
      <c r="DD235" s="27" t="s">
        <v>7</v>
      </c>
    </row>
    <row r="236" spans="1:108" x14ac:dyDescent="0.25">
      <c r="A236" s="30">
        <v>1.2155062500000002</v>
      </c>
      <c r="E236"/>
      <c r="AE236" s="27" t="s">
        <v>8</v>
      </c>
      <c r="AF236" s="27" t="s">
        <v>7</v>
      </c>
      <c r="AH236" s="27" t="s">
        <v>7</v>
      </c>
      <c r="AI236" s="27" t="s">
        <v>8</v>
      </c>
      <c r="AJ236" s="27" t="s">
        <v>7</v>
      </c>
      <c r="AK236" s="27" t="s">
        <v>8</v>
      </c>
      <c r="AL236" s="27" t="s">
        <v>7</v>
      </c>
      <c r="AM236" s="27" t="s">
        <v>8</v>
      </c>
      <c r="BJ236" s="27" t="s">
        <v>7</v>
      </c>
      <c r="BL236" s="27" t="s">
        <v>7</v>
      </c>
      <c r="BM236" s="27" t="s">
        <v>8</v>
      </c>
      <c r="BT236" s="27" t="s">
        <v>7</v>
      </c>
      <c r="CI236" s="27" t="s">
        <v>8</v>
      </c>
      <c r="CJ236" s="27" t="s">
        <v>7</v>
      </c>
      <c r="CK236" s="27" t="s">
        <v>8</v>
      </c>
      <c r="CM236" s="27" t="s">
        <v>8</v>
      </c>
      <c r="CN236" s="27" t="s">
        <v>7</v>
      </c>
      <c r="CO236" s="27" t="s">
        <v>8</v>
      </c>
      <c r="CW236" s="27" t="s">
        <v>8</v>
      </c>
      <c r="CX236" s="27" t="s">
        <v>7</v>
      </c>
      <c r="DC236" s="27" t="s">
        <v>8</v>
      </c>
      <c r="DD236" s="27" t="s">
        <v>7</v>
      </c>
    </row>
    <row r="237" spans="1:10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E237" s="27" t="s">
        <v>8</v>
      </c>
      <c r="AH237" s="27" t="s">
        <v>7</v>
      </c>
      <c r="AI237" s="27" t="s">
        <v>8</v>
      </c>
      <c r="AJ237" s="27" t="s">
        <v>7</v>
      </c>
      <c r="AL237" s="27" t="s">
        <v>7</v>
      </c>
      <c r="BL237" s="27" t="s">
        <v>7</v>
      </c>
      <c r="BM237" s="27" t="s">
        <v>8</v>
      </c>
      <c r="BT237" s="27" t="s">
        <v>7</v>
      </c>
      <c r="BU237" s="27" t="s">
        <v>8</v>
      </c>
      <c r="CI237" s="27" t="s">
        <v>8</v>
      </c>
      <c r="CJ237" s="27" t="s">
        <v>7</v>
      </c>
      <c r="CK237" s="27" t="s">
        <v>8</v>
      </c>
      <c r="CL237" s="27" t="s">
        <v>7</v>
      </c>
      <c r="CM237" s="27" t="s">
        <v>8</v>
      </c>
      <c r="CN237" s="27" t="s">
        <v>7</v>
      </c>
      <c r="CO237" s="27" t="s">
        <v>8</v>
      </c>
      <c r="CP237" s="27" t="s">
        <v>7</v>
      </c>
      <c r="CW237" s="27" t="s">
        <v>8</v>
      </c>
      <c r="CX237" s="27" t="s">
        <v>7</v>
      </c>
      <c r="CY237" s="27" t="s">
        <v>8</v>
      </c>
      <c r="DA237" s="27" t="s">
        <v>8</v>
      </c>
      <c r="DC237" s="27" t="s">
        <v>8</v>
      </c>
      <c r="DD237" s="27" t="s">
        <v>7</v>
      </c>
    </row>
    <row r="238" spans="1:108" x14ac:dyDescent="0.25">
      <c r="A238" s="30">
        <v>1.1025</v>
      </c>
      <c r="E238"/>
      <c r="AE238" s="27" t="s">
        <v>8</v>
      </c>
      <c r="AH238" s="27" t="s">
        <v>7</v>
      </c>
      <c r="AI238" s="27" t="s">
        <v>8</v>
      </c>
      <c r="BL238" s="27" t="s">
        <v>7</v>
      </c>
      <c r="BT238" s="27" t="s">
        <v>7</v>
      </c>
      <c r="BU238" s="27" t="s">
        <v>8</v>
      </c>
      <c r="BV238" s="27" t="s">
        <v>7</v>
      </c>
      <c r="CI238" s="27" t="s">
        <v>8</v>
      </c>
      <c r="CJ238" s="27" t="s">
        <v>7</v>
      </c>
      <c r="CK238" s="27" t="s">
        <v>8</v>
      </c>
      <c r="CL238" s="27" t="s">
        <v>7</v>
      </c>
      <c r="CM238" s="27" t="s">
        <v>8</v>
      </c>
      <c r="CN238" s="27" t="s">
        <v>7</v>
      </c>
      <c r="CO238" s="27" t="s">
        <v>8</v>
      </c>
      <c r="CP238" s="27" t="s">
        <v>7</v>
      </c>
      <c r="CU238" s="27" t="s">
        <v>8</v>
      </c>
      <c r="CW238" s="27" t="s">
        <v>8</v>
      </c>
      <c r="CX238" s="27" t="s">
        <v>7</v>
      </c>
      <c r="CY238" s="27" t="s">
        <v>8</v>
      </c>
      <c r="CZ238" s="27" t="s">
        <v>7</v>
      </c>
      <c r="DA238" s="27" t="s">
        <v>8</v>
      </c>
      <c r="DB238" s="27" t="s">
        <v>7</v>
      </c>
      <c r="DC238" s="27" t="s">
        <v>8</v>
      </c>
      <c r="DD238" s="27" t="s">
        <v>7</v>
      </c>
    </row>
    <row r="239" spans="1:108" x14ac:dyDescent="0.25">
      <c r="A239" s="30">
        <v>1.05</v>
      </c>
      <c r="E239"/>
      <c r="AE239" s="27" t="s">
        <v>8</v>
      </c>
      <c r="AH239" s="27" t="s">
        <v>7</v>
      </c>
      <c r="BT239" s="27" t="s">
        <v>7</v>
      </c>
      <c r="BU239" s="27" t="s">
        <v>8</v>
      </c>
      <c r="BV239" s="27" t="s">
        <v>7</v>
      </c>
      <c r="CG239" s="27" t="s">
        <v>8</v>
      </c>
      <c r="CI239" s="27" t="s">
        <v>8</v>
      </c>
      <c r="CJ239" s="27" t="s">
        <v>7</v>
      </c>
      <c r="CK239" s="27" t="s">
        <v>8</v>
      </c>
      <c r="CL239" s="27" t="s">
        <v>7</v>
      </c>
      <c r="CN239" s="27" t="s">
        <v>7</v>
      </c>
      <c r="CO239" s="27" t="s">
        <v>8</v>
      </c>
      <c r="CP239" s="27" t="s">
        <v>7</v>
      </c>
      <c r="CQ239" s="27" t="s">
        <v>8</v>
      </c>
      <c r="CS239" s="27" t="s">
        <v>8</v>
      </c>
      <c r="CU239" s="27" t="s">
        <v>8</v>
      </c>
      <c r="CV239" s="27" t="s">
        <v>7</v>
      </c>
      <c r="CW239" s="27" t="s">
        <v>8</v>
      </c>
      <c r="CX239" s="27" t="s">
        <v>7</v>
      </c>
      <c r="CY239" s="27" t="s">
        <v>8</v>
      </c>
      <c r="CZ239" s="27" t="s">
        <v>7</v>
      </c>
      <c r="DA239" s="27" t="s">
        <v>8</v>
      </c>
      <c r="DB239" s="27" t="s">
        <v>7</v>
      </c>
      <c r="DC239" s="27" t="s">
        <v>8</v>
      </c>
      <c r="DD239" s="27" t="s">
        <v>7</v>
      </c>
    </row>
    <row r="240" spans="1:108" x14ac:dyDescent="0.25">
      <c r="A240" s="30">
        <v>1</v>
      </c>
      <c r="E240" s="29" t="s">
        <v>8</v>
      </c>
      <c r="AE240" s="27" t="s">
        <v>8</v>
      </c>
      <c r="BT240" s="27" t="s">
        <v>7</v>
      </c>
      <c r="BV240" s="27" t="s">
        <v>7</v>
      </c>
      <c r="CA240" s="27" t="s">
        <v>8</v>
      </c>
      <c r="CG240" s="27" t="s">
        <v>8</v>
      </c>
      <c r="CH240" s="27" t="s">
        <v>7</v>
      </c>
      <c r="CI240" s="27" t="s">
        <v>8</v>
      </c>
      <c r="CJ240" s="27" t="s">
        <v>7</v>
      </c>
      <c r="CN240" s="27" t="s">
        <v>7</v>
      </c>
      <c r="CO240" s="27" t="s">
        <v>8</v>
      </c>
      <c r="CP240" s="27" t="s">
        <v>7</v>
      </c>
      <c r="CQ240" s="27" t="s">
        <v>8</v>
      </c>
      <c r="CR240" s="27" t="s">
        <v>7</v>
      </c>
      <c r="CS240" s="27" t="s">
        <v>8</v>
      </c>
      <c r="CT240" s="27" t="s">
        <v>7</v>
      </c>
      <c r="CU240" s="27" t="s">
        <v>8</v>
      </c>
      <c r="CV240" s="27" t="s">
        <v>7</v>
      </c>
      <c r="CW240" s="27" t="s">
        <v>8</v>
      </c>
      <c r="CX240" s="27" t="s">
        <v>7</v>
      </c>
      <c r="CY240" s="27" t="s">
        <v>8</v>
      </c>
      <c r="CZ240" s="27" t="s">
        <v>7</v>
      </c>
      <c r="DA240" s="27" t="s">
        <v>8</v>
      </c>
      <c r="DB240" s="27" t="s">
        <v>7</v>
      </c>
      <c r="DC240" s="27" t="s">
        <v>8</v>
      </c>
      <c r="DD240" s="27" t="s">
        <v>7</v>
      </c>
    </row>
    <row r="241" spans="1:116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AA241" s="27" t="s">
        <v>8</v>
      </c>
      <c r="AE241" s="27" t="s">
        <v>8</v>
      </c>
      <c r="BV241" s="27" t="s">
        <v>7</v>
      </c>
      <c r="CA241" s="27" t="s">
        <v>8</v>
      </c>
      <c r="CB241" s="27" t="s">
        <v>7</v>
      </c>
      <c r="CE241" s="27" t="s">
        <v>8</v>
      </c>
      <c r="CG241" s="27" t="s">
        <v>8</v>
      </c>
      <c r="CH241" s="27" t="s">
        <v>7</v>
      </c>
      <c r="CI241" s="27" t="s">
        <v>8</v>
      </c>
      <c r="CN241" s="27" t="s">
        <v>7</v>
      </c>
      <c r="CP241" s="27" t="s">
        <v>7</v>
      </c>
      <c r="CQ241" s="27" t="s">
        <v>8</v>
      </c>
      <c r="CR241" s="27" t="s">
        <v>7</v>
      </c>
      <c r="CS241" s="27" t="s">
        <v>8</v>
      </c>
      <c r="CT241" s="27" t="s">
        <v>7</v>
      </c>
      <c r="CU241" s="27" t="s">
        <v>8</v>
      </c>
      <c r="CV241" s="27" t="s">
        <v>7</v>
      </c>
      <c r="CX241" s="27" t="s">
        <v>7</v>
      </c>
      <c r="CZ241" s="27" t="s">
        <v>7</v>
      </c>
      <c r="DA241" s="27" t="s">
        <v>8</v>
      </c>
      <c r="DB241" s="27" t="s">
        <v>7</v>
      </c>
      <c r="DD241" s="27" t="s">
        <v>7</v>
      </c>
      <c r="DE241" s="27" t="s">
        <v>8</v>
      </c>
      <c r="DI241" s="27" t="s">
        <v>8</v>
      </c>
    </row>
    <row r="242" spans="1:116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AA242" s="27" t="s">
        <v>8</v>
      </c>
      <c r="AB242" s="27" t="s">
        <v>7</v>
      </c>
      <c r="AC242" s="27" t="s">
        <v>8</v>
      </c>
      <c r="AE242" s="27" t="s">
        <v>8</v>
      </c>
      <c r="BV242" s="27" t="s">
        <v>7</v>
      </c>
      <c r="CA242" s="27" t="s">
        <v>8</v>
      </c>
      <c r="CB242" s="27" t="s">
        <v>7</v>
      </c>
      <c r="CE242" s="27" t="s">
        <v>8</v>
      </c>
      <c r="CF242" s="27" t="s">
        <v>7</v>
      </c>
      <c r="CG242" s="27" t="s">
        <v>8</v>
      </c>
      <c r="CH242" s="27" t="s">
        <v>7</v>
      </c>
      <c r="CP242" s="27" t="s">
        <v>7</v>
      </c>
      <c r="CQ242" s="27" t="s">
        <v>8</v>
      </c>
      <c r="CR242" s="27" t="s">
        <v>7</v>
      </c>
      <c r="CS242" s="27" t="s">
        <v>8</v>
      </c>
      <c r="CT242" s="27" t="s">
        <v>7</v>
      </c>
      <c r="CU242" s="27" t="s">
        <v>8</v>
      </c>
      <c r="CZ242" s="27" t="s">
        <v>7</v>
      </c>
      <c r="DA242" s="27" t="s">
        <v>8</v>
      </c>
      <c r="DD242" s="27" t="s">
        <v>7</v>
      </c>
      <c r="DE242" s="27" t="s">
        <v>8</v>
      </c>
      <c r="DF242" s="27" t="s">
        <v>7</v>
      </c>
      <c r="DG242" s="27" t="s">
        <v>8</v>
      </c>
      <c r="DI242" s="27" t="s">
        <v>8</v>
      </c>
      <c r="DJ242" s="27" t="s">
        <v>7</v>
      </c>
    </row>
    <row r="243" spans="1:116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AA243" s="27" t="s">
        <v>8</v>
      </c>
      <c r="AB243" s="27" t="s">
        <v>7</v>
      </c>
      <c r="AC243" s="27" t="s">
        <v>8</v>
      </c>
      <c r="AD243" s="27" t="s">
        <v>7</v>
      </c>
      <c r="AE243" s="27" t="s">
        <v>8</v>
      </c>
      <c r="BV243" s="27" t="s">
        <v>7</v>
      </c>
      <c r="CA243" s="27" t="s">
        <v>8</v>
      </c>
      <c r="CB243" s="27" t="s">
        <v>7</v>
      </c>
      <c r="CC243" s="27" t="s">
        <v>8</v>
      </c>
      <c r="CE243" s="27" t="s">
        <v>8</v>
      </c>
      <c r="CF243" s="27" t="s">
        <v>7</v>
      </c>
      <c r="CG243" s="27" t="s">
        <v>8</v>
      </c>
      <c r="CP243" s="27" t="s">
        <v>7</v>
      </c>
      <c r="CQ243" s="27" t="s">
        <v>8</v>
      </c>
      <c r="CR243" s="27" t="s">
        <v>7</v>
      </c>
      <c r="CT243" s="27" t="s">
        <v>7</v>
      </c>
      <c r="CU243" s="27" t="s">
        <v>8</v>
      </c>
      <c r="CZ243" s="27" t="s">
        <v>7</v>
      </c>
      <c r="DD243" s="27" t="s">
        <v>7</v>
      </c>
      <c r="DE243" s="27" t="s">
        <v>8</v>
      </c>
      <c r="DF243" s="27" t="s">
        <v>7</v>
      </c>
      <c r="DG243" s="27" t="s">
        <v>8</v>
      </c>
      <c r="DH243" s="27" t="s">
        <v>7</v>
      </c>
      <c r="DI243" s="27" t="s">
        <v>8</v>
      </c>
      <c r="DJ243" s="27" t="s">
        <v>7</v>
      </c>
      <c r="DK243" s="27" t="s">
        <v>8</v>
      </c>
    </row>
    <row r="244" spans="1:116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AA244" s="27" t="s">
        <v>8</v>
      </c>
      <c r="AB244" s="27" t="s">
        <v>7</v>
      </c>
      <c r="AC244" s="27" t="s">
        <v>8</v>
      </c>
      <c r="AD244" s="27" t="s">
        <v>7</v>
      </c>
      <c r="AE244" s="27" t="s">
        <v>8</v>
      </c>
      <c r="BV244" s="27" t="s">
        <v>7</v>
      </c>
      <c r="CA244" s="27" t="s">
        <v>8</v>
      </c>
      <c r="CB244" s="27" t="s">
        <v>7</v>
      </c>
      <c r="CC244" s="27" t="s">
        <v>8</v>
      </c>
      <c r="CD244" s="27" t="s">
        <v>7</v>
      </c>
      <c r="CE244" s="27" t="s">
        <v>8</v>
      </c>
      <c r="CF244" s="27" t="s">
        <v>7</v>
      </c>
      <c r="CG244" s="27" t="s">
        <v>8</v>
      </c>
      <c r="CP244" s="27" t="s">
        <v>7</v>
      </c>
      <c r="CT244" s="27" t="s">
        <v>7</v>
      </c>
      <c r="DD244" s="27" t="s">
        <v>7</v>
      </c>
      <c r="DE244" s="27" t="s">
        <v>8</v>
      </c>
      <c r="DF244" s="27" t="s">
        <v>7</v>
      </c>
      <c r="DG244" s="27" t="s">
        <v>8</v>
      </c>
      <c r="DH244" s="27" t="s">
        <v>7</v>
      </c>
      <c r="DI244" s="27" t="s">
        <v>8</v>
      </c>
      <c r="DJ244" s="27" t="s">
        <v>7</v>
      </c>
      <c r="DK244" s="27" t="s">
        <v>8</v>
      </c>
      <c r="DL244" s="27" t="s">
        <v>7</v>
      </c>
    </row>
    <row r="245" spans="1:116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M245" s="27" t="s">
        <v>8</v>
      </c>
      <c r="AA245" s="27" t="s">
        <v>8</v>
      </c>
      <c r="AB245" s="27" t="s">
        <v>7</v>
      </c>
      <c r="AC245" s="27" t="s">
        <v>8</v>
      </c>
      <c r="AD245" s="27" t="s">
        <v>7</v>
      </c>
      <c r="BV245" s="27" t="s">
        <v>7</v>
      </c>
      <c r="CA245" s="27" t="s">
        <v>8</v>
      </c>
      <c r="CB245" s="27" t="s">
        <v>7</v>
      </c>
      <c r="CC245" s="27" t="s">
        <v>8</v>
      </c>
      <c r="CD245" s="27" t="s">
        <v>7</v>
      </c>
      <c r="CE245" s="27" t="s">
        <v>8</v>
      </c>
      <c r="CF245" s="27" t="s">
        <v>7</v>
      </c>
      <c r="DD245" s="27" t="s">
        <v>7</v>
      </c>
      <c r="DF245" s="27" t="s">
        <v>7</v>
      </c>
      <c r="DG245" s="27" t="s">
        <v>8</v>
      </c>
      <c r="DH245" s="27" t="s">
        <v>7</v>
      </c>
      <c r="DJ245" s="27" t="s">
        <v>7</v>
      </c>
      <c r="DK245" s="27" t="s">
        <v>8</v>
      </c>
      <c r="DL245" s="27" t="s">
        <v>7</v>
      </c>
    </row>
    <row r="246" spans="1:116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M246" s="27" t="s">
        <v>8</v>
      </c>
      <c r="N246" s="27" t="s">
        <v>7</v>
      </c>
      <c r="AA246" s="27" t="s">
        <v>8</v>
      </c>
      <c r="AB246" s="27" t="s">
        <v>7</v>
      </c>
      <c r="AC246" s="27" t="s">
        <v>8</v>
      </c>
      <c r="BV246" s="27" t="s">
        <v>7</v>
      </c>
      <c r="CA246" s="27" t="s">
        <v>8</v>
      </c>
      <c r="CB246" s="27" t="s">
        <v>7</v>
      </c>
      <c r="CC246" s="27" t="s">
        <v>8</v>
      </c>
      <c r="CD246" s="27" t="s">
        <v>7</v>
      </c>
      <c r="CE246" s="27" t="s">
        <v>8</v>
      </c>
      <c r="DF246" s="27" t="s">
        <v>7</v>
      </c>
      <c r="DG246" s="27" t="s">
        <v>8</v>
      </c>
      <c r="DJ246" s="27" t="s">
        <v>7</v>
      </c>
      <c r="DL246" s="27" t="s">
        <v>7</v>
      </c>
    </row>
    <row r="247" spans="1:116" x14ac:dyDescent="0.25">
      <c r="A247" s="30">
        <v>0.71068133013011958</v>
      </c>
      <c r="B247"/>
      <c r="C247"/>
      <c r="D247"/>
      <c r="E247"/>
      <c r="F247" s="27" t="s">
        <v>7</v>
      </c>
      <c r="H247" s="27" t="s">
        <v>7</v>
      </c>
      <c r="M247" s="27" t="s">
        <v>8</v>
      </c>
      <c r="N247" s="27" t="s">
        <v>7</v>
      </c>
      <c r="W247" s="27" t="s">
        <v>8</v>
      </c>
      <c r="AA247" s="27" t="s">
        <v>8</v>
      </c>
      <c r="AB247" s="27" t="s">
        <v>7</v>
      </c>
      <c r="AC247" s="27" t="s">
        <v>8</v>
      </c>
      <c r="BV247" s="27" t="s">
        <v>7</v>
      </c>
      <c r="CA247" s="27" t="s">
        <v>8</v>
      </c>
      <c r="CB247" s="27" t="s">
        <v>7</v>
      </c>
      <c r="CD247" s="27" t="s">
        <v>7</v>
      </c>
      <c r="CE247" s="27" t="s">
        <v>8</v>
      </c>
      <c r="DF247" s="27" t="s">
        <v>7</v>
      </c>
      <c r="DG247" s="27" t="s">
        <v>8</v>
      </c>
      <c r="DL247" s="27" t="s">
        <v>7</v>
      </c>
    </row>
    <row r="248" spans="1:116" x14ac:dyDescent="0.25">
      <c r="A248" s="30">
        <v>0.676839362028685</v>
      </c>
      <c r="B248"/>
      <c r="C248"/>
      <c r="D248"/>
      <c r="E248"/>
      <c r="H248" s="27" t="s">
        <v>7</v>
      </c>
      <c r="I248" s="27" t="s">
        <v>8</v>
      </c>
      <c r="M248" s="27" t="s">
        <v>8</v>
      </c>
      <c r="N248" s="27" t="s">
        <v>7</v>
      </c>
      <c r="Q248" s="27" t="s">
        <v>8</v>
      </c>
      <c r="W248" s="27" t="s">
        <v>8</v>
      </c>
      <c r="X248" s="27" t="s">
        <v>7</v>
      </c>
      <c r="AA248" s="27" t="s">
        <v>8</v>
      </c>
      <c r="AB248" s="27" t="s">
        <v>7</v>
      </c>
      <c r="BV248" s="27" t="s">
        <v>7</v>
      </c>
      <c r="BW248" s="27" t="s">
        <v>8</v>
      </c>
      <c r="CA248" s="27" t="s">
        <v>8</v>
      </c>
      <c r="CD248" s="27" t="s">
        <v>7</v>
      </c>
      <c r="CE248" s="27" t="s">
        <v>8</v>
      </c>
      <c r="DF248" s="27" t="s">
        <v>7</v>
      </c>
      <c r="DL248" s="27" t="s">
        <v>7</v>
      </c>
    </row>
    <row r="249" spans="1:116" x14ac:dyDescent="0.25">
      <c r="A249" s="30">
        <v>0.64460891621779492</v>
      </c>
      <c r="B249"/>
      <c r="C249"/>
      <c r="D249"/>
      <c r="E249"/>
      <c r="H249" s="27" t="s">
        <v>7</v>
      </c>
      <c r="I249" s="27" t="s">
        <v>8</v>
      </c>
      <c r="J249" s="27" t="s">
        <v>7</v>
      </c>
      <c r="M249" s="27" t="s">
        <v>8</v>
      </c>
      <c r="N249" s="27" t="s">
        <v>7</v>
      </c>
      <c r="O249" s="27" t="s">
        <v>8</v>
      </c>
      <c r="Q249" s="27" t="s">
        <v>8</v>
      </c>
      <c r="R249" s="27" t="s">
        <v>7</v>
      </c>
      <c r="W249" s="27" t="s">
        <v>8</v>
      </c>
      <c r="X249" s="27" t="s">
        <v>7</v>
      </c>
      <c r="Y249" s="27" t="s">
        <v>8</v>
      </c>
      <c r="AA249" s="27" t="s">
        <v>8</v>
      </c>
      <c r="BV249" s="27" t="s">
        <v>7</v>
      </c>
      <c r="BW249" s="27" t="s">
        <v>8</v>
      </c>
      <c r="BX249" s="27" t="s">
        <v>7</v>
      </c>
      <c r="CA249" s="27" t="s">
        <v>8</v>
      </c>
      <c r="CD249" s="18" t="s">
        <v>7</v>
      </c>
      <c r="CE249" s="27" t="s">
        <v>8</v>
      </c>
      <c r="DL249" s="27" t="s">
        <v>7</v>
      </c>
    </row>
    <row r="250" spans="1:116" x14ac:dyDescent="0.25">
      <c r="A250" s="30">
        <v>0.61391325354075688</v>
      </c>
      <c r="B250"/>
      <c r="C250"/>
      <c r="D250"/>
      <c r="E250"/>
      <c r="H250" s="27" t="s">
        <v>7</v>
      </c>
      <c r="I250" s="27" t="s">
        <v>8</v>
      </c>
      <c r="J250" s="27" t="s">
        <v>7</v>
      </c>
      <c r="K250" s="27" t="s">
        <v>8</v>
      </c>
      <c r="M250" s="27" t="s">
        <v>8</v>
      </c>
      <c r="N250" s="27" t="s">
        <v>7</v>
      </c>
      <c r="O250" s="27" t="s">
        <v>8</v>
      </c>
      <c r="P250" s="27" t="s">
        <v>7</v>
      </c>
      <c r="Q250" s="27" t="s">
        <v>8</v>
      </c>
      <c r="R250" s="27" t="s">
        <v>7</v>
      </c>
      <c r="U250" s="27" t="s">
        <v>8</v>
      </c>
      <c r="W250" s="27" t="s">
        <v>8</v>
      </c>
      <c r="X250" s="27" t="s">
        <v>7</v>
      </c>
      <c r="Y250" s="27" t="s">
        <v>8</v>
      </c>
      <c r="Z250" s="27" t="s">
        <v>7</v>
      </c>
      <c r="AA250" s="27" t="s">
        <v>8</v>
      </c>
      <c r="BV250" s="27" t="s">
        <v>7</v>
      </c>
      <c r="BW250" s="27" t="s">
        <v>8</v>
      </c>
      <c r="BX250" s="27" t="s">
        <v>7</v>
      </c>
      <c r="BY250" s="27" t="s">
        <v>8</v>
      </c>
      <c r="CA250" s="27" t="s">
        <v>8</v>
      </c>
      <c r="CD250" s="27" t="s">
        <v>7</v>
      </c>
      <c r="CE250" s="27" t="s">
        <v>8</v>
      </c>
      <c r="DL250" s="27" t="s">
        <v>7</v>
      </c>
    </row>
    <row r="251" spans="1:116" x14ac:dyDescent="0.25">
      <c r="A251" s="30">
        <v>0.58467928908643485</v>
      </c>
      <c r="B251"/>
      <c r="C251"/>
      <c r="D251"/>
      <c r="E251"/>
      <c r="H251" s="27" t="s">
        <v>7</v>
      </c>
      <c r="I251" s="27" t="s">
        <v>8</v>
      </c>
      <c r="J251" s="27" t="s">
        <v>7</v>
      </c>
      <c r="K251" s="27" t="s">
        <v>8</v>
      </c>
      <c r="L251" s="27" t="s">
        <v>7</v>
      </c>
      <c r="M251" s="27" t="s">
        <v>8</v>
      </c>
      <c r="N251" s="27" t="s">
        <v>7</v>
      </c>
      <c r="O251" s="27" t="s">
        <v>8</v>
      </c>
      <c r="P251" s="27" t="s">
        <v>7</v>
      </c>
      <c r="Q251" s="27" t="s">
        <v>8</v>
      </c>
      <c r="R251" s="27" t="s">
        <v>7</v>
      </c>
      <c r="U251" s="27" t="s">
        <v>8</v>
      </c>
      <c r="V251" s="27" t="s">
        <v>7</v>
      </c>
      <c r="W251" s="27" t="s">
        <v>8</v>
      </c>
      <c r="X251" s="27" t="s">
        <v>7</v>
      </c>
      <c r="Y251" s="27" t="s">
        <v>8</v>
      </c>
      <c r="Z251" s="27" t="s">
        <v>7</v>
      </c>
      <c r="AA251" s="27" t="s">
        <v>8</v>
      </c>
      <c r="BV251" s="27" t="s">
        <v>7</v>
      </c>
      <c r="BW251" s="27" t="s">
        <v>8</v>
      </c>
      <c r="BX251" s="27" t="s">
        <v>7</v>
      </c>
      <c r="BY251" s="27" t="s">
        <v>8</v>
      </c>
      <c r="BZ251" s="27" t="s">
        <v>7</v>
      </c>
      <c r="CA251" s="27" t="s">
        <v>8</v>
      </c>
      <c r="CD251" s="27" t="s">
        <v>7</v>
      </c>
      <c r="DL251" s="27" t="s">
        <v>7</v>
      </c>
    </row>
    <row r="252" spans="1:116" x14ac:dyDescent="0.25">
      <c r="A252" s="30">
        <v>0.55683741817755672</v>
      </c>
      <c r="B252"/>
      <c r="C252"/>
      <c r="D252"/>
      <c r="E252"/>
      <c r="H252" s="27" t="s">
        <v>7</v>
      </c>
      <c r="J252" s="27" t="s">
        <v>7</v>
      </c>
      <c r="K252" s="27" t="s">
        <v>8</v>
      </c>
      <c r="L252" s="27" t="s">
        <v>7</v>
      </c>
      <c r="M252" s="27" t="s">
        <v>8</v>
      </c>
      <c r="N252" s="27" t="s">
        <v>7</v>
      </c>
      <c r="O252" s="27" t="s">
        <v>8</v>
      </c>
      <c r="P252" s="27" t="s">
        <v>7</v>
      </c>
      <c r="Q252" s="27" t="s">
        <v>8</v>
      </c>
      <c r="R252" s="27" t="s">
        <v>7</v>
      </c>
      <c r="S252" s="27" t="s">
        <v>8</v>
      </c>
      <c r="U252" s="27" t="s">
        <v>8</v>
      </c>
      <c r="V252" s="27" t="s">
        <v>7</v>
      </c>
      <c r="W252" s="27" t="s">
        <v>8</v>
      </c>
      <c r="X252" s="27" t="s">
        <v>7</v>
      </c>
      <c r="Y252" s="27" t="s">
        <v>8</v>
      </c>
      <c r="Z252" s="27" t="s">
        <v>7</v>
      </c>
      <c r="AA252" s="27" t="s">
        <v>8</v>
      </c>
      <c r="BV252" s="27" t="s">
        <v>7</v>
      </c>
      <c r="BW252" s="27" t="s">
        <v>8</v>
      </c>
      <c r="BX252" s="27" t="s">
        <v>7</v>
      </c>
      <c r="BY252" s="27" t="s">
        <v>8</v>
      </c>
      <c r="BZ252" s="27" t="s">
        <v>7</v>
      </c>
      <c r="CA252" s="27" t="s">
        <v>8</v>
      </c>
      <c r="DL252" s="27" t="s">
        <v>7</v>
      </c>
    </row>
    <row r="253" spans="1:116" x14ac:dyDescent="0.25">
      <c r="A253" s="30">
        <v>0.53032135064529184</v>
      </c>
      <c r="B253"/>
      <c r="C253"/>
      <c r="D253"/>
      <c r="E253"/>
      <c r="J253" s="27" t="s">
        <v>7</v>
      </c>
      <c r="K253" s="27" t="s">
        <v>8</v>
      </c>
      <c r="L253" s="27" t="s">
        <v>7</v>
      </c>
      <c r="M253" s="27" t="s">
        <v>8</v>
      </c>
      <c r="N253" s="27" t="s">
        <v>7</v>
      </c>
      <c r="O253" s="27" t="s">
        <v>8</v>
      </c>
      <c r="P253" s="27" t="s">
        <v>7</v>
      </c>
      <c r="Q253" s="27" t="s">
        <v>8</v>
      </c>
      <c r="R253" s="27" t="s">
        <v>7</v>
      </c>
      <c r="S253" s="27" t="s">
        <v>8</v>
      </c>
      <c r="T253" s="27" t="s">
        <v>7</v>
      </c>
      <c r="U253" s="27" t="s">
        <v>8</v>
      </c>
      <c r="V253" s="27" t="s">
        <v>7</v>
      </c>
      <c r="W253" s="27" t="s">
        <v>8</v>
      </c>
      <c r="X253" s="27" t="s">
        <v>7</v>
      </c>
      <c r="Z253" s="27" t="s">
        <v>7</v>
      </c>
      <c r="BV253" s="27" t="s">
        <v>7</v>
      </c>
      <c r="BW253" s="27" t="s">
        <v>8</v>
      </c>
      <c r="BX253" s="27" t="s">
        <v>7</v>
      </c>
      <c r="BZ253" s="27" t="s">
        <v>7</v>
      </c>
      <c r="DL253" s="27" t="s">
        <v>7</v>
      </c>
    </row>
    <row r="254" spans="1:116" x14ac:dyDescent="0.25">
      <c r="A254" s="30">
        <v>0.50506795299551588</v>
      </c>
      <c r="B254"/>
      <c r="C254"/>
      <c r="D254"/>
      <c r="E254"/>
      <c r="J254" s="27" t="s">
        <v>7</v>
      </c>
      <c r="L254" s="27" t="s">
        <v>7</v>
      </c>
      <c r="M254" s="27" t="s">
        <v>8</v>
      </c>
      <c r="N254" s="27" t="s">
        <v>7</v>
      </c>
      <c r="P254" s="27" t="s">
        <v>7</v>
      </c>
      <c r="R254" s="27" t="s">
        <v>7</v>
      </c>
      <c r="S254" s="27" t="s">
        <v>8</v>
      </c>
      <c r="T254" s="27" t="s">
        <v>7</v>
      </c>
      <c r="U254" s="27" t="s">
        <v>8</v>
      </c>
      <c r="V254" s="27" t="s">
        <v>7</v>
      </c>
      <c r="BV254" s="27" t="s">
        <v>7</v>
      </c>
      <c r="DL254" s="27" t="s">
        <v>7</v>
      </c>
    </row>
    <row r="255" spans="1:116" x14ac:dyDescent="0.25">
      <c r="A255" s="30">
        <v>0.48101709809096732</v>
      </c>
      <c r="E255"/>
      <c r="L255" s="27" t="s">
        <v>7</v>
      </c>
      <c r="M255" s="27" t="s">
        <v>8</v>
      </c>
      <c r="R255" s="27" t="s">
        <v>7</v>
      </c>
      <c r="T255" s="27" t="s">
        <v>7</v>
      </c>
      <c r="U255" s="27" t="s">
        <v>8</v>
      </c>
      <c r="DL255" s="27" t="s">
        <v>7</v>
      </c>
    </row>
    <row r="256" spans="1:116" x14ac:dyDescent="0.25">
      <c r="A256" s="30">
        <v>0.45811152199139726</v>
      </c>
      <c r="E256"/>
      <c r="L256" s="27" t="s">
        <v>7</v>
      </c>
      <c r="M256" s="27" t="s">
        <v>8</v>
      </c>
      <c r="T256" s="27" t="s">
        <v>7</v>
      </c>
      <c r="DL256" s="27" t="s">
        <v>7</v>
      </c>
    </row>
    <row r="257" spans="1:13" x14ac:dyDescent="0.25">
      <c r="A257" s="30">
        <v>0.43629668761085438</v>
      </c>
      <c r="B257"/>
      <c r="C257"/>
      <c r="D257"/>
      <c r="E257"/>
      <c r="L257" s="27" t="s">
        <v>7</v>
      </c>
      <c r="M257" s="27" t="s">
        <v>8</v>
      </c>
    </row>
    <row r="258" spans="1:13" x14ac:dyDescent="0.25">
      <c r="A258" s="30">
        <v>0.41552065486748019</v>
      </c>
      <c r="B258"/>
      <c r="C258"/>
      <c r="D258"/>
      <c r="E258"/>
      <c r="L258" s="27" t="s">
        <v>7</v>
      </c>
      <c r="M258" s="27" t="s">
        <v>8</v>
      </c>
    </row>
    <row r="259" spans="1:13" x14ac:dyDescent="0.25">
      <c r="A259" s="30">
        <v>0.39573395701664765</v>
      </c>
      <c r="B259"/>
      <c r="C259"/>
      <c r="D259"/>
      <c r="E259"/>
      <c r="L259" s="27" t="s">
        <v>7</v>
      </c>
    </row>
    <row r="260" spans="1:13" x14ac:dyDescent="0.25">
      <c r="A260" s="30">
        <v>0.37688948287299762</v>
      </c>
      <c r="B260"/>
      <c r="C260"/>
      <c r="D260"/>
      <c r="E260"/>
    </row>
    <row r="261" spans="1:13" x14ac:dyDescent="0.25">
      <c r="A261" s="30">
        <v>0.35894236464094997</v>
      </c>
      <c r="B261"/>
      <c r="C261"/>
      <c r="D261"/>
      <c r="E261"/>
    </row>
    <row r="262" spans="1:13" x14ac:dyDescent="0.25">
      <c r="A262" s="30">
        <v>0.34184987108661891</v>
      </c>
      <c r="B262"/>
      <c r="C262"/>
      <c r="D262"/>
      <c r="E262"/>
    </row>
    <row r="263" spans="1:13" x14ac:dyDescent="0.25">
      <c r="A263" s="30">
        <v>0.32557130579677979</v>
      </c>
      <c r="B263"/>
      <c r="C263"/>
      <c r="D263"/>
      <c r="E263"/>
    </row>
    <row r="264" spans="1:13" x14ac:dyDescent="0.25">
      <c r="A264" s="30">
        <v>0.3100679102826473</v>
      </c>
      <c r="B264"/>
      <c r="C264"/>
      <c r="D264"/>
      <c r="E264"/>
    </row>
    <row r="265" spans="1:13" x14ac:dyDescent="0.25">
      <c r="A265" s="30">
        <v>0.2953027716977592</v>
      </c>
      <c r="B265"/>
      <c r="C265"/>
      <c r="D265"/>
      <c r="E265"/>
    </row>
    <row r="266" spans="1:13" x14ac:dyDescent="0.25">
      <c r="A266" s="30">
        <v>0.28124073495024676</v>
      </c>
      <c r="B266"/>
      <c r="C266"/>
      <c r="D266"/>
      <c r="E266"/>
    </row>
    <row r="267" spans="1:13" x14ac:dyDescent="0.25">
      <c r="A267" s="30">
        <v>0.26784831900023492</v>
      </c>
      <c r="B267"/>
      <c r="C267"/>
      <c r="D267"/>
      <c r="E267"/>
    </row>
    <row r="268" spans="1:13" x14ac:dyDescent="0.25">
      <c r="A268" s="30">
        <v>0.25509363714308075</v>
      </c>
      <c r="B268"/>
      <c r="C268"/>
      <c r="D268"/>
      <c r="E268"/>
    </row>
    <row r="269" spans="1:13" x14ac:dyDescent="0.25">
      <c r="A269" s="30">
        <v>0.24294632108864825</v>
      </c>
      <c r="B269"/>
      <c r="C269"/>
      <c r="D269"/>
      <c r="E269"/>
    </row>
    <row r="270" spans="1:13" x14ac:dyDescent="0.25">
      <c r="A270" s="30">
        <v>0.23137744865585538</v>
      </c>
      <c r="B270"/>
      <c r="C270"/>
      <c r="D270"/>
      <c r="E270"/>
    </row>
    <row r="271" spans="1:13" x14ac:dyDescent="0.25">
      <c r="A271" s="30">
        <v>0.22035947491033836</v>
      </c>
      <c r="B271"/>
      <c r="C271"/>
      <c r="D271"/>
      <c r="E271"/>
    </row>
    <row r="272" spans="1:13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H129" sqref="AH12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6" x14ac:dyDescent="0.25">
      <c r="A97" s="30">
        <v>9.849732675807628</v>
      </c>
      <c r="E97"/>
    </row>
    <row r="98" spans="1:16" x14ac:dyDescent="0.25">
      <c r="A98" s="30">
        <v>8.9543024325523888</v>
      </c>
      <c r="C98" s="1" t="s">
        <v>13</v>
      </c>
      <c r="E98"/>
    </row>
    <row r="99" spans="1:16" x14ac:dyDescent="0.25">
      <c r="A99" s="30">
        <v>8.140274938683989</v>
      </c>
      <c r="C99" s="1">
        <f>C88</f>
        <v>0</v>
      </c>
      <c r="E99"/>
    </row>
    <row r="100" spans="1:16" x14ac:dyDescent="0.25">
      <c r="A100" s="30">
        <v>7.4002499442581717</v>
      </c>
      <c r="C100"/>
      <c r="D100"/>
      <c r="E100"/>
    </row>
    <row r="101" spans="1:16" x14ac:dyDescent="0.25">
      <c r="A101" s="30">
        <v>6.72749994932561</v>
      </c>
      <c r="C101" s="1" t="s">
        <v>14</v>
      </c>
      <c r="E101"/>
    </row>
    <row r="102" spans="1:1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6" x14ac:dyDescent="0.25">
      <c r="A103" s="30">
        <v>5.5599173134922388</v>
      </c>
      <c r="E103"/>
    </row>
    <row r="104" spans="1:16" x14ac:dyDescent="0.25">
      <c r="A104" s="30">
        <v>5.0544702849929442</v>
      </c>
      <c r="E104"/>
    </row>
    <row r="105" spans="1:16" x14ac:dyDescent="0.25">
      <c r="A105" s="30">
        <v>4.594972986357222</v>
      </c>
      <c r="E105"/>
      <c r="M105" s="27" t="s">
        <v>8</v>
      </c>
    </row>
    <row r="106" spans="1:16" x14ac:dyDescent="0.25">
      <c r="A106" s="30">
        <v>4.1772481694156562</v>
      </c>
      <c r="E106"/>
      <c r="M106" s="27" t="s">
        <v>8</v>
      </c>
      <c r="N106" s="27" t="s">
        <v>7</v>
      </c>
    </row>
    <row r="107" spans="1:16" x14ac:dyDescent="0.25">
      <c r="A107" s="30">
        <v>3.7974983358324148</v>
      </c>
      <c r="E107"/>
      <c r="M107" s="27" t="s">
        <v>8</v>
      </c>
      <c r="N107" s="27" t="s">
        <v>7</v>
      </c>
      <c r="O107" s="27" t="s">
        <v>8</v>
      </c>
    </row>
    <row r="108" spans="1:16" x14ac:dyDescent="0.25">
      <c r="A108" s="30">
        <v>3.4522712143931042</v>
      </c>
      <c r="E108"/>
      <c r="M108" s="27" t="s">
        <v>8</v>
      </c>
      <c r="N108" s="27" t="s">
        <v>7</v>
      </c>
      <c r="O108" s="27" t="s">
        <v>8</v>
      </c>
      <c r="P108" s="27" t="s">
        <v>7</v>
      </c>
    </row>
    <row r="109" spans="1:16" x14ac:dyDescent="0.25">
      <c r="A109" s="30">
        <v>3.1384283767210035</v>
      </c>
      <c r="E109"/>
      <c r="M109" s="27" t="s">
        <v>8</v>
      </c>
      <c r="N109" s="27" t="s">
        <v>7</v>
      </c>
      <c r="O109" s="27" t="s">
        <v>8</v>
      </c>
      <c r="P109" s="27" t="s">
        <v>7</v>
      </c>
    </row>
    <row r="110" spans="1:16" x14ac:dyDescent="0.25">
      <c r="A110" s="30">
        <v>2.8531167061100029</v>
      </c>
      <c r="E110"/>
      <c r="M110" s="27" t="s">
        <v>8</v>
      </c>
      <c r="N110" s="27" t="s">
        <v>7</v>
      </c>
      <c r="O110" s="27" t="s">
        <v>8</v>
      </c>
      <c r="P110" s="27" t="s">
        <v>7</v>
      </c>
    </row>
    <row r="111" spans="1:16" x14ac:dyDescent="0.25">
      <c r="A111" s="30">
        <v>2.5937424601000023</v>
      </c>
      <c r="C111" s="1" t="str">
        <f>ADDRESS(C121-1,1,1,1)</f>
        <v>$A$128</v>
      </c>
      <c r="D111" s="1" t="str">
        <f>ADDRESS(C121-1,D121,1,1)</f>
        <v>$AH$128</v>
      </c>
      <c r="E111"/>
      <c r="M111" s="27" t="s">
        <v>8</v>
      </c>
      <c r="N111" s="27" t="s">
        <v>7</v>
      </c>
      <c r="O111" s="27" t="s">
        <v>8</v>
      </c>
      <c r="P111" s="27" t="s">
        <v>7</v>
      </c>
    </row>
    <row r="112" spans="1:16" x14ac:dyDescent="0.25">
      <c r="A112" s="30">
        <v>2.3579476910000019</v>
      </c>
      <c r="C112" s="1" t="str">
        <f>ADDRESS(C121,1,1,1)</f>
        <v>$A$129</v>
      </c>
      <c r="D112" s="1" t="str">
        <f>ADDRESS(C121,D121-1,1,1)</f>
        <v>$AG$129</v>
      </c>
      <c r="E112"/>
      <c r="M112" s="27" t="s">
        <v>8</v>
      </c>
      <c r="N112" s="27" t="s">
        <v>7</v>
      </c>
      <c r="O112" s="27" t="s">
        <v>8</v>
      </c>
      <c r="P112" s="27" t="s">
        <v>7</v>
      </c>
    </row>
    <row r="113" spans="1:34" x14ac:dyDescent="0.25">
      <c r="A113" s="30">
        <v>2.1435888100000016</v>
      </c>
      <c r="C113" s="1" t="str">
        <f>ADDRESS(C121+1,1,1,1)</f>
        <v>$A$130</v>
      </c>
      <c r="D113" s="1" t="str">
        <f>ADDRESS(C121-1,D121+1,1,1)</f>
        <v>$AI$128</v>
      </c>
      <c r="M113" s="27" t="s">
        <v>8</v>
      </c>
      <c r="N113" s="27" t="s">
        <v>7</v>
      </c>
      <c r="O113" s="27" t="s">
        <v>8</v>
      </c>
      <c r="P113" s="27" t="s">
        <v>7</v>
      </c>
    </row>
    <row r="114" spans="1:34" x14ac:dyDescent="0.25">
      <c r="A114" s="30">
        <v>1.9487171000000014</v>
      </c>
      <c r="C114" s="1" t="str">
        <f>ADDRESS(C121,D121,1,1)</f>
        <v>$AH$129</v>
      </c>
      <c r="D114" s="1" t="str">
        <f>ADDRESS(C121+1,D121+1,1,1)</f>
        <v>$AI$130</v>
      </c>
      <c r="M114" s="27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</row>
    <row r="115" spans="1:34" x14ac:dyDescent="0.25">
      <c r="A115" s="30">
        <v>1.7715610000000011</v>
      </c>
      <c r="C115" s="1" t="str">
        <f>ADDRESS(C121+1,D121,1,1)</f>
        <v>$AH$130</v>
      </c>
      <c r="K115" s="27" t="s">
        <v>8</v>
      </c>
      <c r="M115" s="27" t="s">
        <v>8</v>
      </c>
      <c r="N115" s="27" t="s">
        <v>7</v>
      </c>
      <c r="P115" s="27" t="s">
        <v>7</v>
      </c>
      <c r="Q115" s="27" t="s">
        <v>8</v>
      </c>
      <c r="R115" s="27" t="s">
        <v>7</v>
      </c>
      <c r="S115" s="27" t="s">
        <v>8</v>
      </c>
      <c r="U115" s="27" t="s">
        <v>8</v>
      </c>
    </row>
    <row r="116" spans="1:34" x14ac:dyDescent="0.25">
      <c r="A116" s="30">
        <v>1.6105100000000008</v>
      </c>
      <c r="C116" s="1">
        <f>C117-1</f>
        <v>128</v>
      </c>
      <c r="K116" s="27" t="s">
        <v>8</v>
      </c>
      <c r="L116" s="27" t="s">
        <v>7</v>
      </c>
      <c r="M116" s="27" t="s">
        <v>8</v>
      </c>
      <c r="P116" s="27" t="s">
        <v>7</v>
      </c>
      <c r="Q116" s="27" t="s">
        <v>8</v>
      </c>
      <c r="R116" s="27" t="s">
        <v>7</v>
      </c>
      <c r="S116" s="27" t="s">
        <v>8</v>
      </c>
      <c r="T116" s="27" t="s">
        <v>7</v>
      </c>
      <c r="U116" s="27" t="s">
        <v>8</v>
      </c>
      <c r="V116" s="27" t="s">
        <v>7</v>
      </c>
      <c r="AA116" s="27" t="s">
        <v>8</v>
      </c>
      <c r="AE116" s="27" t="s">
        <v>8</v>
      </c>
    </row>
    <row r="117" spans="1:34" x14ac:dyDescent="0.25">
      <c r="A117" s="30">
        <v>1.4641000000000006</v>
      </c>
      <c r="C117" s="1">
        <f>C121</f>
        <v>129</v>
      </c>
      <c r="D117" s="1">
        <f>D121</f>
        <v>34</v>
      </c>
      <c r="K117" s="27" t="s">
        <v>8</v>
      </c>
      <c r="L117" s="27" t="s">
        <v>7</v>
      </c>
      <c r="M117" s="27" t="s">
        <v>8</v>
      </c>
      <c r="P117" s="27" t="s">
        <v>7</v>
      </c>
      <c r="Q117" s="27" t="s">
        <v>8</v>
      </c>
      <c r="R117" s="27" t="s">
        <v>7</v>
      </c>
      <c r="S117" s="27" t="s">
        <v>8</v>
      </c>
      <c r="T117" s="27" t="s">
        <v>7</v>
      </c>
      <c r="U117" s="27" t="s">
        <v>8</v>
      </c>
      <c r="V117" s="27" t="s">
        <v>7</v>
      </c>
      <c r="AA117" s="27" t="s">
        <v>8</v>
      </c>
      <c r="AB117" s="27" t="s">
        <v>7</v>
      </c>
      <c r="AE117" s="27" t="s">
        <v>8</v>
      </c>
      <c r="AF117" s="27" t="s">
        <v>7</v>
      </c>
    </row>
    <row r="118" spans="1:34" x14ac:dyDescent="0.25">
      <c r="A118" s="30">
        <v>1.3310000000000004</v>
      </c>
      <c r="C118" s="1">
        <f>C117+1</f>
        <v>130</v>
      </c>
      <c r="D118" s="1">
        <f>D117+1</f>
        <v>35</v>
      </c>
      <c r="K118" s="27" t="s">
        <v>8</v>
      </c>
      <c r="L118" s="27" t="s">
        <v>7</v>
      </c>
      <c r="M118" s="27" t="s">
        <v>8</v>
      </c>
      <c r="P118" s="27" t="s">
        <v>7</v>
      </c>
      <c r="Q118" s="27" t="s">
        <v>8</v>
      </c>
      <c r="R118" s="27" t="s">
        <v>7</v>
      </c>
      <c r="S118" s="27" t="s">
        <v>8</v>
      </c>
      <c r="T118" s="27" t="s">
        <v>7</v>
      </c>
      <c r="V118" s="27" t="s">
        <v>7</v>
      </c>
      <c r="AA118" s="27" t="s">
        <v>8</v>
      </c>
      <c r="AB118" s="27" t="s">
        <v>7</v>
      </c>
      <c r="AC118" s="27" t="s">
        <v>8</v>
      </c>
      <c r="AE118" s="27" t="s">
        <v>8</v>
      </c>
      <c r="AF118" s="27" t="s">
        <v>7</v>
      </c>
    </row>
    <row r="119" spans="1:34" x14ac:dyDescent="0.25">
      <c r="A119" s="30">
        <v>1.2100000000000002</v>
      </c>
      <c r="K119" s="27" t="s">
        <v>8</v>
      </c>
      <c r="L119" s="27" t="s">
        <v>7</v>
      </c>
      <c r="M119" s="27" t="s">
        <v>8</v>
      </c>
      <c r="P119" s="27" t="s">
        <v>7</v>
      </c>
      <c r="R119" s="27" t="s">
        <v>7</v>
      </c>
      <c r="V119" s="27" t="s">
        <v>7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</row>
    <row r="120" spans="1:34" x14ac:dyDescent="0.25">
      <c r="A120" s="30">
        <v>1.1000000000000001</v>
      </c>
      <c r="C120" s="1" t="s">
        <v>9</v>
      </c>
      <c r="K120" s="27" t="s">
        <v>8</v>
      </c>
      <c r="L120" s="27" t="s">
        <v>7</v>
      </c>
      <c r="V120" s="27" t="s">
        <v>7</v>
      </c>
      <c r="AA120" s="27" t="s">
        <v>8</v>
      </c>
      <c r="AB120" s="27" t="s">
        <v>7</v>
      </c>
      <c r="AC120" s="27" t="s">
        <v>8</v>
      </c>
      <c r="AD120" s="27" t="s">
        <v>7</v>
      </c>
      <c r="AE120" s="27" t="s">
        <v>8</v>
      </c>
      <c r="AF120" s="27" t="s">
        <v>7</v>
      </c>
    </row>
    <row r="121" spans="1:34" x14ac:dyDescent="0.25">
      <c r="A121" s="30">
        <v>1</v>
      </c>
      <c r="C121" s="18">
        <v>129</v>
      </c>
      <c r="D121" s="19">
        <v>34</v>
      </c>
      <c r="E121" s="18" t="s">
        <v>8</v>
      </c>
      <c r="K121" s="27" t="s">
        <v>8</v>
      </c>
      <c r="V121" s="27" t="s">
        <v>7</v>
      </c>
      <c r="Y121" s="27" t="s">
        <v>8</v>
      </c>
      <c r="AA121" s="27" t="s">
        <v>8</v>
      </c>
      <c r="AB121" s="27" t="s">
        <v>7</v>
      </c>
      <c r="AC121" s="27" t="s">
        <v>8</v>
      </c>
      <c r="AD121" s="27" t="s">
        <v>7</v>
      </c>
      <c r="AE121" s="27" t="s">
        <v>8</v>
      </c>
      <c r="AF121" s="27" t="s">
        <v>7</v>
      </c>
    </row>
    <row r="122" spans="1:34" x14ac:dyDescent="0.25">
      <c r="A122" s="30">
        <v>0.90909090909090895</v>
      </c>
      <c r="C122" s="1" t="str">
        <f>INDEX(1:1048576,C117,D117)</f>
        <v>O</v>
      </c>
      <c r="F122" s="27" t="s">
        <v>7</v>
      </c>
      <c r="I122" s="27" t="s">
        <v>8</v>
      </c>
      <c r="K122" s="27" t="s">
        <v>8</v>
      </c>
      <c r="V122" s="27" t="s">
        <v>7</v>
      </c>
      <c r="Y122" s="27" t="s">
        <v>8</v>
      </c>
      <c r="Z122" s="27" t="s">
        <v>7</v>
      </c>
      <c r="AA122" s="27" t="s">
        <v>8</v>
      </c>
      <c r="AB122" s="27" t="s">
        <v>7</v>
      </c>
      <c r="AC122" s="27" t="s">
        <v>8</v>
      </c>
      <c r="AD122" s="27" t="s">
        <v>7</v>
      </c>
      <c r="AF122" s="27" t="s">
        <v>7</v>
      </c>
      <c r="AG122" s="27" t="s">
        <v>8</v>
      </c>
    </row>
    <row r="123" spans="1:34" x14ac:dyDescent="0.25">
      <c r="A123" s="30">
        <v>0.82644628099173523</v>
      </c>
      <c r="C123" s="1" t="str">
        <f>"R"&amp;C121</f>
        <v>R129</v>
      </c>
      <c r="D123" s="1" t="str">
        <f>"C"&amp;D121</f>
        <v>C34</v>
      </c>
      <c r="F123" s="27" t="s">
        <v>7</v>
      </c>
      <c r="I123" s="27" t="s">
        <v>8</v>
      </c>
      <c r="J123" s="27" t="s">
        <v>7</v>
      </c>
      <c r="K123" s="27" t="s">
        <v>8</v>
      </c>
      <c r="V123" s="27" t="s">
        <v>7</v>
      </c>
      <c r="Y123" s="27" t="s">
        <v>8</v>
      </c>
      <c r="Z123" s="27" t="s">
        <v>7</v>
      </c>
      <c r="AA123" s="27" t="s">
        <v>8</v>
      </c>
      <c r="AB123" s="27" t="s">
        <v>7</v>
      </c>
      <c r="AF123" s="27" t="s">
        <v>7</v>
      </c>
      <c r="AG123" s="27" t="s">
        <v>8</v>
      </c>
      <c r="AH123" s="27" t="s">
        <v>7</v>
      </c>
    </row>
    <row r="124" spans="1:3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I124" s="27" t="s">
        <v>8</v>
      </c>
      <c r="J124" s="27" t="s">
        <v>7</v>
      </c>
      <c r="K124" s="27" t="s">
        <v>8</v>
      </c>
      <c r="V124" s="27" t="s">
        <v>7</v>
      </c>
      <c r="Y124" s="27" t="s">
        <v>8</v>
      </c>
      <c r="Z124" s="27" t="s">
        <v>7</v>
      </c>
      <c r="AA124" s="27" t="s">
        <v>8</v>
      </c>
      <c r="AF124" s="27" t="s">
        <v>7</v>
      </c>
      <c r="AG124" s="27" t="s">
        <v>8</v>
      </c>
      <c r="AH124" s="27" t="s">
        <v>7</v>
      </c>
    </row>
    <row r="125" spans="1:34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J125" s="27" t="s">
        <v>7</v>
      </c>
      <c r="V125" s="27" t="s">
        <v>7</v>
      </c>
      <c r="W125" s="27" t="s">
        <v>8</v>
      </c>
      <c r="Y125" s="27" t="s">
        <v>8</v>
      </c>
      <c r="Z125" s="18" t="s">
        <v>7</v>
      </c>
      <c r="AA125" s="27" t="s">
        <v>8</v>
      </c>
      <c r="AF125" s="27" t="s">
        <v>7</v>
      </c>
      <c r="AH125" s="27" t="s">
        <v>7</v>
      </c>
    </row>
    <row r="126" spans="1:34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V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H126" s="27" t="s">
        <v>7</v>
      </c>
    </row>
    <row r="127" spans="1:34" x14ac:dyDescent="0.25">
      <c r="A127" s="30">
        <v>0.56447393005377677</v>
      </c>
      <c r="C127" s="30">
        <v>0.46650738020973276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V127" s="27" t="s">
        <v>7</v>
      </c>
      <c r="W127" s="27" t="s">
        <v>8</v>
      </c>
      <c r="X127" s="27" t="s">
        <v>7</v>
      </c>
      <c r="Y127" s="27" t="s">
        <v>8</v>
      </c>
      <c r="AH127" s="27" t="s">
        <v>7</v>
      </c>
    </row>
    <row r="128" spans="1:34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V128" s="27" t="s">
        <v>7</v>
      </c>
      <c r="X128" s="27" t="s">
        <v>7</v>
      </c>
      <c r="AH128" s="27" t="s">
        <v>7</v>
      </c>
    </row>
    <row r="129" spans="1:3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AH129" s="27" t="s">
        <v>7</v>
      </c>
    </row>
    <row r="130" spans="1:34" x14ac:dyDescent="0.25">
      <c r="A130" s="30">
        <v>0.42409761837248428</v>
      </c>
      <c r="C130" s="6"/>
      <c r="D130" s="6"/>
      <c r="E130"/>
      <c r="F130" s="27" t="s">
        <v>7</v>
      </c>
    </row>
    <row r="131" spans="1:34" x14ac:dyDescent="0.25">
      <c r="A131" s="30">
        <v>0.38554328942953109</v>
      </c>
      <c r="E131"/>
    </row>
    <row r="132" spans="1:34" x14ac:dyDescent="0.25">
      <c r="A132" s="30">
        <v>0.35049389948139187</v>
      </c>
      <c r="C132" s="1" t="s">
        <v>13</v>
      </c>
      <c r="E132"/>
    </row>
    <row r="133" spans="1:34" x14ac:dyDescent="0.25">
      <c r="A133" s="30">
        <v>0.31863081771035617</v>
      </c>
      <c r="C133" s="1" t="str">
        <f>C122</f>
        <v>O</v>
      </c>
      <c r="E133"/>
    </row>
    <row r="134" spans="1:34" x14ac:dyDescent="0.25">
      <c r="A134" s="30">
        <v>0.28966437973668741</v>
      </c>
      <c r="C134"/>
      <c r="D134"/>
      <c r="E134"/>
    </row>
    <row r="135" spans="1:34" x14ac:dyDescent="0.25">
      <c r="A135" s="30">
        <v>0.2633312543060794</v>
      </c>
      <c r="C135" s="1" t="s">
        <v>14</v>
      </c>
      <c r="E135"/>
    </row>
    <row r="136" spans="1:3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34" x14ac:dyDescent="0.25">
      <c r="A137" s="30">
        <v>0.2176291357901482</v>
      </c>
      <c r="E137"/>
    </row>
    <row r="138" spans="1:3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34" x14ac:dyDescent="0.25">
      <c r="A139" s="30">
        <v>0.17985878990921333</v>
      </c>
      <c r="E139"/>
    </row>
    <row r="140" spans="1:34" x14ac:dyDescent="0.25">
      <c r="A140" s="30">
        <v>0.16350799082655756</v>
      </c>
      <c r="C140" s="1">
        <v>0</v>
      </c>
      <c r="E140"/>
    </row>
    <row r="141" spans="1:34" x14ac:dyDescent="0.25">
      <c r="A141" s="30">
        <v>0.14864362802414322</v>
      </c>
      <c r="C141" s="1">
        <v>1</v>
      </c>
      <c r="E141"/>
    </row>
    <row r="142" spans="1:34" x14ac:dyDescent="0.25">
      <c r="A142" s="30">
        <v>0.13513057093103928</v>
      </c>
      <c r="C142" s="1">
        <v>2</v>
      </c>
      <c r="E142"/>
    </row>
    <row r="143" spans="1:34" x14ac:dyDescent="0.25">
      <c r="A143" s="30">
        <v>0.12284597357367205</v>
      </c>
      <c r="C143" s="1">
        <v>3</v>
      </c>
      <c r="E143"/>
    </row>
    <row r="144" spans="1:3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2022-01-28T01:18:12Z</dcterms:modified>
</cp:coreProperties>
</file>